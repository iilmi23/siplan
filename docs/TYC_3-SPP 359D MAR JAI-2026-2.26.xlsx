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ppc01\PPC\PPC Department\TOYOTA  718W (350B)\SPP\2026\3. MAR\"/>
    </mc:Choice>
  </mc:AlternateContent>
  <bookViews>
    <workbookView xWindow="-105" yWindow="-105" windowWidth="19425" windowHeight="11505" tabRatio="566"/>
  </bookViews>
  <sheets>
    <sheet name="GUM" sheetId="1" r:id="rId1"/>
    <sheet name="down rate" sheetId="6" state="hidden" r:id="rId2"/>
    <sheet name="(AS-400 Jembatan)" sheetId="7" r:id="rId3"/>
    <sheet name="(AS-400 Transfer)" sheetId="8" r:id="rId4"/>
    <sheet name="WEEK" sheetId="9" r:id="rId5"/>
    <sheet name="Sheet1" sheetId="10" r:id="rId28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Print_Area" localSheetId="1">'down rate'!$A$1:$AE$113</definedName>
    <definedName name="_xlnm.Print_Area" localSheetId="0">GUM!$A$1:$AD$57</definedName>
    <definedName name="_xlnm.Print_Titles" localSheetId="1">'down rate'!$11:$13</definedName>
    <definedName name="_xlnm.Print_Titles" localSheetId="0">GUM!$11:$13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7" i="1" l="1"/>
  <c r="W23" i="1"/>
  <c r="T25" i="1"/>
  <c r="T19" i="1"/>
  <c r="Q29" i="1"/>
  <c r="Q19" i="1"/>
  <c r="N19" i="1"/>
  <c r="N25" i="1"/>
  <c r="N23" i="1"/>
  <c r="Z22" i="1" l="1"/>
  <c r="W22" i="1"/>
  <c r="W17" i="1"/>
  <c r="T17" i="1"/>
  <c r="N28" i="1"/>
  <c r="N29" i="1"/>
  <c r="N27" i="1"/>
  <c r="N22" i="1"/>
  <c r="S9" i="8" l="1"/>
  <c r="S10" i="8"/>
  <c r="S11" i="8"/>
  <c r="S12" i="8"/>
  <c r="S91" i="8" s="1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90" i="8" l="1"/>
  <c r="S92" i="8"/>
  <c r="K25" i="1"/>
  <c r="K27" i="1"/>
  <c r="AR27" i="7" l="1"/>
  <c r="BA27" i="7" s="1"/>
  <c r="AQ27" i="7"/>
  <c r="AZ27" i="7" s="1"/>
  <c r="AP27" i="7"/>
  <c r="AY27" i="7" s="1"/>
  <c r="AO27" i="7"/>
  <c r="AX27" i="7" s="1"/>
  <c r="AN27" i="7"/>
  <c r="AW27" i="7" s="1"/>
  <c r="AI27" i="7"/>
  <c r="AH27" i="7"/>
  <c r="AG27" i="7"/>
  <c r="AF27" i="7"/>
  <c r="AE27" i="7"/>
  <c r="Z27" i="7"/>
  <c r="Y27" i="7"/>
  <c r="X27" i="7"/>
  <c r="W27" i="7"/>
  <c r="V27" i="7"/>
  <c r="Q27" i="7"/>
  <c r="P27" i="7"/>
  <c r="O27" i="7"/>
  <c r="N27" i="7"/>
  <c r="M27" i="7"/>
  <c r="AR26" i="7"/>
  <c r="BA26" i="7" s="1"/>
  <c r="AQ26" i="7"/>
  <c r="AZ26" i="7" s="1"/>
  <c r="AP26" i="7"/>
  <c r="AY26" i="7" s="1"/>
  <c r="AO26" i="7"/>
  <c r="AX26" i="7" s="1"/>
  <c r="AN26" i="7"/>
  <c r="AW26" i="7" s="1"/>
  <c r="AI26" i="7"/>
  <c r="AH26" i="7"/>
  <c r="AG26" i="7"/>
  <c r="AF26" i="7"/>
  <c r="AE26" i="7"/>
  <c r="Z26" i="7"/>
  <c r="Y26" i="7"/>
  <c r="X26" i="7"/>
  <c r="W26" i="7"/>
  <c r="V26" i="7"/>
  <c r="Q26" i="7"/>
  <c r="P26" i="7"/>
  <c r="O26" i="7"/>
  <c r="N26" i="7"/>
  <c r="M26" i="7"/>
  <c r="AR25" i="7"/>
  <c r="BA25" i="7" s="1"/>
  <c r="AQ25" i="7"/>
  <c r="AZ25" i="7" s="1"/>
  <c r="AP25" i="7"/>
  <c r="AY25" i="7" s="1"/>
  <c r="AO25" i="7"/>
  <c r="AX25" i="7" s="1"/>
  <c r="AN25" i="7"/>
  <c r="AW25" i="7" s="1"/>
  <c r="AI25" i="7"/>
  <c r="AH25" i="7"/>
  <c r="AG25" i="7"/>
  <c r="AF25" i="7"/>
  <c r="AE25" i="7"/>
  <c r="Z25" i="7"/>
  <c r="Y25" i="7"/>
  <c r="X25" i="7"/>
  <c r="W25" i="7"/>
  <c r="V25" i="7"/>
  <c r="Q25" i="7"/>
  <c r="P25" i="7"/>
  <c r="O25" i="7"/>
  <c r="N25" i="7"/>
  <c r="M25" i="7"/>
  <c r="AR24" i="7"/>
  <c r="BA24" i="7" s="1"/>
  <c r="AQ24" i="7"/>
  <c r="AZ24" i="7" s="1"/>
  <c r="AP24" i="7"/>
  <c r="AY24" i="7" s="1"/>
  <c r="AO24" i="7"/>
  <c r="AX24" i="7" s="1"/>
  <c r="AN24" i="7"/>
  <c r="AW24" i="7" s="1"/>
  <c r="AI24" i="7"/>
  <c r="AH24" i="7"/>
  <c r="AG24" i="7"/>
  <c r="AF24" i="7"/>
  <c r="AE24" i="7"/>
  <c r="Z24" i="7"/>
  <c r="Y24" i="7"/>
  <c r="X24" i="7"/>
  <c r="W24" i="7"/>
  <c r="V24" i="7"/>
  <c r="Q24" i="7"/>
  <c r="P24" i="7"/>
  <c r="O24" i="7"/>
  <c r="N24" i="7"/>
  <c r="M24" i="7"/>
  <c r="AR23" i="7"/>
  <c r="BA23" i="7" s="1"/>
  <c r="AQ23" i="7"/>
  <c r="AZ23" i="7" s="1"/>
  <c r="AP23" i="7"/>
  <c r="AY23" i="7" s="1"/>
  <c r="AO23" i="7"/>
  <c r="AX23" i="7" s="1"/>
  <c r="AN23" i="7"/>
  <c r="AW23" i="7" s="1"/>
  <c r="AI23" i="7"/>
  <c r="AH23" i="7"/>
  <c r="AG23" i="7"/>
  <c r="AF23" i="7"/>
  <c r="AE23" i="7"/>
  <c r="Z23" i="7"/>
  <c r="Y23" i="7"/>
  <c r="X23" i="7"/>
  <c r="W23" i="7"/>
  <c r="V23" i="7"/>
  <c r="Q23" i="7"/>
  <c r="P23" i="7"/>
  <c r="O23" i="7"/>
  <c r="N23" i="7"/>
  <c r="M23" i="7"/>
  <c r="AR22" i="7"/>
  <c r="BA22" i="7" s="1"/>
  <c r="AQ22" i="7"/>
  <c r="AZ22" i="7" s="1"/>
  <c r="AP22" i="7"/>
  <c r="AY22" i="7" s="1"/>
  <c r="AO22" i="7"/>
  <c r="AX22" i="7" s="1"/>
  <c r="AN22" i="7"/>
  <c r="AW22" i="7" s="1"/>
  <c r="AI22" i="7"/>
  <c r="AH22" i="7"/>
  <c r="AG22" i="7"/>
  <c r="AF22" i="7"/>
  <c r="AE22" i="7"/>
  <c r="Z22" i="7"/>
  <c r="Y22" i="7"/>
  <c r="X22" i="7"/>
  <c r="W22" i="7"/>
  <c r="V22" i="7"/>
  <c r="Q22" i="7"/>
  <c r="P22" i="7"/>
  <c r="O22" i="7"/>
  <c r="N22" i="7"/>
  <c r="M22" i="7"/>
  <c r="AR21" i="7"/>
  <c r="BA21" i="7" s="1"/>
  <c r="AQ21" i="7"/>
  <c r="AZ21" i="7" s="1"/>
  <c r="AP21" i="7"/>
  <c r="AY21" i="7" s="1"/>
  <c r="AO21" i="7"/>
  <c r="AX21" i="7" s="1"/>
  <c r="AN21" i="7"/>
  <c r="AW21" i="7" s="1"/>
  <c r="AI21" i="7"/>
  <c r="AH21" i="7"/>
  <c r="AG21" i="7"/>
  <c r="AF21" i="7"/>
  <c r="AE21" i="7"/>
  <c r="Z21" i="7"/>
  <c r="Y21" i="7"/>
  <c r="X21" i="7"/>
  <c r="W21" i="7"/>
  <c r="V21" i="7"/>
  <c r="Q21" i="7"/>
  <c r="P21" i="7"/>
  <c r="O21" i="7"/>
  <c r="N21" i="7"/>
  <c r="M21" i="7"/>
  <c r="AR20" i="7"/>
  <c r="BA20" i="7" s="1"/>
  <c r="AQ20" i="7"/>
  <c r="AZ20" i="7" s="1"/>
  <c r="AP20" i="7"/>
  <c r="AY20" i="7" s="1"/>
  <c r="AO20" i="7"/>
  <c r="AX20" i="7" s="1"/>
  <c r="AN20" i="7"/>
  <c r="AI20" i="7"/>
  <c r="AH20" i="7"/>
  <c r="AG20" i="7"/>
  <c r="AF20" i="7"/>
  <c r="AE20" i="7"/>
  <c r="Z20" i="7"/>
  <c r="Y20" i="7"/>
  <c r="X20" i="7"/>
  <c r="W20" i="7"/>
  <c r="V20" i="7"/>
  <c r="Q20" i="7"/>
  <c r="P20" i="7"/>
  <c r="O20" i="7"/>
  <c r="N20" i="7"/>
  <c r="M20" i="7"/>
  <c r="AR19" i="7"/>
  <c r="BA19" i="7" s="1"/>
  <c r="AQ19" i="7"/>
  <c r="AZ19" i="7" s="1"/>
  <c r="AP19" i="7"/>
  <c r="AY19" i="7" s="1"/>
  <c r="AO19" i="7"/>
  <c r="AX19" i="7" s="1"/>
  <c r="AN19" i="7"/>
  <c r="AW19" i="7" s="1"/>
  <c r="AI19" i="7"/>
  <c r="AH19" i="7"/>
  <c r="AG19" i="7"/>
  <c r="AF19" i="7"/>
  <c r="AE19" i="7"/>
  <c r="Z19" i="7"/>
  <c r="Y19" i="7"/>
  <c r="X19" i="7"/>
  <c r="W19" i="7"/>
  <c r="V19" i="7"/>
  <c r="Q19" i="7"/>
  <c r="P19" i="7"/>
  <c r="O19" i="7"/>
  <c r="N19" i="7"/>
  <c r="M19" i="7"/>
  <c r="AR18" i="7"/>
  <c r="BA18" i="7" s="1"/>
  <c r="AQ18" i="7"/>
  <c r="AZ18" i="7" s="1"/>
  <c r="AP18" i="7"/>
  <c r="AY18" i="7" s="1"/>
  <c r="AO18" i="7"/>
  <c r="AX18" i="7" s="1"/>
  <c r="AN18" i="7"/>
  <c r="AW18" i="7" s="1"/>
  <c r="AI18" i="7"/>
  <c r="AH18" i="7"/>
  <c r="AG18" i="7"/>
  <c r="AF18" i="7"/>
  <c r="AE18" i="7"/>
  <c r="Z18" i="7"/>
  <c r="Y18" i="7"/>
  <c r="X18" i="7"/>
  <c r="W18" i="7"/>
  <c r="V18" i="7"/>
  <c r="Q18" i="7"/>
  <c r="P18" i="7"/>
  <c r="O18" i="7"/>
  <c r="N18" i="7"/>
  <c r="M18" i="7"/>
  <c r="AR17" i="7"/>
  <c r="BA17" i="7" s="1"/>
  <c r="AQ17" i="7"/>
  <c r="AZ17" i="7" s="1"/>
  <c r="AP17" i="7"/>
  <c r="AY17" i="7" s="1"/>
  <c r="AO17" i="7"/>
  <c r="AX17" i="7" s="1"/>
  <c r="AN17" i="7"/>
  <c r="AW17" i="7" s="1"/>
  <c r="AI17" i="7"/>
  <c r="AH17" i="7"/>
  <c r="AG17" i="7"/>
  <c r="AF17" i="7"/>
  <c r="AE17" i="7"/>
  <c r="Z17" i="7"/>
  <c r="Y17" i="7"/>
  <c r="X17" i="7"/>
  <c r="W17" i="7"/>
  <c r="V17" i="7"/>
  <c r="Q17" i="7"/>
  <c r="P17" i="7"/>
  <c r="O17" i="7"/>
  <c r="N17" i="7"/>
  <c r="M17" i="7"/>
  <c r="AR16" i="7"/>
  <c r="BA16" i="7" s="1"/>
  <c r="AQ16" i="7"/>
  <c r="AZ16" i="7" s="1"/>
  <c r="AP16" i="7"/>
  <c r="AY16" i="7" s="1"/>
  <c r="AO16" i="7"/>
  <c r="AX16" i="7" s="1"/>
  <c r="AN16" i="7"/>
  <c r="AI16" i="7"/>
  <c r="AH16" i="7"/>
  <c r="AG16" i="7"/>
  <c r="AF16" i="7"/>
  <c r="AE16" i="7"/>
  <c r="Z16" i="7"/>
  <c r="Y16" i="7"/>
  <c r="X16" i="7"/>
  <c r="W16" i="7"/>
  <c r="V16" i="7"/>
  <c r="Q16" i="7"/>
  <c r="P16" i="7"/>
  <c r="O16" i="7"/>
  <c r="N16" i="7"/>
  <c r="M16" i="7"/>
  <c r="AR15" i="7"/>
  <c r="BA15" i="7" s="1"/>
  <c r="AQ15" i="7"/>
  <c r="AZ15" i="7" s="1"/>
  <c r="AP15" i="7"/>
  <c r="AY15" i="7" s="1"/>
  <c r="AO15" i="7"/>
  <c r="AX15" i="7" s="1"/>
  <c r="AN15" i="7"/>
  <c r="AW15" i="7" s="1"/>
  <c r="AI15" i="7"/>
  <c r="AH15" i="7"/>
  <c r="AG15" i="7"/>
  <c r="AF15" i="7"/>
  <c r="AE15" i="7"/>
  <c r="Z15" i="7"/>
  <c r="Y15" i="7"/>
  <c r="X15" i="7"/>
  <c r="W15" i="7"/>
  <c r="V15" i="7"/>
  <c r="Q15" i="7"/>
  <c r="P15" i="7"/>
  <c r="O15" i="7"/>
  <c r="N15" i="7"/>
  <c r="M15" i="7"/>
  <c r="AR14" i="7"/>
  <c r="BA14" i="7" s="1"/>
  <c r="AQ14" i="7"/>
  <c r="AZ14" i="7" s="1"/>
  <c r="AP14" i="7"/>
  <c r="AY14" i="7" s="1"/>
  <c r="AO14" i="7"/>
  <c r="AX14" i="7" s="1"/>
  <c r="AN14" i="7"/>
  <c r="AW14" i="7" s="1"/>
  <c r="AI14" i="7"/>
  <c r="AH14" i="7"/>
  <c r="AG14" i="7"/>
  <c r="AF14" i="7"/>
  <c r="AE14" i="7"/>
  <c r="Z14" i="7"/>
  <c r="Y14" i="7"/>
  <c r="X14" i="7"/>
  <c r="W14" i="7"/>
  <c r="V14" i="7"/>
  <c r="Q14" i="7"/>
  <c r="P14" i="7"/>
  <c r="O14" i="7"/>
  <c r="N14" i="7"/>
  <c r="M14" i="7"/>
  <c r="AR13" i="7"/>
  <c r="BA13" i="7" s="1"/>
  <c r="AQ13" i="7"/>
  <c r="AZ13" i="7" s="1"/>
  <c r="AP13" i="7"/>
  <c r="AY13" i="7" s="1"/>
  <c r="AO13" i="7"/>
  <c r="AX13" i="7" s="1"/>
  <c r="AN13" i="7"/>
  <c r="AW13" i="7" s="1"/>
  <c r="AI13" i="7"/>
  <c r="AH13" i="7"/>
  <c r="AG13" i="7"/>
  <c r="AF13" i="7"/>
  <c r="AE13" i="7"/>
  <c r="Z13" i="7"/>
  <c r="Y13" i="7"/>
  <c r="X13" i="7"/>
  <c r="W13" i="7"/>
  <c r="V13" i="7"/>
  <c r="Q13" i="7"/>
  <c r="P13" i="7"/>
  <c r="O13" i="7"/>
  <c r="N13" i="7"/>
  <c r="M13" i="7"/>
  <c r="AR12" i="7"/>
  <c r="BA12" i="7" s="1"/>
  <c r="AQ12" i="7"/>
  <c r="AZ12" i="7" s="1"/>
  <c r="AP12" i="7"/>
  <c r="AY12" i="7" s="1"/>
  <c r="AO12" i="7"/>
  <c r="AX12" i="7" s="1"/>
  <c r="AN12" i="7"/>
  <c r="AI12" i="7"/>
  <c r="AH12" i="7"/>
  <c r="AG12" i="7"/>
  <c r="AF12" i="7"/>
  <c r="AE12" i="7"/>
  <c r="Z12" i="7"/>
  <c r="Y12" i="7"/>
  <c r="X12" i="7"/>
  <c r="W12" i="7"/>
  <c r="V12" i="7"/>
  <c r="Q12" i="7"/>
  <c r="P12" i="7"/>
  <c r="O12" i="7"/>
  <c r="N12" i="7"/>
  <c r="M12" i="7"/>
  <c r="AR11" i="7"/>
  <c r="BA11" i="7" s="1"/>
  <c r="AQ11" i="7"/>
  <c r="AZ11" i="7" s="1"/>
  <c r="AP11" i="7"/>
  <c r="AY11" i="7" s="1"/>
  <c r="AO11" i="7"/>
  <c r="AX11" i="7" s="1"/>
  <c r="AN11" i="7"/>
  <c r="AW11" i="7" s="1"/>
  <c r="AI11" i="7"/>
  <c r="AH11" i="7"/>
  <c r="AG11" i="7"/>
  <c r="AF11" i="7"/>
  <c r="AE11" i="7"/>
  <c r="Z11" i="7"/>
  <c r="Y11" i="7"/>
  <c r="X11" i="7"/>
  <c r="W11" i="7"/>
  <c r="V11" i="7"/>
  <c r="Q11" i="7"/>
  <c r="P11" i="7"/>
  <c r="O11" i="7"/>
  <c r="N11" i="7"/>
  <c r="M11" i="7"/>
  <c r="AR10" i="7"/>
  <c r="BA10" i="7" s="1"/>
  <c r="AQ10" i="7"/>
  <c r="AZ10" i="7" s="1"/>
  <c r="AP10" i="7"/>
  <c r="AY10" i="7" s="1"/>
  <c r="AO10" i="7"/>
  <c r="AX10" i="7" s="1"/>
  <c r="AN10" i="7"/>
  <c r="AI10" i="7"/>
  <c r="AH10" i="7"/>
  <c r="AG10" i="7"/>
  <c r="AF10" i="7"/>
  <c r="AE10" i="7"/>
  <c r="Z10" i="7"/>
  <c r="Y10" i="7"/>
  <c r="X10" i="7"/>
  <c r="W10" i="7"/>
  <c r="V10" i="7"/>
  <c r="Q10" i="7"/>
  <c r="P10" i="7"/>
  <c r="O10" i="7"/>
  <c r="N10" i="7"/>
  <c r="M10" i="7"/>
  <c r="Q9" i="7"/>
  <c r="P9" i="7"/>
  <c r="AR52" i="7"/>
  <c r="AQ52" i="7"/>
  <c r="AP52" i="7"/>
  <c r="AO52" i="7"/>
  <c r="AN52" i="7"/>
  <c r="AI52" i="7"/>
  <c r="AH52" i="7"/>
  <c r="AG52" i="7"/>
  <c r="AF52" i="7"/>
  <c r="AE52" i="7"/>
  <c r="Z52" i="7"/>
  <c r="Y52" i="7"/>
  <c r="X52" i="7"/>
  <c r="W52" i="7"/>
  <c r="V52" i="7"/>
  <c r="Q52" i="7"/>
  <c r="P52" i="7"/>
  <c r="O52" i="7"/>
  <c r="N52" i="7"/>
  <c r="M52" i="7"/>
  <c r="AR38" i="7"/>
  <c r="AQ38" i="7"/>
  <c r="AP38" i="7"/>
  <c r="AO38" i="7"/>
  <c r="AN38" i="7"/>
  <c r="AR37" i="7"/>
  <c r="AQ37" i="7"/>
  <c r="AP37" i="7"/>
  <c r="AO37" i="7"/>
  <c r="AN37" i="7"/>
  <c r="AR36" i="7"/>
  <c r="AQ36" i="7"/>
  <c r="AP36" i="7"/>
  <c r="AO36" i="7"/>
  <c r="AN36" i="7"/>
  <c r="AR35" i="7"/>
  <c r="AQ35" i="7"/>
  <c r="AP35" i="7"/>
  <c r="AO35" i="7"/>
  <c r="AN35" i="7"/>
  <c r="AR34" i="7"/>
  <c r="AQ34" i="7"/>
  <c r="AP34" i="7"/>
  <c r="AO34" i="7"/>
  <c r="AN34" i="7"/>
  <c r="AR33" i="7"/>
  <c r="AQ33" i="7"/>
  <c r="AP33" i="7"/>
  <c r="AO33" i="7"/>
  <c r="AN33" i="7"/>
  <c r="AR32" i="7"/>
  <c r="AQ32" i="7"/>
  <c r="AP32" i="7"/>
  <c r="AO32" i="7"/>
  <c r="AN32" i="7"/>
  <c r="AR31" i="7"/>
  <c r="AQ31" i="7"/>
  <c r="AP31" i="7"/>
  <c r="AO31" i="7"/>
  <c r="AN31" i="7"/>
  <c r="AR30" i="7"/>
  <c r="AQ30" i="7"/>
  <c r="AP30" i="7"/>
  <c r="AO30" i="7"/>
  <c r="AN30" i="7"/>
  <c r="AR29" i="7"/>
  <c r="AQ29" i="7"/>
  <c r="AP29" i="7"/>
  <c r="AO29" i="7"/>
  <c r="AN29" i="7"/>
  <c r="AR28" i="7"/>
  <c r="AQ28" i="7"/>
  <c r="AP28" i="7"/>
  <c r="AO28" i="7"/>
  <c r="AN28" i="7"/>
  <c r="AR9" i="7"/>
  <c r="AQ9" i="7"/>
  <c r="AP9" i="7"/>
  <c r="AO9" i="7"/>
  <c r="AN9" i="7"/>
  <c r="AI38" i="7"/>
  <c r="AH38" i="7"/>
  <c r="AG38" i="7"/>
  <c r="AF38" i="7"/>
  <c r="AE38" i="7"/>
  <c r="AI37" i="7"/>
  <c r="AH37" i="7"/>
  <c r="AG37" i="7"/>
  <c r="AF37" i="7"/>
  <c r="AE37" i="7"/>
  <c r="AI36" i="7"/>
  <c r="AH36" i="7"/>
  <c r="AG36" i="7"/>
  <c r="AF36" i="7"/>
  <c r="AE36" i="7"/>
  <c r="AI35" i="7"/>
  <c r="AH35" i="7"/>
  <c r="AG35" i="7"/>
  <c r="AF35" i="7"/>
  <c r="AE35" i="7"/>
  <c r="AI34" i="7"/>
  <c r="AH34" i="7"/>
  <c r="AG34" i="7"/>
  <c r="AF34" i="7"/>
  <c r="AE34" i="7"/>
  <c r="AI33" i="7"/>
  <c r="AH33" i="7"/>
  <c r="AG33" i="7"/>
  <c r="AF33" i="7"/>
  <c r="AE33" i="7"/>
  <c r="AI32" i="7"/>
  <c r="AH32" i="7"/>
  <c r="AG32" i="7"/>
  <c r="AF32" i="7"/>
  <c r="AE32" i="7"/>
  <c r="AI31" i="7"/>
  <c r="AH31" i="7"/>
  <c r="AG31" i="7"/>
  <c r="AF31" i="7"/>
  <c r="AE31" i="7"/>
  <c r="AI30" i="7"/>
  <c r="AH30" i="7"/>
  <c r="AG30" i="7"/>
  <c r="AF30" i="7"/>
  <c r="AE30" i="7"/>
  <c r="AI29" i="7"/>
  <c r="AH29" i="7"/>
  <c r="AG29" i="7"/>
  <c r="AF29" i="7"/>
  <c r="AE29" i="7"/>
  <c r="AI28" i="7"/>
  <c r="AH28" i="7"/>
  <c r="AG28" i="7"/>
  <c r="AF28" i="7"/>
  <c r="AE28" i="7"/>
  <c r="AI9" i="7"/>
  <c r="AH9" i="7"/>
  <c r="AG9" i="7"/>
  <c r="AF9" i="7"/>
  <c r="AE9" i="7"/>
  <c r="Z38" i="7"/>
  <c r="Y38" i="7"/>
  <c r="X38" i="7"/>
  <c r="W38" i="7"/>
  <c r="V38" i="7"/>
  <c r="Z37" i="7"/>
  <c r="Y37" i="7"/>
  <c r="X37" i="7"/>
  <c r="W37" i="7"/>
  <c r="V37" i="7"/>
  <c r="Z36" i="7"/>
  <c r="Y36" i="7"/>
  <c r="X36" i="7"/>
  <c r="W36" i="7"/>
  <c r="V36" i="7"/>
  <c r="Z35" i="7"/>
  <c r="Y35" i="7"/>
  <c r="X35" i="7"/>
  <c r="W35" i="7"/>
  <c r="V35" i="7"/>
  <c r="Z34" i="7"/>
  <c r="Y34" i="7"/>
  <c r="X34" i="7"/>
  <c r="W34" i="7"/>
  <c r="V34" i="7"/>
  <c r="Z33" i="7"/>
  <c r="Y33" i="7"/>
  <c r="X33" i="7"/>
  <c r="W33" i="7"/>
  <c r="V33" i="7"/>
  <c r="Z32" i="7"/>
  <c r="Y32" i="7"/>
  <c r="X32" i="7"/>
  <c r="W32" i="7"/>
  <c r="V32" i="7"/>
  <c r="Z31" i="7"/>
  <c r="Y31" i="7"/>
  <c r="X31" i="7"/>
  <c r="W31" i="7"/>
  <c r="V31" i="7"/>
  <c r="Z30" i="7"/>
  <c r="Y30" i="7"/>
  <c r="X30" i="7"/>
  <c r="W30" i="7"/>
  <c r="V30" i="7"/>
  <c r="Z29" i="7"/>
  <c r="Y29" i="7"/>
  <c r="X29" i="7"/>
  <c r="W29" i="7"/>
  <c r="V29" i="7"/>
  <c r="Z28" i="7"/>
  <c r="Y28" i="7"/>
  <c r="X28" i="7"/>
  <c r="W28" i="7"/>
  <c r="V28" i="7"/>
  <c r="Z9" i="7"/>
  <c r="Y9" i="7"/>
  <c r="X9" i="7"/>
  <c r="W9" i="7"/>
  <c r="V9" i="7"/>
  <c r="Q38" i="7"/>
  <c r="P38" i="7"/>
  <c r="O38" i="7"/>
  <c r="N38" i="7"/>
  <c r="M38" i="7"/>
  <c r="Q37" i="7"/>
  <c r="P37" i="7"/>
  <c r="O37" i="7"/>
  <c r="N37" i="7"/>
  <c r="M37" i="7"/>
  <c r="Q36" i="7"/>
  <c r="P36" i="7"/>
  <c r="O36" i="7"/>
  <c r="N36" i="7"/>
  <c r="M36" i="7"/>
  <c r="Q35" i="7"/>
  <c r="P35" i="7"/>
  <c r="O35" i="7"/>
  <c r="N35" i="7"/>
  <c r="M35" i="7"/>
  <c r="Q34" i="7"/>
  <c r="P34" i="7"/>
  <c r="O34" i="7"/>
  <c r="N34" i="7"/>
  <c r="M34" i="7"/>
  <c r="Q33" i="7"/>
  <c r="P33" i="7"/>
  <c r="O33" i="7"/>
  <c r="N33" i="7"/>
  <c r="M33" i="7"/>
  <c r="Q32" i="7"/>
  <c r="P32" i="7"/>
  <c r="O32" i="7"/>
  <c r="N32" i="7"/>
  <c r="M32" i="7"/>
  <c r="Q31" i="7"/>
  <c r="P31" i="7"/>
  <c r="O31" i="7"/>
  <c r="N31" i="7"/>
  <c r="M31" i="7"/>
  <c r="Q30" i="7"/>
  <c r="P30" i="7"/>
  <c r="O30" i="7"/>
  <c r="N30" i="7"/>
  <c r="M30" i="7"/>
  <c r="Q29" i="7"/>
  <c r="P29" i="7"/>
  <c r="O29" i="7"/>
  <c r="N29" i="7"/>
  <c r="M29" i="7"/>
  <c r="Q28" i="7"/>
  <c r="P28" i="7"/>
  <c r="O28" i="7"/>
  <c r="N28" i="7"/>
  <c r="M28" i="7"/>
  <c r="O9" i="7"/>
  <c r="N9" i="7"/>
  <c r="M9" i="7"/>
  <c r="Y61" i="1"/>
  <c r="V61" i="1"/>
  <c r="S61" i="1"/>
  <c r="P61" i="1"/>
  <c r="M61" i="1"/>
  <c r="Y33" i="1"/>
  <c r="V33" i="1"/>
  <c r="S33" i="1"/>
  <c r="P33" i="1"/>
  <c r="M33" i="1"/>
  <c r="Y32" i="1"/>
  <c r="V32" i="1"/>
  <c r="S32" i="1"/>
  <c r="P32" i="1"/>
  <c r="M32" i="1"/>
  <c r="Y31" i="1"/>
  <c r="V31" i="1"/>
  <c r="S31" i="1"/>
  <c r="P31" i="1"/>
  <c r="M31" i="1"/>
  <c r="Y30" i="1"/>
  <c r="V30" i="1"/>
  <c r="S30" i="1"/>
  <c r="P30" i="1"/>
  <c r="M30" i="1"/>
  <c r="Y29" i="1"/>
  <c r="V29" i="1"/>
  <c r="S29" i="1"/>
  <c r="P29" i="1"/>
  <c r="M29" i="1"/>
  <c r="Y28" i="1"/>
  <c r="V28" i="1"/>
  <c r="S28" i="1"/>
  <c r="P28" i="1"/>
  <c r="M28" i="1"/>
  <c r="Y27" i="1"/>
  <c r="V27" i="1"/>
  <c r="S27" i="1"/>
  <c r="P27" i="1"/>
  <c r="M27" i="1"/>
  <c r="Y26" i="1"/>
  <c r="V26" i="1"/>
  <c r="S26" i="1"/>
  <c r="P26" i="1"/>
  <c r="M26" i="1"/>
  <c r="Y25" i="1"/>
  <c r="V25" i="1"/>
  <c r="S25" i="1"/>
  <c r="P25" i="1"/>
  <c r="M25" i="1"/>
  <c r="Y24" i="1"/>
  <c r="V24" i="1"/>
  <c r="S24" i="1"/>
  <c r="P24" i="1"/>
  <c r="M24" i="1"/>
  <c r="Y23" i="1"/>
  <c r="V23" i="1"/>
  <c r="S23" i="1"/>
  <c r="P23" i="1"/>
  <c r="M23" i="1"/>
  <c r="Y22" i="1"/>
  <c r="V22" i="1"/>
  <c r="S22" i="1"/>
  <c r="P22" i="1"/>
  <c r="M22" i="1"/>
  <c r="Y21" i="1"/>
  <c r="V21" i="1"/>
  <c r="S21" i="1"/>
  <c r="P21" i="1"/>
  <c r="M21" i="1"/>
  <c r="Y20" i="1"/>
  <c r="V20" i="1"/>
  <c r="S20" i="1"/>
  <c r="P20" i="1"/>
  <c r="M20" i="1"/>
  <c r="Y19" i="1"/>
  <c r="V19" i="1"/>
  <c r="S19" i="1"/>
  <c r="P19" i="1"/>
  <c r="M19" i="1"/>
  <c r="Y18" i="1"/>
  <c r="V18" i="1"/>
  <c r="S18" i="1"/>
  <c r="P18" i="1"/>
  <c r="M18" i="1"/>
  <c r="Y17" i="1"/>
  <c r="V17" i="1"/>
  <c r="S17" i="1"/>
  <c r="P17" i="1"/>
  <c r="M17" i="1"/>
  <c r="N17" i="1" s="1"/>
  <c r="Y16" i="1"/>
  <c r="V16" i="1"/>
  <c r="S16" i="1"/>
  <c r="P16" i="1"/>
  <c r="M16" i="1"/>
  <c r="Y15" i="1"/>
  <c r="V15" i="1"/>
  <c r="S15" i="1"/>
  <c r="P15" i="1"/>
  <c r="M15" i="1"/>
  <c r="J61" i="1"/>
  <c r="AS12" i="7" l="1"/>
  <c r="BB24" i="7"/>
  <c r="AJ23" i="7"/>
  <c r="R20" i="7"/>
  <c r="AJ16" i="7"/>
  <c r="AA10" i="7"/>
  <c r="AA14" i="7"/>
  <c r="AA21" i="7"/>
  <c r="R22" i="7"/>
  <c r="AS16" i="7"/>
  <c r="AJ24" i="7"/>
  <c r="AJ10" i="7"/>
  <c r="AJ14" i="7"/>
  <c r="AA15" i="7"/>
  <c r="AA22" i="7"/>
  <c r="AW16" i="7"/>
  <c r="BB16" i="7" s="1"/>
  <c r="AS24" i="7"/>
  <c r="AJ11" i="7"/>
  <c r="AS10" i="7"/>
  <c r="AJ15" i="7"/>
  <c r="AJ22" i="7"/>
  <c r="AA23" i="7"/>
  <c r="R14" i="7"/>
  <c r="R21" i="7"/>
  <c r="R12" i="7"/>
  <c r="AA13" i="7"/>
  <c r="R17" i="7"/>
  <c r="AA18" i="7"/>
  <c r="AJ19" i="7"/>
  <c r="AS20" i="7"/>
  <c r="R25" i="7"/>
  <c r="AA26" i="7"/>
  <c r="AJ27" i="7"/>
  <c r="BB17" i="7"/>
  <c r="BB25" i="7"/>
  <c r="BB23" i="7"/>
  <c r="BB15" i="7"/>
  <c r="AW10" i="7"/>
  <c r="BB10" i="7" s="1"/>
  <c r="AS14" i="7"/>
  <c r="R19" i="7"/>
  <c r="AA20" i="7"/>
  <c r="AJ21" i="7"/>
  <c r="AS22" i="7"/>
  <c r="R27" i="7"/>
  <c r="AA12" i="7"/>
  <c r="AJ13" i="7"/>
  <c r="R11" i="7"/>
  <c r="R16" i="7"/>
  <c r="AA17" i="7"/>
  <c r="AJ18" i="7"/>
  <c r="AW20" i="7"/>
  <c r="BB20" i="7" s="1"/>
  <c r="R24" i="7"/>
  <c r="AA25" i="7"/>
  <c r="AJ26" i="7"/>
  <c r="AW12" i="7"/>
  <c r="BB12" i="7" s="1"/>
  <c r="R13" i="7"/>
  <c r="BB14" i="7"/>
  <c r="R18" i="7"/>
  <c r="AA19" i="7"/>
  <c r="AJ20" i="7"/>
  <c r="BB22" i="7"/>
  <c r="R26" i="7"/>
  <c r="AA27" i="7"/>
  <c r="AJ12" i="7"/>
  <c r="R10" i="7"/>
  <c r="AA11" i="7"/>
  <c r="R15" i="7"/>
  <c r="AA16" i="7"/>
  <c r="AJ17" i="7"/>
  <c r="AS18" i="7"/>
  <c r="R23" i="7"/>
  <c r="AA24" i="7"/>
  <c r="AJ25" i="7"/>
  <c r="AS26" i="7"/>
  <c r="BB18" i="7"/>
  <c r="BB26" i="7"/>
  <c r="BB19" i="7"/>
  <c r="BB27" i="7"/>
  <c r="BB11" i="7"/>
  <c r="BB21" i="7"/>
  <c r="BB13" i="7"/>
  <c r="AS11" i="7"/>
  <c r="AS13" i="7"/>
  <c r="AS15" i="7"/>
  <c r="AS17" i="7"/>
  <c r="AS19" i="7"/>
  <c r="AS21" i="7"/>
  <c r="AS23" i="7"/>
  <c r="AS25" i="7"/>
  <c r="AS27" i="7"/>
  <c r="H33" i="1"/>
  <c r="H32" i="1"/>
  <c r="H31" i="1"/>
  <c r="H30" i="1"/>
  <c r="H29" i="1"/>
  <c r="H28" i="1"/>
  <c r="H27" i="1"/>
  <c r="H25" i="1"/>
  <c r="H23" i="1"/>
  <c r="H22" i="1"/>
  <c r="H20" i="1"/>
  <c r="H19" i="1"/>
  <c r="H17" i="1"/>
  <c r="H24" i="1" l="1"/>
  <c r="I12" i="1" l="1"/>
  <c r="L12" i="1" l="1"/>
  <c r="O12" i="1" l="1"/>
  <c r="AV46" i="7" l="1"/>
  <c r="BE46" i="7"/>
  <c r="AV47" i="7"/>
  <c r="BE47" i="7"/>
  <c r="AV48" i="7"/>
  <c r="BE48" i="7"/>
  <c r="R12" i="1" l="1"/>
  <c r="AA12" i="1" l="1"/>
  <c r="X12" i="1"/>
  <c r="U12" i="1"/>
  <c r="AM48" i="7" l="1"/>
  <c r="AD48" i="7"/>
  <c r="U48" i="7"/>
  <c r="AM47" i="7"/>
  <c r="AD47" i="7"/>
  <c r="U47" i="7"/>
  <c r="AM46" i="7"/>
  <c r="AD46" i="7"/>
  <c r="U46" i="7"/>
  <c r="V50" i="1" l="1"/>
  <c r="V51" i="1"/>
  <c r="M51" i="1"/>
  <c r="Y51" i="1"/>
  <c r="P51" i="1"/>
  <c r="M50" i="1"/>
  <c r="P50" i="1"/>
  <c r="S50" i="1"/>
  <c r="P52" i="1"/>
  <c r="Y50" i="1"/>
  <c r="S52" i="1"/>
  <c r="V52" i="1"/>
  <c r="S51" i="1"/>
  <c r="Y52" i="1"/>
  <c r="K54" i="1" l="1"/>
  <c r="J54" i="1"/>
  <c r="I54" i="1"/>
  <c r="O56" i="7" l="1"/>
  <c r="W8" i="1"/>
  <c r="AB33" i="1" l="1"/>
  <c r="L33" i="1"/>
  <c r="N33" i="1" s="1"/>
  <c r="AB32" i="1"/>
  <c r="L32" i="1"/>
  <c r="AB31" i="1"/>
  <c r="L31" i="1"/>
  <c r="N31" i="1" s="1"/>
  <c r="P54" i="1" l="1"/>
  <c r="V54" i="1"/>
  <c r="S54" i="1"/>
  <c r="Y54" i="1"/>
  <c r="N32" i="1"/>
  <c r="O32" i="1" l="1"/>
  <c r="Q32" i="1" s="1"/>
  <c r="S26" i="7" s="1"/>
  <c r="T26" i="7" s="1"/>
  <c r="O31" i="1"/>
  <c r="Q31" i="1" s="1"/>
  <c r="S25" i="7" s="1"/>
  <c r="T25" i="7" s="1"/>
  <c r="O33" i="1"/>
  <c r="AB28" i="1"/>
  <c r="AT28" i="1"/>
  <c r="AB26" i="1"/>
  <c r="AW25" i="1"/>
  <c r="AW23" i="1"/>
  <c r="AT22" i="1"/>
  <c r="AT20" i="1"/>
  <c r="C3" i="8"/>
  <c r="D3" i="8" s="1"/>
  <c r="E3" i="8" s="1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AH3" i="8" s="1"/>
  <c r="AI3" i="8" s="1"/>
  <c r="AJ3" i="8" s="1"/>
  <c r="AK3" i="8" s="1"/>
  <c r="AL3" i="8" s="1"/>
  <c r="AM3" i="8" s="1"/>
  <c r="AN3" i="8" s="1"/>
  <c r="AO3" i="8" s="1"/>
  <c r="AP3" i="8" s="1"/>
  <c r="AQ3" i="8" s="1"/>
  <c r="AR3" i="8" s="1"/>
  <c r="AS3" i="8" s="1"/>
  <c r="AT3" i="8" s="1"/>
  <c r="AU3" i="8" s="1"/>
  <c r="AV3" i="8" s="1"/>
  <c r="AW3" i="8" s="1"/>
  <c r="AX3" i="8" s="1"/>
  <c r="AY3" i="8" s="1"/>
  <c r="AZ3" i="8" s="1"/>
  <c r="BA3" i="8" s="1"/>
  <c r="BB3" i="8" s="1"/>
  <c r="BC3" i="8" s="1"/>
  <c r="BD3" i="8" s="1"/>
  <c r="BE3" i="8" s="1"/>
  <c r="BF3" i="8" s="1"/>
  <c r="BG3" i="8" s="1"/>
  <c r="BH3" i="8" s="1"/>
  <c r="BI3" i="8" s="1"/>
  <c r="BJ3" i="8" s="1"/>
  <c r="BK3" i="8" s="1"/>
  <c r="BL3" i="8" s="1"/>
  <c r="BM3" i="8" s="1"/>
  <c r="BN3" i="8" s="1"/>
  <c r="BO3" i="8" s="1"/>
  <c r="BP3" i="8" s="1"/>
  <c r="BQ3" i="8" s="1"/>
  <c r="B4" i="8"/>
  <c r="B8" i="8"/>
  <c r="C8" i="8"/>
  <c r="H8" i="8"/>
  <c r="B9" i="8"/>
  <c r="C9" i="8"/>
  <c r="H9" i="8"/>
  <c r="B10" i="8"/>
  <c r="C10" i="8"/>
  <c r="H10" i="8"/>
  <c r="B11" i="8"/>
  <c r="C11" i="8"/>
  <c r="H11" i="8"/>
  <c r="B12" i="8"/>
  <c r="C12" i="8"/>
  <c r="H12" i="8"/>
  <c r="B13" i="8"/>
  <c r="C13" i="8"/>
  <c r="H13" i="8"/>
  <c r="B14" i="8"/>
  <c r="C14" i="8"/>
  <c r="H14" i="8"/>
  <c r="B15" i="8"/>
  <c r="C15" i="8"/>
  <c r="H15" i="8"/>
  <c r="B16" i="8"/>
  <c r="C16" i="8"/>
  <c r="H16" i="8"/>
  <c r="B17" i="8"/>
  <c r="C17" i="8"/>
  <c r="D17" i="8"/>
  <c r="I17" i="8" s="1"/>
  <c r="E17" i="8"/>
  <c r="F17" i="8"/>
  <c r="G17" i="8"/>
  <c r="H17" i="8"/>
  <c r="J17" i="8"/>
  <c r="B18" i="8"/>
  <c r="C18" i="8"/>
  <c r="D18" i="8"/>
  <c r="E18" i="8"/>
  <c r="F18" i="8"/>
  <c r="G18" i="8"/>
  <c r="H18" i="8"/>
  <c r="J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D25" i="8"/>
  <c r="E25" i="8"/>
  <c r="F25" i="8"/>
  <c r="G25" i="8"/>
  <c r="H25" i="8"/>
  <c r="J25" i="8"/>
  <c r="B26" i="8"/>
  <c r="C26" i="8"/>
  <c r="H26" i="8"/>
  <c r="B27" i="8"/>
  <c r="C27" i="8"/>
  <c r="H27" i="8"/>
  <c r="B28" i="8"/>
  <c r="C28" i="8"/>
  <c r="H28" i="8"/>
  <c r="B29" i="8"/>
  <c r="C29" i="8"/>
  <c r="H29" i="8"/>
  <c r="B30" i="8"/>
  <c r="C30" i="8"/>
  <c r="H30" i="8"/>
  <c r="B31" i="8"/>
  <c r="C31" i="8"/>
  <c r="D31" i="8"/>
  <c r="E31" i="8"/>
  <c r="F31" i="8"/>
  <c r="G31" i="8"/>
  <c r="H31" i="8"/>
  <c r="J31" i="8"/>
  <c r="B32" i="8"/>
  <c r="C32" i="8"/>
  <c r="D32" i="8"/>
  <c r="E32" i="8"/>
  <c r="F32" i="8"/>
  <c r="G32" i="8"/>
  <c r="H32" i="8"/>
  <c r="J32" i="8"/>
  <c r="B33" i="8"/>
  <c r="C33" i="8"/>
  <c r="D33" i="8"/>
  <c r="E33" i="8"/>
  <c r="F33" i="8"/>
  <c r="G33" i="8"/>
  <c r="H33" i="8"/>
  <c r="J33" i="8"/>
  <c r="B34" i="8"/>
  <c r="C34" i="8"/>
  <c r="D34" i="8"/>
  <c r="E34" i="8"/>
  <c r="F34" i="8"/>
  <c r="G34" i="8"/>
  <c r="H34" i="8"/>
  <c r="J34" i="8"/>
  <c r="B35" i="8"/>
  <c r="C35" i="8"/>
  <c r="B36" i="8"/>
  <c r="C36" i="8"/>
  <c r="B37" i="8"/>
  <c r="C37" i="8"/>
  <c r="B38" i="8"/>
  <c r="C38" i="8"/>
  <c r="AI39" i="8"/>
  <c r="AI40" i="8"/>
  <c r="AI41" i="8"/>
  <c r="AR41" i="8"/>
  <c r="AI42" i="8"/>
  <c r="AR42" i="8"/>
  <c r="AI43" i="8"/>
  <c r="AR43" i="8"/>
  <c r="AI44" i="8"/>
  <c r="AR44" i="8"/>
  <c r="AI45" i="8"/>
  <c r="AR45" i="8"/>
  <c r="AI46" i="8"/>
  <c r="AR46" i="8"/>
  <c r="AI47" i="8"/>
  <c r="AR47" i="8"/>
  <c r="AI48" i="8"/>
  <c r="AR48" i="8"/>
  <c r="AI49" i="8"/>
  <c r="AR49" i="8"/>
  <c r="AI50" i="8"/>
  <c r="AR50" i="8"/>
  <c r="AI51" i="8"/>
  <c r="AR51" i="8"/>
  <c r="AI52" i="8"/>
  <c r="AR52" i="8"/>
  <c r="AI53" i="8"/>
  <c r="AR53" i="8"/>
  <c r="AI54" i="8"/>
  <c r="AR54" i="8"/>
  <c r="AI55" i="8"/>
  <c r="AR55" i="8"/>
  <c r="AI56" i="8"/>
  <c r="AR56" i="8"/>
  <c r="AI57" i="8"/>
  <c r="AR57" i="8"/>
  <c r="AI58" i="8"/>
  <c r="AR58" i="8"/>
  <c r="AI59" i="8"/>
  <c r="AR59" i="8"/>
  <c r="AI60" i="8"/>
  <c r="AR60" i="8"/>
  <c r="AI61" i="8"/>
  <c r="AR61" i="8"/>
  <c r="AI62" i="8"/>
  <c r="AR62" i="8"/>
  <c r="AI63" i="8"/>
  <c r="AR63" i="8"/>
  <c r="AI64" i="8"/>
  <c r="AR64" i="8"/>
  <c r="AI65" i="8"/>
  <c r="AR65" i="8"/>
  <c r="AI66" i="8"/>
  <c r="AR66" i="8"/>
  <c r="AI67" i="8"/>
  <c r="AR67" i="8"/>
  <c r="AI68" i="8"/>
  <c r="AR68" i="8"/>
  <c r="AI69" i="8"/>
  <c r="AR69" i="8"/>
  <c r="AI70" i="8"/>
  <c r="AR70" i="8"/>
  <c r="AI71" i="8"/>
  <c r="AR71" i="8"/>
  <c r="AI72" i="8"/>
  <c r="AR72" i="8"/>
  <c r="AI73" i="8"/>
  <c r="AR73" i="8"/>
  <c r="AI74" i="8"/>
  <c r="AR74" i="8"/>
  <c r="AI75" i="8"/>
  <c r="AR75" i="8"/>
  <c r="AI76" i="8"/>
  <c r="AR76" i="8"/>
  <c r="AI77" i="8"/>
  <c r="AR77" i="8"/>
  <c r="AI78" i="8"/>
  <c r="AR78" i="8"/>
  <c r="AI79" i="8"/>
  <c r="AR79" i="8"/>
  <c r="AI80" i="8"/>
  <c r="AR80" i="8"/>
  <c r="AI81" i="8"/>
  <c r="AR81" i="8"/>
  <c r="AI82" i="8"/>
  <c r="AR82" i="8"/>
  <c r="AI83" i="8"/>
  <c r="AR83" i="8"/>
  <c r="AI84" i="8"/>
  <c r="AR84" i="8"/>
  <c r="AI85" i="8"/>
  <c r="AR85" i="8"/>
  <c r="AI86" i="8"/>
  <c r="AR86" i="8"/>
  <c r="AI87" i="8"/>
  <c r="AR87" i="8"/>
  <c r="AI88" i="8"/>
  <c r="AR88" i="8"/>
  <c r="AI89" i="8"/>
  <c r="AR89" i="8"/>
  <c r="B90" i="8"/>
  <c r="D90" i="8"/>
  <c r="E90" i="8"/>
  <c r="E91" i="8" s="1"/>
  <c r="F90" i="8"/>
  <c r="F91" i="8" s="1"/>
  <c r="G90" i="8"/>
  <c r="G91" i="8" s="1"/>
  <c r="H90" i="8"/>
  <c r="H91" i="8" s="1"/>
  <c r="B91" i="8"/>
  <c r="B92" i="8"/>
  <c r="D92" i="8"/>
  <c r="E92" i="8"/>
  <c r="F92" i="8"/>
  <c r="G92" i="8"/>
  <c r="H92" i="8"/>
  <c r="J92" i="8"/>
  <c r="N93" i="8"/>
  <c r="Y93" i="8"/>
  <c r="AJ93" i="8"/>
  <c r="AU93" i="8"/>
  <c r="BQ93" i="8"/>
  <c r="Y94" i="8"/>
  <c r="AJ94" i="8"/>
  <c r="AU94" i="8"/>
  <c r="BQ94" i="8"/>
  <c r="B4" i="7"/>
  <c r="D5" i="7"/>
  <c r="D5" i="8" s="1"/>
  <c r="M5" i="7"/>
  <c r="V5" i="7"/>
  <c r="V3" i="7" s="1"/>
  <c r="AE5" i="7"/>
  <c r="AN5" i="7"/>
  <c r="AN3" i="7" s="1"/>
  <c r="AW5" i="7"/>
  <c r="BF7" i="7"/>
  <c r="BG7" i="7"/>
  <c r="BH7" i="7"/>
  <c r="BI7" i="7"/>
  <c r="BJ7" i="7"/>
  <c r="B8" i="7"/>
  <c r="F8" i="7" s="1"/>
  <c r="C8" i="7"/>
  <c r="BF8" i="7"/>
  <c r="BH8" i="7"/>
  <c r="BI8" i="7"/>
  <c r="BJ8" i="7"/>
  <c r="B9" i="7"/>
  <c r="C9" i="7"/>
  <c r="E9" i="7"/>
  <c r="E9" i="8" s="1"/>
  <c r="BF9" i="7"/>
  <c r="BK9" i="7"/>
  <c r="B10" i="7"/>
  <c r="C10" i="7"/>
  <c r="BF10" i="7"/>
  <c r="BK10" i="7"/>
  <c r="BK13" i="7" s="1"/>
  <c r="B11" i="7"/>
  <c r="C11" i="7"/>
  <c r="BF11" i="7"/>
  <c r="B12" i="7"/>
  <c r="C12" i="7"/>
  <c r="BF12" i="7"/>
  <c r="B13" i="7"/>
  <c r="G13" i="7" s="1"/>
  <c r="G13" i="8" s="1"/>
  <c r="C13" i="7"/>
  <c r="BF13" i="7"/>
  <c r="B14" i="7"/>
  <c r="C14" i="7"/>
  <c r="BF14" i="7"/>
  <c r="B15" i="7"/>
  <c r="G15" i="7" s="1"/>
  <c r="G15" i="8" s="1"/>
  <c r="C15" i="7"/>
  <c r="BF15" i="7"/>
  <c r="B16" i="7"/>
  <c r="C16" i="7"/>
  <c r="BF16" i="7"/>
  <c r="B17" i="7"/>
  <c r="C17" i="7"/>
  <c r="I17" i="7"/>
  <c r="BF17" i="7"/>
  <c r="B18" i="7"/>
  <c r="C18" i="7"/>
  <c r="BF18" i="7"/>
  <c r="BK18" i="7"/>
  <c r="B19" i="7"/>
  <c r="C19" i="7"/>
  <c r="BF19" i="7"/>
  <c r="B20" i="7"/>
  <c r="C20" i="7"/>
  <c r="BF20" i="7"/>
  <c r="B21" i="7"/>
  <c r="C21" i="7"/>
  <c r="BF21" i="7"/>
  <c r="B22" i="7"/>
  <c r="C22" i="7"/>
  <c r="BF22" i="7"/>
  <c r="B23" i="7"/>
  <c r="C23" i="7"/>
  <c r="BF23" i="7"/>
  <c r="BK23" i="7"/>
  <c r="B24" i="7"/>
  <c r="C24" i="7"/>
  <c r="BF24" i="7"/>
  <c r="BK24" i="7"/>
  <c r="BK25" i="7" s="1"/>
  <c r="BK27" i="7" s="1"/>
  <c r="BK28" i="7" s="1"/>
  <c r="B25" i="7"/>
  <c r="C25" i="7"/>
  <c r="BF25" i="7"/>
  <c r="B26" i="7"/>
  <c r="C26" i="7"/>
  <c r="BF26" i="7"/>
  <c r="BK26" i="7"/>
  <c r="B27" i="7"/>
  <c r="C27" i="7"/>
  <c r="BF27" i="7"/>
  <c r="B28" i="7"/>
  <c r="C28" i="7"/>
  <c r="BF28" i="7"/>
  <c r="B29" i="7"/>
  <c r="C29" i="7"/>
  <c r="BF29" i="7"/>
  <c r="B30" i="7"/>
  <c r="C30" i="7"/>
  <c r="BF30" i="7"/>
  <c r="B31" i="7"/>
  <c r="C31" i="7"/>
  <c r="I31" i="7"/>
  <c r="BF31" i="7"/>
  <c r="B32" i="7"/>
  <c r="C32" i="7"/>
  <c r="BF32" i="7"/>
  <c r="B33" i="7"/>
  <c r="C33" i="7"/>
  <c r="BF33" i="7"/>
  <c r="B34" i="7"/>
  <c r="C34" i="7"/>
  <c r="BF34" i="7"/>
  <c r="B35" i="7"/>
  <c r="C35" i="7"/>
  <c r="BF35" i="7"/>
  <c r="B36" i="7"/>
  <c r="C36" i="7"/>
  <c r="BF36" i="7"/>
  <c r="B37" i="7"/>
  <c r="C37" i="7"/>
  <c r="BF37" i="7"/>
  <c r="B38" i="7"/>
  <c r="C38" i="7"/>
  <c r="BF38" i="7"/>
  <c r="AW39" i="7"/>
  <c r="AX39" i="7"/>
  <c r="AY39" i="7"/>
  <c r="AZ39" i="7"/>
  <c r="BA39" i="7"/>
  <c r="AW40" i="7"/>
  <c r="AX40" i="7"/>
  <c r="AY40" i="7"/>
  <c r="AZ40" i="7"/>
  <c r="BA40" i="7"/>
  <c r="AW41" i="7"/>
  <c r="AX41" i="7"/>
  <c r="AY41" i="7"/>
  <c r="AZ41" i="7"/>
  <c r="BA41" i="7"/>
  <c r="AW42" i="7"/>
  <c r="AX42" i="7"/>
  <c r="AY42" i="7"/>
  <c r="AZ42" i="7"/>
  <c r="BA42" i="7"/>
  <c r="AW43" i="7"/>
  <c r="AX43" i="7"/>
  <c r="AY43" i="7"/>
  <c r="AZ43" i="7"/>
  <c r="BA43" i="7"/>
  <c r="AW44" i="7"/>
  <c r="AX44" i="7"/>
  <c r="AY44" i="7"/>
  <c r="AZ44" i="7"/>
  <c r="BA44" i="7"/>
  <c r="AW45" i="7"/>
  <c r="AX45" i="7"/>
  <c r="AY45" i="7"/>
  <c r="AZ45" i="7"/>
  <c r="BA45" i="7"/>
  <c r="B46" i="7"/>
  <c r="C46" i="7"/>
  <c r="C90" i="8" s="1"/>
  <c r="B47" i="7"/>
  <c r="C47" i="7"/>
  <c r="C91" i="8" s="1"/>
  <c r="B48" i="7"/>
  <c r="C48" i="7"/>
  <c r="C92" i="8" s="1"/>
  <c r="H49" i="7"/>
  <c r="L49" i="7"/>
  <c r="U49" i="7"/>
  <c r="AD49" i="7"/>
  <c r="AM49" i="7"/>
  <c r="AV49" i="7"/>
  <c r="BE49" i="7"/>
  <c r="D50" i="7"/>
  <c r="E50" i="7"/>
  <c r="F50" i="7"/>
  <c r="G50" i="7"/>
  <c r="H50" i="7"/>
  <c r="I50" i="7"/>
  <c r="J50" i="7"/>
  <c r="K50" i="7"/>
  <c r="AW52" i="7"/>
  <c r="AX52" i="7"/>
  <c r="AY52" i="7"/>
  <c r="AZ52" i="7"/>
  <c r="C10" i="6"/>
  <c r="J11" i="6"/>
  <c r="J12" i="6" s="1"/>
  <c r="J75" i="6" s="1"/>
  <c r="AG75" i="6" s="1"/>
  <c r="M11" i="6"/>
  <c r="AJ11" i="6" s="1"/>
  <c r="P11" i="6"/>
  <c r="P12" i="6" s="1"/>
  <c r="AM12" i="6" s="1"/>
  <c r="S11" i="6"/>
  <c r="S74" i="6" s="1"/>
  <c r="V11" i="6"/>
  <c r="AS11" i="6" s="1"/>
  <c r="Y11" i="6"/>
  <c r="AV11" i="6" s="1"/>
  <c r="AB11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D14" i="6"/>
  <c r="D77" i="6" s="1"/>
  <c r="E14" i="6"/>
  <c r="E77" i="6" s="1"/>
  <c r="H14" i="6"/>
  <c r="I14" i="6"/>
  <c r="AD77" i="6" s="1"/>
  <c r="BH77" i="6" s="1"/>
  <c r="J14" i="6"/>
  <c r="AG14" i="6" s="1"/>
  <c r="K14" i="6"/>
  <c r="L14" i="6"/>
  <c r="AI14" i="6" s="1"/>
  <c r="M14" i="6"/>
  <c r="AJ14" i="6" s="1"/>
  <c r="N14" i="6"/>
  <c r="O14" i="6"/>
  <c r="P14" i="6"/>
  <c r="AM14" i="6" s="1"/>
  <c r="Q14" i="6"/>
  <c r="AQ14" i="6" s="1"/>
  <c r="R14" i="6"/>
  <c r="S14" i="6"/>
  <c r="AP14" i="6" s="1"/>
  <c r="T14" i="6"/>
  <c r="U14" i="6"/>
  <c r="AR14" i="6" s="1"/>
  <c r="V14" i="6"/>
  <c r="W14" i="6"/>
  <c r="AW14" i="6" s="1"/>
  <c r="X14" i="6"/>
  <c r="BF14" i="6" s="1"/>
  <c r="BF56" i="6" s="1"/>
  <c r="Y14" i="6"/>
  <c r="AV14" i="6" s="1"/>
  <c r="Z14" i="6"/>
  <c r="AA14" i="6"/>
  <c r="BG14" i="6" s="1"/>
  <c r="BG56" i="6" s="1"/>
  <c r="AB14" i="6"/>
  <c r="AY14" i="6" s="1"/>
  <c r="AC14" i="6"/>
  <c r="AD14" i="6"/>
  <c r="BA14" i="6" s="1"/>
  <c r="AE14" i="6"/>
  <c r="D15" i="6"/>
  <c r="E15" i="6"/>
  <c r="E78" i="6" s="1"/>
  <c r="H15" i="6"/>
  <c r="H78" i="6" s="1"/>
  <c r="I15" i="6"/>
  <c r="J15" i="6"/>
  <c r="K15" i="6"/>
  <c r="AH15" i="6" s="1"/>
  <c r="L15" i="6"/>
  <c r="AI15" i="6" s="1"/>
  <c r="M15" i="6"/>
  <c r="AJ15" i="6" s="1"/>
  <c r="N15" i="6"/>
  <c r="AN15" i="6" s="1"/>
  <c r="O15" i="6"/>
  <c r="AL15" i="6" s="1"/>
  <c r="P15" i="6"/>
  <c r="AM15" i="6" s="1"/>
  <c r="Q15" i="6"/>
  <c r="AQ15" i="6" s="1"/>
  <c r="R15" i="6"/>
  <c r="S15" i="6"/>
  <c r="T15" i="6"/>
  <c r="AT15" i="6" s="1"/>
  <c r="U15" i="6"/>
  <c r="V15" i="6"/>
  <c r="AS15" i="6" s="1"/>
  <c r="W15" i="6"/>
  <c r="AW15" i="6" s="1"/>
  <c r="X15" i="6"/>
  <c r="Y15" i="6"/>
  <c r="AV15" i="6" s="1"/>
  <c r="Z15" i="6"/>
  <c r="AZ15" i="6" s="1"/>
  <c r="AA15" i="6"/>
  <c r="AB15" i="6"/>
  <c r="AY15" i="6" s="1"/>
  <c r="AC15" i="6"/>
  <c r="AD15" i="6"/>
  <c r="AE15" i="6"/>
  <c r="AF15" i="6"/>
  <c r="BC15" i="6"/>
  <c r="BI15" i="6"/>
  <c r="BI16" i="6" s="1"/>
  <c r="BI17" i="6" s="1"/>
  <c r="BI18" i="6" s="1"/>
  <c r="BI19" i="6" s="1"/>
  <c r="BI20" i="6" s="1"/>
  <c r="BI22" i="6" s="1"/>
  <c r="BI24" i="6" s="1"/>
  <c r="BI26" i="6" s="1"/>
  <c r="D16" i="6"/>
  <c r="D79" i="6" s="1"/>
  <c r="E16" i="6"/>
  <c r="E79" i="6" s="1"/>
  <c r="H16" i="6"/>
  <c r="J79" i="6" s="1"/>
  <c r="I16" i="6"/>
  <c r="U79" i="6" s="1"/>
  <c r="BE79" i="6" s="1"/>
  <c r="J16" i="6"/>
  <c r="AG16" i="6" s="1"/>
  <c r="K16" i="6"/>
  <c r="AH16" i="6" s="1"/>
  <c r="L16" i="6"/>
  <c r="M16" i="6"/>
  <c r="N16" i="6"/>
  <c r="AN16" i="6" s="1"/>
  <c r="O16" i="6"/>
  <c r="AL16" i="6" s="1"/>
  <c r="P16" i="6"/>
  <c r="Q16" i="6"/>
  <c r="R16" i="6"/>
  <c r="AO16" i="6" s="1"/>
  <c r="S16" i="6"/>
  <c r="AP16" i="6"/>
  <c r="T16" i="6"/>
  <c r="AT16" i="6" s="1"/>
  <c r="U16" i="6"/>
  <c r="BE16" i="6" s="1"/>
  <c r="V16" i="6"/>
  <c r="AS16" i="6" s="1"/>
  <c r="W16" i="6"/>
  <c r="X16" i="6"/>
  <c r="BF16" i="6"/>
  <c r="Y16" i="6"/>
  <c r="Z16" i="6"/>
  <c r="AZ16" i="6" s="1"/>
  <c r="AA16" i="6"/>
  <c r="AX16" i="6" s="1"/>
  <c r="AB16" i="6"/>
  <c r="AC16" i="6"/>
  <c r="AD16" i="6"/>
  <c r="BH16" i="6" s="1"/>
  <c r="AE16" i="6"/>
  <c r="AF16" i="6"/>
  <c r="AF17" i="6" s="1"/>
  <c r="AF18" i="6" s="1"/>
  <c r="AF19" i="6" s="1"/>
  <c r="AF20" i="6" s="1"/>
  <c r="AF21" i="6" s="1"/>
  <c r="AF22" i="6" s="1"/>
  <c r="AF23" i="6" s="1"/>
  <c r="AF24" i="6" s="1"/>
  <c r="AF25" i="6" s="1"/>
  <c r="AF26" i="6" s="1"/>
  <c r="AF27" i="6" s="1"/>
  <c r="AF28" i="6" s="1"/>
  <c r="AF29" i="6" s="1"/>
  <c r="AF30" i="6" s="1"/>
  <c r="AF31" i="6" s="1"/>
  <c r="AF32" i="6" s="1"/>
  <c r="AF33" i="6" s="1"/>
  <c r="AF34" i="6" s="1"/>
  <c r="AF35" i="6" s="1"/>
  <c r="AF36" i="6" s="1"/>
  <c r="AF37" i="6" s="1"/>
  <c r="AF38" i="6" s="1"/>
  <c r="AF39" i="6" s="1"/>
  <c r="AF40" i="6" s="1"/>
  <c r="AF41" i="6" s="1"/>
  <c r="AF42" i="6" s="1"/>
  <c r="AF43" i="6" s="1"/>
  <c r="AF44" i="6" s="1"/>
  <c r="AF45" i="6" s="1"/>
  <c r="AF46" i="6" s="1"/>
  <c r="AF47" i="6" s="1"/>
  <c r="AF48" i="6" s="1"/>
  <c r="AF49" i="6" s="1"/>
  <c r="AF50" i="6" s="1"/>
  <c r="AF51" i="6" s="1"/>
  <c r="AF52" i="6" s="1"/>
  <c r="AF53" i="6" s="1"/>
  <c r="AF54" i="6" s="1"/>
  <c r="AM16" i="6"/>
  <c r="AY16" i="6"/>
  <c r="BC16" i="6"/>
  <c r="D17" i="6"/>
  <c r="E17" i="6"/>
  <c r="E80" i="6" s="1"/>
  <c r="H17" i="6"/>
  <c r="H80" i="6" s="1"/>
  <c r="I17" i="6"/>
  <c r="J17" i="6"/>
  <c r="K17" i="6"/>
  <c r="AH17" i="6" s="1"/>
  <c r="L17" i="6"/>
  <c r="AI17" i="6" s="1"/>
  <c r="M17" i="6"/>
  <c r="AJ17" i="6" s="1"/>
  <c r="N17" i="6"/>
  <c r="AN17" i="6"/>
  <c r="O17" i="6"/>
  <c r="AL17" i="6" s="1"/>
  <c r="P17" i="6"/>
  <c r="Q17" i="6"/>
  <c r="AQ17" i="6" s="1"/>
  <c r="R17" i="6"/>
  <c r="BD17" i="6" s="1"/>
  <c r="S17" i="6"/>
  <c r="T17" i="6"/>
  <c r="AT17" i="6"/>
  <c r="U17" i="6"/>
  <c r="V17" i="6"/>
  <c r="AS17" i="6" s="1"/>
  <c r="W17" i="6"/>
  <c r="AW17" i="6" s="1"/>
  <c r="X17" i="6"/>
  <c r="BF17" i="6" s="1"/>
  <c r="Y17" i="6"/>
  <c r="AV17" i="6" s="1"/>
  <c r="Z17" i="6"/>
  <c r="AZ17" i="6" s="1"/>
  <c r="AA17" i="6"/>
  <c r="AX17" i="6" s="1"/>
  <c r="AB17" i="6"/>
  <c r="AC17" i="6"/>
  <c r="AD17" i="6"/>
  <c r="BA17" i="6" s="1"/>
  <c r="AE17" i="6"/>
  <c r="AE80" i="6" s="1"/>
  <c r="AG17" i="6"/>
  <c r="D18" i="6"/>
  <c r="D81" i="6" s="1"/>
  <c r="E18" i="6"/>
  <c r="E81" i="6" s="1"/>
  <c r="H18" i="6"/>
  <c r="K81" i="6" s="1"/>
  <c r="AK81" i="6" s="1"/>
  <c r="I18" i="6"/>
  <c r="Z81" i="6" s="1"/>
  <c r="J18" i="6"/>
  <c r="K18" i="6"/>
  <c r="AH18" i="6" s="1"/>
  <c r="L18" i="6"/>
  <c r="AI18" i="6" s="1"/>
  <c r="M18" i="6"/>
  <c r="AJ18" i="6" s="1"/>
  <c r="N18" i="6"/>
  <c r="AN18" i="6" s="1"/>
  <c r="O18" i="6"/>
  <c r="AL18" i="6" s="1"/>
  <c r="P18" i="6"/>
  <c r="AM18" i="6" s="1"/>
  <c r="Q18" i="6"/>
  <c r="AQ18" i="6" s="1"/>
  <c r="R18" i="6"/>
  <c r="BD18" i="6" s="1"/>
  <c r="S18" i="6"/>
  <c r="AP18" i="6" s="1"/>
  <c r="T18" i="6"/>
  <c r="AT18" i="6" s="1"/>
  <c r="U18" i="6"/>
  <c r="BE18" i="6" s="1"/>
  <c r="V18" i="6"/>
  <c r="AS18" i="6" s="1"/>
  <c r="W18" i="6"/>
  <c r="X18" i="6"/>
  <c r="AU18" i="6" s="1"/>
  <c r="Y18" i="6"/>
  <c r="AV18" i="6" s="1"/>
  <c r="Z18" i="6"/>
  <c r="AZ18" i="6" s="1"/>
  <c r="AA18" i="6"/>
  <c r="AX18" i="6" s="1"/>
  <c r="AB18" i="6"/>
  <c r="AY18" i="6"/>
  <c r="AC18" i="6"/>
  <c r="AD18" i="6"/>
  <c r="AE18" i="6"/>
  <c r="AO18" i="6"/>
  <c r="D19" i="6"/>
  <c r="D82" i="6" s="1"/>
  <c r="E19" i="6"/>
  <c r="E82" i="6" s="1"/>
  <c r="H19" i="6"/>
  <c r="H82" i="6" s="1"/>
  <c r="I19" i="6"/>
  <c r="V82" i="6" s="1"/>
  <c r="J19" i="6"/>
  <c r="AG19" i="6"/>
  <c r="K19" i="6"/>
  <c r="L19" i="6"/>
  <c r="M19" i="6"/>
  <c r="N19" i="6"/>
  <c r="AN19" i="6" s="1"/>
  <c r="O19" i="6"/>
  <c r="P19" i="6"/>
  <c r="AM19" i="6" s="1"/>
  <c r="Q19" i="6"/>
  <c r="AQ19" i="6" s="1"/>
  <c r="R19" i="6"/>
  <c r="S19" i="6"/>
  <c r="AP19" i="6" s="1"/>
  <c r="T19" i="6"/>
  <c r="AT19" i="6" s="1"/>
  <c r="U19" i="6"/>
  <c r="V19" i="6"/>
  <c r="AS19" i="6" s="1"/>
  <c r="W19" i="6"/>
  <c r="AW19" i="6" s="1"/>
  <c r="X19" i="6"/>
  <c r="AU19" i="6" s="1"/>
  <c r="Y19" i="6"/>
  <c r="AV19" i="6" s="1"/>
  <c r="Z19" i="6"/>
  <c r="AA19" i="6"/>
  <c r="BG19" i="6" s="1"/>
  <c r="AB19" i="6"/>
  <c r="AY19" i="6" s="1"/>
  <c r="AC19" i="6"/>
  <c r="AD19" i="6"/>
  <c r="BA19" i="6" s="1"/>
  <c r="AE19" i="6"/>
  <c r="D20" i="6"/>
  <c r="D83" i="6" s="1"/>
  <c r="E20" i="6"/>
  <c r="E83" i="6" s="1"/>
  <c r="H20" i="6"/>
  <c r="I20" i="6"/>
  <c r="R83" i="6" s="1"/>
  <c r="J20" i="6"/>
  <c r="AG20" i="6" s="1"/>
  <c r="K20" i="6"/>
  <c r="AK20" i="6" s="1"/>
  <c r="L20" i="6"/>
  <c r="AI20" i="6" s="1"/>
  <c r="M20" i="6"/>
  <c r="N20" i="6"/>
  <c r="O20" i="6"/>
  <c r="AL20" i="6" s="1"/>
  <c r="P20" i="6"/>
  <c r="Q20" i="6"/>
  <c r="AQ20" i="6" s="1"/>
  <c r="R20" i="6"/>
  <c r="AO20" i="6" s="1"/>
  <c r="S20" i="6"/>
  <c r="AP20" i="6" s="1"/>
  <c r="T20" i="6"/>
  <c r="AT20" i="6" s="1"/>
  <c r="U20" i="6"/>
  <c r="V20" i="6"/>
  <c r="AS20" i="6" s="1"/>
  <c r="W20" i="6"/>
  <c r="AW20" i="6" s="1"/>
  <c r="X20" i="6"/>
  <c r="Y20" i="6"/>
  <c r="AV20" i="6" s="1"/>
  <c r="Z20" i="6"/>
  <c r="AZ20" i="6" s="1"/>
  <c r="AA20" i="6"/>
  <c r="AX20" i="6" s="1"/>
  <c r="AB20" i="6"/>
  <c r="AC20" i="6"/>
  <c r="AD20" i="6"/>
  <c r="BH20" i="6" s="1"/>
  <c r="BA20" i="6"/>
  <c r="AE20" i="6"/>
  <c r="D21" i="6"/>
  <c r="D84" i="6" s="1"/>
  <c r="E21" i="6"/>
  <c r="E84" i="6" s="1"/>
  <c r="H21" i="6"/>
  <c r="I21" i="6"/>
  <c r="M84" i="6" s="1"/>
  <c r="J21" i="6"/>
  <c r="AG21" i="6" s="1"/>
  <c r="K21" i="6"/>
  <c r="K55" i="6" s="1"/>
  <c r="L21" i="6"/>
  <c r="M21" i="6"/>
  <c r="AJ21" i="6" s="1"/>
  <c r="N21" i="6"/>
  <c r="AN21" i="6" s="1"/>
  <c r="O21" i="6"/>
  <c r="AL21" i="6" s="1"/>
  <c r="P21" i="6"/>
  <c r="AM21" i="6" s="1"/>
  <c r="Q21" i="6"/>
  <c r="R21" i="6"/>
  <c r="AO21" i="6" s="1"/>
  <c r="S21" i="6"/>
  <c r="T21" i="6"/>
  <c r="U21" i="6"/>
  <c r="V21" i="6"/>
  <c r="W21" i="6"/>
  <c r="X21" i="6"/>
  <c r="BF21" i="6" s="1"/>
  <c r="Y21" i="6"/>
  <c r="Y84" i="6" s="1"/>
  <c r="Z21" i="6"/>
  <c r="Z55" i="6" s="1"/>
  <c r="Z60" i="6" s="1"/>
  <c r="AZ21" i="6"/>
  <c r="AA21" i="6"/>
  <c r="BG21" i="6" s="1"/>
  <c r="AB21" i="6"/>
  <c r="AB55" i="6" s="1"/>
  <c r="AC21" i="6"/>
  <c r="AD21" i="6"/>
  <c r="BH21" i="6" s="1"/>
  <c r="AE21" i="6"/>
  <c r="AP21" i="6"/>
  <c r="BA21" i="6"/>
  <c r="BD21" i="6"/>
  <c r="D22" i="6"/>
  <c r="D85" i="6" s="1"/>
  <c r="E22" i="6"/>
  <c r="E85" i="6" s="1"/>
  <c r="H22" i="6"/>
  <c r="H23" i="6" s="1"/>
  <c r="I22" i="6"/>
  <c r="I23" i="6" s="1"/>
  <c r="W86" i="6" s="1"/>
  <c r="AW86" i="6" s="1"/>
  <c r="J22" i="6"/>
  <c r="AG22" i="6" s="1"/>
  <c r="K22" i="6"/>
  <c r="AH22" i="6" s="1"/>
  <c r="L22" i="6"/>
  <c r="M22" i="6"/>
  <c r="AJ22" i="6" s="1"/>
  <c r="N22" i="6"/>
  <c r="O22" i="6"/>
  <c r="P22" i="6"/>
  <c r="Q22" i="6"/>
  <c r="AQ22" i="6" s="1"/>
  <c r="R22" i="6"/>
  <c r="BD22" i="6" s="1"/>
  <c r="S22" i="6"/>
  <c r="AP22" i="6" s="1"/>
  <c r="T22" i="6"/>
  <c r="AT22" i="6" s="1"/>
  <c r="U22" i="6"/>
  <c r="AR22" i="6" s="1"/>
  <c r="V22" i="6"/>
  <c r="AS22" i="6" s="1"/>
  <c r="W22" i="6"/>
  <c r="AW22" i="6" s="1"/>
  <c r="X22" i="6"/>
  <c r="Y22" i="6"/>
  <c r="AV22" i="6" s="1"/>
  <c r="Z22" i="6"/>
  <c r="AZ22" i="6" s="1"/>
  <c r="AA22" i="6"/>
  <c r="AB22" i="6"/>
  <c r="AY22" i="6" s="1"/>
  <c r="AC22" i="6"/>
  <c r="AD22" i="6"/>
  <c r="BA22" i="6" s="1"/>
  <c r="AE22" i="6"/>
  <c r="AK22" i="6"/>
  <c r="AO22" i="6"/>
  <c r="D23" i="6"/>
  <c r="D86" i="6" s="1"/>
  <c r="E23" i="6"/>
  <c r="E86" i="6" s="1"/>
  <c r="J23" i="6"/>
  <c r="AG23" i="6" s="1"/>
  <c r="K23" i="6"/>
  <c r="L23" i="6"/>
  <c r="AI23" i="6" s="1"/>
  <c r="M23" i="6"/>
  <c r="AJ23" i="6" s="1"/>
  <c r="N23" i="6"/>
  <c r="AN23" i="6" s="1"/>
  <c r="O23" i="6"/>
  <c r="P23" i="6"/>
  <c r="AM23" i="6" s="1"/>
  <c r="Q23" i="6"/>
  <c r="AQ23" i="6" s="1"/>
  <c r="R23" i="6"/>
  <c r="S23" i="6"/>
  <c r="AP23" i="6" s="1"/>
  <c r="T23" i="6"/>
  <c r="AT23" i="6" s="1"/>
  <c r="U23" i="6"/>
  <c r="AR23" i="6" s="1"/>
  <c r="V23" i="6"/>
  <c r="AS23" i="6" s="1"/>
  <c r="W23" i="6"/>
  <c r="AW23" i="6" s="1"/>
  <c r="X23" i="6"/>
  <c r="BF23" i="6" s="1"/>
  <c r="Y23" i="6"/>
  <c r="AV23" i="6" s="1"/>
  <c r="Z23" i="6"/>
  <c r="AZ23" i="6" s="1"/>
  <c r="AA23" i="6"/>
  <c r="BG23" i="6" s="1"/>
  <c r="AB23" i="6"/>
  <c r="AY23" i="6" s="1"/>
  <c r="AC23" i="6"/>
  <c r="AD23" i="6"/>
  <c r="BH23" i="6" s="1"/>
  <c r="AE23" i="6"/>
  <c r="AK23" i="6"/>
  <c r="D24" i="6"/>
  <c r="D87" i="6" s="1"/>
  <c r="E24" i="6"/>
  <c r="E87" i="6" s="1"/>
  <c r="H24" i="6"/>
  <c r="AE87" i="6" s="1"/>
  <c r="I24" i="6"/>
  <c r="I87" i="6" s="1"/>
  <c r="J24" i="6"/>
  <c r="K24" i="6"/>
  <c r="L24" i="6"/>
  <c r="M24" i="6"/>
  <c r="AJ24" i="6" s="1"/>
  <c r="N24" i="6"/>
  <c r="AN24" i="6" s="1"/>
  <c r="O24" i="6"/>
  <c r="BC24" i="6" s="1"/>
  <c r="P24" i="6"/>
  <c r="AM24" i="6"/>
  <c r="Q24" i="6"/>
  <c r="R24" i="6"/>
  <c r="S24" i="6"/>
  <c r="AP24" i="6"/>
  <c r="T24" i="6"/>
  <c r="AT24" i="6" s="1"/>
  <c r="U24" i="6"/>
  <c r="AR24" i="6" s="1"/>
  <c r="V24" i="6"/>
  <c r="AS24" i="6" s="1"/>
  <c r="W24" i="6"/>
  <c r="AW24" i="6" s="1"/>
  <c r="X24" i="6"/>
  <c r="Y24" i="6"/>
  <c r="AV24" i="6" s="1"/>
  <c r="Z24" i="6"/>
  <c r="AA24" i="6"/>
  <c r="AB24" i="6"/>
  <c r="AY24" i="6" s="1"/>
  <c r="AC24" i="6"/>
  <c r="AD24" i="6"/>
  <c r="BA24" i="6" s="1"/>
  <c r="AE24" i="6"/>
  <c r="AZ24" i="6"/>
  <c r="E25" i="6"/>
  <c r="E88" i="6" s="1"/>
  <c r="H25" i="6"/>
  <c r="I25" i="6"/>
  <c r="Y88" i="6" s="1"/>
  <c r="J25" i="6"/>
  <c r="AG25" i="6" s="1"/>
  <c r="K25" i="6"/>
  <c r="AH25" i="6" s="1"/>
  <c r="L25" i="6"/>
  <c r="AI25" i="6" s="1"/>
  <c r="M25" i="6"/>
  <c r="N25" i="6"/>
  <c r="AN25" i="6" s="1"/>
  <c r="AN55" i="6" s="1"/>
  <c r="O25" i="6"/>
  <c r="BC25" i="6" s="1"/>
  <c r="P25" i="6"/>
  <c r="Q25" i="6"/>
  <c r="AQ25" i="6" s="1"/>
  <c r="AQ55" i="6" s="1"/>
  <c r="R25" i="6"/>
  <c r="AO25" i="6" s="1"/>
  <c r="AO55" i="6" s="1"/>
  <c r="S25" i="6"/>
  <c r="T25" i="6"/>
  <c r="U25" i="6"/>
  <c r="V25" i="6"/>
  <c r="AS25" i="6"/>
  <c r="AS55" i="6" s="1"/>
  <c r="W25" i="6"/>
  <c r="X25" i="6"/>
  <c r="AU25" i="6" s="1"/>
  <c r="AU55" i="6" s="1"/>
  <c r="Y25" i="6"/>
  <c r="AV25" i="6" s="1"/>
  <c r="AV55" i="6" s="1"/>
  <c r="Z25" i="6"/>
  <c r="AZ25" i="6" s="1"/>
  <c r="AA25" i="6"/>
  <c r="BG25" i="6" s="1"/>
  <c r="AB25" i="6"/>
  <c r="AC25" i="6"/>
  <c r="AD25" i="6"/>
  <c r="BH25" i="6" s="1"/>
  <c r="AE25" i="6"/>
  <c r="AK25" i="6"/>
  <c r="AP25" i="6"/>
  <c r="AT25" i="6"/>
  <c r="AT55" i="6" s="1"/>
  <c r="D26" i="6"/>
  <c r="E26" i="6"/>
  <c r="H26" i="6"/>
  <c r="I26" i="6"/>
  <c r="J26" i="6"/>
  <c r="AG26" i="6" s="1"/>
  <c r="K26" i="6"/>
  <c r="L26" i="6"/>
  <c r="AI26" i="6" s="1"/>
  <c r="D27" i="6"/>
  <c r="D90" i="6" s="1"/>
  <c r="E27" i="6"/>
  <c r="H27" i="6"/>
  <c r="I27" i="6"/>
  <c r="I90" i="6" s="1"/>
  <c r="J27" i="6"/>
  <c r="K27" i="6"/>
  <c r="L27" i="6"/>
  <c r="AI27" i="6" s="1"/>
  <c r="M27" i="6"/>
  <c r="M49" i="6" s="1"/>
  <c r="M50" i="6" s="1"/>
  <c r="N27" i="6"/>
  <c r="AN27" i="6" s="1"/>
  <c r="O27" i="6"/>
  <c r="P27" i="6"/>
  <c r="Q27" i="6"/>
  <c r="R27" i="6"/>
  <c r="S27" i="6"/>
  <c r="AP27" i="6" s="1"/>
  <c r="T27" i="6"/>
  <c r="AT27" i="6" s="1"/>
  <c r="U27" i="6"/>
  <c r="AR27" i="6" s="1"/>
  <c r="V27" i="6"/>
  <c r="AS27" i="6" s="1"/>
  <c r="W27" i="6"/>
  <c r="W49" i="6" s="1"/>
  <c r="W50" i="6" s="1"/>
  <c r="AW27" i="6"/>
  <c r="X27" i="6"/>
  <c r="BF27" i="6" s="1"/>
  <c r="Y27" i="6"/>
  <c r="Y49" i="6" s="1"/>
  <c r="Y50" i="6" s="1"/>
  <c r="Z27" i="6"/>
  <c r="AZ27" i="6" s="1"/>
  <c r="AA27" i="6"/>
  <c r="AA49" i="6" s="1"/>
  <c r="AA50" i="6" s="1"/>
  <c r="BG50" i="6" s="1"/>
  <c r="AB27" i="6"/>
  <c r="AY27" i="6" s="1"/>
  <c r="AC27" i="6"/>
  <c r="AD27" i="6"/>
  <c r="AE27" i="6"/>
  <c r="D28" i="6"/>
  <c r="D91" i="6" s="1"/>
  <c r="E28" i="6"/>
  <c r="E91" i="6" s="1"/>
  <c r="H28" i="6"/>
  <c r="J91" i="6" s="1"/>
  <c r="I28" i="6"/>
  <c r="I91" i="6" s="1"/>
  <c r="J28" i="6"/>
  <c r="AG28" i="6" s="1"/>
  <c r="K28" i="6"/>
  <c r="AH28" i="6" s="1"/>
  <c r="L28" i="6"/>
  <c r="AI28" i="6" s="1"/>
  <c r="M28" i="6"/>
  <c r="AJ28" i="6" s="1"/>
  <c r="N28" i="6"/>
  <c r="AN28" i="6" s="1"/>
  <c r="O28" i="6"/>
  <c r="P28" i="6"/>
  <c r="AM28" i="6" s="1"/>
  <c r="Q28" i="6"/>
  <c r="AQ28" i="6" s="1"/>
  <c r="R28" i="6"/>
  <c r="AO28" i="6" s="1"/>
  <c r="S28" i="6"/>
  <c r="AP28" i="6" s="1"/>
  <c r="T28" i="6"/>
  <c r="AT28" i="6" s="1"/>
  <c r="U28" i="6"/>
  <c r="BE28" i="6" s="1"/>
  <c r="V28" i="6"/>
  <c r="AS28" i="6" s="1"/>
  <c r="W28" i="6"/>
  <c r="X28" i="6"/>
  <c r="AU28" i="6" s="1"/>
  <c r="Y28" i="6"/>
  <c r="AV28" i="6" s="1"/>
  <c r="Z28" i="6"/>
  <c r="AZ28" i="6" s="1"/>
  <c r="AA28" i="6"/>
  <c r="BG28" i="6" s="1"/>
  <c r="AB28" i="6"/>
  <c r="AY28" i="6" s="1"/>
  <c r="AC28" i="6"/>
  <c r="AD28" i="6"/>
  <c r="BA28" i="6" s="1"/>
  <c r="AE28" i="6"/>
  <c r="D29" i="6"/>
  <c r="E29" i="6"/>
  <c r="E92" i="6" s="1"/>
  <c r="H29" i="6"/>
  <c r="H92" i="6" s="1"/>
  <c r="I29" i="6"/>
  <c r="W92" i="6" s="1"/>
  <c r="AW92" i="6" s="1"/>
  <c r="J29" i="6"/>
  <c r="K29" i="6"/>
  <c r="AH29" i="6" s="1"/>
  <c r="L29" i="6"/>
  <c r="AI29" i="6" s="1"/>
  <c r="M29" i="6"/>
  <c r="AJ29" i="6" s="1"/>
  <c r="N29" i="6"/>
  <c r="AN29" i="6" s="1"/>
  <c r="O29" i="6"/>
  <c r="BC29" i="6" s="1"/>
  <c r="P29" i="6"/>
  <c r="AM29" i="6" s="1"/>
  <c r="Q29" i="6"/>
  <c r="R29" i="6"/>
  <c r="AO29" i="6" s="1"/>
  <c r="S29" i="6"/>
  <c r="T29" i="6"/>
  <c r="AT29" i="6" s="1"/>
  <c r="U29" i="6"/>
  <c r="V29" i="6"/>
  <c r="AS29" i="6" s="1"/>
  <c r="W29" i="6"/>
  <c r="X29" i="6"/>
  <c r="BF29" i="6" s="1"/>
  <c r="Y29" i="6"/>
  <c r="AV29" i="6" s="1"/>
  <c r="Z29" i="6"/>
  <c r="AZ29" i="6" s="1"/>
  <c r="AA29" i="6"/>
  <c r="AX29" i="6" s="1"/>
  <c r="AB29" i="6"/>
  <c r="AY29" i="6" s="1"/>
  <c r="AC29" i="6"/>
  <c r="AD29" i="6"/>
  <c r="AE29" i="6"/>
  <c r="D30" i="6"/>
  <c r="E30" i="6"/>
  <c r="E93" i="6" s="1"/>
  <c r="H30" i="6"/>
  <c r="I30" i="6"/>
  <c r="J30" i="6"/>
  <c r="AG30" i="6" s="1"/>
  <c r="K30" i="6"/>
  <c r="L30" i="6"/>
  <c r="AI30" i="6" s="1"/>
  <c r="M30" i="6"/>
  <c r="AJ30" i="6" s="1"/>
  <c r="N30" i="6"/>
  <c r="AN30" i="6" s="1"/>
  <c r="O30" i="6"/>
  <c r="BC30" i="6" s="1"/>
  <c r="P30" i="6"/>
  <c r="Q30" i="6"/>
  <c r="AQ30" i="6" s="1"/>
  <c r="R30" i="6"/>
  <c r="AO30" i="6" s="1"/>
  <c r="S30" i="6"/>
  <c r="T30" i="6"/>
  <c r="AT30" i="6" s="1"/>
  <c r="U30" i="6"/>
  <c r="AR30" i="6" s="1"/>
  <c r="V30" i="6"/>
  <c r="AS30" i="6" s="1"/>
  <c r="W30" i="6"/>
  <c r="AW30" i="6"/>
  <c r="X30" i="6"/>
  <c r="Y30" i="6"/>
  <c r="AV30" i="6" s="1"/>
  <c r="Z30" i="6"/>
  <c r="AA30" i="6"/>
  <c r="AX30" i="6" s="1"/>
  <c r="AB30" i="6"/>
  <c r="AY30" i="6" s="1"/>
  <c r="AC30" i="6"/>
  <c r="AD30" i="6"/>
  <c r="AE30" i="6"/>
  <c r="E31" i="6"/>
  <c r="E94" i="6" s="1"/>
  <c r="H31" i="6"/>
  <c r="H94" i="6" s="1"/>
  <c r="I31" i="6"/>
  <c r="U94" i="6" s="1"/>
  <c r="BE94" i="6" s="1"/>
  <c r="J31" i="6"/>
  <c r="AG31" i="6" s="1"/>
  <c r="K31" i="6"/>
  <c r="AK31" i="6" s="1"/>
  <c r="L31" i="6"/>
  <c r="AI31" i="6"/>
  <c r="M31" i="6"/>
  <c r="AJ31" i="6" s="1"/>
  <c r="N31" i="6"/>
  <c r="AN31" i="6" s="1"/>
  <c r="O31" i="6"/>
  <c r="AL31" i="6" s="1"/>
  <c r="P31" i="6"/>
  <c r="AM31" i="6" s="1"/>
  <c r="Q31" i="6"/>
  <c r="AQ31" i="6" s="1"/>
  <c r="R31" i="6"/>
  <c r="AO31" i="6" s="1"/>
  <c r="S31" i="6"/>
  <c r="AP31" i="6" s="1"/>
  <c r="T31" i="6"/>
  <c r="U31" i="6"/>
  <c r="AR31" i="6" s="1"/>
  <c r="V31" i="6"/>
  <c r="AS31" i="6" s="1"/>
  <c r="W31" i="6"/>
  <c r="X31" i="6"/>
  <c r="AU31" i="6" s="1"/>
  <c r="Y31" i="6"/>
  <c r="AV31" i="6" s="1"/>
  <c r="Z31" i="6"/>
  <c r="AZ31" i="6" s="1"/>
  <c r="AA31" i="6"/>
  <c r="BG31" i="6" s="1"/>
  <c r="AB31" i="6"/>
  <c r="AC31" i="6"/>
  <c r="AD31" i="6"/>
  <c r="BA31" i="6" s="1"/>
  <c r="AE31" i="6"/>
  <c r="AH31" i="6"/>
  <c r="D32" i="6"/>
  <c r="D95" i="6" s="1"/>
  <c r="E32" i="6"/>
  <c r="E95" i="6" s="1"/>
  <c r="H32" i="6"/>
  <c r="H95" i="6" s="1"/>
  <c r="I32" i="6"/>
  <c r="V95" i="6" s="1"/>
  <c r="J32" i="6"/>
  <c r="AG32" i="6" s="1"/>
  <c r="K32" i="6"/>
  <c r="AK32" i="6" s="1"/>
  <c r="L32" i="6"/>
  <c r="AI32" i="6" s="1"/>
  <c r="M32" i="6"/>
  <c r="N32" i="6"/>
  <c r="AN32" i="6" s="1"/>
  <c r="O32" i="6"/>
  <c r="P32" i="6"/>
  <c r="Q32" i="6"/>
  <c r="AQ32" i="6" s="1"/>
  <c r="R32" i="6"/>
  <c r="AO32" i="6" s="1"/>
  <c r="S32" i="6"/>
  <c r="AP32" i="6" s="1"/>
  <c r="T32" i="6"/>
  <c r="AT32" i="6" s="1"/>
  <c r="U32" i="6"/>
  <c r="V32" i="6"/>
  <c r="AS32" i="6" s="1"/>
  <c r="W32" i="6"/>
  <c r="AW32" i="6" s="1"/>
  <c r="X32" i="6"/>
  <c r="Y32" i="6"/>
  <c r="AV32" i="6" s="1"/>
  <c r="Z32" i="6"/>
  <c r="AZ32" i="6"/>
  <c r="AA32" i="6"/>
  <c r="AX32" i="6" s="1"/>
  <c r="AB32" i="6"/>
  <c r="AY32" i="6" s="1"/>
  <c r="AC32" i="6"/>
  <c r="AD32" i="6"/>
  <c r="BA32" i="6" s="1"/>
  <c r="AE32" i="6"/>
  <c r="D33" i="6"/>
  <c r="E33" i="6"/>
  <c r="E96" i="6" s="1"/>
  <c r="H33" i="6"/>
  <c r="I33" i="6"/>
  <c r="Q96" i="6" s="1"/>
  <c r="J33" i="6"/>
  <c r="AG33" i="6" s="1"/>
  <c r="K33" i="6"/>
  <c r="L33" i="6"/>
  <c r="AI33" i="6"/>
  <c r="M33" i="6"/>
  <c r="AJ33" i="6" s="1"/>
  <c r="N33" i="6"/>
  <c r="AN33" i="6" s="1"/>
  <c r="O33" i="6"/>
  <c r="P33" i="6"/>
  <c r="AM33" i="6" s="1"/>
  <c r="Q33" i="6"/>
  <c r="AQ33" i="6" s="1"/>
  <c r="R33" i="6"/>
  <c r="S33" i="6"/>
  <c r="AP33" i="6" s="1"/>
  <c r="T33" i="6"/>
  <c r="U33" i="6"/>
  <c r="AR33" i="6" s="1"/>
  <c r="V33" i="6"/>
  <c r="AS33" i="6" s="1"/>
  <c r="W33" i="6"/>
  <c r="X33" i="6"/>
  <c r="AU33" i="6" s="1"/>
  <c r="Y33" i="6"/>
  <c r="AV33" i="6" s="1"/>
  <c r="Z33" i="6"/>
  <c r="AZ33" i="6" s="1"/>
  <c r="AA33" i="6"/>
  <c r="BG33" i="6" s="1"/>
  <c r="AB33" i="6"/>
  <c r="AC33" i="6"/>
  <c r="AD33" i="6"/>
  <c r="BA33" i="6" s="1"/>
  <c r="AE33" i="6"/>
  <c r="D34" i="6"/>
  <c r="D97" i="6" s="1"/>
  <c r="E34" i="6"/>
  <c r="E97" i="6" s="1"/>
  <c r="H34" i="6"/>
  <c r="H97" i="6" s="1"/>
  <c r="I34" i="6"/>
  <c r="J34" i="6"/>
  <c r="AG34" i="6"/>
  <c r="K34" i="6"/>
  <c r="L34" i="6"/>
  <c r="AI34" i="6" s="1"/>
  <c r="M34" i="6"/>
  <c r="AJ34" i="6" s="1"/>
  <c r="N34" i="6"/>
  <c r="AN34" i="6" s="1"/>
  <c r="O34" i="6"/>
  <c r="P34" i="6"/>
  <c r="AM34" i="6" s="1"/>
  <c r="Q34" i="6"/>
  <c r="AQ34" i="6" s="1"/>
  <c r="R34" i="6"/>
  <c r="S34" i="6"/>
  <c r="AP34" i="6" s="1"/>
  <c r="T34" i="6"/>
  <c r="AT34" i="6" s="1"/>
  <c r="U34" i="6"/>
  <c r="V34" i="6"/>
  <c r="AS34" i="6" s="1"/>
  <c r="W34" i="6"/>
  <c r="AW34" i="6" s="1"/>
  <c r="X34" i="6"/>
  <c r="AU34" i="6" s="1"/>
  <c r="Y34" i="6"/>
  <c r="AV34" i="6" s="1"/>
  <c r="Z34" i="6"/>
  <c r="AZ34" i="6" s="1"/>
  <c r="AA34" i="6"/>
  <c r="BG34" i="6" s="1"/>
  <c r="AB34" i="6"/>
  <c r="AY34" i="6" s="1"/>
  <c r="AC34" i="6"/>
  <c r="AD34" i="6"/>
  <c r="AE34" i="6"/>
  <c r="D35" i="6"/>
  <c r="D98" i="6" s="1"/>
  <c r="E35" i="6"/>
  <c r="H35" i="6"/>
  <c r="K98" i="6" s="1"/>
  <c r="AH98" i="6" s="1"/>
  <c r="I35" i="6"/>
  <c r="O98" i="6" s="1"/>
  <c r="J35" i="6"/>
  <c r="J53" i="6" s="1"/>
  <c r="J54" i="6" s="1"/>
  <c r="K35" i="6"/>
  <c r="K53" i="6" s="1"/>
  <c r="K54" i="6" s="1"/>
  <c r="L35" i="6"/>
  <c r="AI35" i="6" s="1"/>
  <c r="M35" i="6"/>
  <c r="N35" i="6"/>
  <c r="AN35" i="6" s="1"/>
  <c r="O35" i="6"/>
  <c r="AL35" i="6" s="1"/>
  <c r="P35" i="6"/>
  <c r="AM35" i="6" s="1"/>
  <c r="Q35" i="6"/>
  <c r="AQ35" i="6" s="1"/>
  <c r="R35" i="6"/>
  <c r="BD35" i="6" s="1"/>
  <c r="S35" i="6"/>
  <c r="AP35" i="6" s="1"/>
  <c r="T35" i="6"/>
  <c r="AT35" i="6" s="1"/>
  <c r="U35" i="6"/>
  <c r="V35" i="6"/>
  <c r="AS35" i="6" s="1"/>
  <c r="W35" i="6"/>
  <c r="W53" i="6" s="1"/>
  <c r="W54" i="6" s="1"/>
  <c r="X35" i="6"/>
  <c r="X53" i="6" s="1"/>
  <c r="Y35" i="6"/>
  <c r="AV35" i="6" s="1"/>
  <c r="Z35" i="6"/>
  <c r="AA35" i="6"/>
  <c r="AB35" i="6"/>
  <c r="AY35" i="6" s="1"/>
  <c r="AC35" i="6"/>
  <c r="AD35" i="6"/>
  <c r="BA35" i="6" s="1"/>
  <c r="AE35" i="6"/>
  <c r="BC35" i="6"/>
  <c r="D36" i="6"/>
  <c r="D99" i="6" s="1"/>
  <c r="E36" i="6"/>
  <c r="E99" i="6" s="1"/>
  <c r="H36" i="6"/>
  <c r="I36" i="6"/>
  <c r="N99" i="6" s="1"/>
  <c r="AN99" i="6" s="1"/>
  <c r="J36" i="6"/>
  <c r="AG36" i="6" s="1"/>
  <c r="K36" i="6"/>
  <c r="AH36" i="6" s="1"/>
  <c r="L36" i="6"/>
  <c r="AI36" i="6" s="1"/>
  <c r="M36" i="6"/>
  <c r="AJ36" i="6" s="1"/>
  <c r="N36" i="6"/>
  <c r="AN36" i="6" s="1"/>
  <c r="O36" i="6"/>
  <c r="P36" i="6"/>
  <c r="AM36" i="6" s="1"/>
  <c r="Q36" i="6"/>
  <c r="AQ36" i="6" s="1"/>
  <c r="R36" i="6"/>
  <c r="AO36" i="6" s="1"/>
  <c r="S36" i="6"/>
  <c r="AP36" i="6" s="1"/>
  <c r="T36" i="6"/>
  <c r="AT36" i="6" s="1"/>
  <c r="U36" i="6"/>
  <c r="BE36" i="6" s="1"/>
  <c r="V36" i="6"/>
  <c r="AS36" i="6" s="1"/>
  <c r="W36" i="6"/>
  <c r="AW36" i="6" s="1"/>
  <c r="X36" i="6"/>
  <c r="AU36" i="6" s="1"/>
  <c r="Y36" i="6"/>
  <c r="AV36" i="6" s="1"/>
  <c r="Z36" i="6"/>
  <c r="AZ36" i="6" s="1"/>
  <c r="AA36" i="6"/>
  <c r="AX36" i="6" s="1"/>
  <c r="AB36" i="6"/>
  <c r="AY36" i="6" s="1"/>
  <c r="AC36" i="6"/>
  <c r="AD36" i="6"/>
  <c r="AE36" i="6"/>
  <c r="AL36" i="6"/>
  <c r="BC36" i="6"/>
  <c r="D37" i="6"/>
  <c r="D100" i="6" s="1"/>
  <c r="E37" i="6"/>
  <c r="E100" i="6" s="1"/>
  <c r="H37" i="6"/>
  <c r="AE100" i="6" s="1"/>
  <c r="I37" i="6"/>
  <c r="I100" i="6" s="1"/>
  <c r="J37" i="6"/>
  <c r="AG37" i="6" s="1"/>
  <c r="K37" i="6"/>
  <c r="AK37" i="6" s="1"/>
  <c r="L37" i="6"/>
  <c r="AI37" i="6" s="1"/>
  <c r="M37" i="6"/>
  <c r="AJ37" i="6" s="1"/>
  <c r="N37" i="6"/>
  <c r="AN37" i="6" s="1"/>
  <c r="O37" i="6"/>
  <c r="BC37" i="6" s="1"/>
  <c r="P37" i="6"/>
  <c r="AM37" i="6" s="1"/>
  <c r="Q37" i="6"/>
  <c r="AQ37" i="6" s="1"/>
  <c r="R37" i="6"/>
  <c r="AO37" i="6" s="1"/>
  <c r="S37" i="6"/>
  <c r="AP37" i="6" s="1"/>
  <c r="T37" i="6"/>
  <c r="AT37" i="6" s="1"/>
  <c r="U37" i="6"/>
  <c r="AR37" i="6" s="1"/>
  <c r="V37" i="6"/>
  <c r="AS37" i="6" s="1"/>
  <c r="W37" i="6"/>
  <c r="AW37" i="6" s="1"/>
  <c r="X37" i="6"/>
  <c r="BF37" i="6" s="1"/>
  <c r="Y37" i="6"/>
  <c r="AV37" i="6" s="1"/>
  <c r="Z37" i="6"/>
  <c r="AZ37" i="6" s="1"/>
  <c r="AA37" i="6"/>
  <c r="AB37" i="6"/>
  <c r="AY37" i="6" s="1"/>
  <c r="AC37" i="6"/>
  <c r="AD37" i="6"/>
  <c r="BA37" i="6" s="1"/>
  <c r="AE37" i="6"/>
  <c r="AL37" i="6"/>
  <c r="D38" i="6"/>
  <c r="D101" i="6" s="1"/>
  <c r="E38" i="6"/>
  <c r="E101" i="6" s="1"/>
  <c r="H38" i="6"/>
  <c r="I38" i="6"/>
  <c r="O101" i="6" s="1"/>
  <c r="J38" i="6"/>
  <c r="AG38" i="6" s="1"/>
  <c r="K38" i="6"/>
  <c r="AH38" i="6"/>
  <c r="L38" i="6"/>
  <c r="AI38" i="6" s="1"/>
  <c r="M38" i="6"/>
  <c r="AJ38" i="6" s="1"/>
  <c r="N38" i="6"/>
  <c r="AN38" i="6" s="1"/>
  <c r="O38" i="6"/>
  <c r="BC38" i="6" s="1"/>
  <c r="P38" i="6"/>
  <c r="AM38" i="6"/>
  <c r="Q38" i="6"/>
  <c r="AQ38" i="6" s="1"/>
  <c r="R38" i="6"/>
  <c r="AO38" i="6" s="1"/>
  <c r="S38" i="6"/>
  <c r="AP38" i="6" s="1"/>
  <c r="T38" i="6"/>
  <c r="AT38" i="6" s="1"/>
  <c r="U38" i="6"/>
  <c r="AR38" i="6" s="1"/>
  <c r="V38" i="6"/>
  <c r="AS38" i="6" s="1"/>
  <c r="W38" i="6"/>
  <c r="X38" i="6"/>
  <c r="BF38" i="6" s="1"/>
  <c r="Y38" i="6"/>
  <c r="AV38" i="6" s="1"/>
  <c r="Z38" i="6"/>
  <c r="AZ38" i="6" s="1"/>
  <c r="AA38" i="6"/>
  <c r="AB38" i="6"/>
  <c r="AY38" i="6" s="1"/>
  <c r="AC38" i="6"/>
  <c r="AD38" i="6"/>
  <c r="BH38" i="6" s="1"/>
  <c r="AE38" i="6"/>
  <c r="AK38" i="6"/>
  <c r="AW38" i="6"/>
  <c r="D39" i="6"/>
  <c r="D102" i="6" s="1"/>
  <c r="E39" i="6"/>
  <c r="E102" i="6" s="1"/>
  <c r="H39" i="6"/>
  <c r="H40" i="6" s="1"/>
  <c r="I39" i="6"/>
  <c r="I40" i="6" s="1"/>
  <c r="N103" i="6" s="1"/>
  <c r="J39" i="6"/>
  <c r="AG39" i="6" s="1"/>
  <c r="K39" i="6"/>
  <c r="AK39" i="6" s="1"/>
  <c r="L39" i="6"/>
  <c r="AI39" i="6" s="1"/>
  <c r="M39" i="6"/>
  <c r="AJ39" i="6"/>
  <c r="N39" i="6"/>
  <c r="AN39" i="6" s="1"/>
  <c r="O39" i="6"/>
  <c r="BC39" i="6" s="1"/>
  <c r="P39" i="6"/>
  <c r="AM39" i="6" s="1"/>
  <c r="Q39" i="6"/>
  <c r="AQ39" i="6" s="1"/>
  <c r="R39" i="6"/>
  <c r="AO39" i="6" s="1"/>
  <c r="S39" i="6"/>
  <c r="AP39" i="6" s="1"/>
  <c r="T39" i="6"/>
  <c r="AT39" i="6" s="1"/>
  <c r="U39" i="6"/>
  <c r="V39" i="6"/>
  <c r="AS39" i="6" s="1"/>
  <c r="W39" i="6"/>
  <c r="AW39" i="6" s="1"/>
  <c r="X39" i="6"/>
  <c r="BF39" i="6" s="1"/>
  <c r="Y39" i="6"/>
  <c r="AV39" i="6" s="1"/>
  <c r="Z39" i="6"/>
  <c r="AZ39" i="6" s="1"/>
  <c r="AA39" i="6"/>
  <c r="BG39" i="6" s="1"/>
  <c r="AB39" i="6"/>
  <c r="AY39" i="6" s="1"/>
  <c r="AC39" i="6"/>
  <c r="AD39" i="6"/>
  <c r="BA39" i="6" s="1"/>
  <c r="AE39" i="6"/>
  <c r="AH39" i="6"/>
  <c r="AX39" i="6"/>
  <c r="BD39" i="6"/>
  <c r="D40" i="6"/>
  <c r="D103" i="6" s="1"/>
  <c r="E40" i="6"/>
  <c r="E103" i="6" s="1"/>
  <c r="J40" i="6"/>
  <c r="AG40" i="6" s="1"/>
  <c r="K40" i="6"/>
  <c r="L40" i="6"/>
  <c r="AI40" i="6" s="1"/>
  <c r="M40" i="6"/>
  <c r="AJ40" i="6" s="1"/>
  <c r="N40" i="6"/>
  <c r="AN40" i="6" s="1"/>
  <c r="O40" i="6"/>
  <c r="BC40" i="6" s="1"/>
  <c r="P40" i="6"/>
  <c r="AM40" i="6" s="1"/>
  <c r="Q40" i="6"/>
  <c r="AQ40" i="6" s="1"/>
  <c r="R40" i="6"/>
  <c r="S40" i="6"/>
  <c r="AP40" i="6" s="1"/>
  <c r="T40" i="6"/>
  <c r="U40" i="6"/>
  <c r="BE40" i="6" s="1"/>
  <c r="V40" i="6"/>
  <c r="AS40" i="6"/>
  <c r="W40" i="6"/>
  <c r="AW40" i="6" s="1"/>
  <c r="X40" i="6"/>
  <c r="AU40" i="6" s="1"/>
  <c r="Y40" i="6"/>
  <c r="AV40" i="6" s="1"/>
  <c r="Z40" i="6"/>
  <c r="AZ40" i="6" s="1"/>
  <c r="AA40" i="6"/>
  <c r="BG40" i="6" s="1"/>
  <c r="AB40" i="6"/>
  <c r="AY40" i="6" s="1"/>
  <c r="AC40" i="6"/>
  <c r="AD40" i="6"/>
  <c r="AE40" i="6"/>
  <c r="AH40" i="6"/>
  <c r="AK40" i="6"/>
  <c r="AT40" i="6"/>
  <c r="BF40" i="6"/>
  <c r="D41" i="6"/>
  <c r="D104" i="6" s="1"/>
  <c r="E41" i="6"/>
  <c r="E104" i="6" s="1"/>
  <c r="H41" i="6"/>
  <c r="I41" i="6"/>
  <c r="J41" i="6"/>
  <c r="AG41" i="6" s="1"/>
  <c r="K41" i="6"/>
  <c r="AK41" i="6" s="1"/>
  <c r="L41" i="6"/>
  <c r="AI41" i="6"/>
  <c r="M41" i="6"/>
  <c r="AJ41" i="6" s="1"/>
  <c r="N41" i="6"/>
  <c r="AN41" i="6" s="1"/>
  <c r="O41" i="6"/>
  <c r="BC41" i="6" s="1"/>
  <c r="P41" i="6"/>
  <c r="AM41" i="6" s="1"/>
  <c r="Q41" i="6"/>
  <c r="AQ41" i="6" s="1"/>
  <c r="R41" i="6"/>
  <c r="AO41" i="6"/>
  <c r="S41" i="6"/>
  <c r="T41" i="6"/>
  <c r="AT41" i="6" s="1"/>
  <c r="U41" i="6"/>
  <c r="AR41" i="6" s="1"/>
  <c r="V41" i="6"/>
  <c r="AS41" i="6" s="1"/>
  <c r="W41" i="6"/>
  <c r="AW41" i="6" s="1"/>
  <c r="X41" i="6"/>
  <c r="BF41" i="6" s="1"/>
  <c r="Y41" i="6"/>
  <c r="AV41" i="6" s="1"/>
  <c r="Z41" i="6"/>
  <c r="AZ41" i="6" s="1"/>
  <c r="AA41" i="6"/>
  <c r="AB41" i="6"/>
  <c r="AY41" i="6" s="1"/>
  <c r="AC41" i="6"/>
  <c r="AD41" i="6"/>
  <c r="BA41" i="6" s="1"/>
  <c r="AE41" i="6"/>
  <c r="BD41" i="6"/>
  <c r="D42" i="6"/>
  <c r="D105" i="6" s="1"/>
  <c r="E42" i="6"/>
  <c r="E105" i="6" s="1"/>
  <c r="H42" i="6"/>
  <c r="H105" i="6" s="1"/>
  <c r="I42" i="6"/>
  <c r="J42" i="6"/>
  <c r="AG42" i="6"/>
  <c r="K42" i="6"/>
  <c r="L42" i="6"/>
  <c r="AI42" i="6" s="1"/>
  <c r="M42" i="6"/>
  <c r="AJ42" i="6" s="1"/>
  <c r="N42" i="6"/>
  <c r="O42" i="6"/>
  <c r="AL42" i="6" s="1"/>
  <c r="P42" i="6"/>
  <c r="AM42" i="6" s="1"/>
  <c r="Q42" i="6"/>
  <c r="AQ42" i="6" s="1"/>
  <c r="R42" i="6"/>
  <c r="BD42" i="6" s="1"/>
  <c r="S42" i="6"/>
  <c r="T42" i="6"/>
  <c r="AT42" i="6" s="1"/>
  <c r="U42" i="6"/>
  <c r="BE42" i="6" s="1"/>
  <c r="V42" i="6"/>
  <c r="W42" i="6"/>
  <c r="AW42" i="6" s="1"/>
  <c r="X42" i="6"/>
  <c r="AU42" i="6" s="1"/>
  <c r="Y42" i="6"/>
  <c r="AV42" i="6" s="1"/>
  <c r="Z42" i="6"/>
  <c r="AZ42" i="6" s="1"/>
  <c r="AA42" i="6"/>
  <c r="BG42" i="6" s="1"/>
  <c r="AB42" i="6"/>
  <c r="AC42" i="6"/>
  <c r="AD42" i="6"/>
  <c r="BA42" i="6" s="1"/>
  <c r="AE42" i="6"/>
  <c r="AP42" i="6"/>
  <c r="D43" i="6"/>
  <c r="D106" i="6" s="1"/>
  <c r="E43" i="6"/>
  <c r="E106" i="6" s="1"/>
  <c r="H43" i="6"/>
  <c r="I43" i="6"/>
  <c r="Q106" i="6" s="1"/>
  <c r="J43" i="6"/>
  <c r="AG43" i="6" s="1"/>
  <c r="K43" i="6"/>
  <c r="L43" i="6"/>
  <c r="AI43" i="6" s="1"/>
  <c r="M43" i="6"/>
  <c r="N43" i="6"/>
  <c r="AN43" i="6" s="1"/>
  <c r="O43" i="6"/>
  <c r="AL43" i="6" s="1"/>
  <c r="P43" i="6"/>
  <c r="AM43" i="6"/>
  <c r="Q43" i="6"/>
  <c r="AQ43" i="6" s="1"/>
  <c r="R43" i="6"/>
  <c r="BD43" i="6" s="1"/>
  <c r="S43" i="6"/>
  <c r="T43" i="6"/>
  <c r="AT43" i="6" s="1"/>
  <c r="U43" i="6"/>
  <c r="V43" i="6"/>
  <c r="AS43" i="6" s="1"/>
  <c r="W43" i="6"/>
  <c r="AW43" i="6" s="1"/>
  <c r="X43" i="6"/>
  <c r="Y43" i="6"/>
  <c r="AV43" i="6" s="1"/>
  <c r="Z43" i="6"/>
  <c r="AZ43" i="6" s="1"/>
  <c r="AA43" i="6"/>
  <c r="AX43" i="6" s="1"/>
  <c r="AB43" i="6"/>
  <c r="AC43" i="6"/>
  <c r="AD43" i="6"/>
  <c r="AE43" i="6"/>
  <c r="AY43" i="6"/>
  <c r="D44" i="6"/>
  <c r="D107" i="6" s="1"/>
  <c r="E44" i="6"/>
  <c r="E107" i="6" s="1"/>
  <c r="H44" i="6"/>
  <c r="I44" i="6"/>
  <c r="J44" i="6"/>
  <c r="AG44" i="6" s="1"/>
  <c r="K44" i="6"/>
  <c r="AK44" i="6" s="1"/>
  <c r="L44" i="6"/>
  <c r="AI44" i="6" s="1"/>
  <c r="M44" i="6"/>
  <c r="AJ44" i="6" s="1"/>
  <c r="N44" i="6"/>
  <c r="AN44" i="6" s="1"/>
  <c r="O44" i="6"/>
  <c r="AL44" i="6" s="1"/>
  <c r="P44" i="6"/>
  <c r="AM44" i="6" s="1"/>
  <c r="Q44" i="6"/>
  <c r="AQ44" i="6" s="1"/>
  <c r="R44" i="6"/>
  <c r="S44" i="6"/>
  <c r="AP44" i="6" s="1"/>
  <c r="T44" i="6"/>
  <c r="AT44" i="6" s="1"/>
  <c r="U44" i="6"/>
  <c r="BE44" i="6" s="1"/>
  <c r="V44" i="6"/>
  <c r="AS44" i="6" s="1"/>
  <c r="W44" i="6"/>
  <c r="AW44" i="6" s="1"/>
  <c r="X44" i="6"/>
  <c r="Y44" i="6"/>
  <c r="AV44" i="6" s="1"/>
  <c r="Z44" i="6"/>
  <c r="AZ44" i="6" s="1"/>
  <c r="AA44" i="6"/>
  <c r="AX44" i="6" s="1"/>
  <c r="AB44" i="6"/>
  <c r="AY44" i="6" s="1"/>
  <c r="AC44" i="6"/>
  <c r="AD44" i="6"/>
  <c r="BH44" i="6" s="1"/>
  <c r="AE44" i="6"/>
  <c r="BA44" i="6"/>
  <c r="D45" i="6"/>
  <c r="D108" i="6" s="1"/>
  <c r="E45" i="6"/>
  <c r="E108" i="6" s="1"/>
  <c r="H45" i="6"/>
  <c r="H108" i="6" s="1"/>
  <c r="I45" i="6"/>
  <c r="T108" i="6" s="1"/>
  <c r="AT108" i="6" s="1"/>
  <c r="J45" i="6"/>
  <c r="AG45" i="6" s="1"/>
  <c r="K45" i="6"/>
  <c r="AH45" i="6" s="1"/>
  <c r="L45" i="6"/>
  <c r="AI45" i="6" s="1"/>
  <c r="M45" i="6"/>
  <c r="AJ45" i="6" s="1"/>
  <c r="N45" i="6"/>
  <c r="AN45" i="6" s="1"/>
  <c r="O45" i="6"/>
  <c r="AL45" i="6" s="1"/>
  <c r="P45" i="6"/>
  <c r="AM45" i="6"/>
  <c r="Q45" i="6"/>
  <c r="AQ45" i="6" s="1"/>
  <c r="R45" i="6"/>
  <c r="BD45" i="6" s="1"/>
  <c r="S45" i="6"/>
  <c r="AP45" i="6" s="1"/>
  <c r="T45" i="6"/>
  <c r="AT45" i="6" s="1"/>
  <c r="U45" i="6"/>
  <c r="BE45" i="6" s="1"/>
  <c r="V45" i="6"/>
  <c r="AS45" i="6" s="1"/>
  <c r="W45" i="6"/>
  <c r="AW45" i="6" s="1"/>
  <c r="X45" i="6"/>
  <c r="AU45" i="6" s="1"/>
  <c r="Y45" i="6"/>
  <c r="AV45" i="6" s="1"/>
  <c r="Z45" i="6"/>
  <c r="AZ45" i="6" s="1"/>
  <c r="AA45" i="6"/>
  <c r="AB45" i="6"/>
  <c r="AY45" i="6" s="1"/>
  <c r="AC45" i="6"/>
  <c r="AD45" i="6"/>
  <c r="AE45" i="6"/>
  <c r="D46" i="6"/>
  <c r="D109" i="6" s="1"/>
  <c r="E46" i="6"/>
  <c r="E109" i="6" s="1"/>
  <c r="H46" i="6"/>
  <c r="H109" i="6" s="1"/>
  <c r="I46" i="6"/>
  <c r="AB109" i="6" s="1"/>
  <c r="J46" i="6"/>
  <c r="AG46" i="6" s="1"/>
  <c r="K46" i="6"/>
  <c r="AK46" i="6" s="1"/>
  <c r="AH46" i="6"/>
  <c r="L46" i="6"/>
  <c r="AI46" i="6" s="1"/>
  <c r="M46" i="6"/>
  <c r="N46" i="6"/>
  <c r="AN46" i="6" s="1"/>
  <c r="O46" i="6"/>
  <c r="AL46" i="6" s="1"/>
  <c r="P46" i="6"/>
  <c r="AM46" i="6" s="1"/>
  <c r="Q46" i="6"/>
  <c r="AQ46" i="6" s="1"/>
  <c r="R46" i="6"/>
  <c r="S46" i="6"/>
  <c r="AP46" i="6" s="1"/>
  <c r="T46" i="6"/>
  <c r="U46" i="6"/>
  <c r="V46" i="6"/>
  <c r="AS46" i="6" s="1"/>
  <c r="W46" i="6"/>
  <c r="AW46" i="6" s="1"/>
  <c r="X46" i="6"/>
  <c r="AU46" i="6" s="1"/>
  <c r="Y46" i="6"/>
  <c r="AV46" i="6" s="1"/>
  <c r="Z46" i="6"/>
  <c r="AA46" i="6"/>
  <c r="AX46" i="6"/>
  <c r="AB46" i="6"/>
  <c r="AY46" i="6" s="1"/>
  <c r="AC46" i="6"/>
  <c r="AD46" i="6"/>
  <c r="AE46" i="6"/>
  <c r="AJ46" i="6"/>
  <c r="AZ46" i="6"/>
  <c r="T47" i="6"/>
  <c r="T48" i="6" s="1"/>
  <c r="L49" i="6"/>
  <c r="L50" i="6" s="1"/>
  <c r="O49" i="6"/>
  <c r="BC49" i="6" s="1"/>
  <c r="S49" i="6"/>
  <c r="S50" i="6" s="1"/>
  <c r="AB49" i="6"/>
  <c r="AB50" i="6" s="1"/>
  <c r="AE49" i="6"/>
  <c r="AE50" i="6" s="1"/>
  <c r="N53" i="6"/>
  <c r="N54" i="6" s="1"/>
  <c r="O53" i="6"/>
  <c r="BC53" i="6" s="1"/>
  <c r="Q53" i="6"/>
  <c r="S53" i="6"/>
  <c r="S54" i="6" s="1"/>
  <c r="AB53" i="6"/>
  <c r="AB54" i="6" s="1"/>
  <c r="AC53" i="6"/>
  <c r="AC54" i="6" s="1"/>
  <c r="AD53" i="6"/>
  <c r="AD54" i="6" s="1"/>
  <c r="BH54" i="6" s="1"/>
  <c r="AE53" i="6"/>
  <c r="AE54" i="6" s="1"/>
  <c r="Q54" i="6"/>
  <c r="AD55" i="6"/>
  <c r="BH55" i="6" s="1"/>
  <c r="AE55" i="6"/>
  <c r="AG55" i="6"/>
  <c r="AH55" i="6"/>
  <c r="AI55" i="6"/>
  <c r="AK55" i="6"/>
  <c r="AP55" i="6"/>
  <c r="AZ55" i="6"/>
  <c r="M65" i="6"/>
  <c r="B66" i="6"/>
  <c r="M66" i="6"/>
  <c r="B67" i="6"/>
  <c r="B68" i="6"/>
  <c r="C73" i="6"/>
  <c r="P74" i="6"/>
  <c r="BD75" i="6" s="1"/>
  <c r="AG76" i="6"/>
  <c r="AH76" i="6"/>
  <c r="AI76" i="6"/>
  <c r="AJ76" i="6"/>
  <c r="AK76" i="6"/>
  <c r="AL76" i="6"/>
  <c r="AM76" i="6"/>
  <c r="AN76" i="6"/>
  <c r="AO76" i="6"/>
  <c r="AP76" i="6"/>
  <c r="AQ76" i="6"/>
  <c r="AR76" i="6"/>
  <c r="AS76" i="6"/>
  <c r="AT76" i="6"/>
  <c r="AU76" i="6"/>
  <c r="AV76" i="6"/>
  <c r="AW76" i="6"/>
  <c r="AX76" i="6"/>
  <c r="AY76" i="6"/>
  <c r="AZ76" i="6"/>
  <c r="BA76" i="6"/>
  <c r="BC76" i="6"/>
  <c r="BD76" i="6"/>
  <c r="BE76" i="6"/>
  <c r="BF76" i="6"/>
  <c r="BH76" i="6"/>
  <c r="C77" i="6"/>
  <c r="F77" i="6"/>
  <c r="G77" i="6"/>
  <c r="C78" i="6"/>
  <c r="D78" i="6"/>
  <c r="F78" i="6"/>
  <c r="G78" i="6"/>
  <c r="C79" i="6"/>
  <c r="F79" i="6"/>
  <c r="G79" i="6"/>
  <c r="C80" i="6"/>
  <c r="D80" i="6"/>
  <c r="F80" i="6"/>
  <c r="G80" i="6"/>
  <c r="C81" i="6"/>
  <c r="F81" i="6"/>
  <c r="G81" i="6"/>
  <c r="M81" i="6"/>
  <c r="AJ81" i="6" s="1"/>
  <c r="N81" i="6"/>
  <c r="R81" i="6"/>
  <c r="BD81" i="6" s="1"/>
  <c r="X81" i="6"/>
  <c r="BF81" i="6" s="1"/>
  <c r="C82" i="6"/>
  <c r="F82" i="6"/>
  <c r="G82" i="6"/>
  <c r="O82" i="6"/>
  <c r="BC82" i="6" s="1"/>
  <c r="C83" i="6"/>
  <c r="F83" i="6"/>
  <c r="G83" i="6"/>
  <c r="Q83" i="6"/>
  <c r="AQ83" i="6" s="1"/>
  <c r="C84" i="6"/>
  <c r="F84" i="6"/>
  <c r="G84" i="6"/>
  <c r="I84" i="6"/>
  <c r="P84" i="6"/>
  <c r="AD84" i="6"/>
  <c r="BH84" i="6" s="1"/>
  <c r="C85" i="6"/>
  <c r="F85" i="6"/>
  <c r="G85" i="6"/>
  <c r="C86" i="6"/>
  <c r="F86" i="6"/>
  <c r="G86" i="6"/>
  <c r="C87" i="6"/>
  <c r="F87" i="6"/>
  <c r="G87" i="6"/>
  <c r="H87" i="6"/>
  <c r="C88" i="6"/>
  <c r="D88" i="6"/>
  <c r="F88" i="6"/>
  <c r="G88" i="6"/>
  <c r="X88" i="6"/>
  <c r="BF88" i="6" s="1"/>
  <c r="C89" i="6"/>
  <c r="D89" i="6"/>
  <c r="F89" i="6"/>
  <c r="G89" i="6"/>
  <c r="Q89" i="6"/>
  <c r="C90" i="6"/>
  <c r="E90" i="6"/>
  <c r="F90" i="6"/>
  <c r="G90" i="6"/>
  <c r="C91" i="6"/>
  <c r="F91" i="6"/>
  <c r="G91" i="6"/>
  <c r="P91" i="6"/>
  <c r="Q91" i="6"/>
  <c r="AQ91" i="6" s="1"/>
  <c r="X91" i="6"/>
  <c r="BF91" i="6" s="1"/>
  <c r="Y91" i="6"/>
  <c r="C92" i="6"/>
  <c r="D92" i="6"/>
  <c r="F92" i="6"/>
  <c r="G92" i="6"/>
  <c r="C93" i="6"/>
  <c r="D93" i="6"/>
  <c r="F93" i="6"/>
  <c r="G93" i="6"/>
  <c r="L93" i="6"/>
  <c r="AI93" i="6" s="1"/>
  <c r="C94" i="6"/>
  <c r="D94" i="6"/>
  <c r="F94" i="6"/>
  <c r="G94" i="6"/>
  <c r="C95" i="6"/>
  <c r="F95" i="6"/>
  <c r="G95" i="6"/>
  <c r="R95" i="6"/>
  <c r="BD95" i="6" s="1"/>
  <c r="S95" i="6"/>
  <c r="T95" i="6"/>
  <c r="AT95" i="6" s="1"/>
  <c r="C96" i="6"/>
  <c r="D96" i="6"/>
  <c r="F96" i="6"/>
  <c r="G96" i="6"/>
  <c r="H96" i="6"/>
  <c r="C97" i="6"/>
  <c r="F97" i="6"/>
  <c r="G97" i="6"/>
  <c r="C98" i="6"/>
  <c r="E98" i="6"/>
  <c r="F98" i="6"/>
  <c r="G98" i="6"/>
  <c r="C99" i="6"/>
  <c r="F99" i="6"/>
  <c r="G99" i="6"/>
  <c r="C100" i="6"/>
  <c r="F100" i="6"/>
  <c r="G100" i="6"/>
  <c r="U100" i="6"/>
  <c r="AR100" i="6" s="1"/>
  <c r="X100" i="6"/>
  <c r="BF100" i="6" s="1"/>
  <c r="AC100" i="6"/>
  <c r="C101" i="6"/>
  <c r="F101" i="6"/>
  <c r="G101" i="6"/>
  <c r="C102" i="6"/>
  <c r="F102" i="6"/>
  <c r="G102" i="6"/>
  <c r="C103" i="6"/>
  <c r="F103" i="6"/>
  <c r="G103" i="6"/>
  <c r="C104" i="6"/>
  <c r="F104" i="6"/>
  <c r="G104" i="6"/>
  <c r="C105" i="6"/>
  <c r="F105" i="6"/>
  <c r="G105" i="6"/>
  <c r="C106" i="6"/>
  <c r="F106" i="6"/>
  <c r="G106" i="6"/>
  <c r="C107" i="6"/>
  <c r="F107" i="6"/>
  <c r="G107" i="6"/>
  <c r="C108" i="6"/>
  <c r="F108" i="6"/>
  <c r="G108" i="6"/>
  <c r="C109" i="6"/>
  <c r="F109" i="6"/>
  <c r="G109" i="6"/>
  <c r="C110" i="6"/>
  <c r="D110" i="6"/>
  <c r="E110" i="6"/>
  <c r="F110" i="6"/>
  <c r="G110" i="6"/>
  <c r="H110" i="6"/>
  <c r="I110" i="6"/>
  <c r="J117" i="6"/>
  <c r="M117" i="6"/>
  <c r="P117" i="6"/>
  <c r="S117" i="6"/>
  <c r="V117" i="6"/>
  <c r="Y117" i="6"/>
  <c r="AB117" i="6"/>
  <c r="J125" i="6"/>
  <c r="J129" i="6"/>
  <c r="J133" i="6"/>
  <c r="F142" i="6"/>
  <c r="F143" i="6"/>
  <c r="F144" i="6"/>
  <c r="D9" i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C10" i="1"/>
  <c r="AG11" i="1"/>
  <c r="AJ11" i="1"/>
  <c r="AM11" i="1"/>
  <c r="AP11" i="1"/>
  <c r="AS11" i="1"/>
  <c r="AV11" i="1"/>
  <c r="AY11" i="1"/>
  <c r="AG12" i="1"/>
  <c r="AJ12" i="1"/>
  <c r="AM12" i="1"/>
  <c r="AP12" i="1"/>
  <c r="AS12" i="1"/>
  <c r="X74" i="1"/>
  <c r="AV74" i="1" s="1"/>
  <c r="AY12" i="1"/>
  <c r="BC12" i="1"/>
  <c r="BD12" i="1"/>
  <c r="BE12" i="1"/>
  <c r="BF12" i="1"/>
  <c r="BG12" i="1"/>
  <c r="BH12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AG14" i="1"/>
  <c r="AH14" i="1"/>
  <c r="AI14" i="1"/>
  <c r="AI76" i="1" s="1"/>
  <c r="AJ14" i="1"/>
  <c r="AJ76" i="1" s="1"/>
  <c r="AK14" i="1"/>
  <c r="AK76" i="1" s="1"/>
  <c r="AL14" i="1"/>
  <c r="AL76" i="1" s="1"/>
  <c r="AM14" i="1"/>
  <c r="AM76" i="1" s="1"/>
  <c r="AN14" i="1"/>
  <c r="AN76" i="1" s="1"/>
  <c r="AO14" i="1"/>
  <c r="AO76" i="1" s="1"/>
  <c r="AP14" i="1"/>
  <c r="AP76" i="1" s="1"/>
  <c r="AQ14" i="1"/>
  <c r="AQ76" i="1" s="1"/>
  <c r="AR14" i="1"/>
  <c r="AR76" i="1" s="1"/>
  <c r="AS14" i="1"/>
  <c r="AT14" i="1"/>
  <c r="AT76" i="1" s="1"/>
  <c r="AU14" i="1"/>
  <c r="AV14" i="1"/>
  <c r="AW14" i="1"/>
  <c r="AX14" i="1"/>
  <c r="AY14" i="1"/>
  <c r="AY76" i="1" s="1"/>
  <c r="AZ14" i="1"/>
  <c r="BA14" i="1"/>
  <c r="BC14" i="1"/>
  <c r="BD14" i="1"/>
  <c r="BE14" i="1"/>
  <c r="BF14" i="1"/>
  <c r="BG14" i="1"/>
  <c r="BH14" i="1"/>
  <c r="BI14" i="1"/>
  <c r="L15" i="1"/>
  <c r="AT15" i="1"/>
  <c r="AZ15" i="1"/>
  <c r="AB15" i="1"/>
  <c r="AG15" i="1"/>
  <c r="AH15" i="1"/>
  <c r="AI15" i="1"/>
  <c r="AK15" i="1"/>
  <c r="AQ15" i="1"/>
  <c r="BI15" i="1"/>
  <c r="L16" i="1"/>
  <c r="AT16" i="1"/>
  <c r="AG16" i="1"/>
  <c r="AG78" i="1" s="1"/>
  <c r="AH16" i="1"/>
  <c r="AI16" i="1"/>
  <c r="AK16" i="1"/>
  <c r="BI16" i="1"/>
  <c r="L17" i="1"/>
  <c r="AG17" i="1"/>
  <c r="AH17" i="1"/>
  <c r="AI17" i="1"/>
  <c r="AK17" i="1"/>
  <c r="AT17" i="1"/>
  <c r="BI17" i="1"/>
  <c r="L18" i="1"/>
  <c r="AG18" i="1"/>
  <c r="AH18" i="1"/>
  <c r="AI18" i="1"/>
  <c r="AK18" i="1"/>
  <c r="AN18" i="1"/>
  <c r="AQ18" i="1"/>
  <c r="BI18" i="1"/>
  <c r="L19" i="1"/>
  <c r="N26" i="6"/>
  <c r="AN26" i="6" s="1"/>
  <c r="T26" i="6"/>
  <c r="AT26" i="6" s="1"/>
  <c r="AG19" i="1"/>
  <c r="AG81" i="1" s="1"/>
  <c r="AH19" i="1"/>
  <c r="AI19" i="1"/>
  <c r="AK19" i="1"/>
  <c r="BI19" i="1"/>
  <c r="L20" i="1"/>
  <c r="N20" i="1" s="1"/>
  <c r="AQ20" i="1"/>
  <c r="AG20" i="1"/>
  <c r="AH20" i="1"/>
  <c r="AI20" i="1"/>
  <c r="AK20" i="1"/>
  <c r="AN20" i="1"/>
  <c r="BI20" i="1"/>
  <c r="L21" i="1"/>
  <c r="AN21" i="1"/>
  <c r="AQ21" i="1"/>
  <c r="AB21" i="1"/>
  <c r="AG21" i="1"/>
  <c r="AH21" i="1"/>
  <c r="AI21" i="1"/>
  <c r="AK21" i="1"/>
  <c r="AT21" i="1"/>
  <c r="BI21" i="1"/>
  <c r="L22" i="1"/>
  <c r="AB22" i="1"/>
  <c r="AG22" i="1"/>
  <c r="AH22" i="1"/>
  <c r="AI22" i="1"/>
  <c r="AK22" i="1"/>
  <c r="AQ22" i="1"/>
  <c r="AZ22" i="1"/>
  <c r="BI22" i="1"/>
  <c r="L23" i="1"/>
  <c r="AN23" i="1"/>
  <c r="AQ23" i="1"/>
  <c r="AT23" i="1"/>
  <c r="AZ23" i="1"/>
  <c r="AG23" i="1"/>
  <c r="AG85" i="1" s="1"/>
  <c r="AH23" i="1"/>
  <c r="AI23" i="1"/>
  <c r="AK23" i="1"/>
  <c r="BI23" i="1"/>
  <c r="P86" i="1"/>
  <c r="L24" i="1"/>
  <c r="AJ24" i="1" s="1"/>
  <c r="AW24" i="1"/>
  <c r="AB24" i="1"/>
  <c r="AG24" i="1"/>
  <c r="AH24" i="1"/>
  <c r="AI24" i="1"/>
  <c r="AK24" i="1"/>
  <c r="AT24" i="1"/>
  <c r="BI24" i="1"/>
  <c r="L25" i="1"/>
  <c r="AN25" i="1"/>
  <c r="AB25" i="1"/>
  <c r="AG25" i="1"/>
  <c r="AH25" i="1"/>
  <c r="AI25" i="1"/>
  <c r="AK25" i="1"/>
  <c r="AZ25" i="1"/>
  <c r="BI25" i="1"/>
  <c r="L26" i="1"/>
  <c r="L27" i="1"/>
  <c r="AB27" i="1"/>
  <c r="L28" i="1"/>
  <c r="AN28" i="1"/>
  <c r="AW28" i="1"/>
  <c r="AG28" i="1"/>
  <c r="AG90" i="1" s="1"/>
  <c r="AH28" i="1"/>
  <c r="AI28" i="1"/>
  <c r="AK28" i="1"/>
  <c r="BI28" i="1"/>
  <c r="L29" i="1"/>
  <c r="AN29" i="1"/>
  <c r="AB29" i="1"/>
  <c r="AG29" i="1"/>
  <c r="AH29" i="1"/>
  <c r="AI29" i="1"/>
  <c r="AK29" i="1"/>
  <c r="AW29" i="1"/>
  <c r="BI29" i="1"/>
  <c r="L30" i="1"/>
  <c r="AB30" i="1"/>
  <c r="AG32" i="1"/>
  <c r="AH32" i="1"/>
  <c r="AI32" i="1"/>
  <c r="AJ32" i="1"/>
  <c r="AK32" i="1"/>
  <c r="AL32" i="1"/>
  <c r="AN32" i="1"/>
  <c r="AQ32" i="1"/>
  <c r="AT32" i="1"/>
  <c r="AW32" i="1"/>
  <c r="AZ32" i="1"/>
  <c r="BC32" i="1"/>
  <c r="BI32" i="1"/>
  <c r="AG33" i="1"/>
  <c r="AG95" i="1" s="1"/>
  <c r="AH33" i="1"/>
  <c r="AI33" i="1"/>
  <c r="AJ33" i="1"/>
  <c r="AK33" i="1"/>
  <c r="AL33" i="1"/>
  <c r="AN33" i="1"/>
  <c r="AQ33" i="1"/>
  <c r="AT33" i="1"/>
  <c r="AW33" i="1"/>
  <c r="AZ33" i="1"/>
  <c r="BC33" i="1"/>
  <c r="BI33" i="1"/>
  <c r="H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C34" i="1"/>
  <c r="BD34" i="1"/>
  <c r="BE34" i="1"/>
  <c r="BF34" i="1"/>
  <c r="BG34" i="1"/>
  <c r="BH34" i="1"/>
  <c r="BI34" i="1"/>
  <c r="AG35" i="1"/>
  <c r="AG97" i="1" s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C35" i="1"/>
  <c r="BD35" i="1"/>
  <c r="BE35" i="1"/>
  <c r="BF35" i="1"/>
  <c r="BG35" i="1"/>
  <c r="BH35" i="1"/>
  <c r="BI35" i="1"/>
  <c r="H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C36" i="1"/>
  <c r="BD36" i="1"/>
  <c r="BE36" i="1"/>
  <c r="BF36" i="1"/>
  <c r="BG36" i="1"/>
  <c r="BH36" i="1"/>
  <c r="BI36" i="1"/>
  <c r="H38" i="1"/>
  <c r="H40" i="1"/>
  <c r="H41" i="1"/>
  <c r="H44" i="1"/>
  <c r="H18" i="1" s="1"/>
  <c r="BC53" i="1"/>
  <c r="BD53" i="1"/>
  <c r="BE53" i="1"/>
  <c r="BF53" i="1"/>
  <c r="BG53" i="1"/>
  <c r="BH53" i="1"/>
  <c r="K60" i="1"/>
  <c r="I55" i="1"/>
  <c r="I162" i="1" s="1"/>
  <c r="I166" i="1" s="1"/>
  <c r="L55" i="1"/>
  <c r="L162" i="1" s="1"/>
  <c r="L166" i="1" s="1"/>
  <c r="O55" i="1"/>
  <c r="O162" i="1" s="1"/>
  <c r="O166" i="1" s="1"/>
  <c r="R55" i="1"/>
  <c r="R162" i="1" s="1"/>
  <c r="R166" i="1" s="1"/>
  <c r="U55" i="1"/>
  <c r="U162" i="1" s="1"/>
  <c r="U166" i="1" s="1"/>
  <c r="X55" i="1"/>
  <c r="X162" i="1" s="1"/>
  <c r="X166" i="1" s="1"/>
  <c r="AA55" i="1"/>
  <c r="AA162" i="1" s="1"/>
  <c r="AA166" i="1" s="1"/>
  <c r="I56" i="1"/>
  <c r="L56" i="1"/>
  <c r="O56" i="1"/>
  <c r="R56" i="1"/>
  <c r="U56" i="1"/>
  <c r="X56" i="1"/>
  <c r="AA56" i="1"/>
  <c r="I57" i="1"/>
  <c r="L57" i="1"/>
  <c r="O57" i="1"/>
  <c r="R57" i="1"/>
  <c r="U57" i="1"/>
  <c r="X57" i="1"/>
  <c r="AA57" i="1"/>
  <c r="J62" i="1"/>
  <c r="AB61" i="1"/>
  <c r="L64" i="1"/>
  <c r="B65" i="1"/>
  <c r="L65" i="1"/>
  <c r="B66" i="1"/>
  <c r="B67" i="1"/>
  <c r="C72" i="1"/>
  <c r="I73" i="1"/>
  <c r="AG73" i="1" s="1"/>
  <c r="L73" i="1"/>
  <c r="BC74" i="1" s="1"/>
  <c r="O73" i="1"/>
  <c r="R73" i="1"/>
  <c r="U73" i="1"/>
  <c r="AS73" i="1" s="1"/>
  <c r="X73" i="1"/>
  <c r="BG74" i="1" s="1"/>
  <c r="AA73" i="1"/>
  <c r="AY73" i="1" s="1"/>
  <c r="H74" i="1"/>
  <c r="H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C75" i="1"/>
  <c r="BD75" i="1"/>
  <c r="BE75" i="1"/>
  <c r="BF75" i="1"/>
  <c r="BH75" i="1"/>
  <c r="C76" i="1"/>
  <c r="D76" i="1"/>
  <c r="E76" i="1"/>
  <c r="G76" i="1"/>
  <c r="H76" i="1"/>
  <c r="I76" i="1"/>
  <c r="J76" i="1"/>
  <c r="K76" i="1"/>
  <c r="L76" i="1"/>
  <c r="M76" i="1"/>
  <c r="N76" i="1"/>
  <c r="BC76" i="1" s="1"/>
  <c r="O76" i="1"/>
  <c r="P76" i="1"/>
  <c r="Q76" i="1"/>
  <c r="R76" i="1"/>
  <c r="S76" i="1"/>
  <c r="T76" i="1"/>
  <c r="BE76" i="1" s="1"/>
  <c r="U76" i="1"/>
  <c r="V76" i="1"/>
  <c r="W76" i="1"/>
  <c r="BF76" i="1" s="1"/>
  <c r="X76" i="1"/>
  <c r="Y76" i="1"/>
  <c r="AZ76" i="1" s="1"/>
  <c r="Z76" i="1"/>
  <c r="BG76" i="1" s="1"/>
  <c r="AA76" i="1"/>
  <c r="AB76" i="1"/>
  <c r="AC76" i="1"/>
  <c r="BA76" i="1" s="1"/>
  <c r="AD76" i="1"/>
  <c r="AG76" i="1"/>
  <c r="AH76" i="1"/>
  <c r="AS76" i="1"/>
  <c r="AU76" i="1"/>
  <c r="AV76" i="1"/>
  <c r="AW76" i="1"/>
  <c r="AX76" i="1"/>
  <c r="C77" i="1"/>
  <c r="D77" i="1"/>
  <c r="G77" i="1"/>
  <c r="K77" i="1"/>
  <c r="C78" i="1"/>
  <c r="D78" i="1"/>
  <c r="G78" i="1"/>
  <c r="C79" i="1"/>
  <c r="D79" i="1"/>
  <c r="G79" i="1"/>
  <c r="C80" i="1"/>
  <c r="D80" i="1"/>
  <c r="G80" i="1"/>
  <c r="C81" i="1"/>
  <c r="D81" i="1"/>
  <c r="G81" i="1"/>
  <c r="C82" i="1"/>
  <c r="D82" i="1"/>
  <c r="G82" i="1"/>
  <c r="C83" i="1"/>
  <c r="D83" i="1"/>
  <c r="G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C84" i="1"/>
  <c r="H84" i="1" s="1"/>
  <c r="D84" i="1"/>
  <c r="G84" i="1"/>
  <c r="J84" i="1"/>
  <c r="Y84" i="1"/>
  <c r="C85" i="1"/>
  <c r="D85" i="1"/>
  <c r="G85" i="1"/>
  <c r="C86" i="1"/>
  <c r="D86" i="1"/>
  <c r="G86" i="1"/>
  <c r="C87" i="1"/>
  <c r="D87" i="1"/>
  <c r="G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C88" i="1"/>
  <c r="D88" i="1"/>
  <c r="G88" i="1"/>
  <c r="AG88" i="1"/>
  <c r="C89" i="1"/>
  <c r="D89" i="1"/>
  <c r="G89" i="1"/>
  <c r="C90" i="1"/>
  <c r="D90" i="1"/>
  <c r="G90" i="1"/>
  <c r="C91" i="1"/>
  <c r="D91" i="1"/>
  <c r="G91" i="1"/>
  <c r="C92" i="1"/>
  <c r="D92" i="1"/>
  <c r="G92" i="1"/>
  <c r="AG92" i="1"/>
  <c r="C93" i="1"/>
  <c r="D93" i="1"/>
  <c r="G93" i="1"/>
  <c r="AG93" i="1"/>
  <c r="C94" i="1"/>
  <c r="D94" i="1"/>
  <c r="G94" i="1"/>
  <c r="C95" i="1"/>
  <c r="D95" i="1"/>
  <c r="G95" i="1"/>
  <c r="C96" i="1"/>
  <c r="D96" i="1"/>
  <c r="G96" i="1"/>
  <c r="AD96" i="1"/>
  <c r="C97" i="1"/>
  <c r="D97" i="1"/>
  <c r="G97" i="1"/>
  <c r="AD97" i="1"/>
  <c r="C98" i="1"/>
  <c r="D98" i="1"/>
  <c r="G98" i="1"/>
  <c r="AD98" i="1"/>
  <c r="C99" i="1"/>
  <c r="D99" i="1"/>
  <c r="G99" i="1"/>
  <c r="AD99" i="1"/>
  <c r="AG99" i="1"/>
  <c r="C100" i="1"/>
  <c r="D100" i="1"/>
  <c r="G100" i="1"/>
  <c r="AD100" i="1"/>
  <c r="AG100" i="1"/>
  <c r="C101" i="1"/>
  <c r="D101" i="1"/>
  <c r="G101" i="1"/>
  <c r="AD101" i="1"/>
  <c r="C102" i="1"/>
  <c r="D102" i="1"/>
  <c r="G102" i="1"/>
  <c r="AD102" i="1"/>
  <c r="C103" i="1"/>
  <c r="D103" i="1"/>
  <c r="G103" i="1"/>
  <c r="AD103" i="1"/>
  <c r="AG103" i="1"/>
  <c r="C104" i="1"/>
  <c r="D104" i="1"/>
  <c r="G104" i="1"/>
  <c r="AD104" i="1"/>
  <c r="AG104" i="1"/>
  <c r="C105" i="1"/>
  <c r="D105" i="1"/>
  <c r="G105" i="1"/>
  <c r="AD105" i="1"/>
  <c r="AG105" i="1"/>
  <c r="C106" i="1"/>
  <c r="D106" i="1"/>
  <c r="G106" i="1"/>
  <c r="AD106" i="1"/>
  <c r="AG106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I163" i="1"/>
  <c r="L163" i="1"/>
  <c r="O163" i="1"/>
  <c r="R163" i="1"/>
  <c r="U163" i="1"/>
  <c r="X163" i="1"/>
  <c r="AA163" i="1"/>
  <c r="I171" i="1"/>
  <c r="I175" i="1"/>
  <c r="I179" i="1"/>
  <c r="F188" i="1"/>
  <c r="F189" i="1"/>
  <c r="F190" i="1"/>
  <c r="AQ29" i="1"/>
  <c r="AT18" i="1"/>
  <c r="Z26" i="6"/>
  <c r="AB19" i="1"/>
  <c r="AZ19" i="1"/>
  <c r="AN17" i="1"/>
  <c r="J60" i="1"/>
  <c r="AQ28" i="1"/>
  <c r="BD76" i="1"/>
  <c r="AQ24" i="1"/>
  <c r="AN15" i="1"/>
  <c r="AT29" i="1"/>
  <c r="AB23" i="1"/>
  <c r="AW22" i="1"/>
  <c r="W26" i="6"/>
  <c r="AW26" i="6" s="1"/>
  <c r="AW19" i="1"/>
  <c r="AZ21" i="1"/>
  <c r="N21" i="1"/>
  <c r="J15" i="7" s="1"/>
  <c r="AN19" i="1"/>
  <c r="M26" i="6"/>
  <c r="M51" i="6" s="1"/>
  <c r="M52" i="6" s="1"/>
  <c r="AW18" i="1"/>
  <c r="AT19" i="1"/>
  <c r="AW20" i="1"/>
  <c r="AC49" i="6"/>
  <c r="AC50" i="6" s="1"/>
  <c r="BE27" i="6"/>
  <c r="U49" i="6"/>
  <c r="BE49" i="6" s="1"/>
  <c r="M90" i="6"/>
  <c r="AW16" i="1"/>
  <c r="AW15" i="1"/>
  <c r="BD44" i="6"/>
  <c r="AO44" i="6"/>
  <c r="BE39" i="6"/>
  <c r="BC46" i="6"/>
  <c r="AK43" i="6"/>
  <c r="AH43" i="6"/>
  <c r="BE21" i="6"/>
  <c r="U55" i="6"/>
  <c r="AR21" i="6"/>
  <c r="AI24" i="6"/>
  <c r="BD40" i="6"/>
  <c r="AO40" i="6"/>
  <c r="BG37" i="6"/>
  <c r="AX37" i="6"/>
  <c r="AO35" i="6"/>
  <c r="AR44" i="6"/>
  <c r="BF30" i="6"/>
  <c r="AU30" i="6"/>
  <c r="BH46" i="6"/>
  <c r="BA46" i="6"/>
  <c r="AW29" i="6"/>
  <c r="AT14" i="6"/>
  <c r="AX45" i="6"/>
  <c r="BG45" i="6"/>
  <c r="AU38" i="6"/>
  <c r="BH36" i="6"/>
  <c r="BA36" i="6"/>
  <c r="BD33" i="6"/>
  <c r="AO33" i="6"/>
  <c r="AX24" i="6"/>
  <c r="BG24" i="6"/>
  <c r="AH24" i="6"/>
  <c r="AK24" i="6"/>
  <c r="AL23" i="6"/>
  <c r="BC23" i="6"/>
  <c r="BH35" i="6"/>
  <c r="BH33" i="6"/>
  <c r="BH24" i="6"/>
  <c r="BG16" i="6"/>
  <c r="AO14" i="6"/>
  <c r="BD14" i="6"/>
  <c r="BD56" i="6" s="1"/>
  <c r="AL38" i="6"/>
  <c r="AK16" i="6"/>
  <c r="BG46" i="6"/>
  <c r="AO45" i="6"/>
  <c r="AH41" i="6"/>
  <c r="AL40" i="6"/>
  <c r="AX38" i="6"/>
  <c r="BG38" i="6"/>
  <c r="AL33" i="6"/>
  <c r="BE30" i="6"/>
  <c r="BE15" i="6"/>
  <c r="AR15" i="6"/>
  <c r="AL14" i="6"/>
  <c r="BC14" i="6"/>
  <c r="BC56" i="6" s="1"/>
  <c r="BD27" i="6"/>
  <c r="AL27" i="6"/>
  <c r="BC27" i="6"/>
  <c r="BD37" i="6"/>
  <c r="AL34" i="6"/>
  <c r="BC34" i="6"/>
  <c r="AH26" i="6"/>
  <c r="AK26" i="6"/>
  <c r="BF25" i="6"/>
  <c r="AO19" i="6"/>
  <c r="AU16" i="6"/>
  <c r="D26" i="7"/>
  <c r="D26" i="8" s="1"/>
  <c r="I26" i="8" s="1"/>
  <c r="S12" i="6"/>
  <c r="S75" i="6" s="1"/>
  <c r="AP75" i="6" s="1"/>
  <c r="AX22" i="6"/>
  <c r="BG22" i="6"/>
  <c r="AU21" i="6"/>
  <c r="J27" i="7"/>
  <c r="AK17" i="6"/>
  <c r="BD16" i="6"/>
  <c r="AB28" i="7"/>
  <c r="AF28" i="8" s="1"/>
  <c r="G28" i="7"/>
  <c r="G28" i="8" s="1"/>
  <c r="S28" i="7"/>
  <c r="U28" i="8" s="1"/>
  <c r="D28" i="7"/>
  <c r="D28" i="8" s="1"/>
  <c r="I28" i="8" s="1"/>
  <c r="BK20" i="7"/>
  <c r="BK21" i="7" s="1"/>
  <c r="BK19" i="7"/>
  <c r="D16" i="7"/>
  <c r="D16" i="8" s="1"/>
  <c r="E16" i="7"/>
  <c r="E16" i="8" s="1"/>
  <c r="G16" i="7"/>
  <c r="G16" i="8" s="1"/>
  <c r="D13" i="7"/>
  <c r="I13" i="7" s="1"/>
  <c r="G12" i="7"/>
  <c r="G12" i="8" s="1"/>
  <c r="F9" i="7"/>
  <c r="F9" i="8" s="1"/>
  <c r="D9" i="7"/>
  <c r="AV5" i="8"/>
  <c r="E12" i="7"/>
  <c r="E12" i="8" s="1"/>
  <c r="L18" i="8"/>
  <c r="I18" i="8"/>
  <c r="BI25" i="6"/>
  <c r="BI27" i="6" s="1"/>
  <c r="BI28" i="6" s="1"/>
  <c r="BI29" i="6" s="1"/>
  <c r="BI30" i="6"/>
  <c r="BI31" i="6" s="1"/>
  <c r="BI32" i="6" s="1"/>
  <c r="BI33" i="6" s="1"/>
  <c r="BI34" i="6" s="1"/>
  <c r="BI35" i="6" s="1"/>
  <c r="BI37" i="6" s="1"/>
  <c r="BI39" i="6" s="1"/>
  <c r="BI41" i="6" s="1"/>
  <c r="BI43" i="6" s="1"/>
  <c r="BI45" i="6" s="1"/>
  <c r="T82" i="6" l="1"/>
  <c r="P82" i="6"/>
  <c r="AM33" i="1"/>
  <c r="Q33" i="1"/>
  <c r="S27" i="7" s="1"/>
  <c r="T27" i="7" s="1"/>
  <c r="H102" i="6"/>
  <c r="Y95" i="6"/>
  <c r="AV95" i="6" s="1"/>
  <c r="J82" i="6"/>
  <c r="AG82" i="6" s="1"/>
  <c r="W95" i="6"/>
  <c r="AC83" i="6"/>
  <c r="AD83" i="6"/>
  <c r="BH83" i="6" s="1"/>
  <c r="I95" i="6"/>
  <c r="T83" i="6"/>
  <c r="I83" i="6"/>
  <c r="V92" i="6"/>
  <c r="S96" i="6"/>
  <c r="Z94" i="6"/>
  <c r="Y94" i="6"/>
  <c r="I94" i="6"/>
  <c r="X94" i="6"/>
  <c r="BF94" i="6" s="1"/>
  <c r="AE82" i="6"/>
  <c r="V94" i="6"/>
  <c r="AS94" i="6" s="1"/>
  <c r="BC28" i="1"/>
  <c r="S82" i="6"/>
  <c r="L102" i="6"/>
  <c r="AI102" i="6" s="1"/>
  <c r="Q82" i="6"/>
  <c r="AQ82" i="6" s="1"/>
  <c r="K102" i="6"/>
  <c r="O5" i="8"/>
  <c r="M3" i="7"/>
  <c r="Q23" i="8"/>
  <c r="AL23" i="8"/>
  <c r="AB23" i="8"/>
  <c r="AM23" i="8"/>
  <c r="AC23" i="8"/>
  <c r="R22" i="8"/>
  <c r="AM22" i="8"/>
  <c r="AB87" i="6"/>
  <c r="AC81" i="6"/>
  <c r="AC94" i="6"/>
  <c r="O95" i="6"/>
  <c r="BC95" i="6" s="1"/>
  <c r="AC95" i="6"/>
  <c r="BF53" i="6"/>
  <c r="X54" i="6"/>
  <c r="BF54" i="6" s="1"/>
  <c r="AL34" i="8"/>
  <c r="R34" i="8"/>
  <c r="Q34" i="8"/>
  <c r="AX34" i="8"/>
  <c r="AN34" i="8"/>
  <c r="AC18" i="8"/>
  <c r="AB18" i="8"/>
  <c r="BI18" i="8"/>
  <c r="V88" i="6"/>
  <c r="O83" i="6"/>
  <c r="BC83" i="6" s="1"/>
  <c r="AB25" i="8"/>
  <c r="BK25" i="8"/>
  <c r="R25" i="8"/>
  <c r="AL25" i="8"/>
  <c r="P25" i="8"/>
  <c r="AU37" i="6"/>
  <c r="J101" i="6"/>
  <c r="AG101" i="6" s="1"/>
  <c r="R14" i="8"/>
  <c r="AW14" i="8"/>
  <c r="Q95" i="6"/>
  <c r="AQ95" i="6" s="1"/>
  <c r="I89" i="6"/>
  <c r="S88" i="6"/>
  <c r="H79" i="6"/>
  <c r="Q21" i="8"/>
  <c r="AC21" i="8"/>
  <c r="O89" i="6"/>
  <c r="BC89" i="6" s="1"/>
  <c r="Z87" i="6"/>
  <c r="AZ87" i="6" s="1"/>
  <c r="AE47" i="6"/>
  <c r="BC42" i="6"/>
  <c r="AJ27" i="6"/>
  <c r="N89" i="6"/>
  <c r="T88" i="6"/>
  <c r="Y87" i="6"/>
  <c r="AV87" i="6" s="1"/>
  <c r="Q81" i="6"/>
  <c r="AQ81" i="6" s="1"/>
  <c r="AN38" i="8"/>
  <c r="R38" i="8"/>
  <c r="AL38" i="8"/>
  <c r="AC38" i="8"/>
  <c r="O38" i="8"/>
  <c r="AW38" i="7"/>
  <c r="BG38" i="8" s="1"/>
  <c r="Q38" i="8"/>
  <c r="AD38" i="8"/>
  <c r="AM29" i="8"/>
  <c r="Q29" i="8"/>
  <c r="AC29" i="8"/>
  <c r="AB29" i="8"/>
  <c r="AN29" i="8"/>
  <c r="AL29" i="8"/>
  <c r="P10" i="8"/>
  <c r="AD10" i="8"/>
  <c r="AB10" i="8"/>
  <c r="AM10" i="8"/>
  <c r="W87" i="6"/>
  <c r="AW87" i="6" s="1"/>
  <c r="J99" i="6"/>
  <c r="AG99" i="6" s="1"/>
  <c r="AL33" i="8"/>
  <c r="BI33" i="7"/>
  <c r="AM33" i="8"/>
  <c r="R33" i="8"/>
  <c r="Q33" i="8"/>
  <c r="AN33" i="8"/>
  <c r="L91" i="6"/>
  <c r="AI91" i="6" s="1"/>
  <c r="R88" i="6"/>
  <c r="AA84" i="6"/>
  <c r="AN17" i="8"/>
  <c r="BJ17" i="8"/>
  <c r="AB17" i="8"/>
  <c r="P17" i="8"/>
  <c r="Q17" i="8"/>
  <c r="AC17" i="8"/>
  <c r="D29" i="7"/>
  <c r="I29" i="7" s="1"/>
  <c r="O85" i="6"/>
  <c r="AL85" i="6" s="1"/>
  <c r="AB77" i="6"/>
  <c r="AB111" i="6" s="1"/>
  <c r="N95" i="6"/>
  <c r="R94" i="6"/>
  <c r="AO94" i="6" s="1"/>
  <c r="K91" i="6"/>
  <c r="AH91" i="6" s="1"/>
  <c r="AA89" i="6"/>
  <c r="BG89" i="6" s="1"/>
  <c r="Q88" i="6"/>
  <c r="T87" i="6"/>
  <c r="Z84" i="6"/>
  <c r="AZ84" i="6" s="1"/>
  <c r="N82" i="6"/>
  <c r="AN82" i="6" s="1"/>
  <c r="Z106" i="6"/>
  <c r="AZ106" i="6" s="1"/>
  <c r="BE37" i="6"/>
  <c r="L98" i="6"/>
  <c r="AI98" i="6" s="1"/>
  <c r="W97" i="6"/>
  <c r="AW97" i="6" s="1"/>
  <c r="U96" i="6"/>
  <c r="BE96" i="6" s="1"/>
  <c r="AB37" i="7"/>
  <c r="AF37" i="8" s="1"/>
  <c r="AC37" i="8"/>
  <c r="AW37" i="8"/>
  <c r="AA37" i="8"/>
  <c r="AN37" i="8"/>
  <c r="AM37" i="8"/>
  <c r="AA28" i="8"/>
  <c r="AY28" i="7"/>
  <c r="BI28" i="8" s="1"/>
  <c r="AN28" i="8"/>
  <c r="AW28" i="7"/>
  <c r="BG28" i="8" s="1"/>
  <c r="AD28" i="8"/>
  <c r="AC28" i="8"/>
  <c r="AL24" i="8"/>
  <c r="P24" i="8"/>
  <c r="AC24" i="8"/>
  <c r="AM24" i="8"/>
  <c r="Q24" i="8"/>
  <c r="G29" i="7"/>
  <c r="G29" i="8" s="1"/>
  <c r="BH41" i="6"/>
  <c r="Q94" i="6"/>
  <c r="AQ94" i="6" s="1"/>
  <c r="E89" i="6"/>
  <c r="O88" i="6"/>
  <c r="AL88" i="6" s="1"/>
  <c r="S87" i="6"/>
  <c r="AP87" i="6" s="1"/>
  <c r="Y53" i="6"/>
  <c r="Y54" i="6" s="1"/>
  <c r="Z49" i="6"/>
  <c r="Z50" i="6" s="1"/>
  <c r="L90" i="6"/>
  <c r="AI90" i="6" s="1"/>
  <c r="AX21" i="6"/>
  <c r="AE77" i="6"/>
  <c r="AE111" i="6" s="1"/>
  <c r="AN32" i="8"/>
  <c r="R32" i="8"/>
  <c r="AC32" i="8"/>
  <c r="AD32" i="8"/>
  <c r="AN20" i="8"/>
  <c r="AM20" i="8"/>
  <c r="P20" i="8"/>
  <c r="AP11" i="6"/>
  <c r="J29" i="7"/>
  <c r="J29" i="8" s="1"/>
  <c r="BC44" i="6"/>
  <c r="BD25" i="6"/>
  <c r="AH20" i="6"/>
  <c r="AK36" i="6"/>
  <c r="O92" i="6"/>
  <c r="AL92" i="6" s="1"/>
  <c r="BH53" i="6"/>
  <c r="AK15" i="6"/>
  <c r="BD36" i="6"/>
  <c r="X89" i="6"/>
  <c r="BF89" i="6" s="1"/>
  <c r="AJ20" i="1"/>
  <c r="BH42" i="6"/>
  <c r="M104" i="6"/>
  <c r="AJ104" i="6" s="1"/>
  <c r="AH35" i="6"/>
  <c r="BF33" i="6"/>
  <c r="BH32" i="6"/>
  <c r="AV27" i="6"/>
  <c r="AK21" i="6"/>
  <c r="AU14" i="6"/>
  <c r="AD23" i="8"/>
  <c r="AL19" i="8"/>
  <c r="BI19" i="8"/>
  <c r="R19" i="8"/>
  <c r="AD108" i="6"/>
  <c r="BH108" i="6" s="1"/>
  <c r="AD95" i="6"/>
  <c r="BA95" i="6" s="1"/>
  <c r="P94" i="6"/>
  <c r="I92" i="6"/>
  <c r="Y89" i="6"/>
  <c r="AV89" i="6" s="1"/>
  <c r="N88" i="6"/>
  <c r="AN88" i="6" s="1"/>
  <c r="R87" i="6"/>
  <c r="BD87" i="6" s="1"/>
  <c r="X84" i="6"/>
  <c r="BF84" i="6" s="1"/>
  <c r="Y83" i="6"/>
  <c r="AV83" i="6" s="1"/>
  <c r="AD82" i="6"/>
  <c r="BH82" i="6" s="1"/>
  <c r="I82" i="6"/>
  <c r="BC45" i="6"/>
  <c r="Q105" i="6"/>
  <c r="AW35" i="6"/>
  <c r="AV21" i="6"/>
  <c r="AE84" i="6"/>
  <c r="Q16" i="8"/>
  <c r="BH16" i="8"/>
  <c r="BI16" i="8"/>
  <c r="AB16" i="8"/>
  <c r="AM16" i="8"/>
  <c r="AN16" i="8"/>
  <c r="AD16" i="8"/>
  <c r="G10" i="7"/>
  <c r="G10" i="8" s="1"/>
  <c r="BC18" i="6"/>
  <c r="AX19" i="6"/>
  <c r="AL29" i="6"/>
  <c r="AO42" i="6"/>
  <c r="O108" i="6"/>
  <c r="AL108" i="6" s="1"/>
  <c r="AC97" i="6"/>
  <c r="N94" i="6"/>
  <c r="H91" i="6"/>
  <c r="I88" i="6"/>
  <c r="P87" i="6"/>
  <c r="AM87" i="6" s="1"/>
  <c r="S84" i="6"/>
  <c r="AP84" i="6" s="1"/>
  <c r="W83" i="6"/>
  <c r="AW83" i="6" s="1"/>
  <c r="AB82" i="6"/>
  <c r="AY82" i="6" s="1"/>
  <c r="AH44" i="6"/>
  <c r="AE105" i="6"/>
  <c r="AK35" i="6"/>
  <c r="AB93" i="6"/>
  <c r="AY93" i="6" s="1"/>
  <c r="AX14" i="6"/>
  <c r="O36" i="8"/>
  <c r="AC36" i="8"/>
  <c r="AY36" i="8"/>
  <c r="AA36" i="8"/>
  <c r="AM36" i="8"/>
  <c r="AL36" i="8"/>
  <c r="P36" i="8"/>
  <c r="AB36" i="8"/>
  <c r="R36" i="8"/>
  <c r="AN27" i="8"/>
  <c r="Q27" i="8"/>
  <c r="AD27" i="8"/>
  <c r="AL27" i="8"/>
  <c r="BK27" i="8"/>
  <c r="P27" i="8"/>
  <c r="AN12" i="8"/>
  <c r="AL12" i="8"/>
  <c r="R12" i="8"/>
  <c r="AA12" i="8"/>
  <c r="AM12" i="8"/>
  <c r="Q12" i="8"/>
  <c r="P12" i="8"/>
  <c r="AM9" i="8"/>
  <c r="AC9" i="8"/>
  <c r="Q9" i="8"/>
  <c r="P9" i="8"/>
  <c r="O9" i="8"/>
  <c r="D10" i="7"/>
  <c r="D10" i="8" s="1"/>
  <c r="I10" i="8" s="1"/>
  <c r="AL30" i="6"/>
  <c r="BF42" i="6"/>
  <c r="BF31" i="6"/>
  <c r="AK45" i="6"/>
  <c r="AJ19" i="1"/>
  <c r="AJ81" i="1" s="1"/>
  <c r="V99" i="6"/>
  <c r="AA95" i="6"/>
  <c r="BG95" i="6" s="1"/>
  <c r="M94" i="6"/>
  <c r="AJ94" i="6" s="1"/>
  <c r="W89" i="6"/>
  <c r="AW89" i="6" s="1"/>
  <c r="AD88" i="6"/>
  <c r="BH88" i="6" s="1"/>
  <c r="N87" i="6"/>
  <c r="AN87" i="6" s="1"/>
  <c r="AE85" i="6"/>
  <c r="R84" i="6"/>
  <c r="BD84" i="6" s="1"/>
  <c r="V83" i="6"/>
  <c r="AS83" i="6" s="1"/>
  <c r="AA82" i="6"/>
  <c r="BG82" i="6" s="1"/>
  <c r="V56" i="6"/>
  <c r="Y55" i="6"/>
  <c r="V53" i="6"/>
  <c r="V54" i="6" s="1"/>
  <c r="V49" i="6"/>
  <c r="V50" i="6" s="1"/>
  <c r="F12" i="7"/>
  <c r="F12" i="8" s="1"/>
  <c r="F10" i="7"/>
  <c r="F10" i="8" s="1"/>
  <c r="BG17" i="6"/>
  <c r="BA16" i="6"/>
  <c r="BC21" i="6"/>
  <c r="AR36" i="6"/>
  <c r="BI21" i="6"/>
  <c r="BI23" i="6" s="1"/>
  <c r="T110" i="6"/>
  <c r="S99" i="6"/>
  <c r="AP99" i="6" s="1"/>
  <c r="Z95" i="6"/>
  <c r="AZ95" i="6" s="1"/>
  <c r="V89" i="6"/>
  <c r="AC88" i="6"/>
  <c r="L87" i="6"/>
  <c r="AI87" i="6" s="1"/>
  <c r="K85" i="6"/>
  <c r="Q84" i="6"/>
  <c r="U83" i="6"/>
  <c r="BE83" i="6" s="1"/>
  <c r="Y82" i="6"/>
  <c r="AV82" i="6" s="1"/>
  <c r="P56" i="6"/>
  <c r="P57" i="6" s="1"/>
  <c r="S55" i="6"/>
  <c r="T53" i="6"/>
  <c r="T54" i="6" s="1"/>
  <c r="T49" i="6"/>
  <c r="T50" i="6" s="1"/>
  <c r="AX42" i="6"/>
  <c r="L104" i="6"/>
  <c r="BG32" i="6"/>
  <c r="AA55" i="6"/>
  <c r="BG55" i="6" s="1"/>
  <c r="AH21" i="6"/>
  <c r="BH19" i="6"/>
  <c r="BG18" i="6"/>
  <c r="T80" i="6"/>
  <c r="AT80" i="6" s="1"/>
  <c r="AT111" i="6" s="1"/>
  <c r="AX31" i="8"/>
  <c r="AD31" i="8"/>
  <c r="P31" i="8"/>
  <c r="AL31" i="8"/>
  <c r="AJ90" i="6"/>
  <c r="M79" i="6"/>
  <c r="AJ79" i="6" s="1"/>
  <c r="BH17" i="6"/>
  <c r="O100" i="6"/>
  <c r="AL100" i="6" s="1"/>
  <c r="AD89" i="6"/>
  <c r="BH89" i="6" s="1"/>
  <c r="BF46" i="6"/>
  <c r="G8" i="7"/>
  <c r="U87" i="6"/>
  <c r="BE87" i="6" s="1"/>
  <c r="BH13" i="8"/>
  <c r="AL13" i="8"/>
  <c r="AB13" i="8"/>
  <c r="AM13" i="8"/>
  <c r="AC13" i="8"/>
  <c r="AA13" i="8"/>
  <c r="Q13" i="8"/>
  <c r="AR45" i="6"/>
  <c r="AC90" i="6"/>
  <c r="E10" i="7"/>
  <c r="E10" i="8" s="1"/>
  <c r="BF19" i="6"/>
  <c r="M55" i="6"/>
  <c r="AD94" i="6"/>
  <c r="BA94" i="6" s="1"/>
  <c r="T89" i="6"/>
  <c r="AT89" i="6" s="1"/>
  <c r="AA88" i="6"/>
  <c r="BG88" i="6" s="1"/>
  <c r="K87" i="6"/>
  <c r="AH87" i="6" s="1"/>
  <c r="J85" i="6"/>
  <c r="AG85" i="6" s="1"/>
  <c r="AT83" i="6"/>
  <c r="X82" i="6"/>
  <c r="AU82" i="6" s="1"/>
  <c r="R55" i="6"/>
  <c r="BD55" i="6" s="1"/>
  <c r="AX35" i="7"/>
  <c r="AR16" i="6"/>
  <c r="AL41" i="6"/>
  <c r="AD96" i="6"/>
  <c r="BH96" i="6" s="1"/>
  <c r="T90" i="6"/>
  <c r="AT90" i="6" s="1"/>
  <c r="Z88" i="6"/>
  <c r="AZ88" i="6" s="1"/>
  <c r="H85" i="6"/>
  <c r="W82" i="6"/>
  <c r="AW82" i="6" s="1"/>
  <c r="AK18" i="6"/>
  <c r="AX34" i="6"/>
  <c r="L53" i="6"/>
  <c r="L54" i="6" s="1"/>
  <c r="BF45" i="6"/>
  <c r="AC89" i="6"/>
  <c r="J108" i="6"/>
  <c r="BE23" i="6"/>
  <c r="J8" i="7"/>
  <c r="J8" i="8" s="1"/>
  <c r="J93" i="8" s="1"/>
  <c r="BA84" i="6"/>
  <c r="Z89" i="6"/>
  <c r="AZ89" i="6" s="1"/>
  <c r="Z83" i="6"/>
  <c r="AZ83" i="6" s="1"/>
  <c r="AH37" i="6"/>
  <c r="S89" i="6"/>
  <c r="AP89" i="6" s="1"/>
  <c r="J87" i="6"/>
  <c r="N84" i="6"/>
  <c r="AN84" i="6" s="1"/>
  <c r="S83" i="6"/>
  <c r="BE31" i="6"/>
  <c r="P26" i="8"/>
  <c r="AC26" i="8"/>
  <c r="AB26" i="8"/>
  <c r="BK26" i="8"/>
  <c r="AK26" i="8"/>
  <c r="BJ15" i="8"/>
  <c r="Q15" i="8"/>
  <c r="BH15" i="8"/>
  <c r="AN15" i="8"/>
  <c r="AC15" i="8"/>
  <c r="AN11" i="8"/>
  <c r="Q11" i="8"/>
  <c r="S37" i="7"/>
  <c r="U37" i="8" s="1"/>
  <c r="AA96" i="6"/>
  <c r="AX96" i="6" s="1"/>
  <c r="AA94" i="6"/>
  <c r="AX94" i="6" s="1"/>
  <c r="R89" i="6"/>
  <c r="BD89" i="6" s="1"/>
  <c r="AA77" i="6"/>
  <c r="AX77" i="6" s="1"/>
  <c r="J55" i="6"/>
  <c r="P53" i="6"/>
  <c r="P54" i="6" s="1"/>
  <c r="N49" i="6"/>
  <c r="N50" i="6" s="1"/>
  <c r="AX31" i="6"/>
  <c r="AC22" i="8"/>
  <c r="AA22" i="8"/>
  <c r="AL22" i="8"/>
  <c r="AN22" i="8"/>
  <c r="Q22" i="8"/>
  <c r="P22" i="8"/>
  <c r="U26" i="8"/>
  <c r="BG5" i="8"/>
  <c r="AW3" i="7"/>
  <c r="O97" i="6"/>
  <c r="AL97" i="6" s="1"/>
  <c r="W77" i="6"/>
  <c r="AW77" i="6" s="1"/>
  <c r="Y77" i="6"/>
  <c r="I97" i="6"/>
  <c r="U77" i="6"/>
  <c r="BE77" i="6" s="1"/>
  <c r="X77" i="6"/>
  <c r="BF77" i="6" s="1"/>
  <c r="S77" i="6"/>
  <c r="AE109" i="6"/>
  <c r="K84" i="6"/>
  <c r="AK84" i="6" s="1"/>
  <c r="Q77" i="6"/>
  <c r="Q111" i="6" s="1"/>
  <c r="AD109" i="6"/>
  <c r="J84" i="6"/>
  <c r="AG84" i="6" s="1"/>
  <c r="P77" i="6"/>
  <c r="AC109" i="6"/>
  <c r="O77" i="6"/>
  <c r="AA109" i="6"/>
  <c r="BG109" i="6" s="1"/>
  <c r="H84" i="6"/>
  <c r="M77" i="6"/>
  <c r="AJ77" i="6" s="1"/>
  <c r="T97" i="6"/>
  <c r="AT97" i="6" s="1"/>
  <c r="U109" i="6"/>
  <c r="BE109" i="6" s="1"/>
  <c r="T106" i="6"/>
  <c r="AT106" i="6" s="1"/>
  <c r="J77" i="6"/>
  <c r="J111" i="6" s="1"/>
  <c r="S109" i="6"/>
  <c r="AP109" i="6" s="1"/>
  <c r="I77" i="6"/>
  <c r="L77" i="6"/>
  <c r="AI77" i="6" s="1"/>
  <c r="I109" i="6"/>
  <c r="P106" i="6"/>
  <c r="AE102" i="6"/>
  <c r="H77" i="6"/>
  <c r="T77" i="6"/>
  <c r="AT77" i="6" s="1"/>
  <c r="J102" i="6"/>
  <c r="BF74" i="1"/>
  <c r="AK5" i="8"/>
  <c r="AE3" i="7"/>
  <c r="I74" i="1"/>
  <c r="AG74" i="1" s="1"/>
  <c r="X93" i="6"/>
  <c r="W93" i="6"/>
  <c r="AW93" i="6" s="1"/>
  <c r="P79" i="6"/>
  <c r="Z109" i="6"/>
  <c r="AA105" i="6"/>
  <c r="BG105" i="6" s="1"/>
  <c r="Y109" i="6"/>
  <c r="AV109" i="6" s="1"/>
  <c r="X105" i="6"/>
  <c r="BF105" i="6" s="1"/>
  <c r="X109" i="6"/>
  <c r="AU109" i="6" s="1"/>
  <c r="P105" i="6"/>
  <c r="AM105" i="6" s="1"/>
  <c r="W109" i="6"/>
  <c r="AW109" i="6" s="1"/>
  <c r="M105" i="6"/>
  <c r="W88" i="6"/>
  <c r="AW88" i="6" s="1"/>
  <c r="V109" i="6"/>
  <c r="AS109" i="6" s="1"/>
  <c r="L105" i="6"/>
  <c r="J105" i="6"/>
  <c r="W90" i="6"/>
  <c r="AW90" i="6" s="1"/>
  <c r="AC86" i="6"/>
  <c r="M86" i="6"/>
  <c r="AJ86" i="6" s="1"/>
  <c r="O109" i="6"/>
  <c r="BC109" i="6" s="1"/>
  <c r="Y106" i="6"/>
  <c r="M109" i="6"/>
  <c r="V106" i="6"/>
  <c r="AS106" i="6" s="1"/>
  <c r="AL82" i="6"/>
  <c r="N98" i="6"/>
  <c r="AN98" i="6" s="1"/>
  <c r="AA93" i="6"/>
  <c r="BG93" i="6" s="1"/>
  <c r="X79" i="6"/>
  <c r="BF79" i="6" s="1"/>
  <c r="W106" i="6"/>
  <c r="AW106" i="6" s="1"/>
  <c r="Y93" i="6"/>
  <c r="AV93" i="6" s="1"/>
  <c r="R106" i="6"/>
  <c r="BD106" i="6" s="1"/>
  <c r="V93" i="6"/>
  <c r="AS93" i="6" s="1"/>
  <c r="U93" i="6"/>
  <c r="T93" i="6"/>
  <c r="AT93" i="6" s="1"/>
  <c r="O106" i="6"/>
  <c r="R93" i="6"/>
  <c r="AO93" i="6" s="1"/>
  <c r="R109" i="6"/>
  <c r="BD109" i="6" s="1"/>
  <c r="N106" i="6"/>
  <c r="Q93" i="6"/>
  <c r="AQ93" i="6" s="1"/>
  <c r="Q109" i="6"/>
  <c r="AQ109" i="6" s="1"/>
  <c r="I106" i="6"/>
  <c r="O93" i="6"/>
  <c r="BC93" i="6" s="1"/>
  <c r="AA80" i="6"/>
  <c r="AX80" i="6" s="1"/>
  <c r="AX111" i="6" s="1"/>
  <c r="P109" i="6"/>
  <c r="AM109" i="6" s="1"/>
  <c r="N93" i="6"/>
  <c r="AN93" i="6" s="1"/>
  <c r="S80" i="6"/>
  <c r="AP80" i="6" s="1"/>
  <c r="AP111" i="6" s="1"/>
  <c r="M93" i="6"/>
  <c r="I80" i="6"/>
  <c r="N109" i="6"/>
  <c r="AN109" i="6" s="1"/>
  <c r="AD106" i="6"/>
  <c r="BH106" i="6" s="1"/>
  <c r="AD93" i="6"/>
  <c r="BH93" i="6" s="1"/>
  <c r="I93" i="6"/>
  <c r="R82" i="6"/>
  <c r="AO82" i="6" s="1"/>
  <c r="AB106" i="6"/>
  <c r="AY106" i="6" s="1"/>
  <c r="AC93" i="6"/>
  <c r="L52" i="1"/>
  <c r="N26" i="1"/>
  <c r="L50" i="1"/>
  <c r="L51" i="1"/>
  <c r="L70" i="1" s="1"/>
  <c r="AJ23" i="1"/>
  <c r="V84" i="6"/>
  <c r="AC82" i="6"/>
  <c r="U84" i="6"/>
  <c r="BE84" i="6" s="1"/>
  <c r="M56" i="6"/>
  <c r="M57" i="6" s="1"/>
  <c r="M74" i="6"/>
  <c r="AJ74" i="6" s="1"/>
  <c r="BF12" i="6"/>
  <c r="AG11" i="6"/>
  <c r="R31" i="1"/>
  <c r="T31" i="1" s="1"/>
  <c r="AB25" i="7" s="1"/>
  <c r="AC25" i="7" s="1"/>
  <c r="AB50" i="1"/>
  <c r="AK37" i="7"/>
  <c r="AQ37" i="8" s="1"/>
  <c r="R91" i="6"/>
  <c r="BD91" i="6" s="1"/>
  <c r="Q32" i="8"/>
  <c r="P32" i="8"/>
  <c r="F27" i="7"/>
  <c r="F27" i="8" s="1"/>
  <c r="AX37" i="8"/>
  <c r="AK37" i="8"/>
  <c r="AD37" i="8"/>
  <c r="Q37" i="8"/>
  <c r="P37" i="8"/>
  <c r="AM34" i="8"/>
  <c r="AD34" i="8"/>
  <c r="AC34" i="8"/>
  <c r="P34" i="8"/>
  <c r="AX29" i="8"/>
  <c r="BJ29" i="7"/>
  <c r="AW29" i="8"/>
  <c r="BA36" i="7"/>
  <c r="BK36" i="8" s="1"/>
  <c r="Q36" i="8"/>
  <c r="AC31" i="8"/>
  <c r="Q31" i="8"/>
  <c r="AB31" i="8"/>
  <c r="AA31" i="8"/>
  <c r="AM31" i="8"/>
  <c r="BI31" i="7"/>
  <c r="R31" i="8"/>
  <c r="AA38" i="8"/>
  <c r="AM38" i="8"/>
  <c r="AB38" i="8"/>
  <c r="AW33" i="8"/>
  <c r="O33" i="8"/>
  <c r="AC33" i="8"/>
  <c r="P33" i="8"/>
  <c r="AA33" i="8"/>
  <c r="Q28" i="8"/>
  <c r="P28" i="8"/>
  <c r="AB28" i="8"/>
  <c r="BC101" i="6"/>
  <c r="AL101" i="6"/>
  <c r="X108" i="6"/>
  <c r="AU108" i="6" s="1"/>
  <c r="Y105" i="6"/>
  <c r="AV105" i="6" s="1"/>
  <c r="O105" i="6"/>
  <c r="BC105" i="6" s="1"/>
  <c r="H98" i="6"/>
  <c r="AC96" i="6"/>
  <c r="R96" i="6"/>
  <c r="BD96" i="6" s="1"/>
  <c r="L95" i="6"/>
  <c r="AI95" i="6" s="1"/>
  <c r="V90" i="6"/>
  <c r="AS90" i="6" s="1"/>
  <c r="AE79" i="6"/>
  <c r="I108" i="6"/>
  <c r="W105" i="6"/>
  <c r="W104" i="6"/>
  <c r="AW104" i="6" s="1"/>
  <c r="Z96" i="6"/>
  <c r="AZ96" i="6" s="1"/>
  <c r="P96" i="6"/>
  <c r="AM96" i="6" s="1"/>
  <c r="S90" i="6"/>
  <c r="U105" i="6"/>
  <c r="BE105" i="6" s="1"/>
  <c r="Y96" i="6"/>
  <c r="AV96" i="6" s="1"/>
  <c r="N96" i="6"/>
  <c r="AN96" i="6" s="1"/>
  <c r="AB90" i="6"/>
  <c r="AY90" i="6" s="1"/>
  <c r="Q90" i="6"/>
  <c r="AQ90" i="6" s="1"/>
  <c r="BC85" i="6"/>
  <c r="U90" i="6"/>
  <c r="BE90" i="6" s="1"/>
  <c r="T105" i="6"/>
  <c r="I105" i="6"/>
  <c r="T101" i="6"/>
  <c r="AT101" i="6" s="1"/>
  <c r="AE98" i="6"/>
  <c r="X96" i="6"/>
  <c r="AU96" i="6" s="1"/>
  <c r="M96" i="6"/>
  <c r="AJ96" i="6" s="1"/>
  <c r="Z90" i="6"/>
  <c r="AZ90" i="6" s="1"/>
  <c r="O90" i="6"/>
  <c r="AD105" i="6"/>
  <c r="BH105" i="6" s="1"/>
  <c r="R105" i="6"/>
  <c r="BD105" i="6" s="1"/>
  <c r="V96" i="6"/>
  <c r="AS96" i="6" s="1"/>
  <c r="I96" i="6"/>
  <c r="Y90" i="6"/>
  <c r="N90" i="6"/>
  <c r="K79" i="6"/>
  <c r="AC105" i="6"/>
  <c r="X90" i="6"/>
  <c r="K118" i="6"/>
  <c r="L86" i="1"/>
  <c r="AJ17" i="1"/>
  <c r="U104" i="6"/>
  <c r="BE104" i="6" s="1"/>
  <c r="I104" i="6"/>
  <c r="T104" i="6"/>
  <c r="AT104" i="6" s="1"/>
  <c r="AO89" i="6"/>
  <c r="AD104" i="6"/>
  <c r="BH104" i="6" s="1"/>
  <c r="R104" i="6"/>
  <c r="BD104" i="6" s="1"/>
  <c r="AB89" i="6"/>
  <c r="AY89" i="6" s="1"/>
  <c r="AB104" i="6"/>
  <c r="AY104" i="6" s="1"/>
  <c r="Q104" i="6"/>
  <c r="BA82" i="6"/>
  <c r="Z104" i="6"/>
  <c r="P104" i="6"/>
  <c r="AM104" i="6" s="1"/>
  <c r="Y104" i="6"/>
  <c r="N104" i="6"/>
  <c r="AN104" i="6" s="1"/>
  <c r="X104" i="6"/>
  <c r="BF104" i="6" s="1"/>
  <c r="AE91" i="6"/>
  <c r="Y74" i="6"/>
  <c r="AV74" i="6" s="1"/>
  <c r="Y56" i="6"/>
  <c r="Y116" i="6" s="1"/>
  <c r="Y120" i="6" s="1"/>
  <c r="M12" i="6"/>
  <c r="AJ12" i="6" s="1"/>
  <c r="AM32" i="1"/>
  <c r="AU81" i="6"/>
  <c r="AC104" i="6"/>
  <c r="AC79" i="6"/>
  <c r="S105" i="6"/>
  <c r="AP105" i="6" s="1"/>
  <c r="AC92" i="6"/>
  <c r="AA87" i="6"/>
  <c r="BG87" i="6" s="1"/>
  <c r="M106" i="6"/>
  <c r="AJ106" i="6" s="1"/>
  <c r="AR35" i="6"/>
  <c r="U53" i="6"/>
  <c r="BE35" i="6"/>
  <c r="AJ32" i="6"/>
  <c r="M95" i="6"/>
  <c r="AJ95" i="6" s="1"/>
  <c r="Q85" i="6"/>
  <c r="M85" i="6"/>
  <c r="AJ85" i="6" s="1"/>
  <c r="N85" i="6"/>
  <c r="AN85" i="6" s="1"/>
  <c r="Y85" i="6"/>
  <c r="AV85" i="6" s="1"/>
  <c r="W85" i="6"/>
  <c r="AW85" i="6" s="1"/>
  <c r="AC85" i="6"/>
  <c r="AJ26" i="6"/>
  <c r="BD19" i="6"/>
  <c r="Z85" i="6"/>
  <c r="AZ85" i="6" s="1"/>
  <c r="R53" i="6"/>
  <c r="AB99" i="6"/>
  <c r="AY99" i="6" s="1"/>
  <c r="AD111" i="6"/>
  <c r="BH111" i="6" s="1"/>
  <c r="BA77" i="6"/>
  <c r="AE48" i="6"/>
  <c r="AE110" i="6"/>
  <c r="BF44" i="6"/>
  <c r="AU44" i="6"/>
  <c r="AY42" i="6"/>
  <c r="AB105" i="6"/>
  <c r="AY105" i="6" s="1"/>
  <c r="P97" i="6"/>
  <c r="AM97" i="6" s="1"/>
  <c r="Y97" i="6"/>
  <c r="AV97" i="6" s="1"/>
  <c r="Q97" i="6"/>
  <c r="AQ97" i="6" s="1"/>
  <c r="Z97" i="6"/>
  <c r="AZ97" i="6" s="1"/>
  <c r="R97" i="6"/>
  <c r="BD97" i="6" s="1"/>
  <c r="AA97" i="6"/>
  <c r="S97" i="6"/>
  <c r="AP97" i="6" s="1"/>
  <c r="AB97" i="6"/>
  <c r="AY97" i="6" s="1"/>
  <c r="M97" i="6"/>
  <c r="AJ97" i="6" s="1"/>
  <c r="U97" i="6"/>
  <c r="BE97" i="6" s="1"/>
  <c r="AD97" i="6"/>
  <c r="BH97" i="6" s="1"/>
  <c r="N97" i="6"/>
  <c r="AN97" i="6" s="1"/>
  <c r="V97" i="6"/>
  <c r="AS97" i="6" s="1"/>
  <c r="AY33" i="6"/>
  <c r="AB96" i="6"/>
  <c r="AY96" i="6" s="1"/>
  <c r="AT33" i="6"/>
  <c r="T96" i="6"/>
  <c r="AT96" i="6" s="1"/>
  <c r="AW25" i="6"/>
  <c r="AW55" i="6" s="1"/>
  <c r="BF22" i="6"/>
  <c r="X55" i="6"/>
  <c r="BF55" i="6" s="1"/>
  <c r="AM22" i="6"/>
  <c r="P55" i="6"/>
  <c r="L81" i="6"/>
  <c r="AI81" i="6" s="1"/>
  <c r="AE81" i="6"/>
  <c r="H81" i="6"/>
  <c r="K47" i="6"/>
  <c r="AH14" i="6"/>
  <c r="AK14" i="6"/>
  <c r="K77" i="6"/>
  <c r="AJ35" i="6"/>
  <c r="M53" i="6"/>
  <c r="M54" i="6" s="1"/>
  <c r="AR32" i="6"/>
  <c r="U95" i="6"/>
  <c r="BH27" i="6"/>
  <c r="AD49" i="6"/>
  <c r="AD50" i="6" s="1"/>
  <c r="BH50" i="6" s="1"/>
  <c r="AD90" i="6"/>
  <c r="BE25" i="6"/>
  <c r="U89" i="6"/>
  <c r="BE89" i="6" s="1"/>
  <c r="U88" i="6"/>
  <c r="AJ25" i="6"/>
  <c r="AJ55" i="6" s="1"/>
  <c r="M89" i="6"/>
  <c r="AJ89" i="6" s="1"/>
  <c r="M88" i="6"/>
  <c r="AJ88" i="6" s="1"/>
  <c r="AB27" i="8"/>
  <c r="O27" i="8"/>
  <c r="U86" i="6"/>
  <c r="AR86" i="6" s="1"/>
  <c r="O86" i="6"/>
  <c r="AL86" i="6" s="1"/>
  <c r="G27" i="7"/>
  <c r="G27" i="8" s="1"/>
  <c r="R85" i="6"/>
  <c r="BD85" i="6" s="1"/>
  <c r="W111" i="6"/>
  <c r="X47" i="6"/>
  <c r="J107" i="6"/>
  <c r="AG107" i="6" s="1"/>
  <c r="H107" i="6"/>
  <c r="AE107" i="6"/>
  <c r="AK42" i="6"/>
  <c r="AH42" i="6"/>
  <c r="K105" i="6"/>
  <c r="AK105" i="6" s="1"/>
  <c r="P100" i="6"/>
  <c r="AM100" i="6" s="1"/>
  <c r="Y100" i="6"/>
  <c r="AV100" i="6" s="1"/>
  <c r="Q100" i="6"/>
  <c r="AQ100" i="6" s="1"/>
  <c r="Z100" i="6"/>
  <c r="AZ100" i="6" s="1"/>
  <c r="R100" i="6"/>
  <c r="BD100" i="6" s="1"/>
  <c r="AA100" i="6"/>
  <c r="AX100" i="6" s="1"/>
  <c r="S100" i="6"/>
  <c r="AP100" i="6" s="1"/>
  <c r="AB100" i="6"/>
  <c r="AY100" i="6" s="1"/>
  <c r="M100" i="6"/>
  <c r="AJ100" i="6" s="1"/>
  <c r="V100" i="6"/>
  <c r="AS100" i="6" s="1"/>
  <c r="AD100" i="6"/>
  <c r="BH100" i="6" s="1"/>
  <c r="N100" i="6"/>
  <c r="AN100" i="6" s="1"/>
  <c r="W100" i="6"/>
  <c r="AW100" i="6" s="1"/>
  <c r="AZ30" i="6"/>
  <c r="Z93" i="6"/>
  <c r="AZ93" i="6" s="1"/>
  <c r="AP30" i="6"/>
  <c r="S93" i="6"/>
  <c r="AP93" i="6" s="1"/>
  <c r="BE29" i="6"/>
  <c r="U92" i="6"/>
  <c r="BE92" i="6" s="1"/>
  <c r="AW28" i="6"/>
  <c r="W91" i="6"/>
  <c r="AW91" i="6" s="1"/>
  <c r="BE20" i="6"/>
  <c r="AR20" i="6"/>
  <c r="BA18" i="6"/>
  <c r="BH18" i="6"/>
  <c r="AD47" i="6"/>
  <c r="AD110" i="6" s="1"/>
  <c r="BH110" i="6" s="1"/>
  <c r="AW18" i="6"/>
  <c r="W81" i="6"/>
  <c r="AW81" i="6" s="1"/>
  <c r="W94" i="6"/>
  <c r="AW94" i="6" s="1"/>
  <c r="AW31" i="6"/>
  <c r="AY20" i="6"/>
  <c r="AB83" i="6"/>
  <c r="AY83" i="6" s="1"/>
  <c r="AI16" i="6"/>
  <c r="L79" i="6"/>
  <c r="AI79" i="6" s="1"/>
  <c r="AP73" i="1"/>
  <c r="BE74" i="1"/>
  <c r="Z105" i="6"/>
  <c r="AZ105" i="6" s="1"/>
  <c r="AB95" i="6"/>
  <c r="AY95" i="6" s="1"/>
  <c r="AT46" i="6"/>
  <c r="T109" i="6"/>
  <c r="AT109" i="6" s="1"/>
  <c r="P108" i="6"/>
  <c r="AM108" i="6" s="1"/>
  <c r="Y108" i="6"/>
  <c r="AV108" i="6" s="1"/>
  <c r="Q108" i="6"/>
  <c r="AQ108" i="6" s="1"/>
  <c r="Z108" i="6"/>
  <c r="AZ108" i="6" s="1"/>
  <c r="R108" i="6"/>
  <c r="BD108" i="6" s="1"/>
  <c r="AA108" i="6"/>
  <c r="AX108" i="6" s="1"/>
  <c r="S108" i="6"/>
  <c r="AP108" i="6" s="1"/>
  <c r="AB108" i="6"/>
  <c r="AY108" i="6" s="1"/>
  <c r="M108" i="6"/>
  <c r="AJ108" i="6" s="1"/>
  <c r="U108" i="6"/>
  <c r="BE108" i="6" s="1"/>
  <c r="N108" i="6"/>
  <c r="AN108" i="6" s="1"/>
  <c r="W108" i="6"/>
  <c r="AA106" i="6"/>
  <c r="AX106" i="6" s="1"/>
  <c r="BG43" i="6"/>
  <c r="AP43" i="6"/>
  <c r="S106" i="6"/>
  <c r="AP106" i="6" s="1"/>
  <c r="H104" i="6"/>
  <c r="J104" i="6"/>
  <c r="AG104" i="6" s="1"/>
  <c r="K104" i="6"/>
  <c r="AH104" i="6" s="1"/>
  <c r="AE104" i="6"/>
  <c r="BA27" i="6"/>
  <c r="O55" i="6"/>
  <c r="BC55" i="6" s="1"/>
  <c r="O84" i="6"/>
  <c r="BC84" i="6" s="1"/>
  <c r="P13" i="8"/>
  <c r="AD13" i="8"/>
  <c r="R13" i="8"/>
  <c r="E13" i="7"/>
  <c r="E13" i="8" s="1"/>
  <c r="AQ88" i="6"/>
  <c r="K18" i="8"/>
  <c r="M18" i="8" s="1"/>
  <c r="J98" i="6"/>
  <c r="AG98" i="6" s="1"/>
  <c r="AA90" i="6"/>
  <c r="BG90" i="6" s="1"/>
  <c r="P101" i="6"/>
  <c r="AM101" i="6" s="1"/>
  <c r="X101" i="6"/>
  <c r="BF101" i="6" s="1"/>
  <c r="Q101" i="6"/>
  <c r="AQ101" i="6" s="1"/>
  <c r="Y101" i="6"/>
  <c r="AV101" i="6" s="1"/>
  <c r="R101" i="6"/>
  <c r="BD101" i="6" s="1"/>
  <c r="Z101" i="6"/>
  <c r="AZ101" i="6" s="1"/>
  <c r="I101" i="6"/>
  <c r="S101" i="6"/>
  <c r="AP101" i="6" s="1"/>
  <c r="AA101" i="6"/>
  <c r="BG101" i="6" s="1"/>
  <c r="M101" i="6"/>
  <c r="AJ101" i="6" s="1"/>
  <c r="U101" i="6"/>
  <c r="AR101" i="6" s="1"/>
  <c r="AC101" i="6"/>
  <c r="N101" i="6"/>
  <c r="AN101" i="6" s="1"/>
  <c r="V101" i="6"/>
  <c r="AS101" i="6" s="1"/>
  <c r="AD101" i="6"/>
  <c r="BA101" i="6" s="1"/>
  <c r="AU32" i="6"/>
  <c r="X95" i="6"/>
  <c r="AU95" i="6" s="1"/>
  <c r="AM32" i="6"/>
  <c r="P95" i="6"/>
  <c r="AM95" i="6" s="1"/>
  <c r="AE95" i="6"/>
  <c r="J95" i="6"/>
  <c r="AG95" i="6" s="1"/>
  <c r="AM30" i="6"/>
  <c r="P93" i="6"/>
  <c r="K93" i="6"/>
  <c r="AH93" i="6" s="1"/>
  <c r="J93" i="6"/>
  <c r="AG93" i="6" s="1"/>
  <c r="AM25" i="6"/>
  <c r="AM55" i="6" s="1"/>
  <c r="P89" i="6"/>
  <c r="AM89" i="6" s="1"/>
  <c r="P88" i="6"/>
  <c r="AM88" i="6" s="1"/>
  <c r="J88" i="6"/>
  <c r="AG88" i="6" s="1"/>
  <c r="H88" i="6"/>
  <c r="L85" i="6"/>
  <c r="AI85" i="6" s="1"/>
  <c r="AI22" i="6"/>
  <c r="AC55" i="6"/>
  <c r="AC60" i="6" s="1"/>
  <c r="AC84" i="6"/>
  <c r="BE19" i="6"/>
  <c r="U82" i="6"/>
  <c r="AJ19" i="6"/>
  <c r="M82" i="6"/>
  <c r="AB33" i="8"/>
  <c r="AZ35" i="6"/>
  <c r="Z53" i="6"/>
  <c r="Z54" i="6" s="1"/>
  <c r="BC31" i="6"/>
  <c r="O94" i="6"/>
  <c r="BC94" i="6" s="1"/>
  <c r="S86" i="6"/>
  <c r="AP86" i="6" s="1"/>
  <c r="N86" i="6"/>
  <c r="AN86" i="6" s="1"/>
  <c r="AG35" i="6"/>
  <c r="AB101" i="6"/>
  <c r="AY101" i="6" s="1"/>
  <c r="M87" i="6"/>
  <c r="O99" i="6"/>
  <c r="W99" i="6"/>
  <c r="P99" i="6"/>
  <c r="AM99" i="6" s="1"/>
  <c r="Y99" i="6"/>
  <c r="AV99" i="6" s="1"/>
  <c r="Q99" i="6"/>
  <c r="AQ99" i="6" s="1"/>
  <c r="Z99" i="6"/>
  <c r="AZ99" i="6" s="1"/>
  <c r="R99" i="6"/>
  <c r="AO99" i="6" s="1"/>
  <c r="AA99" i="6"/>
  <c r="AX99" i="6" s="1"/>
  <c r="T99" i="6"/>
  <c r="AT99" i="6" s="1"/>
  <c r="AC99" i="6"/>
  <c r="I99" i="6"/>
  <c r="U99" i="6"/>
  <c r="AR99" i="6" s="1"/>
  <c r="AD99" i="6"/>
  <c r="BH99" i="6" s="1"/>
  <c r="AW33" i="6"/>
  <c r="W96" i="6"/>
  <c r="AW96" i="6" s="1"/>
  <c r="BC33" i="6"/>
  <c r="O96" i="6"/>
  <c r="BC96" i="6" s="1"/>
  <c r="J96" i="6"/>
  <c r="AG96" i="6" s="1"/>
  <c r="K96" i="6"/>
  <c r="AH96" i="6" s="1"/>
  <c r="L96" i="6"/>
  <c r="AI96" i="6" s="1"/>
  <c r="AE96" i="6"/>
  <c r="AY31" i="6"/>
  <c r="AB94" i="6"/>
  <c r="AY94" i="6" s="1"/>
  <c r="AT31" i="6"/>
  <c r="T94" i="6"/>
  <c r="AT94" i="6" s="1"/>
  <c r="I79" i="6"/>
  <c r="Q79" i="6"/>
  <c r="AQ79" i="6" s="1"/>
  <c r="Y79" i="6"/>
  <c r="AV79" i="6" s="1"/>
  <c r="R79" i="6"/>
  <c r="BD79" i="6" s="1"/>
  <c r="Z79" i="6"/>
  <c r="AZ79" i="6" s="1"/>
  <c r="S79" i="6"/>
  <c r="AP79" i="6" s="1"/>
  <c r="AA79" i="6"/>
  <c r="T79" i="6"/>
  <c r="AT79" i="6" s="1"/>
  <c r="AB79" i="6"/>
  <c r="AY79" i="6" s="1"/>
  <c r="N79" i="6"/>
  <c r="AN79" i="6" s="1"/>
  <c r="V79" i="6"/>
  <c r="AS79" i="6" s="1"/>
  <c r="AD79" i="6"/>
  <c r="O79" i="6"/>
  <c r="BC79" i="6" s="1"/>
  <c r="W79" i="6"/>
  <c r="AW79" i="6" s="1"/>
  <c r="N78" i="6"/>
  <c r="AN78" i="6" s="1"/>
  <c r="AS14" i="6"/>
  <c r="V77" i="6"/>
  <c r="AS77" i="6" s="1"/>
  <c r="N77" i="6"/>
  <c r="N47" i="6"/>
  <c r="AN14" i="6"/>
  <c r="D27" i="7"/>
  <c r="D27" i="8" s="1"/>
  <c r="I27" i="8" s="1"/>
  <c r="W101" i="6"/>
  <c r="AW101" i="6" s="1"/>
  <c r="AS88" i="6"/>
  <c r="P85" i="6"/>
  <c r="AM85" i="6" s="1"/>
  <c r="AH81" i="6"/>
  <c r="AJ43" i="6"/>
  <c r="AU43" i="6"/>
  <c r="BF43" i="6"/>
  <c r="X106" i="6"/>
  <c r="BF106" i="6" s="1"/>
  <c r="V105" i="6"/>
  <c r="AS105" i="6" s="1"/>
  <c r="AS42" i="6"/>
  <c r="AN42" i="6"/>
  <c r="N105" i="6"/>
  <c r="AN105" i="6" s="1"/>
  <c r="BG41" i="6"/>
  <c r="AA104" i="6"/>
  <c r="BG104" i="6" s="1"/>
  <c r="AX41" i="6"/>
  <c r="AP41" i="6"/>
  <c r="S104" i="6"/>
  <c r="AP104" i="6" s="1"/>
  <c r="AM27" i="6"/>
  <c r="P90" i="6"/>
  <c r="AM90" i="6" s="1"/>
  <c r="P49" i="6"/>
  <c r="P50" i="6" s="1"/>
  <c r="AQ24" i="6"/>
  <c r="Q87" i="6"/>
  <c r="AQ87" i="6" s="1"/>
  <c r="AG24" i="6"/>
  <c r="J51" i="6"/>
  <c r="J52" i="6" s="1"/>
  <c r="T84" i="6"/>
  <c r="AT84" i="6" s="1"/>
  <c r="AT21" i="6"/>
  <c r="T55" i="6"/>
  <c r="T60" i="6" s="1"/>
  <c r="AI21" i="6"/>
  <c r="L84" i="6"/>
  <c r="L55" i="6"/>
  <c r="AU20" i="6"/>
  <c r="X83" i="6"/>
  <c r="AM20" i="6"/>
  <c r="P83" i="6"/>
  <c r="AM83" i="6" s="1"/>
  <c r="L83" i="6"/>
  <c r="AI83" i="6" s="1"/>
  <c r="K83" i="6"/>
  <c r="AK83" i="6" s="1"/>
  <c r="AH19" i="6"/>
  <c r="K82" i="6"/>
  <c r="AK82" i="6" s="1"/>
  <c r="AK19" i="6"/>
  <c r="AW16" i="6"/>
  <c r="W47" i="6"/>
  <c r="AU15" i="6"/>
  <c r="BF15" i="6"/>
  <c r="AC77" i="6"/>
  <c r="AC111" i="6" s="1"/>
  <c r="AC47" i="6"/>
  <c r="AC12" i="8"/>
  <c r="AW12" i="8"/>
  <c r="AQ89" i="6"/>
  <c r="AN103" i="6"/>
  <c r="BA23" i="6"/>
  <c r="AD22" i="8"/>
  <c r="AD20" i="8"/>
  <c r="AC20" i="8"/>
  <c r="R20" i="8"/>
  <c r="AA20" i="8"/>
  <c r="Q20" i="8"/>
  <c r="AA16" i="8"/>
  <c r="AL16" i="8"/>
  <c r="P16" i="8"/>
  <c r="AB11" i="8"/>
  <c r="AD11" i="8"/>
  <c r="AC11" i="8"/>
  <c r="R11" i="8"/>
  <c r="AL109" i="6"/>
  <c r="AK102" i="6"/>
  <c r="AK98" i="6"/>
  <c r="AO95" i="6"/>
  <c r="AP90" i="6"/>
  <c r="AM74" i="6"/>
  <c r="AO43" i="6"/>
  <c r="AC91" i="6"/>
  <c r="AX25" i="6"/>
  <c r="AX55" i="6" s="1"/>
  <c r="BE24" i="6"/>
  <c r="S81" i="6"/>
  <c r="AP81" i="6" s="1"/>
  <c r="J80" i="6"/>
  <c r="AG80" i="6" s="1"/>
  <c r="AG111" i="6" s="1"/>
  <c r="AM35" i="8"/>
  <c r="Q35" i="8"/>
  <c r="AA30" i="8"/>
  <c r="AD25" i="8"/>
  <c r="Q25" i="8"/>
  <c r="AC25" i="8"/>
  <c r="AM25" i="8"/>
  <c r="BH18" i="8"/>
  <c r="R18" i="8"/>
  <c r="AN18" i="8"/>
  <c r="AM18" i="8"/>
  <c r="AY87" i="6"/>
  <c r="K101" i="6"/>
  <c r="AH101" i="6" s="1"/>
  <c r="BF18" i="6"/>
  <c r="BH14" i="6"/>
  <c r="BH56" i="6" s="1"/>
  <c r="R37" i="8"/>
  <c r="AB37" i="8"/>
  <c r="AN23" i="8"/>
  <c r="BI23" i="7"/>
  <c r="AN19" i="8"/>
  <c r="AA19" i="8"/>
  <c r="AM19" i="8"/>
  <c r="Z19" i="8"/>
  <c r="BH19" i="7"/>
  <c r="AD19" i="8"/>
  <c r="AC19" i="8"/>
  <c r="AN14" i="8"/>
  <c r="AM14" i="8"/>
  <c r="AL14" i="8"/>
  <c r="Q14" i="8"/>
  <c r="BH14" i="7"/>
  <c r="P14" i="8"/>
  <c r="AD14" i="8"/>
  <c r="BK11" i="7"/>
  <c r="BK12" i="7" s="1"/>
  <c r="AL9" i="8"/>
  <c r="AB9" i="8"/>
  <c r="AA9" i="8"/>
  <c r="AX9" i="7"/>
  <c r="Z5" i="8"/>
  <c r="AV94" i="6"/>
  <c r="AM94" i="6"/>
  <c r="AV90" i="6"/>
  <c r="AT88" i="6"/>
  <c r="AN81" i="6"/>
  <c r="J106" i="6"/>
  <c r="AX40" i="6"/>
  <c r="BE38" i="6"/>
  <c r="AB34" i="8"/>
  <c r="AD29" i="8"/>
  <c r="P29" i="8"/>
  <c r="AL10" i="8"/>
  <c r="AX10" i="8"/>
  <c r="Q10" i="8"/>
  <c r="AA10" i="8"/>
  <c r="AJ73" i="1"/>
  <c r="AN90" i="6"/>
  <c r="AG79" i="6"/>
  <c r="AL39" i="6"/>
  <c r="AR18" i="6"/>
  <c r="AO17" i="6"/>
  <c r="AM21" i="8"/>
  <c r="AL21" i="8"/>
  <c r="P21" i="8"/>
  <c r="AK21" i="8"/>
  <c r="AD21" i="8"/>
  <c r="AA21" i="8"/>
  <c r="R21" i="8"/>
  <c r="AB21" i="8"/>
  <c r="AA17" i="8"/>
  <c r="AL17" i="8"/>
  <c r="AM17" i="8"/>
  <c r="BJ17" i="7"/>
  <c r="AK85" i="6"/>
  <c r="AD36" i="8"/>
  <c r="AN36" i="8"/>
  <c r="AN31" i="8"/>
  <c r="R26" i="8"/>
  <c r="AD26" i="8"/>
  <c r="Q26" i="8"/>
  <c r="AN26" i="8"/>
  <c r="AM26" i="8"/>
  <c r="AN24" i="8"/>
  <c r="AA24" i="8"/>
  <c r="R24" i="8"/>
  <c r="AD24" i="8"/>
  <c r="AB24" i="8"/>
  <c r="P15" i="8"/>
  <c r="AD15" i="8"/>
  <c r="BH15" i="7"/>
  <c r="AM15" i="8"/>
  <c r="AA15" i="8"/>
  <c r="AL15" i="8"/>
  <c r="BD28" i="6"/>
  <c r="U91" i="6"/>
  <c r="BE91" i="6" s="1"/>
  <c r="R27" i="8"/>
  <c r="N91" i="6"/>
  <c r="AN91" i="6" s="1"/>
  <c r="BC36" i="7"/>
  <c r="BM36" i="8" s="1"/>
  <c r="E30" i="7"/>
  <c r="E30" i="8" s="1"/>
  <c r="P92" i="6"/>
  <c r="AM92" i="6" s="1"/>
  <c r="X111" i="6"/>
  <c r="BF111" i="6" s="1"/>
  <c r="U103" i="6"/>
  <c r="AR103" i="6" s="1"/>
  <c r="V78" i="6"/>
  <c r="AS78" i="6" s="1"/>
  <c r="T86" i="6"/>
  <c r="AT86" i="6" s="1"/>
  <c r="M103" i="6"/>
  <c r="AJ103" i="6" s="1"/>
  <c r="H93" i="6"/>
  <c r="M78" i="6"/>
  <c r="AJ78" i="6" s="1"/>
  <c r="BC100" i="6"/>
  <c r="I85" i="6"/>
  <c r="AD81" i="6"/>
  <c r="H99" i="6"/>
  <c r="AE90" i="6"/>
  <c r="AA81" i="6"/>
  <c r="AX81" i="6" s="1"/>
  <c r="O104" i="6"/>
  <c r="AC103" i="6"/>
  <c r="X102" i="6"/>
  <c r="AU102" i="6" s="1"/>
  <c r="Y92" i="6"/>
  <c r="AV92" i="6" s="1"/>
  <c r="AD85" i="6"/>
  <c r="Y81" i="6"/>
  <c r="AV81" i="6" s="1"/>
  <c r="BC77" i="6"/>
  <c r="O91" i="6"/>
  <c r="BC91" i="6" s="1"/>
  <c r="O102" i="6"/>
  <c r="S92" i="6"/>
  <c r="AP92" i="6" s="1"/>
  <c r="L107" i="6"/>
  <c r="AI107" i="6" s="1"/>
  <c r="X85" i="6"/>
  <c r="AU85" i="6" s="1"/>
  <c r="U81" i="6"/>
  <c r="Q92" i="6"/>
  <c r="AQ92" i="6" s="1"/>
  <c r="K107" i="6"/>
  <c r="AH107" i="6" s="1"/>
  <c r="AD98" i="6"/>
  <c r="BH98" i="6" s="1"/>
  <c r="V85" i="6"/>
  <c r="AS85" i="6" s="1"/>
  <c r="T81" i="6"/>
  <c r="AT81" i="6" s="1"/>
  <c r="L100" i="6"/>
  <c r="AI100" i="6" s="1"/>
  <c r="V98" i="6"/>
  <c r="AS98" i="6" s="1"/>
  <c r="AD92" i="6"/>
  <c r="BH92" i="6" s="1"/>
  <c r="J86" i="1"/>
  <c r="K86" i="1"/>
  <c r="AB86" i="1"/>
  <c r="Y86" i="1"/>
  <c r="H86" i="1"/>
  <c r="V86" i="1"/>
  <c r="R32" i="1"/>
  <c r="AP32" i="1" s="1"/>
  <c r="AO32" i="1"/>
  <c r="BD32" i="1"/>
  <c r="T51" i="6"/>
  <c r="T52" i="6" s="1"/>
  <c r="N18" i="1"/>
  <c r="AL18" i="1" s="1"/>
  <c r="AJ29" i="1"/>
  <c r="AL25" i="1"/>
  <c r="AJ28" i="1"/>
  <c r="AJ22" i="1"/>
  <c r="K92" i="6"/>
  <c r="AH92" i="6" s="1"/>
  <c r="AJ16" i="1"/>
  <c r="AJ78" i="1" s="1"/>
  <c r="AJ15" i="1"/>
  <c r="N15" i="1"/>
  <c r="O17" i="1"/>
  <c r="O27" i="1"/>
  <c r="Q27" i="1" s="1"/>
  <c r="AJ21" i="1"/>
  <c r="BC19" i="1"/>
  <c r="BD93" i="6"/>
  <c r="AR79" i="6"/>
  <c r="AB103" i="6"/>
  <c r="AY103" i="6" s="1"/>
  <c r="T103" i="6"/>
  <c r="I103" i="6"/>
  <c r="W102" i="6"/>
  <c r="AW102" i="6" s="1"/>
  <c r="N102" i="6"/>
  <c r="AN102" i="6" s="1"/>
  <c r="K100" i="6"/>
  <c r="AK100" i="6" s="1"/>
  <c r="H90" i="6"/>
  <c r="L89" i="6"/>
  <c r="AI89" i="6" s="1"/>
  <c r="J83" i="6"/>
  <c r="AG83" i="6" s="1"/>
  <c r="U78" i="6"/>
  <c r="BE78" i="6" s="1"/>
  <c r="I78" i="6"/>
  <c r="AA103" i="6"/>
  <c r="BG103" i="6" s="1"/>
  <c r="S103" i="6"/>
  <c r="AP103" i="6" s="1"/>
  <c r="AD102" i="6"/>
  <c r="BH102" i="6" s="1"/>
  <c r="V102" i="6"/>
  <c r="AS102" i="6" s="1"/>
  <c r="M102" i="6"/>
  <c r="AJ102" i="6" s="1"/>
  <c r="J100" i="6"/>
  <c r="AG100" i="6" s="1"/>
  <c r="J89" i="6"/>
  <c r="AG89" i="6" s="1"/>
  <c r="AD78" i="6"/>
  <c r="T78" i="6"/>
  <c r="AT78" i="6" s="1"/>
  <c r="S79" i="1"/>
  <c r="AE108" i="6"/>
  <c r="Z103" i="6"/>
  <c r="AZ103" i="6" s="1"/>
  <c r="R103" i="6"/>
  <c r="BD103" i="6" s="1"/>
  <c r="AC102" i="6"/>
  <c r="T102" i="6"/>
  <c r="AT102" i="6" s="1"/>
  <c r="AE99" i="6"/>
  <c r="AE88" i="6"/>
  <c r="H83" i="6"/>
  <c r="AC78" i="6"/>
  <c r="R78" i="6"/>
  <c r="AO78" i="6" s="1"/>
  <c r="AR89" i="6"/>
  <c r="J81" i="1"/>
  <c r="L79" i="1"/>
  <c r="L108" i="6"/>
  <c r="AI108" i="6" s="1"/>
  <c r="Y103" i="6"/>
  <c r="Q103" i="6"/>
  <c r="AQ103" i="6" s="1"/>
  <c r="AB102" i="6"/>
  <c r="AY102" i="6" s="1"/>
  <c r="S102" i="6"/>
  <c r="AP102" i="6" s="1"/>
  <c r="H100" i="6"/>
  <c r="L99" i="6"/>
  <c r="AI99" i="6" s="1"/>
  <c r="H89" i="6"/>
  <c r="AB78" i="6"/>
  <c r="AY78" i="6" s="1"/>
  <c r="Q78" i="6"/>
  <c r="AQ78" i="6" s="1"/>
  <c r="AB81" i="1"/>
  <c r="K108" i="6"/>
  <c r="AK108" i="6" s="1"/>
  <c r="X103" i="6"/>
  <c r="BF103" i="6" s="1"/>
  <c r="P103" i="6"/>
  <c r="AM103" i="6" s="1"/>
  <c r="AA102" i="6"/>
  <c r="AX102" i="6" s="1"/>
  <c r="R102" i="6"/>
  <c r="K99" i="6"/>
  <c r="AH99" i="6" s="1"/>
  <c r="K88" i="6"/>
  <c r="Y78" i="6"/>
  <c r="AV78" i="6" s="1"/>
  <c r="P78" i="6"/>
  <c r="AM78" i="6" s="1"/>
  <c r="AN81" i="1"/>
  <c r="W103" i="6"/>
  <c r="AW103" i="6" s="1"/>
  <c r="O103" i="6"/>
  <c r="Z102" i="6"/>
  <c r="AZ102" i="6" s="1"/>
  <c r="Q102" i="6"/>
  <c r="AQ102" i="6" s="1"/>
  <c r="I102" i="6"/>
  <c r="AE89" i="6"/>
  <c r="AE83" i="6"/>
  <c r="X78" i="6"/>
  <c r="O78" i="6"/>
  <c r="BC78" i="6" s="1"/>
  <c r="K79" i="1"/>
  <c r="AD103" i="6"/>
  <c r="BA103" i="6" s="1"/>
  <c r="V103" i="6"/>
  <c r="AS103" i="6" s="1"/>
  <c r="Y102" i="6"/>
  <c r="AV102" i="6" s="1"/>
  <c r="P102" i="6"/>
  <c r="AM102" i="6" s="1"/>
  <c r="W78" i="6"/>
  <c r="AW78" i="6" s="1"/>
  <c r="AJ99" i="1"/>
  <c r="I92" i="1"/>
  <c r="V88" i="1"/>
  <c r="I81" i="1"/>
  <c r="M79" i="1"/>
  <c r="K78" i="1"/>
  <c r="Q106" i="1"/>
  <c r="BD106" i="1" s="1"/>
  <c r="Q97" i="1"/>
  <c r="BD97" i="1" s="1"/>
  <c r="T104" i="1"/>
  <c r="BE104" i="1" s="1"/>
  <c r="M105" i="1"/>
  <c r="N103" i="1"/>
  <c r="BC103" i="1" s="1"/>
  <c r="O94" i="1"/>
  <c r="J77" i="1"/>
  <c r="P85" i="1"/>
  <c r="P93" i="1"/>
  <c r="I86" i="1"/>
  <c r="I91" i="1"/>
  <c r="T101" i="1"/>
  <c r="K83" i="1"/>
  <c r="I87" i="1"/>
  <c r="K98" i="1"/>
  <c r="J82" i="1"/>
  <c r="L54" i="1"/>
  <c r="L60" i="1" s="1"/>
  <c r="L51" i="6"/>
  <c r="L52" i="6" s="1"/>
  <c r="AC108" i="6"/>
  <c r="AB84" i="1"/>
  <c r="AA74" i="1"/>
  <c r="AY74" i="1" s="1"/>
  <c r="AV12" i="1"/>
  <c r="AV73" i="1"/>
  <c r="V12" i="6"/>
  <c r="U74" i="1"/>
  <c r="AS74" i="1" s="1"/>
  <c r="V74" i="6"/>
  <c r="R74" i="1"/>
  <c r="AP74" i="1" s="1"/>
  <c r="S56" i="6"/>
  <c r="S116" i="6" s="1"/>
  <c r="S120" i="6" s="1"/>
  <c r="AP12" i="6"/>
  <c r="BE12" i="6"/>
  <c r="P75" i="6"/>
  <c r="AM75" i="6" s="1"/>
  <c r="O74" i="1"/>
  <c r="AM74" i="1" s="1"/>
  <c r="L74" i="1"/>
  <c r="AJ74" i="1" s="1"/>
  <c r="AG12" i="6"/>
  <c r="J83" i="1"/>
  <c r="AK81" i="1"/>
  <c r="L83" i="1"/>
  <c r="N51" i="6"/>
  <c r="N52" i="6" s="1"/>
  <c r="Y81" i="1"/>
  <c r="AZ81" i="1" s="1"/>
  <c r="I79" i="1"/>
  <c r="Y83" i="1"/>
  <c r="AZ83" i="1" s="1"/>
  <c r="M81" i="1"/>
  <c r="J79" i="1"/>
  <c r="V83" i="1"/>
  <c r="L81" i="1"/>
  <c r="I83" i="1"/>
  <c r="AI81" i="1"/>
  <c r="AT81" i="1"/>
  <c r="AW81" i="1"/>
  <c r="M83" i="1"/>
  <c r="K81" i="1"/>
  <c r="Y79" i="1"/>
  <c r="H79" i="1"/>
  <c r="AC26" i="6"/>
  <c r="AC51" i="6" s="1"/>
  <c r="AC52" i="6" s="1"/>
  <c r="J13" i="7"/>
  <c r="J13" i="8" s="1"/>
  <c r="W51" i="6"/>
  <c r="W52" i="6" s="1"/>
  <c r="AE103" i="6"/>
  <c r="H103" i="6"/>
  <c r="J103" i="6"/>
  <c r="AG103" i="6" s="1"/>
  <c r="K103" i="6"/>
  <c r="AH103" i="6" s="1"/>
  <c r="L103" i="6"/>
  <c r="AI103" i="6" s="1"/>
  <c r="AY77" i="6"/>
  <c r="AI92" i="1"/>
  <c r="AK92" i="1"/>
  <c r="S81" i="1"/>
  <c r="J90" i="6"/>
  <c r="AG90" i="6" s="1"/>
  <c r="AB83" i="1"/>
  <c r="AW85" i="1"/>
  <c r="I16" i="7"/>
  <c r="I85" i="1"/>
  <c r="J92" i="6"/>
  <c r="AG92" i="6" s="1"/>
  <c r="BE100" i="6"/>
  <c r="AQ92" i="1"/>
  <c r="AX93" i="6"/>
  <c r="R86" i="6"/>
  <c r="AO86" i="6" s="1"/>
  <c r="V81" i="1"/>
  <c r="H81" i="1"/>
  <c r="BA104" i="6"/>
  <c r="I33" i="8"/>
  <c r="K33" i="8" s="1"/>
  <c r="M103" i="1"/>
  <c r="H94" i="8"/>
  <c r="G94" i="8"/>
  <c r="L92" i="8"/>
  <c r="AV50" i="7"/>
  <c r="J14" i="7"/>
  <c r="J14" i="8" s="1"/>
  <c r="N83" i="1"/>
  <c r="BC83" i="1" s="1"/>
  <c r="BH28" i="6"/>
  <c r="AD91" i="6"/>
  <c r="AT28" i="7"/>
  <c r="BB28" i="8" s="1"/>
  <c r="F28" i="7"/>
  <c r="F28" i="8" s="1"/>
  <c r="AR28" i="6"/>
  <c r="BC28" i="7"/>
  <c r="BM28" i="8" s="1"/>
  <c r="J28" i="7"/>
  <c r="J28" i="8" s="1"/>
  <c r="R92" i="6"/>
  <c r="AO92" i="6" s="1"/>
  <c r="V91" i="6"/>
  <c r="AS91" i="6" s="1"/>
  <c r="AB93" i="1"/>
  <c r="H95" i="1"/>
  <c r="AH95" i="1"/>
  <c r="AQ104" i="1"/>
  <c r="AV92" i="1"/>
  <c r="BC28" i="6"/>
  <c r="J26" i="7"/>
  <c r="J26" i="8" s="1"/>
  <c r="J164" i="1"/>
  <c r="AB95" i="1"/>
  <c r="AN92" i="1"/>
  <c r="O50" i="6"/>
  <c r="BC50" i="6" s="1"/>
  <c r="AJ92" i="1"/>
  <c r="N92" i="6"/>
  <c r="AN92" i="6" s="1"/>
  <c r="AR104" i="1"/>
  <c r="G26" i="7"/>
  <c r="G26" i="8" s="1"/>
  <c r="S104" i="1"/>
  <c r="P103" i="1"/>
  <c r="AI104" i="1"/>
  <c r="AU92" i="1"/>
  <c r="F26" i="7"/>
  <c r="F26" i="8" s="1"/>
  <c r="O104" i="1"/>
  <c r="AB92" i="1"/>
  <c r="AB92" i="6"/>
  <c r="AY92" i="6" s="1"/>
  <c r="AS104" i="1"/>
  <c r="K104" i="1"/>
  <c r="AK33" i="7"/>
  <c r="AQ33" i="8" s="1"/>
  <c r="BG29" i="6"/>
  <c r="AK31" i="7"/>
  <c r="AQ31" i="8" s="1"/>
  <c r="AA92" i="6"/>
  <c r="BG92" i="6" s="1"/>
  <c r="M92" i="6"/>
  <c r="AJ92" i="6" s="1"/>
  <c r="AP29" i="6"/>
  <c r="BC29" i="7"/>
  <c r="BM29" i="8" s="1"/>
  <c r="AK29" i="6"/>
  <c r="AQ29" i="6"/>
  <c r="AG29" i="6"/>
  <c r="AK30" i="7"/>
  <c r="S31" i="7"/>
  <c r="U31" i="8" s="1"/>
  <c r="AT29" i="7"/>
  <c r="BB29" i="8" s="1"/>
  <c r="S30" i="7"/>
  <c r="BC38" i="7"/>
  <c r="BM38" i="8" s="1"/>
  <c r="AK29" i="7"/>
  <c r="AQ29" i="8" s="1"/>
  <c r="H103" i="1"/>
  <c r="AA99" i="1"/>
  <c r="AR93" i="1"/>
  <c r="AT38" i="7"/>
  <c r="BB38" i="8" s="1"/>
  <c r="F29" i="7"/>
  <c r="F29" i="8" s="1"/>
  <c r="T92" i="6"/>
  <c r="AT92" i="6" s="1"/>
  <c r="BH49" i="6"/>
  <c r="BC92" i="6"/>
  <c r="I26" i="7"/>
  <c r="AB29" i="7"/>
  <c r="AF29" i="8" s="1"/>
  <c r="AA104" i="1"/>
  <c r="AP103" i="1"/>
  <c r="I99" i="1"/>
  <c r="AW95" i="1"/>
  <c r="S29" i="7"/>
  <c r="U29" i="8" s="1"/>
  <c r="AX28" i="6"/>
  <c r="Z104" i="1"/>
  <c r="BG104" i="1" s="1"/>
  <c r="AB91" i="6"/>
  <c r="AY91" i="6" s="1"/>
  <c r="U50" i="6"/>
  <c r="BE50" i="6" s="1"/>
  <c r="AB31" i="7"/>
  <c r="AF31" i="8" s="1"/>
  <c r="AN103" i="1"/>
  <c r="P94" i="1"/>
  <c r="Z92" i="6"/>
  <c r="AZ92" i="6" s="1"/>
  <c r="M91" i="6"/>
  <c r="AJ91" i="6" s="1"/>
  <c r="BG49" i="6"/>
  <c r="AB38" i="7"/>
  <c r="AF38" i="8" s="1"/>
  <c r="X92" i="6"/>
  <c r="BF92" i="6" s="1"/>
  <c r="S91" i="6"/>
  <c r="AP91" i="6" s="1"/>
  <c r="U103" i="1"/>
  <c r="H92" i="1"/>
  <c r="AA91" i="6"/>
  <c r="BG91" i="6" s="1"/>
  <c r="AL28" i="6"/>
  <c r="AX106" i="1"/>
  <c r="AB97" i="1"/>
  <c r="L92" i="6"/>
  <c r="AI92" i="6" s="1"/>
  <c r="Z91" i="6"/>
  <c r="AZ91" i="6" s="1"/>
  <c r="AE92" i="6"/>
  <c r="AT37" i="7"/>
  <c r="BB37" i="8" s="1"/>
  <c r="BC33" i="7"/>
  <c r="BM33" i="8" s="1"/>
  <c r="BC31" i="7"/>
  <c r="BM31" i="8" s="1"/>
  <c r="AK106" i="1"/>
  <c r="AU29" i="6"/>
  <c r="AT31" i="7"/>
  <c r="BB31" i="8" s="1"/>
  <c r="AR91" i="6"/>
  <c r="I94" i="1"/>
  <c r="AT103" i="1"/>
  <c r="AR29" i="6"/>
  <c r="S33" i="7"/>
  <c r="U33" i="8" s="1"/>
  <c r="AL37" i="8"/>
  <c r="P87" i="1"/>
  <c r="Y92" i="1"/>
  <c r="AZ92" i="1" s="1"/>
  <c r="Q94" i="1"/>
  <c r="AN106" i="1"/>
  <c r="AH103" i="1"/>
  <c r="T97" i="1"/>
  <c r="BE97" i="1" s="1"/>
  <c r="N94" i="1"/>
  <c r="AW92" i="1"/>
  <c r="AH92" i="1"/>
  <c r="AB91" i="1"/>
  <c r="I77" i="1"/>
  <c r="H87" i="1"/>
  <c r="AL28" i="1"/>
  <c r="AY92" i="1"/>
  <c r="AA105" i="1"/>
  <c r="X103" i="1"/>
  <c r="K95" i="1"/>
  <c r="AT92" i="1"/>
  <c r="L92" i="1"/>
  <c r="V87" i="1"/>
  <c r="Y77" i="1"/>
  <c r="H77" i="1"/>
  <c r="K92" i="1"/>
  <c r="N106" i="1"/>
  <c r="BC106" i="1" s="1"/>
  <c r="AW97" i="1"/>
  <c r="H94" i="1"/>
  <c r="N93" i="1"/>
  <c r="BC93" i="1" s="1"/>
  <c r="AR92" i="1"/>
  <c r="J92" i="1"/>
  <c r="M87" i="1"/>
  <c r="S77" i="1"/>
  <c r="AN97" i="1"/>
  <c r="M106" i="1"/>
  <c r="S94" i="1"/>
  <c r="K87" i="1"/>
  <c r="P77" i="1"/>
  <c r="AQ105" i="1"/>
  <c r="AB94" i="1"/>
  <c r="K94" i="1"/>
  <c r="Y91" i="1"/>
  <c r="AS92" i="1"/>
  <c r="AX93" i="1"/>
  <c r="AL92" i="1"/>
  <c r="J87" i="1"/>
  <c r="L77" i="1"/>
  <c r="BC98" i="6"/>
  <c r="AL98" i="6"/>
  <c r="H86" i="6"/>
  <c r="L86" i="6"/>
  <c r="AI86" i="6" s="1"/>
  <c r="AE86" i="6"/>
  <c r="AR88" i="1"/>
  <c r="AH88" i="1"/>
  <c r="H106" i="6"/>
  <c r="AC98" i="6"/>
  <c r="U98" i="6"/>
  <c r="M98" i="6"/>
  <c r="AJ98" i="6" s="1"/>
  <c r="L97" i="6"/>
  <c r="AI97" i="6" s="1"/>
  <c r="Z80" i="6"/>
  <c r="AZ80" i="6" s="1"/>
  <c r="AZ111" i="6" s="1"/>
  <c r="R80" i="6"/>
  <c r="AC106" i="6"/>
  <c r="U106" i="6"/>
  <c r="AR106" i="6" s="1"/>
  <c r="K88" i="1"/>
  <c r="I82" i="1"/>
  <c r="AR83" i="6"/>
  <c r="P91" i="1"/>
  <c r="P105" i="1"/>
  <c r="V91" i="1"/>
  <c r="H91" i="1"/>
  <c r="AY88" i="1"/>
  <c r="AP88" i="1"/>
  <c r="I88" i="1"/>
  <c r="AQ104" i="6"/>
  <c r="H101" i="6"/>
  <c r="AB98" i="6"/>
  <c r="AY98" i="6" s="1"/>
  <c r="T98" i="6"/>
  <c r="AT98" i="6" s="1"/>
  <c r="K97" i="6"/>
  <c r="Y80" i="6"/>
  <c r="AV80" i="6" s="1"/>
  <c r="AV111" i="6" s="1"/>
  <c r="Q80" i="6"/>
  <c r="AQ80" i="6" s="1"/>
  <c r="AQ111" i="6" s="1"/>
  <c r="AI88" i="1"/>
  <c r="D13" i="8"/>
  <c r="I13" i="8" s="1"/>
  <c r="X97" i="1"/>
  <c r="AO104" i="1"/>
  <c r="Q104" i="1"/>
  <c r="BD104" i="1" s="1"/>
  <c r="W99" i="1"/>
  <c r="BF99" i="1" s="1"/>
  <c r="M97" i="1"/>
  <c r="S91" i="1"/>
  <c r="AX88" i="1"/>
  <c r="AN88" i="1"/>
  <c r="AB88" i="1"/>
  <c r="AJ85" i="1"/>
  <c r="V82" i="1"/>
  <c r="H82" i="1"/>
  <c r="L109" i="6"/>
  <c r="AI109" i="6" s="1"/>
  <c r="AG108" i="6"/>
  <c r="AQ106" i="6"/>
  <c r="AE101" i="6"/>
  <c r="AA98" i="6"/>
  <c r="S98" i="6"/>
  <c r="AP98" i="6" s="1"/>
  <c r="J97" i="6"/>
  <c r="AG97" i="6" s="1"/>
  <c r="X80" i="6"/>
  <c r="P80" i="6"/>
  <c r="AM80" i="6" s="1"/>
  <c r="AM111" i="6" s="1"/>
  <c r="AV88" i="1"/>
  <c r="S82" i="1"/>
  <c r="AD118" i="6"/>
  <c r="K109" i="6"/>
  <c r="AH109" i="6" s="1"/>
  <c r="AE106" i="6"/>
  <c r="Z98" i="6"/>
  <c r="AZ98" i="6" s="1"/>
  <c r="R98" i="6"/>
  <c r="AD80" i="6"/>
  <c r="BH80" i="6" s="1"/>
  <c r="W80" i="6"/>
  <c r="AW80" i="6" s="1"/>
  <c r="AW111" i="6" s="1"/>
  <c r="O80" i="6"/>
  <c r="F94" i="8"/>
  <c r="J88" i="1"/>
  <c r="N79" i="1"/>
  <c r="Y88" i="1"/>
  <c r="AU105" i="1"/>
  <c r="H105" i="1"/>
  <c r="K91" i="1"/>
  <c r="AL88" i="1"/>
  <c r="S88" i="1"/>
  <c r="H88" i="1"/>
  <c r="P82" i="1"/>
  <c r="J109" i="6"/>
  <c r="AG109" i="6" s="1"/>
  <c r="L106" i="6"/>
  <c r="AI106" i="6" s="1"/>
  <c r="Y98" i="6"/>
  <c r="AV98" i="6" s="1"/>
  <c r="Q98" i="6"/>
  <c r="AQ98" i="6" s="1"/>
  <c r="I98" i="6"/>
  <c r="AC80" i="6"/>
  <c r="V80" i="6"/>
  <c r="AS80" i="6" s="1"/>
  <c r="AS111" i="6" s="1"/>
  <c r="N80" i="6"/>
  <c r="AN80" i="6" s="1"/>
  <c r="AN111" i="6" s="1"/>
  <c r="AE78" i="6"/>
  <c r="K78" i="6"/>
  <c r="U118" i="6"/>
  <c r="BE55" i="6"/>
  <c r="AO105" i="1"/>
  <c r="AN105" i="1"/>
  <c r="AO97" i="1"/>
  <c r="J91" i="1"/>
  <c r="AT88" i="1"/>
  <c r="AK88" i="1"/>
  <c r="P88" i="1"/>
  <c r="M82" i="1"/>
  <c r="BF108" i="6"/>
  <c r="K106" i="6"/>
  <c r="AG102" i="6"/>
  <c r="L101" i="6"/>
  <c r="AI101" i="6" s="1"/>
  <c r="AU100" i="6"/>
  <c r="X98" i="6"/>
  <c r="P98" i="6"/>
  <c r="AM98" i="6" s="1"/>
  <c r="AQ96" i="6"/>
  <c r="U80" i="6"/>
  <c r="M80" i="6"/>
  <c r="AJ80" i="6" s="1"/>
  <c r="AJ111" i="6" s="1"/>
  <c r="K164" i="1"/>
  <c r="K168" i="1" s="1"/>
  <c r="K169" i="1" s="1"/>
  <c r="AQ88" i="1"/>
  <c r="M91" i="1"/>
  <c r="AM88" i="1"/>
  <c r="AL17" i="1"/>
  <c r="AL19" i="1"/>
  <c r="AL81" i="1" s="1"/>
  <c r="Z86" i="6"/>
  <c r="AZ86" i="6" s="1"/>
  <c r="AU88" i="1"/>
  <c r="BC17" i="1"/>
  <c r="Y86" i="6"/>
  <c r="AV86" i="6" s="1"/>
  <c r="J11" i="7"/>
  <c r="J11" i="8" s="1"/>
  <c r="P86" i="6"/>
  <c r="AM86" i="6" s="1"/>
  <c r="J106" i="1"/>
  <c r="X106" i="1"/>
  <c r="AW104" i="1"/>
  <c r="AC104" i="1"/>
  <c r="BH104" i="1" s="1"/>
  <c r="AB103" i="1"/>
  <c r="AL99" i="1"/>
  <c r="AL95" i="1"/>
  <c r="N95" i="1"/>
  <c r="M94" i="1"/>
  <c r="AJ93" i="1"/>
  <c r="AS88" i="1"/>
  <c r="AJ88" i="1"/>
  <c r="L88" i="1"/>
  <c r="K82" i="1"/>
  <c r="W98" i="6"/>
  <c r="AW98" i="6" s="1"/>
  <c r="AB80" i="6"/>
  <c r="AY80" i="6" s="1"/>
  <c r="AY111" i="6" s="1"/>
  <c r="AE97" i="6"/>
  <c r="N100" i="1"/>
  <c r="BC100" i="1" s="1"/>
  <c r="AW100" i="1"/>
  <c r="AX100" i="1"/>
  <c r="W100" i="1"/>
  <c r="BF100" i="1" s="1"/>
  <c r="AH100" i="1"/>
  <c r="J96" i="1"/>
  <c r="N96" i="1"/>
  <c r="AC96" i="1"/>
  <c r="AJ25" i="1"/>
  <c r="L87" i="1"/>
  <c r="AI54" i="1"/>
  <c r="BE86" i="6"/>
  <c r="I60" i="1"/>
  <c r="I28" i="7"/>
  <c r="BI36" i="6"/>
  <c r="BI38" i="6" s="1"/>
  <c r="BI40" i="6" s="1"/>
  <c r="BI42" i="6" s="1"/>
  <c r="BI44" i="6" s="1"/>
  <c r="BI46" i="6" s="1"/>
  <c r="G8" i="8"/>
  <c r="G93" i="8" s="1"/>
  <c r="G49" i="7"/>
  <c r="I16" i="8"/>
  <c r="BD74" i="1"/>
  <c r="AM73" i="1"/>
  <c r="AB86" i="6"/>
  <c r="AY86" i="6" s="1"/>
  <c r="Q86" i="6"/>
  <c r="AQ86" i="6" s="1"/>
  <c r="V86" i="6"/>
  <c r="AS86" i="6" s="1"/>
  <c r="AI105" i="1"/>
  <c r="AR105" i="1"/>
  <c r="AX105" i="1"/>
  <c r="AC105" i="1"/>
  <c r="BA105" i="1" s="1"/>
  <c r="AU103" i="1"/>
  <c r="AJ103" i="1"/>
  <c r="V103" i="1"/>
  <c r="I103" i="1"/>
  <c r="AY97" i="1"/>
  <c r="AJ97" i="1"/>
  <c r="U97" i="1"/>
  <c r="I97" i="1"/>
  <c r="AT95" i="1"/>
  <c r="AI95" i="1"/>
  <c r="L95" i="1"/>
  <c r="AY93" i="1"/>
  <c r="AL93" i="1"/>
  <c r="V93" i="1"/>
  <c r="AV97" i="1"/>
  <c r="AY105" i="1"/>
  <c r="AS105" i="1"/>
  <c r="V105" i="1"/>
  <c r="AS103" i="1"/>
  <c r="S103" i="1"/>
  <c r="AU97" i="1"/>
  <c r="R97" i="1"/>
  <c r="AQ95" i="1"/>
  <c r="J95" i="1"/>
  <c r="AV93" i="1"/>
  <c r="Q93" i="1"/>
  <c r="BD93" i="1" s="1"/>
  <c r="H93" i="1"/>
  <c r="AA86" i="6"/>
  <c r="AD86" i="6"/>
  <c r="W105" i="1"/>
  <c r="BF105" i="1" s="1"/>
  <c r="P97" i="1"/>
  <c r="AP105" i="1"/>
  <c r="T105" i="1"/>
  <c r="BE105" i="1" s="1"/>
  <c r="AR103" i="1"/>
  <c r="Q103" i="1"/>
  <c r="BD103" i="1" s="1"/>
  <c r="AS97" i="1"/>
  <c r="AC97" i="1"/>
  <c r="S95" i="1"/>
  <c r="I95" i="1"/>
  <c r="AT93" i="1"/>
  <c r="BH76" i="1"/>
  <c r="BH74" i="1"/>
  <c r="O105" i="1"/>
  <c r="AK54" i="1"/>
  <c r="N97" i="1"/>
  <c r="BC97" i="1" s="1"/>
  <c r="S97" i="1"/>
  <c r="AQ97" i="1"/>
  <c r="O93" i="1"/>
  <c r="AI93" i="1"/>
  <c r="AU93" i="1"/>
  <c r="I86" i="6"/>
  <c r="X86" i="6"/>
  <c r="AW105" i="1"/>
  <c r="AH97" i="1"/>
  <c r="J105" i="1"/>
  <c r="AH105" i="1"/>
  <c r="N105" i="1"/>
  <c r="BC105" i="1" s="1"/>
  <c r="AO103" i="1"/>
  <c r="AA103" i="1"/>
  <c r="AM97" i="1"/>
  <c r="AA97" i="1"/>
  <c r="L97" i="1"/>
  <c r="AN95" i="1"/>
  <c r="AP93" i="1"/>
  <c r="K93" i="1"/>
  <c r="AP97" i="1"/>
  <c r="R105" i="1"/>
  <c r="L105" i="1"/>
  <c r="AL97" i="1"/>
  <c r="Y97" i="1"/>
  <c r="AZ97" i="1" s="1"/>
  <c r="K97" i="1"/>
  <c r="AO93" i="1"/>
  <c r="Y93" i="1"/>
  <c r="AZ93" i="1" s="1"/>
  <c r="J93" i="1"/>
  <c r="L103" i="1"/>
  <c r="O103" i="1"/>
  <c r="Y103" i="1"/>
  <c r="AZ103" i="1" s="1"/>
  <c r="AL103" i="1"/>
  <c r="AW103" i="1"/>
  <c r="P95" i="1"/>
  <c r="O95" i="1"/>
  <c r="Y95" i="1"/>
  <c r="AJ95" i="1"/>
  <c r="AX97" i="1"/>
  <c r="Z105" i="1"/>
  <c r="BG105" i="1" s="1"/>
  <c r="AX103" i="1"/>
  <c r="AK103" i="1"/>
  <c r="W103" i="1"/>
  <c r="BF103" i="1" s="1"/>
  <c r="J103" i="1"/>
  <c r="AK97" i="1"/>
  <c r="W97" i="1"/>
  <c r="BF97" i="1" s="1"/>
  <c r="J97" i="1"/>
  <c r="AK95" i="1"/>
  <c r="M95" i="1"/>
  <c r="AM93" i="1"/>
  <c r="I93" i="1"/>
  <c r="AT110" i="6"/>
  <c r="AR108" i="6"/>
  <c r="AW108" i="6"/>
  <c r="AN106" i="6"/>
  <c r="AS99" i="6"/>
  <c r="BD94" i="6"/>
  <c r="L94" i="6"/>
  <c r="AI94" i="6" s="1"/>
  <c r="BA93" i="6"/>
  <c r="AR42" i="6"/>
  <c r="BF36" i="6"/>
  <c r="N55" i="6"/>
  <c r="N60" i="6" s="1"/>
  <c r="AN22" i="6"/>
  <c r="BG20" i="6"/>
  <c r="AJ20" i="6"/>
  <c r="M83" i="6"/>
  <c r="AJ83" i="6" s="1"/>
  <c r="AA47" i="6"/>
  <c r="AA78" i="6"/>
  <c r="AP15" i="6"/>
  <c r="S78" i="6"/>
  <c r="AP78" i="6" s="1"/>
  <c r="R47" i="6"/>
  <c r="R77" i="6"/>
  <c r="BD83" i="6"/>
  <c r="AO83" i="6"/>
  <c r="V57" i="6"/>
  <c r="V58" i="6"/>
  <c r="AG27" i="6"/>
  <c r="J49" i="6"/>
  <c r="J50" i="6" s="1"/>
  <c r="L82" i="6"/>
  <c r="AI82" i="6" s="1"/>
  <c r="AI19" i="6"/>
  <c r="L47" i="6"/>
  <c r="L78" i="6"/>
  <c r="AI78" i="6" s="1"/>
  <c r="M104" i="1"/>
  <c r="J94" i="1"/>
  <c r="AH54" i="1"/>
  <c r="M77" i="1"/>
  <c r="L118" i="6"/>
  <c r="AJ105" i="6"/>
  <c r="AZ104" i="6"/>
  <c r="K94" i="6"/>
  <c r="AU88" i="6"/>
  <c r="Z78" i="6"/>
  <c r="AZ78" i="6" s="1"/>
  <c r="X49" i="6"/>
  <c r="AU27" i="6"/>
  <c r="AQ27" i="6"/>
  <c r="Q49" i="6"/>
  <c r="Q50" i="6" s="1"/>
  <c r="AG18" i="6"/>
  <c r="J81" i="6"/>
  <c r="AG81" i="6" s="1"/>
  <c r="AJ16" i="6"/>
  <c r="M47" i="6"/>
  <c r="AR97" i="1"/>
  <c r="AV106" i="6"/>
  <c r="AV104" i="6"/>
  <c r="AI104" i="6"/>
  <c r="AP96" i="6"/>
  <c r="BG94" i="6"/>
  <c r="J94" i="6"/>
  <c r="AG94" i="6" s="1"/>
  <c r="AS92" i="6"/>
  <c r="AR46" i="6"/>
  <c r="BE46" i="6"/>
  <c r="L88" i="6"/>
  <c r="AI88" i="6" s="1"/>
  <c r="K89" i="6"/>
  <c r="I81" i="6"/>
  <c r="O81" i="6"/>
  <c r="P81" i="6"/>
  <c r="AM81" i="6" s="1"/>
  <c r="V81" i="6"/>
  <c r="AS81" i="6" s="1"/>
  <c r="AB81" i="6"/>
  <c r="AY81" i="6" s="1"/>
  <c r="P47" i="6"/>
  <c r="AM17" i="6"/>
  <c r="AV16" i="6"/>
  <c r="Y47" i="6"/>
  <c r="F11" i="7"/>
  <c r="F11" i="8" s="1"/>
  <c r="F8" i="8"/>
  <c r="F93" i="8" s="1"/>
  <c r="F49" i="7"/>
  <c r="BA106" i="6"/>
  <c r="AG106" i="6"/>
  <c r="AU106" i="6"/>
  <c r="AU101" i="6"/>
  <c r="AS21" i="6"/>
  <c r="V55" i="6"/>
  <c r="BC17" i="6"/>
  <c r="O47" i="6"/>
  <c r="K80" i="6"/>
  <c r="AH80" i="6" s="1"/>
  <c r="AH111" i="6" s="1"/>
  <c r="L80" i="6"/>
  <c r="AI80" i="6" s="1"/>
  <c r="AI111" i="6" s="1"/>
  <c r="L91" i="1"/>
  <c r="AB87" i="1"/>
  <c r="BA108" i="6"/>
  <c r="AG105" i="6"/>
  <c r="AR104" i="6"/>
  <c r="AH102" i="6"/>
  <c r="AO100" i="6"/>
  <c r="M99" i="6"/>
  <c r="AJ99" i="6" s="1"/>
  <c r="AM91" i="6"/>
  <c r="AV91" i="6"/>
  <c r="BF34" i="6"/>
  <c r="BA30" i="6"/>
  <c r="BH30" i="6"/>
  <c r="AH23" i="6"/>
  <c r="K51" i="6"/>
  <c r="K52" i="6" s="1"/>
  <c r="AY21" i="6"/>
  <c r="AB84" i="6"/>
  <c r="AY84" i="6" s="1"/>
  <c r="AR17" i="6"/>
  <c r="U47" i="6"/>
  <c r="AY109" i="6"/>
  <c r="AJ109" i="6"/>
  <c r="AM106" i="6"/>
  <c r="AU105" i="6"/>
  <c r="AQ105" i="6"/>
  <c r="AO104" i="6"/>
  <c r="X99" i="6"/>
  <c r="AR94" i="6"/>
  <c r="U85" i="6"/>
  <c r="AH85" i="6"/>
  <c r="V47" i="6"/>
  <c r="BG35" i="6"/>
  <c r="AA53" i="6"/>
  <c r="AX35" i="6"/>
  <c r="AH34" i="6"/>
  <c r="AK34" i="6"/>
  <c r="BE33" i="6"/>
  <c r="BH29" i="6"/>
  <c r="BA29" i="6"/>
  <c r="AB88" i="6"/>
  <c r="AY88" i="6" s="1"/>
  <c r="AY25" i="6"/>
  <c r="AY55" i="6" s="1"/>
  <c r="S85" i="6"/>
  <c r="AP85" i="6" s="1"/>
  <c r="AA85" i="6"/>
  <c r="T85" i="6"/>
  <c r="AT85" i="6" s="1"/>
  <c r="AB85" i="6"/>
  <c r="AY85" i="6" s="1"/>
  <c r="AB47" i="6"/>
  <c r="AY17" i="6"/>
  <c r="J56" i="6"/>
  <c r="J74" i="6"/>
  <c r="AG74" i="6" s="1"/>
  <c r="AG54" i="1"/>
  <c r="V116" i="6"/>
  <c r="V120" i="6" s="1"/>
  <c r="V104" i="6"/>
  <c r="AS104" i="6" s="1"/>
  <c r="T100" i="6"/>
  <c r="AT100" i="6" s="1"/>
  <c r="AW99" i="6"/>
  <c r="X97" i="6"/>
  <c r="BF97" i="6" s="1"/>
  <c r="BA96" i="6"/>
  <c r="AW95" i="6"/>
  <c r="S94" i="6"/>
  <c r="AP94" i="6" s="1"/>
  <c r="AZ94" i="6"/>
  <c r="AQ85" i="6"/>
  <c r="AA83" i="6"/>
  <c r="BG83" i="6" s="1"/>
  <c r="AO81" i="6"/>
  <c r="BG80" i="6"/>
  <c r="BA45" i="6"/>
  <c r="BH45" i="6"/>
  <c r="AO34" i="6"/>
  <c r="BD34" i="6"/>
  <c r="V87" i="6"/>
  <c r="AS87" i="6" s="1"/>
  <c r="AC87" i="6"/>
  <c r="O87" i="6"/>
  <c r="AD87" i="6"/>
  <c r="J86" i="6"/>
  <c r="AG86" i="6" s="1"/>
  <c r="K86" i="6"/>
  <c r="AN20" i="6"/>
  <c r="N83" i="6"/>
  <c r="AN83" i="6" s="1"/>
  <c r="Z77" i="6"/>
  <c r="AZ14" i="6"/>
  <c r="BH12" i="6"/>
  <c r="AY11" i="6"/>
  <c r="AB56" i="6"/>
  <c r="AB74" i="6"/>
  <c r="AB12" i="6"/>
  <c r="BG44" i="6"/>
  <c r="AL24" i="6"/>
  <c r="AU17" i="6"/>
  <c r="S36" i="7"/>
  <c r="U36" i="8" s="1"/>
  <c r="AT36" i="7"/>
  <c r="BB36" i="8" s="1"/>
  <c r="AB36" i="7"/>
  <c r="AF36" i="8" s="1"/>
  <c r="AK36" i="7"/>
  <c r="AQ36" i="8" s="1"/>
  <c r="I31" i="8"/>
  <c r="K31" i="8" s="1"/>
  <c r="AR40" i="6"/>
  <c r="AD50" i="7"/>
  <c r="U50" i="7"/>
  <c r="R35" i="8"/>
  <c r="AT35" i="7"/>
  <c r="H93" i="8"/>
  <c r="BH37" i="6"/>
  <c r="BG30" i="6"/>
  <c r="AU23" i="6"/>
  <c r="Y12" i="6"/>
  <c r="BG12" i="6"/>
  <c r="I90" i="8"/>
  <c r="I94" i="8" s="1"/>
  <c r="D94" i="8"/>
  <c r="D91" i="8"/>
  <c r="I91" i="8" s="1"/>
  <c r="AU39" i="6"/>
  <c r="BA38" i="6"/>
  <c r="AE94" i="6"/>
  <c r="BH22" i="6"/>
  <c r="AP88" i="6"/>
  <c r="AJ84" i="6"/>
  <c r="BC43" i="6"/>
  <c r="BD29" i="6"/>
  <c r="BF28" i="6"/>
  <c r="BA25" i="6"/>
  <c r="BA55" i="6" s="1"/>
  <c r="AM50" i="7"/>
  <c r="D14" i="7"/>
  <c r="AX12" i="8"/>
  <c r="AX18" i="8"/>
  <c r="AD33" i="8"/>
  <c r="AT33" i="7"/>
  <c r="BB33" i="8" s="1"/>
  <c r="O19" i="8"/>
  <c r="Q18" i="8"/>
  <c r="F16" i="7"/>
  <c r="F16" i="8" s="1"/>
  <c r="L16" i="8" s="1"/>
  <c r="F15" i="7"/>
  <c r="F15" i="8" s="1"/>
  <c r="F13" i="7"/>
  <c r="F13" i="8" s="1"/>
  <c r="AN13" i="8"/>
  <c r="AT34" i="7"/>
  <c r="BB34" i="8" s="1"/>
  <c r="J30" i="7"/>
  <c r="J30" i="8" s="1"/>
  <c r="E15" i="7"/>
  <c r="E15" i="8" s="1"/>
  <c r="G14" i="7"/>
  <c r="G14" i="8" s="1"/>
  <c r="I34" i="8"/>
  <c r="K34" i="8" s="1"/>
  <c r="I32" i="8"/>
  <c r="K32" i="8" s="1"/>
  <c r="K17" i="8"/>
  <c r="AA34" i="8"/>
  <c r="AL28" i="8"/>
  <c r="BC12" i="6"/>
  <c r="BE50" i="7"/>
  <c r="BC30" i="7"/>
  <c r="G30" i="7"/>
  <c r="G30" i="8" s="1"/>
  <c r="AA23" i="8"/>
  <c r="P23" i="8"/>
  <c r="AB20" i="8"/>
  <c r="F14" i="7"/>
  <c r="F14" i="8" s="1"/>
  <c r="AC10" i="8"/>
  <c r="AD12" i="8"/>
  <c r="BC37" i="7"/>
  <c r="BM37" i="8" s="1"/>
  <c r="AB33" i="7"/>
  <c r="AF33" i="8" s="1"/>
  <c r="AT30" i="7"/>
  <c r="D15" i="7"/>
  <c r="E14" i="7"/>
  <c r="E14" i="8" s="1"/>
  <c r="P81" i="1"/>
  <c r="Y82" i="1"/>
  <c r="AA25" i="8"/>
  <c r="J27" i="8"/>
  <c r="AL21" i="1"/>
  <c r="BJ21" i="7"/>
  <c r="AZ20" i="1"/>
  <c r="AN16" i="1"/>
  <c r="AN78" i="1" s="1"/>
  <c r="N82" i="1"/>
  <c r="AZ28" i="1"/>
  <c r="O20" i="1"/>
  <c r="AL20" i="1"/>
  <c r="BC20" i="1"/>
  <c r="N16" i="1"/>
  <c r="N98" i="1"/>
  <c r="V98" i="1"/>
  <c r="L98" i="1"/>
  <c r="U98" i="1"/>
  <c r="M98" i="1"/>
  <c r="W98" i="1"/>
  <c r="O98" i="1"/>
  <c r="X98" i="1"/>
  <c r="P98" i="1"/>
  <c r="Y98" i="1"/>
  <c r="J98" i="1"/>
  <c r="S98" i="1"/>
  <c r="AB98" i="1"/>
  <c r="Z98" i="1"/>
  <c r="AA98" i="1"/>
  <c r="H98" i="1"/>
  <c r="AC98" i="1"/>
  <c r="R98" i="1"/>
  <c r="I98" i="1"/>
  <c r="Q98" i="1"/>
  <c r="T98" i="1"/>
  <c r="S92" i="1"/>
  <c r="AQ17" i="1"/>
  <c r="P79" i="1"/>
  <c r="S89" i="1"/>
  <c r="J89" i="1"/>
  <c r="K89" i="1"/>
  <c r="L89" i="1"/>
  <c r="M89" i="1"/>
  <c r="N89" i="1"/>
  <c r="H89" i="1"/>
  <c r="Y89" i="1"/>
  <c r="V89" i="1"/>
  <c r="AB89" i="1"/>
  <c r="I89" i="1"/>
  <c r="P89" i="1"/>
  <c r="M102" i="1"/>
  <c r="U102" i="1"/>
  <c r="AC102" i="1"/>
  <c r="P102" i="1"/>
  <c r="Y102" i="1"/>
  <c r="Q102" i="1"/>
  <c r="Z102" i="1"/>
  <c r="I102" i="1"/>
  <c r="R102" i="1"/>
  <c r="AA102" i="1"/>
  <c r="J102" i="1"/>
  <c r="S102" i="1"/>
  <c r="AB102" i="1"/>
  <c r="N102" i="1"/>
  <c r="W102" i="1"/>
  <c r="O102" i="1"/>
  <c r="T102" i="1"/>
  <c r="V102" i="1"/>
  <c r="K102" i="1"/>
  <c r="X102" i="1"/>
  <c r="L102" i="1"/>
  <c r="J15" i="8"/>
  <c r="O28" i="1"/>
  <c r="AW9" i="8"/>
  <c r="V79" i="1"/>
  <c r="AQ16" i="1"/>
  <c r="AQ78" i="1" s="1"/>
  <c r="AK12" i="8"/>
  <c r="BJ12" i="7"/>
  <c r="AW17" i="1"/>
  <c r="L100" i="1"/>
  <c r="R100" i="1"/>
  <c r="Z100" i="1"/>
  <c r="BG100" i="1" s="1"/>
  <c r="AJ100" i="1"/>
  <c r="AR100" i="1"/>
  <c r="P100" i="1"/>
  <c r="X100" i="1"/>
  <c r="AI100" i="1"/>
  <c r="AS100" i="1"/>
  <c r="I100" i="1"/>
  <c r="Q100" i="1"/>
  <c r="BD100" i="1" s="1"/>
  <c r="Y100" i="1"/>
  <c r="AZ100" i="1" s="1"/>
  <c r="AK100" i="1"/>
  <c r="AT100" i="1"/>
  <c r="J100" i="1"/>
  <c r="AA100" i="1"/>
  <c r="AL100" i="1"/>
  <c r="AU100" i="1"/>
  <c r="K100" i="1"/>
  <c r="S100" i="1"/>
  <c r="AB100" i="1"/>
  <c r="AM100" i="1"/>
  <c r="AV100" i="1"/>
  <c r="V100" i="1"/>
  <c r="AP100" i="1"/>
  <c r="AY100" i="1"/>
  <c r="O100" i="1"/>
  <c r="AN100" i="1"/>
  <c r="T100" i="1"/>
  <c r="BE100" i="1" s="1"/>
  <c r="AO100" i="1"/>
  <c r="U100" i="1"/>
  <c r="AQ100" i="1"/>
  <c r="M100" i="1"/>
  <c r="K96" i="1"/>
  <c r="P96" i="1"/>
  <c r="X96" i="1"/>
  <c r="O96" i="1"/>
  <c r="Y96" i="1"/>
  <c r="Q96" i="1"/>
  <c r="Z96" i="1"/>
  <c r="R96" i="1"/>
  <c r="AA96" i="1"/>
  <c r="I96" i="1"/>
  <c r="S96" i="1"/>
  <c r="AB96" i="1"/>
  <c r="M96" i="1"/>
  <c r="V96" i="1"/>
  <c r="T96" i="1"/>
  <c r="U96" i="1"/>
  <c r="W96" i="1"/>
  <c r="L96" i="1"/>
  <c r="N30" i="1"/>
  <c r="M92" i="1"/>
  <c r="AT25" i="1"/>
  <c r="AT54" i="1" s="1"/>
  <c r="S87" i="1"/>
  <c r="H102" i="1"/>
  <c r="AQ19" i="1"/>
  <c r="AQ81" i="1" s="1"/>
  <c r="Q26" i="6"/>
  <c r="AZ26" i="6"/>
  <c r="Z51" i="6"/>
  <c r="Z52" i="6" s="1"/>
  <c r="AD17" i="8"/>
  <c r="AC100" i="1"/>
  <c r="AP106" i="1"/>
  <c r="AQ85" i="1"/>
  <c r="H85" i="1"/>
  <c r="Y85" i="1"/>
  <c r="AZ85" i="1" s="1"/>
  <c r="AK85" i="1"/>
  <c r="J85" i="1"/>
  <c r="AI85" i="1"/>
  <c r="M85" i="1"/>
  <c r="K85" i="1"/>
  <c r="L85" i="1"/>
  <c r="AH85" i="1"/>
  <c r="AN85" i="1"/>
  <c r="L84" i="1"/>
  <c r="K84" i="1"/>
  <c r="P84" i="1"/>
  <c r="S84" i="1"/>
  <c r="V84" i="1"/>
  <c r="I84" i="1"/>
  <c r="AW21" i="1"/>
  <c r="V85" i="1"/>
  <c r="P106" i="1"/>
  <c r="AM106" i="1"/>
  <c r="AW106" i="1"/>
  <c r="AL106" i="1"/>
  <c r="S106" i="1"/>
  <c r="AQ106" i="1"/>
  <c r="AT106" i="1"/>
  <c r="H106" i="1"/>
  <c r="U106" i="1"/>
  <c r="AS106" i="1"/>
  <c r="AB106" i="1"/>
  <c r="AR106" i="1"/>
  <c r="I106" i="1"/>
  <c r="V106" i="1"/>
  <c r="AH106" i="1"/>
  <c r="AU106" i="1"/>
  <c r="T106" i="1"/>
  <c r="BE106" i="1" s="1"/>
  <c r="AJ106" i="1"/>
  <c r="K106" i="1"/>
  <c r="W106" i="1"/>
  <c r="BF106" i="1" s="1"/>
  <c r="AI106" i="1"/>
  <c r="AV106" i="1"/>
  <c r="Z106" i="1"/>
  <c r="BG106" i="1" s="1"/>
  <c r="O106" i="1"/>
  <c r="AA106" i="1"/>
  <c r="AO106" i="1"/>
  <c r="M99" i="1"/>
  <c r="N99" i="1"/>
  <c r="BC99" i="1" s="1"/>
  <c r="Y99" i="1"/>
  <c r="AZ99" i="1" s="1"/>
  <c r="AN99" i="1"/>
  <c r="O99" i="1"/>
  <c r="AC99" i="1"/>
  <c r="BA99" i="1" s="1"/>
  <c r="AR99" i="1"/>
  <c r="P99" i="1"/>
  <c r="AT99" i="1"/>
  <c r="H99" i="1"/>
  <c r="Q99" i="1"/>
  <c r="BD99" i="1" s="1"/>
  <c r="AV99" i="1"/>
  <c r="S99" i="1"/>
  <c r="AH99" i="1"/>
  <c r="AW99" i="1"/>
  <c r="J99" i="1"/>
  <c r="X99" i="1"/>
  <c r="AO99" i="1"/>
  <c r="O21" i="1"/>
  <c r="BC21" i="1"/>
  <c r="R106" i="1"/>
  <c r="AC106" i="1"/>
  <c r="AX99" i="1"/>
  <c r="U99" i="1"/>
  <c r="S85" i="1"/>
  <c r="AB85" i="1"/>
  <c r="L106" i="1"/>
  <c r="AY106" i="1"/>
  <c r="Y106" i="1"/>
  <c r="AZ106" i="1" s="1"/>
  <c r="AP99" i="1"/>
  <c r="L99" i="1"/>
  <c r="H100" i="1"/>
  <c r="H83" i="1"/>
  <c r="P83" i="1"/>
  <c r="L82" i="1"/>
  <c r="AM104" i="1"/>
  <c r="V104" i="1"/>
  <c r="I104" i="1"/>
  <c r="AV103" i="1"/>
  <c r="AM103" i="1"/>
  <c r="AC103" i="1"/>
  <c r="T103" i="1"/>
  <c r="BE103" i="1" s="1"/>
  <c r="AQ93" i="1"/>
  <c r="AH93" i="1"/>
  <c r="S83" i="1"/>
  <c r="AJ104" i="1"/>
  <c r="M93" i="1"/>
  <c r="S93" i="1"/>
  <c r="AK93" i="1"/>
  <c r="AS93" i="1"/>
  <c r="P104" i="1"/>
  <c r="L104" i="1"/>
  <c r="X104" i="1"/>
  <c r="AK104" i="1"/>
  <c r="AY104" i="1"/>
  <c r="AU104" i="1"/>
  <c r="R104" i="1"/>
  <c r="H104" i="1"/>
  <c r="H96" i="1"/>
  <c r="AW93" i="1"/>
  <c r="AN93" i="1"/>
  <c r="L93" i="1"/>
  <c r="K103" i="1"/>
  <c r="R103" i="1"/>
  <c r="Z103" i="1"/>
  <c r="BG103" i="1" s="1"/>
  <c r="AI103" i="1"/>
  <c r="AQ103" i="1"/>
  <c r="AY103" i="1"/>
  <c r="AT85" i="1"/>
  <c r="V97" i="1"/>
  <c r="Y94" i="1"/>
  <c r="Y105" i="1"/>
  <c r="AZ105" i="1" s="1"/>
  <c r="AL105" i="1"/>
  <c r="S105" i="1"/>
  <c r="AT97" i="1"/>
  <c r="AI97" i="1"/>
  <c r="Z97" i="1"/>
  <c r="BG97" i="1" s="1"/>
  <c r="O97" i="1"/>
  <c r="H97" i="1"/>
  <c r="V94" i="1"/>
  <c r="L94" i="1"/>
  <c r="Y87" i="1"/>
  <c r="AZ29" i="1"/>
  <c r="AH81" i="1"/>
  <c r="AB77" i="1"/>
  <c r="M88" i="1"/>
  <c r="S86" i="1"/>
  <c r="D9" i="8"/>
  <c r="AN22" i="1"/>
  <c r="M84" i="1"/>
  <c r="Q107" i="6"/>
  <c r="AQ107" i="6" s="1"/>
  <c r="V107" i="6"/>
  <c r="AS107" i="6" s="1"/>
  <c r="AB107" i="6"/>
  <c r="AY107" i="6" s="1"/>
  <c r="W107" i="6"/>
  <c r="AW107" i="6" s="1"/>
  <c r="R107" i="6"/>
  <c r="AC107" i="6"/>
  <c r="M107" i="6"/>
  <c r="AJ107" i="6" s="1"/>
  <c r="X107" i="6"/>
  <c r="AD107" i="6"/>
  <c r="N107" i="6"/>
  <c r="AN107" i="6" s="1"/>
  <c r="S107" i="6"/>
  <c r="AP107" i="6" s="1"/>
  <c r="O107" i="6"/>
  <c r="T107" i="6"/>
  <c r="AT107" i="6" s="1"/>
  <c r="Y107" i="6"/>
  <c r="AV107" i="6" s="1"/>
  <c r="I107" i="6"/>
  <c r="P107" i="6"/>
  <c r="AM107" i="6" s="1"/>
  <c r="Z107" i="6"/>
  <c r="AZ107" i="6" s="1"/>
  <c r="U107" i="6"/>
  <c r="AA107" i="6"/>
  <c r="AH32" i="6"/>
  <c r="K95" i="6"/>
  <c r="AQ25" i="1"/>
  <c r="M101" i="1"/>
  <c r="K101" i="1"/>
  <c r="V101" i="1"/>
  <c r="L101" i="1"/>
  <c r="X101" i="1"/>
  <c r="N101" i="1"/>
  <c r="Y101" i="1"/>
  <c r="P101" i="1"/>
  <c r="Z101" i="1"/>
  <c r="Q101" i="1"/>
  <c r="AA101" i="1"/>
  <c r="W101" i="1"/>
  <c r="H101" i="1"/>
  <c r="R101" i="1"/>
  <c r="AB101" i="1"/>
  <c r="O101" i="1"/>
  <c r="AC101" i="1"/>
  <c r="I101" i="1"/>
  <c r="S101" i="1"/>
  <c r="U101" i="1"/>
  <c r="AB16" i="1"/>
  <c r="AB78" i="1" s="1"/>
  <c r="AZ16" i="1"/>
  <c r="J78" i="1"/>
  <c r="L78" i="1"/>
  <c r="AH78" i="1"/>
  <c r="M78" i="1"/>
  <c r="AI78" i="1"/>
  <c r="P78" i="1"/>
  <c r="H78" i="1"/>
  <c r="S78" i="1"/>
  <c r="AK78" i="1"/>
  <c r="V78" i="1"/>
  <c r="Y78" i="1"/>
  <c r="AT78" i="1"/>
  <c r="I78" i="1"/>
  <c r="AW78" i="1"/>
  <c r="I9" i="7"/>
  <c r="J101" i="1"/>
  <c r="AT105" i="1"/>
  <c r="U105" i="1"/>
  <c r="K105" i="1"/>
  <c r="AT104" i="1"/>
  <c r="AL104" i="1"/>
  <c r="AB104" i="1"/>
  <c r="U104" i="1"/>
  <c r="N104" i="1"/>
  <c r="BC104" i="1" s="1"/>
  <c r="AY99" i="1"/>
  <c r="AQ99" i="1"/>
  <c r="AI99" i="1"/>
  <c r="Z99" i="1"/>
  <c r="BG99" i="1" s="1"/>
  <c r="R99" i="1"/>
  <c r="K99" i="1"/>
  <c r="AZ17" i="1"/>
  <c r="AB17" i="1"/>
  <c r="BE103" i="6"/>
  <c r="BD102" i="6"/>
  <c r="AO102" i="6"/>
  <c r="I105" i="1"/>
  <c r="AM105" i="1"/>
  <c r="AB105" i="1"/>
  <c r="AX104" i="1"/>
  <c r="AP104" i="1"/>
  <c r="AH104" i="1"/>
  <c r="Y104" i="1"/>
  <c r="AZ104" i="1" s="1"/>
  <c r="J104" i="1"/>
  <c r="AU99" i="1"/>
  <c r="AM99" i="1"/>
  <c r="V99" i="1"/>
  <c r="AP92" i="1"/>
  <c r="P92" i="1"/>
  <c r="BH109" i="6"/>
  <c r="BA109" i="6"/>
  <c r="V92" i="1"/>
  <c r="AO92" i="1"/>
  <c r="AB18" i="1"/>
  <c r="AZ18" i="1"/>
  <c r="AR109" i="6"/>
  <c r="AZ109" i="6"/>
  <c r="AO109" i="6"/>
  <c r="AL95" i="6"/>
  <c r="AN95" i="6"/>
  <c r="AL84" i="6"/>
  <c r="AO84" i="6"/>
  <c r="AM84" i="6"/>
  <c r="AI84" i="6"/>
  <c r="AS84" i="6"/>
  <c r="Q105" i="1"/>
  <c r="BD105" i="1" s="1"/>
  <c r="AJ105" i="1"/>
  <c r="AV105" i="1"/>
  <c r="AK105" i="1"/>
  <c r="X105" i="1"/>
  <c r="AV104" i="1"/>
  <c r="AN104" i="1"/>
  <c r="W104" i="1"/>
  <c r="BF104" i="1" s="1"/>
  <c r="AS99" i="1"/>
  <c r="AK99" i="1"/>
  <c r="AB99" i="1"/>
  <c r="T99" i="1"/>
  <c r="BE99" i="1" s="1"/>
  <c r="AX92" i="1"/>
  <c r="AM92" i="1"/>
  <c r="AR105" i="6"/>
  <c r="AT105" i="6"/>
  <c r="AX105" i="6"/>
  <c r="AI105" i="6"/>
  <c r="AW105" i="6"/>
  <c r="AB20" i="1"/>
  <c r="Z118" i="6"/>
  <c r="V108" i="6"/>
  <c r="AS108" i="6" s="1"/>
  <c r="AV103" i="6"/>
  <c r="AT103" i="6"/>
  <c r="AN94" i="6"/>
  <c r="AS89" i="6"/>
  <c r="AV84" i="6"/>
  <c r="AP83" i="6"/>
  <c r="AM82" i="6"/>
  <c r="AJ18" i="1"/>
  <c r="BH103" i="6"/>
  <c r="AO101" i="6"/>
  <c r="BH95" i="6"/>
  <c r="AU94" i="6"/>
  <c r="AJ93" i="6"/>
  <c r="T91" i="6"/>
  <c r="AT91" i="6" s="1"/>
  <c r="AN89" i="6"/>
  <c r="AV88" i="6"/>
  <c r="AS82" i="6"/>
  <c r="AP74" i="6"/>
  <c r="BE75" i="6"/>
  <c r="E29" i="7"/>
  <c r="E29" i="8" s="1"/>
  <c r="AU91" i="6"/>
  <c r="AQ84" i="6"/>
  <c r="AT82" i="6"/>
  <c r="AX82" i="6"/>
  <c r="AH82" i="6"/>
  <c r="BD46" i="6"/>
  <c r="AO46" i="6"/>
  <c r="AS95" i="6"/>
  <c r="AO91" i="6"/>
  <c r="AJ82" i="6"/>
  <c r="AM95" i="1"/>
  <c r="V95" i="1"/>
  <c r="AW88" i="1"/>
  <c r="AO88" i="1"/>
  <c r="V77" i="1"/>
  <c r="AZ24" i="1"/>
  <c r="BG96" i="6"/>
  <c r="AM93" i="6"/>
  <c r="AX92" i="6"/>
  <c r="AK91" i="6"/>
  <c r="AO88" i="6"/>
  <c r="BD88" i="6"/>
  <c r="AG87" i="6"/>
  <c r="AX87" i="6"/>
  <c r="AP82" i="6"/>
  <c r="AR39" i="6"/>
  <c r="U102" i="6"/>
  <c r="AX101" i="6"/>
  <c r="AG91" i="6"/>
  <c r="AT87" i="6"/>
  <c r="AJ87" i="6"/>
  <c r="AR84" i="6"/>
  <c r="AL83" i="6"/>
  <c r="AL78" i="6"/>
  <c r="BF24" i="6"/>
  <c r="AU24" i="6"/>
  <c r="X87" i="6"/>
  <c r="AW21" i="6"/>
  <c r="W84" i="6"/>
  <c r="AW84" i="6" s="1"/>
  <c r="W55" i="6"/>
  <c r="AQ21" i="6"/>
  <c r="Q55" i="6"/>
  <c r="AZ19" i="6"/>
  <c r="Z82" i="6"/>
  <c r="AZ82" i="6" s="1"/>
  <c r="Z47" i="6"/>
  <c r="AQ16" i="6"/>
  <c r="Q47" i="6"/>
  <c r="AG15" i="6"/>
  <c r="J78" i="6"/>
  <c r="AG78" i="6" s="1"/>
  <c r="J47" i="6"/>
  <c r="AP95" i="6"/>
  <c r="AX84" i="6"/>
  <c r="BG84" i="6"/>
  <c r="AR43" i="6"/>
  <c r="BE43" i="6"/>
  <c r="AO27" i="6"/>
  <c r="R49" i="6"/>
  <c r="R90" i="6"/>
  <c r="AH27" i="6"/>
  <c r="AK27" i="6"/>
  <c r="K90" i="6"/>
  <c r="K49" i="6"/>
  <c r="K50" i="6" s="1"/>
  <c r="AM79" i="6"/>
  <c r="AR34" i="6"/>
  <c r="BE34" i="6"/>
  <c r="AE93" i="6"/>
  <c r="AO23" i="6"/>
  <c r="BD23" i="6"/>
  <c r="BC22" i="6"/>
  <c r="AL22" i="6"/>
  <c r="L25" i="8"/>
  <c r="I25" i="8"/>
  <c r="AZ81" i="6"/>
  <c r="O54" i="6"/>
  <c r="BC54" i="6" s="1"/>
  <c r="BE41" i="6"/>
  <c r="AU41" i="6"/>
  <c r="AU35" i="6"/>
  <c r="BF35" i="6"/>
  <c r="AK33" i="6"/>
  <c r="AH33" i="6"/>
  <c r="AU77" i="6"/>
  <c r="BH39" i="6"/>
  <c r="BD30" i="6"/>
  <c r="BA40" i="6"/>
  <c r="BH40" i="6"/>
  <c r="BC32" i="6"/>
  <c r="AL32" i="6"/>
  <c r="BG27" i="6"/>
  <c r="AX27" i="6"/>
  <c r="AP17" i="6"/>
  <c r="S47" i="6"/>
  <c r="AH30" i="6"/>
  <c r="AK30" i="6"/>
  <c r="BA43" i="6"/>
  <c r="BH43" i="6"/>
  <c r="BA34" i="6"/>
  <c r="BH34" i="6"/>
  <c r="AO24" i="6"/>
  <c r="BD24" i="6"/>
  <c r="BG36" i="6"/>
  <c r="BE32" i="6"/>
  <c r="BF32" i="6"/>
  <c r="BH31" i="6"/>
  <c r="AL25" i="6"/>
  <c r="AL55" i="6" s="1"/>
  <c r="BC20" i="6"/>
  <c r="BD20" i="6"/>
  <c r="BE17" i="6"/>
  <c r="S32" i="7"/>
  <c r="AX33" i="6"/>
  <c r="BD32" i="6"/>
  <c r="BD31" i="6"/>
  <c r="AR25" i="6"/>
  <c r="AR55" i="6" s="1"/>
  <c r="AU22" i="6"/>
  <c r="BA15" i="6"/>
  <c r="BH15" i="6"/>
  <c r="AB34" i="7"/>
  <c r="AK34" i="7"/>
  <c r="BC34" i="7"/>
  <c r="E26" i="7"/>
  <c r="E26" i="8" s="1"/>
  <c r="BD38" i="6"/>
  <c r="AX23" i="6"/>
  <c r="BD12" i="6"/>
  <c r="AM11" i="6"/>
  <c r="S34" i="7"/>
  <c r="BK29" i="7"/>
  <c r="AB22" i="8"/>
  <c r="BG15" i="6"/>
  <c r="AX15" i="6"/>
  <c r="AK32" i="7"/>
  <c r="AT32" i="7"/>
  <c r="AB32" i="7"/>
  <c r="BC32" i="7"/>
  <c r="E27" i="7"/>
  <c r="E27" i="8" s="1"/>
  <c r="BK17" i="7"/>
  <c r="BK14" i="7"/>
  <c r="BK15" i="7"/>
  <c r="BK16" i="7" s="1"/>
  <c r="AK28" i="6"/>
  <c r="BE22" i="6"/>
  <c r="AR19" i="6"/>
  <c r="AL19" i="6"/>
  <c r="BC19" i="6"/>
  <c r="AO15" i="6"/>
  <c r="BD15" i="6"/>
  <c r="S35" i="7"/>
  <c r="AB35" i="7"/>
  <c r="AK35" i="7"/>
  <c r="BC35" i="7"/>
  <c r="BF20" i="6"/>
  <c r="BE14" i="6"/>
  <c r="BE56" i="6" s="1"/>
  <c r="I92" i="8"/>
  <c r="G9" i="7"/>
  <c r="G9" i="8" s="1"/>
  <c r="S38" i="7"/>
  <c r="E28" i="7"/>
  <c r="E28" i="8" s="1"/>
  <c r="AK28" i="7"/>
  <c r="D11" i="7"/>
  <c r="E11" i="7"/>
  <c r="E11" i="8" s="1"/>
  <c r="D8" i="7"/>
  <c r="BG9" i="7" s="1"/>
  <c r="E8" i="7"/>
  <c r="E94" i="8"/>
  <c r="F30" i="7"/>
  <c r="F30" i="8" s="1"/>
  <c r="AK38" i="7"/>
  <c r="D30" i="7"/>
  <c r="AB30" i="7"/>
  <c r="G11" i="7"/>
  <c r="G11" i="8" s="1"/>
  <c r="D12" i="7"/>
  <c r="Q17" i="1" l="1"/>
  <c r="S11" i="7" s="1"/>
  <c r="T11" i="7" s="1"/>
  <c r="S21" i="7"/>
  <c r="T21" i="7" s="1"/>
  <c r="BF102" i="6"/>
  <c r="L111" i="6"/>
  <c r="AK103" i="6"/>
  <c r="AR96" i="6"/>
  <c r="BA83" i="6"/>
  <c r="BA89" i="6"/>
  <c r="AL96" i="6"/>
  <c r="AX88" i="6"/>
  <c r="AU79" i="6"/>
  <c r="AR87" i="6"/>
  <c r="N88" i="1"/>
  <c r="AR90" i="6"/>
  <c r="M111" i="6"/>
  <c r="AR77" i="6"/>
  <c r="L10" i="8"/>
  <c r="AK93" i="6"/>
  <c r="I10" i="7"/>
  <c r="BC97" i="6"/>
  <c r="AU89" i="6"/>
  <c r="Y57" i="6"/>
  <c r="Y58" i="6"/>
  <c r="S57" i="6"/>
  <c r="T122" i="6" s="1"/>
  <c r="T123" i="6" s="1"/>
  <c r="D29" i="8"/>
  <c r="I29" i="8" s="1"/>
  <c r="J49" i="7"/>
  <c r="K29" i="7"/>
  <c r="AK25" i="8"/>
  <c r="W48" i="7"/>
  <c r="X48" i="7"/>
  <c r="BK11" i="8"/>
  <c r="BG14" i="8"/>
  <c r="AN48" i="7"/>
  <c r="AR48" i="7"/>
  <c r="BH16" i="7"/>
  <c r="AL94" i="6"/>
  <c r="AX20" i="8"/>
  <c r="AA111" i="6"/>
  <c r="BG111" i="6" s="1"/>
  <c r="P48" i="7"/>
  <c r="BH101" i="6"/>
  <c r="AX95" i="6"/>
  <c r="AO106" i="6"/>
  <c r="P58" i="6"/>
  <c r="AO85" i="6"/>
  <c r="P116" i="6"/>
  <c r="P120" i="6" s="1"/>
  <c r="AL105" i="6"/>
  <c r="BG77" i="6"/>
  <c r="BK23" i="8"/>
  <c r="Q48" i="7"/>
  <c r="BA9" i="7"/>
  <c r="BK9" i="8" s="1"/>
  <c r="AR47" i="7"/>
  <c r="BK20" i="8"/>
  <c r="BG24" i="8"/>
  <c r="AL79" i="6"/>
  <c r="BK16" i="8"/>
  <c r="BA105" i="6"/>
  <c r="BA110" i="6"/>
  <c r="R118" i="6"/>
  <c r="AA14" i="8"/>
  <c r="BI13" i="7"/>
  <c r="V48" i="7"/>
  <c r="AQ48" i="7"/>
  <c r="AZ48" i="7"/>
  <c r="AH105" i="6"/>
  <c r="BK21" i="8"/>
  <c r="M48" i="7"/>
  <c r="BC88" i="6"/>
  <c r="BH94" i="6"/>
  <c r="AB14" i="8"/>
  <c r="AQ46" i="7"/>
  <c r="BK10" i="8"/>
  <c r="AH48" i="7"/>
  <c r="BK18" i="8"/>
  <c r="BK17" i="8"/>
  <c r="AX48" i="7"/>
  <c r="AO48" i="7"/>
  <c r="AO87" i="6"/>
  <c r="BK22" i="8"/>
  <c r="AG48" i="7"/>
  <c r="AX89" i="6"/>
  <c r="AU103" i="6"/>
  <c r="O16" i="8"/>
  <c r="U111" i="6"/>
  <c r="BE111" i="6" s="1"/>
  <c r="BF82" i="6"/>
  <c r="O25" i="8"/>
  <c r="T25" i="8" s="1"/>
  <c r="BK13" i="8"/>
  <c r="Z48" i="7"/>
  <c r="AZ9" i="7"/>
  <c r="AQ47" i="7"/>
  <c r="BH47" i="6"/>
  <c r="AG77" i="6"/>
  <c r="BD82" i="6"/>
  <c r="O26" i="8"/>
  <c r="T26" i="8" s="1"/>
  <c r="M116" i="6"/>
  <c r="M120" i="6" s="1"/>
  <c r="N48" i="7"/>
  <c r="BA88" i="6"/>
  <c r="AD48" i="6"/>
  <c r="BH48" i="6" s="1"/>
  <c r="AH84" i="6"/>
  <c r="AK109" i="6"/>
  <c r="O14" i="8"/>
  <c r="BJ15" i="7"/>
  <c r="BD78" i="6"/>
  <c r="AK87" i="6"/>
  <c r="BF95" i="6"/>
  <c r="AX109" i="6"/>
  <c r="AA118" i="6"/>
  <c r="AO79" i="6"/>
  <c r="BC108" i="6"/>
  <c r="M58" i="6"/>
  <c r="AR46" i="7"/>
  <c r="AI48" i="7"/>
  <c r="O48" i="7"/>
  <c r="BK24" i="8"/>
  <c r="AQ77" i="6"/>
  <c r="BK12" i="8"/>
  <c r="AP48" i="7"/>
  <c r="BK15" i="8"/>
  <c r="Y48" i="7"/>
  <c r="O17" i="8"/>
  <c r="BK19" i="8"/>
  <c r="BC75" i="6"/>
  <c r="AU84" i="6"/>
  <c r="AC14" i="8"/>
  <c r="BA102" i="6"/>
  <c r="T111" i="6"/>
  <c r="AL89" i="6"/>
  <c r="AE48" i="7"/>
  <c r="AF48" i="7"/>
  <c r="BH35" i="8"/>
  <c r="BB35" i="8"/>
  <c r="AM77" i="6"/>
  <c r="P111" i="6"/>
  <c r="BF109" i="6"/>
  <c r="O26" i="1"/>
  <c r="AL93" i="6"/>
  <c r="S111" i="6"/>
  <c r="AP77" i="6"/>
  <c r="BA97" i="6"/>
  <c r="BE99" i="6"/>
  <c r="BG108" i="6"/>
  <c r="Y111" i="6"/>
  <c r="AV77" i="6"/>
  <c r="AK107" i="6"/>
  <c r="AX104" i="6"/>
  <c r="AL77" i="6"/>
  <c r="O111" i="6"/>
  <c r="BC111" i="6" s="1"/>
  <c r="O89" i="1"/>
  <c r="T93" i="1"/>
  <c r="BE93" i="1" s="1"/>
  <c r="AX90" i="6"/>
  <c r="I27" i="7"/>
  <c r="K27" i="7" s="1"/>
  <c r="AB52" i="1"/>
  <c r="BF93" i="6"/>
  <c r="AU93" i="6"/>
  <c r="AR78" i="6"/>
  <c r="AL106" i="6"/>
  <c r="BC106" i="6"/>
  <c r="BE93" i="6"/>
  <c r="AR93" i="6"/>
  <c r="BG99" i="6"/>
  <c r="R93" i="1"/>
  <c r="BC86" i="6"/>
  <c r="BG100" i="6"/>
  <c r="AU92" i="6"/>
  <c r="AI46" i="7"/>
  <c r="AK96" i="6"/>
  <c r="AO96" i="6"/>
  <c r="BG75" i="6"/>
  <c r="M75" i="6"/>
  <c r="AJ75" i="6" s="1"/>
  <c r="U25" i="8"/>
  <c r="AN47" i="7"/>
  <c r="AC35" i="8"/>
  <c r="AC91" i="8" s="1"/>
  <c r="Y47" i="7"/>
  <c r="BM30" i="8"/>
  <c r="BH9" i="8"/>
  <c r="O46" i="7"/>
  <c r="P35" i="8"/>
  <c r="N47" i="7"/>
  <c r="AD35" i="8"/>
  <c r="Z47" i="7"/>
  <c r="BB30" i="8"/>
  <c r="Q46" i="7"/>
  <c r="P47" i="7"/>
  <c r="BJ30" i="7"/>
  <c r="AE46" i="7"/>
  <c r="AO47" i="7"/>
  <c r="AY30" i="7"/>
  <c r="AP46" i="7"/>
  <c r="Q47" i="7"/>
  <c r="AL30" i="8"/>
  <c r="AF46" i="7"/>
  <c r="AE47" i="7"/>
  <c r="AY35" i="7"/>
  <c r="AP47" i="7"/>
  <c r="U30" i="8"/>
  <c r="V46" i="7"/>
  <c r="AF47" i="7"/>
  <c r="AM30" i="8"/>
  <c r="AG46" i="7"/>
  <c r="V47" i="7"/>
  <c r="AQ30" i="8"/>
  <c r="W46" i="7"/>
  <c r="AG47" i="7"/>
  <c r="AW30" i="7"/>
  <c r="AN46" i="7"/>
  <c r="N50" i="1"/>
  <c r="AH46" i="7"/>
  <c r="AB30" i="8"/>
  <c r="X46" i="7"/>
  <c r="P46" i="7"/>
  <c r="N46" i="7"/>
  <c r="AA35" i="8"/>
  <c r="W47" i="7"/>
  <c r="M47" i="7"/>
  <c r="AW30" i="8"/>
  <c r="AO46" i="7"/>
  <c r="Y46" i="7"/>
  <c r="AN35" i="8"/>
  <c r="AH47" i="7"/>
  <c r="AB35" i="8"/>
  <c r="X47" i="7"/>
  <c r="M46" i="7"/>
  <c r="Z46" i="7"/>
  <c r="O47" i="7"/>
  <c r="AI47" i="7"/>
  <c r="U31" i="1"/>
  <c r="W31" i="1" s="1"/>
  <c r="AK25" i="7" s="1"/>
  <c r="AL25" i="7" s="1"/>
  <c r="AM92" i="8"/>
  <c r="AN92" i="8"/>
  <c r="Q91" i="8"/>
  <c r="N51" i="1"/>
  <c r="AB51" i="1"/>
  <c r="AX29" i="7"/>
  <c r="BH29" i="8" s="1"/>
  <c r="AL91" i="6"/>
  <c r="AK30" i="8"/>
  <c r="AC27" i="8"/>
  <c r="T27" i="8"/>
  <c r="O18" i="1"/>
  <c r="O80" i="1" s="1"/>
  <c r="T118" i="6"/>
  <c r="AM17" i="1"/>
  <c r="AO105" i="6"/>
  <c r="AK99" i="6"/>
  <c r="BF96" i="6"/>
  <c r="AK92" i="6"/>
  <c r="BF90" i="6"/>
  <c r="AU90" i="6"/>
  <c r="BA99" i="6"/>
  <c r="AK80" i="6"/>
  <c r="AK111" i="6" s="1"/>
  <c r="AK104" i="6"/>
  <c r="AH79" i="6"/>
  <c r="AK79" i="6"/>
  <c r="BC90" i="6"/>
  <c r="AL90" i="6"/>
  <c r="AH100" i="6"/>
  <c r="AX83" i="6"/>
  <c r="AJ54" i="1"/>
  <c r="AK101" i="6"/>
  <c r="BH36" i="7"/>
  <c r="AU104" i="6"/>
  <c r="BA100" i="6"/>
  <c r="BH17" i="7"/>
  <c r="BD86" i="6"/>
  <c r="BD99" i="6"/>
  <c r="AU97" i="6"/>
  <c r="Z13" i="8"/>
  <c r="AH13" i="8" s="1"/>
  <c r="AR92" i="6"/>
  <c r="BA92" i="6"/>
  <c r="BH33" i="7"/>
  <c r="BI19" i="7"/>
  <c r="AC118" i="6"/>
  <c r="BI20" i="8"/>
  <c r="AK17" i="8"/>
  <c r="AS17" i="8" s="1"/>
  <c r="S58" i="6"/>
  <c r="U122" i="6" s="1"/>
  <c r="U123" i="6" s="1"/>
  <c r="X118" i="6"/>
  <c r="W122" i="6" s="1"/>
  <c r="W123" i="6" s="1"/>
  <c r="AX37" i="7"/>
  <c r="BH37" i="8" s="1"/>
  <c r="BI23" i="8"/>
  <c r="R94" i="1"/>
  <c r="AY37" i="7"/>
  <c r="BI37" i="8" s="1"/>
  <c r="O29" i="1"/>
  <c r="S23" i="7" s="1"/>
  <c r="T23" i="7" s="1"/>
  <c r="J9" i="7"/>
  <c r="J9" i="8" s="1"/>
  <c r="AK15" i="8"/>
  <c r="AP15" i="8" s="1"/>
  <c r="J12" i="7"/>
  <c r="J12" i="8" s="1"/>
  <c r="BC18" i="1"/>
  <c r="AW15" i="8"/>
  <c r="O118" i="6"/>
  <c r="BG102" i="6"/>
  <c r="K111" i="6"/>
  <c r="AK77" i="6"/>
  <c r="AH83" i="6"/>
  <c r="BI10" i="8"/>
  <c r="AH108" i="6"/>
  <c r="AV28" i="8"/>
  <c r="AV38" i="8"/>
  <c r="BC99" i="6"/>
  <c r="AL99" i="6"/>
  <c r="AR82" i="6"/>
  <c r="BE82" i="6"/>
  <c r="BA90" i="6"/>
  <c r="BH90" i="6"/>
  <c r="R54" i="6"/>
  <c r="BD54" i="6" s="1"/>
  <c r="BD53" i="6"/>
  <c r="AB12" i="8"/>
  <c r="BA35" i="7"/>
  <c r="BF85" i="6"/>
  <c r="AO108" i="6"/>
  <c r="BG79" i="6"/>
  <c r="AX79" i="6"/>
  <c r="K92" i="8"/>
  <c r="K94" i="8" s="1"/>
  <c r="BE101" i="6"/>
  <c r="AR97" i="6"/>
  <c r="AK10" i="8"/>
  <c r="BJ10" i="7"/>
  <c r="BF83" i="6"/>
  <c r="AU83" i="6"/>
  <c r="X48" i="6"/>
  <c r="BF48" i="6" s="1"/>
  <c r="BF47" i="6"/>
  <c r="X110" i="6"/>
  <c r="BE95" i="6"/>
  <c r="AR95" i="6"/>
  <c r="W48" i="6"/>
  <c r="W110" i="6"/>
  <c r="AW110" i="6" s="1"/>
  <c r="AO97" i="6"/>
  <c r="AX14" i="8"/>
  <c r="L13" i="8"/>
  <c r="K13" i="8" s="1"/>
  <c r="M13" i="8" s="1"/>
  <c r="V111" i="6"/>
  <c r="BH79" i="6"/>
  <c r="BA79" i="6"/>
  <c r="AB15" i="8"/>
  <c r="L27" i="8"/>
  <c r="K27" i="8" s="1"/>
  <c r="M27" i="8" s="1"/>
  <c r="AH77" i="6"/>
  <c r="AO103" i="6"/>
  <c r="AY12" i="8"/>
  <c r="BJ12" i="8"/>
  <c r="N48" i="6"/>
  <c r="N110" i="6"/>
  <c r="AN110" i="6" s="1"/>
  <c r="BE88" i="6"/>
  <c r="AR88" i="6"/>
  <c r="U54" i="6"/>
  <c r="BE54" i="6" s="1"/>
  <c r="BE53" i="6"/>
  <c r="K48" i="6"/>
  <c r="K110" i="6"/>
  <c r="BG106" i="6"/>
  <c r="BA98" i="6"/>
  <c r="AC48" i="6"/>
  <c r="AC110" i="6"/>
  <c r="AN77" i="6"/>
  <c r="N111" i="6"/>
  <c r="BG97" i="6"/>
  <c r="AX97" i="6"/>
  <c r="O15" i="1"/>
  <c r="BD33" i="1"/>
  <c r="AO33" i="1"/>
  <c r="AO95" i="1" s="1"/>
  <c r="U27" i="8"/>
  <c r="R33" i="1"/>
  <c r="BC95" i="1"/>
  <c r="AZ95" i="1"/>
  <c r="Q95" i="1"/>
  <c r="BG81" i="6"/>
  <c r="BE81" i="6"/>
  <c r="AR81" i="6"/>
  <c r="BA81" i="6"/>
  <c r="BH81" i="6"/>
  <c r="AL102" i="6"/>
  <c r="BC102" i="6"/>
  <c r="BA85" i="6"/>
  <c r="BH85" i="6"/>
  <c r="BE106" i="6"/>
  <c r="BD92" i="6"/>
  <c r="AL104" i="6"/>
  <c r="BC104" i="6"/>
  <c r="T32" i="1"/>
  <c r="AB26" i="7" s="1"/>
  <c r="AC26" i="7" s="1"/>
  <c r="N118" i="6"/>
  <c r="BC25" i="1"/>
  <c r="N87" i="1"/>
  <c r="AL29" i="1"/>
  <c r="N81" i="1"/>
  <c r="N91" i="1"/>
  <c r="O26" i="6"/>
  <c r="O79" i="1"/>
  <c r="O19" i="1"/>
  <c r="O25" i="1"/>
  <c r="Q25" i="1" s="1"/>
  <c r="N92" i="1"/>
  <c r="BC92" i="1" s="1"/>
  <c r="L68" i="1"/>
  <c r="BC29" i="1"/>
  <c r="AX103" i="6"/>
  <c r="AH88" i="6"/>
  <c r="AK88" i="6"/>
  <c r="AL103" i="6"/>
  <c r="BC103" i="6"/>
  <c r="L28" i="8"/>
  <c r="K28" i="8" s="1"/>
  <c r="M28" i="8" s="1"/>
  <c r="BF78" i="6"/>
  <c r="AU78" i="6"/>
  <c r="BA78" i="6"/>
  <c r="BH78" i="6"/>
  <c r="BA104" i="1"/>
  <c r="AH90" i="1"/>
  <c r="BA80" i="6"/>
  <c r="BA111" i="6" s="1"/>
  <c r="AS74" i="6"/>
  <c r="BF75" i="6"/>
  <c r="AS12" i="6"/>
  <c r="V75" i="6"/>
  <c r="AS75" i="6" s="1"/>
  <c r="K13" i="7"/>
  <c r="AB54" i="1"/>
  <c r="AB164" i="1" s="1"/>
  <c r="L26" i="8"/>
  <c r="K26" i="8" s="1"/>
  <c r="M26" i="8" s="1"/>
  <c r="AM20" i="1"/>
  <c r="N77" i="1"/>
  <c r="AZ88" i="1"/>
  <c r="AX91" i="6"/>
  <c r="AX28" i="8"/>
  <c r="K28" i="7"/>
  <c r="AY29" i="7"/>
  <c r="BI29" i="8" s="1"/>
  <c r="L29" i="8"/>
  <c r="K29" i="8" s="1"/>
  <c r="M29" i="8" s="1"/>
  <c r="BH38" i="7"/>
  <c r="BH91" i="6"/>
  <c r="BA91" i="6"/>
  <c r="Z33" i="8"/>
  <c r="AH33" i="8" s="1"/>
  <c r="K26" i="7"/>
  <c r="AX35" i="8"/>
  <c r="AX30" i="7"/>
  <c r="AP37" i="8"/>
  <c r="BJ26" i="7"/>
  <c r="AA33" i="7"/>
  <c r="AC33" i="7" s="1"/>
  <c r="P90" i="1"/>
  <c r="BH28" i="7"/>
  <c r="O28" i="8"/>
  <c r="R37" i="7"/>
  <c r="T37" i="7" s="1"/>
  <c r="BJ25" i="7"/>
  <c r="AY31" i="7"/>
  <c r="BI31" i="8" s="1"/>
  <c r="R33" i="7"/>
  <c r="T33" i="7" s="1"/>
  <c r="P201" i="1"/>
  <c r="AZ36" i="7"/>
  <c r="BJ36" i="8" s="1"/>
  <c r="AY34" i="7"/>
  <c r="BI34" i="8" s="1"/>
  <c r="BI26" i="8"/>
  <c r="K58" i="1"/>
  <c r="AX31" i="7"/>
  <c r="BH31" i="8" s="1"/>
  <c r="AW31" i="8"/>
  <c r="BH9" i="7"/>
  <c r="BH26" i="8"/>
  <c r="AA38" i="7"/>
  <c r="AC38" i="7" s="1"/>
  <c r="Q20" i="1"/>
  <c r="S14" i="7" s="1"/>
  <c r="T14" i="7" s="1"/>
  <c r="AJ38" i="7"/>
  <c r="AL38" i="7" s="1"/>
  <c r="AX33" i="7"/>
  <c r="BH33" i="8" s="1"/>
  <c r="AN9" i="8"/>
  <c r="R9" i="7"/>
  <c r="J201" i="1"/>
  <c r="K90" i="1"/>
  <c r="O30" i="1"/>
  <c r="O92" i="1" s="1"/>
  <c r="BJ37" i="7"/>
  <c r="AS37" i="8"/>
  <c r="AJ36" i="7"/>
  <c r="AL36" i="7" s="1"/>
  <c r="AB201" i="1"/>
  <c r="J200" i="1"/>
  <c r="AH78" i="6"/>
  <c r="AK78" i="6"/>
  <c r="AL80" i="6"/>
  <c r="AL111" i="6" s="1"/>
  <c r="BC80" i="6"/>
  <c r="AJ90" i="1"/>
  <c r="AN90" i="1"/>
  <c r="K200" i="1"/>
  <c r="AQ54" i="1"/>
  <c r="AA28" i="7"/>
  <c r="AC28" i="7" s="1"/>
  <c r="AA37" i="7"/>
  <c r="AC37" i="7" s="1"/>
  <c r="BH12" i="7"/>
  <c r="AJ37" i="7"/>
  <c r="AL37" i="7" s="1"/>
  <c r="BE80" i="6"/>
  <c r="AR80" i="6"/>
  <c r="AR111" i="6" s="1"/>
  <c r="AH106" i="6"/>
  <c r="AK106" i="6"/>
  <c r="BG98" i="6"/>
  <c r="AX98" i="6"/>
  <c r="BD80" i="6"/>
  <c r="AO80" i="6"/>
  <c r="AO111" i="6" s="1"/>
  <c r="BH105" i="1"/>
  <c r="K201" i="1"/>
  <c r="O12" i="8"/>
  <c r="T12" i="8" s="1"/>
  <c r="AK97" i="6"/>
  <c r="AH97" i="6"/>
  <c r="BD98" i="6"/>
  <c r="AO98" i="6"/>
  <c r="V201" i="1"/>
  <c r="V200" i="1"/>
  <c r="L90" i="1"/>
  <c r="J168" i="1"/>
  <c r="J169" i="1" s="1"/>
  <c r="O15" i="8"/>
  <c r="Z23" i="8"/>
  <c r="AH23" i="8" s="1"/>
  <c r="AX30" i="8"/>
  <c r="AA31" i="7"/>
  <c r="AC31" i="7" s="1"/>
  <c r="BC15" i="1"/>
  <c r="BA31" i="7"/>
  <c r="BK31" i="8" s="1"/>
  <c r="BI12" i="8"/>
  <c r="AW35" i="8"/>
  <c r="AU98" i="6"/>
  <c r="BF98" i="6"/>
  <c r="AP12" i="8"/>
  <c r="BA33" i="7"/>
  <c r="BK33" i="8" s="1"/>
  <c r="AV30" i="8"/>
  <c r="AB90" i="1"/>
  <c r="BH99" i="1"/>
  <c r="BH12" i="8"/>
  <c r="Z31" i="8"/>
  <c r="AL15" i="1"/>
  <c r="AR98" i="6"/>
  <c r="BE98" i="6"/>
  <c r="BF80" i="6"/>
  <c r="AU80" i="6"/>
  <c r="AU111" i="6" s="1"/>
  <c r="L201" i="1"/>
  <c r="BH24" i="8"/>
  <c r="BJ25" i="8"/>
  <c r="Z10" i="8"/>
  <c r="AH10" i="8" s="1"/>
  <c r="BI10" i="7"/>
  <c r="Z9" i="8"/>
  <c r="BI9" i="7"/>
  <c r="BH23" i="8"/>
  <c r="AK28" i="8"/>
  <c r="BJ28" i="7"/>
  <c r="BI26" i="7"/>
  <c r="Z26" i="8"/>
  <c r="AW33" i="7"/>
  <c r="BG33" i="8" s="1"/>
  <c r="AS33" i="7"/>
  <c r="AU33" i="7" s="1"/>
  <c r="AV33" i="8"/>
  <c r="BG13" i="8"/>
  <c r="BI37" i="7"/>
  <c r="Z37" i="8"/>
  <c r="AL23" i="1"/>
  <c r="AL85" i="1" s="1"/>
  <c r="N85" i="1"/>
  <c r="BC85" i="1" s="1"/>
  <c r="O23" i="1"/>
  <c r="Q23" i="1" s="1"/>
  <c r="BC23" i="1"/>
  <c r="BI15" i="7"/>
  <c r="Z15" i="8"/>
  <c r="AW36" i="7"/>
  <c r="BG36" i="8" s="1"/>
  <c r="AS36" i="7"/>
  <c r="AU36" i="7" s="1"/>
  <c r="AV36" i="8"/>
  <c r="AY74" i="6"/>
  <c r="BH75" i="6"/>
  <c r="AK86" i="6"/>
  <c r="AH86" i="6"/>
  <c r="BE85" i="6"/>
  <c r="AR85" i="6"/>
  <c r="AH89" i="6"/>
  <c r="AK89" i="6"/>
  <c r="BD47" i="6"/>
  <c r="R48" i="6"/>
  <c r="BD48" i="6" s="1"/>
  <c r="R110" i="6"/>
  <c r="BH26" i="7"/>
  <c r="AZ38" i="7"/>
  <c r="BJ38" i="8" s="1"/>
  <c r="AY38" i="8"/>
  <c r="BH37" i="7"/>
  <c r="O37" i="8"/>
  <c r="AZ28" i="7"/>
  <c r="BJ28" i="8" s="1"/>
  <c r="AY28" i="8"/>
  <c r="BJ33" i="7"/>
  <c r="AK33" i="8"/>
  <c r="BA34" i="7"/>
  <c r="BK34" i="8" s="1"/>
  <c r="AW9" i="7"/>
  <c r="AV9" i="8"/>
  <c r="BJ23" i="7"/>
  <c r="AK23" i="8"/>
  <c r="O31" i="8"/>
  <c r="W31" i="8" s="1"/>
  <c r="BH31" i="7"/>
  <c r="BH27" i="8"/>
  <c r="AB58" i="6"/>
  <c r="AB57" i="6"/>
  <c r="AB116" i="6"/>
  <c r="AB120" i="6" s="1"/>
  <c r="BG85" i="6"/>
  <c r="AX85" i="6"/>
  <c r="X50" i="6"/>
  <c r="BF50" i="6" s="1"/>
  <c r="BF49" i="6"/>
  <c r="AH94" i="6"/>
  <c r="AK94" i="6"/>
  <c r="BH20" i="8"/>
  <c r="AW20" i="8"/>
  <c r="AV37" i="8"/>
  <c r="AW37" i="7"/>
  <c r="BG37" i="8" s="1"/>
  <c r="AV20" i="8"/>
  <c r="BH10" i="7"/>
  <c r="O10" i="8"/>
  <c r="BH23" i="7"/>
  <c r="O23" i="8"/>
  <c r="BI25" i="8"/>
  <c r="BA29" i="7"/>
  <c r="BK29" i="8" s="1"/>
  <c r="O24" i="8"/>
  <c r="T24" i="8" s="1"/>
  <c r="BH24" i="7"/>
  <c r="AV12" i="6"/>
  <c r="Y75" i="6"/>
  <c r="AV75" i="6" s="1"/>
  <c r="BJ35" i="7"/>
  <c r="AK35" i="8"/>
  <c r="AK36" i="8"/>
  <c r="BJ36" i="7"/>
  <c r="BA87" i="6"/>
  <c r="BH87" i="6"/>
  <c r="P48" i="6"/>
  <c r="P110" i="6"/>
  <c r="AM110" i="6" s="1"/>
  <c r="M110" i="6"/>
  <c r="AJ110" i="6" s="1"/>
  <c r="M48" i="6"/>
  <c r="BG18" i="8"/>
  <c r="AK14" i="8"/>
  <c r="BJ14" i="7"/>
  <c r="AY31" i="8"/>
  <c r="AZ31" i="7"/>
  <c r="BJ31" i="8" s="1"/>
  <c r="AW28" i="8"/>
  <c r="AS28" i="7"/>
  <c r="AU28" i="7" s="1"/>
  <c r="AX28" i="7"/>
  <c r="BH28" i="8" s="1"/>
  <c r="R31" i="7"/>
  <c r="T31" i="7" s="1"/>
  <c r="BI14" i="7"/>
  <c r="Z14" i="8"/>
  <c r="AJ33" i="7"/>
  <c r="AL33" i="7" s="1"/>
  <c r="BJ27" i="7"/>
  <c r="AK27" i="8"/>
  <c r="BH17" i="8"/>
  <c r="AX36" i="8"/>
  <c r="AY36" i="7"/>
  <c r="BI36" i="8" s="1"/>
  <c r="BC87" i="6"/>
  <c r="AL87" i="6"/>
  <c r="BG53" i="6"/>
  <c r="AA54" i="6"/>
  <c r="BG54" i="6" s="1"/>
  <c r="U48" i="6"/>
  <c r="BE48" i="6" s="1"/>
  <c r="BE47" i="6"/>
  <c r="U110" i="6"/>
  <c r="BC47" i="6"/>
  <c r="O48" i="6"/>
  <c r="BC48" i="6" s="1"/>
  <c r="O110" i="6"/>
  <c r="AX78" i="6"/>
  <c r="BG78" i="6"/>
  <c r="AU86" i="6"/>
  <c r="BF86" i="6"/>
  <c r="Z38" i="8"/>
  <c r="BI38" i="7"/>
  <c r="AZ33" i="7"/>
  <c r="BJ33" i="8" s="1"/>
  <c r="AY33" i="8"/>
  <c r="BI28" i="7"/>
  <c r="Z28" i="8"/>
  <c r="AX15" i="8"/>
  <c r="BI15" i="8"/>
  <c r="AK9" i="8"/>
  <c r="BJ9" i="7"/>
  <c r="BJ20" i="7"/>
  <c r="AK20" i="8"/>
  <c r="BH18" i="7"/>
  <c r="O18" i="8"/>
  <c r="AW18" i="8"/>
  <c r="BJ26" i="8"/>
  <c r="AY26" i="8"/>
  <c r="BI29" i="7"/>
  <c r="Z29" i="8"/>
  <c r="D14" i="8"/>
  <c r="I14" i="7"/>
  <c r="K14" i="7" s="1"/>
  <c r="BI27" i="8"/>
  <c r="BI21" i="8"/>
  <c r="J116" i="6"/>
  <c r="J120" i="6" s="1"/>
  <c r="J57" i="6"/>
  <c r="K122" i="6" s="1"/>
  <c r="K123" i="6" s="1"/>
  <c r="J58" i="6"/>
  <c r="AA110" i="6"/>
  <c r="BG47" i="6"/>
  <c r="AA48" i="6"/>
  <c r="BG48" i="6" s="1"/>
  <c r="BH97" i="1"/>
  <c r="BA97" i="1"/>
  <c r="BH86" i="6"/>
  <c r="BA86" i="6"/>
  <c r="BA38" i="7"/>
  <c r="BK38" i="8" s="1"/>
  <c r="BH29" i="7"/>
  <c r="O29" i="8"/>
  <c r="AW38" i="8"/>
  <c r="AX38" i="7"/>
  <c r="BH38" i="8" s="1"/>
  <c r="BI13" i="8"/>
  <c r="BI18" i="7"/>
  <c r="Z18" i="8"/>
  <c r="AJ31" i="7"/>
  <c r="AL31" i="7" s="1"/>
  <c r="AK31" i="8"/>
  <c r="BJ31" i="7"/>
  <c r="BI12" i="7"/>
  <c r="Z12" i="8"/>
  <c r="AY15" i="8"/>
  <c r="Z111" i="6"/>
  <c r="AZ77" i="6"/>
  <c r="V48" i="6"/>
  <c r="V110" i="6"/>
  <c r="AS110" i="6" s="1"/>
  <c r="BG86" i="6"/>
  <c r="AX86" i="6"/>
  <c r="I201" i="1"/>
  <c r="AW29" i="7"/>
  <c r="BG29" i="8" s="1"/>
  <c r="AV29" i="8"/>
  <c r="AV12" i="8"/>
  <c r="AK38" i="8"/>
  <c r="BJ38" i="7"/>
  <c r="AX33" i="8"/>
  <c r="AY33" i="7"/>
  <c r="BI33" i="8" s="1"/>
  <c r="BA37" i="7"/>
  <c r="BK37" i="8" s="1"/>
  <c r="AK29" i="8"/>
  <c r="AJ29" i="7"/>
  <c r="AL29" i="7" s="1"/>
  <c r="BI17" i="8"/>
  <c r="Z17" i="8"/>
  <c r="AE17" i="8" s="1"/>
  <c r="BI17" i="7"/>
  <c r="AB48" i="6"/>
  <c r="AB110" i="6"/>
  <c r="AY110" i="6" s="1"/>
  <c r="AU99" i="6"/>
  <c r="BF99" i="6"/>
  <c r="BC81" i="6"/>
  <c r="AL81" i="6"/>
  <c r="L48" i="6"/>
  <c r="L110" i="6"/>
  <c r="AI110" i="6" s="1"/>
  <c r="AW10" i="8"/>
  <c r="BH10" i="8"/>
  <c r="AV10" i="8"/>
  <c r="D15" i="8"/>
  <c r="I15" i="7"/>
  <c r="K15" i="7" s="1"/>
  <c r="BA28" i="7"/>
  <c r="BK28" i="8" s="1"/>
  <c r="AV15" i="8"/>
  <c r="AL26" i="8"/>
  <c r="BI27" i="7"/>
  <c r="Z27" i="8"/>
  <c r="AW36" i="8"/>
  <c r="AX36" i="7"/>
  <c r="BH36" i="8" s="1"/>
  <c r="AY12" i="6"/>
  <c r="AB75" i="6"/>
  <c r="AY75" i="6" s="1"/>
  <c r="Y48" i="6"/>
  <c r="Y110" i="6"/>
  <c r="AV110" i="6" s="1"/>
  <c r="AO77" i="6"/>
  <c r="R111" i="6"/>
  <c r="BD111" i="6" s="1"/>
  <c r="BD77" i="6"/>
  <c r="O82" i="1"/>
  <c r="BC16" i="1"/>
  <c r="N78" i="1"/>
  <c r="BC78" i="1" s="1"/>
  <c r="O16" i="1"/>
  <c r="J10" i="7"/>
  <c r="AL16" i="1"/>
  <c r="AL78" i="1" s="1"/>
  <c r="S200" i="1"/>
  <c r="S201" i="1"/>
  <c r="AZ54" i="1"/>
  <c r="Y200" i="1"/>
  <c r="L200" i="1"/>
  <c r="O83" i="1"/>
  <c r="Q21" i="1"/>
  <c r="S15" i="7" s="1"/>
  <c r="T15" i="7" s="1"/>
  <c r="AM21" i="1"/>
  <c r="AQ26" i="6"/>
  <c r="Q51" i="6"/>
  <c r="Q52" i="6" s="1"/>
  <c r="P200" i="1"/>
  <c r="AW54" i="1"/>
  <c r="AY54" i="1"/>
  <c r="W33" i="8"/>
  <c r="T33" i="8"/>
  <c r="S62" i="1"/>
  <c r="S164" i="1"/>
  <c r="Q28" i="1"/>
  <c r="S22" i="7" s="1"/>
  <c r="T22" i="7" s="1"/>
  <c r="AM28" i="1"/>
  <c r="AM90" i="1" s="1"/>
  <c r="BA103" i="1"/>
  <c r="BH103" i="1"/>
  <c r="Y49" i="7"/>
  <c r="Y53" i="7" s="1"/>
  <c r="AZ87" i="1"/>
  <c r="Y201" i="1"/>
  <c r="BA106" i="1"/>
  <c r="BH106" i="1"/>
  <c r="V90" i="1"/>
  <c r="I90" i="1"/>
  <c r="AW90" i="1"/>
  <c r="H90" i="1"/>
  <c r="AI90" i="1"/>
  <c r="AK90" i="1"/>
  <c r="AT90" i="1"/>
  <c r="AQ90" i="1"/>
  <c r="S90" i="1"/>
  <c r="M90" i="1"/>
  <c r="N90" i="1"/>
  <c r="O90" i="1"/>
  <c r="J90" i="1"/>
  <c r="AL90" i="1"/>
  <c r="Y90" i="1"/>
  <c r="I200" i="1"/>
  <c r="BA100" i="1"/>
  <c r="BH100" i="1"/>
  <c r="M200" i="1"/>
  <c r="AS12" i="8"/>
  <c r="N80" i="1"/>
  <c r="I80" i="1"/>
  <c r="S80" i="1"/>
  <c r="L80" i="1"/>
  <c r="P80" i="1"/>
  <c r="H80" i="1"/>
  <c r="Y80" i="1"/>
  <c r="J80" i="1"/>
  <c r="K80" i="1"/>
  <c r="V80" i="1"/>
  <c r="M80" i="1"/>
  <c r="AZ30" i="7"/>
  <c r="AY30" i="8"/>
  <c r="BI35" i="7"/>
  <c r="Z35" i="8"/>
  <c r="AA35" i="7"/>
  <c r="AC35" i="7" s="1"/>
  <c r="AY32" i="7"/>
  <c r="BI32" i="8" s="1"/>
  <c r="AX32" i="8"/>
  <c r="AU87" i="6"/>
  <c r="BF87" i="6"/>
  <c r="AK95" i="6"/>
  <c r="AH95" i="6"/>
  <c r="AO107" i="6"/>
  <c r="BD107" i="6"/>
  <c r="R17" i="8"/>
  <c r="BI36" i="7"/>
  <c r="Z36" i="8"/>
  <c r="AA36" i="7"/>
  <c r="AC36" i="7" s="1"/>
  <c r="P38" i="8"/>
  <c r="R38" i="7"/>
  <c r="T38" i="7" s="1"/>
  <c r="BH19" i="8"/>
  <c r="R30" i="8"/>
  <c r="AA11" i="8"/>
  <c r="D11" i="8"/>
  <c r="I11" i="7"/>
  <c r="K11" i="7" s="1"/>
  <c r="BG11" i="7"/>
  <c r="AI49" i="7"/>
  <c r="AI53" i="7" s="1"/>
  <c r="BJ16" i="8"/>
  <c r="AN10" i="8"/>
  <c r="R23" i="8"/>
  <c r="AB32" i="8"/>
  <c r="BB32" i="8"/>
  <c r="AW34" i="7"/>
  <c r="AV34" i="8"/>
  <c r="AS34" i="7"/>
  <c r="AU34" i="7" s="1"/>
  <c r="AK22" i="8"/>
  <c r="BJ22" i="7"/>
  <c r="AF34" i="8"/>
  <c r="AX24" i="8"/>
  <c r="AA29" i="8"/>
  <c r="AA29" i="7"/>
  <c r="AC29" i="7" s="1"/>
  <c r="AZ78" i="1"/>
  <c r="AL107" i="6"/>
  <c r="BC107" i="6"/>
  <c r="J16" i="7"/>
  <c r="O22" i="1"/>
  <c r="Q22" i="1" s="1"/>
  <c r="BC22" i="1"/>
  <c r="AL22" i="1"/>
  <c r="N84" i="1"/>
  <c r="BA30" i="7"/>
  <c r="BJ18" i="7"/>
  <c r="AK18" i="8"/>
  <c r="AX22" i="8"/>
  <c r="BI22" i="8"/>
  <c r="Z110" i="6"/>
  <c r="AZ110" i="6" s="1"/>
  <c r="Z48" i="6"/>
  <c r="O13" i="8"/>
  <c r="BH13" i="7"/>
  <c r="AF30" i="8"/>
  <c r="AB19" i="8"/>
  <c r="AH19" i="8" s="1"/>
  <c r="X49" i="7"/>
  <c r="X53" i="7" s="1"/>
  <c r="P11" i="8"/>
  <c r="N49" i="7"/>
  <c r="N53" i="7" s="1"/>
  <c r="AY9" i="8"/>
  <c r="AQ49" i="7"/>
  <c r="AQ53" i="7" s="1"/>
  <c r="R10" i="8"/>
  <c r="AZ35" i="7"/>
  <c r="AY35" i="8"/>
  <c r="AS30" i="7"/>
  <c r="AW32" i="7"/>
  <c r="AV32" i="8"/>
  <c r="AS32" i="7"/>
  <c r="AU32" i="7" s="1"/>
  <c r="AY22" i="8"/>
  <c r="BJ22" i="8"/>
  <c r="AR49" i="7"/>
  <c r="AR53" i="7" s="1"/>
  <c r="AK34" i="8"/>
  <c r="BJ34" i="7"/>
  <c r="AJ34" i="7"/>
  <c r="AL34" i="7" s="1"/>
  <c r="U32" i="8"/>
  <c r="Z24" i="8"/>
  <c r="BI24" i="7"/>
  <c r="R29" i="8"/>
  <c r="R29" i="7"/>
  <c r="T29" i="7" s="1"/>
  <c r="AB82" i="1"/>
  <c r="BG107" i="6"/>
  <c r="AX107" i="6"/>
  <c r="AH49" i="7"/>
  <c r="AH53" i="7" s="1"/>
  <c r="Z16" i="8"/>
  <c r="BI16" i="7"/>
  <c r="AY29" i="8"/>
  <c r="AZ29" i="7"/>
  <c r="AS29" i="7"/>
  <c r="AU29" i="7" s="1"/>
  <c r="R15" i="8"/>
  <c r="AY37" i="8"/>
  <c r="AZ37" i="7"/>
  <c r="AS37" i="7"/>
  <c r="AU37" i="7" s="1"/>
  <c r="AQ38" i="8"/>
  <c r="AC30" i="8"/>
  <c r="AO49" i="7"/>
  <c r="AO53" i="7" s="1"/>
  <c r="R28" i="8"/>
  <c r="R28" i="7"/>
  <c r="T28" i="7" s="1"/>
  <c r="AK13" i="8"/>
  <c r="BJ13" i="7"/>
  <c r="BH21" i="7"/>
  <c r="O21" i="8"/>
  <c r="Z30" i="8"/>
  <c r="AA30" i="7"/>
  <c r="BI30" i="7"/>
  <c r="P19" i="8"/>
  <c r="AV31" i="8"/>
  <c r="AW31" i="7"/>
  <c r="AS31" i="7"/>
  <c r="AU31" i="7" s="1"/>
  <c r="AM11" i="8"/>
  <c r="AM91" i="8" s="1"/>
  <c r="AQ28" i="8"/>
  <c r="AD9" i="8"/>
  <c r="Z49" i="7"/>
  <c r="Z53" i="7" s="1"/>
  <c r="AA9" i="7"/>
  <c r="AA18" i="8"/>
  <c r="AY10" i="8"/>
  <c r="BH25" i="8"/>
  <c r="AW35" i="7"/>
  <c r="AS35" i="7"/>
  <c r="AV35" i="8"/>
  <c r="AF35" i="8"/>
  <c r="AX32" i="7"/>
  <c r="BH32" i="8" s="1"/>
  <c r="AW32" i="8"/>
  <c r="AM32" i="8"/>
  <c r="BH22" i="8"/>
  <c r="BK31" i="7"/>
  <c r="BK30" i="7"/>
  <c r="AA26" i="8"/>
  <c r="AK90" i="6"/>
  <c r="AH90" i="6"/>
  <c r="J48" i="6"/>
  <c r="J110" i="6"/>
  <c r="AG110" i="6" s="1"/>
  <c r="Q118" i="6"/>
  <c r="Q60" i="6"/>
  <c r="AB79" i="1"/>
  <c r="P164" i="1"/>
  <c r="BE107" i="6"/>
  <c r="AR107" i="6"/>
  <c r="BJ19" i="8"/>
  <c r="O11" i="8"/>
  <c r="BH11" i="7"/>
  <c r="M49" i="7"/>
  <c r="M53" i="7" s="1"/>
  <c r="BI32" i="7"/>
  <c r="Z32" i="8"/>
  <c r="AA32" i="7"/>
  <c r="AC32" i="7" s="1"/>
  <c r="AY18" i="8"/>
  <c r="R36" i="7"/>
  <c r="T36" i="7" s="1"/>
  <c r="BI20" i="7"/>
  <c r="Z20" i="8"/>
  <c r="AL35" i="8"/>
  <c r="AJ35" i="7"/>
  <c r="AL35" i="7" s="1"/>
  <c r="BH35" i="7"/>
  <c r="O35" i="8"/>
  <c r="R35" i="7"/>
  <c r="T35" i="7" s="1"/>
  <c r="BH27" i="7"/>
  <c r="BM32" i="8"/>
  <c r="AK32" i="8"/>
  <c r="BJ32" i="7"/>
  <c r="AJ32" i="7"/>
  <c r="AL32" i="7" s="1"/>
  <c r="BA32" i="7"/>
  <c r="BK32" i="8" s="1"/>
  <c r="BI22" i="7"/>
  <c r="Z22" i="8"/>
  <c r="Q49" i="7"/>
  <c r="Q53" i="7" s="1"/>
  <c r="BM34" i="8"/>
  <c r="AB80" i="1"/>
  <c r="BA107" i="6"/>
  <c r="BH107" i="6"/>
  <c r="D30" i="8"/>
  <c r="BG30" i="7"/>
  <c r="I30" i="7"/>
  <c r="K30" i="7" s="1"/>
  <c r="I8" i="7"/>
  <c r="BG18" i="7"/>
  <c r="BG21" i="7"/>
  <c r="BG15" i="7"/>
  <c r="BG33" i="7"/>
  <c r="BG19" i="7"/>
  <c r="BG17" i="7"/>
  <c r="BG22" i="7"/>
  <c r="BG25" i="7"/>
  <c r="BG31" i="7"/>
  <c r="BG34" i="7"/>
  <c r="BG36" i="7"/>
  <c r="BG20" i="7"/>
  <c r="D49" i="7"/>
  <c r="BG32" i="7"/>
  <c r="BG23" i="7"/>
  <c r="BG35" i="7"/>
  <c r="BG24" i="7"/>
  <c r="BG37" i="7"/>
  <c r="BG38" i="7"/>
  <c r="BG8" i="7"/>
  <c r="BG14" i="7"/>
  <c r="D8" i="8"/>
  <c r="BG26" i="7"/>
  <c r="BG29" i="7"/>
  <c r="BG27" i="7"/>
  <c r="BG28" i="7"/>
  <c r="BG16" i="7"/>
  <c r="BG13" i="7"/>
  <c r="BG10" i="7"/>
  <c r="AY14" i="8"/>
  <c r="P30" i="8"/>
  <c r="P90" i="8" s="1"/>
  <c r="BI11" i="8"/>
  <c r="BG12" i="7"/>
  <c r="I12" i="7"/>
  <c r="D12" i="8"/>
  <c r="AN30" i="8"/>
  <c r="AJ30" i="7"/>
  <c r="AX38" i="8"/>
  <c r="AY38" i="7"/>
  <c r="AS38" i="7"/>
  <c r="AU38" i="7" s="1"/>
  <c r="AN49" i="7"/>
  <c r="AN53" i="7" s="1"/>
  <c r="U38" i="8"/>
  <c r="AL18" i="8"/>
  <c r="AL92" i="8" s="1"/>
  <c r="AY20" i="8"/>
  <c r="BH34" i="7"/>
  <c r="R34" i="7"/>
  <c r="T34" i="7" s="1"/>
  <c r="O34" i="8"/>
  <c r="BH25" i="7"/>
  <c r="AN25" i="8"/>
  <c r="AY32" i="8"/>
  <c r="AZ32" i="7"/>
  <c r="BJ32" i="8" s="1"/>
  <c r="AA32" i="8"/>
  <c r="AQ32" i="8"/>
  <c r="BH21" i="8"/>
  <c r="AA27" i="8"/>
  <c r="AY34" i="8"/>
  <c r="AZ34" i="7"/>
  <c r="BJ34" i="8" s="1"/>
  <c r="S48" i="6"/>
  <c r="S110" i="6"/>
  <c r="AP110" i="6" s="1"/>
  <c r="AK24" i="8"/>
  <c r="BJ24" i="7"/>
  <c r="K25" i="8"/>
  <c r="M25" i="8" s="1"/>
  <c r="W60" i="6"/>
  <c r="W118" i="6"/>
  <c r="BF107" i="6"/>
  <c r="AU107" i="6"/>
  <c r="L9" i="8"/>
  <c r="I9" i="8"/>
  <c r="W49" i="7"/>
  <c r="W53" i="7" s="1"/>
  <c r="O49" i="7"/>
  <c r="O53" i="7" s="1"/>
  <c r="Z25" i="8"/>
  <c r="BI25" i="7"/>
  <c r="AM27" i="8"/>
  <c r="BJ11" i="7"/>
  <c r="AK11" i="8"/>
  <c r="AE49" i="7"/>
  <c r="AE53" i="7" s="1"/>
  <c r="AD30" i="8"/>
  <c r="AD90" i="8" s="1"/>
  <c r="AD18" i="8"/>
  <c r="AD92" i="8" s="1"/>
  <c r="BJ19" i="7"/>
  <c r="AK19" i="8"/>
  <c r="AL20" i="8"/>
  <c r="AL11" i="8"/>
  <c r="AF49" i="7"/>
  <c r="AF53" i="7" s="1"/>
  <c r="AX9" i="8"/>
  <c r="AS9" i="7"/>
  <c r="AY9" i="7"/>
  <c r="AP49" i="7"/>
  <c r="AP53" i="7" s="1"/>
  <c r="AC16" i="8"/>
  <c r="P18" i="8"/>
  <c r="BM35" i="8"/>
  <c r="U35" i="8"/>
  <c r="AL32" i="8"/>
  <c r="U34" i="8"/>
  <c r="AQ34" i="8"/>
  <c r="BD90" i="6"/>
  <c r="AO90" i="6"/>
  <c r="Q48" i="6"/>
  <c r="Q110" i="6"/>
  <c r="AQ110" i="6" s="1"/>
  <c r="BE102" i="6"/>
  <c r="AR102" i="6"/>
  <c r="AG49" i="7"/>
  <c r="AG53" i="7" s="1"/>
  <c r="AJ9" i="7"/>
  <c r="BJ21" i="8"/>
  <c r="AN21" i="8"/>
  <c r="BI21" i="7"/>
  <c r="Z21" i="8"/>
  <c r="BJ16" i="7"/>
  <c r="AK16" i="8"/>
  <c r="O30" i="8"/>
  <c r="R30" i="7"/>
  <c r="BH30" i="7"/>
  <c r="Q30" i="8"/>
  <c r="Q90" i="8" s="1"/>
  <c r="Q19" i="8"/>
  <c r="Q92" i="8" s="1"/>
  <c r="AM28" i="8"/>
  <c r="AJ28" i="7"/>
  <c r="AL28" i="7" s="1"/>
  <c r="E8" i="8"/>
  <c r="E93" i="8" s="1"/>
  <c r="E49" i="7"/>
  <c r="Z11" i="8"/>
  <c r="BI11" i="7"/>
  <c r="V49" i="7"/>
  <c r="V53" i="7" s="1"/>
  <c r="BJ11" i="8"/>
  <c r="P49" i="7"/>
  <c r="P53" i="7" s="1"/>
  <c r="R9" i="8"/>
  <c r="R16" i="8"/>
  <c r="O20" i="8"/>
  <c r="BH20" i="7"/>
  <c r="AQ35" i="8"/>
  <c r="AF32" i="8"/>
  <c r="BH32" i="7"/>
  <c r="O32" i="8"/>
  <c r="R32" i="7"/>
  <c r="T32" i="7" s="1"/>
  <c r="O22" i="8"/>
  <c r="BH22" i="7"/>
  <c r="AW34" i="8"/>
  <c r="AX34" i="7"/>
  <c r="BH34" i="8" s="1"/>
  <c r="BI34" i="7"/>
  <c r="Z34" i="8"/>
  <c r="AA34" i="7"/>
  <c r="AC34" i="7" s="1"/>
  <c r="AY24" i="8"/>
  <c r="BJ24" i="8"/>
  <c r="R50" i="6"/>
  <c r="BD50" i="6" s="1"/>
  <c r="BD49" i="6"/>
  <c r="Y62" i="1"/>
  <c r="AB62" i="1" s="1"/>
  <c r="Y164" i="1"/>
  <c r="V62" i="1"/>
  <c r="V164" i="1"/>
  <c r="S17" i="7" l="1"/>
  <c r="T17" i="7" s="1"/>
  <c r="S13" i="7"/>
  <c r="T13" i="7" s="1"/>
  <c r="S16" i="7"/>
  <c r="T16" i="7" s="1"/>
  <c r="S19" i="7"/>
  <c r="T19" i="7" s="1"/>
  <c r="BC88" i="1"/>
  <c r="O88" i="1"/>
  <c r="T33" i="1"/>
  <c r="Z122" i="6"/>
  <c r="Z123" i="6" s="1"/>
  <c r="BG23" i="8"/>
  <c r="R22" i="1"/>
  <c r="T22" i="1" s="1"/>
  <c r="Q26" i="1"/>
  <c r="S20" i="7" s="1"/>
  <c r="T20" i="7" s="1"/>
  <c r="R122" i="6"/>
  <c r="R123" i="6" s="1"/>
  <c r="AC92" i="8"/>
  <c r="Q122" i="6"/>
  <c r="Q123" i="6" s="1"/>
  <c r="T14" i="8"/>
  <c r="AJ48" i="7"/>
  <c r="Q18" i="1"/>
  <c r="S12" i="7" s="1"/>
  <c r="T12" i="7" s="1"/>
  <c r="AM18" i="1"/>
  <c r="BG27" i="8"/>
  <c r="AA92" i="8"/>
  <c r="AA122" i="6"/>
  <c r="AA123" i="6" s="1"/>
  <c r="AA48" i="7"/>
  <c r="BG21" i="8"/>
  <c r="BL21" i="8" s="1"/>
  <c r="BG10" i="8"/>
  <c r="AY48" i="7"/>
  <c r="BI14" i="8"/>
  <c r="BI92" i="8" s="1"/>
  <c r="AS48" i="7"/>
  <c r="BG12" i="8"/>
  <c r="BL12" i="8" s="1"/>
  <c r="W14" i="8"/>
  <c r="R48" i="7"/>
  <c r="O122" i="6"/>
  <c r="O123" i="6" s="1"/>
  <c r="BG26" i="8"/>
  <c r="AW48" i="7"/>
  <c r="BG20" i="8"/>
  <c r="BK14" i="8"/>
  <c r="BK92" i="8" s="1"/>
  <c r="BA48" i="7"/>
  <c r="BH14" i="8"/>
  <c r="BH92" i="8" s="1"/>
  <c r="AA91" i="8"/>
  <c r="AW47" i="7"/>
  <c r="BA47" i="7"/>
  <c r="AS46" i="7"/>
  <c r="BI35" i="8"/>
  <c r="AY47" i="7"/>
  <c r="BJ35" i="8"/>
  <c r="AZ47" i="7"/>
  <c r="BA46" i="7"/>
  <c r="AU35" i="7"/>
  <c r="AS47" i="7"/>
  <c r="AX46" i="7"/>
  <c r="BG30" i="8"/>
  <c r="AW46" i="7"/>
  <c r="AX47" i="7"/>
  <c r="AZ46" i="7"/>
  <c r="AY46" i="7"/>
  <c r="AC90" i="8"/>
  <c r="P92" i="8"/>
  <c r="R47" i="7"/>
  <c r="AA47" i="7"/>
  <c r="R46" i="7"/>
  <c r="AN90" i="8"/>
  <c r="AB90" i="8"/>
  <c r="AD91" i="8"/>
  <c r="R91" i="8"/>
  <c r="AM90" i="8"/>
  <c r="AL91" i="8"/>
  <c r="AL90" i="8"/>
  <c r="AB91" i="8"/>
  <c r="U32" i="1"/>
  <c r="AS32" i="1" s="1"/>
  <c r="BK30" i="8"/>
  <c r="R28" i="1"/>
  <c r="AP28" i="1" s="1"/>
  <c r="AP90" i="1" s="1"/>
  <c r="BK35" i="8"/>
  <c r="BK91" i="8" s="1"/>
  <c r="AF25" i="8"/>
  <c r="U93" i="1"/>
  <c r="AJ47" i="7"/>
  <c r="AA46" i="7"/>
  <c r="P91" i="8"/>
  <c r="BG9" i="8"/>
  <c r="BI30" i="8"/>
  <c r="AJ46" i="7"/>
  <c r="BH30" i="8"/>
  <c r="BH90" i="8" s="1"/>
  <c r="R90" i="8"/>
  <c r="BJ30" i="8"/>
  <c r="AK91" i="8"/>
  <c r="O91" i="8"/>
  <c r="AK92" i="8"/>
  <c r="AK90" i="8"/>
  <c r="Z92" i="8"/>
  <c r="O92" i="8"/>
  <c r="R92" i="8"/>
  <c r="AA90" i="8"/>
  <c r="AN91" i="8"/>
  <c r="AB92" i="8"/>
  <c r="AE13" i="8"/>
  <c r="Z90" i="8"/>
  <c r="Z91" i="8"/>
  <c r="O90" i="8"/>
  <c r="O51" i="1"/>
  <c r="O70" i="1" s="1"/>
  <c r="O50" i="1"/>
  <c r="AP17" i="8"/>
  <c r="O77" i="1"/>
  <c r="BC81" i="1"/>
  <c r="Q15" i="1"/>
  <c r="AM15" i="1"/>
  <c r="W9" i="8"/>
  <c r="AS14" i="8"/>
  <c r="X122" i="6"/>
  <c r="X123" i="6" s="1"/>
  <c r="R17" i="1"/>
  <c r="K9" i="7"/>
  <c r="O91" i="1"/>
  <c r="AS15" i="8"/>
  <c r="AM29" i="1"/>
  <c r="K12" i="7"/>
  <c r="BC87" i="1"/>
  <c r="R27" i="1"/>
  <c r="T27" i="1" s="1"/>
  <c r="BC51" i="1"/>
  <c r="N122" i="6"/>
  <c r="N123" i="6" s="1"/>
  <c r="Q79" i="1"/>
  <c r="AP33" i="1"/>
  <c r="AP95" i="1" s="1"/>
  <c r="AE12" i="8"/>
  <c r="AU110" i="6"/>
  <c r="BF110" i="6"/>
  <c r="BD12" i="8"/>
  <c r="AK110" i="6"/>
  <c r="AH110" i="6"/>
  <c r="AO17" i="1"/>
  <c r="BD17" i="1"/>
  <c r="U11" i="8"/>
  <c r="BE32" i="1"/>
  <c r="AR32" i="1"/>
  <c r="T94" i="1"/>
  <c r="BC90" i="1"/>
  <c r="R95" i="1"/>
  <c r="AZ90" i="1"/>
  <c r="BD95" i="1"/>
  <c r="O51" i="6"/>
  <c r="BC26" i="6"/>
  <c r="AL26" i="6"/>
  <c r="Q89" i="1"/>
  <c r="J90" i="8"/>
  <c r="P26" i="6"/>
  <c r="AM19" i="1"/>
  <c r="AM81" i="1" s="1"/>
  <c r="O81" i="1"/>
  <c r="O87" i="1"/>
  <c r="AM25" i="1"/>
  <c r="W12" i="8"/>
  <c r="Q30" i="1"/>
  <c r="S24" i="7" s="1"/>
  <c r="T24" i="7" s="1"/>
  <c r="Q50" i="7"/>
  <c r="AO20" i="1"/>
  <c r="BD20" i="1"/>
  <c r="Q82" i="1"/>
  <c r="AH37" i="8"/>
  <c r="Q94" i="8"/>
  <c r="AP31" i="8"/>
  <c r="T31" i="8"/>
  <c r="V31" i="8" s="1"/>
  <c r="X31" i="8" s="1"/>
  <c r="AE37" i="8"/>
  <c r="AH28" i="8"/>
  <c r="AP36" i="8"/>
  <c r="W37" i="8"/>
  <c r="AH31" i="8"/>
  <c r="AE33" i="8"/>
  <c r="AG33" i="8" s="1"/>
  <c r="AI33" i="8" s="1"/>
  <c r="AP9" i="8"/>
  <c r="AH12" i="8"/>
  <c r="AH17" i="8"/>
  <c r="W24" i="8"/>
  <c r="P199" i="1"/>
  <c r="P203" i="1" s="1"/>
  <c r="BD28" i="8"/>
  <c r="AS30" i="8"/>
  <c r="BD15" i="8"/>
  <c r="AB200" i="1"/>
  <c r="R20" i="1"/>
  <c r="BA15" i="8"/>
  <c r="AE23" i="8"/>
  <c r="L157" i="1"/>
  <c r="K157" i="1"/>
  <c r="AR37" i="8"/>
  <c r="AT37" i="8" s="1"/>
  <c r="AS36" i="8"/>
  <c r="L199" i="1"/>
  <c r="L203" i="1" s="1"/>
  <c r="AE31" i="8"/>
  <c r="J199" i="1"/>
  <c r="J203" i="1" s="1"/>
  <c r="I199" i="1"/>
  <c r="I203" i="1" s="1"/>
  <c r="T37" i="8"/>
  <c r="J91" i="8"/>
  <c r="BO28" i="8"/>
  <c r="BC50" i="1"/>
  <c r="BA36" i="8"/>
  <c r="BD36" i="8"/>
  <c r="AB157" i="1"/>
  <c r="AS9" i="8"/>
  <c r="I157" i="1"/>
  <c r="V157" i="1"/>
  <c r="S199" i="1"/>
  <c r="S203" i="1" s="1"/>
  <c r="BA28" i="8"/>
  <c r="Q91" i="1"/>
  <c r="BB36" i="7"/>
  <c r="BD36" i="7" s="1"/>
  <c r="K199" i="1"/>
  <c r="K203" i="1" s="1"/>
  <c r="S157" i="1"/>
  <c r="AE10" i="8"/>
  <c r="AE19" i="8"/>
  <c r="Q90" i="1"/>
  <c r="L122" i="6"/>
  <c r="L123" i="6" s="1"/>
  <c r="V33" i="8"/>
  <c r="X33" i="8" s="1"/>
  <c r="AS38" i="8"/>
  <c r="AP38" i="8"/>
  <c r="AM23" i="1"/>
  <c r="AM85" i="1" s="1"/>
  <c r="O85" i="1"/>
  <c r="L14" i="8"/>
  <c r="I14" i="8"/>
  <c r="AP29" i="8"/>
  <c r="AS29" i="8"/>
  <c r="BC110" i="6"/>
  <c r="AL110" i="6"/>
  <c r="M199" i="1"/>
  <c r="AP14" i="8"/>
  <c r="AS31" i="8"/>
  <c r="AD122" i="6"/>
  <c r="AD123" i="6" s="1"/>
  <c r="AC122" i="6"/>
  <c r="AC123" i="6" s="1"/>
  <c r="P157" i="1"/>
  <c r="L15" i="8"/>
  <c r="I15" i="8"/>
  <c r="AE38" i="8"/>
  <c r="AH38" i="8"/>
  <c r="BG17" i="8"/>
  <c r="AH9" i="8"/>
  <c r="BL28" i="8"/>
  <c r="AR110" i="6"/>
  <c r="BE110" i="6"/>
  <c r="AE14" i="8"/>
  <c r="AH14" i="8"/>
  <c r="BD110" i="6"/>
  <c r="AO110" i="6"/>
  <c r="AE15" i="8"/>
  <c r="AH15" i="8"/>
  <c r="N199" i="1"/>
  <c r="AS26" i="8"/>
  <c r="AP26" i="8"/>
  <c r="BG110" i="6"/>
  <c r="AX110" i="6"/>
  <c r="AS33" i="8"/>
  <c r="AP33" i="8"/>
  <c r="BA12" i="8"/>
  <c r="BB33" i="7"/>
  <c r="BD33" i="7" s="1"/>
  <c r="BB28" i="7"/>
  <c r="BD28" i="7" s="1"/>
  <c r="BG15" i="8"/>
  <c r="AE28" i="8"/>
  <c r="AP23" i="8"/>
  <c r="AS23" i="8"/>
  <c r="BD33" i="8"/>
  <c r="BA33" i="8"/>
  <c r="AB199" i="1"/>
  <c r="AB203" i="1" s="1"/>
  <c r="J10" i="8"/>
  <c r="K10" i="8" s="1"/>
  <c r="M10" i="8" s="1"/>
  <c r="K10" i="7"/>
  <c r="AR50" i="7"/>
  <c r="Y199" i="1"/>
  <c r="Y203" i="1" s="1"/>
  <c r="O78" i="1"/>
  <c r="AM16" i="1"/>
  <c r="AM78" i="1" s="1"/>
  <c r="Q16" i="1"/>
  <c r="S10" i="7" s="1"/>
  <c r="T10" i="7" s="1"/>
  <c r="V199" i="1"/>
  <c r="V203" i="1" s="1"/>
  <c r="AP30" i="8"/>
  <c r="Y157" i="1"/>
  <c r="J157" i="1"/>
  <c r="W50" i="7"/>
  <c r="BB30" i="7"/>
  <c r="AH50" i="7"/>
  <c r="BA30" i="8"/>
  <c r="R21" i="1"/>
  <c r="BD21" i="1"/>
  <c r="U15" i="8"/>
  <c r="AO21" i="1"/>
  <c r="Q83" i="1"/>
  <c r="BD83" i="1" s="1"/>
  <c r="AG50" i="7"/>
  <c r="N50" i="7"/>
  <c r="BD28" i="1"/>
  <c r="AO28" i="1"/>
  <c r="AO90" i="1" s="1"/>
  <c r="AP21" i="8"/>
  <c r="AS21" i="8"/>
  <c r="BA9" i="8"/>
  <c r="BD9" i="8"/>
  <c r="AE22" i="8"/>
  <c r="AH22" i="8"/>
  <c r="AZ93" i="8"/>
  <c r="AM22" i="1"/>
  <c r="O84" i="1"/>
  <c r="AP25" i="8"/>
  <c r="O50" i="7"/>
  <c r="AS16" i="8"/>
  <c r="AP16" i="8"/>
  <c r="BG22" i="8"/>
  <c r="BD20" i="8"/>
  <c r="BA20" i="8"/>
  <c r="BJ14" i="8"/>
  <c r="AO50" i="7"/>
  <c r="T19" i="8"/>
  <c r="W19" i="8"/>
  <c r="BA37" i="8"/>
  <c r="BD37" i="8"/>
  <c r="BG16" i="8"/>
  <c r="P93" i="8"/>
  <c r="AS18" i="8"/>
  <c r="AP18" i="8"/>
  <c r="AN93" i="8"/>
  <c r="K16" i="7"/>
  <c r="J16" i="8"/>
  <c r="K16" i="8" s="1"/>
  <c r="M16" i="8" s="1"/>
  <c r="X50" i="7"/>
  <c r="AO93" i="8"/>
  <c r="AI50" i="7"/>
  <c r="AS11" i="8"/>
  <c r="AP11" i="8"/>
  <c r="AK93" i="8"/>
  <c r="AP32" i="8"/>
  <c r="AS32" i="8"/>
  <c r="AH25" i="8"/>
  <c r="AE25" i="8"/>
  <c r="BA38" i="8"/>
  <c r="BD38" i="8"/>
  <c r="AE32" i="8"/>
  <c r="AH32" i="8"/>
  <c r="BL33" i="8"/>
  <c r="BO33" i="8"/>
  <c r="BJ37" i="8"/>
  <c r="BB37" i="7"/>
  <c r="BD37" i="7" s="1"/>
  <c r="R93" i="8"/>
  <c r="AH11" i="8"/>
  <c r="AE11" i="8"/>
  <c r="Z93" i="8"/>
  <c r="AJ49" i="7"/>
  <c r="AJ51" i="7" s="1"/>
  <c r="AF50" i="7"/>
  <c r="AL93" i="8"/>
  <c r="Z50" i="7"/>
  <c r="AE27" i="8"/>
  <c r="AH27" i="8"/>
  <c r="AS35" i="8"/>
  <c r="AP35" i="8"/>
  <c r="AE26" i="8"/>
  <c r="AH26" i="8"/>
  <c r="BG35" i="8"/>
  <c r="BB35" i="7"/>
  <c r="BH11" i="8"/>
  <c r="BH91" i="8" s="1"/>
  <c r="AX49" i="7"/>
  <c r="AX53" i="7" s="1"/>
  <c r="W29" i="8"/>
  <c r="T29" i="8"/>
  <c r="AH29" i="8"/>
  <c r="AE29" i="8"/>
  <c r="AS22" i="8"/>
  <c r="AP22" i="8"/>
  <c r="T23" i="8"/>
  <c r="W23" i="8"/>
  <c r="BI38" i="8"/>
  <c r="BB38" i="7"/>
  <c r="BD38" i="7" s="1"/>
  <c r="AS25" i="8"/>
  <c r="AE9" i="8"/>
  <c r="M50" i="7"/>
  <c r="S93" i="8"/>
  <c r="W26" i="8"/>
  <c r="V26" i="8" s="1"/>
  <c r="BG25" i="8"/>
  <c r="AH18" i="8"/>
  <c r="AE18" i="8"/>
  <c r="AM93" i="8"/>
  <c r="AS13" i="8"/>
  <c r="AP13" i="8"/>
  <c r="Y50" i="7"/>
  <c r="AE16" i="8"/>
  <c r="AH16" i="8"/>
  <c r="AS34" i="8"/>
  <c r="AP34" i="8"/>
  <c r="W13" i="8"/>
  <c r="T13" i="8"/>
  <c r="BD30" i="8"/>
  <c r="AH35" i="8"/>
  <c r="AE35" i="8"/>
  <c r="AH20" i="8"/>
  <c r="AE20" i="8"/>
  <c r="BA35" i="8"/>
  <c r="BD35" i="8"/>
  <c r="AE21" i="8"/>
  <c r="AH21" i="8"/>
  <c r="AS20" i="8"/>
  <c r="AP20" i="8"/>
  <c r="AS24" i="8"/>
  <c r="AP24" i="8"/>
  <c r="T34" i="8"/>
  <c r="W34" i="8"/>
  <c r="I49" i="7"/>
  <c r="K8" i="7"/>
  <c r="K49" i="7" s="1"/>
  <c r="W36" i="8"/>
  <c r="T36" i="8"/>
  <c r="BK32" i="7"/>
  <c r="BK36" i="7"/>
  <c r="BK35" i="7"/>
  <c r="AN50" i="7"/>
  <c r="AH30" i="8"/>
  <c r="AE30" i="8"/>
  <c r="T15" i="8"/>
  <c r="W15" i="8"/>
  <c r="BJ23" i="8"/>
  <c r="BI24" i="8"/>
  <c r="BA34" i="8"/>
  <c r="BD34" i="8"/>
  <c r="AS10" i="8"/>
  <c r="AP10" i="8"/>
  <c r="I11" i="8"/>
  <c r="L11" i="8"/>
  <c r="BJ13" i="8"/>
  <c r="I12" i="8"/>
  <c r="L12" i="8"/>
  <c r="W35" i="8"/>
  <c r="T35" i="8"/>
  <c r="T16" i="8"/>
  <c r="W16" i="8"/>
  <c r="BJ20" i="8"/>
  <c r="T9" i="8"/>
  <c r="W25" i="8"/>
  <c r="V25" i="8" s="1"/>
  <c r="Q93" i="8"/>
  <c r="T30" i="7"/>
  <c r="BJ27" i="8"/>
  <c r="AY49" i="7"/>
  <c r="AY53" i="7" s="1"/>
  <c r="BI9" i="8"/>
  <c r="BB9" i="7"/>
  <c r="AS19" i="8"/>
  <c r="AP19" i="8"/>
  <c r="AS27" i="8"/>
  <c r="AP27" i="8"/>
  <c r="BG11" i="8"/>
  <c r="AW49" i="7"/>
  <c r="AW53" i="7" s="1"/>
  <c r="AL30" i="7"/>
  <c r="BG19" i="8"/>
  <c r="AA93" i="8"/>
  <c r="K9" i="8"/>
  <c r="M9" i="8" s="1"/>
  <c r="BO36" i="8"/>
  <c r="BL36" i="8"/>
  <c r="W27" i="8"/>
  <c r="V27" i="8" s="1"/>
  <c r="AA49" i="7"/>
  <c r="AA51" i="7" s="1"/>
  <c r="V50" i="7"/>
  <c r="AH24" i="8"/>
  <c r="AE24" i="8"/>
  <c r="BA32" i="8"/>
  <c r="BD32" i="8"/>
  <c r="BJ9" i="8"/>
  <c r="AZ49" i="7"/>
  <c r="AZ53" i="7" s="1"/>
  <c r="AB93" i="8"/>
  <c r="AC93" i="8"/>
  <c r="N200" i="1"/>
  <c r="BG34" i="8"/>
  <c r="BB34" i="7"/>
  <c r="BD34" i="7" s="1"/>
  <c r="W38" i="8"/>
  <c r="T38" i="8"/>
  <c r="AQ50" i="7"/>
  <c r="R49" i="7"/>
  <c r="R51" i="7" s="1"/>
  <c r="L30" i="8"/>
  <c r="I30" i="8"/>
  <c r="T32" i="8"/>
  <c r="W32" i="8"/>
  <c r="W18" i="8"/>
  <c r="T18" i="8"/>
  <c r="AE34" i="8"/>
  <c r="AH34" i="8"/>
  <c r="T22" i="8"/>
  <c r="W22" i="8"/>
  <c r="T20" i="8"/>
  <c r="W20" i="8"/>
  <c r="AP28" i="8"/>
  <c r="AS28" i="8"/>
  <c r="T30" i="8"/>
  <c r="W30" i="8"/>
  <c r="AS49" i="7"/>
  <c r="AS51" i="7" s="1"/>
  <c r="I8" i="8"/>
  <c r="L8" i="8"/>
  <c r="D93" i="8"/>
  <c r="AE50" i="7"/>
  <c r="BJ18" i="8"/>
  <c r="T11" i="8"/>
  <c r="W11" i="8"/>
  <c r="O93" i="8"/>
  <c r="BJ10" i="8"/>
  <c r="BG31" i="8"/>
  <c r="BB31" i="7"/>
  <c r="BD31" i="7" s="1"/>
  <c r="T28" i="8"/>
  <c r="W28" i="8"/>
  <c r="BJ29" i="8"/>
  <c r="BB29" i="7"/>
  <c r="BD29" i="7" s="1"/>
  <c r="BG32" i="8"/>
  <c r="BB32" i="7"/>
  <c r="BD32" i="7" s="1"/>
  <c r="T10" i="8"/>
  <c r="W10" i="8"/>
  <c r="BA10" i="8"/>
  <c r="BD10" i="8"/>
  <c r="AD93" i="8"/>
  <c r="BD31" i="8"/>
  <c r="BA31" i="8"/>
  <c r="T21" i="8"/>
  <c r="W21" i="8"/>
  <c r="BD29" i="8"/>
  <c r="BA29" i="8"/>
  <c r="BA49" i="7"/>
  <c r="BA53" i="7" s="1"/>
  <c r="AU30" i="7"/>
  <c r="AC30" i="7"/>
  <c r="P50" i="7"/>
  <c r="AE36" i="8"/>
  <c r="AH36" i="8"/>
  <c r="T17" i="8"/>
  <c r="W17" i="8"/>
  <c r="AP50" i="7"/>
  <c r="AB16" i="7" l="1"/>
  <c r="AC16" i="7" s="1"/>
  <c r="AB21" i="7"/>
  <c r="AC21" i="7" s="1"/>
  <c r="AB11" i="7"/>
  <c r="AC11" i="7" s="1"/>
  <c r="AR33" i="1"/>
  <c r="AR95" i="1" s="1"/>
  <c r="AB27" i="7"/>
  <c r="AC27" i="7" s="1"/>
  <c r="T95" i="1"/>
  <c r="BE95" i="1" s="1"/>
  <c r="U33" i="1"/>
  <c r="BE33" i="1"/>
  <c r="T46" i="7"/>
  <c r="W33" i="1"/>
  <c r="AK27" i="7" s="1"/>
  <c r="AL27" i="7" s="1"/>
  <c r="AO29" i="1"/>
  <c r="R29" i="1"/>
  <c r="BD29" i="1"/>
  <c r="BD18" i="1"/>
  <c r="R18" i="1"/>
  <c r="T18" i="1" s="1"/>
  <c r="AB12" i="7" s="1"/>
  <c r="AC12" i="7" s="1"/>
  <c r="R26" i="1"/>
  <c r="Q88" i="1"/>
  <c r="AO18" i="1"/>
  <c r="U23" i="8"/>
  <c r="V23" i="8" s="1"/>
  <c r="X23" i="8" s="1"/>
  <c r="BE17" i="1"/>
  <c r="Q80" i="1"/>
  <c r="BO12" i="8"/>
  <c r="BO21" i="8"/>
  <c r="BB48" i="7"/>
  <c r="AX50" i="7"/>
  <c r="BB46" i="7"/>
  <c r="BD35" i="7"/>
  <c r="BB47" i="7"/>
  <c r="AZ50" i="7"/>
  <c r="AY50" i="7"/>
  <c r="AW50" i="7"/>
  <c r="Q77" i="1"/>
  <c r="U94" i="1"/>
  <c r="BL30" i="8"/>
  <c r="W32" i="1"/>
  <c r="AK26" i="7" s="1"/>
  <c r="AL26" i="7" s="1"/>
  <c r="BA50" i="7"/>
  <c r="BG90" i="8"/>
  <c r="BO30" i="8"/>
  <c r="AF26" i="8"/>
  <c r="AG26" i="8" s="1"/>
  <c r="AI26" i="8" s="1"/>
  <c r="BK90" i="8"/>
  <c r="BD30" i="7"/>
  <c r="R30" i="1"/>
  <c r="R92" i="1" s="1"/>
  <c r="U21" i="8"/>
  <c r="V21" i="8" s="1"/>
  <c r="X21" i="8" s="1"/>
  <c r="AH90" i="8"/>
  <c r="BI91" i="8"/>
  <c r="AS92" i="8"/>
  <c r="W93" i="1"/>
  <c r="BF93" i="1" s="1"/>
  <c r="X31" i="1"/>
  <c r="Z31" i="1" s="1"/>
  <c r="AT25" i="7" s="1"/>
  <c r="AU25" i="7" s="1"/>
  <c r="R90" i="1"/>
  <c r="BI90" i="8"/>
  <c r="T28" i="1"/>
  <c r="AB22" i="7" s="1"/>
  <c r="AC22" i="7" s="1"/>
  <c r="AP92" i="8"/>
  <c r="AS91" i="8"/>
  <c r="U22" i="8"/>
  <c r="V22" i="8" s="1"/>
  <c r="X22" i="8" s="1"/>
  <c r="W92" i="8"/>
  <c r="AP91" i="8"/>
  <c r="T91" i="8"/>
  <c r="BG91" i="8"/>
  <c r="AP90" i="8"/>
  <c r="BG92" i="8"/>
  <c r="BJ92" i="8"/>
  <c r="T92" i="8"/>
  <c r="AS90" i="8"/>
  <c r="BJ91" i="8"/>
  <c r="BJ90" i="8"/>
  <c r="AH91" i="8"/>
  <c r="AH92" i="8"/>
  <c r="AE92" i="8"/>
  <c r="AE91" i="8"/>
  <c r="AE90" i="8"/>
  <c r="W91" i="8"/>
  <c r="T90" i="8"/>
  <c r="W90" i="8"/>
  <c r="AO15" i="1"/>
  <c r="Q51" i="1"/>
  <c r="BD51" i="1" s="1"/>
  <c r="Q50" i="1"/>
  <c r="BD50" i="1" s="1"/>
  <c r="BD15" i="1"/>
  <c r="AP17" i="1"/>
  <c r="S9" i="7"/>
  <c r="R15" i="1"/>
  <c r="R19" i="1"/>
  <c r="U17" i="1"/>
  <c r="R79" i="1"/>
  <c r="R89" i="1"/>
  <c r="BD90" i="1"/>
  <c r="BC51" i="6"/>
  <c r="O52" i="6"/>
  <c r="BC52" i="6" s="1"/>
  <c r="J94" i="8"/>
  <c r="AS33" i="1"/>
  <c r="AS95" i="1" s="1"/>
  <c r="U95" i="1"/>
  <c r="O199" i="1"/>
  <c r="P51" i="6"/>
  <c r="P52" i="6" s="1"/>
  <c r="AM26" i="6"/>
  <c r="R26" i="6"/>
  <c r="BD19" i="1"/>
  <c r="Q81" i="1"/>
  <c r="AO19" i="1"/>
  <c r="AO81" i="1" s="1"/>
  <c r="Q87" i="1"/>
  <c r="BD25" i="1"/>
  <c r="AO25" i="1"/>
  <c r="R25" i="1"/>
  <c r="Q92" i="1"/>
  <c r="BD92" i="1" s="1"/>
  <c r="AG37" i="8"/>
  <c r="AI37" i="8" s="1"/>
  <c r="U14" i="8"/>
  <c r="V37" i="8"/>
  <c r="X37" i="8" s="1"/>
  <c r="AR30" i="8"/>
  <c r="AT30" i="8" s="1"/>
  <c r="AR36" i="8"/>
  <c r="AT36" i="8" s="1"/>
  <c r="O200" i="1"/>
  <c r="AC94" i="8"/>
  <c r="AC97" i="8" s="1"/>
  <c r="AR31" i="8"/>
  <c r="AT31" i="8" s="1"/>
  <c r="AO94" i="8"/>
  <c r="AO97" i="8" s="1"/>
  <c r="AG28" i="8"/>
  <c r="AI28" i="8" s="1"/>
  <c r="AD94" i="8"/>
  <c r="AD97" i="8" s="1"/>
  <c r="AG31" i="8"/>
  <c r="AI31" i="8" s="1"/>
  <c r="AN94" i="8"/>
  <c r="AN97" i="8" s="1"/>
  <c r="AA94" i="8"/>
  <c r="AA97" i="8" s="1"/>
  <c r="AB94" i="8"/>
  <c r="AB97" i="8" s="1"/>
  <c r="BC28" i="8"/>
  <c r="BE28" i="8" s="1"/>
  <c r="BC36" i="8"/>
  <c r="BE36" i="8" s="1"/>
  <c r="T20" i="1"/>
  <c r="AB14" i="7" s="1"/>
  <c r="AC14" i="7" s="1"/>
  <c r="AP20" i="1"/>
  <c r="R82" i="1"/>
  <c r="AG38" i="8"/>
  <c r="AI38" i="8" s="1"/>
  <c r="S94" i="8"/>
  <c r="S97" i="8" s="1"/>
  <c r="BN28" i="8"/>
  <c r="BP28" i="8" s="1"/>
  <c r="V34" i="8"/>
  <c r="X34" i="8" s="1"/>
  <c r="AR38" i="8"/>
  <c r="AT38" i="8" s="1"/>
  <c r="AR29" i="8"/>
  <c r="AT29" i="8" s="1"/>
  <c r="BN36" i="8"/>
  <c r="BP36" i="8" s="1"/>
  <c r="BC33" i="8"/>
  <c r="BE33" i="8" s="1"/>
  <c r="K15" i="8"/>
  <c r="M15" i="8" s="1"/>
  <c r="K14" i="8"/>
  <c r="M14" i="8" s="1"/>
  <c r="AZ94" i="8"/>
  <c r="AZ97" i="8" s="1"/>
  <c r="AR32" i="8"/>
  <c r="AT32" i="8" s="1"/>
  <c r="BC34" i="8"/>
  <c r="BE34" i="8" s="1"/>
  <c r="AG30" i="8"/>
  <c r="AI30" i="8" s="1"/>
  <c r="BL17" i="8"/>
  <c r="BO17" i="8"/>
  <c r="AO23" i="1"/>
  <c r="AO85" i="1" s="1"/>
  <c r="BD23" i="1"/>
  <c r="Q85" i="1"/>
  <c r="BD85" i="1" s="1"/>
  <c r="AK94" i="8"/>
  <c r="AK97" i="8" s="1"/>
  <c r="K12" i="8"/>
  <c r="M12" i="8" s="1"/>
  <c r="K11" i="8"/>
  <c r="M11" i="8" s="1"/>
  <c r="AR33" i="8"/>
  <c r="AT33" i="8" s="1"/>
  <c r="X25" i="8"/>
  <c r="BO15" i="8"/>
  <c r="BL15" i="8"/>
  <c r="R23" i="1"/>
  <c r="T23" i="1" s="1"/>
  <c r="V35" i="8"/>
  <c r="X35" i="8" s="1"/>
  <c r="AO16" i="1"/>
  <c r="AO78" i="1" s="1"/>
  <c r="R16" i="1"/>
  <c r="BD16" i="1"/>
  <c r="Q78" i="1"/>
  <c r="BD78" i="1" s="1"/>
  <c r="V11" i="8"/>
  <c r="X11" i="8" s="1"/>
  <c r="BC32" i="8"/>
  <c r="BE32" i="8" s="1"/>
  <c r="AG35" i="8"/>
  <c r="AI35" i="8" s="1"/>
  <c r="BC30" i="8"/>
  <c r="BE30" i="8" s="1"/>
  <c r="V38" i="8"/>
  <c r="X38" i="8" s="1"/>
  <c r="V29" i="8"/>
  <c r="X29" i="8" s="1"/>
  <c r="AR35" i="8"/>
  <c r="AT35" i="8" s="1"/>
  <c r="BC29" i="8"/>
  <c r="BE29" i="8" s="1"/>
  <c r="V36" i="8"/>
  <c r="X36" i="8" s="1"/>
  <c r="Z94" i="8"/>
  <c r="Z97" i="8" s="1"/>
  <c r="V32" i="8"/>
  <c r="X32" i="8" s="1"/>
  <c r="AG34" i="8"/>
  <c r="AI34" i="8" s="1"/>
  <c r="AR34" i="8"/>
  <c r="AT34" i="8" s="1"/>
  <c r="BC31" i="8"/>
  <c r="BE31" i="8" s="1"/>
  <c r="V28" i="8"/>
  <c r="X28" i="8" s="1"/>
  <c r="AR28" i="8"/>
  <c r="AT28" i="8" s="1"/>
  <c r="AM94" i="8"/>
  <c r="AM97" i="8" s="1"/>
  <c r="AG32" i="8"/>
  <c r="AI32" i="8" s="1"/>
  <c r="P94" i="8"/>
  <c r="P97" i="8" s="1"/>
  <c r="W93" i="8"/>
  <c r="AH93" i="8"/>
  <c r="R83" i="1"/>
  <c r="AP21" i="1"/>
  <c r="T21" i="1"/>
  <c r="AB15" i="7" s="1"/>
  <c r="AC15" i="7" s="1"/>
  <c r="BC37" i="8"/>
  <c r="BE37" i="8" s="1"/>
  <c r="AP93" i="8"/>
  <c r="AP95" i="8" s="1"/>
  <c r="AS50" i="7"/>
  <c r="X27" i="8"/>
  <c r="AJ50" i="7"/>
  <c r="R94" i="8"/>
  <c r="R97" i="8" s="1"/>
  <c r="AP22" i="1"/>
  <c r="R84" i="1"/>
  <c r="BL29" i="8"/>
  <c r="BO29" i="8"/>
  <c r="V15" i="8"/>
  <c r="X15" i="8" s="1"/>
  <c r="BJ93" i="8"/>
  <c r="BO19" i="8"/>
  <c r="BL19" i="8"/>
  <c r="X26" i="8"/>
  <c r="BH93" i="8"/>
  <c r="BO27" i="8"/>
  <c r="BL27" i="8"/>
  <c r="BO14" i="8"/>
  <c r="BL14" i="8"/>
  <c r="V30" i="8"/>
  <c r="X30" i="8" s="1"/>
  <c r="BO23" i="8"/>
  <c r="BL23" i="8"/>
  <c r="BK33" i="7"/>
  <c r="BK37" i="7"/>
  <c r="BL35" i="8"/>
  <c r="BO35" i="8"/>
  <c r="BC38" i="8"/>
  <c r="BE38" i="8" s="1"/>
  <c r="T93" i="8"/>
  <c r="T95" i="8" s="1"/>
  <c r="BO13" i="8"/>
  <c r="BL13" i="8"/>
  <c r="BL24" i="8"/>
  <c r="BO24" i="8"/>
  <c r="AE93" i="8"/>
  <c r="AE95" i="8" s="1"/>
  <c r="AG36" i="8"/>
  <c r="AI36" i="8" s="1"/>
  <c r="K30" i="8"/>
  <c r="M30" i="8" s="1"/>
  <c r="BL20" i="8"/>
  <c r="BO20" i="8"/>
  <c r="Q97" i="8"/>
  <c r="AG29" i="8"/>
  <c r="AI29" i="8" s="1"/>
  <c r="BO37" i="8"/>
  <c r="BL37" i="8"/>
  <c r="AG25" i="8"/>
  <c r="AI25" i="8" s="1"/>
  <c r="BL11" i="8"/>
  <c r="BO11" i="8"/>
  <c r="BG93" i="8"/>
  <c r="BO25" i="8"/>
  <c r="BL25" i="8"/>
  <c r="BL16" i="8"/>
  <c r="BO16" i="8"/>
  <c r="AO22" i="1"/>
  <c r="BD22" i="1"/>
  <c r="Q84" i="1"/>
  <c r="BO18" i="8"/>
  <c r="BL18" i="8"/>
  <c r="BO31" i="8"/>
  <c r="BL31" i="8"/>
  <c r="BO38" i="8"/>
  <c r="BL38" i="8"/>
  <c r="BO32" i="8"/>
  <c r="BL32" i="8"/>
  <c r="BO34" i="8"/>
  <c r="BL34" i="8"/>
  <c r="BI93" i="8"/>
  <c r="BO9" i="8"/>
  <c r="BL9" i="8"/>
  <c r="R50" i="7"/>
  <c r="AL94" i="8"/>
  <c r="AL97" i="8" s="1"/>
  <c r="BC35" i="8"/>
  <c r="BE35" i="8" s="1"/>
  <c r="AS93" i="8"/>
  <c r="BN33" i="8"/>
  <c r="BP33" i="8" s="1"/>
  <c r="BL22" i="8"/>
  <c r="BO22" i="8"/>
  <c r="O94" i="8"/>
  <c r="O97" i="8" s="1"/>
  <c r="BB49" i="7"/>
  <c r="BB51" i="7" s="1"/>
  <c r="BK93" i="8"/>
  <c r="BL26" i="8"/>
  <c r="BO26" i="8"/>
  <c r="BL10" i="8"/>
  <c r="BO10" i="8"/>
  <c r="I93" i="8"/>
  <c r="K8" i="8"/>
  <c r="AA50" i="7"/>
  <c r="AB23" i="7" l="1"/>
  <c r="AC23" i="7" s="1"/>
  <c r="T29" i="1"/>
  <c r="AB17" i="7"/>
  <c r="AC17" i="7" s="1"/>
  <c r="AK11" i="7"/>
  <c r="AL11" i="7" s="1"/>
  <c r="AB13" i="7"/>
  <c r="AC13" i="7" s="1"/>
  <c r="AB19" i="7"/>
  <c r="AC19" i="7" s="1"/>
  <c r="AF27" i="8"/>
  <c r="AG27" i="8" s="1"/>
  <c r="AI27" i="8" s="1"/>
  <c r="U27" i="1"/>
  <c r="W27" i="1" s="1"/>
  <c r="AK21" i="7" s="1"/>
  <c r="AL21" i="7" s="1"/>
  <c r="R80" i="1"/>
  <c r="U20" i="8"/>
  <c r="V20" i="8" s="1"/>
  <c r="X20" i="8" s="1"/>
  <c r="X90" i="8" s="1"/>
  <c r="X94" i="8" s="1"/>
  <c r="BD88" i="1"/>
  <c r="R88" i="1"/>
  <c r="AP18" i="1"/>
  <c r="AP29" i="1"/>
  <c r="R91" i="1"/>
  <c r="T89" i="1"/>
  <c r="T26" i="1"/>
  <c r="AB20" i="7" s="1"/>
  <c r="AC20" i="7" s="1"/>
  <c r="U22" i="1"/>
  <c r="AK16" i="7" s="1"/>
  <c r="AL16" i="7" s="1"/>
  <c r="T79" i="1"/>
  <c r="AR17" i="1"/>
  <c r="BE28" i="1"/>
  <c r="BF32" i="1"/>
  <c r="U12" i="8"/>
  <c r="V12" i="8" s="1"/>
  <c r="X12" i="8" s="1"/>
  <c r="T30" i="1"/>
  <c r="AB24" i="7" s="1"/>
  <c r="AC24" i="7" s="1"/>
  <c r="BN30" i="8"/>
  <c r="BP30" i="8" s="1"/>
  <c r="AR28" i="1"/>
  <c r="AR90" i="1" s="1"/>
  <c r="T90" i="1"/>
  <c r="BE90" i="1" s="1"/>
  <c r="W94" i="1"/>
  <c r="AU32" i="1"/>
  <c r="X32" i="1"/>
  <c r="Z32" i="1" s="1"/>
  <c r="AT26" i="7" s="1"/>
  <c r="AU26" i="7" s="1"/>
  <c r="S26" i="6"/>
  <c r="AP26" i="6" s="1"/>
  <c r="R81" i="1"/>
  <c r="S46" i="7"/>
  <c r="AQ25" i="8"/>
  <c r="AR25" i="8" s="1"/>
  <c r="AT25" i="8" s="1"/>
  <c r="U9" i="8"/>
  <c r="V9" i="8" s="1"/>
  <c r="V91" i="8" s="1"/>
  <c r="S47" i="7"/>
  <c r="X93" i="1"/>
  <c r="AA31" i="1"/>
  <c r="AA93" i="1" s="1"/>
  <c r="R51" i="1"/>
  <c r="R70" i="1" s="1"/>
  <c r="AF21" i="8"/>
  <c r="AG21" i="8" s="1"/>
  <c r="AI21" i="8" s="1"/>
  <c r="U28" i="1"/>
  <c r="U18" i="1"/>
  <c r="AS18" i="1" s="1"/>
  <c r="R50" i="1"/>
  <c r="BO90" i="8"/>
  <c r="BO91" i="8"/>
  <c r="BL90" i="8"/>
  <c r="BL92" i="8"/>
  <c r="BL91" i="8"/>
  <c r="BO92" i="8"/>
  <c r="T15" i="1"/>
  <c r="T9" i="7"/>
  <c r="T47" i="7" s="1"/>
  <c r="R77" i="1"/>
  <c r="AP15" i="1"/>
  <c r="AP19" i="1"/>
  <c r="AP81" i="1" s="1"/>
  <c r="BD81" i="1"/>
  <c r="AS17" i="1"/>
  <c r="V14" i="8"/>
  <c r="U79" i="1"/>
  <c r="BD87" i="1"/>
  <c r="X33" i="1"/>
  <c r="W95" i="1"/>
  <c r="AU33" i="1"/>
  <c r="AU95" i="1" s="1"/>
  <c r="BF33" i="1"/>
  <c r="AO26" i="6"/>
  <c r="R51" i="6"/>
  <c r="BD26" i="6"/>
  <c r="U13" i="8"/>
  <c r="V13" i="8" s="1"/>
  <c r="X13" i="8" s="1"/>
  <c r="R87" i="1"/>
  <c r="AP25" i="1"/>
  <c r="U19" i="8"/>
  <c r="V19" i="8" s="1"/>
  <c r="X19" i="8" s="1"/>
  <c r="U24" i="8"/>
  <c r="BI94" i="8"/>
  <c r="BI97" i="8" s="1"/>
  <c r="BH94" i="8"/>
  <c r="BH97" i="8" s="1"/>
  <c r="BK94" i="8"/>
  <c r="BK97" i="8" s="1"/>
  <c r="U20" i="1"/>
  <c r="AR20" i="1"/>
  <c r="BE20" i="1"/>
  <c r="T82" i="1"/>
  <c r="BG94" i="8"/>
  <c r="BG97" i="8" s="1"/>
  <c r="BN38" i="8"/>
  <c r="BP38" i="8" s="1"/>
  <c r="BN37" i="8"/>
  <c r="BP37" i="8" s="1"/>
  <c r="BB50" i="7"/>
  <c r="Q200" i="1"/>
  <c r="Q199" i="1"/>
  <c r="AP94" i="8"/>
  <c r="BJ94" i="8"/>
  <c r="BJ97" i="8" s="1"/>
  <c r="U17" i="8"/>
  <c r="V17" i="8" s="1"/>
  <c r="X17" i="8" s="1"/>
  <c r="R85" i="1"/>
  <c r="AP23" i="1"/>
  <c r="AP85" i="1" s="1"/>
  <c r="AH94" i="8"/>
  <c r="BN32" i="8"/>
  <c r="BP32" i="8" s="1"/>
  <c r="AS94" i="8"/>
  <c r="R78" i="1"/>
  <c r="T16" i="1"/>
  <c r="AB10" i="7" s="1"/>
  <c r="AC10" i="7" s="1"/>
  <c r="AP16" i="1"/>
  <c r="AP78" i="1" s="1"/>
  <c r="U10" i="8"/>
  <c r="BE18" i="1"/>
  <c r="AR18" i="1"/>
  <c r="T80" i="1"/>
  <c r="T94" i="8"/>
  <c r="AE94" i="8"/>
  <c r="U21" i="1"/>
  <c r="BE21" i="1"/>
  <c r="AR21" i="1"/>
  <c r="T83" i="1"/>
  <c r="BE83" i="1" s="1"/>
  <c r="BN34" i="8"/>
  <c r="BP34" i="8" s="1"/>
  <c r="BN31" i="8"/>
  <c r="BP31" i="8" s="1"/>
  <c r="BK34" i="7"/>
  <c r="BK38" i="7"/>
  <c r="W94" i="8"/>
  <c r="BN35" i="8"/>
  <c r="BP35" i="8" s="1"/>
  <c r="BE22" i="1"/>
  <c r="T84" i="1"/>
  <c r="AR22" i="1"/>
  <c r="BL93" i="8"/>
  <c r="BL95" i="8" s="1"/>
  <c r="U16" i="8"/>
  <c r="BO93" i="8"/>
  <c r="M8" i="8"/>
  <c r="K93" i="8"/>
  <c r="BN29" i="8"/>
  <c r="BP29" i="8" s="1"/>
  <c r="X27" i="1" l="1"/>
  <c r="U89" i="1"/>
  <c r="V90" i="8"/>
  <c r="V94" i="8" s="1"/>
  <c r="BE19" i="1"/>
  <c r="T81" i="1"/>
  <c r="AC46" i="7"/>
  <c r="U19" i="1"/>
  <c r="W19" i="1" s="1"/>
  <c r="U29" i="1"/>
  <c r="W29" i="1" s="1"/>
  <c r="AK23" i="7" s="1"/>
  <c r="AL23" i="7" s="1"/>
  <c r="AR19" i="1"/>
  <c r="AR81" i="1" s="1"/>
  <c r="BE29" i="1"/>
  <c r="U26" i="6"/>
  <c r="AR26" i="6" s="1"/>
  <c r="AR29" i="1"/>
  <c r="T91" i="1"/>
  <c r="Z33" i="1"/>
  <c r="AT27" i="7" s="1"/>
  <c r="AU27" i="7" s="1"/>
  <c r="T88" i="1"/>
  <c r="X17" i="1"/>
  <c r="Z17" i="1" s="1"/>
  <c r="W89" i="1"/>
  <c r="U84" i="1"/>
  <c r="AS22" i="1"/>
  <c r="U26" i="1"/>
  <c r="T50" i="1"/>
  <c r="BE50" i="1" s="1"/>
  <c r="U30" i="1"/>
  <c r="W30" i="1" s="1"/>
  <c r="AK24" i="7" s="1"/>
  <c r="AL24" i="7" s="1"/>
  <c r="T92" i="1"/>
  <c r="BE92" i="1" s="1"/>
  <c r="AF11" i="8"/>
  <c r="AG11" i="8" s="1"/>
  <c r="AI11" i="8" s="1"/>
  <c r="Z94" i="1"/>
  <c r="AQ26" i="8"/>
  <c r="AR26" i="8" s="1"/>
  <c r="AT26" i="8" s="1"/>
  <c r="S51" i="6"/>
  <c r="S52" i="6" s="1"/>
  <c r="AA32" i="1"/>
  <c r="AC32" i="1" s="1"/>
  <c r="BC26" i="7" s="1"/>
  <c r="BD26" i="7" s="1"/>
  <c r="AV32" i="1"/>
  <c r="AX32" i="1"/>
  <c r="AU17" i="1"/>
  <c r="BF17" i="1"/>
  <c r="BG32" i="1"/>
  <c r="W79" i="1"/>
  <c r="AQ11" i="8"/>
  <c r="AR11" i="8" s="1"/>
  <c r="AT11" i="8" s="1"/>
  <c r="AR15" i="1"/>
  <c r="BE15" i="1"/>
  <c r="X94" i="1"/>
  <c r="T77" i="1"/>
  <c r="AB9" i="7"/>
  <c r="AC9" i="7" s="1"/>
  <c r="U15" i="1"/>
  <c r="AQ21" i="8"/>
  <c r="AR21" i="8" s="1"/>
  <c r="AT21" i="8" s="1"/>
  <c r="AF22" i="8"/>
  <c r="AG22" i="8" s="1"/>
  <c r="AI22" i="8" s="1"/>
  <c r="AS28" i="1"/>
  <c r="AS90" i="1" s="1"/>
  <c r="U90" i="1"/>
  <c r="W28" i="1"/>
  <c r="AK22" i="7" s="1"/>
  <c r="AL22" i="7" s="1"/>
  <c r="U80" i="1"/>
  <c r="Z93" i="1"/>
  <c r="BG93" i="1" s="1"/>
  <c r="W18" i="1"/>
  <c r="AK12" i="7" s="1"/>
  <c r="AL12" i="7" s="1"/>
  <c r="AC31" i="1"/>
  <c r="BC25" i="7" s="1"/>
  <c r="BD25" i="7" s="1"/>
  <c r="V10" i="8"/>
  <c r="X10" i="8" s="1"/>
  <c r="U91" i="8"/>
  <c r="V24" i="8"/>
  <c r="X24" i="8" s="1"/>
  <c r="U90" i="8"/>
  <c r="X14" i="8"/>
  <c r="X92" i="8" s="1"/>
  <c r="V92" i="8"/>
  <c r="T51" i="1"/>
  <c r="BE51" i="1" s="1"/>
  <c r="BE81" i="1"/>
  <c r="BF95" i="1"/>
  <c r="AF24" i="8"/>
  <c r="AG24" i="8" s="1"/>
  <c r="AI24" i="8" s="1"/>
  <c r="AQ27" i="8"/>
  <c r="AR27" i="8" s="1"/>
  <c r="AT27" i="8" s="1"/>
  <c r="X95" i="1"/>
  <c r="AV33" i="1"/>
  <c r="AV95" i="1" s="1"/>
  <c r="AR25" i="1"/>
  <c r="BE25" i="1"/>
  <c r="T87" i="1"/>
  <c r="U25" i="1"/>
  <c r="W25" i="1" s="1"/>
  <c r="R52" i="6"/>
  <c r="BD52" i="6" s="1"/>
  <c r="BD51" i="6"/>
  <c r="AF14" i="8"/>
  <c r="U82" i="1"/>
  <c r="AS20" i="1"/>
  <c r="W20" i="1"/>
  <c r="AK14" i="7" s="1"/>
  <c r="AL14" i="7" s="1"/>
  <c r="R199" i="1"/>
  <c r="R200" i="1"/>
  <c r="AF23" i="8"/>
  <c r="AG23" i="8" s="1"/>
  <c r="AI23" i="8" s="1"/>
  <c r="U23" i="1"/>
  <c r="BE23" i="1"/>
  <c r="AR23" i="1"/>
  <c r="AR85" i="1" s="1"/>
  <c r="T85" i="1"/>
  <c r="BE85" i="1" s="1"/>
  <c r="U16" i="1"/>
  <c r="BE16" i="1"/>
  <c r="AR16" i="1"/>
  <c r="AR78" i="1" s="1"/>
  <c r="T78" i="1"/>
  <c r="AS21" i="1"/>
  <c r="U83" i="1"/>
  <c r="W21" i="1"/>
  <c r="AK15" i="7" s="1"/>
  <c r="AL15" i="7" s="1"/>
  <c r="AF15" i="8"/>
  <c r="AG15" i="8" s="1"/>
  <c r="AI15" i="8" s="1"/>
  <c r="AF12" i="8"/>
  <c r="AG12" i="8" s="1"/>
  <c r="AI12" i="8" s="1"/>
  <c r="BO94" i="8"/>
  <c r="BL94" i="8"/>
  <c r="V16" i="8"/>
  <c r="X16" i="8" s="1"/>
  <c r="X9" i="8"/>
  <c r="X91" i="8" s="1"/>
  <c r="V93" i="8"/>
  <c r="AF16" i="8"/>
  <c r="AK17" i="7" l="1"/>
  <c r="AL17" i="7" s="1"/>
  <c r="X89" i="1"/>
  <c r="AT21" i="7"/>
  <c r="AU21" i="7" s="1"/>
  <c r="AT11" i="7"/>
  <c r="AU11" i="7" s="1"/>
  <c r="AK19" i="7"/>
  <c r="AL19" i="7" s="1"/>
  <c r="U81" i="1"/>
  <c r="AK13" i="7"/>
  <c r="AL13" i="7" s="1"/>
  <c r="BE88" i="1"/>
  <c r="AU22" i="1"/>
  <c r="BE26" i="6"/>
  <c r="U51" i="6"/>
  <c r="BE51" i="6" s="1"/>
  <c r="X22" i="1"/>
  <c r="AB46" i="7"/>
  <c r="AS29" i="1"/>
  <c r="AF20" i="8"/>
  <c r="AF90" i="8" s="1"/>
  <c r="U91" i="1"/>
  <c r="W15" i="1"/>
  <c r="W26" i="1"/>
  <c r="AK20" i="7" s="1"/>
  <c r="AL20" i="7" s="1"/>
  <c r="V26" i="6"/>
  <c r="AS26" i="6" s="1"/>
  <c r="AS19" i="1"/>
  <c r="AS81" i="1" s="1"/>
  <c r="X79" i="1"/>
  <c r="W92" i="1"/>
  <c r="BF92" i="1" s="1"/>
  <c r="AV17" i="1"/>
  <c r="W84" i="1"/>
  <c r="BF22" i="1"/>
  <c r="X30" i="1"/>
  <c r="X92" i="1" s="1"/>
  <c r="U88" i="1"/>
  <c r="U50" i="1"/>
  <c r="U92" i="1"/>
  <c r="AA94" i="1"/>
  <c r="BH32" i="1"/>
  <c r="AC94" i="1"/>
  <c r="BA32" i="1"/>
  <c r="W80" i="1"/>
  <c r="AY32" i="1"/>
  <c r="AD32" i="1"/>
  <c r="AD94" i="1" s="1"/>
  <c r="BB26" i="8"/>
  <c r="AF9" i="8"/>
  <c r="AG9" i="8" s="1"/>
  <c r="U77" i="1"/>
  <c r="AS15" i="1"/>
  <c r="U51" i="1"/>
  <c r="U70" i="1" s="1"/>
  <c r="BM26" i="8"/>
  <c r="BN26" i="8" s="1"/>
  <c r="BP26" i="8" s="1"/>
  <c r="AB47" i="7"/>
  <c r="AC47" i="7"/>
  <c r="AF13" i="8"/>
  <c r="AG13" i="8" s="1"/>
  <c r="AI13" i="8" s="1"/>
  <c r="AC93" i="1"/>
  <c r="BA93" i="1" s="1"/>
  <c r="AD31" i="1"/>
  <c r="AD93" i="1" s="1"/>
  <c r="X21" i="1"/>
  <c r="Z21" i="1" s="1"/>
  <c r="AT15" i="7" s="1"/>
  <c r="AU15" i="7" s="1"/>
  <c r="Z79" i="1"/>
  <c r="AU18" i="1"/>
  <c r="BF18" i="1"/>
  <c r="AA27" i="1"/>
  <c r="Z89" i="1"/>
  <c r="BB25" i="8"/>
  <c r="AQ24" i="8"/>
  <c r="AR24" i="8" s="1"/>
  <c r="AT24" i="8" s="1"/>
  <c r="X28" i="1"/>
  <c r="BF28" i="1"/>
  <c r="AU28" i="1"/>
  <c r="AU90" i="1" s="1"/>
  <c r="W90" i="1"/>
  <c r="BF90" i="1" s="1"/>
  <c r="X18" i="1"/>
  <c r="BM25" i="8"/>
  <c r="BN25" i="8" s="1"/>
  <c r="BP25" i="8" s="1"/>
  <c r="BG17" i="1"/>
  <c r="AA17" i="1"/>
  <c r="AC17" i="1" s="1"/>
  <c r="BC11" i="7" s="1"/>
  <c r="BD11" i="7" s="1"/>
  <c r="AX17" i="1"/>
  <c r="AG14" i="8"/>
  <c r="BE87" i="1"/>
  <c r="AA33" i="1"/>
  <c r="AC33" i="1" s="1"/>
  <c r="BC27" i="7" s="1"/>
  <c r="BD27" i="7" s="1"/>
  <c r="AX33" i="1"/>
  <c r="AX95" i="1" s="1"/>
  <c r="BG33" i="1"/>
  <c r="Z95" i="1"/>
  <c r="AS25" i="1"/>
  <c r="U87" i="1"/>
  <c r="AF19" i="8"/>
  <c r="AG19" i="8" s="1"/>
  <c r="AI19" i="8" s="1"/>
  <c r="X20" i="1"/>
  <c r="BF20" i="1"/>
  <c r="W82" i="1"/>
  <c r="AU20" i="1"/>
  <c r="T200" i="1"/>
  <c r="X29" i="1"/>
  <c r="AU29" i="1"/>
  <c r="BF29" i="1"/>
  <c r="W91" i="1"/>
  <c r="AF17" i="8"/>
  <c r="AG17" i="8" s="1"/>
  <c r="AI17" i="8" s="1"/>
  <c r="U85" i="1"/>
  <c r="AS23" i="1"/>
  <c r="AS85" i="1" s="1"/>
  <c r="AF10" i="8"/>
  <c r="BE78" i="1"/>
  <c r="T199" i="1"/>
  <c r="W16" i="1"/>
  <c r="AK10" i="7" s="1"/>
  <c r="AL10" i="7" s="1"/>
  <c r="U78" i="1"/>
  <c r="AS16" i="1"/>
  <c r="AS78" i="1" s="1"/>
  <c r="W83" i="1"/>
  <c r="BF83" i="1" s="1"/>
  <c r="BF21" i="1"/>
  <c r="AU21" i="1"/>
  <c r="X93" i="8"/>
  <c r="AG16" i="8"/>
  <c r="AI16" i="8" s="1"/>
  <c r="AQ16" i="8"/>
  <c r="Z29" i="1" l="1"/>
  <c r="AT23" i="7" s="1"/>
  <c r="AU23" i="7" s="1"/>
  <c r="AT16" i="7"/>
  <c r="AU16" i="7" s="1"/>
  <c r="AV22" i="1"/>
  <c r="U52" i="6"/>
  <c r="BE52" i="6" s="1"/>
  <c r="AK9" i="7"/>
  <c r="AL9" i="7" s="1"/>
  <c r="AG20" i="8"/>
  <c r="AG90" i="8" s="1"/>
  <c r="AG94" i="8" s="1"/>
  <c r="W88" i="1"/>
  <c r="V51" i="6"/>
  <c r="V52" i="6" s="1"/>
  <c r="AU15" i="1"/>
  <c r="X84" i="1"/>
  <c r="X15" i="1"/>
  <c r="X77" i="1" s="1"/>
  <c r="W77" i="1"/>
  <c r="W50" i="1"/>
  <c r="BF50" i="1" s="1"/>
  <c r="BF15" i="1"/>
  <c r="X26" i="1"/>
  <c r="X50" i="1" s="1"/>
  <c r="W81" i="1"/>
  <c r="BF81" i="1" s="1"/>
  <c r="AU19" i="1"/>
  <c r="AU81" i="1" s="1"/>
  <c r="BF19" i="1"/>
  <c r="X26" i="6"/>
  <c r="BF26" i="6" s="1"/>
  <c r="X19" i="1"/>
  <c r="Z19" i="1" s="1"/>
  <c r="Z30" i="1"/>
  <c r="AT24" i="7" s="1"/>
  <c r="AU24" i="7" s="1"/>
  <c r="U200" i="1"/>
  <c r="X23" i="1"/>
  <c r="Z23" i="1" s="1"/>
  <c r="BH93" i="1"/>
  <c r="X83" i="1"/>
  <c r="AA21" i="1"/>
  <c r="AY21" i="1" s="1"/>
  <c r="AA89" i="1"/>
  <c r="AC27" i="1"/>
  <c r="BC21" i="7" s="1"/>
  <c r="BD21" i="7" s="1"/>
  <c r="Z28" i="1"/>
  <c r="AT22" i="7" s="1"/>
  <c r="AU22" i="7" s="1"/>
  <c r="AV28" i="1"/>
  <c r="AV90" i="1" s="1"/>
  <c r="X90" i="1"/>
  <c r="AV21" i="1"/>
  <c r="AC79" i="1"/>
  <c r="BB21" i="8"/>
  <c r="AQ12" i="8"/>
  <c r="AR12" i="8" s="1"/>
  <c r="AT12" i="8" s="1"/>
  <c r="AQ22" i="8"/>
  <c r="AR22" i="8" s="1"/>
  <c r="AT22" i="8" s="1"/>
  <c r="AV18" i="1"/>
  <c r="X80" i="1"/>
  <c r="Z18" i="1"/>
  <c r="AT12" i="7" s="1"/>
  <c r="AU12" i="7" s="1"/>
  <c r="W51" i="1"/>
  <c r="BF51" i="1" s="1"/>
  <c r="AG10" i="8"/>
  <c r="AI10" i="8" s="1"/>
  <c r="AF91" i="8"/>
  <c r="AI14" i="8"/>
  <c r="AI92" i="8" s="1"/>
  <c r="AG92" i="8"/>
  <c r="AI9" i="8"/>
  <c r="AI91" i="8" s="1"/>
  <c r="AG91" i="8"/>
  <c r="AG93" i="8"/>
  <c r="AD17" i="1"/>
  <c r="AD79" i="1" s="1"/>
  <c r="BA17" i="1"/>
  <c r="AY17" i="1"/>
  <c r="BH17" i="1"/>
  <c r="AA79" i="1"/>
  <c r="BB11" i="8"/>
  <c r="BG95" i="1"/>
  <c r="AY33" i="1"/>
  <c r="AY95" i="1" s="1"/>
  <c r="AA95" i="1"/>
  <c r="BB27" i="8"/>
  <c r="X25" i="1"/>
  <c r="Z25" i="1" s="1"/>
  <c r="AU25" i="1"/>
  <c r="BF25" i="1"/>
  <c r="W87" i="1"/>
  <c r="AQ13" i="8"/>
  <c r="AR13" i="8" s="1"/>
  <c r="AT13" i="8" s="1"/>
  <c r="X16" i="1"/>
  <c r="AQ14" i="8"/>
  <c r="X82" i="1"/>
  <c r="Z20" i="1"/>
  <c r="AT14" i="7" s="1"/>
  <c r="AU14" i="7" s="1"/>
  <c r="AV20" i="1"/>
  <c r="AQ23" i="8"/>
  <c r="AV29" i="1"/>
  <c r="X91" i="1"/>
  <c r="W85" i="1"/>
  <c r="BF23" i="1"/>
  <c r="AU23" i="1"/>
  <c r="AU85" i="1" s="1"/>
  <c r="U199" i="1"/>
  <c r="BF16" i="1"/>
  <c r="W78" i="1"/>
  <c r="AU16" i="1"/>
  <c r="AU78" i="1" s="1"/>
  <c r="AQ15" i="8"/>
  <c r="AR15" i="8" s="1"/>
  <c r="BG21" i="1"/>
  <c r="AX21" i="1"/>
  <c r="Z83" i="1"/>
  <c r="BG83" i="1" s="1"/>
  <c r="AR16" i="8"/>
  <c r="AT16" i="8" s="1"/>
  <c r="Z84" i="1" l="1"/>
  <c r="AX22" i="1"/>
  <c r="BG22" i="1"/>
  <c r="AA22" i="1"/>
  <c r="AY22" i="1" s="1"/>
  <c r="AT17" i="7"/>
  <c r="AU17" i="7" s="1"/>
  <c r="AT19" i="7"/>
  <c r="AU19" i="7" s="1"/>
  <c r="X81" i="1"/>
  <c r="AT13" i="7"/>
  <c r="AU13" i="7" s="1"/>
  <c r="AQ9" i="8"/>
  <c r="AR9" i="8" s="1"/>
  <c r="AR91" i="8" s="1"/>
  <c r="Z15" i="1"/>
  <c r="AA15" i="1" s="1"/>
  <c r="AV15" i="1"/>
  <c r="BF88" i="1"/>
  <c r="Z26" i="1"/>
  <c r="Z50" i="1" s="1"/>
  <c r="BG50" i="1" s="1"/>
  <c r="AI20" i="8"/>
  <c r="AI90" i="8" s="1"/>
  <c r="AI94" i="8" s="1"/>
  <c r="X88" i="1"/>
  <c r="AA30" i="1"/>
  <c r="AC30" i="1" s="1"/>
  <c r="BC24" i="7" s="1"/>
  <c r="BD24" i="7" s="1"/>
  <c r="Z92" i="1"/>
  <c r="BG92" i="1" s="1"/>
  <c r="X51" i="1"/>
  <c r="X70" i="1" s="1"/>
  <c r="AK46" i="7"/>
  <c r="Y26" i="6"/>
  <c r="Y51" i="6" s="1"/>
  <c r="Y52" i="6" s="1"/>
  <c r="AV19" i="1"/>
  <c r="AV81" i="1" s="1"/>
  <c r="X51" i="6"/>
  <c r="X52" i="6" s="1"/>
  <c r="BF52" i="6" s="1"/>
  <c r="AU26" i="6"/>
  <c r="AQ20" i="8"/>
  <c r="AQ90" i="8" s="1"/>
  <c r="X85" i="1"/>
  <c r="X200" i="1" s="1"/>
  <c r="AV23" i="1"/>
  <c r="AV85" i="1" s="1"/>
  <c r="AD27" i="1"/>
  <c r="AD89" i="1" s="1"/>
  <c r="AA28" i="1"/>
  <c r="AY28" i="1" s="1"/>
  <c r="AY90" i="1" s="1"/>
  <c r="AC21" i="1"/>
  <c r="BC15" i="7" s="1"/>
  <c r="BD15" i="7" s="1"/>
  <c r="AA83" i="1"/>
  <c r="W200" i="1"/>
  <c r="BG18" i="1"/>
  <c r="Z80" i="1"/>
  <c r="AX18" i="1"/>
  <c r="Z90" i="1"/>
  <c r="BG90" i="1" s="1"/>
  <c r="BG28" i="1"/>
  <c r="AX28" i="1"/>
  <c r="AX90" i="1" s="1"/>
  <c r="BB24" i="8"/>
  <c r="AC89" i="1"/>
  <c r="BB16" i="8"/>
  <c r="AI93" i="8"/>
  <c r="AL46" i="7"/>
  <c r="AL47" i="7"/>
  <c r="AK47" i="7"/>
  <c r="AA18" i="1"/>
  <c r="BM11" i="8"/>
  <c r="BN11" i="8" s="1"/>
  <c r="BP11" i="8" s="1"/>
  <c r="AR14" i="8"/>
  <c r="BF87" i="1"/>
  <c r="AD33" i="1"/>
  <c r="BH33" i="1"/>
  <c r="BA33" i="1"/>
  <c r="AC95" i="1"/>
  <c r="AV25" i="1"/>
  <c r="X87" i="1"/>
  <c r="AV16" i="1"/>
  <c r="AV78" i="1" s="1"/>
  <c r="AX19" i="1"/>
  <c r="AX81" i="1" s="1"/>
  <c r="AQ19" i="8"/>
  <c r="AR19" i="8" s="1"/>
  <c r="AT19" i="8" s="1"/>
  <c r="Z16" i="1"/>
  <c r="AT10" i="7" s="1"/>
  <c r="AU10" i="7" s="1"/>
  <c r="AA20" i="1"/>
  <c r="BG20" i="1"/>
  <c r="AX20" i="1"/>
  <c r="Z82" i="1"/>
  <c r="X78" i="1"/>
  <c r="AA29" i="1"/>
  <c r="AC29" i="1" s="1"/>
  <c r="BC23" i="7" s="1"/>
  <c r="BD23" i="7" s="1"/>
  <c r="BG29" i="1"/>
  <c r="AX29" i="1"/>
  <c r="Z91" i="1"/>
  <c r="AR23" i="8"/>
  <c r="AT23" i="8" s="1"/>
  <c r="BF85" i="1"/>
  <c r="AQ17" i="8"/>
  <c r="AR17" i="8" s="1"/>
  <c r="AT17" i="8" s="1"/>
  <c r="AQ10" i="8"/>
  <c r="BF78" i="1"/>
  <c r="W199" i="1"/>
  <c r="AT15" i="8"/>
  <c r="BB15" i="8"/>
  <c r="BC15" i="8" s="1"/>
  <c r="AC22" i="1" l="1"/>
  <c r="BC16" i="7" s="1"/>
  <c r="BD16" i="7" s="1"/>
  <c r="AA84" i="1"/>
  <c r="AT9" i="7"/>
  <c r="AU9" i="7" s="1"/>
  <c r="AX15" i="1"/>
  <c r="Z77" i="1"/>
  <c r="BG15" i="1"/>
  <c r="AA26" i="1"/>
  <c r="AA50" i="1" s="1"/>
  <c r="AT20" i="7"/>
  <c r="AU20" i="7" s="1"/>
  <c r="AT9" i="8"/>
  <c r="AT91" i="8" s="1"/>
  <c r="AQ91" i="8"/>
  <c r="AR93" i="8"/>
  <c r="AV26" i="6"/>
  <c r="BF51" i="6"/>
  <c r="Z81" i="1"/>
  <c r="BG81" i="1" s="1"/>
  <c r="AR20" i="8"/>
  <c r="AT20" i="8" s="1"/>
  <c r="AT90" i="8" s="1"/>
  <c r="AT94" i="8" s="1"/>
  <c r="AA26" i="6"/>
  <c r="BG26" i="6" s="1"/>
  <c r="BG19" i="1"/>
  <c r="AY15" i="1"/>
  <c r="AA92" i="1"/>
  <c r="AA19" i="1"/>
  <c r="AA81" i="1" s="1"/>
  <c r="Z88" i="1"/>
  <c r="AA77" i="1"/>
  <c r="AC15" i="1"/>
  <c r="BG23" i="1"/>
  <c r="AA23" i="1"/>
  <c r="AA85" i="1" s="1"/>
  <c r="AX23" i="1"/>
  <c r="AX85" i="1" s="1"/>
  <c r="Z85" i="1"/>
  <c r="BB9" i="8"/>
  <c r="BC9" i="8" s="1"/>
  <c r="BC91" i="8" s="1"/>
  <c r="AA90" i="1"/>
  <c r="AC28" i="1"/>
  <c r="BC22" i="7" s="1"/>
  <c r="BD22" i="7" s="1"/>
  <c r="AD30" i="1"/>
  <c r="AD92" i="1" s="1"/>
  <c r="AC83" i="1"/>
  <c r="BA83" i="1" s="1"/>
  <c r="BA21" i="1"/>
  <c r="AD21" i="1"/>
  <c r="AD83" i="1" s="1"/>
  <c r="BH21" i="1"/>
  <c r="AD22" i="1"/>
  <c r="AD84" i="1" s="1"/>
  <c r="BA22" i="1"/>
  <c r="BH22" i="1"/>
  <c r="AC84" i="1"/>
  <c r="BB22" i="8"/>
  <c r="AC92" i="1"/>
  <c r="AA88" i="1"/>
  <c r="AY18" i="1"/>
  <c r="AC18" i="1"/>
  <c r="BC12" i="7" s="1"/>
  <c r="BD12" i="7" s="1"/>
  <c r="AA80" i="1"/>
  <c r="BM21" i="8"/>
  <c r="BN21" i="8" s="1"/>
  <c r="BP21" i="8" s="1"/>
  <c r="Z51" i="1"/>
  <c r="BG51" i="1" s="1"/>
  <c r="AT47" i="7"/>
  <c r="BB12" i="8"/>
  <c r="BC12" i="8" s="1"/>
  <c r="BE12" i="8" s="1"/>
  <c r="AT14" i="8"/>
  <c r="AT92" i="8" s="1"/>
  <c r="AR92" i="8"/>
  <c r="AD95" i="1"/>
  <c r="BA95" i="1"/>
  <c r="BH95" i="1"/>
  <c r="BM27" i="8"/>
  <c r="BN27" i="8" s="1"/>
  <c r="BP27" i="8" s="1"/>
  <c r="BB13" i="8"/>
  <c r="BG25" i="1"/>
  <c r="Z87" i="1"/>
  <c r="AX25" i="1"/>
  <c r="Z78" i="1"/>
  <c r="AA25" i="1"/>
  <c r="AX16" i="1"/>
  <c r="AX78" i="1" s="1"/>
  <c r="BG16" i="1"/>
  <c r="AA16" i="1"/>
  <c r="BB14" i="8"/>
  <c r="X199" i="1"/>
  <c r="AY20" i="1"/>
  <c r="AA82" i="1"/>
  <c r="AC20" i="1"/>
  <c r="BC14" i="7" s="1"/>
  <c r="BD14" i="7" s="1"/>
  <c r="BB23" i="8"/>
  <c r="AA91" i="1"/>
  <c r="AY29" i="1"/>
  <c r="BB17" i="8"/>
  <c r="AR10" i="8"/>
  <c r="AT10" i="8" s="1"/>
  <c r="BE15" i="8"/>
  <c r="BM15" i="8"/>
  <c r="BN15" i="8" s="1"/>
  <c r="AC26" i="1" l="1"/>
  <c r="BC20" i="7" s="1"/>
  <c r="BD20" i="7" s="1"/>
  <c r="AX26" i="6"/>
  <c r="AA51" i="6"/>
  <c r="AA52" i="6" s="1"/>
  <c r="BG52" i="6" s="1"/>
  <c r="AC19" i="1"/>
  <c r="BC13" i="7" s="1"/>
  <c r="BD13" i="7" s="1"/>
  <c r="AT93" i="8"/>
  <c r="AR90" i="8"/>
  <c r="AR94" i="8" s="1"/>
  <c r="AC23" i="1"/>
  <c r="BC17" i="7" s="1"/>
  <c r="BD17" i="7" s="1"/>
  <c r="AT46" i="7"/>
  <c r="BC9" i="7"/>
  <c r="BD9" i="7" s="1"/>
  <c r="BH15" i="1"/>
  <c r="AY19" i="1"/>
  <c r="AY81" i="1" s="1"/>
  <c r="AC77" i="1"/>
  <c r="AD15" i="1"/>
  <c r="AD77" i="1" s="1"/>
  <c r="AB26" i="6"/>
  <c r="AY26" i="6" s="1"/>
  <c r="BA15" i="1"/>
  <c r="AY23" i="1"/>
  <c r="AY85" i="1" s="1"/>
  <c r="BB20" i="8"/>
  <c r="BB90" i="8" s="1"/>
  <c r="BG88" i="1"/>
  <c r="BH83" i="1"/>
  <c r="Z200" i="1"/>
  <c r="BG85" i="1"/>
  <c r="AC90" i="1"/>
  <c r="BH90" i="1" s="1"/>
  <c r="BA28" i="1"/>
  <c r="BH28" i="1"/>
  <c r="AD28" i="1"/>
  <c r="AD90" i="1" s="1"/>
  <c r="AU46" i="7"/>
  <c r="AD26" i="1"/>
  <c r="AC88" i="1"/>
  <c r="AA51" i="1"/>
  <c r="AA70" i="1" s="1"/>
  <c r="BM24" i="8"/>
  <c r="BN24" i="8" s="1"/>
  <c r="BP24" i="8" s="1"/>
  <c r="BM16" i="8"/>
  <c r="BN16" i="8" s="1"/>
  <c r="BP16" i="8" s="1"/>
  <c r="BM22" i="8"/>
  <c r="BN22" i="8" s="1"/>
  <c r="BP22" i="8" s="1"/>
  <c r="AU47" i="7"/>
  <c r="AC50" i="1"/>
  <c r="BH50" i="1" s="1"/>
  <c r="BA92" i="1"/>
  <c r="BH92" i="1"/>
  <c r="AD18" i="1"/>
  <c r="AD80" i="1" s="1"/>
  <c r="AC80" i="1"/>
  <c r="BA18" i="1"/>
  <c r="BH18" i="1"/>
  <c r="BA23" i="1"/>
  <c r="AC85" i="1"/>
  <c r="AD23" i="1"/>
  <c r="BH23" i="1"/>
  <c r="AD19" i="1"/>
  <c r="BG78" i="1"/>
  <c r="Z199" i="1"/>
  <c r="BG87" i="1"/>
  <c r="BB19" i="8"/>
  <c r="AA87" i="1"/>
  <c r="AY25" i="1"/>
  <c r="AC25" i="1"/>
  <c r="BC19" i="7" s="1"/>
  <c r="BD19" i="7" s="1"/>
  <c r="AC81" i="1"/>
  <c r="BA19" i="1"/>
  <c r="AD26" i="6"/>
  <c r="BH19" i="1"/>
  <c r="BB10" i="8"/>
  <c r="BB91" i="8" s="1"/>
  <c r="AY16" i="1"/>
  <c r="AY78" i="1" s="1"/>
  <c r="AA78" i="1"/>
  <c r="AC16" i="1"/>
  <c r="BC10" i="7" s="1"/>
  <c r="BD10" i="7" s="1"/>
  <c r="AD20" i="1"/>
  <c r="BA20" i="1"/>
  <c r="AC82" i="1"/>
  <c r="BH20" i="1"/>
  <c r="AD29" i="1"/>
  <c r="BH29" i="1"/>
  <c r="BA29" i="1"/>
  <c r="AC91" i="1"/>
  <c r="AA200" i="1"/>
  <c r="BP15" i="8"/>
  <c r="BC93" i="8"/>
  <c r="BE9" i="8"/>
  <c r="BE91" i="8" s="1"/>
  <c r="BM9" i="8" l="1"/>
  <c r="BN9" i="8" s="1"/>
  <c r="BG51" i="6"/>
  <c r="AB51" i="6"/>
  <c r="AB52" i="6" s="1"/>
  <c r="BC20" i="8"/>
  <c r="BE20" i="8" s="1"/>
  <c r="BE90" i="8" s="1"/>
  <c r="BE94" i="8" s="1"/>
  <c r="AD88" i="1"/>
  <c r="BA90" i="1"/>
  <c r="AD50" i="1"/>
  <c r="BC46" i="7"/>
  <c r="BA88" i="1"/>
  <c r="BM20" i="8"/>
  <c r="BN20" i="8" s="1"/>
  <c r="BN90" i="8" s="1"/>
  <c r="BN94" i="8" s="1"/>
  <c r="BD46" i="7"/>
  <c r="BH88" i="1"/>
  <c r="BC90" i="8"/>
  <c r="BC94" i="8" s="1"/>
  <c r="BM17" i="8"/>
  <c r="BN17" i="8" s="1"/>
  <c r="BP17" i="8" s="1"/>
  <c r="AD85" i="1"/>
  <c r="BH85" i="1"/>
  <c r="AC51" i="1"/>
  <c r="BH51" i="1" s="1"/>
  <c r="BM12" i="8"/>
  <c r="BN12" i="8" s="1"/>
  <c r="BP12" i="8" s="1"/>
  <c r="BA85" i="1"/>
  <c r="AE26" i="6"/>
  <c r="AE51" i="6" s="1"/>
  <c r="AE52" i="6" s="1"/>
  <c r="AD81" i="1"/>
  <c r="BC10" i="8"/>
  <c r="BE10" i="8" s="1"/>
  <c r="AD25" i="1"/>
  <c r="AD16" i="1"/>
  <c r="BM13" i="8"/>
  <c r="BN13" i="8" s="1"/>
  <c r="BP13" i="8" s="1"/>
  <c r="BH25" i="1"/>
  <c r="BA25" i="1"/>
  <c r="AC87" i="1"/>
  <c r="BH81" i="1"/>
  <c r="BA81" i="1"/>
  <c r="AD82" i="1"/>
  <c r="BA26" i="6"/>
  <c r="AD51" i="6"/>
  <c r="BH26" i="6"/>
  <c r="AA199" i="1"/>
  <c r="BA16" i="1"/>
  <c r="BH16" i="1"/>
  <c r="AC78" i="1"/>
  <c r="AC200" i="1"/>
  <c r="BM14" i="8"/>
  <c r="BM23" i="8"/>
  <c r="AD91" i="1"/>
  <c r="BE93" i="8"/>
  <c r="BC47" i="7" l="1"/>
  <c r="BM90" i="8"/>
  <c r="BP20" i="8"/>
  <c r="BP90" i="8" s="1"/>
  <c r="BP94" i="8" s="1"/>
  <c r="AD51" i="1"/>
  <c r="BD47" i="7"/>
  <c r="BN93" i="8"/>
  <c r="BN91" i="8"/>
  <c r="BP9" i="8"/>
  <c r="BP91" i="8" s="1"/>
  <c r="BN14" i="8"/>
  <c r="BN92" i="8" s="1"/>
  <c r="AD87" i="1"/>
  <c r="AD78" i="1"/>
  <c r="BM19" i="8"/>
  <c r="BN19" i="8" s="1"/>
  <c r="BP19" i="8" s="1"/>
  <c r="AD52" i="6"/>
  <c r="BH52" i="6" s="1"/>
  <c r="BH51" i="6"/>
  <c r="BH87" i="1"/>
  <c r="BA87" i="1"/>
  <c r="BM10" i="8"/>
  <c r="BM91" i="8" s="1"/>
  <c r="BA78" i="1"/>
  <c r="BH78" i="1"/>
  <c r="AC199" i="1"/>
  <c r="BN23" i="8"/>
  <c r="BP23" i="8" s="1"/>
  <c r="AD200" i="1"/>
  <c r="AD199" i="1" l="1"/>
  <c r="BP14" i="8"/>
  <c r="BP92" i="8" s="1"/>
  <c r="BP93" i="8"/>
  <c r="BN10" i="8"/>
  <c r="BP10" i="8" s="1"/>
  <c r="AW26" i="8"/>
  <c r="AX26" i="8"/>
  <c r="AY27" i="8"/>
  <c r="AW27" i="8"/>
  <c r="AX27" i="8"/>
  <c r="AV18" i="8"/>
  <c r="BD18" i="8" s="1"/>
  <c r="AV26" i="8"/>
  <c r="AV27" i="8"/>
  <c r="BA26" i="8" l="1"/>
  <c r="BA18" i="8"/>
  <c r="BD27" i="8"/>
  <c r="BD26" i="8"/>
  <c r="BA27" i="8"/>
  <c r="BC26" i="8" l="1"/>
  <c r="BE26" i="8" s="1"/>
  <c r="BC27" i="8"/>
  <c r="BE27" i="8" s="1"/>
  <c r="P62" i="1" l="1"/>
  <c r="M52" i="1" l="1"/>
  <c r="M54" i="1"/>
  <c r="N24" i="1"/>
  <c r="M86" i="1"/>
  <c r="AN24" i="1"/>
  <c r="M164" i="1" l="1"/>
  <c r="B1" i="1"/>
  <c r="AN54" i="1"/>
  <c r="AP54" i="1"/>
  <c r="M201" i="1"/>
  <c r="M203" i="1" s="1"/>
  <c r="M157" i="1"/>
  <c r="N86" i="1"/>
  <c r="N54" i="1"/>
  <c r="N52" i="1"/>
  <c r="O24" i="1"/>
  <c r="BC24" i="1"/>
  <c r="AL24" i="1"/>
  <c r="AL54" i="1" s="1"/>
  <c r="BC52" i="1" l="1"/>
  <c r="BC55" i="1" s="1"/>
  <c r="O52" i="1"/>
  <c r="O68" i="1" s="1"/>
  <c r="O86" i="1"/>
  <c r="Q24" i="1"/>
  <c r="S18" i="7" s="1"/>
  <c r="T18" i="7" s="1"/>
  <c r="AM24" i="1"/>
  <c r="AM54" i="1" s="1"/>
  <c r="O54" i="1"/>
  <c r="N58" i="1" s="1"/>
  <c r="R24" i="1"/>
  <c r="BC54" i="1"/>
  <c r="N164" i="1"/>
  <c r="N201" i="1"/>
  <c r="N203" i="1" s="1"/>
  <c r="N157" i="1"/>
  <c r="BC157" i="1" s="1"/>
  <c r="M168" i="1" l="1"/>
  <c r="M169" i="1" s="1"/>
  <c r="N168" i="1"/>
  <c r="N169" i="1" s="1"/>
  <c r="T24" i="1"/>
  <c r="AB18" i="7" s="1"/>
  <c r="AC18" i="7" s="1"/>
  <c r="AP24" i="1"/>
  <c r="R52" i="1"/>
  <c r="R68" i="1" s="1"/>
  <c r="U24" i="1"/>
  <c r="R86" i="1"/>
  <c r="R54" i="1"/>
  <c r="O201" i="1"/>
  <c r="O203" i="1" s="1"/>
  <c r="O157" i="1"/>
  <c r="Q54" i="1"/>
  <c r="BD24" i="1"/>
  <c r="AO24" i="1"/>
  <c r="AO54" i="1" s="1"/>
  <c r="Q86" i="1"/>
  <c r="Q52" i="1"/>
  <c r="BD52" i="1" s="1"/>
  <c r="Q201" i="1" l="1"/>
  <c r="Q203" i="1" s="1"/>
  <c r="Q157" i="1"/>
  <c r="BD157" i="1" s="1"/>
  <c r="Q164" i="1"/>
  <c r="BD54" i="1"/>
  <c r="S48" i="7"/>
  <c r="S50" i="7" s="1"/>
  <c r="S49" i="7"/>
  <c r="S51" i="7" s="1"/>
  <c r="U18" i="8"/>
  <c r="BD55" i="1"/>
  <c r="R157" i="1"/>
  <c r="R201" i="1"/>
  <c r="R203" i="1" s="1"/>
  <c r="Q58" i="1"/>
  <c r="AS24" i="1"/>
  <c r="AS54" i="1" s="1"/>
  <c r="U86" i="1"/>
  <c r="W24" i="1"/>
  <c r="AK18" i="7" s="1"/>
  <c r="AL18" i="7" s="1"/>
  <c r="U52" i="1"/>
  <c r="U68" i="1" s="1"/>
  <c r="U54" i="1"/>
  <c r="T86" i="1"/>
  <c r="AR24" i="1"/>
  <c r="AR54" i="1" s="1"/>
  <c r="BE24" i="1"/>
  <c r="T52" i="1"/>
  <c r="BE52" i="1" s="1"/>
  <c r="T54" i="1"/>
  <c r="X24" i="1" l="1"/>
  <c r="Z24" i="1" s="1"/>
  <c r="X86" i="1"/>
  <c r="AV24" i="1"/>
  <c r="AV54" i="1" s="1"/>
  <c r="X52" i="1"/>
  <c r="X68" i="1" s="1"/>
  <c r="X54" i="1"/>
  <c r="U201" i="1"/>
  <c r="U203" i="1" s="1"/>
  <c r="U157" i="1"/>
  <c r="BE55" i="1"/>
  <c r="T201" i="1"/>
  <c r="T203" i="1" s="1"/>
  <c r="T157" i="1"/>
  <c r="BE157" i="1" s="1"/>
  <c r="T164" i="1"/>
  <c r="BE54" i="1"/>
  <c r="V18" i="8"/>
  <c r="X18" i="8" s="1"/>
  <c r="U92" i="8"/>
  <c r="U94" i="8" s="1"/>
  <c r="U93" i="8"/>
  <c r="U95" i="8" s="1"/>
  <c r="T48" i="7"/>
  <c r="T50" i="7" s="1"/>
  <c r="T49" i="7"/>
  <c r="P168" i="1"/>
  <c r="P169" i="1" s="1"/>
  <c r="Q168" i="1"/>
  <c r="Q169" i="1" s="1"/>
  <c r="BF24" i="1"/>
  <c r="AU24" i="1"/>
  <c r="AU54" i="1" s="1"/>
  <c r="W86" i="1"/>
  <c r="W54" i="1"/>
  <c r="W52" i="1"/>
  <c r="BF52" i="1" s="1"/>
  <c r="AF18" i="8"/>
  <c r="AB49" i="7"/>
  <c r="AB51" i="7" s="1"/>
  <c r="AB48" i="7"/>
  <c r="AB50" i="7" s="1"/>
  <c r="T58" i="1"/>
  <c r="AT18" i="7" l="1"/>
  <c r="AU18" i="7" s="1"/>
  <c r="AA24" i="1"/>
  <c r="AC48" i="7"/>
  <c r="AC50" i="7" s="1"/>
  <c r="AC49" i="7"/>
  <c r="W157" i="1"/>
  <c r="BF157" i="1" s="1"/>
  <c r="W201" i="1"/>
  <c r="W203" i="1" s="1"/>
  <c r="T168" i="1"/>
  <c r="T169" i="1" s="1"/>
  <c r="S168" i="1"/>
  <c r="S169" i="1" s="1"/>
  <c r="BF55" i="1"/>
  <c r="AG18" i="8"/>
  <c r="AI18" i="8" s="1"/>
  <c r="AF93" i="8"/>
  <c r="AF95" i="8" s="1"/>
  <c r="AF92" i="8"/>
  <c r="AF94" i="8" s="1"/>
  <c r="AQ18" i="8"/>
  <c r="AK49" i="7"/>
  <c r="AK51" i="7" s="1"/>
  <c r="AK48" i="7"/>
  <c r="AK50" i="7" s="1"/>
  <c r="AY24" i="1"/>
  <c r="AA86" i="1"/>
  <c r="AC24" i="1"/>
  <c r="BC18" i="7" s="1"/>
  <c r="BD18" i="7" s="1"/>
  <c r="AA52" i="1"/>
  <c r="AA68" i="1" s="1"/>
  <c r="AA54" i="1"/>
  <c r="W164" i="1"/>
  <c r="BF54" i="1"/>
  <c r="W58" i="1"/>
  <c r="X157" i="1"/>
  <c r="X201" i="1"/>
  <c r="X203" i="1" s="1"/>
  <c r="Z86" i="1"/>
  <c r="AX24" i="1"/>
  <c r="AX54" i="1" s="1"/>
  <c r="BG24" i="1"/>
  <c r="Z52" i="1"/>
  <c r="BG52" i="1" s="1"/>
  <c r="Z54" i="1"/>
  <c r="AD24" i="1" l="1"/>
  <c r="BG54" i="1"/>
  <c r="Z164" i="1"/>
  <c r="AL48" i="7"/>
  <c r="AL50" i="7" s="1"/>
  <c r="AL49" i="7"/>
  <c r="AA201" i="1"/>
  <c r="AA203" i="1" s="1"/>
  <c r="AA157" i="1"/>
  <c r="BG55" i="1"/>
  <c r="AR18" i="8"/>
  <c r="AT18" i="8" s="1"/>
  <c r="AQ93" i="8"/>
  <c r="AQ95" i="8" s="1"/>
  <c r="AQ92" i="8"/>
  <c r="AQ94" i="8" s="1"/>
  <c r="W168" i="1"/>
  <c r="W169" i="1" s="1"/>
  <c r="V168" i="1"/>
  <c r="V169" i="1" s="1"/>
  <c r="Z58" i="1"/>
  <c r="BB18" i="8"/>
  <c r="AT48" i="7"/>
  <c r="AT50" i="7" s="1"/>
  <c r="AT49" i="7"/>
  <c r="AT51" i="7" s="1"/>
  <c r="Z201" i="1"/>
  <c r="Z203" i="1" s="1"/>
  <c r="Z157" i="1"/>
  <c r="BG157" i="1" s="1"/>
  <c r="AC86" i="1"/>
  <c r="BH24" i="1"/>
  <c r="BA24" i="1"/>
  <c r="BA54" i="1" s="1"/>
  <c r="AC54" i="1"/>
  <c r="AC52" i="1"/>
  <c r="BH52" i="1" s="1"/>
  <c r="AD86" i="1" l="1"/>
  <c r="AD54" i="1"/>
  <c r="AC58" i="1" s="1"/>
  <c r="AD52" i="1"/>
  <c r="AC201" i="1"/>
  <c r="AC203" i="1" s="1"/>
  <c r="AC157" i="1"/>
  <c r="BH157" i="1" s="1"/>
  <c r="BH54" i="1"/>
  <c r="AC164" i="1"/>
  <c r="BM18" i="8"/>
  <c r="BC48" i="7"/>
  <c r="BC50" i="7" s="1"/>
  <c r="BC49" i="7"/>
  <c r="BC51" i="7" s="1"/>
  <c r="Z168" i="1"/>
  <c r="Z169" i="1" s="1"/>
  <c r="Y168" i="1"/>
  <c r="Y169" i="1" s="1"/>
  <c r="BB92" i="8"/>
  <c r="BB94" i="8" s="1"/>
  <c r="BB93" i="8"/>
  <c r="BB95" i="8" s="1"/>
  <c r="BC18" i="8"/>
  <c r="BE18" i="8" s="1"/>
  <c r="BH55" i="1"/>
  <c r="AU48" i="7"/>
  <c r="AU50" i="7" s="1"/>
  <c r="AU49" i="7"/>
  <c r="AD201" i="1"/>
  <c r="AD157" i="1"/>
  <c r="M62" i="1"/>
  <c r="AC158" i="1" l="1"/>
  <c r="BD48" i="7"/>
  <c r="BD50" i="7" s="1"/>
  <c r="BD49" i="7"/>
  <c r="BN18" i="8"/>
  <c r="BP18" i="8" s="1"/>
  <c r="BM92" i="8"/>
  <c r="BM94" i="8" s="1"/>
  <c r="BM93" i="8"/>
  <c r="BM95" i="8" s="1"/>
  <c r="AC168" i="1"/>
  <c r="AC169" i="1" s="1"/>
  <c r="AB168" i="1"/>
  <c r="AB169" i="1" s="1"/>
  <c r="BF93" i="8" l="1"/>
  <c r="BF94" i="8"/>
  <c r="AY23" i="8"/>
  <c r="AW17" i="8"/>
  <c r="AW22" i="8"/>
  <c r="AW13" i="8"/>
  <c r="AW25" i="8"/>
  <c r="AY19" i="8"/>
  <c r="AV22" i="8"/>
  <c r="AV14" i="8"/>
  <c r="AY13" i="8"/>
  <c r="AX19" i="8"/>
  <c r="AV19" i="8"/>
  <c r="AW19" i="8"/>
  <c r="AY25" i="8"/>
  <c r="AV24" i="8"/>
  <c r="AW24" i="8"/>
  <c r="AV25" i="8"/>
  <c r="AX25" i="8"/>
  <c r="AX21" i="8"/>
  <c r="AW23" i="8"/>
  <c r="AX13" i="8"/>
  <c r="AV23" i="8"/>
  <c r="AX23" i="8"/>
  <c r="AX17" i="8"/>
  <c r="AV13" i="8"/>
  <c r="AX11" i="8"/>
  <c r="AY11" i="8"/>
  <c r="AY16" i="8"/>
  <c r="AY21" i="8"/>
  <c r="AV21" i="8"/>
  <c r="AW21" i="8"/>
  <c r="AV11" i="8"/>
  <c r="AW11" i="8"/>
  <c r="AW16" i="8"/>
  <c r="AV17" i="8"/>
  <c r="AY17" i="8"/>
  <c r="AV16" i="8"/>
  <c r="AX16" i="8"/>
  <c r="BD19" i="8" l="1"/>
  <c r="AW91" i="8"/>
  <c r="BA25" i="8"/>
  <c r="BD24" i="8"/>
  <c r="BD11" i="8"/>
  <c r="BA24" i="8"/>
  <c r="BC24" i="8" s="1"/>
  <c r="BE24" i="8" s="1"/>
  <c r="BD14" i="8"/>
  <c r="AW90" i="8"/>
  <c r="BD21" i="8"/>
  <c r="BD23" i="8"/>
  <c r="AX92" i="8"/>
  <c r="AY92" i="8"/>
  <c r="AX90" i="8"/>
  <c r="AY93" i="8"/>
  <c r="BA22" i="8"/>
  <c r="BD22" i="8"/>
  <c r="BA11" i="8"/>
  <c r="AW92" i="8"/>
  <c r="AY91" i="8"/>
  <c r="BD25" i="8"/>
  <c r="BC25" i="8" s="1"/>
  <c r="BE25" i="8" s="1"/>
  <c r="BA16" i="8"/>
  <c r="BD16" i="8"/>
  <c r="AV90" i="8"/>
  <c r="BA21" i="8"/>
  <c r="AX93" i="8"/>
  <c r="AX91" i="8"/>
  <c r="AV91" i="8"/>
  <c r="AV93" i="8"/>
  <c r="BD17" i="8"/>
  <c r="BA17" i="8"/>
  <c r="AY90" i="8"/>
  <c r="BD13" i="8"/>
  <c r="BA13" i="8"/>
  <c r="BA19" i="8"/>
  <c r="BA23" i="8"/>
  <c r="AV92" i="8"/>
  <c r="BA14" i="8"/>
  <c r="AW93" i="8"/>
  <c r="BC11" i="8" l="1"/>
  <c r="BE11" i="8" s="1"/>
  <c r="BC17" i="8"/>
  <c r="BE17" i="8" s="1"/>
  <c r="BC19" i="8"/>
  <c r="BE19" i="8" s="1"/>
  <c r="BC13" i="8"/>
  <c r="BE13" i="8" s="1"/>
  <c r="BD92" i="8"/>
  <c r="BC23" i="8"/>
  <c r="BE23" i="8" s="1"/>
  <c r="BC22" i="8"/>
  <c r="BE22" i="8" s="1"/>
  <c r="BD90" i="8"/>
  <c r="BD93" i="8"/>
  <c r="AW94" i="8"/>
  <c r="AW97" i="8" s="1"/>
  <c r="AX94" i="8"/>
  <c r="AX97" i="8" s="1"/>
  <c r="AV94" i="8"/>
  <c r="AV97" i="8" s="1"/>
  <c r="BC16" i="8"/>
  <c r="BE16" i="8" s="1"/>
  <c r="BD91" i="8"/>
  <c r="BD94" i="8" s="1"/>
  <c r="BC14" i="8"/>
  <c r="BA92" i="8"/>
  <c r="AY94" i="8"/>
  <c r="AY97" i="8" s="1"/>
  <c r="BA93" i="8"/>
  <c r="BA95" i="8" s="1"/>
  <c r="BA90" i="8"/>
  <c r="BC21" i="8"/>
  <c r="BE21" i="8" s="1"/>
  <c r="BA91" i="8"/>
  <c r="BE14" i="8" l="1"/>
  <c r="BE92" i="8" s="1"/>
  <c r="BC92" i="8"/>
  <c r="BA94" i="8"/>
</calcChain>
</file>

<file path=xl/comments1.xml><?xml version="1.0" encoding="utf-8"?>
<comments xmlns="http://schemas.openxmlformats.org/spreadsheetml/2006/main">
  <authors>
    <author>Meyta A. R.</author>
  </authors>
  <commentList>
    <comment ref="C15" authorId="0" shapeId="0">
      <text>
        <r>
          <rPr>
            <b/>
            <sz val="9"/>
            <color indexed="81"/>
            <rFont val="Tahoma"/>
            <family val="2"/>
          </rPr>
          <t>AKAN BO 9.30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AKAN BO 9.30</t>
        </r>
      </text>
    </comment>
  </commentList>
</comments>
</file>

<file path=xl/comments2.xml><?xml version="1.0" encoding="utf-8"?>
<comments xmlns="http://schemas.openxmlformats.org/spreadsheetml/2006/main">
  <authors>
    <author>evaningsih</author>
  </authors>
  <commentList>
    <comment ref="I12" authorId="0" shapeId="0">
      <text>
        <r>
          <rPr>
            <b/>
            <sz val="8"/>
            <color indexed="81"/>
            <rFont val="Tahoma"/>
            <family val="2"/>
          </rPr>
          <t>evaningsih: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GUM</t>
        </r>
      </text>
    </comment>
    <comment ref="F14" authorId="0" shapeId="0">
      <text>
        <r>
          <rPr>
            <b/>
            <sz val="8"/>
            <color indexed="81"/>
            <rFont val="Tahoma"/>
            <family val="2"/>
          </rPr>
          <t>evaningsih: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up date 18-Jun-09</t>
        </r>
      </text>
    </comment>
    <comment ref="I14" authorId="0" shapeId="0">
      <text>
        <r>
          <rPr>
            <b/>
            <sz val="8"/>
            <color indexed="81"/>
            <rFont val="Tahoma"/>
            <family val="2"/>
          </rPr>
          <t>evaningsih: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update 29-MAR'10</t>
        </r>
      </text>
    </comment>
    <comment ref="H75" authorId="0" shapeId="0">
      <text>
        <r>
          <rPr>
            <b/>
            <sz val="8"/>
            <color indexed="81"/>
            <rFont val="Tahoma"/>
            <family val="2"/>
          </rPr>
          <t>evaningsih: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OCS</t>
        </r>
      </text>
    </comment>
    <comment ref="I75" authorId="0" shapeId="0">
      <text>
        <r>
          <rPr>
            <b/>
            <sz val="8"/>
            <color indexed="81"/>
            <rFont val="Tahoma"/>
            <family val="2"/>
          </rPr>
          <t>evaningsih: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GUM</t>
        </r>
      </text>
    </comment>
  </commentList>
</comments>
</file>

<file path=xl/comments3.xml><?xml version="1.0" encoding="utf-8"?>
<comments xmlns="http://schemas.openxmlformats.org/spreadsheetml/2006/main">
  <authors>
    <author>a.machin</author>
  </authors>
  <commentList>
    <comment ref="C52" authorId="0" shapeId="0">
      <text>
        <r>
          <rPr>
            <b/>
            <sz val="9"/>
            <color indexed="81"/>
            <rFont val="Tahoma"/>
            <family val="2"/>
          </rPr>
          <t>DATA DARI KONVERSI YG ASLI SR</t>
        </r>
      </text>
    </comment>
  </commentList>
</comments>
</file>

<file path=xl/sharedStrings.xml><?xml version="1.0" encoding="utf-8"?>
<sst xmlns="http://schemas.openxmlformats.org/spreadsheetml/2006/main" count="675" uniqueCount="296">
  <si>
    <t>FAX NO   : EMAIL</t>
  </si>
  <si>
    <t>NSO</t>
  </si>
  <si>
    <t>Print Date :</t>
  </si>
  <si>
    <t>TYPE</t>
  </si>
  <si>
    <t>HARNESS No.</t>
  </si>
  <si>
    <t>LEVEL</t>
  </si>
  <si>
    <t>ASSY CODE</t>
  </si>
  <si>
    <t>CCT.</t>
  </si>
  <si>
    <t>BAL</t>
  </si>
  <si>
    <t>DEL</t>
  </si>
  <si>
    <t>PROD</t>
  </si>
  <si>
    <t>Working Days Normal</t>
  </si>
  <si>
    <t>Overtime</t>
  </si>
  <si>
    <t>Normal</t>
  </si>
  <si>
    <t>OT</t>
  </si>
  <si>
    <t>ACTUAL CAP/DAY</t>
  </si>
  <si>
    <t>FUGA ( DOM )</t>
  </si>
  <si>
    <t>FUGA ( USA )</t>
  </si>
  <si>
    <t>FUGA ( CHINA )</t>
  </si>
  <si>
    <t>CAPACITY</t>
  </si>
  <si>
    <t>O.T ( 3,5 HOURS)</t>
  </si>
  <si>
    <t>DOM ( 1 C/V )</t>
  </si>
  <si>
    <t>USA ( 2 C/V )</t>
  </si>
  <si>
    <t>CHINA ( 1 CV )</t>
  </si>
  <si>
    <t>SIX MONTH PRODUCTION PLAN ( UMH )</t>
  </si>
  <si>
    <t>Month</t>
  </si>
  <si>
    <t xml:space="preserve">Note : </t>
  </si>
  <si>
    <t>UMH</t>
  </si>
  <si>
    <t>Jul~Dec</t>
  </si>
  <si>
    <t>Jan~Jun</t>
  </si>
  <si>
    <t>Std Pack</t>
  </si>
  <si>
    <t>Cutting Qty</t>
  </si>
  <si>
    <t>SIX MONTH PRODUCTION PLAN ( QTY )</t>
    <phoneticPr fontId="5" type="noConversion"/>
  </si>
  <si>
    <t>PREPARED</t>
  </si>
  <si>
    <t>EMU</t>
  </si>
  <si>
    <t>AS 400</t>
  </si>
  <si>
    <t>AUG</t>
  </si>
  <si>
    <t>SEP</t>
  </si>
  <si>
    <t>OCT</t>
  </si>
  <si>
    <t>NOV</t>
  </si>
  <si>
    <t>82111-47360</t>
  </si>
  <si>
    <t>82111-47370</t>
  </si>
  <si>
    <t>82111-47380</t>
  </si>
  <si>
    <t>82111-47390</t>
  </si>
  <si>
    <t>82111-47400</t>
  </si>
  <si>
    <t>82111-47410</t>
  </si>
  <si>
    <t>82111-47420</t>
  </si>
  <si>
    <t>82111-47430</t>
  </si>
  <si>
    <t>82111-47440</t>
  </si>
  <si>
    <t>82111-47450</t>
  </si>
  <si>
    <t>82111-47460</t>
  </si>
  <si>
    <t>82111-47330</t>
  </si>
  <si>
    <t>82111-47340</t>
  </si>
  <si>
    <t>82111-47350</t>
  </si>
  <si>
    <t>DOM</t>
  </si>
  <si>
    <t>USA</t>
  </si>
  <si>
    <t>CANADA</t>
  </si>
  <si>
    <t>EC-LHD</t>
  </si>
  <si>
    <t>A/B</t>
  </si>
  <si>
    <t>AB111-47330-1</t>
  </si>
  <si>
    <t>AB111-47330-2</t>
  </si>
  <si>
    <t>AB111-47360-1</t>
  </si>
  <si>
    <t>AB111-47360-2</t>
  </si>
  <si>
    <t>TOTAL ALL WITHOUT A/B</t>
  </si>
  <si>
    <t>TOTAL WITHOUT A/B</t>
  </si>
  <si>
    <t>RHD</t>
  </si>
  <si>
    <t>LHD</t>
  </si>
  <si>
    <t xml:space="preserve">DOM </t>
  </si>
  <si>
    <t>EC</t>
  </si>
  <si>
    <t xml:space="preserve">USA </t>
  </si>
  <si>
    <t>0001</t>
  </si>
  <si>
    <t xml:space="preserve">AB111-47330-1 D </t>
  </si>
  <si>
    <t xml:space="preserve">AB111-47330-2 D </t>
  </si>
  <si>
    <t xml:space="preserve">82111-47350 A </t>
  </si>
  <si>
    <t xml:space="preserve">82111-47480 B </t>
  </si>
  <si>
    <t xml:space="preserve">UMH </t>
  </si>
  <si>
    <t xml:space="preserve">82111-47330 H </t>
  </si>
  <si>
    <t xml:space="preserve">82111-47340 H </t>
  </si>
  <si>
    <t xml:space="preserve">82111-47450 H </t>
  </si>
  <si>
    <t xml:space="preserve">82111-47460 H </t>
  </si>
  <si>
    <t xml:space="preserve">82111-47380 H  </t>
  </si>
  <si>
    <t xml:space="preserve">AB111-47360-1 G </t>
  </si>
  <si>
    <t>AB111-47360-2 G</t>
  </si>
  <si>
    <t>TOYOTA PRIUS (433W )</t>
  </si>
  <si>
    <t xml:space="preserve">82111-47370 J </t>
  </si>
  <si>
    <t xml:space="preserve">82111-47390 J </t>
  </si>
  <si>
    <t xml:space="preserve">82111-47400 J </t>
  </si>
  <si>
    <t xml:space="preserve">82111-47420 J </t>
  </si>
  <si>
    <t>82111-47430 J</t>
  </si>
  <si>
    <t xml:space="preserve">82111-47440 J </t>
  </si>
  <si>
    <t>82111-47341</t>
  </si>
  <si>
    <t>82111-47451</t>
  </si>
  <si>
    <t>82111-47371</t>
  </si>
  <si>
    <t>82111-47391</t>
  </si>
  <si>
    <t>82111-47401</t>
  </si>
  <si>
    <t>82111-47411</t>
  </si>
  <si>
    <t>82111-47431</t>
  </si>
  <si>
    <t>82111-47441</t>
  </si>
  <si>
    <t>TEMPRORARY  UMH</t>
  </si>
  <si>
    <t>A/B 433W</t>
  </si>
  <si>
    <t>A/B 377A</t>
  </si>
  <si>
    <t>1022</t>
  </si>
  <si>
    <t>0022</t>
  </si>
  <si>
    <t>0011</t>
  </si>
  <si>
    <t xml:space="preserve">82111-47410 J </t>
  </si>
  <si>
    <t>82111-47461</t>
  </si>
  <si>
    <t>82111-47462</t>
  </si>
  <si>
    <t>82111-47342</t>
  </si>
  <si>
    <t>82111-47452</t>
  </si>
  <si>
    <t>82111-47372</t>
  </si>
  <si>
    <t>82111-47392</t>
  </si>
  <si>
    <t>82111-47402</t>
  </si>
  <si>
    <t>82111-47412</t>
  </si>
  <si>
    <t>82111-47432</t>
  </si>
  <si>
    <t>82111-47442</t>
  </si>
  <si>
    <t xml:space="preserve">82111-47360 J </t>
  </si>
  <si>
    <t>Periode : DEC PROD  2010 (ACTUAL)</t>
    <phoneticPr fontId="5" type="noConversion"/>
  </si>
  <si>
    <t>S/R NO   : 14-DEC-'10(PRD_52023_32G7_201101_3)</t>
  </si>
  <si>
    <t>DATE       :14-DEC-10</t>
  </si>
  <si>
    <t>CANACITY</t>
  </si>
  <si>
    <t>Working Daws Normal</t>
  </si>
  <si>
    <t>ACTUAL CAN/Daw</t>
  </si>
  <si>
    <t xml:space="preserve">82111-47770 </t>
  </si>
  <si>
    <t>Printed :</t>
  </si>
  <si>
    <t>Q</t>
  </si>
  <si>
    <t>T</t>
  </si>
  <si>
    <t>W</t>
  </si>
  <si>
    <t>Z</t>
  </si>
  <si>
    <t>AC</t>
  </si>
  <si>
    <t>SR</t>
  </si>
  <si>
    <t>SPP</t>
  </si>
  <si>
    <t>VALUE</t>
  </si>
  <si>
    <t>TOTAL</t>
  </si>
  <si>
    <t>TOTAL (AB)</t>
  </si>
  <si>
    <t>Week</t>
  </si>
  <si>
    <t>pembulatan</t>
  </si>
  <si>
    <t>82111-47531</t>
  </si>
  <si>
    <t>82111-47731</t>
  </si>
  <si>
    <t>82111-47742</t>
  </si>
  <si>
    <t>82111-47751</t>
  </si>
  <si>
    <t>SIX MONTH PRODUCTION PLAN ( QTY )</t>
  </si>
  <si>
    <t>82111-47L10</t>
  </si>
  <si>
    <t>82111-47732</t>
  </si>
  <si>
    <t>82111-47743</t>
  </si>
  <si>
    <t>82111-47752</t>
  </si>
  <si>
    <t>82111-47532</t>
  </si>
  <si>
    <t>82111-47D02 A 1001</t>
  </si>
  <si>
    <t>82111-47781 A 0101</t>
  </si>
  <si>
    <t>82111-47D10 0011</t>
  </si>
  <si>
    <t>82111-47531 A 0001</t>
  </si>
  <si>
    <t>82111-47742 A 0001</t>
  </si>
  <si>
    <t>82111-47751 A 0001</t>
  </si>
  <si>
    <t>82111-47772 A 0001</t>
  </si>
  <si>
    <t>82111-47804 B 0001</t>
  </si>
  <si>
    <t>82111-47834 B 0001</t>
  </si>
  <si>
    <t>82111-47843 B 0001</t>
  </si>
  <si>
    <t>COMPARE</t>
  </si>
  <si>
    <t>SR ASLI</t>
  </si>
  <si>
    <t>TOTAL 5 BULAN</t>
  </si>
  <si>
    <t>DEC</t>
  </si>
  <si>
    <t>JAN</t>
  </si>
  <si>
    <t>FEB</t>
  </si>
  <si>
    <t>MAR</t>
  </si>
  <si>
    <t>APR</t>
  </si>
  <si>
    <t>MAY</t>
  </si>
  <si>
    <t>02/MAY ~ 31/MAY</t>
  </si>
  <si>
    <t>JUN</t>
  </si>
  <si>
    <t>JUL</t>
  </si>
  <si>
    <t>ZR_CONV LHD</t>
  </si>
  <si>
    <t>ZR_TNGA LHD</t>
  </si>
  <si>
    <t>A/B CONV</t>
  </si>
  <si>
    <t>A/B HV</t>
  </si>
  <si>
    <t>A/B TNGA</t>
  </si>
  <si>
    <t>AB111-F2W00</t>
  </si>
  <si>
    <t>AB111-F2W10</t>
  </si>
  <si>
    <t>AB111-F2W40</t>
  </si>
  <si>
    <t>Std pack</t>
  </si>
  <si>
    <t>03/JAN~ 31/JAN</t>
  </si>
  <si>
    <t>B 0001</t>
  </si>
  <si>
    <t>C 0101</t>
  </si>
  <si>
    <t>02/JUN ~ 30/JUN</t>
  </si>
  <si>
    <t>82111-F2W42</t>
  </si>
  <si>
    <t>82111-F2W92</t>
  </si>
  <si>
    <t>82111-F2W23</t>
  </si>
  <si>
    <t>82111-F2W34</t>
  </si>
  <si>
    <t>82111-F2W63</t>
  </si>
  <si>
    <t>82111-F2W83</t>
  </si>
  <si>
    <t>82115-F2Y40</t>
  </si>
  <si>
    <t>82111-F2132</t>
  </si>
  <si>
    <t>82111-F2152</t>
  </si>
  <si>
    <t>82111-F2X02</t>
  </si>
  <si>
    <t>82111-F2C11</t>
  </si>
  <si>
    <t>ZR_HEV LHD</t>
  </si>
  <si>
    <t>01/APR ~ 30/APR</t>
  </si>
  <si>
    <t>01/JUL ~ 31/JUL</t>
  </si>
  <si>
    <t>B 0201</t>
  </si>
  <si>
    <t>B 8401</t>
  </si>
  <si>
    <t>B 9401</t>
  </si>
  <si>
    <t>359D</t>
  </si>
  <si>
    <t>82111-FET40</t>
  </si>
  <si>
    <t>82115-F2390</t>
  </si>
  <si>
    <t>82116-0ZW70</t>
  </si>
  <si>
    <t>82116-0ZW80</t>
  </si>
  <si>
    <t>82116-0ZW90</t>
  </si>
  <si>
    <t>82116-0ZX70</t>
  </si>
  <si>
    <t>82116-0ZX90</t>
  </si>
  <si>
    <t>82116-0ZY00</t>
  </si>
  <si>
    <t>82116-0ZY10</t>
  </si>
  <si>
    <t>82111-FET10</t>
  </si>
  <si>
    <t>82111-FET20</t>
  </si>
  <si>
    <t>82111-FET30</t>
  </si>
  <si>
    <t>82115-F2840</t>
  </si>
  <si>
    <t>82111-FET00</t>
  </si>
  <si>
    <t>DQP1</t>
  </si>
  <si>
    <t>DQG5</t>
  </si>
  <si>
    <t>DQF8</t>
  </si>
  <si>
    <t>DQG1</t>
  </si>
  <si>
    <t>DQG3</t>
  </si>
  <si>
    <t>DQI5</t>
  </si>
  <si>
    <t>DQI3</t>
  </si>
  <si>
    <t>01/OCT ~ 31/OCT</t>
  </si>
  <si>
    <t>07/APR ~ 30/APR</t>
  </si>
  <si>
    <t>01/AUG ~ 29/AUG</t>
  </si>
  <si>
    <t>03/NOV ~ 28/NOV</t>
  </si>
  <si>
    <t>01/FEB ~ 28/FEB</t>
  </si>
  <si>
    <t>TOYOTA 359D</t>
  </si>
  <si>
    <t>A 0101</t>
  </si>
  <si>
    <t>B 0101</t>
  </si>
  <si>
    <t>DUQ3</t>
  </si>
  <si>
    <t>DUP9</t>
  </si>
  <si>
    <t>DUQ2</t>
  </si>
  <si>
    <t>DUQ1</t>
  </si>
  <si>
    <t>DUP3</t>
  </si>
  <si>
    <t>DUP7</t>
  </si>
  <si>
    <t>DUP6</t>
  </si>
  <si>
    <t>DUP8</t>
  </si>
  <si>
    <t>DUP4</t>
  </si>
  <si>
    <t>DUP5</t>
  </si>
  <si>
    <t>DUQ4</t>
  </si>
  <si>
    <t>DUQ5</t>
  </si>
  <si>
    <t>DUQ7</t>
  </si>
  <si>
    <t>C 0201</t>
  </si>
  <si>
    <t>B 0301</t>
  </si>
  <si>
    <t>A 0301</t>
  </si>
  <si>
    <t>DUR4</t>
  </si>
  <si>
    <t>DUQ9</t>
  </si>
  <si>
    <t>DUR2</t>
  </si>
  <si>
    <t>DUR8</t>
  </si>
  <si>
    <t>DUR7</t>
  </si>
  <si>
    <t>01/DEC ~ 31/DEC</t>
  </si>
  <si>
    <t>03/MAR ~ 28/MAR</t>
  </si>
  <si>
    <t>03/SEP ~ 30/SEP</t>
  </si>
  <si>
    <t>82111-FE150</t>
  </si>
  <si>
    <t>82111-FE200</t>
  </si>
  <si>
    <t>82111-FE210</t>
  </si>
  <si>
    <t>824D</t>
  </si>
  <si>
    <t>HEV</t>
  </si>
  <si>
    <t>DVI1</t>
  </si>
  <si>
    <t>DVI2</t>
  </si>
  <si>
    <t>DVI3</t>
  </si>
  <si>
    <t>82111FET00</t>
  </si>
  <si>
    <t>82111FET10</t>
  </si>
  <si>
    <t>821160ZY10</t>
  </si>
  <si>
    <t>82115F2840</t>
  </si>
  <si>
    <t>821160ZW70</t>
  </si>
  <si>
    <t>82115F2390</t>
  </si>
  <si>
    <t>82111FET20</t>
  </si>
  <si>
    <t>82111FET30</t>
  </si>
  <si>
    <t>82111FET40</t>
  </si>
  <si>
    <t>821160ZX70</t>
  </si>
  <si>
    <t>821160ZY00</t>
  </si>
  <si>
    <t>821160ZW80</t>
  </si>
  <si>
    <t>821160ZW90</t>
  </si>
  <si>
    <t>82111FET50</t>
  </si>
  <si>
    <t>821160ZX90</t>
  </si>
  <si>
    <t>821160ZX80</t>
  </si>
  <si>
    <t>82111FE150</t>
  </si>
  <si>
    <t>82111FE200</t>
  </si>
  <si>
    <t>82111FE210</t>
  </si>
  <si>
    <t>82111F2X02</t>
  </si>
  <si>
    <t>CONV</t>
  </si>
  <si>
    <t>02/FEB ~ 27/FEB</t>
  </si>
  <si>
    <t>02/MAR ~ 31/MAR</t>
  </si>
  <si>
    <t>01/SEP ~ 30/SEP</t>
  </si>
  <si>
    <t>01/OCT ~ 30/OCT</t>
  </si>
  <si>
    <t>02/NOV ~ 30/NOV</t>
  </si>
  <si>
    <t>05/JAN~ 30/JAN</t>
  </si>
  <si>
    <t>02/MAY ~ 30/MAY</t>
  </si>
  <si>
    <t>03/AUG ~ 31/AUG</t>
  </si>
  <si>
    <t>82111-FE460</t>
  </si>
  <si>
    <t>82111-FE470</t>
  </si>
  <si>
    <t>DWS2</t>
  </si>
  <si>
    <t>DWS3</t>
  </si>
  <si>
    <t>JAN - JUN</t>
  </si>
  <si>
    <t>S/R NO   : JAI-2026-2.26</t>
  </si>
  <si>
    <t>Periode : 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</si>
</sst>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164" formatCode="General_)"/>
    <numFmt numFmtId="165" formatCode="\$#,##0.00;[Red]\-\$#,##0.00"/>
    <numFmt numFmtId="166" formatCode="0.00_)"/>
    <numFmt numFmtId="167" formatCode="0.0000"/>
    <numFmt numFmtId="168" formatCode="####0000"/>
    <numFmt numFmtId="169" formatCode="0.0"/>
    <numFmt numFmtId="170" formatCode="[$-409]dd\-mmm\-yy;@"/>
    <numFmt numFmtId="171" formatCode="0.000"/>
  </numFmts>
  <fonts count="43">
    <font>
      <sz val="10"/>
      <name val="Arial"/>
      <family val="2"/>
    </font>
    <font>
      <b/>
      <sz val="10"/>
      <name val="Arial"/>
      <family val="2"/>
    </font>
    <font>
      <b/>
      <sz val="10"/>
      <name val="Helv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b/>
      <i/>
      <sz val="16"/>
      <name val="Helv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  <font>
      <sz val="12"/>
      <color indexed="10"/>
      <name val="Arial"/>
      <family val="2"/>
    </font>
    <font>
      <sz val="9"/>
      <name val="Arial"/>
      <family val="2"/>
    </font>
    <font>
      <sz val="7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8"/>
      <name val="Arial"/>
      <family val="2"/>
    </font>
    <font>
      <sz val="11"/>
      <color indexed="81"/>
      <name val="Tahoma"/>
      <family val="2"/>
    </font>
    <font>
      <sz val="10"/>
      <color indexed="81"/>
      <name val="Tahoma"/>
      <family val="2"/>
    </font>
    <font>
      <sz val="12"/>
      <color indexed="81"/>
      <name val="Tahoma"/>
      <family val="2"/>
    </font>
    <font>
      <sz val="14"/>
      <color indexed="81"/>
      <name val="Tahoma"/>
      <family val="2"/>
    </font>
    <font>
      <sz val="12"/>
      <color indexed="10"/>
      <name val="Arial"/>
      <family val="2"/>
    </font>
    <font>
      <sz val="12"/>
      <color indexed="8"/>
      <name val="Arial Narrow"/>
      <family val="2"/>
    </font>
    <font>
      <sz val="6"/>
      <name val="ＭＳ Ｐゴシック"/>
      <family val="3"/>
      <charset val="128"/>
    </font>
    <font>
      <b/>
      <sz val="12"/>
      <color indexed="8"/>
      <name val="Arial Narrow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b/>
      <sz val="20"/>
      <name val="Arial"/>
      <family val="2"/>
    </font>
    <font>
      <sz val="14"/>
      <name val="Calibri"/>
      <family val="2"/>
    </font>
    <font>
      <sz val="14"/>
      <color indexed="8"/>
      <name val="Calibri"/>
      <family val="2"/>
    </font>
    <font>
      <b/>
      <sz val="16"/>
      <name val="Arial"/>
      <family val="2"/>
    </font>
    <font>
      <b/>
      <sz val="24"/>
      <name val="Arial"/>
      <family val="2"/>
    </font>
    <font>
      <sz val="12"/>
      <color indexed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14"/>
      <color rgb="FFFF0000"/>
      <name val="Calibri"/>
      <family val="2"/>
    </font>
    <font>
      <sz val="12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00"/>
        <bgColor indexed="64"/>
      </patternFill>
    </fill>
  </fills>
  <borders count="1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12">
    <xf numFmtId="0" fontId="0" fillId="0" borderId="0"/>
    <xf numFmtId="0" fontId="2" fillId="0" borderId="0"/>
    <xf numFmtId="165" fontId="4" fillId="0" borderId="0">
      <alignment horizontal="center"/>
    </xf>
    <xf numFmtId="38" fontId="5" fillId="2" borderId="0" applyNumberFormat="0" applyBorder="0" applyAlignment="0" applyProtection="0"/>
    <xf numFmtId="0" fontId="6" fillId="0" borderId="0">
      <alignment horizontal="left"/>
    </xf>
    <xf numFmtId="10" fontId="5" fillId="2" borderId="1" applyNumberFormat="0" applyBorder="0" applyAlignment="0" applyProtection="0"/>
    <xf numFmtId="0" fontId="7" fillId="0" borderId="2"/>
    <xf numFmtId="166" fontId="8" fillId="0" borderId="0"/>
    <xf numFmtId="0" fontId="39" fillId="0" borderId="0"/>
    <xf numFmtId="0" fontId="10" fillId="0" borderId="0"/>
    <xf numFmtId="10" fontId="3" fillId="0" borderId="0" applyFont="0" applyFill="0" applyBorder="0" applyAlignment="0" applyProtection="0"/>
    <xf numFmtId="0" fontId="7" fillId="0" borderId="0"/>
  </cellStyleXfs>
  <cellXfs count="1612">
    <xf numFmtId="0" fontId="0" fillId="0" borderId="0" xfId="0"/>
    <xf numFmtId="0" fontId="0" fillId="0" borderId="0" xfId="0" applyFill="1" applyBorder="1"/>
    <xf numFmtId="0" fontId="10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/>
    <xf numFmtId="164" fontId="10" fillId="0" borderId="0" xfId="0" applyNumberFormat="1" applyFont="1" applyFill="1" applyBorder="1" applyAlignment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readingOrder="1"/>
      <protection locked="0"/>
    </xf>
    <xf numFmtId="0" fontId="10" fillId="0" borderId="0" xfId="0" applyNumberFormat="1" applyFont="1" applyFill="1" applyBorder="1" applyAlignment="1" applyProtection="1">
      <alignment vertical="center" readingOrder="1"/>
      <protection locked="0"/>
    </xf>
    <xf numFmtId="0" fontId="10" fillId="0" borderId="0" xfId="0" applyFont="1" applyFill="1" applyBorder="1" applyAlignment="1">
      <alignment horizontal="right"/>
    </xf>
    <xf numFmtId="15" fontId="10" fillId="0" borderId="0" xfId="0" applyNumberFormat="1" applyFont="1" applyFill="1" applyAlignment="1">
      <alignment horizontal="left"/>
    </xf>
    <xf numFmtId="15" fontId="10" fillId="0" borderId="0" xfId="0" applyNumberFormat="1" applyFont="1" applyFill="1" applyAlignment="1">
      <alignment horizontal="center"/>
    </xf>
    <xf numFmtId="21" fontId="11" fillId="0" borderId="2" xfId="0" applyNumberFormat="1" applyFont="1" applyFill="1" applyBorder="1" applyAlignment="1"/>
    <xf numFmtId="0" fontId="12" fillId="0" borderId="2" xfId="0" applyFont="1" applyFill="1" applyBorder="1" applyAlignment="1"/>
    <xf numFmtId="0" fontId="9" fillId="0" borderId="0" xfId="0" applyFont="1" applyFill="1"/>
    <xf numFmtId="0" fontId="10" fillId="0" borderId="0" xfId="0" applyFont="1" applyFill="1" applyAlignment="1">
      <alignment horizontal="center"/>
    </xf>
    <xf numFmtId="0" fontId="3" fillId="0" borderId="0" xfId="0" applyFont="1" applyFill="1" applyBorder="1"/>
    <xf numFmtId="164" fontId="10" fillId="2" borderId="5" xfId="0" applyNumberFormat="1" applyFont="1" applyFill="1" applyBorder="1" applyAlignment="1" applyProtection="1">
      <alignment horizontal="center"/>
    </xf>
    <xf numFmtId="164" fontId="10" fillId="2" borderId="6" xfId="0" applyNumberFormat="1" applyFont="1" applyFill="1" applyBorder="1" applyAlignment="1" applyProtection="1">
      <alignment horizontal="center"/>
    </xf>
    <xf numFmtId="164" fontId="10" fillId="2" borderId="7" xfId="0" applyNumberFormat="1" applyFont="1" applyFill="1" applyBorder="1" applyAlignment="1" applyProtection="1">
      <alignment horizontal="center"/>
    </xf>
    <xf numFmtId="1" fontId="9" fillId="0" borderId="8" xfId="0" applyNumberFormat="1" applyFont="1" applyFill="1" applyBorder="1" applyAlignment="1" applyProtection="1"/>
    <xf numFmtId="1" fontId="9" fillId="0" borderId="9" xfId="0" applyNumberFormat="1" applyFont="1" applyFill="1" applyBorder="1" applyAlignment="1" applyProtection="1"/>
    <xf numFmtId="1" fontId="9" fillId="0" borderId="10" xfId="0" applyNumberFormat="1" applyFont="1" applyFill="1" applyBorder="1" applyAlignment="1" applyProtection="1"/>
    <xf numFmtId="3" fontId="9" fillId="0" borderId="8" xfId="0" applyNumberFormat="1" applyFont="1" applyFill="1" applyBorder="1" applyAlignment="1" applyProtection="1"/>
    <xf numFmtId="3" fontId="9" fillId="0" borderId="11" xfId="0" applyNumberFormat="1" applyFont="1" applyFill="1" applyBorder="1" applyAlignment="1" applyProtection="1"/>
    <xf numFmtId="164" fontId="12" fillId="0" borderId="0" xfId="0" applyNumberFormat="1" applyFont="1" applyFill="1" applyBorder="1" applyProtection="1"/>
    <xf numFmtId="164" fontId="10" fillId="0" borderId="0" xfId="0" applyNumberFormat="1" applyFont="1" applyFill="1" applyBorder="1" applyAlignment="1" applyProtection="1">
      <alignment horizontal="center"/>
    </xf>
    <xf numFmtId="0" fontId="10" fillId="0" borderId="0" xfId="0" applyFont="1" applyFill="1" applyBorder="1" applyAlignment="1">
      <alignment horizontal="left"/>
    </xf>
    <xf numFmtId="164" fontId="10" fillId="0" borderId="0" xfId="0" applyNumberFormat="1" applyFont="1" applyFill="1" applyBorder="1" applyProtection="1"/>
    <xf numFmtId="164" fontId="13" fillId="0" borderId="0" xfId="0" applyNumberFormat="1" applyFont="1" applyFill="1" applyBorder="1" applyAlignment="1" applyProtection="1">
      <alignment horizontal="right"/>
    </xf>
    <xf numFmtId="164" fontId="13" fillId="0" borderId="0" xfId="0" applyNumberFormat="1" applyFont="1" applyFill="1" applyBorder="1" applyAlignment="1" applyProtection="1">
      <alignment horizontal="center"/>
    </xf>
    <xf numFmtId="164" fontId="13" fillId="0" borderId="0" xfId="0" applyNumberFormat="1" applyFont="1" applyFill="1" applyBorder="1" applyAlignment="1" applyProtection="1">
      <alignment horizontal="left"/>
    </xf>
    <xf numFmtId="1" fontId="10" fillId="0" borderId="0" xfId="0" applyNumberFormat="1" applyFont="1" applyFill="1"/>
    <xf numFmtId="0" fontId="10" fillId="0" borderId="0" xfId="0" applyFont="1" applyBorder="1"/>
    <xf numFmtId="0" fontId="0" fillId="0" borderId="0" xfId="0" applyBorder="1"/>
    <xf numFmtId="0" fontId="10" fillId="0" borderId="0" xfId="0" applyFont="1" applyBorder="1" applyAlignment="1">
      <alignment horizontal="center"/>
    </xf>
    <xf numFmtId="2" fontId="10" fillId="0" borderId="12" xfId="0" applyNumberFormat="1" applyFont="1" applyFill="1" applyBorder="1" applyAlignment="1">
      <alignment horizontal="center"/>
    </xf>
    <xf numFmtId="2" fontId="10" fillId="0" borderId="13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9" fontId="3" fillId="0" borderId="0" xfId="0" applyNumberFormat="1" applyFont="1" applyFill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15" fillId="0" borderId="14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2" fontId="3" fillId="0" borderId="12" xfId="0" applyNumberFormat="1" applyFont="1" applyFill="1" applyBorder="1" applyAlignment="1">
      <alignment horizontal="center"/>
    </xf>
    <xf numFmtId="2" fontId="3" fillId="0" borderId="13" xfId="0" applyNumberFormat="1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10" fillId="0" borderId="15" xfId="0" applyFont="1" applyFill="1" applyBorder="1" applyAlignment="1" applyProtection="1">
      <alignment horizontal="center" vertical="center"/>
      <protection hidden="1"/>
    </xf>
    <xf numFmtId="164" fontId="10" fillId="0" borderId="1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17" xfId="0" applyFont="1" applyFill="1" applyBorder="1" applyAlignment="1" applyProtection="1">
      <alignment horizontal="right" vertical="center" indent="1"/>
      <protection hidden="1"/>
    </xf>
    <xf numFmtId="0" fontId="10" fillId="0" borderId="18" xfId="0" applyFont="1" applyFill="1" applyBorder="1" applyAlignment="1" applyProtection="1">
      <alignment vertical="center"/>
      <protection hidden="1"/>
    </xf>
    <xf numFmtId="0" fontId="10" fillId="0" borderId="19" xfId="0" applyFont="1" applyFill="1" applyBorder="1" applyAlignment="1" applyProtection="1">
      <alignment vertical="center"/>
      <protection hidden="1"/>
    </xf>
    <xf numFmtId="0" fontId="10" fillId="0" borderId="20" xfId="0" applyFont="1" applyFill="1" applyBorder="1" applyAlignment="1" applyProtection="1">
      <alignment horizontal="right" vertical="center" indent="1"/>
      <protection hidden="1"/>
    </xf>
    <xf numFmtId="0" fontId="10" fillId="0" borderId="21" xfId="0" applyFont="1" applyFill="1" applyBorder="1" applyAlignment="1" applyProtection="1">
      <alignment vertical="center"/>
      <protection hidden="1"/>
    </xf>
    <xf numFmtId="0" fontId="10" fillId="0" borderId="12" xfId="0" applyFont="1" applyFill="1" applyBorder="1" applyAlignment="1" applyProtection="1">
      <alignment horizontal="right" vertical="center" indent="1"/>
      <protection hidden="1"/>
    </xf>
    <xf numFmtId="0" fontId="10" fillId="0" borderId="22" xfId="0" applyFont="1" applyFill="1" applyBorder="1" applyAlignment="1" applyProtection="1">
      <alignment vertical="center"/>
      <protection hidden="1"/>
    </xf>
    <xf numFmtId="0" fontId="10" fillId="3" borderId="0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3" fillId="0" borderId="0" xfId="0" applyFont="1" applyFill="1" applyBorder="1"/>
    <xf numFmtId="0" fontId="17" fillId="0" borderId="0" xfId="0" applyFont="1" applyFill="1" applyBorder="1"/>
    <xf numFmtId="0" fontId="17" fillId="0" borderId="0" xfId="0" applyFont="1" applyFill="1"/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/>
    <xf numFmtId="0" fontId="10" fillId="0" borderId="0" xfId="0" applyFont="1" applyFill="1" applyAlignment="1"/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170" fontId="10" fillId="0" borderId="0" xfId="0" applyNumberFormat="1" applyFont="1" applyFill="1" applyAlignment="1">
      <alignment horizontal="left"/>
    </xf>
    <xf numFmtId="164" fontId="10" fillId="0" borderId="23" xfId="0" applyNumberFormat="1" applyFont="1" applyFill="1" applyBorder="1" applyAlignment="1" applyProtection="1">
      <alignment horizontal="center" vertical="center" wrapText="1"/>
    </xf>
    <xf numFmtId="164" fontId="10" fillId="0" borderId="7" xfId="0" applyNumberFormat="1" applyFont="1" applyFill="1" applyBorder="1" applyAlignment="1" applyProtection="1">
      <alignment horizontal="center" vertical="center" wrapText="1"/>
    </xf>
    <xf numFmtId="0" fontId="10" fillId="0" borderId="12" xfId="0" applyNumberFormat="1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/>
    </xf>
    <xf numFmtId="0" fontId="3" fillId="0" borderId="0" xfId="0" applyFont="1" applyFill="1" applyBorder="1" applyAlignment="1" applyProtection="1">
      <alignment vertical="center"/>
      <protection hidden="1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/>
    <xf numFmtId="0" fontId="9" fillId="0" borderId="0" xfId="0" applyFont="1" applyFill="1" applyBorder="1" applyAlignment="1" applyProtection="1">
      <alignment vertical="center"/>
      <protection hidden="1"/>
    </xf>
    <xf numFmtId="164" fontId="3" fillId="0" borderId="5" xfId="0" applyNumberFormat="1" applyFont="1" applyFill="1" applyBorder="1" applyAlignment="1" applyProtection="1">
      <alignment horizontal="center" vertical="center"/>
      <protection hidden="1"/>
    </xf>
    <xf numFmtId="164" fontId="3" fillId="0" borderId="6" xfId="0" applyNumberFormat="1" applyFont="1" applyFill="1" applyBorder="1" applyAlignment="1" applyProtection="1">
      <alignment horizontal="center" vertical="center"/>
      <protection hidden="1"/>
    </xf>
    <xf numFmtId="164" fontId="3" fillId="0" borderId="7" xfId="0" applyNumberFormat="1" applyFont="1" applyFill="1" applyBorder="1" applyAlignment="1" applyProtection="1">
      <alignment horizontal="center" vertical="center"/>
      <protection hidden="1"/>
    </xf>
    <xf numFmtId="164" fontId="3" fillId="0" borderId="24" xfId="0" applyNumberFormat="1" applyFont="1" applyFill="1" applyBorder="1" applyAlignment="1" applyProtection="1">
      <alignment horizontal="center" vertical="center"/>
      <protection hidden="1"/>
    </xf>
    <xf numFmtId="164" fontId="3" fillId="0" borderId="25" xfId="0" applyNumberFormat="1" applyFont="1" applyFill="1" applyBorder="1" applyAlignment="1" applyProtection="1">
      <alignment horizontal="center" vertical="center"/>
      <protection hidden="1"/>
    </xf>
    <xf numFmtId="1" fontId="1" fillId="0" borderId="8" xfId="0" applyNumberFormat="1" applyFont="1" applyFill="1" applyBorder="1" applyAlignment="1" applyProtection="1"/>
    <xf numFmtId="1" fontId="1" fillId="0" borderId="9" xfId="0" applyNumberFormat="1" applyFont="1" applyFill="1" applyBorder="1" applyAlignment="1" applyProtection="1"/>
    <xf numFmtId="1" fontId="1" fillId="0" borderId="10" xfId="0" applyNumberFormat="1" applyFont="1" applyFill="1" applyBorder="1" applyAlignment="1" applyProtection="1"/>
    <xf numFmtId="3" fontId="1" fillId="0" borderId="8" xfId="0" applyNumberFormat="1" applyFont="1" applyFill="1" applyBorder="1" applyAlignment="1" applyProtection="1"/>
    <xf numFmtId="0" fontId="0" fillId="0" borderId="0" xfId="0" applyFill="1" applyBorder="1" applyAlignment="1">
      <alignment horizontal="center" vertical="center"/>
    </xf>
    <xf numFmtId="164" fontId="10" fillId="0" borderId="26" xfId="0" applyNumberFormat="1" applyFont="1" applyFill="1" applyBorder="1" applyAlignment="1" applyProtection="1">
      <alignment horizontal="center" vertical="center" wrapText="1"/>
    </xf>
    <xf numFmtId="164" fontId="10" fillId="0" borderId="27" xfId="0" applyNumberFormat="1" applyFont="1" applyFill="1" applyBorder="1" applyAlignment="1" applyProtection="1">
      <alignment horizontal="center" vertical="center" wrapText="1"/>
    </xf>
    <xf numFmtId="164" fontId="0" fillId="0" borderId="1" xfId="0" applyNumberForma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10" fillId="0" borderId="0" xfId="0" applyNumberFormat="1" applyFont="1" applyFill="1" applyBorder="1" applyAlignment="1" applyProtection="1"/>
    <xf numFmtId="164" fontId="10" fillId="3" borderId="28" xfId="0" applyNumberFormat="1" applyFont="1" applyFill="1" applyBorder="1" applyAlignment="1" applyProtection="1">
      <alignment horizontal="center"/>
    </xf>
    <xf numFmtId="168" fontId="10" fillId="3" borderId="28" xfId="0" quotePrefix="1" applyNumberFormat="1" applyFont="1" applyFill="1" applyBorder="1" applyAlignment="1" applyProtection="1">
      <alignment horizontal="center"/>
    </xf>
    <xf numFmtId="164" fontId="10" fillId="3" borderId="29" xfId="0" applyNumberFormat="1" applyFont="1" applyFill="1" applyBorder="1" applyAlignment="1" applyProtection="1">
      <alignment horizontal="center"/>
    </xf>
    <xf numFmtId="167" fontId="10" fillId="3" borderId="30" xfId="0" applyNumberFormat="1" applyFont="1" applyFill="1" applyBorder="1" applyAlignment="1" applyProtection="1">
      <alignment horizontal="center"/>
    </xf>
    <xf numFmtId="167" fontId="10" fillId="3" borderId="31" xfId="0" applyNumberFormat="1" applyFont="1" applyFill="1" applyBorder="1" applyAlignment="1" applyProtection="1">
      <alignment horizontal="center"/>
    </xf>
    <xf numFmtId="3" fontId="10" fillId="3" borderId="18" xfId="0" applyNumberFormat="1" applyFont="1" applyFill="1" applyBorder="1" applyAlignment="1" applyProtection="1"/>
    <xf numFmtId="3" fontId="10" fillId="3" borderId="32" xfId="0" applyNumberFormat="1" applyFont="1" applyFill="1" applyBorder="1" applyAlignment="1" applyProtection="1"/>
    <xf numFmtId="3" fontId="10" fillId="3" borderId="30" xfId="0" applyNumberFormat="1" applyFont="1" applyFill="1" applyBorder="1" applyAlignment="1" applyProtection="1"/>
    <xf numFmtId="3" fontId="10" fillId="3" borderId="33" xfId="0" applyNumberFormat="1" applyFont="1" applyFill="1" applyBorder="1"/>
    <xf numFmtId="3" fontId="10" fillId="3" borderId="29" xfId="0" applyNumberFormat="1" applyFont="1" applyFill="1" applyBorder="1" applyAlignment="1" applyProtection="1"/>
    <xf numFmtId="0" fontId="0" fillId="3" borderId="0" xfId="0" applyFill="1" applyBorder="1"/>
    <xf numFmtId="164" fontId="3" fillId="3" borderId="34" xfId="0" applyNumberFormat="1" applyFont="1" applyFill="1" applyBorder="1" applyAlignment="1" applyProtection="1">
      <alignment vertical="center"/>
      <protection hidden="1"/>
    </xf>
    <xf numFmtId="164" fontId="3" fillId="3" borderId="35" xfId="0" applyNumberFormat="1" applyFont="1" applyFill="1" applyBorder="1" applyAlignment="1" applyProtection="1">
      <alignment vertical="center"/>
      <protection hidden="1"/>
    </xf>
    <xf numFmtId="164" fontId="3" fillId="3" borderId="36" xfId="0" applyNumberFormat="1" applyFont="1" applyFill="1" applyBorder="1" applyAlignment="1" applyProtection="1">
      <alignment vertical="center"/>
      <protection hidden="1"/>
    </xf>
    <xf numFmtId="164" fontId="3" fillId="3" borderId="37" xfId="0" applyNumberFormat="1" applyFont="1" applyFill="1" applyBorder="1" applyAlignment="1" applyProtection="1">
      <alignment vertical="center"/>
      <protection hidden="1"/>
    </xf>
    <xf numFmtId="9" fontId="3" fillId="3" borderId="35" xfId="0" applyNumberFormat="1" applyFont="1" applyFill="1" applyBorder="1" applyAlignment="1" applyProtection="1">
      <alignment vertical="center"/>
      <protection hidden="1"/>
    </xf>
    <xf numFmtId="0" fontId="3" fillId="3" borderId="36" xfId="0" applyFont="1" applyFill="1" applyBorder="1" applyAlignment="1" applyProtection="1">
      <alignment vertical="center"/>
      <protection hidden="1"/>
    </xf>
    <xf numFmtId="3" fontId="0" fillId="3" borderId="0" xfId="0" applyNumberFormat="1" applyFill="1" applyBorder="1"/>
    <xf numFmtId="0" fontId="0" fillId="3" borderId="1" xfId="0" applyFill="1" applyBorder="1" applyAlignment="1">
      <alignment horizontal="center" vertical="center"/>
    </xf>
    <xf numFmtId="164" fontId="10" fillId="3" borderId="38" xfId="0" applyNumberFormat="1" applyFont="1" applyFill="1" applyBorder="1" applyAlignment="1" applyProtection="1">
      <alignment horizontal="center"/>
    </xf>
    <xf numFmtId="168" fontId="10" fillId="3" borderId="38" xfId="0" quotePrefix="1" applyNumberFormat="1" applyFont="1" applyFill="1" applyBorder="1" applyAlignment="1" applyProtection="1">
      <alignment horizontal="center"/>
    </xf>
    <xf numFmtId="164" fontId="10" fillId="3" borderId="39" xfId="0" applyNumberFormat="1" applyFont="1" applyFill="1" applyBorder="1" applyAlignment="1" applyProtection="1">
      <alignment horizontal="center"/>
    </xf>
    <xf numFmtId="167" fontId="10" fillId="3" borderId="40" xfId="0" applyNumberFormat="1" applyFont="1" applyFill="1" applyBorder="1" applyAlignment="1" applyProtection="1">
      <alignment horizontal="center"/>
    </xf>
    <xf numFmtId="3" fontId="10" fillId="3" borderId="41" xfId="0" applyNumberFormat="1" applyFont="1" applyFill="1" applyBorder="1" applyAlignment="1" applyProtection="1"/>
    <xf numFmtId="3" fontId="10" fillId="3" borderId="42" xfId="0" applyNumberFormat="1" applyFont="1" applyFill="1" applyBorder="1" applyAlignment="1" applyProtection="1"/>
    <xf numFmtId="3" fontId="10" fillId="3" borderId="40" xfId="0" applyNumberFormat="1" applyFont="1" applyFill="1" applyBorder="1" applyAlignment="1" applyProtection="1"/>
    <xf numFmtId="3" fontId="10" fillId="3" borderId="43" xfId="0" applyNumberFormat="1" applyFont="1" applyFill="1" applyBorder="1"/>
    <xf numFmtId="3" fontId="10" fillId="3" borderId="39" xfId="0" applyNumberFormat="1" applyFont="1" applyFill="1" applyBorder="1" applyAlignment="1" applyProtection="1"/>
    <xf numFmtId="164" fontId="3" fillId="3" borderId="44" xfId="0" applyNumberFormat="1" applyFont="1" applyFill="1" applyBorder="1" applyAlignment="1" applyProtection="1">
      <alignment vertical="center"/>
      <protection hidden="1"/>
    </xf>
    <xf numFmtId="164" fontId="3" fillId="3" borderId="17" xfId="0" applyNumberFormat="1" applyFont="1" applyFill="1" applyBorder="1" applyAlignment="1" applyProtection="1">
      <alignment vertical="center"/>
      <protection hidden="1"/>
    </xf>
    <xf numFmtId="164" fontId="3" fillId="3" borderId="45" xfId="0" applyNumberFormat="1" applyFont="1" applyFill="1" applyBorder="1" applyAlignment="1" applyProtection="1">
      <alignment vertical="center"/>
      <protection hidden="1"/>
    </xf>
    <xf numFmtId="164" fontId="3" fillId="3" borderId="0" xfId="0" applyNumberFormat="1" applyFont="1" applyFill="1" applyBorder="1" applyAlignment="1" applyProtection="1">
      <alignment vertical="center"/>
      <protection hidden="1"/>
    </xf>
    <xf numFmtId="9" fontId="3" fillId="3" borderId="17" xfId="0" applyNumberFormat="1" applyFont="1" applyFill="1" applyBorder="1" applyAlignment="1" applyProtection="1">
      <alignment vertical="center"/>
      <protection hidden="1"/>
    </xf>
    <xf numFmtId="0" fontId="3" fillId="3" borderId="45" xfId="0" applyFont="1" applyFill="1" applyBorder="1" applyAlignment="1" applyProtection="1">
      <alignment vertical="center"/>
      <protection hidden="1"/>
    </xf>
    <xf numFmtId="164" fontId="10" fillId="3" borderId="46" xfId="0" applyNumberFormat="1" applyFont="1" applyFill="1" applyBorder="1" applyAlignment="1" applyProtection="1">
      <alignment horizontal="center"/>
    </xf>
    <xf numFmtId="164" fontId="10" fillId="3" borderId="47" xfId="0" applyNumberFormat="1" applyFont="1" applyFill="1" applyBorder="1" applyAlignment="1" applyProtection="1">
      <alignment horizontal="center"/>
    </xf>
    <xf numFmtId="3" fontId="10" fillId="3" borderId="22" xfId="0" applyNumberFormat="1" applyFont="1" applyFill="1" applyBorder="1" applyAlignment="1" applyProtection="1"/>
    <xf numFmtId="3" fontId="10" fillId="3" borderId="48" xfId="0" applyNumberFormat="1" applyFont="1" applyFill="1" applyBorder="1" applyAlignment="1" applyProtection="1"/>
    <xf numFmtId="3" fontId="10" fillId="3" borderId="49" xfId="0" applyNumberFormat="1" applyFont="1" applyFill="1" applyBorder="1" applyAlignment="1" applyProtection="1"/>
    <xf numFmtId="0" fontId="10" fillId="3" borderId="50" xfId="0" applyFont="1" applyFill="1" applyBorder="1"/>
    <xf numFmtId="3" fontId="10" fillId="3" borderId="47" xfId="0" applyNumberFormat="1" applyFont="1" applyFill="1" applyBorder="1" applyAlignment="1" applyProtection="1"/>
    <xf numFmtId="164" fontId="10" fillId="2" borderId="38" xfId="0" applyNumberFormat="1" applyFont="1" applyFill="1" applyBorder="1" applyAlignment="1" applyProtection="1">
      <alignment horizontal="center"/>
    </xf>
    <xf numFmtId="164" fontId="10" fillId="2" borderId="39" xfId="0" applyNumberFormat="1" applyFont="1" applyFill="1" applyBorder="1" applyAlignment="1" applyProtection="1">
      <alignment horizontal="center"/>
    </xf>
    <xf numFmtId="167" fontId="10" fillId="2" borderId="40" xfId="0" applyNumberFormat="1" applyFont="1" applyFill="1" applyBorder="1" applyAlignment="1" applyProtection="1">
      <alignment horizontal="center"/>
    </xf>
    <xf numFmtId="167" fontId="10" fillId="2" borderId="51" xfId="0" applyNumberFormat="1" applyFont="1" applyFill="1" applyBorder="1" applyAlignment="1" applyProtection="1">
      <alignment horizontal="center"/>
    </xf>
    <xf numFmtId="3" fontId="10" fillId="2" borderId="41" xfId="0" applyNumberFormat="1" applyFont="1" applyFill="1" applyBorder="1" applyAlignment="1" applyProtection="1"/>
    <xf numFmtId="3" fontId="10" fillId="2" borderId="42" xfId="0" applyNumberFormat="1" applyFont="1" applyFill="1" applyBorder="1" applyAlignment="1" applyProtection="1"/>
    <xf numFmtId="3" fontId="10" fillId="2" borderId="40" xfId="0" applyNumberFormat="1" applyFont="1" applyFill="1" applyBorder="1" applyAlignment="1" applyProtection="1"/>
    <xf numFmtId="3" fontId="10" fillId="2" borderId="39" xfId="0" applyNumberFormat="1" applyFont="1" applyFill="1" applyBorder="1" applyAlignment="1" applyProtection="1"/>
    <xf numFmtId="0" fontId="0" fillId="2" borderId="0" xfId="0" applyFill="1" applyBorder="1"/>
    <xf numFmtId="164" fontId="3" fillId="2" borderId="34" xfId="0" applyNumberFormat="1" applyFont="1" applyFill="1" applyBorder="1" applyAlignment="1" applyProtection="1">
      <alignment vertical="center"/>
      <protection hidden="1"/>
    </xf>
    <xf numFmtId="164" fontId="3" fillId="2" borderId="35" xfId="0" applyNumberFormat="1" applyFont="1" applyFill="1" applyBorder="1" applyAlignment="1" applyProtection="1">
      <alignment vertical="center"/>
      <protection hidden="1"/>
    </xf>
    <xf numFmtId="164" fontId="3" fillId="2" borderId="36" xfId="0" applyNumberFormat="1" applyFont="1" applyFill="1" applyBorder="1" applyAlignment="1" applyProtection="1">
      <alignment vertical="center"/>
      <protection hidden="1"/>
    </xf>
    <xf numFmtId="164" fontId="3" fillId="2" borderId="37" xfId="0" applyNumberFormat="1" applyFont="1" applyFill="1" applyBorder="1" applyAlignment="1" applyProtection="1">
      <alignment vertical="center"/>
      <protection hidden="1"/>
    </xf>
    <xf numFmtId="9" fontId="3" fillId="2" borderId="35" xfId="0" applyNumberFormat="1" applyFont="1" applyFill="1" applyBorder="1" applyAlignment="1" applyProtection="1">
      <alignment vertical="center"/>
      <protection hidden="1"/>
    </xf>
    <xf numFmtId="0" fontId="3" fillId="2" borderId="36" xfId="0" applyFont="1" applyFill="1" applyBorder="1" applyAlignment="1" applyProtection="1">
      <alignment vertical="center"/>
      <protection hidden="1"/>
    </xf>
    <xf numFmtId="3" fontId="0" fillId="2" borderId="0" xfId="0" applyNumberFormat="1" applyFill="1" applyBorder="1"/>
    <xf numFmtId="0" fontId="0" fillId="2" borderId="1" xfId="0" applyFill="1" applyBorder="1" applyAlignment="1">
      <alignment horizontal="center" vertical="center"/>
    </xf>
    <xf numFmtId="168" fontId="10" fillId="2" borderId="38" xfId="0" applyNumberFormat="1" applyFont="1" applyFill="1" applyBorder="1" applyAlignment="1" applyProtection="1">
      <alignment horizontal="center"/>
    </xf>
    <xf numFmtId="3" fontId="10" fillId="2" borderId="42" xfId="0" applyNumberFormat="1" applyFont="1" applyFill="1" applyBorder="1"/>
    <xf numFmtId="0" fontId="10" fillId="2" borderId="42" xfId="0" applyFont="1" applyFill="1" applyBorder="1"/>
    <xf numFmtId="164" fontId="3" fillId="2" borderId="44" xfId="0" applyNumberFormat="1" applyFont="1" applyFill="1" applyBorder="1" applyAlignment="1" applyProtection="1">
      <alignment vertical="center"/>
      <protection hidden="1"/>
    </xf>
    <xf numFmtId="164" fontId="3" fillId="2" borderId="17" xfId="0" applyNumberFormat="1" applyFont="1" applyFill="1" applyBorder="1" applyAlignment="1" applyProtection="1">
      <alignment vertical="center"/>
      <protection hidden="1"/>
    </xf>
    <xf numFmtId="164" fontId="3" fillId="2" borderId="45" xfId="0" applyNumberFormat="1" applyFont="1" applyFill="1" applyBorder="1" applyAlignment="1" applyProtection="1">
      <alignment vertical="center"/>
      <protection hidden="1"/>
    </xf>
    <xf numFmtId="164" fontId="3" fillId="2" borderId="0" xfId="0" applyNumberFormat="1" applyFont="1" applyFill="1" applyBorder="1" applyAlignment="1" applyProtection="1">
      <alignment vertical="center"/>
      <protection hidden="1"/>
    </xf>
    <xf numFmtId="9" fontId="3" fillId="2" borderId="17" xfId="0" applyNumberFormat="1" applyFont="1" applyFill="1" applyBorder="1" applyAlignment="1" applyProtection="1">
      <alignment vertical="center"/>
      <protection hidden="1"/>
    </xf>
    <xf numFmtId="0" fontId="3" fillId="2" borderId="45" xfId="0" applyFont="1" applyFill="1" applyBorder="1" applyAlignment="1" applyProtection="1">
      <alignment vertical="center"/>
      <protection hidden="1"/>
    </xf>
    <xf numFmtId="0" fontId="10" fillId="2" borderId="43" xfId="0" applyFont="1" applyFill="1" applyBorder="1"/>
    <xf numFmtId="164" fontId="10" fillId="2" borderId="52" xfId="0" applyNumberFormat="1" applyFont="1" applyFill="1" applyBorder="1" applyAlignment="1" applyProtection="1">
      <alignment horizontal="center"/>
    </xf>
    <xf numFmtId="164" fontId="10" fillId="2" borderId="53" xfId="0" applyNumberFormat="1" applyFont="1" applyFill="1" applyBorder="1" applyAlignment="1" applyProtection="1">
      <alignment horizontal="center"/>
    </xf>
    <xf numFmtId="167" fontId="10" fillId="2" borderId="54" xfId="0" applyNumberFormat="1" applyFont="1" applyFill="1" applyBorder="1" applyAlignment="1" applyProtection="1">
      <alignment horizontal="center"/>
    </xf>
    <xf numFmtId="3" fontId="10" fillId="2" borderId="55" xfId="0" applyNumberFormat="1" applyFont="1" applyFill="1" applyBorder="1" applyAlignment="1" applyProtection="1"/>
    <xf numFmtId="3" fontId="10" fillId="2" borderId="56" xfId="0" applyNumberFormat="1" applyFont="1" applyFill="1" applyBorder="1" applyAlignment="1" applyProtection="1"/>
    <xf numFmtId="3" fontId="10" fillId="2" borderId="54" xfId="0" applyNumberFormat="1" applyFont="1" applyFill="1" applyBorder="1" applyAlignment="1" applyProtection="1"/>
    <xf numFmtId="3" fontId="10" fillId="2" borderId="53" xfId="0" applyNumberFormat="1" applyFont="1" applyFill="1" applyBorder="1" applyAlignment="1" applyProtection="1"/>
    <xf numFmtId="0" fontId="0" fillId="2" borderId="57" xfId="0" applyFill="1" applyBorder="1" applyAlignment="1">
      <alignment horizontal="center" vertical="center"/>
    </xf>
    <xf numFmtId="164" fontId="10" fillId="3" borderId="58" xfId="0" applyNumberFormat="1" applyFont="1" applyFill="1" applyBorder="1" applyAlignment="1" applyProtection="1">
      <alignment horizontal="center"/>
    </xf>
    <xf numFmtId="168" fontId="10" fillId="3" borderId="58" xfId="0" quotePrefix="1" applyNumberFormat="1" applyFont="1" applyFill="1" applyBorder="1" applyAlignment="1" applyProtection="1">
      <alignment horizontal="center"/>
    </xf>
    <xf numFmtId="164" fontId="10" fillId="3" borderId="59" xfId="0" applyNumberFormat="1" applyFont="1" applyFill="1" applyBorder="1" applyAlignment="1" applyProtection="1">
      <alignment horizontal="center"/>
    </xf>
    <xf numFmtId="167" fontId="10" fillId="3" borderId="60" xfId="0" applyNumberFormat="1" applyFont="1" applyFill="1" applyBorder="1" applyAlignment="1" applyProtection="1">
      <alignment horizontal="center"/>
    </xf>
    <xf numFmtId="3" fontId="10" fillId="3" borderId="61" xfId="0" applyNumberFormat="1" applyFont="1" applyFill="1" applyBorder="1" applyAlignment="1" applyProtection="1"/>
    <xf numFmtId="3" fontId="10" fillId="3" borderId="62" xfId="0" applyNumberFormat="1" applyFont="1" applyFill="1" applyBorder="1" applyAlignment="1" applyProtection="1"/>
    <xf numFmtId="3" fontId="10" fillId="3" borderId="60" xfId="0" applyNumberFormat="1" applyFont="1" applyFill="1" applyBorder="1" applyAlignment="1" applyProtection="1"/>
    <xf numFmtId="3" fontId="10" fillId="3" borderId="63" xfId="0" applyNumberFormat="1" applyFont="1" applyFill="1" applyBorder="1"/>
    <xf numFmtId="3" fontId="10" fillId="3" borderId="59" xfId="0" applyNumberFormat="1" applyFont="1" applyFill="1" applyBorder="1" applyAlignment="1" applyProtection="1"/>
    <xf numFmtId="0" fontId="0" fillId="3" borderId="64" xfId="0" applyFill="1" applyBorder="1"/>
    <xf numFmtId="164" fontId="3" fillId="3" borderId="65" xfId="0" applyNumberFormat="1" applyFont="1" applyFill="1" applyBorder="1" applyAlignment="1" applyProtection="1">
      <alignment vertical="center"/>
      <protection hidden="1"/>
    </xf>
    <xf numFmtId="164" fontId="3" fillId="3" borderId="66" xfId="0" applyNumberFormat="1" applyFont="1" applyFill="1" applyBorder="1" applyAlignment="1" applyProtection="1">
      <alignment vertical="center"/>
      <protection hidden="1"/>
    </xf>
    <xf numFmtId="164" fontId="3" fillId="3" borderId="67" xfId="0" applyNumberFormat="1" applyFont="1" applyFill="1" applyBorder="1" applyAlignment="1" applyProtection="1">
      <alignment vertical="center"/>
      <protection hidden="1"/>
    </xf>
    <xf numFmtId="164" fontId="3" fillId="3" borderId="68" xfId="0" applyNumberFormat="1" applyFont="1" applyFill="1" applyBorder="1" applyAlignment="1" applyProtection="1">
      <alignment vertical="center"/>
      <protection hidden="1"/>
    </xf>
    <xf numFmtId="9" fontId="3" fillId="3" borderId="66" xfId="0" applyNumberFormat="1" applyFont="1" applyFill="1" applyBorder="1" applyAlignment="1" applyProtection="1">
      <alignment vertical="center"/>
      <protection hidden="1"/>
    </xf>
    <xf numFmtId="0" fontId="3" fillId="3" borderId="67" xfId="0" applyFont="1" applyFill="1" applyBorder="1" applyAlignment="1" applyProtection="1">
      <alignment vertical="center"/>
      <protection hidden="1"/>
    </xf>
    <xf numFmtId="3" fontId="0" fillId="3" borderId="64" xfId="0" applyNumberFormat="1" applyFill="1" applyBorder="1"/>
    <xf numFmtId="164" fontId="10" fillId="2" borderId="69" xfId="0" applyNumberFormat="1" applyFont="1" applyFill="1" applyBorder="1" applyAlignment="1" applyProtection="1">
      <alignment horizontal="center"/>
    </xf>
    <xf numFmtId="168" fontId="10" fillId="2" borderId="69" xfId="0" quotePrefix="1" applyNumberFormat="1" applyFont="1" applyFill="1" applyBorder="1" applyAlignment="1" applyProtection="1">
      <alignment horizontal="center"/>
    </xf>
    <xf numFmtId="164" fontId="10" fillId="2" borderId="70" xfId="0" applyNumberFormat="1" applyFont="1" applyFill="1" applyBorder="1" applyAlignment="1" applyProtection="1">
      <alignment horizontal="center"/>
    </xf>
    <xf numFmtId="167" fontId="10" fillId="2" borderId="71" xfId="0" applyNumberFormat="1" applyFont="1" applyFill="1" applyBorder="1" applyAlignment="1" applyProtection="1">
      <alignment horizontal="center"/>
    </xf>
    <xf numFmtId="167" fontId="10" fillId="2" borderId="72" xfId="0" applyNumberFormat="1" applyFont="1" applyFill="1" applyBorder="1" applyAlignment="1" applyProtection="1">
      <alignment horizontal="center"/>
    </xf>
    <xf numFmtId="3" fontId="10" fillId="2" borderId="21" xfId="0" applyNumberFormat="1" applyFont="1" applyFill="1" applyBorder="1" applyAlignment="1" applyProtection="1"/>
    <xf numFmtId="3" fontId="10" fillId="2" borderId="73" xfId="0" applyNumberFormat="1" applyFont="1" applyFill="1" applyBorder="1" applyAlignment="1" applyProtection="1"/>
    <xf numFmtId="3" fontId="10" fillId="2" borderId="71" xfId="0" applyNumberFormat="1" applyFont="1" applyFill="1" applyBorder="1" applyAlignment="1" applyProtection="1"/>
    <xf numFmtId="3" fontId="10" fillId="2" borderId="74" xfId="0" applyNumberFormat="1" applyFont="1" applyFill="1" applyBorder="1"/>
    <xf numFmtId="3" fontId="10" fillId="2" borderId="70" xfId="0" applyNumberFormat="1" applyFont="1" applyFill="1" applyBorder="1" applyAlignment="1" applyProtection="1"/>
    <xf numFmtId="0" fontId="0" fillId="2" borderId="15" xfId="0" applyFill="1" applyBorder="1"/>
    <xf numFmtId="164" fontId="3" fillId="2" borderId="75" xfId="0" applyNumberFormat="1" applyFont="1" applyFill="1" applyBorder="1" applyAlignment="1" applyProtection="1">
      <alignment vertical="center"/>
      <protection hidden="1"/>
    </xf>
    <xf numFmtId="164" fontId="3" fillId="2" borderId="20" xfId="0" applyNumberFormat="1" applyFont="1" applyFill="1" applyBorder="1" applyAlignment="1" applyProtection="1">
      <alignment vertical="center"/>
      <protection hidden="1"/>
    </xf>
    <xf numFmtId="164" fontId="3" fillId="2" borderId="76" xfId="0" applyNumberFormat="1" applyFont="1" applyFill="1" applyBorder="1" applyAlignment="1" applyProtection="1">
      <alignment vertical="center"/>
      <protection hidden="1"/>
    </xf>
    <xf numFmtId="164" fontId="3" fillId="2" borderId="15" xfId="0" applyNumberFormat="1" applyFont="1" applyFill="1" applyBorder="1" applyAlignment="1" applyProtection="1">
      <alignment vertical="center"/>
      <protection hidden="1"/>
    </xf>
    <xf numFmtId="9" fontId="3" fillId="2" borderId="20" xfId="0" applyNumberFormat="1" applyFont="1" applyFill="1" applyBorder="1" applyAlignment="1" applyProtection="1">
      <alignment vertical="center"/>
      <protection hidden="1"/>
    </xf>
    <xf numFmtId="0" fontId="3" fillId="2" borderId="76" xfId="0" applyFont="1" applyFill="1" applyBorder="1" applyAlignment="1" applyProtection="1">
      <alignment vertical="center"/>
      <protection hidden="1"/>
    </xf>
    <xf numFmtId="3" fontId="0" fillId="2" borderId="15" xfId="0" applyNumberFormat="1" applyFill="1" applyBorder="1"/>
    <xf numFmtId="168" fontId="10" fillId="2" borderId="52" xfId="0" applyNumberFormat="1" applyFont="1" applyFill="1" applyBorder="1" applyAlignment="1" applyProtection="1">
      <alignment horizontal="center"/>
    </xf>
    <xf numFmtId="0" fontId="10" fillId="2" borderId="56" xfId="0" applyFont="1" applyFill="1" applyBorder="1"/>
    <xf numFmtId="164" fontId="10" fillId="2" borderId="58" xfId="0" applyNumberFormat="1" applyFont="1" applyFill="1" applyBorder="1" applyAlignment="1" applyProtection="1">
      <alignment horizontal="center"/>
    </xf>
    <xf numFmtId="168" fontId="10" fillId="2" borderId="58" xfId="0" applyNumberFormat="1" applyFont="1" applyFill="1" applyBorder="1" applyAlignment="1" applyProtection="1">
      <alignment horizontal="center"/>
    </xf>
    <xf numFmtId="164" fontId="10" fillId="2" borderId="59" xfId="0" applyNumberFormat="1" applyFont="1" applyFill="1" applyBorder="1" applyAlignment="1" applyProtection="1">
      <alignment horizontal="center"/>
    </xf>
    <xf numFmtId="167" fontId="10" fillId="2" borderId="60" xfId="0" applyNumberFormat="1" applyFont="1" applyFill="1" applyBorder="1" applyAlignment="1" applyProtection="1">
      <alignment horizontal="center"/>
    </xf>
    <xf numFmtId="167" fontId="10" fillId="2" borderId="77" xfId="0" applyNumberFormat="1" applyFont="1" applyFill="1" applyBorder="1" applyAlignment="1" applyProtection="1">
      <alignment horizontal="center"/>
    </xf>
    <xf numFmtId="3" fontId="10" fillId="2" borderId="61" xfId="0" applyNumberFormat="1" applyFont="1" applyFill="1" applyBorder="1" applyAlignment="1" applyProtection="1"/>
    <xf numFmtId="3" fontId="10" fillId="2" borderId="62" xfId="0" applyNumberFormat="1" applyFont="1" applyFill="1" applyBorder="1" applyAlignment="1" applyProtection="1"/>
    <xf numFmtId="3" fontId="10" fillId="2" borderId="60" xfId="0" applyNumberFormat="1" applyFont="1" applyFill="1" applyBorder="1" applyAlignment="1" applyProtection="1"/>
    <xf numFmtId="0" fontId="10" fillId="2" borderId="62" xfId="0" applyFont="1" applyFill="1" applyBorder="1"/>
    <xf numFmtId="3" fontId="10" fillId="2" borderId="59" xfId="0" applyNumberFormat="1" applyFont="1" applyFill="1" applyBorder="1" applyAlignment="1" applyProtection="1"/>
    <xf numFmtId="0" fontId="0" fillId="2" borderId="64" xfId="0" applyFill="1" applyBorder="1"/>
    <xf numFmtId="164" fontId="3" fillId="2" borderId="78" xfId="0" applyNumberFormat="1" applyFont="1" applyFill="1" applyBorder="1" applyAlignment="1" applyProtection="1">
      <alignment vertical="center"/>
      <protection hidden="1"/>
    </xf>
    <xf numFmtId="164" fontId="3" fillId="2" borderId="57" xfId="0" applyNumberFormat="1" applyFont="1" applyFill="1" applyBorder="1" applyAlignment="1" applyProtection="1">
      <alignment vertical="center"/>
      <protection hidden="1"/>
    </xf>
    <xf numFmtId="164" fontId="3" fillId="2" borderId="79" xfId="0" applyNumberFormat="1" applyFont="1" applyFill="1" applyBorder="1" applyAlignment="1" applyProtection="1">
      <alignment vertical="center"/>
      <protection hidden="1"/>
    </xf>
    <xf numFmtId="164" fontId="3" fillId="2" borderId="64" xfId="0" applyNumberFormat="1" applyFont="1" applyFill="1" applyBorder="1" applyAlignment="1" applyProtection="1">
      <alignment vertical="center"/>
      <protection hidden="1"/>
    </xf>
    <xf numFmtId="9" fontId="3" fillId="2" borderId="57" xfId="0" applyNumberFormat="1" applyFont="1" applyFill="1" applyBorder="1" applyAlignment="1" applyProtection="1">
      <alignment vertical="center"/>
      <protection hidden="1"/>
    </xf>
    <xf numFmtId="0" fontId="3" fillId="2" borderId="79" xfId="0" applyFont="1" applyFill="1" applyBorder="1" applyAlignment="1" applyProtection="1">
      <alignment vertical="center"/>
      <protection hidden="1"/>
    </xf>
    <xf numFmtId="164" fontId="10" fillId="2" borderId="80" xfId="0" applyNumberFormat="1" applyFont="1" applyFill="1" applyBorder="1" applyAlignment="1" applyProtection="1">
      <alignment horizontal="center"/>
    </xf>
    <xf numFmtId="168" fontId="10" fillId="2" borderId="80" xfId="0" applyNumberFormat="1" applyFont="1" applyFill="1" applyBorder="1" applyAlignment="1" applyProtection="1">
      <alignment horizontal="center"/>
    </xf>
    <xf numFmtId="164" fontId="10" fillId="2" borderId="81" xfId="0" applyNumberFormat="1" applyFont="1" applyFill="1" applyBorder="1" applyAlignment="1" applyProtection="1">
      <alignment horizontal="center"/>
    </xf>
    <xf numFmtId="3" fontId="10" fillId="2" borderId="19" xfId="0" applyNumberFormat="1" applyFont="1" applyFill="1" applyBorder="1" applyAlignment="1" applyProtection="1"/>
    <xf numFmtId="3" fontId="10" fillId="2" borderId="82" xfId="0" applyNumberFormat="1" applyFont="1" applyFill="1" applyBorder="1" applyAlignment="1" applyProtection="1"/>
    <xf numFmtId="3" fontId="10" fillId="2" borderId="83" xfId="0" applyNumberFormat="1" applyFont="1" applyFill="1" applyBorder="1" applyAlignment="1" applyProtection="1"/>
    <xf numFmtId="0" fontId="10" fillId="2" borderId="84" xfId="0" applyFont="1" applyFill="1" applyBorder="1"/>
    <xf numFmtId="3" fontId="10" fillId="2" borderId="81" xfId="0" applyNumberFormat="1" applyFont="1" applyFill="1" applyBorder="1" applyAlignment="1" applyProtection="1"/>
    <xf numFmtId="0" fontId="0" fillId="2" borderId="20" xfId="0" applyFill="1" applyBorder="1" applyAlignment="1">
      <alignment horizontal="center" vertical="center"/>
    </xf>
    <xf numFmtId="164" fontId="10" fillId="3" borderId="52" xfId="0" applyNumberFormat="1" applyFont="1" applyFill="1" applyBorder="1" applyAlignment="1" applyProtection="1">
      <alignment horizontal="center"/>
    </xf>
    <xf numFmtId="164" fontId="10" fillId="3" borderId="53" xfId="0" applyNumberFormat="1" applyFont="1" applyFill="1" applyBorder="1" applyAlignment="1" applyProtection="1">
      <alignment horizontal="center"/>
    </xf>
    <xf numFmtId="167" fontId="10" fillId="3" borderId="85" xfId="0" applyNumberFormat="1" applyFont="1" applyFill="1" applyBorder="1" applyAlignment="1" applyProtection="1">
      <alignment horizontal="center"/>
    </xf>
    <xf numFmtId="3" fontId="10" fillId="3" borderId="55" xfId="0" applyNumberFormat="1" applyFont="1" applyFill="1" applyBorder="1" applyAlignment="1" applyProtection="1"/>
    <xf numFmtId="3" fontId="10" fillId="3" borderId="56" xfId="0" applyNumberFormat="1" applyFont="1" applyFill="1" applyBorder="1" applyAlignment="1" applyProtection="1"/>
    <xf numFmtId="3" fontId="10" fillId="3" borderId="54" xfId="0" applyNumberFormat="1" applyFont="1" applyFill="1" applyBorder="1" applyAlignment="1" applyProtection="1"/>
    <xf numFmtId="0" fontId="10" fillId="3" borderId="86" xfId="0" applyFont="1" applyFill="1" applyBorder="1"/>
    <xf numFmtId="3" fontId="10" fillId="3" borderId="53" xfId="0" applyNumberFormat="1" applyFont="1" applyFill="1" applyBorder="1" applyAlignment="1" applyProtection="1"/>
    <xf numFmtId="0" fontId="0" fillId="3" borderId="57" xfId="0" applyFill="1" applyBorder="1" applyAlignment="1">
      <alignment horizontal="center" vertical="center"/>
    </xf>
    <xf numFmtId="168" fontId="10" fillId="2" borderId="69" xfId="0" applyNumberFormat="1" applyFont="1" applyFill="1" applyBorder="1" applyAlignment="1" applyProtection="1">
      <alignment horizontal="center"/>
    </xf>
    <xf numFmtId="0" fontId="10" fillId="2" borderId="74" xfId="0" applyFont="1" applyFill="1" applyBorder="1"/>
    <xf numFmtId="0" fontId="10" fillId="2" borderId="63" xfId="0" applyFont="1" applyFill="1" applyBorder="1"/>
    <xf numFmtId="167" fontId="10" fillId="3" borderId="29" xfId="0" applyNumberFormat="1" applyFont="1" applyFill="1" applyBorder="1" applyAlignment="1" applyProtection="1">
      <alignment horizontal="center"/>
    </xf>
    <xf numFmtId="167" fontId="10" fillId="3" borderId="39" xfId="0" applyNumberFormat="1" applyFont="1" applyFill="1" applyBorder="1" applyAlignment="1" applyProtection="1">
      <alignment horizontal="center"/>
    </xf>
    <xf numFmtId="167" fontId="10" fillId="3" borderId="47" xfId="0" applyNumberFormat="1" applyFont="1" applyFill="1" applyBorder="1" applyAlignment="1" applyProtection="1">
      <alignment horizontal="center"/>
    </xf>
    <xf numFmtId="0" fontId="10" fillId="3" borderId="43" xfId="0" applyFont="1" applyFill="1" applyBorder="1"/>
    <xf numFmtId="0" fontId="16" fillId="0" borderId="0" xfId="0" applyFont="1" applyFill="1" applyBorder="1" applyAlignment="1"/>
    <xf numFmtId="0" fontId="0" fillId="3" borderId="87" xfId="0" applyFill="1" applyBorder="1" applyAlignment="1">
      <alignment horizontal="center" vertical="center"/>
    </xf>
    <xf numFmtId="164" fontId="10" fillId="4" borderId="58" xfId="0" applyNumberFormat="1" applyFont="1" applyFill="1" applyBorder="1" applyAlignment="1" applyProtection="1">
      <alignment horizontal="center"/>
    </xf>
    <xf numFmtId="164" fontId="10" fillId="4" borderId="59" xfId="0" applyNumberFormat="1" applyFont="1" applyFill="1" applyBorder="1" applyAlignment="1" applyProtection="1">
      <alignment horizontal="center"/>
    </xf>
    <xf numFmtId="167" fontId="10" fillId="4" borderId="77" xfId="0" applyNumberFormat="1" applyFont="1" applyFill="1" applyBorder="1" applyAlignment="1" applyProtection="1">
      <alignment horizontal="center"/>
    </xf>
    <xf numFmtId="3" fontId="10" fillId="4" borderId="61" xfId="0" applyNumberFormat="1" applyFont="1" applyFill="1" applyBorder="1" applyAlignment="1" applyProtection="1"/>
    <xf numFmtId="3" fontId="10" fillId="4" borderId="62" xfId="0" applyNumberFormat="1" applyFont="1" applyFill="1" applyBorder="1" applyAlignment="1" applyProtection="1"/>
    <xf numFmtId="3" fontId="10" fillId="4" borderId="60" xfId="0" applyNumberFormat="1" applyFont="1" applyFill="1" applyBorder="1" applyAlignment="1" applyProtection="1"/>
    <xf numFmtId="3" fontId="10" fillId="4" borderId="63" xfId="0" applyNumberFormat="1" applyFont="1" applyFill="1" applyBorder="1"/>
    <xf numFmtId="3" fontId="10" fillId="4" borderId="59" xfId="0" applyNumberFormat="1" applyFont="1" applyFill="1" applyBorder="1" applyAlignment="1" applyProtection="1"/>
    <xf numFmtId="0" fontId="0" fillId="4" borderId="64" xfId="0" applyFill="1" applyBorder="1"/>
    <xf numFmtId="164" fontId="3" fillId="4" borderId="65" xfId="0" applyNumberFormat="1" applyFont="1" applyFill="1" applyBorder="1" applyAlignment="1" applyProtection="1">
      <alignment vertical="center"/>
      <protection hidden="1"/>
    </xf>
    <xf numFmtId="164" fontId="3" fillId="4" borderId="66" xfId="0" applyNumberFormat="1" applyFont="1" applyFill="1" applyBorder="1" applyAlignment="1" applyProtection="1">
      <alignment vertical="center"/>
      <protection hidden="1"/>
    </xf>
    <xf numFmtId="164" fontId="3" fillId="4" borderId="67" xfId="0" applyNumberFormat="1" applyFont="1" applyFill="1" applyBorder="1" applyAlignment="1" applyProtection="1">
      <alignment vertical="center"/>
      <protection hidden="1"/>
    </xf>
    <xf numFmtId="164" fontId="3" fillId="4" borderId="68" xfId="0" applyNumberFormat="1" applyFont="1" applyFill="1" applyBorder="1" applyAlignment="1" applyProtection="1">
      <alignment vertical="center"/>
      <protection hidden="1"/>
    </xf>
    <xf numFmtId="9" fontId="3" fillId="4" borderId="66" xfId="0" applyNumberFormat="1" applyFont="1" applyFill="1" applyBorder="1" applyAlignment="1" applyProtection="1">
      <alignment vertical="center"/>
      <protection hidden="1"/>
    </xf>
    <xf numFmtId="0" fontId="3" fillId="4" borderId="67" xfId="0" applyFont="1" applyFill="1" applyBorder="1" applyAlignment="1" applyProtection="1">
      <alignment vertical="center"/>
      <protection hidden="1"/>
    </xf>
    <xf numFmtId="0" fontId="0" fillId="4" borderId="1" xfId="0" applyFill="1" applyBorder="1" applyAlignment="1">
      <alignment horizontal="center" vertical="center"/>
    </xf>
    <xf numFmtId="168" fontId="10" fillId="3" borderId="80" xfId="0" quotePrefix="1" applyNumberFormat="1" applyFont="1" applyFill="1" applyBorder="1" applyAlignment="1" applyProtection="1">
      <alignment horizontal="center"/>
    </xf>
    <xf numFmtId="167" fontId="10" fillId="4" borderId="72" xfId="0" applyNumberFormat="1" applyFont="1" applyFill="1" applyBorder="1" applyAlignment="1" applyProtection="1">
      <alignment horizontal="center"/>
    </xf>
    <xf numFmtId="167" fontId="10" fillId="4" borderId="51" xfId="0" applyNumberFormat="1" applyFont="1" applyFill="1" applyBorder="1" applyAlignment="1" applyProtection="1">
      <alignment horizontal="center"/>
    </xf>
    <xf numFmtId="167" fontId="10" fillId="3" borderId="54" xfId="0" applyNumberFormat="1" applyFont="1" applyFill="1" applyBorder="1" applyAlignment="1">
      <alignment horizontal="center" vertical="center"/>
    </xf>
    <xf numFmtId="167" fontId="10" fillId="3" borderId="29" xfId="0" applyNumberFormat="1" applyFont="1" applyFill="1" applyBorder="1" applyAlignment="1">
      <alignment horizontal="center" vertical="center"/>
    </xf>
    <xf numFmtId="167" fontId="10" fillId="3" borderId="39" xfId="0" applyNumberFormat="1" applyFont="1" applyFill="1" applyBorder="1" applyAlignment="1">
      <alignment horizontal="center" vertical="center"/>
    </xf>
    <xf numFmtId="167" fontId="10" fillId="3" borderId="47" xfId="0" applyNumberFormat="1" applyFont="1" applyFill="1" applyBorder="1" applyAlignment="1">
      <alignment horizontal="center" vertical="center"/>
    </xf>
    <xf numFmtId="164" fontId="10" fillId="2" borderId="39" xfId="0" applyNumberFormat="1" applyFont="1" applyFill="1" applyBorder="1" applyAlignment="1" applyProtection="1">
      <alignment horizontal="center" vertical="center"/>
    </xf>
    <xf numFmtId="164" fontId="10" fillId="2" borderId="59" xfId="0" quotePrefix="1" applyNumberFormat="1" applyFont="1" applyFill="1" applyBorder="1" applyAlignment="1" applyProtection="1">
      <alignment horizontal="center" vertical="center"/>
    </xf>
    <xf numFmtId="164" fontId="10" fillId="2" borderId="59" xfId="0" applyNumberFormat="1" applyFont="1" applyFill="1" applyBorder="1" applyAlignment="1" applyProtection="1">
      <alignment horizontal="center" vertical="center"/>
    </xf>
    <xf numFmtId="167" fontId="10" fillId="2" borderId="60" xfId="0" applyNumberFormat="1" applyFont="1" applyFill="1" applyBorder="1" applyAlignment="1" applyProtection="1">
      <alignment horizontal="center" vertical="center"/>
    </xf>
    <xf numFmtId="164" fontId="10" fillId="2" borderId="53" xfId="0" quotePrefix="1" applyNumberFormat="1" applyFont="1" applyFill="1" applyBorder="1" applyAlignment="1" applyProtection="1">
      <alignment horizontal="center" vertical="center"/>
    </xf>
    <xf numFmtId="164" fontId="10" fillId="2" borderId="53" xfId="0" applyNumberFormat="1" applyFont="1" applyFill="1" applyBorder="1" applyAlignment="1" applyProtection="1">
      <alignment horizontal="center" vertical="center"/>
    </xf>
    <xf numFmtId="164" fontId="10" fillId="2" borderId="81" xfId="0" quotePrefix="1" applyNumberFormat="1" applyFont="1" applyFill="1" applyBorder="1" applyAlignment="1" applyProtection="1">
      <alignment horizontal="center" vertical="center"/>
    </xf>
    <xf numFmtId="164" fontId="10" fillId="2" borderId="81" xfId="0" applyNumberFormat="1" applyFont="1" applyFill="1" applyBorder="1" applyAlignment="1" applyProtection="1">
      <alignment horizontal="center" vertical="center"/>
    </xf>
    <xf numFmtId="168" fontId="10" fillId="3" borderId="38" xfId="0" quotePrefix="1" applyNumberFormat="1" applyFont="1" applyFill="1" applyBorder="1" applyAlignment="1" applyProtection="1">
      <alignment horizontal="center" vertical="center"/>
    </xf>
    <xf numFmtId="164" fontId="10" fillId="3" borderId="29" xfId="0" applyNumberFormat="1" applyFont="1" applyFill="1" applyBorder="1" applyAlignment="1" applyProtection="1">
      <alignment horizontal="center" vertical="center"/>
    </xf>
    <xf numFmtId="164" fontId="10" fillId="3" borderId="39" xfId="0" applyNumberFormat="1" applyFont="1" applyFill="1" applyBorder="1" applyAlignment="1" applyProtection="1">
      <alignment horizontal="center" vertical="center"/>
    </xf>
    <xf numFmtId="164" fontId="10" fillId="3" borderId="47" xfId="0" applyNumberFormat="1" applyFont="1" applyFill="1" applyBorder="1" applyAlignment="1" applyProtection="1">
      <alignment horizontal="center" vertical="center"/>
    </xf>
    <xf numFmtId="167" fontId="10" fillId="5" borderId="54" xfId="0" applyNumberFormat="1" applyFont="1" applyFill="1" applyBorder="1" applyAlignment="1" applyProtection="1">
      <alignment horizontal="center" vertical="center"/>
    </xf>
    <xf numFmtId="167" fontId="10" fillId="5" borderId="85" xfId="0" applyNumberFormat="1" applyFont="1" applyFill="1" applyBorder="1" applyAlignment="1" applyProtection="1">
      <alignment horizontal="center"/>
    </xf>
    <xf numFmtId="167" fontId="10" fillId="5" borderId="83" xfId="0" applyNumberFormat="1" applyFont="1" applyFill="1" applyBorder="1" applyAlignment="1">
      <alignment horizontal="center" vertical="center"/>
    </xf>
    <xf numFmtId="167" fontId="10" fillId="5" borderId="88" xfId="0" applyNumberFormat="1" applyFont="1" applyFill="1" applyBorder="1" applyAlignment="1" applyProtection="1">
      <alignment horizontal="center"/>
    </xf>
    <xf numFmtId="164" fontId="10" fillId="4" borderId="51" xfId="0" applyNumberFormat="1" applyFont="1" applyFill="1" applyBorder="1" applyAlignment="1" applyProtection="1">
      <alignment horizontal="center"/>
    </xf>
    <xf numFmtId="164" fontId="10" fillId="4" borderId="72" xfId="0" applyNumberFormat="1" applyFont="1" applyFill="1" applyBorder="1" applyAlignment="1" applyProtection="1">
      <alignment horizontal="center"/>
    </xf>
    <xf numFmtId="0" fontId="10" fillId="0" borderId="89" xfId="0" applyFont="1" applyFill="1" applyBorder="1" applyAlignment="1">
      <alignment horizontal="center"/>
    </xf>
    <xf numFmtId="168" fontId="10" fillId="3" borderId="52" xfId="0" quotePrefix="1" applyNumberFormat="1" applyFont="1" applyFill="1" applyBorder="1" applyAlignment="1" applyProtection="1">
      <alignment horizontal="center"/>
    </xf>
    <xf numFmtId="168" fontId="10" fillId="3" borderId="52" xfId="0" quotePrefix="1" applyNumberFormat="1" applyFont="1" applyFill="1" applyBorder="1" applyAlignment="1" applyProtection="1">
      <alignment horizontal="center" vertical="center"/>
    </xf>
    <xf numFmtId="168" fontId="10" fillId="3" borderId="80" xfId="0" quotePrefix="1" applyNumberFormat="1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3" borderId="89" xfId="0" applyFont="1" applyFill="1" applyBorder="1" applyAlignment="1">
      <alignment horizontal="center" vertical="center"/>
    </xf>
    <xf numFmtId="167" fontId="10" fillId="2" borderId="83" xfId="0" applyNumberFormat="1" applyFont="1" applyFill="1" applyBorder="1" applyAlignment="1">
      <alignment horizontal="center" vertical="center"/>
    </xf>
    <xf numFmtId="167" fontId="10" fillId="2" borderId="71" xfId="0" applyNumberFormat="1" applyFont="1" applyFill="1" applyBorder="1" applyAlignment="1">
      <alignment horizontal="center" vertical="center"/>
    </xf>
    <xf numFmtId="167" fontId="10" fillId="2" borderId="40" xfId="0" applyNumberFormat="1" applyFont="1" applyFill="1" applyBorder="1" applyAlignment="1">
      <alignment horizontal="center" vertical="center"/>
    </xf>
    <xf numFmtId="167" fontId="10" fillId="2" borderId="60" xfId="0" applyNumberFormat="1" applyFont="1" applyFill="1" applyBorder="1" applyAlignment="1">
      <alignment horizontal="center" vertical="center"/>
    </xf>
    <xf numFmtId="164" fontId="10" fillId="4" borderId="39" xfId="0" applyNumberFormat="1" applyFont="1" applyFill="1" applyBorder="1" applyAlignment="1" applyProtection="1">
      <alignment horizontal="center"/>
    </xf>
    <xf numFmtId="0" fontId="0" fillId="0" borderId="45" xfId="0" applyFill="1" applyBorder="1"/>
    <xf numFmtId="0" fontId="3" fillId="0" borderId="45" xfId="0" applyFont="1" applyFill="1" applyBorder="1"/>
    <xf numFmtId="0" fontId="0" fillId="0" borderId="90" xfId="0" applyFill="1" applyBorder="1"/>
    <xf numFmtId="0" fontId="0" fillId="0" borderId="91" xfId="0" applyFill="1" applyBorder="1"/>
    <xf numFmtId="0" fontId="0" fillId="0" borderId="92" xfId="0" applyFill="1" applyBorder="1"/>
    <xf numFmtId="9" fontId="10" fillId="0" borderId="0" xfId="0" applyNumberFormat="1" applyFont="1" applyFill="1"/>
    <xf numFmtId="9" fontId="10" fillId="0" borderId="0" xfId="0" applyNumberFormat="1" applyFont="1" applyFill="1" applyBorder="1"/>
    <xf numFmtId="0" fontId="26" fillId="4" borderId="93" xfId="9" applyFont="1" applyFill="1" applyBorder="1" applyAlignment="1">
      <alignment horizontal="center"/>
    </xf>
    <xf numFmtId="0" fontId="0" fillId="3" borderId="91" xfId="0" applyFill="1" applyBorder="1" applyAlignment="1">
      <alignment horizontal="center" vertical="center"/>
    </xf>
    <xf numFmtId="0" fontId="0" fillId="2" borderId="91" xfId="0" applyFill="1" applyBorder="1" applyAlignment="1">
      <alignment horizontal="center" vertical="center"/>
    </xf>
    <xf numFmtId="0" fontId="10" fillId="0" borderId="91" xfId="0" applyFont="1" applyFill="1" applyBorder="1" applyAlignment="1">
      <alignment horizontal="center" vertical="center" wrapText="1"/>
    </xf>
    <xf numFmtId="164" fontId="10" fillId="6" borderId="59" xfId="0" applyNumberFormat="1" applyFont="1" applyFill="1" applyBorder="1" applyAlignment="1" applyProtection="1">
      <alignment horizontal="center"/>
    </xf>
    <xf numFmtId="164" fontId="10" fillId="4" borderId="29" xfId="0" applyNumberFormat="1" applyFont="1" applyFill="1" applyBorder="1" applyAlignment="1" applyProtection="1">
      <alignment horizontal="center"/>
    </xf>
    <xf numFmtId="167" fontId="10" fillId="4" borderId="54" xfId="0" applyNumberFormat="1" applyFont="1" applyFill="1" applyBorder="1" applyAlignment="1" applyProtection="1">
      <alignment horizontal="center" vertical="center"/>
    </xf>
    <xf numFmtId="167" fontId="10" fillId="4" borderId="85" xfId="0" applyNumberFormat="1" applyFont="1" applyFill="1" applyBorder="1" applyAlignment="1" applyProtection="1">
      <alignment horizontal="center"/>
    </xf>
    <xf numFmtId="167" fontId="10" fillId="4" borderId="40" xfId="0" applyNumberFormat="1" applyFont="1" applyFill="1" applyBorder="1" applyAlignment="1">
      <alignment horizontal="center" vertical="center"/>
    </xf>
    <xf numFmtId="0" fontId="25" fillId="4" borderId="0" xfId="0" applyFont="1" applyFill="1"/>
    <xf numFmtId="167" fontId="10" fillId="3" borderId="51" xfId="0" applyNumberFormat="1" applyFont="1" applyFill="1" applyBorder="1" applyAlignment="1" applyProtection="1">
      <alignment horizontal="center"/>
    </xf>
    <xf numFmtId="167" fontId="10" fillId="3" borderId="77" xfId="0" applyNumberFormat="1" applyFont="1" applyFill="1" applyBorder="1" applyAlignment="1" applyProtection="1">
      <alignment horizontal="center"/>
    </xf>
    <xf numFmtId="0" fontId="0" fillId="2" borderId="0" xfId="0" applyFill="1" applyBorder="1" applyAlignment="1">
      <alignment horizontal="center" vertical="center"/>
    </xf>
    <xf numFmtId="3" fontId="10" fillId="3" borderId="19" xfId="0" applyNumberFormat="1" applyFont="1" applyFill="1" applyBorder="1" applyAlignment="1" applyProtection="1"/>
    <xf numFmtId="3" fontId="10" fillId="3" borderId="82" xfId="0" applyNumberFormat="1" applyFont="1" applyFill="1" applyBorder="1" applyAlignment="1" applyProtection="1"/>
    <xf numFmtId="3" fontId="10" fillId="3" borderId="83" xfId="0" applyNumberFormat="1" applyFont="1" applyFill="1" applyBorder="1" applyAlignment="1" applyProtection="1"/>
    <xf numFmtId="3" fontId="10" fillId="3" borderId="81" xfId="0" applyNumberFormat="1" applyFont="1" applyFill="1" applyBorder="1" applyAlignment="1" applyProtection="1"/>
    <xf numFmtId="0" fontId="0" fillId="2" borderId="94" xfId="0" applyFill="1" applyBorder="1" applyAlignment="1">
      <alignment vertical="center"/>
    </xf>
    <xf numFmtId="0" fontId="0" fillId="2" borderId="95" xfId="0" applyFill="1" applyBorder="1" applyAlignment="1">
      <alignment vertical="center"/>
    </xf>
    <xf numFmtId="164" fontId="10" fillId="6" borderId="88" xfId="0" applyNumberFormat="1" applyFont="1" applyFill="1" applyBorder="1" applyAlignment="1" applyProtection="1">
      <alignment horizontal="center"/>
    </xf>
    <xf numFmtId="164" fontId="10" fillId="6" borderId="81" xfId="0" quotePrefix="1" applyNumberFormat="1" applyFont="1" applyFill="1" applyBorder="1" applyAlignment="1" applyProtection="1">
      <alignment horizontal="center"/>
    </xf>
    <xf numFmtId="168" fontId="10" fillId="6" borderId="80" xfId="0" quotePrefix="1" applyNumberFormat="1" applyFont="1" applyFill="1" applyBorder="1" applyAlignment="1" applyProtection="1">
      <alignment horizontal="center"/>
    </xf>
    <xf numFmtId="164" fontId="10" fillId="6" borderId="81" xfId="0" applyNumberFormat="1" applyFont="1" applyFill="1" applyBorder="1" applyAlignment="1" applyProtection="1">
      <alignment horizontal="center"/>
    </xf>
    <xf numFmtId="167" fontId="10" fillId="6" borderId="80" xfId="0" applyNumberFormat="1" applyFont="1" applyFill="1" applyBorder="1" applyAlignment="1">
      <alignment horizontal="center" vertical="center"/>
    </xf>
    <xf numFmtId="167" fontId="10" fillId="6" borderId="88" xfId="0" applyNumberFormat="1" applyFont="1" applyFill="1" applyBorder="1" applyAlignment="1" applyProtection="1">
      <alignment horizontal="center"/>
    </xf>
    <xf numFmtId="0" fontId="10" fillId="3" borderId="0" xfId="0" applyFont="1" applyFill="1" applyBorder="1"/>
    <xf numFmtId="0" fontId="26" fillId="4" borderId="96" xfId="9" applyFont="1" applyFill="1" applyBorder="1" applyAlignment="1">
      <alignment horizontal="center"/>
    </xf>
    <xf numFmtId="3" fontId="10" fillId="2" borderId="56" xfId="0" applyNumberFormat="1" applyFont="1" applyFill="1" applyBorder="1"/>
    <xf numFmtId="164" fontId="10" fillId="4" borderId="21" xfId="0" applyNumberFormat="1" applyFont="1" applyFill="1" applyBorder="1" applyAlignment="1" applyProtection="1">
      <alignment horizontal="center"/>
    </xf>
    <xf numFmtId="168" fontId="10" fillId="3" borderId="73" xfId="0" quotePrefix="1" applyNumberFormat="1" applyFont="1" applyFill="1" applyBorder="1" applyAlignment="1" applyProtection="1">
      <alignment horizontal="center"/>
    </xf>
    <xf numFmtId="164" fontId="10" fillId="3" borderId="73" xfId="0" applyNumberFormat="1" applyFont="1" applyFill="1" applyBorder="1" applyAlignment="1" applyProtection="1">
      <alignment horizontal="center"/>
    </xf>
    <xf numFmtId="167" fontId="10" fillId="7" borderId="73" xfId="0" applyNumberFormat="1" applyFont="1" applyFill="1" applyBorder="1" applyAlignment="1" applyProtection="1">
      <alignment horizontal="center"/>
    </xf>
    <xf numFmtId="3" fontId="10" fillId="3" borderId="73" xfId="0" applyNumberFormat="1" applyFont="1" applyFill="1" applyBorder="1" applyAlignment="1" applyProtection="1"/>
    <xf numFmtId="0" fontId="10" fillId="3" borderId="73" xfId="0" applyFont="1" applyFill="1" applyBorder="1"/>
    <xf numFmtId="3" fontId="10" fillId="3" borderId="72" xfId="0" applyNumberFormat="1" applyFont="1" applyFill="1" applyBorder="1" applyAlignment="1" applyProtection="1"/>
    <xf numFmtId="164" fontId="10" fillId="4" borderId="41" xfId="0" applyNumberFormat="1" applyFont="1" applyFill="1" applyBorder="1" applyAlignment="1" applyProtection="1">
      <alignment horizontal="center"/>
    </xf>
    <xf numFmtId="168" fontId="10" fillId="3" borderId="42" xfId="0" quotePrefix="1" applyNumberFormat="1" applyFont="1" applyFill="1" applyBorder="1" applyAlignment="1" applyProtection="1">
      <alignment horizontal="center"/>
    </xf>
    <xf numFmtId="164" fontId="10" fillId="3" borderId="42" xfId="0" applyNumberFormat="1" applyFont="1" applyFill="1" applyBorder="1" applyAlignment="1" applyProtection="1">
      <alignment horizontal="center"/>
    </xf>
    <xf numFmtId="167" fontId="10" fillId="7" borderId="42" xfId="0" applyNumberFormat="1" applyFont="1" applyFill="1" applyBorder="1" applyAlignment="1" applyProtection="1">
      <alignment horizontal="center"/>
    </xf>
    <xf numFmtId="0" fontId="10" fillId="3" borderId="42" xfId="0" applyFont="1" applyFill="1" applyBorder="1"/>
    <xf numFmtId="3" fontId="10" fillId="3" borderId="51" xfId="0" applyNumberFormat="1" applyFont="1" applyFill="1" applyBorder="1" applyAlignment="1" applyProtection="1"/>
    <xf numFmtId="167" fontId="10" fillId="4" borderId="42" xfId="0" applyNumberFormat="1" applyFont="1" applyFill="1" applyBorder="1" applyAlignment="1" applyProtection="1">
      <alignment horizontal="center"/>
    </xf>
    <xf numFmtId="164" fontId="10" fillId="6" borderId="42" xfId="0" quotePrefix="1" applyNumberFormat="1" applyFont="1" applyFill="1" applyBorder="1" applyAlignment="1" applyProtection="1">
      <alignment horizontal="center"/>
    </xf>
    <xf numFmtId="168" fontId="10" fillId="6" borderId="42" xfId="0" quotePrefix="1" applyNumberFormat="1" applyFont="1" applyFill="1" applyBorder="1" applyAlignment="1" applyProtection="1">
      <alignment horizontal="center"/>
    </xf>
    <xf numFmtId="164" fontId="10" fillId="6" borderId="42" xfId="0" applyNumberFormat="1" applyFont="1" applyFill="1" applyBorder="1" applyAlignment="1" applyProtection="1">
      <alignment horizontal="center"/>
    </xf>
    <xf numFmtId="167" fontId="10" fillId="4" borderId="42" xfId="0" applyNumberFormat="1" applyFont="1" applyFill="1" applyBorder="1" applyAlignment="1">
      <alignment horizontal="center" vertical="center"/>
    </xf>
    <xf numFmtId="164" fontId="10" fillId="2" borderId="41" xfId="0" applyNumberFormat="1" applyFont="1" applyFill="1" applyBorder="1" applyAlignment="1" applyProtection="1">
      <alignment horizontal="center"/>
    </xf>
    <xf numFmtId="167" fontId="10" fillId="6" borderId="42" xfId="0" applyNumberFormat="1" applyFont="1" applyFill="1" applyBorder="1" applyAlignment="1" applyProtection="1">
      <alignment horizontal="center"/>
    </xf>
    <xf numFmtId="3" fontId="10" fillId="2" borderId="51" xfId="0" applyNumberFormat="1" applyFont="1" applyFill="1" applyBorder="1" applyAlignment="1" applyProtection="1"/>
    <xf numFmtId="164" fontId="10" fillId="4" borderId="61" xfId="0" applyNumberFormat="1" applyFont="1" applyFill="1" applyBorder="1" applyAlignment="1" applyProtection="1">
      <alignment horizontal="center"/>
    </xf>
    <xf numFmtId="164" fontId="10" fillId="6" borderId="62" xfId="0" quotePrefix="1" applyNumberFormat="1" applyFont="1" applyFill="1" applyBorder="1" applyAlignment="1" applyProtection="1">
      <alignment horizontal="center"/>
    </xf>
    <xf numFmtId="168" fontId="10" fillId="6" borderId="62" xfId="0" quotePrefix="1" applyNumberFormat="1" applyFont="1" applyFill="1" applyBorder="1" applyAlignment="1" applyProtection="1">
      <alignment horizontal="center"/>
    </xf>
    <xf numFmtId="164" fontId="10" fillId="6" borderId="62" xfId="0" applyNumberFormat="1" applyFont="1" applyFill="1" applyBorder="1" applyAlignment="1" applyProtection="1">
      <alignment horizontal="center"/>
    </xf>
    <xf numFmtId="167" fontId="10" fillId="4" borderId="62" xfId="0" applyNumberFormat="1" applyFont="1" applyFill="1" applyBorder="1" applyAlignment="1">
      <alignment horizontal="center" vertical="center"/>
    </xf>
    <xf numFmtId="0" fontId="10" fillId="3" borderId="62" xfId="0" applyFont="1" applyFill="1" applyBorder="1"/>
    <xf numFmtId="3" fontId="10" fillId="3" borderId="77" xfId="0" applyNumberFormat="1" applyFont="1" applyFill="1" applyBorder="1" applyAlignment="1" applyProtection="1"/>
    <xf numFmtId="3" fontId="10" fillId="2" borderId="94" xfId="0" applyNumberFormat="1" applyFont="1" applyFill="1" applyBorder="1" applyAlignment="1" applyProtection="1"/>
    <xf numFmtId="3" fontId="10" fillId="2" borderId="17" xfId="0" applyNumberFormat="1" applyFont="1" applyFill="1" applyBorder="1" applyAlignment="1" applyProtection="1"/>
    <xf numFmtId="3" fontId="10" fillId="2" borderId="97" xfId="0" applyNumberFormat="1" applyFont="1" applyFill="1" applyBorder="1" applyAlignment="1" applyProtection="1"/>
    <xf numFmtId="3" fontId="10" fillId="2" borderId="91" xfId="0" applyNumberFormat="1" applyFont="1" applyFill="1" applyBorder="1" applyAlignment="1" applyProtection="1"/>
    <xf numFmtId="164" fontId="10" fillId="2" borderId="29" xfId="0" applyNumberFormat="1" applyFont="1" applyFill="1" applyBorder="1" applyAlignment="1" applyProtection="1">
      <alignment horizontal="center"/>
    </xf>
    <xf numFmtId="168" fontId="10" fillId="2" borderId="38" xfId="0" quotePrefix="1" applyNumberFormat="1" applyFont="1" applyFill="1" applyBorder="1" applyAlignment="1" applyProtection="1">
      <alignment horizontal="center" vertical="center"/>
    </xf>
    <xf numFmtId="168" fontId="10" fillId="2" borderId="52" xfId="0" quotePrefix="1" applyNumberFormat="1" applyFont="1" applyFill="1" applyBorder="1" applyAlignment="1" applyProtection="1">
      <alignment horizontal="center" vertical="center"/>
    </xf>
    <xf numFmtId="164" fontId="10" fillId="2" borderId="29" xfId="0" applyNumberFormat="1" applyFont="1" applyFill="1" applyBorder="1" applyAlignment="1" applyProtection="1">
      <alignment horizontal="center" vertical="center"/>
    </xf>
    <xf numFmtId="167" fontId="10" fillId="2" borderId="29" xfId="0" applyNumberFormat="1" applyFont="1" applyFill="1" applyBorder="1" applyAlignment="1">
      <alignment horizontal="center" vertical="center"/>
    </xf>
    <xf numFmtId="167" fontId="10" fillId="2" borderId="29" xfId="0" applyNumberFormat="1" applyFont="1" applyFill="1" applyBorder="1" applyAlignment="1" applyProtection="1">
      <alignment horizontal="center"/>
    </xf>
    <xf numFmtId="3" fontId="10" fillId="2" borderId="18" xfId="0" applyNumberFormat="1" applyFont="1" applyFill="1" applyBorder="1" applyAlignment="1" applyProtection="1"/>
    <xf numFmtId="3" fontId="10" fillId="2" borderId="32" xfId="0" applyNumberFormat="1" applyFont="1" applyFill="1" applyBorder="1" applyAlignment="1" applyProtection="1"/>
    <xf numFmtId="3" fontId="10" fillId="2" borderId="30" xfId="0" applyNumberFormat="1" applyFont="1" applyFill="1" applyBorder="1" applyAlignment="1" applyProtection="1"/>
    <xf numFmtId="3" fontId="10" fillId="2" borderId="33" xfId="0" applyNumberFormat="1" applyFont="1" applyFill="1" applyBorder="1"/>
    <xf numFmtId="3" fontId="10" fillId="2" borderId="29" xfId="0" applyNumberFormat="1" applyFont="1" applyFill="1" applyBorder="1" applyAlignment="1" applyProtection="1"/>
    <xf numFmtId="167" fontId="10" fillId="2" borderId="39" xfId="0" applyNumberFormat="1" applyFont="1" applyFill="1" applyBorder="1" applyAlignment="1">
      <alignment horizontal="center" vertical="center"/>
    </xf>
    <xf numFmtId="167" fontId="10" fillId="2" borderId="39" xfId="0" applyNumberFormat="1" applyFont="1" applyFill="1" applyBorder="1" applyAlignment="1" applyProtection="1">
      <alignment horizontal="center"/>
    </xf>
    <xf numFmtId="164" fontId="10" fillId="2" borderId="47" xfId="0" applyNumberFormat="1" applyFont="1" applyFill="1" applyBorder="1" applyAlignment="1" applyProtection="1">
      <alignment horizontal="center"/>
    </xf>
    <xf numFmtId="168" fontId="10" fillId="2" borderId="80" xfId="0" quotePrefix="1" applyNumberFormat="1" applyFont="1" applyFill="1" applyBorder="1" applyAlignment="1" applyProtection="1">
      <alignment horizontal="center" vertical="center"/>
    </xf>
    <xf numFmtId="164" fontId="10" fillId="2" borderId="47" xfId="0" applyNumberFormat="1" applyFont="1" applyFill="1" applyBorder="1" applyAlignment="1" applyProtection="1">
      <alignment horizontal="center" vertical="center"/>
    </xf>
    <xf numFmtId="167" fontId="10" fillId="2" borderId="47" xfId="0" applyNumberFormat="1" applyFont="1" applyFill="1" applyBorder="1" applyAlignment="1">
      <alignment horizontal="center" vertical="center"/>
    </xf>
    <xf numFmtId="167" fontId="10" fillId="2" borderId="47" xfId="0" applyNumberFormat="1" applyFont="1" applyFill="1" applyBorder="1" applyAlignment="1" applyProtection="1">
      <alignment horizontal="center"/>
    </xf>
    <xf numFmtId="3" fontId="10" fillId="2" borderId="22" xfId="0" applyNumberFormat="1" applyFont="1" applyFill="1" applyBorder="1" applyAlignment="1" applyProtection="1"/>
    <xf numFmtId="3" fontId="10" fillId="2" borderId="48" xfId="0" applyNumberFormat="1" applyFont="1" applyFill="1" applyBorder="1" applyAlignment="1" applyProtection="1"/>
    <xf numFmtId="3" fontId="10" fillId="2" borderId="49" xfId="0" applyNumberFormat="1" applyFont="1" applyFill="1" applyBorder="1" applyAlignment="1" applyProtection="1"/>
    <xf numFmtId="0" fontId="10" fillId="2" borderId="50" xfId="0" applyFont="1" applyFill="1" applyBorder="1"/>
    <xf numFmtId="3" fontId="10" fillId="2" borderId="47" xfId="0" applyNumberFormat="1" applyFont="1" applyFill="1" applyBorder="1" applyAlignment="1" applyProtection="1"/>
    <xf numFmtId="0" fontId="26" fillId="6" borderId="93" xfId="9" applyFont="1" applyFill="1" applyBorder="1" applyAlignment="1">
      <alignment horizontal="center"/>
    </xf>
    <xf numFmtId="168" fontId="10" fillId="6" borderId="38" xfId="0" quotePrefix="1" applyNumberFormat="1" applyFont="1" applyFill="1" applyBorder="1" applyAlignment="1" applyProtection="1">
      <alignment horizontal="center" vertical="center"/>
    </xf>
    <xf numFmtId="164" fontId="10" fillId="6" borderId="39" xfId="0" applyNumberFormat="1" applyFont="1" applyFill="1" applyBorder="1" applyAlignment="1" applyProtection="1">
      <alignment horizontal="center" vertical="center"/>
    </xf>
    <xf numFmtId="167" fontId="10" fillId="6" borderId="40" xfId="0" applyNumberFormat="1" applyFont="1" applyFill="1" applyBorder="1" applyAlignment="1" applyProtection="1">
      <alignment horizontal="center" vertical="center"/>
    </xf>
    <xf numFmtId="167" fontId="10" fillId="6" borderId="51" xfId="0" applyNumberFormat="1" applyFont="1" applyFill="1" applyBorder="1" applyAlignment="1" applyProtection="1">
      <alignment horizontal="center"/>
    </xf>
    <xf numFmtId="167" fontId="10" fillId="6" borderId="40" xfId="0" applyNumberFormat="1" applyFont="1" applyFill="1" applyBorder="1" applyAlignment="1">
      <alignment horizontal="center" vertical="center"/>
    </xf>
    <xf numFmtId="168" fontId="10" fillId="6" borderId="80" xfId="0" quotePrefix="1" applyNumberFormat="1" applyFont="1" applyFill="1" applyBorder="1" applyAlignment="1" applyProtection="1">
      <alignment horizontal="center" vertical="center"/>
    </xf>
    <xf numFmtId="164" fontId="10" fillId="6" borderId="59" xfId="0" applyNumberFormat="1" applyFont="1" applyFill="1" applyBorder="1" applyAlignment="1" applyProtection="1">
      <alignment horizontal="center" vertical="center"/>
    </xf>
    <xf numFmtId="167" fontId="10" fillId="6" borderId="77" xfId="0" applyNumberFormat="1" applyFont="1" applyFill="1" applyBorder="1" applyAlignment="1" applyProtection="1">
      <alignment horizontal="center"/>
    </xf>
    <xf numFmtId="0" fontId="26" fillId="6" borderId="98" xfId="9" applyFont="1" applyFill="1" applyBorder="1" applyAlignment="1">
      <alignment horizontal="center"/>
    </xf>
    <xf numFmtId="164" fontId="10" fillId="6" borderId="91" xfId="0" quotePrefix="1" applyNumberFormat="1" applyFont="1" applyFill="1" applyBorder="1" applyAlignment="1" applyProtection="1">
      <alignment horizontal="center" vertical="center"/>
    </xf>
    <xf numFmtId="164" fontId="10" fillId="6" borderId="91" xfId="0" applyNumberFormat="1" applyFont="1" applyFill="1" applyBorder="1" applyAlignment="1" applyProtection="1">
      <alignment horizontal="center" vertical="center"/>
    </xf>
    <xf numFmtId="167" fontId="10" fillId="6" borderId="97" xfId="0" applyNumberFormat="1" applyFont="1" applyFill="1" applyBorder="1" applyAlignment="1" applyProtection="1">
      <alignment horizontal="center" vertical="center"/>
    </xf>
    <xf numFmtId="167" fontId="10" fillId="6" borderId="99" xfId="0" applyNumberFormat="1" applyFont="1" applyFill="1" applyBorder="1" applyAlignment="1" applyProtection="1">
      <alignment horizontal="center"/>
    </xf>
    <xf numFmtId="0" fontId="10" fillId="2" borderId="17" xfId="0" applyFont="1" applyFill="1" applyBorder="1"/>
    <xf numFmtId="0" fontId="26" fillId="4" borderId="73" xfId="9" applyFont="1" applyFill="1" applyBorder="1" applyAlignment="1">
      <alignment horizontal="center"/>
    </xf>
    <xf numFmtId="164" fontId="10" fillId="2" borderId="73" xfId="0" quotePrefix="1" applyNumberFormat="1" applyFont="1" applyFill="1" applyBorder="1" applyAlignment="1" applyProtection="1">
      <alignment horizontal="center" vertical="center"/>
    </xf>
    <xf numFmtId="164" fontId="10" fillId="2" borderId="73" xfId="0" applyNumberFormat="1" applyFont="1" applyFill="1" applyBorder="1" applyAlignment="1" applyProtection="1">
      <alignment horizontal="center" vertical="center"/>
    </xf>
    <xf numFmtId="167" fontId="10" fillId="4" borderId="73" xfId="0" applyNumberFormat="1" applyFont="1" applyFill="1" applyBorder="1" applyAlignment="1">
      <alignment horizontal="center" vertical="center"/>
    </xf>
    <xf numFmtId="167" fontId="10" fillId="4" borderId="73" xfId="0" applyNumberFormat="1" applyFont="1" applyFill="1" applyBorder="1" applyAlignment="1" applyProtection="1">
      <alignment horizontal="center"/>
    </xf>
    <xf numFmtId="0" fontId="10" fillId="2" borderId="73" xfId="0" applyFont="1" applyFill="1" applyBorder="1"/>
    <xf numFmtId="3" fontId="10" fillId="2" borderId="72" xfId="0" applyNumberFormat="1" applyFont="1" applyFill="1" applyBorder="1" applyAlignment="1" applyProtection="1"/>
    <xf numFmtId="0" fontId="26" fillId="6" borderId="42" xfId="9" applyFont="1" applyFill="1" applyBorder="1" applyAlignment="1">
      <alignment horizontal="center"/>
    </xf>
    <xf numFmtId="164" fontId="10" fillId="6" borderId="42" xfId="0" quotePrefix="1" applyNumberFormat="1" applyFont="1" applyFill="1" applyBorder="1" applyAlignment="1" applyProtection="1">
      <alignment horizontal="center" vertical="center"/>
    </xf>
    <xf numFmtId="164" fontId="10" fillId="6" borderId="42" xfId="0" applyNumberFormat="1" applyFont="1" applyFill="1" applyBorder="1" applyAlignment="1" applyProtection="1">
      <alignment horizontal="center" vertical="center"/>
    </xf>
    <xf numFmtId="167" fontId="10" fillId="6" borderId="42" xfId="0" applyNumberFormat="1" applyFont="1" applyFill="1" applyBorder="1" applyAlignment="1">
      <alignment horizontal="center" vertical="center"/>
    </xf>
    <xf numFmtId="0" fontId="26" fillId="4" borderId="42" xfId="9" applyFont="1" applyFill="1" applyBorder="1" applyAlignment="1">
      <alignment horizontal="center"/>
    </xf>
    <xf numFmtId="168" fontId="10" fillId="3" borderId="42" xfId="0" quotePrefix="1" applyNumberFormat="1" applyFont="1" applyFill="1" applyBorder="1" applyAlignment="1" applyProtection="1">
      <alignment horizontal="center" vertical="center"/>
    </xf>
    <xf numFmtId="164" fontId="10" fillId="2" borderId="42" xfId="0" applyNumberFormat="1" applyFont="1" applyFill="1" applyBorder="1" applyAlignment="1" applyProtection="1">
      <alignment horizontal="center" vertical="center"/>
    </xf>
    <xf numFmtId="0" fontId="26" fillId="6" borderId="62" xfId="9" applyFont="1" applyFill="1" applyBorder="1" applyAlignment="1">
      <alignment horizontal="center"/>
    </xf>
    <xf numFmtId="168" fontId="10" fillId="6" borderId="62" xfId="0" quotePrefix="1" applyNumberFormat="1" applyFont="1" applyFill="1" applyBorder="1" applyAlignment="1" applyProtection="1">
      <alignment horizontal="center" vertical="center"/>
    </xf>
    <xf numFmtId="164" fontId="10" fillId="6" borderId="62" xfId="0" applyNumberFormat="1" applyFont="1" applyFill="1" applyBorder="1" applyAlignment="1" applyProtection="1">
      <alignment horizontal="center" vertical="center"/>
    </xf>
    <xf numFmtId="167" fontId="10" fillId="6" borderId="62" xfId="0" applyNumberFormat="1" applyFont="1" applyFill="1" applyBorder="1" applyAlignment="1">
      <alignment horizontal="center" vertical="center"/>
    </xf>
    <xf numFmtId="167" fontId="10" fillId="6" borderId="62" xfId="0" applyNumberFormat="1" applyFont="1" applyFill="1" applyBorder="1" applyAlignment="1" applyProtection="1">
      <alignment horizontal="center"/>
    </xf>
    <xf numFmtId="3" fontId="10" fillId="2" borderId="77" xfId="0" applyNumberFormat="1" applyFont="1" applyFill="1" applyBorder="1" applyAlignment="1" applyProtection="1"/>
    <xf numFmtId="0" fontId="26" fillId="4" borderId="98" xfId="9" applyFont="1" applyFill="1" applyBorder="1" applyAlignment="1">
      <alignment horizontal="center"/>
    </xf>
    <xf numFmtId="168" fontId="10" fillId="3" borderId="73" xfId="0" quotePrefix="1" applyNumberFormat="1" applyFont="1" applyFill="1" applyBorder="1" applyAlignment="1" applyProtection="1">
      <alignment horizontal="center" vertical="center"/>
    </xf>
    <xf numFmtId="167" fontId="10" fillId="5" borderId="73" xfId="0" applyNumberFormat="1" applyFont="1" applyFill="1" applyBorder="1" applyAlignment="1">
      <alignment horizontal="center" vertical="center"/>
    </xf>
    <xf numFmtId="167" fontId="10" fillId="5" borderId="73" xfId="0" applyNumberFormat="1" applyFont="1" applyFill="1" applyBorder="1" applyAlignment="1" applyProtection="1">
      <alignment horizontal="center"/>
    </xf>
    <xf numFmtId="0" fontId="26" fillId="2" borderId="42" xfId="9" applyFont="1" applyFill="1" applyBorder="1" applyAlignment="1">
      <alignment horizontal="center"/>
    </xf>
    <xf numFmtId="167" fontId="10" fillId="5" borderId="42" xfId="0" applyNumberFormat="1" applyFont="1" applyFill="1" applyBorder="1" applyAlignment="1" applyProtection="1">
      <alignment horizontal="center" vertical="center"/>
    </xf>
    <xf numFmtId="167" fontId="10" fillId="5" borderId="42" xfId="0" applyNumberFormat="1" applyFont="1" applyFill="1" applyBorder="1" applyAlignment="1" applyProtection="1">
      <alignment horizontal="center"/>
    </xf>
    <xf numFmtId="167" fontId="10" fillId="5" borderId="42" xfId="0" applyNumberFormat="1" applyFont="1" applyFill="1" applyBorder="1" applyAlignment="1">
      <alignment horizontal="center" vertical="center"/>
    </xf>
    <xf numFmtId="0" fontId="26" fillId="4" borderId="62" xfId="9" applyFont="1" applyFill="1" applyBorder="1" applyAlignment="1">
      <alignment horizontal="center"/>
    </xf>
    <xf numFmtId="168" fontId="10" fillId="3" borderId="62" xfId="0" quotePrefix="1" applyNumberFormat="1" applyFont="1" applyFill="1" applyBorder="1" applyAlignment="1" applyProtection="1">
      <alignment horizontal="center" vertical="center"/>
    </xf>
    <xf numFmtId="164" fontId="10" fillId="2" borderId="62" xfId="0" applyNumberFormat="1" applyFont="1" applyFill="1" applyBorder="1" applyAlignment="1" applyProtection="1">
      <alignment horizontal="center" vertical="center"/>
    </xf>
    <xf numFmtId="167" fontId="10" fillId="5" borderId="62" xfId="0" applyNumberFormat="1" applyFont="1" applyFill="1" applyBorder="1" applyAlignment="1" applyProtection="1">
      <alignment horizontal="center"/>
    </xf>
    <xf numFmtId="164" fontId="10" fillId="2" borderId="65" xfId="0" applyNumberFormat="1" applyFont="1" applyFill="1" applyBorder="1" applyAlignment="1" applyProtection="1">
      <alignment horizontal="center"/>
    </xf>
    <xf numFmtId="164" fontId="10" fillId="2" borderId="68" xfId="0" applyNumberFormat="1" applyFont="1" applyFill="1" applyBorder="1" applyAlignment="1" applyProtection="1">
      <alignment horizontal="center"/>
    </xf>
    <xf numFmtId="164" fontId="10" fillId="2" borderId="67" xfId="0" applyNumberFormat="1" applyFont="1" applyFill="1" applyBorder="1" applyAlignment="1" applyProtection="1">
      <alignment horizontal="center"/>
    </xf>
    <xf numFmtId="1" fontId="0" fillId="0" borderId="0" xfId="0" applyNumberFormat="1" applyFill="1" applyBorder="1"/>
    <xf numFmtId="3" fontId="10" fillId="2" borderId="100" xfId="0" applyNumberFormat="1" applyFont="1" applyFill="1" applyBorder="1" applyAlignment="1" applyProtection="1"/>
    <xf numFmtId="3" fontId="10" fillId="2" borderId="101" xfId="0" applyNumberFormat="1" applyFont="1" applyFill="1" applyBorder="1" applyAlignment="1" applyProtection="1"/>
    <xf numFmtId="164" fontId="10" fillId="2" borderId="39" xfId="0" quotePrefix="1" applyNumberFormat="1" applyFont="1" applyFill="1" applyBorder="1" applyAlignment="1" applyProtection="1">
      <alignment horizontal="center" vertical="center"/>
    </xf>
    <xf numFmtId="164" fontId="10" fillId="2" borderId="44" xfId="0" applyNumberFormat="1" applyFont="1" applyFill="1" applyBorder="1" applyAlignment="1" applyProtection="1">
      <alignment horizontal="center"/>
    </xf>
    <xf numFmtId="3" fontId="10" fillId="8" borderId="42" xfId="0" applyNumberFormat="1" applyFont="1" applyFill="1" applyBorder="1" applyAlignment="1" applyProtection="1"/>
    <xf numFmtId="167" fontId="10" fillId="5" borderId="102" xfId="0" applyNumberFormat="1" applyFont="1" applyFill="1" applyBorder="1" applyAlignment="1" applyProtection="1">
      <alignment horizontal="center"/>
    </xf>
    <xf numFmtId="167" fontId="10" fillId="5" borderId="51" xfId="0" applyNumberFormat="1" applyFont="1" applyFill="1" applyBorder="1" applyAlignment="1" applyProtection="1">
      <alignment horizontal="center"/>
    </xf>
    <xf numFmtId="0" fontId="0" fillId="3" borderId="43" xfId="0" applyFill="1" applyBorder="1"/>
    <xf numFmtId="164" fontId="3" fillId="2" borderId="38" xfId="0" applyNumberFormat="1" applyFont="1" applyFill="1" applyBorder="1" applyAlignment="1" applyProtection="1">
      <alignment vertical="center"/>
      <protection hidden="1"/>
    </xf>
    <xf numFmtId="164" fontId="3" fillId="2" borderId="42" xfId="0" applyNumberFormat="1" applyFont="1" applyFill="1" applyBorder="1" applyAlignment="1" applyProtection="1">
      <alignment vertical="center"/>
      <protection hidden="1"/>
    </xf>
    <xf numFmtId="164" fontId="3" fillId="2" borderId="101" xfId="0" applyNumberFormat="1" applyFont="1" applyFill="1" applyBorder="1" applyAlignment="1" applyProtection="1">
      <alignment vertical="center"/>
      <protection hidden="1"/>
    </xf>
    <xf numFmtId="164" fontId="3" fillId="2" borderId="43" xfId="0" applyNumberFormat="1" applyFont="1" applyFill="1" applyBorder="1" applyAlignment="1" applyProtection="1">
      <alignment vertical="center"/>
      <protection hidden="1"/>
    </xf>
    <xf numFmtId="9" fontId="3" fillId="2" borderId="42" xfId="0" applyNumberFormat="1" applyFont="1" applyFill="1" applyBorder="1" applyAlignment="1" applyProtection="1">
      <alignment vertical="center"/>
      <protection hidden="1"/>
    </xf>
    <xf numFmtId="0" fontId="3" fillId="2" borderId="101" xfId="0" applyFont="1" applyFill="1" applyBorder="1" applyAlignment="1" applyProtection="1">
      <alignment vertical="center"/>
      <protection hidden="1"/>
    </xf>
    <xf numFmtId="0" fontId="0" fillId="2" borderId="42" xfId="0" applyFill="1" applyBorder="1" applyAlignment="1">
      <alignment horizontal="center" vertical="center"/>
    </xf>
    <xf numFmtId="0" fontId="0" fillId="2" borderId="43" xfId="0" applyFill="1" applyBorder="1"/>
    <xf numFmtId="164" fontId="10" fillId="9" borderId="39" xfId="0" applyNumberFormat="1" applyFont="1" applyFill="1" applyBorder="1" applyAlignment="1" applyProtection="1">
      <alignment horizontal="center" vertical="center"/>
    </xf>
    <xf numFmtId="3" fontId="10" fillId="9" borderId="40" xfId="0" applyNumberFormat="1" applyFont="1" applyFill="1" applyBorder="1" applyAlignment="1" applyProtection="1"/>
    <xf numFmtId="3" fontId="10" fillId="9" borderId="41" xfId="0" applyNumberFormat="1" applyFont="1" applyFill="1" applyBorder="1" applyAlignment="1" applyProtection="1"/>
    <xf numFmtId="3" fontId="10" fillId="9" borderId="51" xfId="0" applyNumberFormat="1" applyFont="1" applyFill="1" applyBorder="1" applyAlignment="1" applyProtection="1"/>
    <xf numFmtId="3" fontId="10" fillId="9" borderId="100" xfId="0" applyNumberFormat="1" applyFont="1" applyFill="1" applyBorder="1" applyAlignment="1" applyProtection="1"/>
    <xf numFmtId="3" fontId="10" fillId="9" borderId="42" xfId="0" applyNumberFormat="1" applyFont="1" applyFill="1" applyBorder="1"/>
    <xf numFmtId="3" fontId="10" fillId="9" borderId="101" xfId="0" applyNumberFormat="1" applyFont="1" applyFill="1" applyBorder="1" applyAlignment="1" applyProtection="1"/>
    <xf numFmtId="0" fontId="10" fillId="9" borderId="42" xfId="0" applyFont="1" applyFill="1" applyBorder="1"/>
    <xf numFmtId="3" fontId="10" fillId="8" borderId="40" xfId="0" applyNumberFormat="1" applyFont="1" applyFill="1" applyBorder="1" applyAlignment="1" applyProtection="1"/>
    <xf numFmtId="3" fontId="10" fillId="8" borderId="41" xfId="0" applyNumberFormat="1" applyFont="1" applyFill="1" applyBorder="1" applyAlignment="1" applyProtection="1"/>
    <xf numFmtId="0" fontId="10" fillId="8" borderId="43" xfId="0" applyFont="1" applyFill="1" applyBorder="1"/>
    <xf numFmtId="1" fontId="10" fillId="0" borderId="0" xfId="0" applyNumberFormat="1" applyFont="1" applyFill="1" applyBorder="1" applyAlignment="1">
      <alignment horizontal="left"/>
    </xf>
    <xf numFmtId="1" fontId="10" fillId="0" borderId="0" xfId="0" applyNumberFormat="1" applyFont="1" applyFill="1" applyBorder="1" applyProtection="1"/>
    <xf numFmtId="1" fontId="13" fillId="0" borderId="0" xfId="0" applyNumberFormat="1" applyFont="1" applyFill="1" applyBorder="1" applyAlignment="1" applyProtection="1">
      <alignment horizontal="right"/>
    </xf>
    <xf numFmtId="164" fontId="10" fillId="0" borderId="67" xfId="0" applyNumberFormat="1" applyFont="1" applyFill="1" applyBorder="1" applyAlignment="1" applyProtection="1">
      <alignment horizontal="center" vertical="center" wrapText="1"/>
    </xf>
    <xf numFmtId="164" fontId="10" fillId="2" borderId="25" xfId="0" applyNumberFormat="1" applyFont="1" applyFill="1" applyBorder="1" applyAlignment="1" applyProtection="1">
      <alignment horizontal="center"/>
    </xf>
    <xf numFmtId="164" fontId="10" fillId="2" borderId="24" xfId="0" applyNumberFormat="1" applyFont="1" applyFill="1" applyBorder="1" applyAlignment="1" applyProtection="1">
      <alignment horizontal="center"/>
    </xf>
    <xf numFmtId="3" fontId="10" fillId="8" borderId="100" xfId="0" applyNumberFormat="1" applyFont="1" applyFill="1" applyBorder="1" applyAlignment="1" applyProtection="1"/>
    <xf numFmtId="3" fontId="10" fillId="8" borderId="42" xfId="0" applyNumberFormat="1" applyFont="1" applyFill="1" applyBorder="1"/>
    <xf numFmtId="3" fontId="10" fillId="8" borderId="51" xfId="0" applyNumberFormat="1" applyFont="1" applyFill="1" applyBorder="1" applyAlignment="1" applyProtection="1"/>
    <xf numFmtId="0" fontId="10" fillId="8" borderId="42" xfId="0" applyFont="1" applyFill="1" applyBorder="1"/>
    <xf numFmtId="164" fontId="10" fillId="2" borderId="47" xfId="0" quotePrefix="1" applyNumberFormat="1" applyFont="1" applyFill="1" applyBorder="1" applyAlignment="1" applyProtection="1">
      <alignment horizontal="center" vertical="center"/>
    </xf>
    <xf numFmtId="3" fontId="10" fillId="8" borderId="22" xfId="0" applyNumberFormat="1" applyFont="1" applyFill="1" applyBorder="1" applyAlignment="1" applyProtection="1"/>
    <xf numFmtId="3" fontId="10" fillId="8" borderId="48" xfId="0" applyNumberFormat="1" applyFont="1" applyFill="1" applyBorder="1" applyAlignment="1" applyProtection="1"/>
    <xf numFmtId="3" fontId="10" fillId="8" borderId="102" xfId="0" applyNumberFormat="1" applyFont="1" applyFill="1" applyBorder="1" applyAlignment="1" applyProtection="1"/>
    <xf numFmtId="3" fontId="10" fillId="8" borderId="103" xfId="0" applyNumberFormat="1" applyFont="1" applyFill="1" applyBorder="1" applyAlignment="1" applyProtection="1"/>
    <xf numFmtId="3" fontId="10" fillId="8" borderId="49" xfId="0" applyNumberFormat="1" applyFont="1" applyFill="1" applyBorder="1" applyAlignment="1" applyProtection="1"/>
    <xf numFmtId="0" fontId="10" fillId="8" borderId="50" xfId="0" applyFont="1" applyFill="1" applyBorder="1"/>
    <xf numFmtId="3" fontId="10" fillId="2" borderId="104" xfId="0" applyNumberFormat="1" applyFont="1" applyFill="1" applyBorder="1" applyAlignment="1" applyProtection="1"/>
    <xf numFmtId="164" fontId="10" fillId="2" borderId="38" xfId="0" quotePrefix="1" applyNumberFormat="1" applyFont="1" applyFill="1" applyBorder="1" applyAlignment="1" applyProtection="1">
      <alignment horizontal="center" vertical="center"/>
    </xf>
    <xf numFmtId="164" fontId="10" fillId="2" borderId="46" xfId="0" quotePrefix="1" applyNumberFormat="1" applyFont="1" applyFill="1" applyBorder="1" applyAlignment="1" applyProtection="1">
      <alignment horizontal="center" vertical="center"/>
    </xf>
    <xf numFmtId="164" fontId="10" fillId="6" borderId="100" xfId="0" applyNumberFormat="1" applyFont="1" applyFill="1" applyBorder="1" applyAlignment="1" applyProtection="1">
      <alignment horizontal="center"/>
    </xf>
    <xf numFmtId="164" fontId="10" fillId="6" borderId="103" xfId="0" applyNumberFormat="1" applyFont="1" applyFill="1" applyBorder="1" applyAlignment="1" applyProtection="1">
      <alignment horizontal="center"/>
    </xf>
    <xf numFmtId="164" fontId="10" fillId="9" borderId="39" xfId="0" applyNumberFormat="1" applyFont="1" applyFill="1" applyBorder="1" applyAlignment="1" applyProtection="1">
      <alignment horizontal="center"/>
    </xf>
    <xf numFmtId="164" fontId="10" fillId="9" borderId="41" xfId="0" applyNumberFormat="1" applyFont="1" applyFill="1" applyBorder="1" applyAlignment="1" applyProtection="1">
      <alignment horizontal="center"/>
    </xf>
    <xf numFmtId="3" fontId="10" fillId="9" borderId="105" xfId="0" applyNumberFormat="1" applyFont="1" applyFill="1" applyBorder="1" applyAlignment="1" applyProtection="1"/>
    <xf numFmtId="3" fontId="10" fillId="9" borderId="30" xfId="0" applyNumberFormat="1" applyFont="1" applyFill="1" applyBorder="1" applyAlignment="1" applyProtection="1"/>
    <xf numFmtId="3" fontId="10" fillId="9" borderId="18" xfId="0" applyNumberFormat="1" applyFont="1" applyFill="1" applyBorder="1" applyAlignment="1" applyProtection="1"/>
    <xf numFmtId="3" fontId="10" fillId="9" borderId="31" xfId="0" applyNumberFormat="1" applyFont="1" applyFill="1" applyBorder="1" applyAlignment="1" applyProtection="1"/>
    <xf numFmtId="3" fontId="10" fillId="9" borderId="32" xfId="0" applyNumberFormat="1" applyFont="1" applyFill="1" applyBorder="1"/>
    <xf numFmtId="3" fontId="10" fillId="9" borderId="106" xfId="0" applyNumberFormat="1" applyFont="1" applyFill="1" applyBorder="1" applyAlignment="1" applyProtection="1"/>
    <xf numFmtId="164" fontId="10" fillId="10" borderId="41" xfId="0" applyNumberFormat="1" applyFont="1" applyFill="1" applyBorder="1" applyAlignment="1" applyProtection="1">
      <alignment horizontal="center"/>
    </xf>
    <xf numFmtId="3" fontId="10" fillId="8" borderId="56" xfId="0" applyNumberFormat="1" applyFont="1" applyFill="1" applyBorder="1" applyAlignment="1" applyProtection="1"/>
    <xf numFmtId="164" fontId="10" fillId="2" borderId="43" xfId="0" applyNumberFormat="1" applyFont="1" applyFill="1" applyBorder="1" applyAlignment="1" applyProtection="1">
      <alignment horizontal="center" vertical="center"/>
    </xf>
    <xf numFmtId="0" fontId="26" fillId="4" borderId="56" xfId="9" applyFont="1" applyFill="1" applyBorder="1" applyAlignment="1">
      <alignment horizontal="center"/>
    </xf>
    <xf numFmtId="164" fontId="10" fillId="6" borderId="107" xfId="0" applyNumberFormat="1" applyFont="1" applyFill="1" applyBorder="1" applyAlignment="1" applyProtection="1">
      <alignment horizontal="center"/>
    </xf>
    <xf numFmtId="3" fontId="10" fillId="8" borderId="55" xfId="0" applyNumberFormat="1" applyFont="1" applyFill="1" applyBorder="1" applyAlignment="1" applyProtection="1"/>
    <xf numFmtId="3" fontId="10" fillId="8" borderId="54" xfId="0" applyNumberFormat="1" applyFont="1" applyFill="1" applyBorder="1" applyAlignment="1" applyProtection="1"/>
    <xf numFmtId="3" fontId="10" fillId="8" borderId="56" xfId="0" applyNumberFormat="1" applyFont="1" applyFill="1" applyBorder="1"/>
    <xf numFmtId="3" fontId="10" fillId="8" borderId="85" xfId="0" applyNumberFormat="1" applyFont="1" applyFill="1" applyBorder="1" applyAlignment="1" applyProtection="1"/>
    <xf numFmtId="0" fontId="26" fillId="4" borderId="12" xfId="9" applyFont="1" applyFill="1" applyBorder="1" applyAlignment="1">
      <alignment horizontal="center"/>
    </xf>
    <xf numFmtId="168" fontId="10" fillId="2" borderId="27" xfId="0" quotePrefix="1" applyNumberFormat="1" applyFont="1" applyFill="1" applyBorder="1" applyAlignment="1" applyProtection="1">
      <alignment horizontal="center"/>
    </xf>
    <xf numFmtId="164" fontId="10" fillId="9" borderId="92" xfId="0" applyNumberFormat="1" applyFont="1" applyFill="1" applyBorder="1" applyAlignment="1" applyProtection="1">
      <alignment horizontal="center" vertical="center"/>
    </xf>
    <xf numFmtId="164" fontId="10" fillId="9" borderId="108" xfId="0" applyNumberFormat="1" applyFont="1" applyFill="1" applyBorder="1" applyAlignment="1" applyProtection="1">
      <alignment horizontal="center"/>
    </xf>
    <xf numFmtId="0" fontId="26" fillId="10" borderId="56" xfId="9" applyFont="1" applyFill="1" applyBorder="1" applyAlignment="1">
      <alignment horizontal="center"/>
    </xf>
    <xf numFmtId="0" fontId="26" fillId="10" borderId="42" xfId="9" applyFont="1" applyFill="1" applyBorder="1" applyAlignment="1">
      <alignment horizontal="center"/>
    </xf>
    <xf numFmtId="3" fontId="10" fillId="2" borderId="50" xfId="0" applyNumberFormat="1" applyFont="1" applyFill="1" applyBorder="1"/>
    <xf numFmtId="0" fontId="10" fillId="8" borderId="84" xfId="0" applyFont="1" applyFill="1" applyBorder="1"/>
    <xf numFmtId="3" fontId="10" fillId="8" borderId="88" xfId="0" applyNumberFormat="1" applyFont="1" applyFill="1" applyBorder="1" applyAlignment="1" applyProtection="1"/>
    <xf numFmtId="3" fontId="10" fillId="8" borderId="109" xfId="0" applyNumberFormat="1" applyFont="1" applyFill="1" applyBorder="1" applyAlignment="1" applyProtection="1"/>
    <xf numFmtId="3" fontId="10" fillId="8" borderId="83" xfId="0" applyNumberFormat="1" applyFont="1" applyFill="1" applyBorder="1" applyAlignment="1" applyProtection="1"/>
    <xf numFmtId="3" fontId="10" fillId="8" borderId="19" xfId="0" applyNumberFormat="1" applyFont="1" applyFill="1" applyBorder="1" applyAlignment="1" applyProtection="1"/>
    <xf numFmtId="3" fontId="10" fillId="2" borderId="110" xfId="0" applyNumberFormat="1" applyFont="1" applyFill="1" applyBorder="1" applyAlignment="1" applyProtection="1"/>
    <xf numFmtId="3" fontId="10" fillId="8" borderId="18" xfId="0" applyNumberFormat="1" applyFont="1" applyFill="1" applyBorder="1" applyAlignment="1" applyProtection="1"/>
    <xf numFmtId="1" fontId="16" fillId="0" borderId="0" xfId="0" applyNumberFormat="1" applyFont="1" applyFill="1" applyBorder="1" applyAlignment="1"/>
    <xf numFmtId="164" fontId="10" fillId="8" borderId="28" xfId="0" quotePrefix="1" applyNumberFormat="1" applyFont="1" applyFill="1" applyBorder="1" applyAlignment="1" applyProtection="1">
      <alignment horizontal="center" vertical="center"/>
    </xf>
    <xf numFmtId="164" fontId="10" fillId="2" borderId="80" xfId="0" quotePrefix="1" applyNumberFormat="1" applyFont="1" applyFill="1" applyBorder="1" applyAlignment="1" applyProtection="1">
      <alignment horizontal="center" vertical="center"/>
    </xf>
    <xf numFmtId="164" fontId="10" fillId="6" borderId="109" xfId="0" applyNumberFormat="1" applyFont="1" applyFill="1" applyBorder="1" applyAlignment="1" applyProtection="1">
      <alignment horizontal="center"/>
    </xf>
    <xf numFmtId="3" fontId="10" fillId="8" borderId="82" xfId="0" applyNumberFormat="1" applyFont="1" applyFill="1" applyBorder="1" applyAlignment="1" applyProtection="1"/>
    <xf numFmtId="164" fontId="10" fillId="8" borderId="38" xfId="0" quotePrefix="1" applyNumberFormat="1" applyFont="1" applyFill="1" applyBorder="1" applyAlignment="1" applyProtection="1">
      <alignment horizontal="center" vertical="center"/>
    </xf>
    <xf numFmtId="164" fontId="10" fillId="8" borderId="80" xfId="0" quotePrefix="1" applyNumberFormat="1" applyFont="1" applyFill="1" applyBorder="1" applyAlignment="1" applyProtection="1">
      <alignment horizontal="center" vertical="center"/>
    </xf>
    <xf numFmtId="3" fontId="10" fillId="2" borderId="38" xfId="0" applyNumberFormat="1" applyFont="1" applyFill="1" applyBorder="1" applyAlignment="1" applyProtection="1"/>
    <xf numFmtId="3" fontId="10" fillId="2" borderId="46" xfId="0" applyNumberFormat="1" applyFont="1" applyFill="1" applyBorder="1" applyAlignment="1" applyProtection="1"/>
    <xf numFmtId="1" fontId="9" fillId="0" borderId="111" xfId="0" applyNumberFormat="1" applyFont="1" applyFill="1" applyBorder="1" applyAlignment="1" applyProtection="1"/>
    <xf numFmtId="0" fontId="0" fillId="3" borderId="84" xfId="0" applyFill="1" applyBorder="1"/>
    <xf numFmtId="164" fontId="3" fillId="2" borderId="80" xfId="0" applyNumberFormat="1" applyFont="1" applyFill="1" applyBorder="1" applyAlignment="1" applyProtection="1">
      <alignment vertical="center"/>
      <protection hidden="1"/>
    </xf>
    <xf numFmtId="164" fontId="3" fillId="2" borderId="82" xfId="0" applyNumberFormat="1" applyFont="1" applyFill="1" applyBorder="1" applyAlignment="1" applyProtection="1">
      <alignment vertical="center"/>
      <protection hidden="1"/>
    </xf>
    <xf numFmtId="164" fontId="3" fillId="2" borderId="110" xfId="0" applyNumberFormat="1" applyFont="1" applyFill="1" applyBorder="1" applyAlignment="1" applyProtection="1">
      <alignment vertical="center"/>
      <protection hidden="1"/>
    </xf>
    <xf numFmtId="164" fontId="3" fillId="2" borderId="84" xfId="0" applyNumberFormat="1" applyFont="1" applyFill="1" applyBorder="1" applyAlignment="1" applyProtection="1">
      <alignment vertical="center"/>
      <protection hidden="1"/>
    </xf>
    <xf numFmtId="9" fontId="3" fillId="2" borderId="82" xfId="0" applyNumberFormat="1" applyFont="1" applyFill="1" applyBorder="1" applyAlignment="1" applyProtection="1">
      <alignment vertical="center"/>
      <protection hidden="1"/>
    </xf>
    <xf numFmtId="0" fontId="3" fillId="2" borderId="110" xfId="0" applyFont="1" applyFill="1" applyBorder="1" applyAlignment="1" applyProtection="1">
      <alignment vertical="center"/>
      <protection hidden="1"/>
    </xf>
    <xf numFmtId="0" fontId="0" fillId="2" borderId="82" xfId="0" applyFill="1" applyBorder="1" applyAlignment="1">
      <alignment horizontal="center" vertical="center"/>
    </xf>
    <xf numFmtId="0" fontId="0" fillId="2" borderId="84" xfId="0" applyFill="1" applyBorder="1"/>
    <xf numFmtId="0" fontId="28" fillId="10" borderId="56" xfId="9" applyFont="1" applyFill="1" applyBorder="1" applyAlignment="1">
      <alignment horizontal="center"/>
    </xf>
    <xf numFmtId="0" fontId="0" fillId="2" borderId="17" xfId="0" applyFill="1" applyBorder="1" applyAlignment="1">
      <alignment horizontal="center" vertical="center"/>
    </xf>
    <xf numFmtId="1" fontId="9" fillId="0" borderId="95" xfId="0" applyNumberFormat="1" applyFont="1" applyFill="1" applyBorder="1" applyAlignment="1" applyProtection="1"/>
    <xf numFmtId="1" fontId="1" fillId="0" borderId="95" xfId="0" applyNumberFormat="1" applyFont="1" applyFill="1" applyBorder="1" applyAlignment="1" applyProtection="1"/>
    <xf numFmtId="1" fontId="1" fillId="0" borderId="12" xfId="0" applyNumberFormat="1" applyFont="1" applyFill="1" applyBorder="1" applyAlignment="1" applyProtection="1"/>
    <xf numFmtId="1" fontId="1" fillId="0" borderId="13" xfId="0" applyNumberFormat="1" applyFont="1" applyFill="1" applyBorder="1" applyAlignment="1" applyProtection="1"/>
    <xf numFmtId="3" fontId="1" fillId="0" borderId="95" xfId="0" applyNumberFormat="1" applyFont="1" applyFill="1" applyBorder="1" applyAlignment="1" applyProtection="1"/>
    <xf numFmtId="0" fontId="0" fillId="0" borderId="57" xfId="0" applyFill="1" applyBorder="1" applyAlignment="1">
      <alignment horizontal="center" vertical="center"/>
    </xf>
    <xf numFmtId="0" fontId="0" fillId="3" borderId="33" xfId="0" applyFill="1" applyBorder="1"/>
    <xf numFmtId="164" fontId="3" fillId="2" borderId="28" xfId="0" applyNumberFormat="1" applyFont="1" applyFill="1" applyBorder="1" applyAlignment="1" applyProtection="1">
      <alignment vertical="center"/>
      <protection hidden="1"/>
    </xf>
    <xf numFmtId="164" fontId="3" fillId="2" borderId="32" xfId="0" applyNumberFormat="1" applyFont="1" applyFill="1" applyBorder="1" applyAlignment="1" applyProtection="1">
      <alignment vertical="center"/>
      <protection hidden="1"/>
    </xf>
    <xf numFmtId="164" fontId="3" fillId="2" borderId="106" xfId="0" applyNumberFormat="1" applyFont="1" applyFill="1" applyBorder="1" applyAlignment="1" applyProtection="1">
      <alignment vertical="center"/>
      <protection hidden="1"/>
    </xf>
    <xf numFmtId="164" fontId="3" fillId="2" borderId="33" xfId="0" applyNumberFormat="1" applyFont="1" applyFill="1" applyBorder="1" applyAlignment="1" applyProtection="1">
      <alignment vertical="center"/>
      <protection hidden="1"/>
    </xf>
    <xf numFmtId="9" fontId="3" fillId="2" borderId="32" xfId="0" applyNumberFormat="1" applyFont="1" applyFill="1" applyBorder="1" applyAlignment="1" applyProtection="1">
      <alignment vertical="center"/>
      <protection hidden="1"/>
    </xf>
    <xf numFmtId="0" fontId="3" fillId="2" borderId="106" xfId="0" applyFont="1" applyFill="1" applyBorder="1" applyAlignment="1" applyProtection="1">
      <alignment vertical="center"/>
      <protection hidden="1"/>
    </xf>
    <xf numFmtId="164" fontId="10" fillId="2" borderId="28" xfId="0" applyNumberFormat="1" applyFont="1" applyFill="1" applyBorder="1" applyAlignment="1" applyProtection="1">
      <alignment horizont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/>
    <xf numFmtId="0" fontId="0" fillId="3" borderId="50" xfId="0" applyFill="1" applyBorder="1"/>
    <xf numFmtId="164" fontId="3" fillId="2" borderId="46" xfId="0" applyNumberFormat="1" applyFont="1" applyFill="1" applyBorder="1" applyAlignment="1" applyProtection="1">
      <alignment vertical="center"/>
      <protection hidden="1"/>
    </xf>
    <xf numFmtId="164" fontId="3" fillId="2" borderId="48" xfId="0" applyNumberFormat="1" applyFont="1" applyFill="1" applyBorder="1" applyAlignment="1" applyProtection="1">
      <alignment vertical="center"/>
      <protection hidden="1"/>
    </xf>
    <xf numFmtId="164" fontId="3" fillId="2" borderId="104" xfId="0" applyNumberFormat="1" applyFont="1" applyFill="1" applyBorder="1" applyAlignment="1" applyProtection="1">
      <alignment vertical="center"/>
      <protection hidden="1"/>
    </xf>
    <xf numFmtId="164" fontId="3" fillId="2" borderId="50" xfId="0" applyNumberFormat="1" applyFont="1" applyFill="1" applyBorder="1" applyAlignment="1" applyProtection="1">
      <alignment vertical="center"/>
      <protection hidden="1"/>
    </xf>
    <xf numFmtId="9" fontId="3" fillId="2" borderId="48" xfId="0" applyNumberFormat="1" applyFont="1" applyFill="1" applyBorder="1" applyAlignment="1" applyProtection="1">
      <alignment vertical="center"/>
      <protection hidden="1"/>
    </xf>
    <xf numFmtId="0" fontId="3" fillId="2" borderId="104" xfId="0" applyFont="1" applyFill="1" applyBorder="1" applyAlignment="1" applyProtection="1">
      <alignment vertical="center"/>
      <protection hidden="1"/>
    </xf>
    <xf numFmtId="164" fontId="10" fillId="2" borderId="46" xfId="0" applyNumberFormat="1" applyFont="1" applyFill="1" applyBorder="1" applyAlignment="1" applyProtection="1">
      <alignment horizontal="center"/>
    </xf>
    <xf numFmtId="0" fontId="0" fillId="2" borderId="48" xfId="0" applyFill="1" applyBorder="1" applyAlignment="1">
      <alignment horizontal="center" vertical="center"/>
    </xf>
    <xf numFmtId="0" fontId="0" fillId="2" borderId="50" xfId="0" applyFill="1" applyBorder="1"/>
    <xf numFmtId="0" fontId="28" fillId="10" borderId="42" xfId="9" applyFont="1" applyFill="1" applyBorder="1" applyAlignment="1">
      <alignment horizontal="center"/>
    </xf>
    <xf numFmtId="0" fontId="28" fillId="10" borderId="48" xfId="9" applyFont="1" applyFill="1" applyBorder="1" applyAlignment="1">
      <alignment horizontal="center"/>
    </xf>
    <xf numFmtId="0" fontId="10" fillId="0" borderId="3" xfId="0" applyFont="1" applyFill="1" applyBorder="1" applyAlignment="1" applyProtection="1">
      <alignment horizontal="left" vertical="center"/>
      <protection hidden="1"/>
    </xf>
    <xf numFmtId="0" fontId="10" fillId="0" borderId="89" xfId="0" applyFont="1" applyFill="1" applyBorder="1" applyAlignment="1" applyProtection="1">
      <alignment horizontal="center" vertical="center"/>
      <protection hidden="1"/>
    </xf>
    <xf numFmtId="0" fontId="10" fillId="0" borderId="4" xfId="0" applyFont="1" applyFill="1" applyBorder="1" applyAlignment="1" applyProtection="1">
      <alignment horizontal="center" vertical="center"/>
      <protection hidden="1"/>
    </xf>
    <xf numFmtId="0" fontId="9" fillId="11" borderId="97" xfId="0" applyFont="1" applyFill="1" applyBorder="1" applyAlignment="1" applyProtection="1">
      <alignment horizontal="center" vertical="center"/>
      <protection hidden="1"/>
    </xf>
    <xf numFmtId="0" fontId="9" fillId="11" borderId="0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Border="1" applyAlignment="1" applyProtection="1">
      <alignment vertical="center"/>
      <protection hidden="1"/>
    </xf>
    <xf numFmtId="0" fontId="14" fillId="0" borderId="3" xfId="0" applyFont="1" applyFill="1" applyBorder="1" applyAlignment="1" applyProtection="1">
      <alignment horizontal="left" vertical="center"/>
      <protection hidden="1"/>
    </xf>
    <xf numFmtId="1" fontId="10" fillId="0" borderId="0" xfId="0" applyNumberFormat="1" applyFont="1" applyFill="1" applyBorder="1" applyAlignment="1" applyProtection="1">
      <alignment vertical="center"/>
      <protection hidden="1"/>
    </xf>
    <xf numFmtId="1" fontId="10" fillId="0" borderId="0" xfId="0" applyNumberFormat="1" applyFont="1" applyFill="1" applyBorder="1" applyAlignment="1" applyProtection="1">
      <alignment horizontal="center" vertical="center"/>
      <protection hidden="1"/>
    </xf>
    <xf numFmtId="15" fontId="10" fillId="0" borderId="0" xfId="0" applyNumberFormat="1" applyFont="1" applyFill="1" applyAlignment="1" applyProtection="1">
      <alignment horizontal="center" vertical="center"/>
      <protection hidden="1"/>
    </xf>
    <xf numFmtId="0" fontId="10" fillId="11" borderId="0" xfId="0" applyFont="1" applyFill="1" applyBorder="1" applyAlignment="1" applyProtection="1">
      <alignment horizontal="center" vertical="center"/>
      <protection hidden="1"/>
    </xf>
    <xf numFmtId="0" fontId="3" fillId="11" borderId="112" xfId="0" applyFont="1" applyFill="1" applyBorder="1" applyAlignment="1" applyProtection="1">
      <alignment vertical="center"/>
      <protection hidden="1"/>
    </xf>
    <xf numFmtId="0" fontId="3" fillId="11" borderId="113" xfId="0" applyFont="1" applyFill="1" applyBorder="1" applyAlignment="1" applyProtection="1">
      <alignment vertical="center"/>
      <protection hidden="1"/>
    </xf>
    <xf numFmtId="41" fontId="10" fillId="0" borderId="57" xfId="0" applyNumberFormat="1" applyFont="1" applyFill="1" applyBorder="1" applyAlignment="1" applyProtection="1">
      <alignment vertical="center"/>
      <protection hidden="1"/>
    </xf>
    <xf numFmtId="41" fontId="10" fillId="0" borderId="17" xfId="0" applyNumberFormat="1" applyFont="1" applyFill="1" applyBorder="1" applyAlignment="1" applyProtection="1">
      <alignment vertical="center"/>
      <protection hidden="1"/>
    </xf>
    <xf numFmtId="41" fontId="10" fillId="0" borderId="0" xfId="0" applyNumberFormat="1" applyFont="1" applyFill="1" applyBorder="1" applyAlignment="1" applyProtection="1">
      <alignment vertical="center"/>
      <protection hidden="1"/>
    </xf>
    <xf numFmtId="41" fontId="3" fillId="0" borderId="0" xfId="0" applyNumberFormat="1" applyFont="1" applyFill="1" applyBorder="1" applyAlignment="1" applyProtection="1">
      <alignment vertical="center"/>
      <protection hidden="1"/>
    </xf>
    <xf numFmtId="41" fontId="10" fillId="0" borderId="42" xfId="0" applyNumberFormat="1" applyFont="1" applyFill="1" applyBorder="1" applyAlignment="1" applyProtection="1">
      <alignment vertical="center"/>
      <protection hidden="1"/>
    </xf>
    <xf numFmtId="41" fontId="10" fillId="0" borderId="42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82" xfId="0" applyNumberFormat="1" applyFont="1" applyFill="1" applyBorder="1" applyAlignment="1" applyProtection="1">
      <alignment vertical="center"/>
      <protection hidden="1"/>
    </xf>
    <xf numFmtId="41" fontId="10" fillId="0" borderId="82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88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62" xfId="0" applyNumberFormat="1" applyFont="1" applyFill="1" applyBorder="1" applyAlignment="1" applyProtection="1">
      <alignment vertical="center"/>
      <protection hidden="1"/>
    </xf>
    <xf numFmtId="41" fontId="10" fillId="0" borderId="56" xfId="0" applyNumberFormat="1" applyFont="1" applyFill="1" applyBorder="1" applyAlignment="1" applyProtection="1">
      <alignment vertical="center"/>
      <protection hidden="1"/>
    </xf>
    <xf numFmtId="41" fontId="10" fillId="0" borderId="56" xfId="0" quotePrefix="1" applyNumberFormat="1" applyFont="1" applyFill="1" applyBorder="1" applyAlignment="1" applyProtection="1">
      <alignment horizontal="center" vertical="center"/>
      <protection hidden="1"/>
    </xf>
    <xf numFmtId="41" fontId="3" fillId="0" borderId="15" xfId="0" applyNumberFormat="1" applyFont="1" applyFill="1" applyBorder="1" applyAlignment="1" applyProtection="1">
      <alignment vertical="center"/>
      <protection hidden="1"/>
    </xf>
    <xf numFmtId="41" fontId="10" fillId="0" borderId="40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83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60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54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85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51" xfId="0" applyNumberFormat="1" applyFont="1" applyFill="1" applyBorder="1" applyAlignment="1" applyProtection="1">
      <alignment vertical="center"/>
      <protection hidden="1"/>
    </xf>
    <xf numFmtId="41" fontId="10" fillId="0" borderId="38" xfId="0" applyNumberFormat="1" applyFont="1" applyFill="1" applyBorder="1" applyAlignment="1" applyProtection="1">
      <alignment vertical="center"/>
      <protection hidden="1"/>
    </xf>
    <xf numFmtId="41" fontId="10" fillId="0" borderId="43" xfId="0" applyNumberFormat="1" applyFont="1" applyFill="1" applyBorder="1" applyAlignment="1" applyProtection="1">
      <alignment vertical="center"/>
      <protection hidden="1"/>
    </xf>
    <xf numFmtId="41" fontId="10" fillId="0" borderId="58" xfId="0" applyNumberFormat="1" applyFont="1" applyFill="1" applyBorder="1" applyAlignment="1" applyProtection="1">
      <alignment vertical="center"/>
      <protection hidden="1"/>
    </xf>
    <xf numFmtId="41" fontId="10" fillId="0" borderId="80" xfId="0" applyNumberFormat="1" applyFont="1" applyFill="1" applyBorder="1" applyAlignment="1" applyProtection="1">
      <alignment vertical="center"/>
      <protection hidden="1"/>
    </xf>
    <xf numFmtId="41" fontId="10" fillId="0" borderId="52" xfId="0" applyNumberFormat="1" applyFont="1" applyFill="1" applyBorder="1" applyAlignment="1" applyProtection="1">
      <alignment vertical="center"/>
      <protection hidden="1"/>
    </xf>
    <xf numFmtId="41" fontId="10" fillId="0" borderId="63" xfId="0" applyNumberFormat="1" applyFont="1" applyFill="1" applyBorder="1" applyAlignment="1" applyProtection="1">
      <alignment vertical="center"/>
      <protection hidden="1"/>
    </xf>
    <xf numFmtId="0" fontId="3" fillId="8" borderId="0" xfId="0" applyFont="1" applyFill="1" applyBorder="1" applyAlignment="1" applyProtection="1">
      <alignment vertical="center"/>
      <protection hidden="1"/>
    </xf>
    <xf numFmtId="41" fontId="3" fillId="8" borderId="0" xfId="0" applyNumberFormat="1" applyFont="1" applyFill="1" applyBorder="1" applyAlignment="1" applyProtection="1">
      <alignment vertical="center"/>
      <protection hidden="1"/>
    </xf>
    <xf numFmtId="0" fontId="0" fillId="8" borderId="0" xfId="0" applyFill="1" applyBorder="1"/>
    <xf numFmtId="3" fontId="10" fillId="9" borderId="85" xfId="0" applyNumberFormat="1" applyFont="1" applyFill="1" applyBorder="1" applyAlignment="1" applyProtection="1"/>
    <xf numFmtId="3" fontId="10" fillId="3" borderId="86" xfId="0" applyNumberFormat="1" applyFont="1" applyFill="1" applyBorder="1"/>
    <xf numFmtId="164" fontId="10" fillId="12" borderId="41" xfId="0" applyNumberFormat="1" applyFont="1" applyFill="1" applyBorder="1" applyAlignment="1" applyProtection="1">
      <alignment horizontal="center"/>
    </xf>
    <xf numFmtId="168" fontId="10" fillId="8" borderId="38" xfId="0" quotePrefix="1" applyNumberFormat="1" applyFont="1" applyFill="1" applyBorder="1" applyAlignment="1" applyProtection="1">
      <alignment horizontal="center"/>
    </xf>
    <xf numFmtId="164" fontId="10" fillId="8" borderId="39" xfId="0" applyNumberFormat="1" applyFont="1" applyFill="1" applyBorder="1" applyAlignment="1" applyProtection="1">
      <alignment horizontal="center"/>
    </xf>
    <xf numFmtId="167" fontId="10" fillId="8" borderId="42" xfId="0" applyNumberFormat="1" applyFont="1" applyFill="1" applyBorder="1" applyAlignment="1" applyProtection="1">
      <alignment horizontal="center"/>
    </xf>
    <xf numFmtId="3" fontId="10" fillId="8" borderId="43" xfId="0" applyNumberFormat="1" applyFont="1" applyFill="1" applyBorder="1"/>
    <xf numFmtId="3" fontId="10" fillId="8" borderId="39" xfId="0" applyNumberFormat="1" applyFont="1" applyFill="1" applyBorder="1" applyAlignment="1" applyProtection="1"/>
    <xf numFmtId="0" fontId="0" fillId="8" borderId="84" xfId="0" applyFill="1" applyBorder="1"/>
    <xf numFmtId="164" fontId="3" fillId="8" borderId="80" xfId="0" applyNumberFormat="1" applyFont="1" applyFill="1" applyBorder="1" applyAlignment="1" applyProtection="1">
      <alignment vertical="center"/>
      <protection hidden="1"/>
    </xf>
    <xf numFmtId="164" fontId="3" fillId="8" borderId="82" xfId="0" applyNumberFormat="1" applyFont="1" applyFill="1" applyBorder="1" applyAlignment="1" applyProtection="1">
      <alignment vertical="center"/>
      <protection hidden="1"/>
    </xf>
    <xf numFmtId="164" fontId="3" fillId="8" borderId="110" xfId="0" applyNumberFormat="1" applyFont="1" applyFill="1" applyBorder="1" applyAlignment="1" applyProtection="1">
      <alignment vertical="center"/>
      <protection hidden="1"/>
    </xf>
    <xf numFmtId="164" fontId="3" fillId="8" borderId="84" xfId="0" applyNumberFormat="1" applyFont="1" applyFill="1" applyBorder="1" applyAlignment="1" applyProtection="1">
      <alignment vertical="center"/>
      <protection hidden="1"/>
    </xf>
    <xf numFmtId="9" fontId="3" fillId="8" borderId="82" xfId="0" applyNumberFormat="1" applyFont="1" applyFill="1" applyBorder="1" applyAlignment="1" applyProtection="1">
      <alignment vertical="center"/>
      <protection hidden="1"/>
    </xf>
    <xf numFmtId="0" fontId="3" fillId="8" borderId="110" xfId="0" applyFont="1" applyFill="1" applyBorder="1" applyAlignment="1" applyProtection="1">
      <alignment vertical="center"/>
      <protection hidden="1"/>
    </xf>
    <xf numFmtId="3" fontId="0" fillId="8" borderId="84" xfId="0" applyNumberFormat="1" applyFill="1" applyBorder="1"/>
    <xf numFmtId="0" fontId="0" fillId="8" borderId="62" xfId="0" applyFill="1" applyBorder="1" applyAlignment="1">
      <alignment horizontal="center" vertical="center"/>
    </xf>
    <xf numFmtId="41" fontId="10" fillId="0" borderId="84" xfId="0" applyNumberFormat="1" applyFont="1" applyFill="1" applyBorder="1" applyAlignment="1" applyProtection="1">
      <alignment vertical="center"/>
      <protection hidden="1"/>
    </xf>
    <xf numFmtId="41" fontId="3" fillId="0" borderId="84" xfId="0" applyNumberFormat="1" applyFont="1" applyFill="1" applyBorder="1" applyAlignment="1" applyProtection="1">
      <alignment vertical="center"/>
      <protection hidden="1"/>
    </xf>
    <xf numFmtId="3" fontId="10" fillId="8" borderId="82" xfId="0" applyNumberFormat="1" applyFont="1" applyFill="1" applyBorder="1"/>
    <xf numFmtId="164" fontId="9" fillId="12" borderId="41" xfId="0" applyNumberFormat="1" applyFont="1" applyFill="1" applyBorder="1" applyAlignment="1" applyProtection="1">
      <alignment horizontal="center"/>
    </xf>
    <xf numFmtId="41" fontId="10" fillId="0" borderId="17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51" xfId="0" quotePrefix="1" applyNumberFormat="1" applyFont="1" applyFill="1" applyBorder="1" applyAlignment="1" applyProtection="1">
      <alignment horizontal="center" vertical="center"/>
      <protection hidden="1"/>
    </xf>
    <xf numFmtId="168" fontId="10" fillId="2" borderId="84" xfId="0" quotePrefix="1" applyNumberFormat="1" applyFont="1" applyFill="1" applyBorder="1" applyAlignment="1" applyProtection="1">
      <alignment horizontal="center" vertical="center"/>
    </xf>
    <xf numFmtId="2" fontId="13" fillId="0" borderId="0" xfId="0" applyNumberFormat="1" applyFont="1" applyFill="1"/>
    <xf numFmtId="2" fontId="13" fillId="0" borderId="0" xfId="0" applyNumberFormat="1" applyFont="1" applyFill="1" applyBorder="1" applyAlignment="1">
      <alignment horizontal="center" vertical="center"/>
    </xf>
    <xf numFmtId="2" fontId="10" fillId="0" borderId="0" xfId="0" applyNumberFormat="1" applyFont="1" applyFill="1"/>
    <xf numFmtId="167" fontId="10" fillId="0" borderId="0" xfId="0" applyNumberFormat="1" applyFont="1" applyFill="1" applyBorder="1" applyAlignment="1">
      <alignment horizontal="center" vertical="center"/>
    </xf>
    <xf numFmtId="171" fontId="10" fillId="0" borderId="0" xfId="0" applyNumberFormat="1" applyFont="1" applyFill="1"/>
    <xf numFmtId="164" fontId="0" fillId="0" borderId="0" xfId="0" applyNumberFormat="1"/>
    <xf numFmtId="15" fontId="10" fillId="0" borderId="0" xfId="0" applyNumberFormat="1" applyFont="1" applyFill="1" applyBorder="1"/>
    <xf numFmtId="0" fontId="10" fillId="0" borderId="42" xfId="0" applyNumberFormat="1" applyFont="1" applyFill="1" applyBorder="1" applyAlignment="1" applyProtection="1">
      <alignment vertical="center"/>
      <protection hidden="1"/>
    </xf>
    <xf numFmtId="12" fontId="10" fillId="0" borderId="42" xfId="0" applyNumberFormat="1" applyFont="1" applyFill="1" applyBorder="1" applyAlignment="1" applyProtection="1">
      <alignment vertical="center"/>
      <protection hidden="1"/>
    </xf>
    <xf numFmtId="168" fontId="10" fillId="8" borderId="39" xfId="0" quotePrefix="1" applyNumberFormat="1" applyFont="1" applyFill="1" applyBorder="1" applyAlignment="1" applyProtection="1">
      <alignment horizontal="center"/>
    </xf>
    <xf numFmtId="168" fontId="10" fillId="8" borderId="41" xfId="0" quotePrefix="1" applyNumberFormat="1" applyFont="1" applyFill="1" applyBorder="1" applyAlignment="1" applyProtection="1">
      <alignment horizontal="center"/>
    </xf>
    <xf numFmtId="1" fontId="0" fillId="8" borderId="1" xfId="0" applyNumberFormat="1" applyFill="1" applyBorder="1" applyAlignment="1">
      <alignment horizontal="center" vertical="center"/>
    </xf>
    <xf numFmtId="168" fontId="10" fillId="8" borderId="50" xfId="0" quotePrefix="1" applyNumberFormat="1" applyFont="1" applyFill="1" applyBorder="1" applyAlignment="1" applyProtection="1">
      <alignment horizontal="center" vertical="center"/>
    </xf>
    <xf numFmtId="0" fontId="9" fillId="0" borderId="0" xfId="0" applyFont="1"/>
    <xf numFmtId="3" fontId="10" fillId="8" borderId="17" xfId="0" applyNumberFormat="1" applyFont="1" applyFill="1" applyBorder="1"/>
    <xf numFmtId="3" fontId="10" fillId="2" borderId="115" xfId="0" applyNumberFormat="1" applyFont="1" applyFill="1" applyBorder="1" applyAlignment="1" applyProtection="1"/>
    <xf numFmtId="3" fontId="10" fillId="2" borderId="116" xfId="0" applyNumberFormat="1" applyFont="1" applyFill="1" applyBorder="1" applyAlignment="1" applyProtection="1"/>
    <xf numFmtId="3" fontId="10" fillId="8" borderId="116" xfId="0" applyNumberFormat="1" applyFont="1" applyFill="1" applyBorder="1" applyAlignment="1" applyProtection="1"/>
    <xf numFmtId="3" fontId="10" fillId="8" borderId="115" xfId="0" applyNumberFormat="1" applyFont="1" applyFill="1" applyBorder="1" applyAlignment="1" applyProtection="1"/>
    <xf numFmtId="0" fontId="0" fillId="9" borderId="95" xfId="0" applyFill="1" applyBorder="1" applyAlignment="1">
      <alignment vertical="center"/>
    </xf>
    <xf numFmtId="3" fontId="10" fillId="8" borderId="84" xfId="0" applyNumberFormat="1" applyFont="1" applyFill="1" applyBorder="1"/>
    <xf numFmtId="3" fontId="10" fillId="8" borderId="81" xfId="0" applyNumberFormat="1" applyFont="1" applyFill="1" applyBorder="1" applyAlignment="1" applyProtection="1"/>
    <xf numFmtId="0" fontId="26" fillId="4" borderId="38" xfId="9" applyFont="1" applyFill="1" applyBorder="1" applyAlignment="1">
      <alignment horizontal="center"/>
    </xf>
    <xf numFmtId="164" fontId="10" fillId="2" borderId="101" xfId="0" quotePrefix="1" applyNumberFormat="1" applyFont="1" applyFill="1" applyBorder="1" applyAlignment="1" applyProtection="1">
      <alignment horizontal="center" vertical="center"/>
    </xf>
    <xf numFmtId="164" fontId="9" fillId="13" borderId="41" xfId="0" applyNumberFormat="1" applyFont="1" applyFill="1" applyBorder="1" applyAlignment="1" applyProtection="1">
      <alignment horizontal="center"/>
    </xf>
    <xf numFmtId="0" fontId="26" fillId="13" borderId="42" xfId="9" applyFont="1" applyFill="1" applyBorder="1" applyAlignment="1">
      <alignment horizontal="center"/>
    </xf>
    <xf numFmtId="0" fontId="26" fillId="13" borderId="82" xfId="9" applyFont="1" applyFill="1" applyBorder="1" applyAlignment="1">
      <alignment horizontal="center"/>
    </xf>
    <xf numFmtId="0" fontId="28" fillId="13" borderId="82" xfId="9" applyFont="1" applyFill="1" applyBorder="1" applyAlignment="1">
      <alignment horizontal="center"/>
    </xf>
    <xf numFmtId="164" fontId="9" fillId="13" borderId="38" xfId="0" applyNumberFormat="1" applyFont="1" applyFill="1" applyBorder="1" applyAlignment="1" applyProtection="1">
      <alignment horizontal="center"/>
    </xf>
    <xf numFmtId="0" fontId="26" fillId="13" borderId="38" xfId="9" applyFont="1" applyFill="1" applyBorder="1" applyAlignment="1">
      <alignment horizontal="center"/>
    </xf>
    <xf numFmtId="164" fontId="9" fillId="13" borderId="55" xfId="0" applyNumberFormat="1" applyFont="1" applyFill="1" applyBorder="1" applyAlignment="1" applyProtection="1">
      <alignment horizontal="center"/>
    </xf>
    <xf numFmtId="168" fontId="10" fillId="8" borderId="52" xfId="0" quotePrefix="1" applyNumberFormat="1" applyFont="1" applyFill="1" applyBorder="1" applyAlignment="1" applyProtection="1">
      <alignment horizontal="center"/>
    </xf>
    <xf numFmtId="164" fontId="10" fillId="8" borderId="53" xfId="0" applyNumberFormat="1" applyFont="1" applyFill="1" applyBorder="1" applyAlignment="1" applyProtection="1">
      <alignment horizontal="center"/>
    </xf>
    <xf numFmtId="3" fontId="10" fillId="8" borderId="86" xfId="0" applyNumberFormat="1" applyFont="1" applyFill="1" applyBorder="1"/>
    <xf numFmtId="3" fontId="10" fillId="8" borderId="53" xfId="0" applyNumberFormat="1" applyFont="1" applyFill="1" applyBorder="1" applyAlignment="1" applyProtection="1"/>
    <xf numFmtId="164" fontId="3" fillId="8" borderId="44" xfId="0" applyNumberFormat="1" applyFont="1" applyFill="1" applyBorder="1" applyAlignment="1" applyProtection="1">
      <alignment vertical="center"/>
      <protection hidden="1"/>
    </xf>
    <xf numFmtId="164" fontId="3" fillId="8" borderId="17" xfId="0" applyNumberFormat="1" applyFont="1" applyFill="1" applyBorder="1" applyAlignment="1" applyProtection="1">
      <alignment vertical="center"/>
      <protection hidden="1"/>
    </xf>
    <xf numFmtId="164" fontId="3" fillId="8" borderId="45" xfId="0" applyNumberFormat="1" applyFont="1" applyFill="1" applyBorder="1" applyAlignment="1" applyProtection="1">
      <alignment vertical="center"/>
      <protection hidden="1"/>
    </xf>
    <xf numFmtId="164" fontId="3" fillId="8" borderId="0" xfId="0" applyNumberFormat="1" applyFont="1" applyFill="1" applyBorder="1" applyAlignment="1" applyProtection="1">
      <alignment vertical="center"/>
      <protection hidden="1"/>
    </xf>
    <xf numFmtId="9" fontId="3" fillId="8" borderId="17" xfId="0" applyNumberFormat="1" applyFont="1" applyFill="1" applyBorder="1" applyAlignment="1" applyProtection="1">
      <alignment vertical="center"/>
      <protection hidden="1"/>
    </xf>
    <xf numFmtId="0" fontId="3" fillId="8" borderId="45" xfId="0" applyFont="1" applyFill="1" applyBorder="1" applyAlignment="1" applyProtection="1">
      <alignment vertical="center"/>
      <protection hidden="1"/>
    </xf>
    <xf numFmtId="3" fontId="0" fillId="8" borderId="0" xfId="0" applyNumberFormat="1" applyFill="1" applyBorder="1"/>
    <xf numFmtId="0" fontId="0" fillId="8" borderId="57" xfId="0" applyFill="1" applyBorder="1" applyAlignment="1">
      <alignment horizontal="center" vertical="center"/>
    </xf>
    <xf numFmtId="0" fontId="28" fillId="10" borderId="117" xfId="9" applyFont="1" applyFill="1" applyBorder="1" applyAlignment="1">
      <alignment horizontal="center"/>
    </xf>
    <xf numFmtId="168" fontId="10" fillId="2" borderId="118" xfId="0" applyNumberFormat="1" applyFont="1" applyFill="1" applyBorder="1" applyAlignment="1" applyProtection="1">
      <alignment horizontal="center"/>
    </xf>
    <xf numFmtId="164" fontId="10" fillId="2" borderId="119" xfId="0" applyNumberFormat="1" applyFont="1" applyFill="1" applyBorder="1" applyAlignment="1" applyProtection="1">
      <alignment horizontal="center" vertical="center"/>
    </xf>
    <xf numFmtId="164" fontId="10" fillId="6" borderId="120" xfId="0" applyNumberFormat="1" applyFont="1" applyFill="1" applyBorder="1" applyAlignment="1" applyProtection="1">
      <alignment horizontal="center"/>
    </xf>
    <xf numFmtId="167" fontId="10" fillId="5" borderId="121" xfId="0" applyNumberFormat="1" applyFont="1" applyFill="1" applyBorder="1" applyAlignment="1" applyProtection="1">
      <alignment horizontal="center"/>
    </xf>
    <xf numFmtId="3" fontId="10" fillId="2" borderId="117" xfId="0" applyNumberFormat="1" applyFont="1" applyFill="1" applyBorder="1" applyAlignment="1" applyProtection="1"/>
    <xf numFmtId="3" fontId="10" fillId="8" borderId="117" xfId="0" applyNumberFormat="1" applyFont="1" applyFill="1" applyBorder="1" applyAlignment="1" applyProtection="1"/>
    <xf numFmtId="0" fontId="10" fillId="8" borderId="117" xfId="0" applyFont="1" applyFill="1" applyBorder="1"/>
    <xf numFmtId="3" fontId="10" fillId="8" borderId="121" xfId="0" applyNumberFormat="1" applyFont="1" applyFill="1" applyBorder="1" applyAlignment="1" applyProtection="1"/>
    <xf numFmtId="3" fontId="10" fillId="2" borderId="119" xfId="0" applyNumberFormat="1" applyFont="1" applyFill="1" applyBorder="1" applyAlignment="1" applyProtection="1"/>
    <xf numFmtId="0" fontId="0" fillId="2" borderId="122" xfId="0" applyFill="1" applyBorder="1"/>
    <xf numFmtId="164" fontId="3" fillId="2" borderId="123" xfId="0" applyNumberFormat="1" applyFont="1" applyFill="1" applyBorder="1" applyAlignment="1" applyProtection="1">
      <alignment vertical="center"/>
      <protection hidden="1"/>
    </xf>
    <xf numFmtId="164" fontId="3" fillId="2" borderId="124" xfId="0" applyNumberFormat="1" applyFont="1" applyFill="1" applyBorder="1" applyAlignment="1" applyProtection="1">
      <alignment vertical="center"/>
      <protection hidden="1"/>
    </xf>
    <xf numFmtId="164" fontId="3" fillId="2" borderId="125" xfId="0" applyNumberFormat="1" applyFont="1" applyFill="1" applyBorder="1" applyAlignment="1" applyProtection="1">
      <alignment vertical="center"/>
      <protection hidden="1"/>
    </xf>
    <xf numFmtId="164" fontId="3" fillId="2" borderId="122" xfId="0" applyNumberFormat="1" applyFont="1" applyFill="1" applyBorder="1" applyAlignment="1" applyProtection="1">
      <alignment vertical="center"/>
      <protection hidden="1"/>
    </xf>
    <xf numFmtId="9" fontId="3" fillId="2" borderId="124" xfId="0" applyNumberFormat="1" applyFont="1" applyFill="1" applyBorder="1" applyAlignment="1" applyProtection="1">
      <alignment vertical="center"/>
      <protection hidden="1"/>
    </xf>
    <xf numFmtId="0" fontId="3" fillId="2" borderId="125" xfId="0" applyFont="1" applyFill="1" applyBorder="1" applyAlignment="1" applyProtection="1">
      <alignment vertical="center"/>
      <protection hidden="1"/>
    </xf>
    <xf numFmtId="0" fontId="0" fillId="2" borderId="124" xfId="0" applyFill="1" applyBorder="1" applyAlignment="1">
      <alignment horizontal="center" vertical="center"/>
    </xf>
    <xf numFmtId="0" fontId="9" fillId="0" borderId="13" xfId="0" applyFont="1" applyFill="1" applyBorder="1" applyAlignment="1">
      <alignment vertical="center" wrapText="1"/>
    </xf>
    <xf numFmtId="41" fontId="10" fillId="0" borderId="49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126" xfId="0" quotePrefix="1" applyNumberFormat="1" applyFont="1" applyFill="1" applyBorder="1" applyAlignment="1" applyProtection="1">
      <alignment horizontal="center" vertical="center"/>
      <protection hidden="1"/>
    </xf>
    <xf numFmtId="0" fontId="30" fillId="9" borderId="95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/>
    </xf>
    <xf numFmtId="12" fontId="10" fillId="0" borderId="56" xfId="0" applyNumberFormat="1" applyFont="1" applyFill="1" applyBorder="1" applyAlignment="1" applyProtection="1">
      <alignment vertical="center"/>
      <protection hidden="1"/>
    </xf>
    <xf numFmtId="0" fontId="10" fillId="0" borderId="56" xfId="0" applyNumberFormat="1" applyFont="1" applyFill="1" applyBorder="1" applyAlignment="1" applyProtection="1">
      <alignment vertical="center"/>
      <protection hidden="1"/>
    </xf>
    <xf numFmtId="41" fontId="3" fillId="0" borderId="127" xfId="0" applyNumberFormat="1" applyFont="1" applyFill="1" applyBorder="1" applyAlignment="1" applyProtection="1">
      <alignment vertical="center"/>
      <protection hidden="1"/>
    </xf>
    <xf numFmtId="41" fontId="3" fillId="0" borderId="128" xfId="0" applyNumberFormat="1" applyFont="1" applyFill="1" applyBorder="1" applyAlignment="1" applyProtection="1">
      <alignment vertical="center"/>
      <protection hidden="1"/>
    </xf>
    <xf numFmtId="0" fontId="0" fillId="3" borderId="128" xfId="0" applyFill="1" applyBorder="1"/>
    <xf numFmtId="164" fontId="3" fillId="2" borderId="129" xfId="0" applyNumberFormat="1" applyFont="1" applyFill="1" applyBorder="1" applyAlignment="1" applyProtection="1">
      <alignment vertical="center"/>
      <protection hidden="1"/>
    </xf>
    <xf numFmtId="164" fontId="3" fillId="2" borderId="130" xfId="0" applyNumberFormat="1" applyFont="1" applyFill="1" applyBorder="1" applyAlignment="1" applyProtection="1">
      <alignment vertical="center"/>
      <protection hidden="1"/>
    </xf>
    <xf numFmtId="164" fontId="3" fillId="2" borderId="131" xfId="0" applyNumberFormat="1" applyFont="1" applyFill="1" applyBorder="1" applyAlignment="1" applyProtection="1">
      <alignment vertical="center"/>
      <protection hidden="1"/>
    </xf>
    <xf numFmtId="164" fontId="3" fillId="2" borderId="132" xfId="0" applyNumberFormat="1" applyFont="1" applyFill="1" applyBorder="1" applyAlignment="1" applyProtection="1">
      <alignment vertical="center"/>
      <protection hidden="1"/>
    </xf>
    <xf numFmtId="9" fontId="3" fillId="2" borderId="130" xfId="0" applyNumberFormat="1" applyFont="1" applyFill="1" applyBorder="1" applyAlignment="1" applyProtection="1">
      <alignment vertical="center"/>
      <protection hidden="1"/>
    </xf>
    <xf numFmtId="0" fontId="3" fillId="2" borderId="131" xfId="0" applyFont="1" applyFill="1" applyBorder="1" applyAlignment="1" applyProtection="1">
      <alignment vertical="center"/>
      <protection hidden="1"/>
    </xf>
    <xf numFmtId="164" fontId="10" fillId="2" borderId="129" xfId="0" applyNumberFormat="1" applyFont="1" applyFill="1" applyBorder="1" applyAlignment="1" applyProtection="1">
      <alignment horizontal="center"/>
    </xf>
    <xf numFmtId="0" fontId="0" fillId="2" borderId="130" xfId="0" applyFill="1" applyBorder="1" applyAlignment="1">
      <alignment horizontal="center" vertical="center"/>
    </xf>
    <xf numFmtId="0" fontId="0" fillId="3" borderId="132" xfId="0" applyFill="1" applyBorder="1"/>
    <xf numFmtId="0" fontId="0" fillId="2" borderId="132" xfId="0" applyFill="1" applyBorder="1"/>
    <xf numFmtId="168" fontId="10" fillId="8" borderId="53" xfId="0" quotePrefix="1" applyNumberFormat="1" applyFont="1" applyFill="1" applyBorder="1" applyAlignment="1" applyProtection="1">
      <alignment horizontal="center"/>
    </xf>
    <xf numFmtId="164" fontId="10" fillId="10" borderId="47" xfId="0" applyNumberFormat="1" applyFont="1" applyFill="1" applyBorder="1" applyAlignment="1" applyProtection="1">
      <alignment horizontal="center"/>
    </xf>
    <xf numFmtId="164" fontId="10" fillId="10" borderId="39" xfId="0" applyNumberFormat="1" applyFont="1" applyFill="1" applyBorder="1" applyAlignment="1" applyProtection="1">
      <alignment horizontal="center"/>
    </xf>
    <xf numFmtId="41" fontId="10" fillId="0" borderId="86" xfId="0" applyNumberFormat="1" applyFont="1" applyFill="1" applyBorder="1" applyAlignment="1" applyProtection="1">
      <alignment vertical="center"/>
      <protection hidden="1"/>
    </xf>
    <xf numFmtId="41" fontId="3" fillId="8" borderId="128" xfId="0" applyNumberFormat="1" applyFont="1" applyFill="1" applyBorder="1" applyAlignment="1" applyProtection="1">
      <alignment vertical="center"/>
      <protection hidden="1"/>
    </xf>
    <xf numFmtId="0" fontId="30" fillId="9" borderId="95" xfId="0" applyFont="1" applyFill="1" applyBorder="1" applyAlignment="1">
      <alignment horizontal="center" vertical="center"/>
    </xf>
    <xf numFmtId="0" fontId="0" fillId="9" borderId="94" xfId="0" applyFill="1" applyBorder="1" applyAlignment="1">
      <alignment vertical="center"/>
    </xf>
    <xf numFmtId="0" fontId="10" fillId="0" borderId="99" xfId="0" applyFont="1" applyFill="1" applyBorder="1" applyAlignment="1">
      <alignment vertical="center" wrapText="1"/>
    </xf>
    <xf numFmtId="0" fontId="10" fillId="0" borderId="13" xfId="0" applyFont="1" applyFill="1" applyBorder="1" applyAlignment="1">
      <alignment vertical="center" wrapText="1"/>
    </xf>
    <xf numFmtId="0" fontId="30" fillId="9" borderId="133" xfId="0" applyFont="1" applyFill="1" applyBorder="1" applyAlignment="1">
      <alignment vertical="center"/>
    </xf>
    <xf numFmtId="0" fontId="9" fillId="0" borderId="134" xfId="0" applyFont="1" applyFill="1" applyBorder="1" applyAlignment="1">
      <alignment vertical="center" wrapText="1"/>
    </xf>
    <xf numFmtId="0" fontId="30" fillId="9" borderId="94" xfId="0" applyFont="1" applyFill="1" applyBorder="1" applyAlignment="1">
      <alignment vertical="center"/>
    </xf>
    <xf numFmtId="0" fontId="9" fillId="0" borderId="99" xfId="0" applyFont="1" applyFill="1" applyBorder="1" applyAlignment="1">
      <alignment vertical="center" wrapText="1"/>
    </xf>
    <xf numFmtId="0" fontId="30" fillId="9" borderId="95" xfId="0" applyFont="1" applyFill="1" applyBorder="1" applyAlignment="1">
      <alignment vertical="center"/>
    </xf>
    <xf numFmtId="41" fontId="10" fillId="14" borderId="39" xfId="0" applyNumberFormat="1" applyFont="1" applyFill="1" applyBorder="1" applyAlignment="1" applyProtection="1">
      <alignment horizontal="center" vertical="center"/>
      <protection hidden="1"/>
    </xf>
    <xf numFmtId="41" fontId="10" fillId="0" borderId="100" xfId="0" applyNumberFormat="1" applyFont="1" applyFill="1" applyBorder="1" applyAlignment="1" applyProtection="1">
      <alignment vertical="center"/>
      <protection hidden="1"/>
    </xf>
    <xf numFmtId="41" fontId="10" fillId="0" borderId="39" xfId="0" quotePrefix="1" applyNumberFormat="1" applyFont="1" applyFill="1" applyBorder="1" applyAlignment="1" applyProtection="1">
      <alignment horizontal="center" vertical="center"/>
      <protection hidden="1"/>
    </xf>
    <xf numFmtId="1" fontId="40" fillId="11" borderId="16" xfId="0" applyNumberFormat="1" applyFont="1" applyFill="1" applyBorder="1" applyAlignment="1" applyProtection="1">
      <alignment horizontal="center" vertical="center"/>
      <protection hidden="1"/>
    </xf>
    <xf numFmtId="1" fontId="40" fillId="11" borderId="20" xfId="0" applyNumberFormat="1" applyFont="1" applyFill="1" applyBorder="1" applyAlignment="1" applyProtection="1">
      <alignment horizontal="center" vertical="center"/>
      <protection hidden="1"/>
    </xf>
    <xf numFmtId="1" fontId="9" fillId="11" borderId="20" xfId="0" applyNumberFormat="1" applyFont="1" applyFill="1" applyBorder="1" applyAlignment="1" applyProtection="1">
      <alignment horizontal="center" vertical="center"/>
      <protection hidden="1"/>
    </xf>
    <xf numFmtId="164" fontId="9" fillId="11" borderId="20" xfId="0" applyNumberFormat="1" applyFont="1" applyFill="1" applyBorder="1" applyAlignment="1" applyProtection="1">
      <alignment horizontal="center" vertical="center"/>
      <protection hidden="1"/>
    </xf>
    <xf numFmtId="164" fontId="9" fillId="11" borderId="135" xfId="0" applyNumberFormat="1" applyFont="1" applyFill="1" applyBorder="1" applyAlignment="1" applyProtection="1">
      <alignment horizontal="center" vertical="center"/>
      <protection hidden="1"/>
    </xf>
    <xf numFmtId="41" fontId="10" fillId="0" borderId="35" xfId="0" applyNumberFormat="1" applyFont="1" applyFill="1" applyBorder="1" applyAlignment="1" applyProtection="1">
      <alignment vertical="center"/>
      <protection hidden="1"/>
    </xf>
    <xf numFmtId="41" fontId="10" fillId="0" borderId="134" xfId="0" applyNumberFormat="1" applyFont="1" applyFill="1" applyBorder="1" applyAlignment="1" applyProtection="1">
      <alignment vertical="center"/>
      <protection hidden="1"/>
    </xf>
    <xf numFmtId="41" fontId="10" fillId="0" borderId="32" xfId="0" applyNumberFormat="1" applyFont="1" applyFill="1" applyBorder="1" applyAlignment="1" applyProtection="1">
      <alignment vertical="center"/>
      <protection hidden="1"/>
    </xf>
    <xf numFmtId="164" fontId="9" fillId="11" borderId="136" xfId="0" applyNumberFormat="1" applyFont="1" applyFill="1" applyBorder="1" applyAlignment="1" applyProtection="1">
      <alignment horizontal="center" vertical="center"/>
      <protection hidden="1"/>
    </xf>
    <xf numFmtId="41" fontId="10" fillId="14" borderId="53" xfId="0" applyNumberFormat="1" applyFont="1" applyFill="1" applyBorder="1" applyAlignment="1" applyProtection="1">
      <alignment horizontal="center" vertical="center"/>
      <protection hidden="1"/>
    </xf>
    <xf numFmtId="41" fontId="10" fillId="0" borderId="137" xfId="0" applyNumberFormat="1" applyFont="1" applyFill="1" applyBorder="1" applyAlignment="1" applyProtection="1">
      <alignment vertical="center"/>
      <protection hidden="1"/>
    </xf>
    <xf numFmtId="1" fontId="10" fillId="0" borderId="3" xfId="0" applyNumberFormat="1" applyFont="1" applyFill="1" applyBorder="1" applyAlignment="1" applyProtection="1">
      <alignment horizontal="left" vertical="center"/>
      <protection hidden="1"/>
    </xf>
    <xf numFmtId="1" fontId="10" fillId="0" borderId="89" xfId="0" applyNumberFormat="1" applyFont="1" applyFill="1" applyBorder="1" applyAlignment="1" applyProtection="1">
      <alignment horizontal="center" vertical="center"/>
      <protection hidden="1"/>
    </xf>
    <xf numFmtId="1" fontId="10" fillId="0" borderId="4" xfId="0" applyNumberFormat="1" applyFont="1" applyFill="1" applyBorder="1" applyAlignment="1" applyProtection="1">
      <alignment horizontal="center" vertical="center"/>
      <protection hidden="1"/>
    </xf>
    <xf numFmtId="1" fontId="9" fillId="11" borderId="0" xfId="0" applyNumberFormat="1" applyFont="1" applyFill="1" applyBorder="1" applyAlignment="1" applyProtection="1">
      <alignment horizontal="center" vertical="center"/>
      <protection hidden="1"/>
    </xf>
    <xf numFmtId="1" fontId="3" fillId="0" borderId="0" xfId="0" applyNumberFormat="1" applyFont="1" applyFill="1" applyBorder="1" applyAlignment="1" applyProtection="1">
      <alignment vertical="center"/>
      <protection hidden="1"/>
    </xf>
    <xf numFmtId="1" fontId="14" fillId="0" borderId="3" xfId="0" applyNumberFormat="1" applyFont="1" applyFill="1" applyBorder="1" applyAlignment="1" applyProtection="1">
      <alignment horizontal="left" vertical="center"/>
      <protection hidden="1"/>
    </xf>
    <xf numFmtId="1" fontId="10" fillId="0" borderId="0" xfId="0" applyNumberFormat="1" applyFont="1" applyFill="1" applyAlignment="1" applyProtection="1">
      <alignment horizontal="center" vertical="center"/>
      <protection hidden="1"/>
    </xf>
    <xf numFmtId="1" fontId="10" fillId="11" borderId="0" xfId="0" applyNumberFormat="1" applyFont="1" applyFill="1" applyBorder="1" applyAlignment="1" applyProtection="1">
      <alignment horizontal="center" vertical="center"/>
      <protection hidden="1"/>
    </xf>
    <xf numFmtId="1" fontId="3" fillId="11" borderId="112" xfId="0" applyNumberFormat="1" applyFont="1" applyFill="1" applyBorder="1" applyAlignment="1" applyProtection="1">
      <alignment vertical="center"/>
      <protection hidden="1"/>
    </xf>
    <xf numFmtId="1" fontId="3" fillId="11" borderId="113" xfId="0" applyNumberFormat="1" applyFont="1" applyFill="1" applyBorder="1" applyAlignment="1" applyProtection="1">
      <alignment vertical="center"/>
      <protection hidden="1"/>
    </xf>
    <xf numFmtId="1" fontId="10" fillId="0" borderId="137" xfId="0" applyNumberFormat="1" applyFont="1" applyFill="1" applyBorder="1" applyAlignment="1" applyProtection="1">
      <alignment vertical="center"/>
      <protection hidden="1"/>
    </xf>
    <xf numFmtId="1" fontId="10" fillId="0" borderId="35" xfId="0" applyNumberFormat="1" applyFont="1" applyFill="1" applyBorder="1" applyAlignment="1" applyProtection="1">
      <alignment vertical="center"/>
      <protection hidden="1"/>
    </xf>
    <xf numFmtId="1" fontId="10" fillId="0" borderId="18" xfId="0" applyNumberFormat="1" applyFont="1" applyFill="1" applyBorder="1" applyAlignment="1" applyProtection="1">
      <alignment vertical="center"/>
      <protection hidden="1"/>
    </xf>
    <xf numFmtId="1" fontId="10" fillId="0" borderId="32" xfId="0" applyNumberFormat="1" applyFont="1" applyFill="1" applyBorder="1" applyAlignment="1" applyProtection="1">
      <alignment vertical="center"/>
      <protection hidden="1"/>
    </xf>
    <xf numFmtId="1" fontId="10" fillId="14" borderId="39" xfId="0" applyNumberFormat="1" applyFont="1" applyFill="1" applyBorder="1" applyAlignment="1" applyProtection="1">
      <alignment horizontal="center" vertical="center"/>
      <protection hidden="1"/>
    </xf>
    <xf numFmtId="1" fontId="10" fillId="0" borderId="100" xfId="0" applyNumberFormat="1" applyFont="1" applyFill="1" applyBorder="1" applyAlignment="1" applyProtection="1">
      <alignment vertical="center"/>
      <protection hidden="1"/>
    </xf>
    <xf numFmtId="1" fontId="10" fillId="0" borderId="42" xfId="0" applyNumberFormat="1" applyFont="1" applyFill="1" applyBorder="1" applyAlignment="1" applyProtection="1">
      <alignment vertical="center"/>
      <protection hidden="1"/>
    </xf>
    <xf numFmtId="1" fontId="10" fillId="0" borderId="40" xfId="0" applyNumberFormat="1" applyFont="1" applyFill="1" applyBorder="1" applyAlignment="1" applyProtection="1">
      <alignment vertical="center"/>
      <protection hidden="1"/>
    </xf>
    <xf numFmtId="1" fontId="10" fillId="0" borderId="51" xfId="0" applyNumberFormat="1" applyFont="1" applyFill="1" applyBorder="1" applyAlignment="1" applyProtection="1">
      <alignment vertical="center"/>
      <protection hidden="1"/>
    </xf>
    <xf numFmtId="1" fontId="10" fillId="0" borderId="41" xfId="0" applyNumberFormat="1" applyFont="1" applyFill="1" applyBorder="1" applyAlignment="1" applyProtection="1">
      <alignment vertical="center"/>
      <protection hidden="1"/>
    </xf>
    <xf numFmtId="1" fontId="10" fillId="0" borderId="84" xfId="0" applyNumberFormat="1" applyFont="1" applyFill="1" applyBorder="1" applyAlignment="1" applyProtection="1">
      <alignment vertical="center"/>
      <protection hidden="1"/>
    </xf>
    <xf numFmtId="1" fontId="3" fillId="0" borderId="84" xfId="0" applyNumberFormat="1" applyFont="1" applyFill="1" applyBorder="1" applyAlignment="1" applyProtection="1">
      <alignment vertical="center"/>
      <protection hidden="1"/>
    </xf>
    <xf numFmtId="1" fontId="10" fillId="13" borderId="0" xfId="0" applyNumberFormat="1" applyFont="1" applyFill="1" applyBorder="1" applyAlignment="1" applyProtection="1">
      <alignment vertical="center"/>
      <protection hidden="1"/>
    </xf>
    <xf numFmtId="1" fontId="3" fillId="13" borderId="0" xfId="0" applyNumberFormat="1" applyFont="1" applyFill="1" applyBorder="1" applyAlignment="1" applyProtection="1">
      <alignment vertical="center"/>
      <protection hidden="1"/>
    </xf>
    <xf numFmtId="1" fontId="10" fillId="0" borderId="38" xfId="0" applyNumberFormat="1" applyFont="1" applyFill="1" applyBorder="1" applyAlignment="1" applyProtection="1">
      <alignment vertical="center"/>
      <protection hidden="1"/>
    </xf>
    <xf numFmtId="1" fontId="10" fillId="8" borderId="53" xfId="0" quotePrefix="1" applyNumberFormat="1" applyFont="1" applyFill="1" applyBorder="1" applyAlignment="1" applyProtection="1">
      <alignment horizontal="center" vertical="center"/>
      <protection hidden="1"/>
    </xf>
    <xf numFmtId="1" fontId="10" fillId="8" borderId="107" xfId="0" applyNumberFormat="1" applyFont="1" applyFill="1" applyBorder="1" applyAlignment="1" applyProtection="1">
      <alignment vertical="center"/>
      <protection hidden="1"/>
    </xf>
    <xf numFmtId="1" fontId="10" fillId="8" borderId="56" xfId="0" applyNumberFormat="1" applyFont="1" applyFill="1" applyBorder="1" applyAlignment="1" applyProtection="1">
      <alignment vertical="center"/>
      <protection hidden="1"/>
    </xf>
    <xf numFmtId="1" fontId="10" fillId="8" borderId="54" xfId="0" applyNumberFormat="1" applyFont="1" applyFill="1" applyBorder="1" applyAlignment="1" applyProtection="1">
      <alignment vertical="center"/>
      <protection hidden="1"/>
    </xf>
    <xf numFmtId="1" fontId="10" fillId="8" borderId="52" xfId="0" applyNumberFormat="1" applyFont="1" applyFill="1" applyBorder="1" applyAlignment="1" applyProtection="1">
      <alignment vertical="center"/>
      <protection hidden="1"/>
    </xf>
    <xf numFmtId="1" fontId="10" fillId="8" borderId="114" xfId="0" applyNumberFormat="1" applyFont="1" applyFill="1" applyBorder="1" applyAlignment="1" applyProtection="1">
      <alignment vertical="center"/>
      <protection hidden="1"/>
    </xf>
    <xf numFmtId="1" fontId="10" fillId="8" borderId="55" xfId="0" applyNumberFormat="1" applyFont="1" applyFill="1" applyBorder="1" applyAlignment="1" applyProtection="1">
      <alignment vertical="center"/>
      <protection hidden="1"/>
    </xf>
    <xf numFmtId="1" fontId="10" fillId="8" borderId="85" xfId="0" applyNumberFormat="1" applyFont="1" applyFill="1" applyBorder="1" applyAlignment="1" applyProtection="1">
      <alignment vertical="center"/>
      <protection hidden="1"/>
    </xf>
    <xf numFmtId="1" fontId="10" fillId="8" borderId="0" xfId="0" applyNumberFormat="1" applyFont="1" applyFill="1" applyBorder="1" applyAlignment="1" applyProtection="1">
      <alignment vertical="center"/>
      <protection hidden="1"/>
    </xf>
    <xf numFmtId="1" fontId="3" fillId="8" borderId="0" xfId="0" applyNumberFormat="1" applyFont="1" applyFill="1" applyBorder="1" applyAlignment="1" applyProtection="1">
      <alignment vertical="center"/>
      <protection hidden="1"/>
    </xf>
    <xf numFmtId="1" fontId="10" fillId="8" borderId="100" xfId="0" applyNumberFormat="1" applyFont="1" applyFill="1" applyBorder="1" applyAlignment="1" applyProtection="1">
      <alignment vertical="center"/>
      <protection hidden="1"/>
    </xf>
    <xf numFmtId="1" fontId="10" fillId="8" borderId="42" xfId="0" applyNumberFormat="1" applyFont="1" applyFill="1" applyBorder="1" applyAlignment="1" applyProtection="1">
      <alignment vertical="center"/>
      <protection hidden="1"/>
    </xf>
    <xf numFmtId="1" fontId="10" fillId="8" borderId="40" xfId="0" applyNumberFormat="1" applyFont="1" applyFill="1" applyBorder="1" applyAlignment="1" applyProtection="1">
      <alignment vertical="center"/>
      <protection hidden="1"/>
    </xf>
    <xf numFmtId="1" fontId="10" fillId="8" borderId="38" xfId="0" applyNumberFormat="1" applyFont="1" applyFill="1" applyBorder="1" applyAlignment="1" applyProtection="1">
      <alignment vertical="center"/>
      <protection hidden="1"/>
    </xf>
    <xf numFmtId="1" fontId="10" fillId="8" borderId="51" xfId="0" applyNumberFormat="1" applyFont="1" applyFill="1" applyBorder="1" applyAlignment="1" applyProtection="1">
      <alignment vertical="center"/>
      <protection hidden="1"/>
    </xf>
    <xf numFmtId="1" fontId="10" fillId="8" borderId="138" xfId="0" applyNumberFormat="1" applyFont="1" applyFill="1" applyBorder="1" applyAlignment="1" applyProtection="1">
      <alignment vertical="center"/>
      <protection hidden="1"/>
    </xf>
    <xf numFmtId="1" fontId="10" fillId="8" borderId="1" xfId="0" applyNumberFormat="1" applyFont="1" applyFill="1" applyBorder="1" applyAlignment="1" applyProtection="1">
      <alignment vertical="center"/>
      <protection hidden="1"/>
    </xf>
    <xf numFmtId="1" fontId="10" fillId="8" borderId="41" xfId="0" applyNumberFormat="1" applyFont="1" applyFill="1" applyBorder="1" applyAlignment="1" applyProtection="1">
      <alignment vertical="center"/>
      <protection hidden="1"/>
    </xf>
    <xf numFmtId="1" fontId="10" fillId="8" borderId="39" xfId="0" quotePrefix="1" applyNumberFormat="1" applyFont="1" applyFill="1" applyBorder="1" applyAlignment="1" applyProtection="1">
      <alignment horizontal="center" vertical="center"/>
      <protection hidden="1"/>
    </xf>
    <xf numFmtId="1" fontId="10" fillId="8" borderId="101" xfId="0" applyNumberFormat="1" applyFont="1" applyFill="1" applyBorder="1" applyAlignment="1" applyProtection="1">
      <alignment vertical="center"/>
      <protection hidden="1"/>
    </xf>
    <xf numFmtId="1" fontId="10" fillId="8" borderId="128" xfId="0" applyNumberFormat="1" applyFont="1" applyFill="1" applyBorder="1" applyAlignment="1" applyProtection="1">
      <alignment vertical="center"/>
      <protection hidden="1"/>
    </xf>
    <xf numFmtId="1" fontId="3" fillId="8" borderId="128" xfId="0" applyNumberFormat="1" applyFont="1" applyFill="1" applyBorder="1" applyAlignment="1" applyProtection="1">
      <alignment vertical="center"/>
      <protection hidden="1"/>
    </xf>
    <xf numFmtId="1" fontId="10" fillId="8" borderId="78" xfId="0" applyNumberFormat="1" applyFont="1" applyFill="1" applyBorder="1" applyAlignment="1" applyProtection="1">
      <alignment vertical="center"/>
      <protection hidden="1"/>
    </xf>
    <xf numFmtId="1" fontId="10" fillId="8" borderId="57" xfId="0" applyNumberFormat="1" applyFont="1" applyFill="1" applyBorder="1" applyAlignment="1" applyProtection="1">
      <alignment vertical="center"/>
      <protection hidden="1"/>
    </xf>
    <xf numFmtId="1" fontId="10" fillId="8" borderId="139" xfId="0" applyNumberFormat="1" applyFont="1" applyFill="1" applyBorder="1" applyAlignment="1" applyProtection="1">
      <alignment vertical="center"/>
      <protection hidden="1"/>
    </xf>
    <xf numFmtId="1" fontId="10" fillId="8" borderId="58" xfId="0" applyNumberFormat="1" applyFont="1" applyFill="1" applyBorder="1" applyAlignment="1" applyProtection="1">
      <alignment vertical="center"/>
      <protection hidden="1"/>
    </xf>
    <xf numFmtId="1" fontId="10" fillId="8" borderId="62" xfId="0" applyNumberFormat="1" applyFont="1" applyFill="1" applyBorder="1" applyAlignment="1" applyProtection="1">
      <alignment vertical="center"/>
      <protection hidden="1"/>
    </xf>
    <xf numFmtId="1" fontId="10" fillId="14" borderId="47" xfId="0" applyNumberFormat="1" applyFont="1" applyFill="1" applyBorder="1" applyAlignment="1" applyProtection="1">
      <alignment horizontal="center" vertical="center"/>
      <protection hidden="1"/>
    </xf>
    <xf numFmtId="1" fontId="10" fillId="8" borderId="47" xfId="0" applyNumberFormat="1" applyFont="1" applyFill="1" applyBorder="1" applyAlignment="1" applyProtection="1">
      <alignment horizontal="center" vertical="center"/>
      <protection hidden="1"/>
    </xf>
    <xf numFmtId="1" fontId="10" fillId="8" borderId="103" xfId="0" applyNumberFormat="1" applyFont="1" applyFill="1" applyBorder="1" applyAlignment="1" applyProtection="1">
      <alignment vertical="center"/>
      <protection hidden="1"/>
    </xf>
    <xf numFmtId="1" fontId="10" fillId="8" borderId="48" xfId="0" applyNumberFormat="1" applyFont="1" applyFill="1" applyBorder="1" applyAlignment="1" applyProtection="1">
      <alignment vertical="center"/>
      <protection hidden="1"/>
    </xf>
    <xf numFmtId="1" fontId="10" fillId="8" borderId="49" xfId="0" applyNumberFormat="1" applyFont="1" applyFill="1" applyBorder="1" applyAlignment="1" applyProtection="1">
      <alignment vertical="center"/>
      <protection hidden="1"/>
    </xf>
    <xf numFmtId="1" fontId="10" fillId="8" borderId="46" xfId="0" applyNumberFormat="1" applyFont="1" applyFill="1" applyBorder="1" applyAlignment="1" applyProtection="1">
      <alignment vertical="center"/>
      <protection hidden="1"/>
    </xf>
    <xf numFmtId="1" fontId="10" fillId="8" borderId="102" xfId="0" applyNumberFormat="1" applyFont="1" applyFill="1" applyBorder="1" applyAlignment="1" applyProtection="1">
      <alignment vertical="center"/>
      <protection hidden="1"/>
    </xf>
    <xf numFmtId="1" fontId="10" fillId="8" borderId="95" xfId="0" applyNumberFormat="1" applyFont="1" applyFill="1" applyBorder="1" applyAlignment="1" applyProtection="1">
      <alignment vertical="center"/>
      <protection hidden="1"/>
    </xf>
    <xf numFmtId="1" fontId="10" fillId="8" borderId="6" xfId="0" applyNumberFormat="1" applyFont="1" applyFill="1" applyBorder="1" applyAlignment="1" applyProtection="1">
      <alignment vertical="center"/>
      <protection hidden="1"/>
    </xf>
    <xf numFmtId="1" fontId="10" fillId="8" borderId="22" xfId="0" applyNumberFormat="1" applyFont="1" applyFill="1" applyBorder="1" applyAlignment="1" applyProtection="1">
      <alignment vertical="center"/>
      <protection hidden="1"/>
    </xf>
    <xf numFmtId="1" fontId="10" fillId="14" borderId="53" xfId="0" applyNumberFormat="1" applyFont="1" applyFill="1" applyBorder="1" applyAlignment="1" applyProtection="1">
      <alignment horizontal="center" vertical="center"/>
      <protection hidden="1"/>
    </xf>
    <xf numFmtId="1" fontId="10" fillId="8" borderId="104" xfId="0" applyNumberFormat="1" applyFont="1" applyFill="1" applyBorder="1" applyAlignment="1" applyProtection="1">
      <alignment vertical="center"/>
      <protection hidden="1"/>
    </xf>
    <xf numFmtId="1" fontId="1" fillId="11" borderId="0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/>
    <xf numFmtId="1" fontId="0" fillId="13" borderId="1" xfId="0" applyNumberFormat="1" applyFill="1" applyBorder="1" applyAlignment="1">
      <alignment horizontal="center" vertical="center"/>
    </xf>
    <xf numFmtId="1" fontId="0" fillId="13" borderId="57" xfId="0" applyNumberFormat="1" applyFill="1" applyBorder="1" applyAlignment="1">
      <alignment horizontal="center" vertical="center"/>
    </xf>
    <xf numFmtId="41" fontId="10" fillId="14" borderId="81" xfId="0" applyNumberFormat="1" applyFont="1" applyFill="1" applyBorder="1" applyAlignment="1" applyProtection="1">
      <alignment horizontal="center" vertical="center"/>
      <protection hidden="1"/>
    </xf>
    <xf numFmtId="41" fontId="10" fillId="0" borderId="107" xfId="0" applyNumberFormat="1" applyFont="1" applyFill="1" applyBorder="1" applyAlignment="1" applyProtection="1">
      <alignment vertical="center"/>
      <protection hidden="1"/>
    </xf>
    <xf numFmtId="41" fontId="10" fillId="0" borderId="109" xfId="0" applyNumberFormat="1" applyFont="1" applyFill="1" applyBorder="1" applyAlignment="1" applyProtection="1">
      <alignment vertical="center"/>
      <protection hidden="1"/>
    </xf>
    <xf numFmtId="1" fontId="40" fillId="11" borderId="140" xfId="0" applyNumberFormat="1" applyFont="1" applyFill="1" applyBorder="1" applyAlignment="1" applyProtection="1">
      <alignment horizontal="center" vertical="center"/>
      <protection hidden="1"/>
    </xf>
    <xf numFmtId="164" fontId="9" fillId="13" borderId="136" xfId="0" applyNumberFormat="1" applyFont="1" applyFill="1" applyBorder="1" applyAlignment="1" applyProtection="1">
      <alignment horizontal="center" vertical="center"/>
      <protection hidden="1"/>
    </xf>
    <xf numFmtId="164" fontId="9" fillId="13" borderId="136" xfId="0" applyNumberFormat="1" applyFont="1" applyFill="1" applyBorder="1" applyAlignment="1" applyProtection="1">
      <alignment horizontal="center" vertical="center" wrapText="1"/>
      <protection hidden="1"/>
    </xf>
    <xf numFmtId="41" fontId="10" fillId="0" borderId="30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31" xfId="0" applyNumberFormat="1" applyFont="1" applyFill="1" applyBorder="1" applyAlignment="1" applyProtection="1">
      <alignment vertical="center"/>
      <protection hidden="1"/>
    </xf>
    <xf numFmtId="41" fontId="10" fillId="0" borderId="6" xfId="0" applyNumberFormat="1" applyFont="1" applyFill="1" applyBorder="1" applyAlignment="1" applyProtection="1">
      <alignment vertical="center"/>
      <protection hidden="1"/>
    </xf>
    <xf numFmtId="41" fontId="10" fillId="0" borderId="6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7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14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31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25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53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81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97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105" xfId="0" applyNumberFormat="1" applyFont="1" applyFill="1" applyBorder="1" applyAlignment="1" applyProtection="1">
      <alignment vertical="center"/>
      <protection hidden="1"/>
    </xf>
    <xf numFmtId="41" fontId="10" fillId="0" borderId="32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35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141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142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24" xfId="0" applyNumberFormat="1" applyFont="1" applyFill="1" applyBorder="1" applyAlignment="1" applyProtection="1">
      <alignment vertical="center"/>
      <protection hidden="1"/>
    </xf>
    <xf numFmtId="41" fontId="10" fillId="0" borderId="34" xfId="0" applyNumberFormat="1" applyFont="1" applyFill="1" applyBorder="1" applyAlignment="1" applyProtection="1">
      <alignment vertical="center"/>
      <protection hidden="1"/>
    </xf>
    <xf numFmtId="41" fontId="10" fillId="0" borderId="28" xfId="0" applyNumberFormat="1" applyFont="1" applyFill="1" applyBorder="1" applyAlignment="1" applyProtection="1">
      <alignment vertical="center"/>
      <protection hidden="1"/>
    </xf>
    <xf numFmtId="41" fontId="10" fillId="0" borderId="27" xfId="0" applyNumberFormat="1" applyFont="1" applyFill="1" applyBorder="1" applyAlignment="1" applyProtection="1">
      <alignment vertical="center"/>
      <protection hidden="1"/>
    </xf>
    <xf numFmtId="41" fontId="10" fillId="0" borderId="37" xfId="0" applyNumberFormat="1" applyFont="1" applyFill="1" applyBorder="1" applyAlignment="1" applyProtection="1">
      <alignment vertical="center"/>
      <protection hidden="1"/>
    </xf>
    <xf numFmtId="41" fontId="10" fillId="0" borderId="33" xfId="0" applyNumberFormat="1" applyFont="1" applyFill="1" applyBorder="1" applyAlignment="1" applyProtection="1">
      <alignment vertical="center"/>
      <protection hidden="1"/>
    </xf>
    <xf numFmtId="41" fontId="10" fillId="0" borderId="143" xfId="0" applyNumberFormat="1" applyFont="1" applyFill="1" applyBorder="1" applyAlignment="1" applyProtection="1">
      <alignment vertical="center"/>
      <protection hidden="1"/>
    </xf>
    <xf numFmtId="38" fontId="10" fillId="9" borderId="42" xfId="0" applyNumberFormat="1" applyFont="1" applyFill="1" applyBorder="1"/>
    <xf numFmtId="1" fontId="0" fillId="0" borderId="0" xfId="0" applyNumberFormat="1" applyFill="1" applyBorder="1" applyAlignment="1">
      <alignment horizontal="center" vertical="center"/>
    </xf>
    <xf numFmtId="168" fontId="10" fillId="8" borderId="106" xfId="0" quotePrefix="1" applyNumberFormat="1" applyFont="1" applyFill="1" applyBorder="1" applyAlignment="1" applyProtection="1">
      <alignment horizontal="center" vertical="center"/>
    </xf>
    <xf numFmtId="168" fontId="10" fillId="2" borderId="110" xfId="0" quotePrefix="1" applyNumberFormat="1" applyFont="1" applyFill="1" applyBorder="1" applyAlignment="1" applyProtection="1">
      <alignment horizontal="center" vertical="center"/>
    </xf>
    <xf numFmtId="168" fontId="10" fillId="8" borderId="104" xfId="0" quotePrefix="1" applyNumberFormat="1" applyFont="1" applyFill="1" applyBorder="1" applyAlignment="1" applyProtection="1">
      <alignment horizontal="center" vertical="center"/>
    </xf>
    <xf numFmtId="168" fontId="10" fillId="8" borderId="43" xfId="0" applyNumberFormat="1" applyFont="1" applyFill="1" applyBorder="1" applyAlignment="1" applyProtection="1">
      <alignment horizontal="center" vertical="center"/>
    </xf>
    <xf numFmtId="1" fontId="10" fillId="0" borderId="28" xfId="0" applyNumberFormat="1" applyFont="1" applyFill="1" applyBorder="1" applyAlignment="1" applyProtection="1">
      <alignment vertical="center"/>
      <protection hidden="1"/>
    </xf>
    <xf numFmtId="1" fontId="10" fillId="0" borderId="33" xfId="0" applyNumberFormat="1" applyFont="1" applyFill="1" applyBorder="1" applyAlignment="1" applyProtection="1">
      <alignment vertical="center"/>
      <protection hidden="1"/>
    </xf>
    <xf numFmtId="1" fontId="10" fillId="0" borderId="105" xfId="0" applyNumberFormat="1" applyFont="1" applyFill="1" applyBorder="1" applyAlignment="1" applyProtection="1">
      <alignment vertical="center"/>
      <protection hidden="1"/>
    </xf>
    <xf numFmtId="1" fontId="10" fillId="0" borderId="30" xfId="0" quotePrefix="1" applyNumberFormat="1" applyFont="1" applyFill="1" applyBorder="1" applyAlignment="1" applyProtection="1">
      <alignment horizontal="center" vertical="center"/>
      <protection hidden="1"/>
    </xf>
    <xf numFmtId="1" fontId="10" fillId="0" borderId="43" xfId="0" applyNumberFormat="1" applyFont="1" applyFill="1" applyBorder="1" applyAlignment="1" applyProtection="1">
      <alignment vertical="center"/>
      <protection hidden="1"/>
    </xf>
    <xf numFmtId="1" fontId="10" fillId="0" borderId="40" xfId="0" quotePrefix="1" applyNumberFormat="1" applyFont="1" applyFill="1" applyBorder="1" applyAlignment="1" applyProtection="1">
      <alignment horizontal="center" vertical="center"/>
      <protection hidden="1"/>
    </xf>
    <xf numFmtId="1" fontId="10" fillId="0" borderId="52" xfId="0" applyNumberFormat="1" applyFont="1" applyFill="1" applyBorder="1" applyAlignment="1" applyProtection="1">
      <alignment vertical="center"/>
      <protection hidden="1"/>
    </xf>
    <xf numFmtId="1" fontId="10" fillId="0" borderId="56" xfId="0" applyNumberFormat="1" applyFont="1" applyFill="1" applyBorder="1" applyAlignment="1" applyProtection="1">
      <alignment vertical="center"/>
      <protection hidden="1"/>
    </xf>
    <xf numFmtId="1" fontId="10" fillId="0" borderId="86" xfId="0" applyNumberFormat="1" applyFont="1" applyFill="1" applyBorder="1" applyAlignment="1" applyProtection="1">
      <alignment vertical="center"/>
      <protection hidden="1"/>
    </xf>
    <xf numFmtId="1" fontId="10" fillId="0" borderId="107" xfId="0" applyNumberFormat="1" applyFont="1" applyFill="1" applyBorder="1" applyAlignment="1" applyProtection="1">
      <alignment vertical="center"/>
      <protection hidden="1"/>
    </xf>
    <xf numFmtId="1" fontId="10" fillId="0" borderId="54" xfId="0" quotePrefix="1" applyNumberFormat="1" applyFont="1" applyFill="1" applyBorder="1" applyAlignment="1" applyProtection="1">
      <alignment horizontal="center" vertical="center"/>
      <protection hidden="1"/>
    </xf>
    <xf numFmtId="1" fontId="10" fillId="0" borderId="17" xfId="0" applyNumberFormat="1" applyFont="1" applyFill="1" applyBorder="1" applyAlignment="1" applyProtection="1">
      <alignment vertical="center"/>
      <protection hidden="1"/>
    </xf>
    <xf numFmtId="1" fontId="10" fillId="0" borderId="56" xfId="0" quotePrefix="1" applyNumberFormat="1" applyFont="1" applyFill="1" applyBorder="1" applyAlignment="1" applyProtection="1">
      <alignment horizontal="center" vertical="center"/>
      <protection hidden="1"/>
    </xf>
    <xf numFmtId="1" fontId="10" fillId="0" borderId="86" xfId="0" quotePrefix="1" applyNumberFormat="1" applyFont="1" applyFill="1" applyBorder="1" applyAlignment="1" applyProtection="1">
      <alignment horizontal="center" vertical="center"/>
      <protection hidden="1"/>
    </xf>
    <xf numFmtId="1" fontId="10" fillId="0" borderId="80" xfId="0" applyNumberFormat="1" applyFont="1" applyFill="1" applyBorder="1" applyAlignment="1" applyProtection="1">
      <alignment vertical="center"/>
      <protection hidden="1"/>
    </xf>
    <xf numFmtId="1" fontId="10" fillId="0" borderId="82" xfId="0" applyNumberFormat="1" applyFont="1" applyFill="1" applyBorder="1" applyAlignment="1" applyProtection="1">
      <alignment vertical="center"/>
      <protection hidden="1"/>
    </xf>
    <xf numFmtId="1" fontId="10" fillId="0" borderId="82" xfId="0" quotePrefix="1" applyNumberFormat="1" applyFont="1" applyFill="1" applyBorder="1" applyAlignment="1" applyProtection="1">
      <alignment horizontal="center" vertical="center"/>
      <protection hidden="1"/>
    </xf>
    <xf numFmtId="1" fontId="10" fillId="0" borderId="84" xfId="0" quotePrefix="1" applyNumberFormat="1" applyFont="1" applyFill="1" applyBorder="1" applyAlignment="1" applyProtection="1">
      <alignment horizontal="center" vertical="center"/>
      <protection hidden="1"/>
    </xf>
    <xf numFmtId="1" fontId="3" fillId="0" borderId="35" xfId="0" applyNumberFormat="1" applyFont="1" applyFill="1" applyBorder="1" applyAlignment="1" applyProtection="1">
      <alignment vertical="center"/>
      <protection hidden="1"/>
    </xf>
    <xf numFmtId="1" fontId="3" fillId="0" borderId="37" xfId="0" applyNumberFormat="1" applyFont="1" applyFill="1" applyBorder="1" applyAlignment="1" applyProtection="1">
      <alignment vertical="center"/>
      <protection hidden="1"/>
    </xf>
    <xf numFmtId="1" fontId="3" fillId="0" borderId="17" xfId="0" applyNumberFormat="1" applyFont="1" applyFill="1" applyBorder="1" applyAlignment="1" applyProtection="1">
      <alignment vertical="center"/>
      <protection hidden="1"/>
    </xf>
    <xf numFmtId="1" fontId="10" fillId="0" borderId="27" xfId="0" applyNumberFormat="1" applyFont="1" applyFill="1" applyBorder="1" applyAlignment="1" applyProtection="1">
      <alignment vertical="center"/>
      <protection hidden="1"/>
    </xf>
    <xf numFmtId="1" fontId="10" fillId="0" borderId="6" xfId="0" applyNumberFormat="1" applyFont="1" applyFill="1" applyBorder="1" applyAlignment="1" applyProtection="1">
      <alignment vertical="center"/>
      <protection hidden="1"/>
    </xf>
    <xf numFmtId="1" fontId="10" fillId="0" borderId="143" xfId="0" applyNumberFormat="1" applyFont="1" applyFill="1" applyBorder="1" applyAlignment="1" applyProtection="1">
      <alignment vertical="center"/>
      <protection hidden="1"/>
    </xf>
    <xf numFmtId="1" fontId="10" fillId="0" borderId="6" xfId="0" quotePrefix="1" applyNumberFormat="1" applyFont="1" applyFill="1" applyBorder="1" applyAlignment="1" applyProtection="1">
      <alignment horizontal="center" vertical="center"/>
      <protection hidden="1"/>
    </xf>
    <xf numFmtId="1" fontId="10" fillId="0" borderId="143" xfId="0" quotePrefix="1" applyNumberFormat="1" applyFont="1" applyFill="1" applyBorder="1" applyAlignment="1" applyProtection="1">
      <alignment horizontal="center" vertical="center"/>
      <protection hidden="1"/>
    </xf>
    <xf numFmtId="1" fontId="9" fillId="0" borderId="0" xfId="0" applyNumberFormat="1" applyFont="1"/>
    <xf numFmtId="164" fontId="10" fillId="10" borderId="53" xfId="0" applyNumberFormat="1" applyFont="1" applyFill="1" applyBorder="1" applyAlignment="1" applyProtection="1">
      <alignment horizontal="center"/>
    </xf>
    <xf numFmtId="3" fontId="10" fillId="2" borderId="52" xfId="0" applyNumberFormat="1" applyFont="1" applyFill="1" applyBorder="1" applyAlignment="1" applyProtection="1"/>
    <xf numFmtId="168" fontId="10" fillId="8" borderId="47" xfId="0" quotePrefix="1" applyNumberFormat="1" applyFont="1" applyFill="1" applyBorder="1" applyAlignment="1" applyProtection="1">
      <alignment horizontal="center"/>
    </xf>
    <xf numFmtId="164" fontId="10" fillId="2" borderId="50" xfId="0" applyNumberFormat="1" applyFont="1" applyFill="1" applyBorder="1" applyAlignment="1" applyProtection="1">
      <alignment horizontal="center" vertical="center"/>
    </xf>
    <xf numFmtId="164" fontId="10" fillId="9" borderId="22" xfId="0" applyNumberFormat="1" applyFont="1" applyFill="1" applyBorder="1" applyAlignment="1" applyProtection="1">
      <alignment horizontal="center"/>
    </xf>
    <xf numFmtId="3" fontId="10" fillId="8" borderId="48" xfId="0" applyNumberFormat="1" applyFont="1" applyFill="1" applyBorder="1"/>
    <xf numFmtId="168" fontId="10" fillId="8" borderId="22" xfId="0" quotePrefix="1" applyNumberFormat="1" applyFont="1" applyFill="1" applyBorder="1" applyAlignment="1" applyProtection="1">
      <alignment horizontal="center"/>
    </xf>
    <xf numFmtId="3" fontId="10" fillId="9" borderId="103" xfId="0" applyNumberFormat="1" applyFont="1" applyFill="1" applyBorder="1" applyAlignment="1" applyProtection="1"/>
    <xf numFmtId="3" fontId="10" fillId="9" borderId="48" xfId="0" applyNumberFormat="1" applyFont="1" applyFill="1" applyBorder="1"/>
    <xf numFmtId="3" fontId="10" fillId="9" borderId="49" xfId="0" applyNumberFormat="1" applyFont="1" applyFill="1" applyBorder="1" applyAlignment="1" applyProtection="1"/>
    <xf numFmtId="3" fontId="10" fillId="9" borderId="22" xfId="0" applyNumberFormat="1" applyFont="1" applyFill="1" applyBorder="1" applyAlignment="1" applyProtection="1"/>
    <xf numFmtId="3" fontId="10" fillId="9" borderId="102" xfId="0" applyNumberFormat="1" applyFont="1" applyFill="1" applyBorder="1" applyAlignment="1" applyProtection="1"/>
    <xf numFmtId="3" fontId="10" fillId="9" borderId="104" xfId="0" applyNumberFormat="1" applyFont="1" applyFill="1" applyBorder="1" applyAlignment="1" applyProtection="1"/>
    <xf numFmtId="164" fontId="10" fillId="9" borderId="18" xfId="0" applyNumberFormat="1" applyFont="1" applyFill="1" applyBorder="1" applyAlignment="1" applyProtection="1">
      <alignment horizontal="center" vertical="center"/>
    </xf>
    <xf numFmtId="164" fontId="10" fillId="9" borderId="41" xfId="0" applyNumberFormat="1" applyFont="1" applyFill="1" applyBorder="1" applyAlignment="1" applyProtection="1">
      <alignment horizontal="center" vertical="center"/>
    </xf>
    <xf numFmtId="164" fontId="10" fillId="9" borderId="22" xfId="0" applyNumberFormat="1" applyFont="1" applyFill="1" applyBorder="1" applyAlignment="1" applyProtection="1">
      <alignment horizontal="center" vertical="center"/>
    </xf>
    <xf numFmtId="0" fontId="34" fillId="10" borderId="92" xfId="0" applyFont="1" applyFill="1" applyBorder="1" applyAlignment="1">
      <alignment vertical="center" wrapText="1"/>
    </xf>
    <xf numFmtId="0" fontId="34" fillId="10" borderId="144" xfId="0" applyFont="1" applyFill="1" applyBorder="1" applyAlignment="1">
      <alignment horizontal="left" vertical="center" wrapText="1"/>
    </xf>
    <xf numFmtId="0" fontId="34" fillId="10" borderId="91" xfId="0" applyFont="1" applyFill="1" applyBorder="1" applyAlignment="1">
      <alignment horizontal="left" vertical="center" wrapText="1"/>
    </xf>
    <xf numFmtId="167" fontId="10" fillId="8" borderId="31" xfId="0" applyNumberFormat="1" applyFont="1" applyFill="1" applyBorder="1" applyAlignment="1" applyProtection="1">
      <alignment horizontal="center"/>
    </xf>
    <xf numFmtId="167" fontId="10" fillId="8" borderId="51" xfId="0" applyNumberFormat="1" applyFont="1" applyFill="1" applyBorder="1" applyAlignment="1" applyProtection="1">
      <alignment horizontal="center"/>
    </xf>
    <xf numFmtId="167" fontId="10" fillId="8" borderId="102" xfId="0" applyNumberFormat="1" applyFont="1" applyFill="1" applyBorder="1" applyAlignment="1" applyProtection="1">
      <alignment horizontal="center"/>
    </xf>
    <xf numFmtId="1" fontId="10" fillId="0" borderId="0" xfId="0" applyNumberFormat="1" applyFont="1" applyFill="1" applyAlignment="1">
      <alignment horizontal="right" vertical="center"/>
    </xf>
    <xf numFmtId="168" fontId="10" fillId="8" borderId="86" xfId="0" applyNumberFormat="1" applyFont="1" applyFill="1" applyBorder="1" applyAlignment="1" applyProtection="1">
      <alignment horizontal="center" vertical="center"/>
    </xf>
    <xf numFmtId="1" fontId="10" fillId="11" borderId="91" xfId="0" applyNumberFormat="1" applyFont="1" applyFill="1" applyBorder="1" applyAlignment="1" applyProtection="1">
      <alignment vertical="center"/>
      <protection hidden="1"/>
    </xf>
    <xf numFmtId="1" fontId="10" fillId="11" borderId="92" xfId="0" applyNumberFormat="1" applyFont="1" applyFill="1" applyBorder="1" applyAlignment="1" applyProtection="1">
      <alignment vertical="center"/>
      <protection hidden="1"/>
    </xf>
    <xf numFmtId="41" fontId="10" fillId="11" borderId="91" xfId="0" applyNumberFormat="1" applyFont="1" applyFill="1" applyBorder="1" applyAlignment="1" applyProtection="1">
      <alignment vertical="center"/>
      <protection hidden="1"/>
    </xf>
    <xf numFmtId="41" fontId="10" fillId="11" borderId="92" xfId="0" applyNumberFormat="1" applyFont="1" applyFill="1" applyBorder="1" applyAlignment="1" applyProtection="1">
      <alignment vertical="center"/>
      <protection hidden="1"/>
    </xf>
    <xf numFmtId="1" fontId="0" fillId="8" borderId="0" xfId="0" applyNumberFormat="1" applyFill="1" applyBorder="1"/>
    <xf numFmtId="3" fontId="10" fillId="9" borderId="108" xfId="0" applyNumberFormat="1" applyFont="1" applyFill="1" applyBorder="1" applyAlignment="1" applyProtection="1"/>
    <xf numFmtId="3" fontId="10" fillId="9" borderId="14" xfId="0" applyNumberFormat="1" applyFont="1" applyFill="1" applyBorder="1" applyAlignment="1" applyProtection="1"/>
    <xf numFmtId="3" fontId="10" fillId="9" borderId="95" xfId="0" applyNumberFormat="1" applyFont="1" applyFill="1" applyBorder="1" applyAlignment="1" applyProtection="1"/>
    <xf numFmtId="3" fontId="10" fillId="9" borderId="13" xfId="0" applyNumberFormat="1" applyFont="1" applyFill="1" applyBorder="1" applyAlignment="1" applyProtection="1"/>
    <xf numFmtId="3" fontId="10" fillId="9" borderId="90" xfId="0" applyNumberFormat="1" applyFont="1" applyFill="1" applyBorder="1" applyAlignment="1" applyProtection="1"/>
    <xf numFmtId="1" fontId="10" fillId="0" borderId="108" xfId="0" applyNumberFormat="1" applyFont="1" applyFill="1" applyBorder="1" applyAlignment="1" applyProtection="1">
      <alignment vertical="center"/>
      <protection hidden="1"/>
    </xf>
    <xf numFmtId="1" fontId="10" fillId="0" borderId="12" xfId="0" applyNumberFormat="1" applyFont="1" applyFill="1" applyBorder="1" applyAlignment="1" applyProtection="1">
      <alignment vertical="center"/>
      <protection hidden="1"/>
    </xf>
    <xf numFmtId="1" fontId="10" fillId="0" borderId="14" xfId="0" applyNumberFormat="1" applyFont="1" applyFill="1" applyBorder="1" applyAlignment="1" applyProtection="1">
      <alignment vertical="center"/>
      <protection hidden="1"/>
    </xf>
    <xf numFmtId="1" fontId="10" fillId="0" borderId="145" xfId="0" applyNumberFormat="1" applyFont="1" applyFill="1" applyBorder="1" applyAlignment="1" applyProtection="1">
      <alignment vertical="center"/>
      <protection hidden="1"/>
    </xf>
    <xf numFmtId="1" fontId="10" fillId="8" borderId="12" xfId="0" applyNumberFormat="1" applyFont="1" applyFill="1" applyBorder="1" applyAlignment="1" applyProtection="1">
      <alignment vertical="center"/>
      <protection hidden="1"/>
    </xf>
    <xf numFmtId="1" fontId="10" fillId="0" borderId="13" xfId="0" applyNumberFormat="1" applyFont="1" applyFill="1" applyBorder="1" applyAlignment="1" applyProtection="1">
      <alignment vertical="center"/>
      <protection hidden="1"/>
    </xf>
    <xf numFmtId="1" fontId="10" fillId="0" borderId="95" xfId="0" applyNumberFormat="1" applyFont="1" applyFill="1" applyBorder="1" applyAlignment="1" applyProtection="1">
      <alignment vertical="center"/>
      <protection hidden="1"/>
    </xf>
    <xf numFmtId="0" fontId="34" fillId="10" borderId="91" xfId="0" applyFont="1" applyFill="1" applyBorder="1" applyAlignment="1">
      <alignment vertical="center" wrapText="1"/>
    </xf>
    <xf numFmtId="164" fontId="10" fillId="9" borderId="55" xfId="0" applyNumberFormat="1" applyFont="1" applyFill="1" applyBorder="1" applyAlignment="1" applyProtection="1">
      <alignment horizontal="center" vertical="center"/>
    </xf>
    <xf numFmtId="3" fontId="10" fillId="9" borderId="107" xfId="0" applyNumberFormat="1" applyFont="1" applyFill="1" applyBorder="1" applyAlignment="1" applyProtection="1"/>
    <xf numFmtId="3" fontId="10" fillId="9" borderId="56" xfId="0" applyNumberFormat="1" applyFont="1" applyFill="1" applyBorder="1"/>
    <xf numFmtId="3" fontId="10" fillId="9" borderId="54" xfId="0" applyNumberFormat="1" applyFont="1" applyFill="1" applyBorder="1" applyAlignment="1" applyProtection="1"/>
    <xf numFmtId="3" fontId="10" fillId="9" borderId="55" xfId="0" applyNumberFormat="1" applyFont="1" applyFill="1" applyBorder="1" applyAlignment="1" applyProtection="1"/>
    <xf numFmtId="3" fontId="10" fillId="9" borderId="114" xfId="0" applyNumberFormat="1" applyFont="1" applyFill="1" applyBorder="1" applyAlignment="1" applyProtection="1"/>
    <xf numFmtId="168" fontId="10" fillId="8" borderId="55" xfId="0" applyNumberFormat="1" applyFont="1" applyFill="1" applyBorder="1" applyAlignment="1" applyProtection="1">
      <alignment horizontal="center"/>
    </xf>
    <xf numFmtId="164" fontId="10" fillId="9" borderId="95" xfId="0" applyNumberFormat="1" applyFont="1" applyFill="1" applyBorder="1" applyAlignment="1" applyProtection="1">
      <alignment horizontal="center" vertical="center"/>
    </xf>
    <xf numFmtId="1" fontId="10" fillId="0" borderId="55" xfId="0" applyNumberFormat="1" applyFont="1" applyFill="1" applyBorder="1" applyAlignment="1" applyProtection="1">
      <alignment vertical="center"/>
      <protection hidden="1"/>
    </xf>
    <xf numFmtId="1" fontId="10" fillId="0" borderId="114" xfId="0" applyNumberFormat="1" applyFont="1" applyFill="1" applyBorder="1" applyAlignment="1" applyProtection="1">
      <alignment vertical="center"/>
      <protection hidden="1"/>
    </xf>
    <xf numFmtId="1" fontId="10" fillId="0" borderId="85" xfId="0" applyNumberFormat="1" applyFont="1" applyFill="1" applyBorder="1" applyAlignment="1" applyProtection="1">
      <alignment vertical="center"/>
      <protection hidden="1"/>
    </xf>
    <xf numFmtId="167" fontId="10" fillId="8" borderId="85" xfId="0" applyNumberFormat="1" applyFont="1" applyFill="1" applyBorder="1" applyAlignment="1" applyProtection="1">
      <alignment horizontal="center"/>
    </xf>
    <xf numFmtId="1" fontId="10" fillId="8" borderId="28" xfId="0" applyNumberFormat="1" applyFont="1" applyFill="1" applyBorder="1" applyAlignment="1" applyProtection="1">
      <alignment vertical="center"/>
      <protection hidden="1"/>
    </xf>
    <xf numFmtId="1" fontId="10" fillId="8" borderId="32" xfId="0" applyNumberFormat="1" applyFont="1" applyFill="1" applyBorder="1" applyAlignment="1" applyProtection="1">
      <alignment vertical="center"/>
      <protection hidden="1"/>
    </xf>
    <xf numFmtId="1" fontId="10" fillId="0" borderId="54" xfId="0" applyNumberFormat="1" applyFont="1" applyFill="1" applyBorder="1" applyAlignment="1" applyProtection="1">
      <alignment vertical="center"/>
      <protection hidden="1"/>
    </xf>
    <xf numFmtId="1" fontId="10" fillId="0" borderId="1" xfId="0" applyNumberFormat="1" applyFont="1" applyFill="1" applyBorder="1" applyAlignment="1" applyProtection="1">
      <alignment vertical="center"/>
      <protection hidden="1"/>
    </xf>
    <xf numFmtId="1" fontId="10" fillId="0" borderId="34" xfId="0" applyNumberFormat="1" applyFont="1" applyFill="1" applyBorder="1" applyAlignment="1" applyProtection="1">
      <alignment vertical="center"/>
      <protection hidden="1"/>
    </xf>
    <xf numFmtId="1" fontId="10" fillId="0" borderId="66" xfId="0" applyNumberFormat="1" applyFont="1" applyFill="1" applyBorder="1" applyAlignment="1" applyProtection="1">
      <alignment vertical="center"/>
      <protection hidden="1"/>
    </xf>
    <xf numFmtId="1" fontId="10" fillId="0" borderId="138" xfId="0" applyNumberFormat="1" applyFont="1" applyFill="1" applyBorder="1" applyAlignment="1" applyProtection="1">
      <alignment vertical="center"/>
      <protection hidden="1"/>
    </xf>
    <xf numFmtId="1" fontId="10" fillId="0" borderId="5" xfId="0" applyNumberFormat="1" applyFont="1" applyFill="1" applyBorder="1" applyAlignment="1" applyProtection="1">
      <alignment vertical="center"/>
      <protection hidden="1"/>
    </xf>
    <xf numFmtId="0" fontId="10" fillId="2" borderId="48" xfId="0" applyFont="1" applyFill="1" applyBorder="1"/>
    <xf numFmtId="0" fontId="31" fillId="9" borderId="91" xfId="0" applyFont="1" applyFill="1" applyBorder="1" applyAlignment="1">
      <alignment vertical="center"/>
    </xf>
    <xf numFmtId="0" fontId="31" fillId="9" borderId="92" xfId="0" applyFont="1" applyFill="1" applyBorder="1" applyAlignment="1">
      <alignment vertical="center"/>
    </xf>
    <xf numFmtId="164" fontId="10" fillId="2" borderId="86" xfId="0" applyNumberFormat="1" applyFont="1" applyFill="1" applyBorder="1" applyAlignment="1" applyProtection="1">
      <alignment horizontal="center" vertical="center"/>
    </xf>
    <xf numFmtId="164" fontId="10" fillId="9" borderId="55" xfId="0" applyNumberFormat="1" applyFont="1" applyFill="1" applyBorder="1" applyAlignment="1" applyProtection="1">
      <alignment horizontal="center"/>
    </xf>
    <xf numFmtId="3" fontId="10" fillId="2" borderId="107" xfId="0" applyNumberFormat="1" applyFont="1" applyFill="1" applyBorder="1" applyAlignment="1" applyProtection="1"/>
    <xf numFmtId="3" fontId="10" fillId="2" borderId="114" xfId="0" applyNumberFormat="1" applyFont="1" applyFill="1" applyBorder="1" applyAlignment="1" applyProtection="1"/>
    <xf numFmtId="14" fontId="10" fillId="0" borderId="0" xfId="0" applyNumberFormat="1" applyFont="1" applyFill="1" applyAlignment="1" applyProtection="1">
      <alignment horizontal="center" vertical="center"/>
      <protection hidden="1"/>
    </xf>
    <xf numFmtId="168" fontId="10" fillId="8" borderId="18" xfId="0" quotePrefix="1" applyNumberFormat="1" applyFont="1" applyFill="1" applyBorder="1" applyAlignment="1" applyProtection="1">
      <alignment horizontal="center"/>
    </xf>
    <xf numFmtId="1" fontId="10" fillId="8" borderId="105" xfId="0" applyNumberFormat="1" applyFont="1" applyFill="1" applyBorder="1" applyAlignment="1" applyProtection="1">
      <alignment vertical="center"/>
      <protection hidden="1"/>
    </xf>
    <xf numFmtId="1" fontId="10" fillId="8" borderId="30" xfId="0" applyNumberFormat="1" applyFont="1" applyFill="1" applyBorder="1" applyAlignment="1" applyProtection="1">
      <alignment vertical="center"/>
      <protection hidden="1"/>
    </xf>
    <xf numFmtId="1" fontId="10" fillId="8" borderId="106" xfId="0" applyNumberFormat="1" applyFont="1" applyFill="1" applyBorder="1" applyAlignment="1" applyProtection="1">
      <alignment vertical="center"/>
      <protection hidden="1"/>
    </xf>
    <xf numFmtId="1" fontId="10" fillId="8" borderId="18" xfId="0" applyNumberFormat="1" applyFont="1" applyFill="1" applyBorder="1" applyAlignment="1" applyProtection="1">
      <alignment vertical="center"/>
      <protection hidden="1"/>
    </xf>
    <xf numFmtId="1" fontId="10" fillId="8" borderId="31" xfId="0" applyNumberFormat="1" applyFont="1" applyFill="1" applyBorder="1" applyAlignment="1" applyProtection="1">
      <alignment vertical="center"/>
      <protection hidden="1"/>
    </xf>
    <xf numFmtId="168" fontId="10" fillId="8" borderId="55" xfId="0" quotePrefix="1" applyNumberFormat="1" applyFont="1" applyFill="1" applyBorder="1" applyAlignment="1" applyProtection="1">
      <alignment horizontal="center"/>
    </xf>
    <xf numFmtId="41" fontId="10" fillId="0" borderId="147" xfId="0" applyNumberFormat="1" applyFont="1" applyFill="1" applyBorder="1" applyAlignment="1" applyProtection="1">
      <alignment vertical="center"/>
      <protection hidden="1"/>
    </xf>
    <xf numFmtId="41" fontId="10" fillId="0" borderId="103" xfId="0" applyNumberFormat="1" applyFont="1" applyFill="1" applyBorder="1" applyAlignment="1" applyProtection="1">
      <alignment vertical="center"/>
      <protection hidden="1"/>
    </xf>
    <xf numFmtId="41" fontId="10" fillId="0" borderId="48" xfId="0" applyNumberFormat="1" applyFont="1" applyFill="1" applyBorder="1" applyAlignment="1" applyProtection="1">
      <alignment vertical="center"/>
      <protection hidden="1"/>
    </xf>
    <xf numFmtId="41" fontId="10" fillId="0" borderId="48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46" xfId="0" applyNumberFormat="1" applyFont="1" applyFill="1" applyBorder="1" applyAlignment="1" applyProtection="1">
      <alignment vertical="center"/>
      <protection hidden="1"/>
    </xf>
    <xf numFmtId="41" fontId="10" fillId="0" borderId="50" xfId="0" applyNumberFormat="1" applyFont="1" applyFill="1" applyBorder="1" applyAlignment="1" applyProtection="1">
      <alignment vertical="center"/>
      <protection hidden="1"/>
    </xf>
    <xf numFmtId="41" fontId="10" fillId="0" borderId="102" xfId="0" quotePrefix="1" applyNumberFormat="1" applyFont="1" applyFill="1" applyBorder="1" applyAlignment="1" applyProtection="1">
      <alignment horizontal="center" vertical="center"/>
      <protection hidden="1"/>
    </xf>
    <xf numFmtId="12" fontId="10" fillId="0" borderId="48" xfId="0" applyNumberFormat="1" applyFont="1" applyFill="1" applyBorder="1" applyAlignment="1" applyProtection="1">
      <alignment vertical="center"/>
      <protection hidden="1"/>
    </xf>
    <xf numFmtId="1" fontId="10" fillId="0" borderId="46" xfId="0" applyNumberFormat="1" applyFont="1" applyFill="1" applyBorder="1" applyAlignment="1" applyProtection="1">
      <alignment vertical="center"/>
      <protection hidden="1"/>
    </xf>
    <xf numFmtId="1" fontId="10" fillId="0" borderId="48" xfId="0" applyNumberFormat="1" applyFont="1" applyFill="1" applyBorder="1" applyAlignment="1" applyProtection="1">
      <alignment vertical="center"/>
      <protection hidden="1"/>
    </xf>
    <xf numFmtId="1" fontId="10" fillId="0" borderId="50" xfId="0" applyNumberFormat="1" applyFont="1" applyFill="1" applyBorder="1" applyAlignment="1" applyProtection="1">
      <alignment vertical="center"/>
      <protection hidden="1"/>
    </xf>
    <xf numFmtId="1" fontId="10" fillId="0" borderId="103" xfId="0" applyNumberFormat="1" applyFont="1" applyFill="1" applyBorder="1" applyAlignment="1" applyProtection="1">
      <alignment vertical="center"/>
      <protection hidden="1"/>
    </xf>
    <xf numFmtId="1" fontId="10" fillId="0" borderId="49" xfId="0" quotePrefix="1" applyNumberFormat="1" applyFont="1" applyFill="1" applyBorder="1" applyAlignment="1" applyProtection="1">
      <alignment horizontal="center" vertical="center"/>
      <protection hidden="1"/>
    </xf>
    <xf numFmtId="0" fontId="20" fillId="9" borderId="91" xfId="0" applyFont="1" applyFill="1" applyBorder="1" applyAlignment="1">
      <alignment vertical="center" textRotation="90"/>
    </xf>
    <xf numFmtId="0" fontId="20" fillId="9" borderId="92" xfId="0" applyFont="1" applyFill="1" applyBorder="1" applyAlignment="1">
      <alignment vertical="center" textRotation="90"/>
    </xf>
    <xf numFmtId="164" fontId="10" fillId="2" borderId="144" xfId="0" quotePrefix="1" applyNumberFormat="1" applyFont="1" applyFill="1" applyBorder="1" applyAlignment="1" applyProtection="1">
      <alignment horizontal="center" vertical="center"/>
    </xf>
    <xf numFmtId="164" fontId="10" fillId="9" borderId="34" xfId="0" applyNumberFormat="1" applyFont="1" applyFill="1" applyBorder="1" applyAlignment="1" applyProtection="1">
      <alignment horizontal="center" vertical="center"/>
    </xf>
    <xf numFmtId="164" fontId="10" fillId="9" borderId="133" xfId="0" applyNumberFormat="1" applyFont="1" applyFill="1" applyBorder="1" applyAlignment="1" applyProtection="1">
      <alignment horizontal="center"/>
    </xf>
    <xf numFmtId="3" fontId="10" fillId="8" borderId="137" xfId="0" applyNumberFormat="1" applyFont="1" applyFill="1" applyBorder="1" applyAlignment="1" applyProtection="1"/>
    <xf numFmtId="3" fontId="10" fillId="8" borderId="35" xfId="0" applyNumberFormat="1" applyFont="1" applyFill="1" applyBorder="1"/>
    <xf numFmtId="3" fontId="10" fillId="8" borderId="141" xfId="0" applyNumberFormat="1" applyFont="1" applyFill="1" applyBorder="1" applyAlignment="1" applyProtection="1"/>
    <xf numFmtId="3" fontId="10" fillId="8" borderId="133" xfId="0" applyNumberFormat="1" applyFont="1" applyFill="1" applyBorder="1" applyAlignment="1" applyProtection="1"/>
    <xf numFmtId="3" fontId="10" fillId="8" borderId="134" xfId="0" applyNumberFormat="1" applyFont="1" applyFill="1" applyBorder="1" applyAlignment="1" applyProtection="1"/>
    <xf numFmtId="3" fontId="10" fillId="8" borderId="31" xfId="0" applyNumberFormat="1" applyFont="1" applyFill="1" applyBorder="1" applyAlignment="1" applyProtection="1"/>
    <xf numFmtId="3" fontId="10" fillId="8" borderId="36" xfId="0" applyNumberFormat="1" applyFont="1" applyFill="1" applyBorder="1" applyAlignment="1" applyProtection="1"/>
    <xf numFmtId="168" fontId="10" fillId="8" borderId="29" xfId="0" applyNumberFormat="1" applyFont="1" applyFill="1" applyBorder="1" applyAlignment="1" applyProtection="1">
      <alignment horizontal="center"/>
    </xf>
    <xf numFmtId="168" fontId="10" fillId="8" borderId="47" xfId="0" applyNumberFormat="1" applyFont="1" applyFill="1" applyBorder="1" applyAlignment="1" applyProtection="1">
      <alignment horizontal="center"/>
    </xf>
    <xf numFmtId="1" fontId="10" fillId="8" borderId="5" xfId="0" applyNumberFormat="1" applyFont="1" applyFill="1" applyBorder="1" applyAlignment="1" applyProtection="1">
      <alignment vertical="center"/>
      <protection hidden="1"/>
    </xf>
    <xf numFmtId="1" fontId="10" fillId="8" borderId="65" xfId="0" applyNumberFormat="1" applyFont="1" applyFill="1" applyBorder="1" applyAlignment="1" applyProtection="1">
      <alignment vertical="center"/>
      <protection hidden="1"/>
    </xf>
    <xf numFmtId="1" fontId="10" fillId="8" borderId="66" xfId="0" applyNumberFormat="1" applyFont="1" applyFill="1" applyBorder="1" applyAlignment="1" applyProtection="1">
      <alignment vertical="center"/>
      <protection hidden="1"/>
    </xf>
    <xf numFmtId="1" fontId="10" fillId="8" borderId="148" xfId="0" applyNumberFormat="1" applyFont="1" applyFill="1" applyBorder="1" applyAlignment="1" applyProtection="1">
      <alignment vertical="center"/>
      <protection hidden="1"/>
    </xf>
    <xf numFmtId="1" fontId="10" fillId="15" borderId="29" xfId="0" applyNumberFormat="1" applyFont="1" applyFill="1" applyBorder="1" applyAlignment="1" applyProtection="1">
      <alignment horizontal="center" vertical="center"/>
      <protection hidden="1"/>
    </xf>
    <xf numFmtId="1" fontId="10" fillId="15" borderId="47" xfId="0" applyNumberFormat="1" applyFont="1" applyFill="1" applyBorder="1" applyAlignment="1" applyProtection="1">
      <alignment horizontal="center" vertical="center"/>
      <protection hidden="1"/>
    </xf>
    <xf numFmtId="41" fontId="10" fillId="15" borderId="53" xfId="0" applyNumberFormat="1" applyFont="1" applyFill="1" applyBorder="1" applyAlignment="1" applyProtection="1">
      <alignment horizontal="center" vertical="center"/>
      <protection hidden="1"/>
    </xf>
    <xf numFmtId="41" fontId="10" fillId="15" borderId="39" xfId="0" applyNumberFormat="1" applyFont="1" applyFill="1" applyBorder="1" applyAlignment="1" applyProtection="1">
      <alignment horizontal="center" vertical="center"/>
      <protection hidden="1"/>
    </xf>
    <xf numFmtId="1" fontId="10" fillId="0" borderId="139" xfId="0" applyNumberFormat="1" applyFont="1" applyFill="1" applyBorder="1" applyAlignment="1" applyProtection="1">
      <alignment vertical="center"/>
      <protection hidden="1"/>
    </xf>
    <xf numFmtId="1" fontId="10" fillId="0" borderId="57" xfId="0" applyNumberFormat="1" applyFont="1" applyFill="1" applyBorder="1" applyAlignment="1" applyProtection="1">
      <alignment vertical="center"/>
      <protection hidden="1"/>
    </xf>
    <xf numFmtId="168" fontId="10" fillId="8" borderId="95" xfId="0" quotePrefix="1" applyNumberFormat="1" applyFont="1" applyFill="1" applyBorder="1" applyAlignment="1" applyProtection="1">
      <alignment horizontal="center"/>
    </xf>
    <xf numFmtId="1" fontId="10" fillId="8" borderId="145" xfId="0" applyNumberFormat="1" applyFont="1" applyFill="1" applyBorder="1" applyAlignment="1" applyProtection="1">
      <alignment vertical="center"/>
      <protection hidden="1"/>
    </xf>
    <xf numFmtId="41" fontId="10" fillId="0" borderId="108" xfId="0" applyNumberFormat="1" applyFont="1" applyFill="1" applyBorder="1" applyAlignment="1" applyProtection="1">
      <alignment vertical="center"/>
      <protection hidden="1"/>
    </xf>
    <xf numFmtId="41" fontId="10" fillId="0" borderId="12" xfId="0" applyNumberFormat="1" applyFont="1" applyFill="1" applyBorder="1" applyAlignment="1" applyProtection="1">
      <alignment vertical="center"/>
      <protection hidden="1"/>
    </xf>
    <xf numFmtId="41" fontId="10" fillId="0" borderId="12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145" xfId="0" applyNumberFormat="1" applyFont="1" applyFill="1" applyBorder="1" applyAlignment="1" applyProtection="1">
      <alignment vertical="center"/>
      <protection hidden="1"/>
    </xf>
    <xf numFmtId="41" fontId="10" fillId="0" borderId="2" xfId="0" applyNumberFormat="1" applyFont="1" applyFill="1" applyBorder="1" applyAlignment="1" applyProtection="1">
      <alignment vertical="center"/>
      <protection hidden="1"/>
    </xf>
    <xf numFmtId="41" fontId="10" fillId="0" borderId="13" xfId="0" quotePrefix="1" applyNumberFormat="1" applyFont="1" applyFill="1" applyBorder="1" applyAlignment="1" applyProtection="1">
      <alignment horizontal="center" vertical="center"/>
      <protection hidden="1"/>
    </xf>
    <xf numFmtId="12" fontId="10" fillId="0" borderId="12" xfId="0" applyNumberFormat="1" applyFont="1" applyFill="1" applyBorder="1" applyAlignment="1" applyProtection="1">
      <alignment vertical="center"/>
      <protection hidden="1"/>
    </xf>
    <xf numFmtId="1" fontId="10" fillId="0" borderId="2" xfId="0" applyNumberFormat="1" applyFont="1" applyFill="1" applyBorder="1" applyAlignment="1" applyProtection="1">
      <alignment vertical="center"/>
      <protection hidden="1"/>
    </xf>
    <xf numFmtId="1" fontId="10" fillId="0" borderId="14" xfId="0" quotePrefix="1" applyNumberFormat="1" applyFont="1" applyFill="1" applyBorder="1" applyAlignment="1" applyProtection="1">
      <alignment horizontal="center" vertical="center"/>
      <protection hidden="1"/>
    </xf>
    <xf numFmtId="1" fontId="10" fillId="0" borderId="49" xfId="0" applyNumberFormat="1" applyFont="1" applyFill="1" applyBorder="1" applyAlignment="1" applyProtection="1">
      <alignment vertical="center"/>
      <protection hidden="1"/>
    </xf>
    <xf numFmtId="1" fontId="10" fillId="0" borderId="102" xfId="0" applyNumberFormat="1" applyFont="1" applyFill="1" applyBorder="1" applyAlignment="1" applyProtection="1">
      <alignment vertical="center"/>
      <protection hidden="1"/>
    </xf>
    <xf numFmtId="1" fontId="10" fillId="0" borderId="22" xfId="0" applyNumberFormat="1" applyFont="1" applyFill="1" applyBorder="1" applyAlignment="1" applyProtection="1">
      <alignment vertical="center"/>
      <protection hidden="1"/>
    </xf>
    <xf numFmtId="168" fontId="10" fillId="3" borderId="44" xfId="0" quotePrefix="1" applyNumberFormat="1" applyFont="1" applyFill="1" applyBorder="1" applyAlignment="1" applyProtection="1">
      <alignment horizontal="center"/>
    </xf>
    <xf numFmtId="164" fontId="10" fillId="4" borderId="55" xfId="0" applyNumberFormat="1" applyFont="1" applyFill="1" applyBorder="1" applyAlignment="1" applyProtection="1">
      <alignment horizontal="center"/>
    </xf>
    <xf numFmtId="164" fontId="10" fillId="9" borderId="53" xfId="0" applyNumberFormat="1" applyFont="1" applyFill="1" applyBorder="1" applyAlignment="1" applyProtection="1">
      <alignment horizontal="center"/>
    </xf>
    <xf numFmtId="164" fontId="10" fillId="9" borderId="107" xfId="0" applyNumberFormat="1" applyFont="1" applyFill="1" applyBorder="1" applyAlignment="1" applyProtection="1">
      <alignment horizontal="center"/>
    </xf>
    <xf numFmtId="167" fontId="10" fillId="16" borderId="56" xfId="0" applyNumberFormat="1" applyFont="1" applyFill="1" applyBorder="1" applyAlignment="1" applyProtection="1">
      <alignment horizontal="center"/>
    </xf>
    <xf numFmtId="164" fontId="10" fillId="9" borderId="29" xfId="0" applyNumberFormat="1" applyFont="1" applyFill="1" applyBorder="1" applyAlignment="1" applyProtection="1">
      <alignment horizontal="center"/>
    </xf>
    <xf numFmtId="167" fontId="10" fillId="16" borderId="32" xfId="0" applyNumberFormat="1" applyFont="1" applyFill="1" applyBorder="1" applyAlignment="1" applyProtection="1">
      <alignment horizontal="center"/>
    </xf>
    <xf numFmtId="168" fontId="10" fillId="3" borderId="145" xfId="0" quotePrefix="1" applyNumberFormat="1" applyFont="1" applyFill="1" applyBorder="1" applyAlignment="1" applyProtection="1">
      <alignment horizontal="center"/>
    </xf>
    <xf numFmtId="164" fontId="10" fillId="9" borderId="47" xfId="0" applyNumberFormat="1" applyFont="1" applyFill="1" applyBorder="1" applyAlignment="1" applyProtection="1">
      <alignment horizontal="center"/>
    </xf>
    <xf numFmtId="167" fontId="10" fillId="16" borderId="48" xfId="0" applyNumberFormat="1" applyFont="1" applyFill="1" applyBorder="1" applyAlignment="1" applyProtection="1">
      <alignment horizontal="center"/>
    </xf>
    <xf numFmtId="3" fontId="10" fillId="3" borderId="12" xfId="0" applyNumberFormat="1" applyFont="1" applyFill="1" applyBorder="1" applyAlignment="1" applyProtection="1"/>
    <xf numFmtId="3" fontId="10" fillId="3" borderId="2" xfId="0" applyNumberFormat="1" applyFont="1" applyFill="1" applyBorder="1"/>
    <xf numFmtId="3" fontId="10" fillId="3" borderId="92" xfId="0" applyNumberFormat="1" applyFont="1" applyFill="1" applyBorder="1" applyAlignment="1" applyProtection="1"/>
    <xf numFmtId="164" fontId="10" fillId="4" borderId="19" xfId="0" applyNumberFormat="1" applyFont="1" applyFill="1" applyBorder="1" applyAlignment="1" applyProtection="1">
      <alignment horizontal="center"/>
    </xf>
    <xf numFmtId="164" fontId="10" fillId="9" borderId="81" xfId="0" applyNumberFormat="1" applyFont="1" applyFill="1" applyBorder="1" applyAlignment="1" applyProtection="1">
      <alignment horizontal="center"/>
    </xf>
    <xf numFmtId="3" fontId="10" fillId="3" borderId="94" xfId="0" applyNumberFormat="1" applyFont="1" applyFill="1" applyBorder="1" applyAlignment="1" applyProtection="1"/>
    <xf numFmtId="3" fontId="10" fillId="3" borderId="17" xfId="0" applyNumberFormat="1" applyFont="1" applyFill="1" applyBorder="1" applyAlignment="1" applyProtection="1"/>
    <xf numFmtId="3" fontId="10" fillId="3" borderId="97" xfId="0" applyNumberFormat="1" applyFont="1" applyFill="1" applyBorder="1" applyAlignment="1" applyProtection="1"/>
    <xf numFmtId="3" fontId="10" fillId="3" borderId="0" xfId="0" applyNumberFormat="1" applyFont="1" applyFill="1" applyBorder="1"/>
    <xf numFmtId="3" fontId="10" fillId="9" borderId="99" xfId="0" applyNumberFormat="1" applyFont="1" applyFill="1" applyBorder="1" applyAlignment="1" applyProtection="1"/>
    <xf numFmtId="3" fontId="10" fillId="3" borderId="91" xfId="0" applyNumberFormat="1" applyFont="1" applyFill="1" applyBorder="1" applyAlignment="1" applyProtection="1"/>
    <xf numFmtId="0" fontId="26" fillId="10" borderId="32" xfId="9" applyFont="1" applyFill="1" applyBorder="1" applyAlignment="1">
      <alignment horizontal="center"/>
    </xf>
    <xf numFmtId="168" fontId="10" fillId="3" borderId="65" xfId="0" quotePrefix="1" applyNumberFormat="1" applyFont="1" applyFill="1" applyBorder="1" applyAlignment="1" applyProtection="1">
      <alignment horizontal="center"/>
    </xf>
    <xf numFmtId="164" fontId="10" fillId="9" borderId="29" xfId="0" applyNumberFormat="1" applyFont="1" applyFill="1" applyBorder="1" applyAlignment="1" applyProtection="1">
      <alignment horizontal="center" vertical="center"/>
    </xf>
    <xf numFmtId="0" fontId="26" fillId="10" borderId="48" xfId="9" applyFont="1" applyFill="1" applyBorder="1" applyAlignment="1">
      <alignment horizontal="center"/>
    </xf>
    <xf numFmtId="168" fontId="10" fillId="3" borderId="46" xfId="0" quotePrefix="1" applyNumberFormat="1" applyFont="1" applyFill="1" applyBorder="1" applyAlignment="1" applyProtection="1">
      <alignment horizontal="center"/>
    </xf>
    <xf numFmtId="164" fontId="10" fillId="9" borderId="47" xfId="0" applyNumberFormat="1" applyFont="1" applyFill="1" applyBorder="1" applyAlignment="1" applyProtection="1">
      <alignment horizontal="center" vertical="center"/>
    </xf>
    <xf numFmtId="168" fontId="10" fillId="3" borderId="78" xfId="0" quotePrefix="1" applyNumberFormat="1" applyFont="1" applyFill="1" applyBorder="1" applyAlignment="1" applyProtection="1">
      <alignment horizontal="center"/>
    </xf>
    <xf numFmtId="164" fontId="10" fillId="9" borderId="53" xfId="0" applyNumberFormat="1" applyFont="1" applyFill="1" applyBorder="1" applyAlignment="1" applyProtection="1">
      <alignment horizontal="center" vertical="center"/>
    </xf>
    <xf numFmtId="1" fontId="10" fillId="0" borderId="21" xfId="0" applyNumberFormat="1" applyFont="1" applyFill="1" applyBorder="1" applyAlignment="1" applyProtection="1">
      <alignment vertical="center"/>
      <protection hidden="1"/>
    </xf>
    <xf numFmtId="1" fontId="10" fillId="0" borderId="73" xfId="0" applyNumberFormat="1" applyFont="1" applyFill="1" applyBorder="1" applyAlignment="1" applyProtection="1">
      <alignment vertical="center"/>
      <protection hidden="1"/>
    </xf>
    <xf numFmtId="1" fontId="10" fillId="0" borderId="0" xfId="0" applyNumberFormat="1" applyFont="1" applyFill="1" applyBorder="1"/>
    <xf numFmtId="164" fontId="10" fillId="4" borderId="22" xfId="0" applyNumberFormat="1" applyFont="1" applyFill="1" applyBorder="1" applyAlignment="1" applyProtection="1">
      <alignment horizontal="center"/>
    </xf>
    <xf numFmtId="164" fontId="10" fillId="4" borderId="95" xfId="0" applyNumberFormat="1" applyFont="1" applyFill="1" applyBorder="1" applyAlignment="1" applyProtection="1">
      <alignment horizontal="center"/>
    </xf>
    <xf numFmtId="164" fontId="10" fillId="9" borderId="92" xfId="0" applyNumberFormat="1" applyFont="1" applyFill="1" applyBorder="1" applyAlignment="1" applyProtection="1">
      <alignment horizontal="center"/>
    </xf>
    <xf numFmtId="164" fontId="10" fillId="9" borderId="148" xfId="0" applyNumberFormat="1" applyFont="1" applyFill="1" applyBorder="1" applyAlignment="1" applyProtection="1">
      <alignment horizontal="center"/>
    </xf>
    <xf numFmtId="3" fontId="10" fillId="0" borderId="0" xfId="0" applyNumberFormat="1" applyFont="1" applyFill="1"/>
    <xf numFmtId="3" fontId="10" fillId="9" borderId="150" xfId="0" applyNumberFormat="1" applyFont="1" applyFill="1" applyBorder="1" applyAlignment="1" applyProtection="1"/>
    <xf numFmtId="3" fontId="10" fillId="9" borderId="8" xfId="0" applyNumberFormat="1" applyFont="1" applyFill="1" applyBorder="1" applyAlignment="1" applyProtection="1"/>
    <xf numFmtId="3" fontId="10" fillId="9" borderId="10" xfId="0" applyNumberFormat="1" applyFont="1" applyFill="1" applyBorder="1" applyAlignment="1" applyProtection="1"/>
    <xf numFmtId="164" fontId="10" fillId="12" borderId="55" xfId="0" applyNumberFormat="1" applyFont="1" applyFill="1" applyBorder="1" applyAlignment="1" applyProtection="1">
      <alignment horizontal="center"/>
    </xf>
    <xf numFmtId="168" fontId="10" fillId="3" borderId="111" xfId="0" quotePrefix="1" applyNumberFormat="1" applyFont="1" applyFill="1" applyBorder="1" applyAlignment="1" applyProtection="1">
      <alignment horizontal="center"/>
    </xf>
    <xf numFmtId="164" fontId="10" fillId="9" borderId="11" xfId="0" applyNumberFormat="1" applyFont="1" applyFill="1" applyBorder="1" applyAlignment="1" applyProtection="1">
      <alignment horizontal="center"/>
    </xf>
    <xf numFmtId="3" fontId="10" fillId="3" borderId="9" xfId="0" applyNumberFormat="1" applyFont="1" applyFill="1" applyBorder="1" applyAlignment="1" applyProtection="1"/>
    <xf numFmtId="3" fontId="10" fillId="3" borderId="152" xfId="0" applyNumberFormat="1" applyFont="1" applyFill="1" applyBorder="1"/>
    <xf numFmtId="3" fontId="10" fillId="3" borderId="11" xfId="0" applyNumberFormat="1" applyFont="1" applyFill="1" applyBorder="1" applyAlignment="1" applyProtection="1"/>
    <xf numFmtId="0" fontId="0" fillId="3" borderId="2" xfId="0" applyFill="1" applyBorder="1"/>
    <xf numFmtId="0" fontId="0" fillId="3" borderId="6" xfId="0" applyFill="1" applyBorder="1" applyAlignment="1">
      <alignment horizontal="center" vertical="center"/>
    </xf>
    <xf numFmtId="0" fontId="34" fillId="14" borderId="91" xfId="0" applyFont="1" applyFill="1" applyBorder="1" applyAlignment="1">
      <alignment vertical="center" wrapText="1"/>
    </xf>
    <xf numFmtId="0" fontId="33" fillId="14" borderId="39" xfId="9" applyFont="1" applyFill="1" applyBorder="1" applyAlignment="1">
      <alignment horizontal="center" vertical="center"/>
    </xf>
    <xf numFmtId="0" fontId="34" fillId="14" borderId="92" xfId="0" applyFont="1" applyFill="1" applyBorder="1" applyAlignment="1">
      <alignment vertical="center" wrapText="1"/>
    </xf>
    <xf numFmtId="0" fontId="33" fillId="14" borderId="47" xfId="9" applyFont="1" applyFill="1" applyBorder="1" applyAlignment="1">
      <alignment horizontal="center" vertical="center"/>
    </xf>
    <xf numFmtId="0" fontId="33" fillId="14" borderId="53" xfId="9" applyFont="1" applyFill="1" applyBorder="1" applyAlignment="1">
      <alignment horizontal="center" vertical="center"/>
    </xf>
    <xf numFmtId="0" fontId="33" fillId="14" borderId="144" xfId="9" applyFont="1" applyFill="1" applyBorder="1" applyAlignment="1">
      <alignment horizontal="center" vertical="center"/>
    </xf>
    <xf numFmtId="164" fontId="3" fillId="2" borderId="52" xfId="0" applyNumberFormat="1" applyFont="1" applyFill="1" applyBorder="1" applyAlignment="1" applyProtection="1">
      <alignment vertical="center"/>
      <protection hidden="1"/>
    </xf>
    <xf numFmtId="164" fontId="3" fillId="2" borderId="56" xfId="0" applyNumberFormat="1" applyFont="1" applyFill="1" applyBorder="1" applyAlignment="1" applyProtection="1">
      <alignment vertical="center"/>
      <protection hidden="1"/>
    </xf>
    <xf numFmtId="164" fontId="3" fillId="2" borderId="114" xfId="0" applyNumberFormat="1" applyFont="1" applyFill="1" applyBorder="1" applyAlignment="1" applyProtection="1">
      <alignment vertical="center"/>
      <protection hidden="1"/>
    </xf>
    <xf numFmtId="164" fontId="3" fillId="2" borderId="86" xfId="0" applyNumberFormat="1" applyFont="1" applyFill="1" applyBorder="1" applyAlignment="1" applyProtection="1">
      <alignment vertical="center"/>
      <protection hidden="1"/>
    </xf>
    <xf numFmtId="9" fontId="3" fillId="2" borderId="56" xfId="0" applyNumberFormat="1" applyFont="1" applyFill="1" applyBorder="1" applyAlignment="1" applyProtection="1">
      <alignment vertical="center"/>
      <protection hidden="1"/>
    </xf>
    <xf numFmtId="0" fontId="3" fillId="2" borderId="114" xfId="0" applyFont="1" applyFill="1" applyBorder="1" applyAlignment="1" applyProtection="1">
      <alignment vertical="center"/>
      <protection hidden="1"/>
    </xf>
    <xf numFmtId="0" fontId="0" fillId="2" borderId="56" xfId="0" applyFill="1" applyBorder="1" applyAlignment="1">
      <alignment horizontal="center" vertical="center"/>
    </xf>
    <xf numFmtId="0" fontId="0" fillId="3" borderId="86" xfId="0" applyFill="1" applyBorder="1"/>
    <xf numFmtId="0" fontId="0" fillId="2" borderId="86" xfId="0" applyFill="1" applyBorder="1"/>
    <xf numFmtId="164" fontId="3" fillId="3" borderId="52" xfId="0" applyNumberFormat="1" applyFont="1" applyFill="1" applyBorder="1" applyAlignment="1" applyProtection="1">
      <alignment vertical="center"/>
      <protection hidden="1"/>
    </xf>
    <xf numFmtId="164" fontId="3" fillId="3" borderId="56" xfId="0" applyNumberFormat="1" applyFont="1" applyFill="1" applyBorder="1" applyAlignment="1" applyProtection="1">
      <alignment vertical="center"/>
      <protection hidden="1"/>
    </xf>
    <xf numFmtId="164" fontId="3" fillId="3" borderId="114" xfId="0" applyNumberFormat="1" applyFont="1" applyFill="1" applyBorder="1" applyAlignment="1" applyProtection="1">
      <alignment vertical="center"/>
      <protection hidden="1"/>
    </xf>
    <xf numFmtId="164" fontId="3" fillId="3" borderId="86" xfId="0" applyNumberFormat="1" applyFont="1" applyFill="1" applyBorder="1" applyAlignment="1" applyProtection="1">
      <alignment vertical="center"/>
      <protection hidden="1"/>
    </xf>
    <xf numFmtId="9" fontId="3" fillId="3" borderId="56" xfId="0" applyNumberFormat="1" applyFont="1" applyFill="1" applyBorder="1" applyAlignment="1" applyProtection="1">
      <alignment vertical="center"/>
      <protection hidden="1"/>
    </xf>
    <xf numFmtId="0" fontId="3" fillId="3" borderId="114" xfId="0" applyFont="1" applyFill="1" applyBorder="1" applyAlignment="1" applyProtection="1">
      <alignment vertical="center"/>
      <protection hidden="1"/>
    </xf>
    <xf numFmtId="0" fontId="0" fillId="3" borderId="56" xfId="0" applyFill="1" applyBorder="1" applyAlignment="1">
      <alignment horizontal="center" vertical="center"/>
    </xf>
    <xf numFmtId="164" fontId="3" fillId="2" borderId="111" xfId="0" applyNumberFormat="1" applyFont="1" applyFill="1" applyBorder="1" applyAlignment="1" applyProtection="1">
      <alignment vertical="center"/>
      <protection hidden="1"/>
    </xf>
    <xf numFmtId="164" fontId="3" fillId="2" borderId="9" xfId="0" applyNumberFormat="1" applyFont="1" applyFill="1" applyBorder="1" applyAlignment="1" applyProtection="1">
      <alignment vertical="center"/>
      <protection hidden="1"/>
    </xf>
    <xf numFmtId="164" fontId="3" fillId="2" borderId="151" xfId="0" applyNumberFormat="1" applyFont="1" applyFill="1" applyBorder="1" applyAlignment="1" applyProtection="1">
      <alignment vertical="center"/>
      <protection hidden="1"/>
    </xf>
    <xf numFmtId="164" fontId="3" fillId="2" borderId="152" xfId="0" applyNumberFormat="1" applyFont="1" applyFill="1" applyBorder="1" applyAlignment="1" applyProtection="1">
      <alignment vertical="center"/>
      <protection hidden="1"/>
    </xf>
    <xf numFmtId="9" fontId="3" fillId="2" borderId="9" xfId="0" applyNumberFormat="1" applyFont="1" applyFill="1" applyBorder="1" applyAlignment="1" applyProtection="1">
      <alignment vertical="center"/>
      <protection hidden="1"/>
    </xf>
    <xf numFmtId="0" fontId="3" fillId="2" borderId="151" xfId="0" applyFont="1" applyFill="1" applyBorder="1" applyAlignment="1" applyProtection="1">
      <alignment vertical="center"/>
      <protection hidden="1"/>
    </xf>
    <xf numFmtId="0" fontId="0" fillId="2" borderId="2" xfId="0" applyFill="1" applyBorder="1"/>
    <xf numFmtId="164" fontId="10" fillId="0" borderId="153" xfId="0" applyNumberFormat="1" applyFont="1" applyFill="1" applyBorder="1" applyAlignment="1" applyProtection="1">
      <alignment horizontal="center" vertical="center" wrapText="1"/>
    </xf>
    <xf numFmtId="164" fontId="10" fillId="0" borderId="146" xfId="0" applyNumberFormat="1" applyFont="1" applyFill="1" applyBorder="1" applyAlignment="1" applyProtection="1">
      <alignment horizontal="center" vertical="center" wrapText="1"/>
    </xf>
    <xf numFmtId="167" fontId="10" fillId="16" borderId="105" xfId="0" applyNumberFormat="1" applyFont="1" applyFill="1" applyBorder="1" applyAlignment="1" applyProtection="1">
      <alignment horizontal="center"/>
    </xf>
    <xf numFmtId="167" fontId="10" fillId="16" borderId="100" xfId="0" applyNumberFormat="1" applyFont="1" applyFill="1" applyBorder="1" applyAlignment="1" applyProtection="1">
      <alignment horizontal="center"/>
    </xf>
    <xf numFmtId="167" fontId="10" fillId="16" borderId="108" xfId="0" applyNumberFormat="1" applyFont="1" applyFill="1" applyBorder="1" applyAlignment="1" applyProtection="1">
      <alignment horizontal="center"/>
    </xf>
    <xf numFmtId="167" fontId="10" fillId="16" borderId="107" xfId="0" applyNumberFormat="1" applyFont="1" applyFill="1" applyBorder="1" applyAlignment="1" applyProtection="1">
      <alignment horizontal="center"/>
    </xf>
    <xf numFmtId="167" fontId="10" fillId="16" borderId="103" xfId="0" applyNumberFormat="1" applyFont="1" applyFill="1" applyBorder="1" applyAlignment="1" applyProtection="1">
      <alignment horizontal="center"/>
    </xf>
    <xf numFmtId="167" fontId="10" fillId="16" borderId="109" xfId="0" applyNumberFormat="1" applyFont="1" applyFill="1" applyBorder="1" applyAlignment="1" applyProtection="1">
      <alignment horizontal="center"/>
    </xf>
    <xf numFmtId="167" fontId="10" fillId="16" borderId="149" xfId="0" applyNumberFormat="1" applyFont="1" applyFill="1" applyBorder="1" applyAlignment="1" applyProtection="1">
      <alignment horizontal="center"/>
    </xf>
    <xf numFmtId="164" fontId="3" fillId="3" borderId="28" xfId="0" applyNumberFormat="1" applyFont="1" applyFill="1" applyBorder="1" applyAlignment="1" applyProtection="1">
      <alignment vertical="center"/>
      <protection hidden="1"/>
    </xf>
    <xf numFmtId="164" fontId="3" fillId="3" borderId="32" xfId="0" applyNumberFormat="1" applyFont="1" applyFill="1" applyBorder="1" applyAlignment="1" applyProtection="1">
      <alignment vertical="center"/>
      <protection hidden="1"/>
    </xf>
    <xf numFmtId="164" fontId="3" fillId="3" borderId="106" xfId="0" applyNumberFormat="1" applyFont="1" applyFill="1" applyBorder="1" applyAlignment="1" applyProtection="1">
      <alignment vertical="center"/>
      <protection hidden="1"/>
    </xf>
    <xf numFmtId="164" fontId="3" fillId="3" borderId="33" xfId="0" applyNumberFormat="1" applyFont="1" applyFill="1" applyBorder="1" applyAlignment="1" applyProtection="1">
      <alignment vertical="center"/>
      <protection hidden="1"/>
    </xf>
    <xf numFmtId="9" fontId="3" fillId="3" borderId="32" xfId="0" applyNumberFormat="1" applyFont="1" applyFill="1" applyBorder="1" applyAlignment="1" applyProtection="1">
      <alignment vertical="center"/>
      <protection hidden="1"/>
    </xf>
    <xf numFmtId="0" fontId="3" fillId="3" borderId="106" xfId="0" applyFont="1" applyFill="1" applyBorder="1" applyAlignment="1" applyProtection="1">
      <alignment vertical="center"/>
      <protection hidden="1"/>
    </xf>
    <xf numFmtId="3" fontId="0" fillId="3" borderId="86" xfId="0" applyNumberFormat="1" applyFill="1" applyBorder="1"/>
    <xf numFmtId="0" fontId="0" fillId="3" borderId="73" xfId="0" applyFill="1" applyBorder="1" applyAlignment="1">
      <alignment horizontal="center" vertical="center"/>
    </xf>
    <xf numFmtId="0" fontId="36" fillId="10" borderId="32" xfId="9" applyFont="1" applyFill="1" applyBorder="1" applyAlignment="1">
      <alignment horizontal="center"/>
    </xf>
    <xf numFmtId="164" fontId="3" fillId="3" borderId="111" xfId="0" applyNumberFormat="1" applyFont="1" applyFill="1" applyBorder="1" applyAlignment="1" applyProtection="1">
      <alignment vertical="center"/>
      <protection hidden="1"/>
    </xf>
    <xf numFmtId="164" fontId="3" fillId="3" borderId="9" xfId="0" applyNumberFormat="1" applyFont="1" applyFill="1" applyBorder="1" applyAlignment="1" applyProtection="1">
      <alignment vertical="center"/>
      <protection hidden="1"/>
    </xf>
    <xf numFmtId="164" fontId="3" fillId="3" borderId="151" xfId="0" applyNumberFormat="1" applyFont="1" applyFill="1" applyBorder="1" applyAlignment="1" applyProtection="1">
      <alignment vertical="center"/>
      <protection hidden="1"/>
    </xf>
    <xf numFmtId="164" fontId="3" fillId="3" borderId="152" xfId="0" applyNumberFormat="1" applyFont="1" applyFill="1" applyBorder="1" applyAlignment="1" applyProtection="1">
      <alignment vertical="center"/>
      <protection hidden="1"/>
    </xf>
    <xf numFmtId="9" fontId="3" fillId="3" borderId="9" xfId="0" applyNumberFormat="1" applyFont="1" applyFill="1" applyBorder="1" applyAlignment="1" applyProtection="1">
      <alignment vertical="center"/>
      <protection hidden="1"/>
    </xf>
    <xf numFmtId="0" fontId="3" fillId="3" borderId="151" xfId="0" applyFont="1" applyFill="1" applyBorder="1" applyAlignment="1" applyProtection="1">
      <alignment vertical="center"/>
      <protection hidden="1"/>
    </xf>
    <xf numFmtId="3" fontId="0" fillId="3" borderId="2" xfId="0" applyNumberFormat="1" applyFill="1" applyBorder="1"/>
    <xf numFmtId="164" fontId="3" fillId="3" borderId="78" xfId="0" applyNumberFormat="1" applyFont="1" applyFill="1" applyBorder="1" applyAlignment="1" applyProtection="1">
      <alignment vertical="center"/>
      <protection hidden="1"/>
    </xf>
    <xf numFmtId="164" fontId="3" fillId="3" borderId="57" xfId="0" applyNumberFormat="1" applyFont="1" applyFill="1" applyBorder="1" applyAlignment="1" applyProtection="1">
      <alignment vertical="center"/>
      <protection hidden="1"/>
    </xf>
    <xf numFmtId="164" fontId="3" fillId="3" borderId="79" xfId="0" applyNumberFormat="1" applyFont="1" applyFill="1" applyBorder="1" applyAlignment="1" applyProtection="1">
      <alignment vertical="center"/>
      <protection hidden="1"/>
    </xf>
    <xf numFmtId="164" fontId="3" fillId="3" borderId="64" xfId="0" applyNumberFormat="1" applyFont="1" applyFill="1" applyBorder="1" applyAlignment="1" applyProtection="1">
      <alignment vertical="center"/>
      <protection hidden="1"/>
    </xf>
    <xf numFmtId="9" fontId="3" fillId="3" borderId="57" xfId="0" applyNumberFormat="1" applyFont="1" applyFill="1" applyBorder="1" applyAlignment="1" applyProtection="1">
      <alignment vertical="center"/>
      <protection hidden="1"/>
    </xf>
    <xf numFmtId="0" fontId="3" fillId="3" borderId="79" xfId="0" applyFont="1" applyFill="1" applyBorder="1" applyAlignment="1" applyProtection="1">
      <alignment vertical="center"/>
      <protection hidden="1"/>
    </xf>
    <xf numFmtId="0" fontId="36" fillId="4" borderId="56" xfId="9" applyFont="1" applyFill="1" applyBorder="1" applyAlignment="1">
      <alignment horizontal="center"/>
    </xf>
    <xf numFmtId="0" fontId="36" fillId="10" borderId="42" xfId="9" applyFont="1" applyFill="1" applyBorder="1" applyAlignment="1">
      <alignment horizontal="center"/>
    </xf>
    <xf numFmtId="0" fontId="36" fillId="10" borderId="56" xfId="9" applyFont="1" applyFill="1" applyBorder="1" applyAlignment="1">
      <alignment horizontal="center"/>
    </xf>
    <xf numFmtId="0" fontId="36" fillId="10" borderId="48" xfId="9" applyFont="1" applyFill="1" applyBorder="1" applyAlignment="1">
      <alignment horizontal="center"/>
    </xf>
    <xf numFmtId="0" fontId="36" fillId="4" borderId="12" xfId="9" applyFont="1" applyFill="1" applyBorder="1" applyAlignment="1">
      <alignment horizontal="center"/>
    </xf>
    <xf numFmtId="1" fontId="3" fillId="0" borderId="2" xfId="0" applyNumberFormat="1" applyFont="1" applyFill="1" applyBorder="1" applyAlignment="1" applyProtection="1">
      <alignment vertical="center"/>
      <protection hidden="1"/>
    </xf>
    <xf numFmtId="1" fontId="10" fillId="17" borderId="47" xfId="0" applyNumberFormat="1" applyFont="1" applyFill="1" applyBorder="1" applyAlignment="1" applyProtection="1">
      <alignment horizontal="center" vertical="center"/>
      <protection hidden="1"/>
    </xf>
    <xf numFmtId="1" fontId="10" fillId="14" borderId="92" xfId="0" applyNumberFormat="1" applyFont="1" applyFill="1" applyBorder="1" applyAlignment="1" applyProtection="1">
      <alignment horizontal="center" vertical="center"/>
      <protection hidden="1"/>
    </xf>
    <xf numFmtId="1" fontId="10" fillId="17" borderId="29" xfId="0" applyNumberFormat="1" applyFont="1" applyFill="1" applyBorder="1" applyAlignment="1" applyProtection="1">
      <alignment horizontal="center" vertical="center"/>
      <protection hidden="1"/>
    </xf>
    <xf numFmtId="1" fontId="10" fillId="17" borderId="39" xfId="0" applyNumberFormat="1" applyFont="1" applyFill="1" applyBorder="1" applyAlignment="1" applyProtection="1">
      <alignment horizontal="center" vertical="center"/>
      <protection hidden="1"/>
    </xf>
    <xf numFmtId="1" fontId="3" fillId="0" borderId="43" xfId="0" applyNumberFormat="1" applyFont="1" applyFill="1" applyBorder="1" applyAlignment="1" applyProtection="1">
      <alignment vertical="center"/>
      <protection hidden="1"/>
    </xf>
    <xf numFmtId="1" fontId="3" fillId="0" borderId="86" xfId="0" applyNumberFormat="1" applyFont="1" applyFill="1" applyBorder="1" applyAlignment="1" applyProtection="1">
      <alignment vertical="center"/>
      <protection hidden="1"/>
    </xf>
    <xf numFmtId="41" fontId="10" fillId="17" borderId="29" xfId="0" applyNumberFormat="1" applyFont="1" applyFill="1" applyBorder="1" applyAlignment="1" applyProtection="1">
      <alignment horizontal="center" vertical="center"/>
      <protection hidden="1"/>
    </xf>
    <xf numFmtId="41" fontId="10" fillId="17" borderId="81" xfId="0" applyNumberFormat="1" applyFont="1" applyFill="1" applyBorder="1" applyAlignment="1" applyProtection="1">
      <alignment horizontal="center" vertical="center"/>
      <protection hidden="1"/>
    </xf>
    <xf numFmtId="41" fontId="10" fillId="17" borderId="154" xfId="0" applyNumberFormat="1" applyFont="1" applyFill="1" applyBorder="1" applyAlignment="1" applyProtection="1">
      <alignment horizontal="center" vertical="center"/>
      <protection hidden="1"/>
    </xf>
    <xf numFmtId="0" fontId="10" fillId="0" borderId="56" xfId="0" quotePrefix="1" applyNumberFormat="1" applyFont="1" applyFill="1" applyBorder="1" applyAlignment="1" applyProtection="1">
      <alignment horizontal="center" vertical="center"/>
      <protection hidden="1"/>
    </xf>
    <xf numFmtId="41" fontId="3" fillId="0" borderId="2" xfId="0" applyNumberFormat="1" applyFont="1" applyFill="1" applyBorder="1" applyAlignment="1" applyProtection="1">
      <alignment vertical="center"/>
      <protection hidden="1"/>
    </xf>
    <xf numFmtId="0" fontId="10" fillId="0" borderId="48" xfId="0" quotePrefix="1" applyNumberFormat="1" applyFont="1" applyFill="1" applyBorder="1" applyAlignment="1" applyProtection="1">
      <alignment horizontal="center" vertical="center"/>
      <protection hidden="1"/>
    </xf>
    <xf numFmtId="0" fontId="10" fillId="0" borderId="48" xfId="0" applyNumberFormat="1" applyFont="1" applyFill="1" applyBorder="1" applyAlignment="1" applyProtection="1">
      <alignment vertical="center"/>
      <protection hidden="1"/>
    </xf>
    <xf numFmtId="41" fontId="3" fillId="0" borderId="86" xfId="0" applyNumberFormat="1" applyFont="1" applyFill="1" applyBorder="1" applyAlignment="1" applyProtection="1">
      <alignment vertical="center"/>
      <protection hidden="1"/>
    </xf>
    <xf numFmtId="3" fontId="10" fillId="9" borderId="12" xfId="0" applyNumberFormat="1" applyFont="1" applyFill="1" applyBorder="1"/>
    <xf numFmtId="168" fontId="10" fillId="14" borderId="22" xfId="0" applyNumberFormat="1" applyFont="1" applyFill="1" applyBorder="1" applyAlignment="1" applyProtection="1">
      <alignment horizontal="center"/>
    </xf>
    <xf numFmtId="168" fontId="10" fillId="14" borderId="55" xfId="0" applyNumberFormat="1" applyFont="1" applyFill="1" applyBorder="1" applyAlignment="1" applyProtection="1">
      <alignment horizontal="center"/>
    </xf>
    <xf numFmtId="168" fontId="10" fillId="14" borderId="53" xfId="0" applyNumberFormat="1" applyFont="1" applyFill="1" applyBorder="1" applyAlignment="1" applyProtection="1">
      <alignment horizontal="center"/>
    </xf>
    <xf numFmtId="168" fontId="10" fillId="14" borderId="39" xfId="0" applyNumberFormat="1" applyFont="1" applyFill="1" applyBorder="1" applyAlignment="1" applyProtection="1">
      <alignment horizontal="center"/>
    </xf>
    <xf numFmtId="164" fontId="3" fillId="2" borderId="145" xfId="0" applyNumberFormat="1" applyFont="1" applyFill="1" applyBorder="1" applyAlignment="1" applyProtection="1">
      <alignment vertical="center"/>
      <protection hidden="1"/>
    </xf>
    <xf numFmtId="164" fontId="3" fillId="2" borderId="12" xfId="0" applyNumberFormat="1" applyFont="1" applyFill="1" applyBorder="1" applyAlignment="1" applyProtection="1">
      <alignment vertical="center"/>
      <protection hidden="1"/>
    </xf>
    <xf numFmtId="164" fontId="3" fillId="2" borderId="90" xfId="0" applyNumberFormat="1" applyFont="1" applyFill="1" applyBorder="1" applyAlignment="1" applyProtection="1">
      <alignment vertical="center"/>
      <protection hidden="1"/>
    </xf>
    <xf numFmtId="164" fontId="3" fillId="2" borderId="2" xfId="0" applyNumberFormat="1" applyFont="1" applyFill="1" applyBorder="1" applyAlignment="1" applyProtection="1">
      <alignment vertical="center"/>
      <protection hidden="1"/>
    </xf>
    <xf numFmtId="9" fontId="3" fillId="2" borderId="12" xfId="0" applyNumberFormat="1" applyFont="1" applyFill="1" applyBorder="1" applyAlignment="1" applyProtection="1">
      <alignment vertical="center"/>
      <protection hidden="1"/>
    </xf>
    <xf numFmtId="0" fontId="3" fillId="2" borderId="90" xfId="0" applyFont="1" applyFill="1" applyBorder="1" applyAlignment="1" applyProtection="1">
      <alignment vertical="center"/>
      <protection hidden="1"/>
    </xf>
    <xf numFmtId="164" fontId="10" fillId="2" borderId="145" xfId="0" applyNumberFormat="1" applyFont="1" applyFill="1" applyBorder="1" applyAlignment="1" applyProtection="1">
      <alignment horizontal="center"/>
    </xf>
    <xf numFmtId="0" fontId="0" fillId="2" borderId="12" xfId="0" applyFill="1" applyBorder="1" applyAlignment="1">
      <alignment horizontal="center" vertical="center"/>
    </xf>
    <xf numFmtId="164" fontId="3" fillId="2" borderId="155" xfId="0" applyNumberFormat="1" applyFont="1" applyFill="1" applyBorder="1" applyAlignment="1" applyProtection="1">
      <alignment vertical="center"/>
      <protection hidden="1"/>
    </xf>
    <xf numFmtId="164" fontId="3" fillId="2" borderId="156" xfId="0" applyNumberFormat="1" applyFont="1" applyFill="1" applyBorder="1" applyAlignment="1" applyProtection="1">
      <alignment vertical="center"/>
      <protection hidden="1"/>
    </xf>
    <xf numFmtId="164" fontId="3" fillId="2" borderId="157" xfId="0" applyNumberFormat="1" applyFont="1" applyFill="1" applyBorder="1" applyAlignment="1" applyProtection="1">
      <alignment vertical="center"/>
      <protection hidden="1"/>
    </xf>
    <xf numFmtId="164" fontId="3" fillId="2" borderId="128" xfId="0" applyNumberFormat="1" applyFont="1" applyFill="1" applyBorder="1" applyAlignment="1" applyProtection="1">
      <alignment vertical="center"/>
      <protection hidden="1"/>
    </xf>
    <xf numFmtId="9" fontId="3" fillId="2" borderId="156" xfId="0" applyNumberFormat="1" applyFont="1" applyFill="1" applyBorder="1" applyAlignment="1" applyProtection="1">
      <alignment vertical="center"/>
      <protection hidden="1"/>
    </xf>
    <xf numFmtId="0" fontId="3" fillId="2" borderId="157" xfId="0" applyFont="1" applyFill="1" applyBorder="1" applyAlignment="1" applyProtection="1">
      <alignment vertical="center"/>
      <protection hidden="1"/>
    </xf>
    <xf numFmtId="164" fontId="10" fillId="2" borderId="155" xfId="0" applyNumberFormat="1" applyFont="1" applyFill="1" applyBorder="1" applyAlignment="1" applyProtection="1">
      <alignment horizontal="center"/>
    </xf>
    <xf numFmtId="0" fontId="0" fillId="2" borderId="156" xfId="0" applyFill="1" applyBorder="1" applyAlignment="1">
      <alignment horizontal="center" vertical="center"/>
    </xf>
    <xf numFmtId="0" fontId="0" fillId="2" borderId="128" xfId="0" applyFill="1" applyBorder="1"/>
    <xf numFmtId="1" fontId="10" fillId="10" borderId="144" xfId="0" applyNumberFormat="1" applyFont="1" applyFill="1" applyBorder="1" applyAlignment="1" applyProtection="1">
      <alignment horizontal="center" vertical="center"/>
      <protection hidden="1"/>
    </xf>
    <xf numFmtId="1" fontId="10" fillId="0" borderId="152" xfId="0" applyNumberFormat="1" applyFont="1" applyFill="1" applyBorder="1" applyAlignment="1" applyProtection="1">
      <alignment vertical="center"/>
      <protection hidden="1"/>
    </xf>
    <xf numFmtId="1" fontId="3" fillId="0" borderId="152" xfId="0" applyNumberFormat="1" applyFont="1" applyFill="1" applyBorder="1" applyAlignment="1" applyProtection="1">
      <alignment vertical="center"/>
      <protection hidden="1"/>
    </xf>
    <xf numFmtId="164" fontId="10" fillId="4" borderId="18" xfId="0" applyNumberFormat="1" applyFont="1" applyFill="1" applyBorder="1" applyAlignment="1" applyProtection="1">
      <alignment horizontal="center"/>
    </xf>
    <xf numFmtId="41" fontId="3" fillId="8" borderId="33" xfId="0" applyNumberFormat="1" applyFont="1" applyFill="1" applyBorder="1" applyAlignment="1" applyProtection="1">
      <alignment vertical="center"/>
      <protection hidden="1"/>
    </xf>
    <xf numFmtId="41" fontId="3" fillId="0" borderId="33" xfId="0" applyNumberFormat="1" applyFont="1" applyFill="1" applyBorder="1" applyAlignment="1" applyProtection="1">
      <alignment vertical="center"/>
      <protection hidden="1"/>
    </xf>
    <xf numFmtId="1" fontId="10" fillId="0" borderId="30" xfId="0" applyNumberFormat="1" applyFont="1" applyFill="1" applyBorder="1" applyAlignment="1" applyProtection="1">
      <alignment vertical="center"/>
      <protection hidden="1"/>
    </xf>
    <xf numFmtId="1" fontId="10" fillId="0" borderId="31" xfId="0" applyNumberFormat="1" applyFont="1" applyFill="1" applyBorder="1" applyAlignment="1" applyProtection="1">
      <alignment vertical="center"/>
      <protection hidden="1"/>
    </xf>
    <xf numFmtId="1" fontId="3" fillId="0" borderId="33" xfId="0" applyNumberFormat="1" applyFont="1" applyFill="1" applyBorder="1" applyAlignment="1" applyProtection="1">
      <alignment vertical="center"/>
      <protection hidden="1"/>
    </xf>
    <xf numFmtId="0" fontId="0" fillId="3" borderId="152" xfId="0" applyFill="1" applyBorder="1"/>
    <xf numFmtId="164" fontId="10" fillId="2" borderId="111" xfId="0" applyNumberFormat="1" applyFont="1" applyFill="1" applyBorder="1" applyAlignment="1" applyProtection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52" xfId="0" applyFill="1" applyBorder="1"/>
    <xf numFmtId="0" fontId="34" fillId="18" borderId="11" xfId="0" applyFont="1" applyFill="1" applyBorder="1" applyAlignment="1">
      <alignment horizontal="center" vertical="center" wrapText="1"/>
    </xf>
    <xf numFmtId="0" fontId="34" fillId="10" borderId="144" xfId="0" applyFont="1" applyFill="1" applyBorder="1" applyAlignment="1">
      <alignment vertical="center" wrapText="1"/>
    </xf>
    <xf numFmtId="164" fontId="32" fillId="10" borderId="144" xfId="0" applyNumberFormat="1" applyFont="1" applyFill="1" applyBorder="1" applyAlignment="1" applyProtection="1">
      <alignment horizontal="center" vertical="center"/>
    </xf>
    <xf numFmtId="168" fontId="10" fillId="8" borderId="133" xfId="0" quotePrefix="1" applyNumberFormat="1" applyFont="1" applyFill="1" applyBorder="1" applyAlignment="1" applyProtection="1">
      <alignment horizontal="center"/>
    </xf>
    <xf numFmtId="168" fontId="10" fillId="3" borderId="35" xfId="0" quotePrefix="1" applyNumberFormat="1" applyFont="1" applyFill="1" applyBorder="1" applyAlignment="1" applyProtection="1">
      <alignment horizontal="center"/>
    </xf>
    <xf numFmtId="164" fontId="10" fillId="9" borderId="141" xfId="0" applyNumberFormat="1" applyFont="1" applyFill="1" applyBorder="1" applyAlignment="1" applyProtection="1">
      <alignment horizontal="center"/>
    </xf>
    <xf numFmtId="164" fontId="10" fillId="9" borderId="133" xfId="0" applyNumberFormat="1" applyFont="1" applyFill="1" applyBorder="1" applyAlignment="1" applyProtection="1">
      <alignment horizontal="center" vertical="center"/>
    </xf>
    <xf numFmtId="167" fontId="10" fillId="8" borderId="134" xfId="0" applyNumberFormat="1" applyFont="1" applyFill="1" applyBorder="1" applyAlignment="1" applyProtection="1">
      <alignment horizontal="center"/>
    </xf>
    <xf numFmtId="3" fontId="10" fillId="9" borderId="137" xfId="0" applyNumberFormat="1" applyFont="1" applyFill="1" applyBorder="1" applyAlignment="1" applyProtection="1"/>
    <xf numFmtId="3" fontId="10" fillId="9" borderId="35" xfId="0" applyNumberFormat="1" applyFont="1" applyFill="1" applyBorder="1"/>
    <xf numFmtId="3" fontId="10" fillId="9" borderId="141" xfId="0" applyNumberFormat="1" applyFont="1" applyFill="1" applyBorder="1" applyAlignment="1" applyProtection="1"/>
    <xf numFmtId="3" fontId="10" fillId="9" borderId="133" xfId="0" applyNumberFormat="1" applyFont="1" applyFill="1" applyBorder="1" applyAlignment="1" applyProtection="1"/>
    <xf numFmtId="3" fontId="10" fillId="9" borderId="134" xfId="0" applyNumberFormat="1" applyFont="1" applyFill="1" applyBorder="1" applyAlignment="1" applyProtection="1"/>
    <xf numFmtId="3" fontId="10" fillId="9" borderId="36" xfId="0" applyNumberFormat="1" applyFont="1" applyFill="1" applyBorder="1" applyAlignment="1" applyProtection="1"/>
    <xf numFmtId="0" fontId="10" fillId="9" borderId="32" xfId="0" applyFont="1" applyFill="1" applyBorder="1"/>
    <xf numFmtId="38" fontId="10" fillId="9" borderId="32" xfId="0" applyNumberFormat="1" applyFont="1" applyFill="1" applyBorder="1"/>
    <xf numFmtId="0" fontId="10" fillId="9" borderId="12" xfId="0" applyFont="1" applyFill="1" applyBorder="1"/>
    <xf numFmtId="38" fontId="10" fillId="9" borderId="12" xfId="0" applyNumberFormat="1" applyFont="1" applyFill="1" applyBorder="1"/>
    <xf numFmtId="164" fontId="32" fillId="19" borderId="39" xfId="0" applyNumberFormat="1" applyFont="1" applyFill="1" applyBorder="1" applyAlignment="1" applyProtection="1">
      <alignment horizontal="center" vertical="center"/>
    </xf>
    <xf numFmtId="0" fontId="32" fillId="19" borderId="39" xfId="9" applyFont="1" applyFill="1" applyBorder="1" applyAlignment="1">
      <alignment horizontal="center" vertical="center"/>
    </xf>
    <xf numFmtId="164" fontId="32" fillId="19" borderId="92" xfId="0" applyNumberFormat="1" applyFont="1" applyFill="1" applyBorder="1" applyAlignment="1" applyProtection="1">
      <alignment horizontal="center" vertical="center"/>
    </xf>
    <xf numFmtId="0" fontId="32" fillId="19" borderId="29" xfId="9" applyFont="1" applyFill="1" applyBorder="1" applyAlignment="1">
      <alignment horizontal="center" vertical="center"/>
    </xf>
    <xf numFmtId="0" fontId="32" fillId="19" borderId="53" xfId="9" applyFont="1" applyFill="1" applyBorder="1" applyAlignment="1">
      <alignment horizontal="center" vertical="center"/>
    </xf>
    <xf numFmtId="0" fontId="32" fillId="19" borderId="92" xfId="9" applyFont="1" applyFill="1" applyBorder="1" applyAlignment="1">
      <alignment horizontal="center" vertical="center"/>
    </xf>
    <xf numFmtId="168" fontId="10" fillId="19" borderId="18" xfId="0" applyNumberFormat="1" applyFont="1" applyFill="1" applyBorder="1" applyAlignment="1" applyProtection="1">
      <alignment horizontal="center"/>
    </xf>
    <xf numFmtId="168" fontId="10" fillId="19" borderId="41" xfId="0" applyNumberFormat="1" applyFont="1" applyFill="1" applyBorder="1" applyAlignment="1" applyProtection="1">
      <alignment horizontal="center"/>
    </xf>
    <xf numFmtId="168" fontId="10" fillId="19" borderId="22" xfId="0" applyNumberFormat="1" applyFont="1" applyFill="1" applyBorder="1" applyAlignment="1" applyProtection="1">
      <alignment horizontal="center"/>
    </xf>
    <xf numFmtId="168" fontId="10" fillId="19" borderId="55" xfId="0" applyNumberFormat="1" applyFont="1" applyFill="1" applyBorder="1" applyAlignment="1" applyProtection="1">
      <alignment horizontal="center"/>
    </xf>
    <xf numFmtId="164" fontId="10" fillId="10" borderId="8" xfId="0" applyNumberFormat="1" applyFont="1" applyFill="1" applyBorder="1" applyAlignment="1" applyProtection="1">
      <alignment horizontal="center"/>
    </xf>
    <xf numFmtId="3" fontId="0" fillId="3" borderId="152" xfId="0" applyNumberFormat="1" applyFill="1" applyBorder="1"/>
    <xf numFmtId="0" fontId="0" fillId="3" borderId="9" xfId="0" applyFill="1" applyBorder="1" applyAlignment="1">
      <alignment horizontal="center" vertical="center"/>
    </xf>
    <xf numFmtId="0" fontId="30" fillId="10" borderId="144" xfId="0" applyFont="1" applyFill="1" applyBorder="1" applyAlignment="1">
      <alignment vertical="center" wrapText="1"/>
    </xf>
    <xf numFmtId="168" fontId="10" fillId="8" borderId="133" xfId="0" applyNumberFormat="1" applyFont="1" applyFill="1" applyBorder="1" applyAlignment="1" applyProtection="1">
      <alignment horizontal="center"/>
    </xf>
    <xf numFmtId="1" fontId="10" fillId="0" borderId="148" xfId="0" applyNumberFormat="1" applyFont="1" applyFill="1" applyBorder="1" applyAlignment="1" applyProtection="1">
      <alignment vertical="center"/>
      <protection hidden="1"/>
    </xf>
    <xf numFmtId="1" fontId="10" fillId="0" borderId="37" xfId="0" applyNumberFormat="1" applyFont="1" applyFill="1" applyBorder="1" applyAlignment="1" applyProtection="1">
      <alignment vertical="center"/>
      <protection hidden="1"/>
    </xf>
    <xf numFmtId="1" fontId="10" fillId="13" borderId="2" xfId="0" applyNumberFormat="1" applyFont="1" applyFill="1" applyBorder="1" applyAlignment="1" applyProtection="1">
      <alignment vertical="center"/>
      <protection hidden="1"/>
    </xf>
    <xf numFmtId="1" fontId="3" fillId="13" borderId="2" xfId="0" applyNumberFormat="1" applyFont="1" applyFill="1" applyBorder="1" applyAlignment="1" applyProtection="1">
      <alignment vertical="center"/>
      <protection hidden="1"/>
    </xf>
    <xf numFmtId="1" fontId="10" fillId="19" borderId="29" xfId="0" applyNumberFormat="1" applyFont="1" applyFill="1" applyBorder="1" applyAlignment="1" applyProtection="1">
      <alignment horizontal="center" vertical="center"/>
      <protection hidden="1"/>
    </xf>
    <xf numFmtId="1" fontId="10" fillId="19" borderId="39" xfId="0" applyNumberFormat="1" applyFont="1" applyFill="1" applyBorder="1" applyAlignment="1" applyProtection="1">
      <alignment horizontal="center" vertical="center"/>
      <protection hidden="1"/>
    </xf>
    <xf numFmtId="1" fontId="10" fillId="19" borderId="92" xfId="0" applyNumberFormat="1" applyFont="1" applyFill="1" applyBorder="1" applyAlignment="1" applyProtection="1">
      <alignment horizontal="center" vertical="center"/>
      <protection hidden="1"/>
    </xf>
    <xf numFmtId="1" fontId="10" fillId="19" borderId="53" xfId="0" applyNumberFormat="1" applyFont="1" applyFill="1" applyBorder="1" applyAlignment="1" applyProtection="1">
      <alignment horizontal="center" vertical="center"/>
      <protection hidden="1"/>
    </xf>
    <xf numFmtId="1" fontId="10" fillId="19" borderId="47" xfId="0" applyNumberFormat="1" applyFont="1" applyFill="1" applyBorder="1" applyAlignment="1" applyProtection="1">
      <alignment horizontal="center" vertical="center"/>
      <protection hidden="1"/>
    </xf>
    <xf numFmtId="41" fontId="10" fillId="0" borderId="158" xfId="0" applyNumberFormat="1" applyFont="1" applyFill="1" applyBorder="1" applyAlignment="1" applyProtection="1">
      <alignment vertical="center"/>
      <protection hidden="1"/>
    </xf>
    <xf numFmtId="41" fontId="10" fillId="0" borderId="134" xfId="0" quotePrefix="1" applyNumberFormat="1" applyFont="1" applyFill="1" applyBorder="1" applyAlignment="1" applyProtection="1">
      <alignment horizontal="center" vertical="center"/>
      <protection hidden="1"/>
    </xf>
    <xf numFmtId="0" fontId="10" fillId="0" borderId="35" xfId="0" applyNumberFormat="1" applyFont="1" applyFill="1" applyBorder="1" applyAlignment="1" applyProtection="1">
      <alignment vertical="center"/>
      <protection hidden="1"/>
    </xf>
    <xf numFmtId="1" fontId="10" fillId="0" borderId="141" xfId="0" quotePrefix="1" applyNumberFormat="1" applyFont="1" applyFill="1" applyBorder="1" applyAlignment="1" applyProtection="1">
      <alignment horizontal="center" vertical="center"/>
      <protection hidden="1"/>
    </xf>
    <xf numFmtId="1" fontId="10" fillId="0" borderId="134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149" xfId="0" applyNumberFormat="1" applyFont="1" applyFill="1" applyBorder="1" applyAlignment="1" applyProtection="1">
      <alignment vertical="center"/>
      <protection hidden="1"/>
    </xf>
    <xf numFmtId="41" fontId="10" fillId="0" borderId="9" xfId="0" applyNumberFormat="1" applyFont="1" applyFill="1" applyBorder="1" applyAlignment="1" applyProtection="1">
      <alignment vertical="center"/>
      <protection hidden="1"/>
    </xf>
    <xf numFmtId="41" fontId="10" fillId="0" borderId="9" xfId="0" quotePrefix="1" applyNumberFormat="1" applyFont="1" applyFill="1" applyBorder="1" applyAlignment="1" applyProtection="1">
      <alignment horizontal="center" vertical="center"/>
      <protection hidden="1"/>
    </xf>
    <xf numFmtId="41" fontId="10" fillId="0" borderId="150" xfId="0" quotePrefix="1" applyNumberFormat="1" applyFont="1" applyFill="1" applyBorder="1" applyAlignment="1" applyProtection="1">
      <alignment horizontal="center" vertical="center"/>
      <protection hidden="1"/>
    </xf>
    <xf numFmtId="12" fontId="10" fillId="0" borderId="32" xfId="0" applyNumberFormat="1" applyFont="1" applyFill="1" applyBorder="1" applyAlignment="1" applyProtection="1">
      <alignment vertical="center"/>
      <protection hidden="1"/>
    </xf>
    <xf numFmtId="41" fontId="3" fillId="0" borderId="152" xfId="0" applyNumberFormat="1" applyFont="1" applyFill="1" applyBorder="1" applyAlignment="1" applyProtection="1">
      <alignment vertical="center"/>
      <protection hidden="1"/>
    </xf>
    <xf numFmtId="41" fontId="3" fillId="0" borderId="37" xfId="0" applyNumberFormat="1" applyFont="1" applyFill="1" applyBorder="1" applyAlignment="1" applyProtection="1">
      <alignment vertical="center"/>
      <protection hidden="1"/>
    </xf>
    <xf numFmtId="0" fontId="10" fillId="0" borderId="32" xfId="0" quotePrefix="1" applyNumberFormat="1" applyFont="1" applyFill="1" applyBorder="1" applyAlignment="1" applyProtection="1">
      <alignment horizontal="center" vertical="center"/>
      <protection hidden="1"/>
    </xf>
    <xf numFmtId="0" fontId="32" fillId="18" borderId="39" xfId="9" applyFont="1" applyFill="1" applyBorder="1" applyAlignment="1">
      <alignment horizontal="center" vertical="center"/>
    </xf>
    <xf numFmtId="0" fontId="41" fillId="19" borderId="39" xfId="9" applyFont="1" applyFill="1" applyBorder="1" applyAlignment="1">
      <alignment horizontal="center" vertical="center"/>
    </xf>
    <xf numFmtId="0" fontId="41" fillId="19" borderId="53" xfId="9" applyFont="1" applyFill="1" applyBorder="1" applyAlignment="1">
      <alignment horizontal="center" vertical="center"/>
    </xf>
    <xf numFmtId="168" fontId="42" fillId="19" borderId="41" xfId="0" applyNumberFormat="1" applyFont="1" applyFill="1" applyBorder="1" applyAlignment="1" applyProtection="1">
      <alignment horizontal="center"/>
    </xf>
    <xf numFmtId="164" fontId="42" fillId="9" borderId="41" xfId="0" applyNumberFormat="1" applyFont="1" applyFill="1" applyBorder="1" applyAlignment="1" applyProtection="1">
      <alignment horizontal="center" vertical="center"/>
    </xf>
    <xf numFmtId="3" fontId="42" fillId="9" borderId="100" xfId="0" applyNumberFormat="1" applyFont="1" applyFill="1" applyBorder="1" applyAlignment="1" applyProtection="1"/>
    <xf numFmtId="3" fontId="42" fillId="9" borderId="42" xfId="0" applyNumberFormat="1" applyFont="1" applyFill="1" applyBorder="1"/>
    <xf numFmtId="3" fontId="42" fillId="9" borderId="40" xfId="0" applyNumberFormat="1" applyFont="1" applyFill="1" applyBorder="1" applyAlignment="1" applyProtection="1"/>
    <xf numFmtId="3" fontId="42" fillId="9" borderId="41" xfId="0" applyNumberFormat="1" applyFont="1" applyFill="1" applyBorder="1" applyAlignment="1" applyProtection="1"/>
    <xf numFmtId="3" fontId="42" fillId="9" borderId="51" xfId="0" applyNumberFormat="1" applyFont="1" applyFill="1" applyBorder="1" applyAlignment="1" applyProtection="1"/>
    <xf numFmtId="3" fontId="42" fillId="9" borderId="101" xfId="0" applyNumberFormat="1" applyFont="1" applyFill="1" applyBorder="1" applyAlignment="1" applyProtection="1"/>
    <xf numFmtId="164" fontId="42" fillId="9" borderId="55" xfId="0" applyNumberFormat="1" applyFont="1" applyFill="1" applyBorder="1" applyAlignment="1" applyProtection="1">
      <alignment horizontal="center" vertical="center"/>
    </xf>
    <xf numFmtId="0" fontId="30" fillId="10" borderId="91" xfId="0" applyFont="1" applyFill="1" applyBorder="1" applyAlignment="1">
      <alignment vertical="center" wrapText="1"/>
    </xf>
    <xf numFmtId="1" fontId="10" fillId="10" borderId="91" xfId="0" applyNumberFormat="1" applyFont="1" applyFill="1" applyBorder="1" applyAlignment="1" applyProtection="1">
      <alignment horizontal="center" vertical="center"/>
      <protection hidden="1"/>
    </xf>
    <xf numFmtId="168" fontId="10" fillId="8" borderId="94" xfId="0" applyNumberFormat="1" applyFont="1" applyFill="1" applyBorder="1" applyAlignment="1" applyProtection="1">
      <alignment horizontal="center"/>
    </xf>
    <xf numFmtId="1" fontId="10" fillId="0" borderId="87" xfId="0" applyNumberFormat="1" applyFont="1" applyFill="1" applyBorder="1" applyAlignment="1" applyProtection="1">
      <alignment vertical="center"/>
      <protection hidden="1"/>
    </xf>
    <xf numFmtId="1" fontId="10" fillId="0" borderId="97" xfId="0" applyNumberFormat="1" applyFont="1" applyFill="1" applyBorder="1" applyAlignment="1" applyProtection="1">
      <alignment vertical="center"/>
      <protection hidden="1"/>
    </xf>
    <xf numFmtId="1" fontId="10" fillId="8" borderId="44" xfId="0" applyNumberFormat="1" applyFont="1" applyFill="1" applyBorder="1" applyAlignment="1" applyProtection="1">
      <alignment vertical="center"/>
      <protection hidden="1"/>
    </xf>
    <xf numFmtId="1" fontId="10" fillId="8" borderId="17" xfId="0" applyNumberFormat="1" applyFont="1" applyFill="1" applyBorder="1" applyAlignment="1" applyProtection="1">
      <alignment vertical="center"/>
      <protection hidden="1"/>
    </xf>
    <xf numFmtId="1" fontId="10" fillId="0" borderId="99" xfId="0" applyNumberFormat="1" applyFont="1" applyFill="1" applyBorder="1" applyAlignment="1" applyProtection="1">
      <alignment vertical="center"/>
      <protection hidden="1"/>
    </xf>
    <xf numFmtId="1" fontId="10" fillId="0" borderId="94" xfId="0" applyNumberFormat="1" applyFont="1" applyFill="1" applyBorder="1" applyAlignment="1" applyProtection="1">
      <alignment vertical="center"/>
      <protection hidden="1"/>
    </xf>
    <xf numFmtId="1" fontId="10" fillId="0" borderId="44" xfId="0" applyNumberFormat="1" applyFont="1" applyFill="1" applyBorder="1" applyAlignment="1" applyProtection="1">
      <alignment vertical="center"/>
      <protection hidden="1"/>
    </xf>
    <xf numFmtId="1" fontId="40" fillId="11" borderId="5" xfId="0" applyNumberFormat="1" applyFont="1" applyFill="1" applyBorder="1" applyAlignment="1" applyProtection="1">
      <alignment horizontal="center" vertical="center"/>
      <protection hidden="1"/>
    </xf>
    <xf numFmtId="1" fontId="40" fillId="11" borderId="6" xfId="0" applyNumberFormat="1" applyFont="1" applyFill="1" applyBorder="1" applyAlignment="1" applyProtection="1">
      <alignment horizontal="center" vertical="center"/>
      <protection hidden="1"/>
    </xf>
    <xf numFmtId="1" fontId="9" fillId="11" borderId="6" xfId="0" applyNumberFormat="1" applyFont="1" applyFill="1" applyBorder="1" applyAlignment="1" applyProtection="1">
      <alignment horizontal="center" vertical="center"/>
      <protection hidden="1"/>
    </xf>
    <xf numFmtId="1" fontId="9" fillId="11" borderId="25" xfId="0" applyNumberFormat="1" applyFont="1" applyFill="1" applyBorder="1" applyAlignment="1" applyProtection="1">
      <alignment horizontal="center" vertical="center"/>
      <protection hidden="1"/>
    </xf>
    <xf numFmtId="1" fontId="9" fillId="11" borderId="7" xfId="0" applyNumberFormat="1" applyFont="1" applyFill="1" applyBorder="1" applyAlignment="1" applyProtection="1">
      <alignment horizontal="center" vertical="center"/>
      <protection hidden="1"/>
    </xf>
    <xf numFmtId="1" fontId="16" fillId="11" borderId="159" xfId="0" applyNumberFormat="1" applyFont="1" applyFill="1" applyBorder="1" applyAlignment="1" applyProtection="1">
      <alignment horizontal="center" vertical="center"/>
      <protection hidden="1"/>
    </xf>
    <xf numFmtId="1" fontId="16" fillId="11" borderId="160" xfId="0" applyNumberFormat="1" applyFont="1" applyFill="1" applyBorder="1" applyAlignment="1" applyProtection="1">
      <alignment horizontal="center" vertical="center"/>
      <protection hidden="1"/>
    </xf>
    <xf numFmtId="1" fontId="3" fillId="11" borderId="160" xfId="0" applyNumberFormat="1" applyFont="1" applyFill="1" applyBorder="1" applyAlignment="1" applyProtection="1">
      <alignment vertical="center"/>
      <protection hidden="1"/>
    </xf>
    <xf numFmtId="168" fontId="10" fillId="20" borderId="53" xfId="0" applyNumberFormat="1" applyFont="1" applyFill="1" applyBorder="1" applyAlignment="1" applyProtection="1">
      <alignment horizontal="center"/>
    </xf>
    <xf numFmtId="164" fontId="10" fillId="20" borderId="55" xfId="0" applyNumberFormat="1" applyFont="1" applyFill="1" applyBorder="1" applyAlignment="1" applyProtection="1">
      <alignment horizontal="center"/>
    </xf>
    <xf numFmtId="167" fontId="10" fillId="20" borderId="85" xfId="0" applyNumberFormat="1" applyFont="1" applyFill="1" applyBorder="1" applyAlignment="1" applyProtection="1">
      <alignment horizontal="center"/>
    </xf>
    <xf numFmtId="3" fontId="10" fillId="20" borderId="55" xfId="0" applyNumberFormat="1" applyFont="1" applyFill="1" applyBorder="1" applyAlignment="1" applyProtection="1"/>
    <xf numFmtId="0" fontId="10" fillId="20" borderId="56" xfId="0" applyFont="1" applyFill="1" applyBorder="1"/>
    <xf numFmtId="3" fontId="10" fillId="20" borderId="54" xfId="0" applyNumberFormat="1" applyFont="1" applyFill="1" applyBorder="1" applyAlignment="1" applyProtection="1"/>
    <xf numFmtId="3" fontId="10" fillId="20" borderId="56" xfId="0" applyNumberFormat="1" applyFont="1" applyFill="1" applyBorder="1"/>
    <xf numFmtId="3" fontId="10" fillId="20" borderId="85" xfId="0" applyNumberFormat="1" applyFont="1" applyFill="1" applyBorder="1" applyAlignment="1" applyProtection="1"/>
    <xf numFmtId="3" fontId="10" fillId="20" borderId="107" xfId="0" applyNumberFormat="1" applyFont="1" applyFill="1" applyBorder="1" applyAlignment="1" applyProtection="1"/>
    <xf numFmtId="3" fontId="10" fillId="20" borderId="114" xfId="0" applyNumberFormat="1" applyFont="1" applyFill="1" applyBorder="1" applyAlignment="1" applyProtection="1"/>
    <xf numFmtId="0" fontId="0" fillId="20" borderId="86" xfId="0" applyFill="1" applyBorder="1"/>
    <xf numFmtId="164" fontId="3" fillId="20" borderId="52" xfId="0" applyNumberFormat="1" applyFont="1" applyFill="1" applyBorder="1" applyAlignment="1" applyProtection="1">
      <alignment vertical="center"/>
      <protection hidden="1"/>
    </xf>
    <xf numFmtId="164" fontId="3" fillId="20" borderId="56" xfId="0" applyNumberFormat="1" applyFont="1" applyFill="1" applyBorder="1" applyAlignment="1" applyProtection="1">
      <alignment vertical="center"/>
      <protection hidden="1"/>
    </xf>
    <xf numFmtId="164" fontId="3" fillId="20" borderId="114" xfId="0" applyNumberFormat="1" applyFont="1" applyFill="1" applyBorder="1" applyAlignment="1" applyProtection="1">
      <alignment vertical="center"/>
      <protection hidden="1"/>
    </xf>
    <xf numFmtId="164" fontId="3" fillId="20" borderId="86" xfId="0" applyNumberFormat="1" applyFont="1" applyFill="1" applyBorder="1" applyAlignment="1" applyProtection="1">
      <alignment vertical="center"/>
      <protection hidden="1"/>
    </xf>
    <xf numFmtId="9" fontId="3" fillId="20" borderId="56" xfId="0" applyNumberFormat="1" applyFont="1" applyFill="1" applyBorder="1" applyAlignment="1" applyProtection="1">
      <alignment vertical="center"/>
      <protection hidden="1"/>
    </xf>
    <xf numFmtId="0" fontId="3" fillId="20" borderId="114" xfId="0" applyFont="1" applyFill="1" applyBorder="1" applyAlignment="1" applyProtection="1">
      <alignment vertical="center"/>
      <protection hidden="1"/>
    </xf>
    <xf numFmtId="164" fontId="10" fillId="20" borderId="52" xfId="0" applyNumberFormat="1" applyFont="1" applyFill="1" applyBorder="1" applyAlignment="1" applyProtection="1">
      <alignment horizontal="center"/>
    </xf>
    <xf numFmtId="0" fontId="0" fillId="20" borderId="56" xfId="0" applyFill="1" applyBorder="1" applyAlignment="1">
      <alignment horizontal="center" vertical="center"/>
    </xf>
    <xf numFmtId="168" fontId="10" fillId="20" borderId="47" xfId="0" applyNumberFormat="1" applyFont="1" applyFill="1" applyBorder="1" applyAlignment="1" applyProtection="1">
      <alignment horizontal="center"/>
    </xf>
    <xf numFmtId="164" fontId="10" fillId="20" borderId="22" xfId="0" applyNumberFormat="1" applyFont="1" applyFill="1" applyBorder="1" applyAlignment="1" applyProtection="1">
      <alignment horizontal="center"/>
    </xf>
    <xf numFmtId="167" fontId="10" fillId="20" borderId="102" xfId="0" applyNumberFormat="1" applyFont="1" applyFill="1" applyBorder="1" applyAlignment="1" applyProtection="1">
      <alignment horizontal="center"/>
    </xf>
    <xf numFmtId="3" fontId="10" fillId="20" borderId="22" xfId="0" applyNumberFormat="1" applyFont="1" applyFill="1" applyBorder="1" applyAlignment="1" applyProtection="1"/>
    <xf numFmtId="3" fontId="10" fillId="20" borderId="49" xfId="0" applyNumberFormat="1" applyFont="1" applyFill="1" applyBorder="1" applyAlignment="1" applyProtection="1"/>
    <xf numFmtId="3" fontId="10" fillId="20" borderId="48" xfId="0" applyNumberFormat="1" applyFont="1" applyFill="1" applyBorder="1"/>
    <xf numFmtId="3" fontId="10" fillId="20" borderId="102" xfId="0" applyNumberFormat="1" applyFont="1" applyFill="1" applyBorder="1" applyAlignment="1" applyProtection="1"/>
    <xf numFmtId="3" fontId="10" fillId="20" borderId="103" xfId="0" applyNumberFormat="1" applyFont="1" applyFill="1" applyBorder="1" applyAlignment="1" applyProtection="1"/>
    <xf numFmtId="3" fontId="10" fillId="20" borderId="104" xfId="0" applyNumberFormat="1" applyFont="1" applyFill="1" applyBorder="1" applyAlignment="1" applyProtection="1"/>
    <xf numFmtId="0" fontId="0" fillId="20" borderId="43" xfId="0" applyFill="1" applyBorder="1"/>
    <xf numFmtId="164" fontId="3" fillId="20" borderId="38" xfId="0" applyNumberFormat="1" applyFont="1" applyFill="1" applyBorder="1" applyAlignment="1" applyProtection="1">
      <alignment vertical="center"/>
      <protection hidden="1"/>
    </xf>
    <xf numFmtId="164" fontId="3" fillId="20" borderId="42" xfId="0" applyNumberFormat="1" applyFont="1" applyFill="1" applyBorder="1" applyAlignment="1" applyProtection="1">
      <alignment vertical="center"/>
      <protection hidden="1"/>
    </xf>
    <xf numFmtId="164" fontId="3" fillId="20" borderId="101" xfId="0" applyNumberFormat="1" applyFont="1" applyFill="1" applyBorder="1" applyAlignment="1" applyProtection="1">
      <alignment vertical="center"/>
      <protection hidden="1"/>
    </xf>
    <xf numFmtId="164" fontId="3" fillId="20" borderId="43" xfId="0" applyNumberFormat="1" applyFont="1" applyFill="1" applyBorder="1" applyAlignment="1" applyProtection="1">
      <alignment vertical="center"/>
      <protection hidden="1"/>
    </xf>
    <xf numFmtId="9" fontId="3" fillId="20" borderId="42" xfId="0" applyNumberFormat="1" applyFont="1" applyFill="1" applyBorder="1" applyAlignment="1" applyProtection="1">
      <alignment vertical="center"/>
      <protection hidden="1"/>
    </xf>
    <xf numFmtId="0" fontId="3" fillId="20" borderId="101" xfId="0" applyFont="1" applyFill="1" applyBorder="1" applyAlignment="1" applyProtection="1">
      <alignment vertical="center"/>
      <protection hidden="1"/>
    </xf>
    <xf numFmtId="164" fontId="10" fillId="20" borderId="38" xfId="0" applyNumberFormat="1" applyFont="1" applyFill="1" applyBorder="1" applyAlignment="1" applyProtection="1">
      <alignment horizontal="center"/>
    </xf>
    <xf numFmtId="0" fontId="0" fillId="20" borderId="42" xfId="0" applyFill="1" applyBorder="1" applyAlignment="1">
      <alignment horizontal="center" vertical="center"/>
    </xf>
    <xf numFmtId="168" fontId="10" fillId="20" borderId="92" xfId="0" quotePrefix="1" applyNumberFormat="1" applyFont="1" applyFill="1" applyBorder="1" applyAlignment="1" applyProtection="1">
      <alignment horizontal="center"/>
    </xf>
    <xf numFmtId="164" fontId="10" fillId="20" borderId="95" xfId="0" applyNumberFormat="1" applyFont="1" applyFill="1" applyBorder="1" applyAlignment="1" applyProtection="1">
      <alignment horizontal="center"/>
    </xf>
    <xf numFmtId="167" fontId="10" fillId="20" borderId="13" xfId="0" applyNumberFormat="1" applyFont="1" applyFill="1" applyBorder="1" applyAlignment="1" applyProtection="1">
      <alignment horizontal="center"/>
    </xf>
    <xf numFmtId="3" fontId="10" fillId="20" borderId="95" xfId="0" applyNumberFormat="1" applyFont="1" applyFill="1" applyBorder="1" applyAlignment="1" applyProtection="1"/>
    <xf numFmtId="3" fontId="10" fillId="20" borderId="14" xfId="0" applyNumberFormat="1" applyFont="1" applyFill="1" applyBorder="1" applyAlignment="1" applyProtection="1"/>
    <xf numFmtId="3" fontId="10" fillId="20" borderId="12" xfId="0" applyNumberFormat="1" applyFont="1" applyFill="1" applyBorder="1"/>
    <xf numFmtId="3" fontId="10" fillId="20" borderId="13" xfId="0" applyNumberFormat="1" applyFont="1" applyFill="1" applyBorder="1" applyAlignment="1" applyProtection="1"/>
    <xf numFmtId="3" fontId="10" fillId="20" borderId="108" xfId="0" applyNumberFormat="1" applyFont="1" applyFill="1" applyBorder="1" applyAlignment="1" applyProtection="1"/>
    <xf numFmtId="3" fontId="10" fillId="20" borderId="90" xfId="0" applyNumberFormat="1" applyFont="1" applyFill="1" applyBorder="1" applyAlignment="1" applyProtection="1"/>
    <xf numFmtId="0" fontId="0" fillId="20" borderId="2" xfId="0" applyFill="1" applyBorder="1"/>
    <xf numFmtId="164" fontId="3" fillId="20" borderId="111" xfId="0" applyNumberFormat="1" applyFont="1" applyFill="1" applyBorder="1" applyAlignment="1" applyProtection="1">
      <alignment vertical="center"/>
      <protection hidden="1"/>
    </xf>
    <xf numFmtId="164" fontId="3" fillId="20" borderId="9" xfId="0" applyNumberFormat="1" applyFont="1" applyFill="1" applyBorder="1" applyAlignment="1" applyProtection="1">
      <alignment vertical="center"/>
      <protection hidden="1"/>
    </xf>
    <xf numFmtId="164" fontId="3" fillId="20" borderId="151" xfId="0" applyNumberFormat="1" applyFont="1" applyFill="1" applyBorder="1" applyAlignment="1" applyProtection="1">
      <alignment vertical="center"/>
      <protection hidden="1"/>
    </xf>
    <xf numFmtId="164" fontId="3" fillId="20" borderId="152" xfId="0" applyNumberFormat="1" applyFont="1" applyFill="1" applyBorder="1" applyAlignment="1" applyProtection="1">
      <alignment vertical="center"/>
      <protection hidden="1"/>
    </xf>
    <xf numFmtId="9" fontId="3" fillId="20" borderId="9" xfId="0" applyNumberFormat="1" applyFont="1" applyFill="1" applyBorder="1" applyAlignment="1" applyProtection="1">
      <alignment vertical="center"/>
      <protection hidden="1"/>
    </xf>
    <xf numFmtId="0" fontId="3" fillId="20" borderId="151" xfId="0" applyFont="1" applyFill="1" applyBorder="1" applyAlignment="1" applyProtection="1">
      <alignment vertical="center"/>
      <protection hidden="1"/>
    </xf>
    <xf numFmtId="164" fontId="10" fillId="20" borderId="46" xfId="0" applyNumberFormat="1" applyFont="1" applyFill="1" applyBorder="1" applyAlignment="1" applyProtection="1">
      <alignment horizontal="center"/>
    </xf>
    <xf numFmtId="0" fontId="0" fillId="20" borderId="6" xfId="0" applyFill="1" applyBorder="1" applyAlignment="1">
      <alignment horizontal="center" vertical="center"/>
    </xf>
    <xf numFmtId="168" fontId="10" fillId="20" borderId="55" xfId="0" applyNumberFormat="1" applyFont="1" applyFill="1" applyBorder="1" applyAlignment="1" applyProtection="1">
      <alignment horizontal="center"/>
    </xf>
    <xf numFmtId="164" fontId="10" fillId="20" borderId="55" xfId="0" applyNumberFormat="1" applyFont="1" applyFill="1" applyBorder="1" applyAlignment="1" applyProtection="1">
      <alignment horizontal="center" vertical="center"/>
    </xf>
    <xf numFmtId="168" fontId="10" fillId="20" borderId="41" xfId="0" applyNumberFormat="1" applyFont="1" applyFill="1" applyBorder="1" applyAlignment="1" applyProtection="1">
      <alignment horizontal="center"/>
    </xf>
    <xf numFmtId="164" fontId="10" fillId="20" borderId="41" xfId="0" applyNumberFormat="1" applyFont="1" applyFill="1" applyBorder="1" applyAlignment="1" applyProtection="1">
      <alignment horizontal="center" vertical="center"/>
    </xf>
    <xf numFmtId="167" fontId="10" fillId="20" borderId="51" xfId="0" applyNumberFormat="1" applyFont="1" applyFill="1" applyBorder="1" applyAlignment="1" applyProtection="1">
      <alignment horizontal="center"/>
    </xf>
    <xf numFmtId="3" fontId="10" fillId="20" borderId="100" xfId="0" applyNumberFormat="1" applyFont="1" applyFill="1" applyBorder="1" applyAlignment="1" applyProtection="1"/>
    <xf numFmtId="3" fontId="10" fillId="20" borderId="42" xfId="0" applyNumberFormat="1" applyFont="1" applyFill="1" applyBorder="1"/>
    <xf numFmtId="3" fontId="10" fillId="20" borderId="40" xfId="0" applyNumberFormat="1" applyFont="1" applyFill="1" applyBorder="1" applyAlignment="1" applyProtection="1"/>
    <xf numFmtId="3" fontId="10" fillId="20" borderId="41" xfId="0" applyNumberFormat="1" applyFont="1" applyFill="1" applyBorder="1" applyAlignment="1" applyProtection="1"/>
    <xf numFmtId="3" fontId="10" fillId="20" borderId="51" xfId="0" applyNumberFormat="1" applyFont="1" applyFill="1" applyBorder="1" applyAlignment="1" applyProtection="1"/>
    <xf numFmtId="3" fontId="10" fillId="20" borderId="101" xfId="0" applyNumberFormat="1" applyFont="1" applyFill="1" applyBorder="1" applyAlignment="1" applyProtection="1"/>
    <xf numFmtId="0" fontId="0" fillId="20" borderId="0" xfId="0" applyFill="1" applyBorder="1"/>
    <xf numFmtId="164" fontId="10" fillId="20" borderId="145" xfId="0" applyNumberFormat="1" applyFont="1" applyFill="1" applyBorder="1" applyAlignment="1" applyProtection="1">
      <alignment horizontal="center"/>
    </xf>
    <xf numFmtId="0" fontId="41" fillId="20" borderId="39" xfId="9" applyFont="1" applyFill="1" applyBorder="1" applyAlignment="1">
      <alignment horizontal="center" vertical="center"/>
    </xf>
    <xf numFmtId="0" fontId="41" fillId="20" borderId="53" xfId="9" applyFont="1" applyFill="1" applyBorder="1" applyAlignment="1">
      <alignment horizontal="center" vertical="center"/>
    </xf>
    <xf numFmtId="0" fontId="41" fillId="20" borderId="92" xfId="9" applyFont="1" applyFill="1" applyBorder="1" applyAlignment="1">
      <alignment horizontal="center" vertical="center"/>
    </xf>
    <xf numFmtId="0" fontId="41" fillId="20" borderId="47" xfId="9" applyFont="1" applyFill="1" applyBorder="1" applyAlignment="1">
      <alignment horizontal="center" vertical="center"/>
    </xf>
    <xf numFmtId="0" fontId="10" fillId="9" borderId="56" xfId="0" applyFont="1" applyFill="1" applyBorder="1"/>
    <xf numFmtId="0" fontId="10" fillId="20" borderId="12" xfId="0" applyFont="1" applyFill="1" applyBorder="1"/>
    <xf numFmtId="0" fontId="10" fillId="20" borderId="48" xfId="0" applyFont="1" applyFill="1" applyBorder="1"/>
    <xf numFmtId="41" fontId="10" fillId="8" borderId="28" xfId="0" applyNumberFormat="1" applyFont="1" applyFill="1" applyBorder="1" applyAlignment="1" applyProtection="1">
      <alignment vertical="center"/>
      <protection hidden="1"/>
    </xf>
    <xf numFmtId="41" fontId="10" fillId="8" borderId="32" xfId="0" applyNumberFormat="1" applyFont="1" applyFill="1" applyBorder="1" applyAlignment="1" applyProtection="1">
      <alignment vertical="center"/>
      <protection hidden="1"/>
    </xf>
    <xf numFmtId="167" fontId="42" fillId="20" borderId="51" xfId="0" applyNumberFormat="1" applyFont="1" applyFill="1" applyBorder="1" applyAlignment="1" applyProtection="1">
      <alignment horizontal="center"/>
    </xf>
    <xf numFmtId="41" fontId="10" fillId="8" borderId="42" xfId="0" applyNumberFormat="1" applyFont="1" applyFill="1" applyBorder="1" applyAlignment="1" applyProtection="1">
      <alignment vertical="center"/>
      <protection hidden="1"/>
    </xf>
    <xf numFmtId="41" fontId="10" fillId="8" borderId="43" xfId="0" applyNumberFormat="1" applyFont="1" applyFill="1" applyBorder="1" applyAlignment="1" applyProtection="1">
      <alignment vertical="center"/>
      <protection hidden="1"/>
    </xf>
    <xf numFmtId="164" fontId="38" fillId="0" borderId="67" xfId="0" applyNumberFormat="1" applyFont="1" applyFill="1" applyBorder="1" applyAlignment="1" applyProtection="1">
      <alignment horizontal="center" vertical="center" wrapText="1"/>
    </xf>
    <xf numFmtId="0" fontId="34" fillId="14" borderId="144" xfId="0" applyFont="1" applyFill="1" applyBorder="1" applyAlignment="1">
      <alignment vertical="center" wrapText="1"/>
    </xf>
    <xf numFmtId="0" fontId="35" fillId="9" borderId="91" xfId="0" applyFont="1" applyFill="1" applyBorder="1" applyAlignment="1">
      <alignment vertical="center"/>
    </xf>
    <xf numFmtId="0" fontId="35" fillId="9" borderId="92" xfId="0" applyFont="1" applyFill="1" applyBorder="1" applyAlignment="1">
      <alignment vertical="center"/>
    </xf>
    <xf numFmtId="164" fontId="3" fillId="20" borderId="145" xfId="0" applyNumberFormat="1" applyFont="1" applyFill="1" applyBorder="1" applyAlignment="1" applyProtection="1">
      <alignment vertical="center"/>
      <protection hidden="1"/>
    </xf>
    <xf numFmtId="164" fontId="3" fillId="20" borderId="12" xfId="0" applyNumberFormat="1" applyFont="1" applyFill="1" applyBorder="1" applyAlignment="1" applyProtection="1">
      <alignment vertical="center"/>
      <protection hidden="1"/>
    </xf>
    <xf numFmtId="164" fontId="3" fillId="20" borderId="90" xfId="0" applyNumberFormat="1" applyFont="1" applyFill="1" applyBorder="1" applyAlignment="1" applyProtection="1">
      <alignment vertical="center"/>
      <protection hidden="1"/>
    </xf>
    <xf numFmtId="164" fontId="3" fillId="20" borderId="2" xfId="0" applyNumberFormat="1" applyFont="1" applyFill="1" applyBorder="1" applyAlignment="1" applyProtection="1">
      <alignment vertical="center"/>
      <protection hidden="1"/>
    </xf>
    <xf numFmtId="9" fontId="3" fillId="20" borderId="12" xfId="0" applyNumberFormat="1" applyFont="1" applyFill="1" applyBorder="1" applyAlignment="1" applyProtection="1">
      <alignment vertical="center"/>
      <protection hidden="1"/>
    </xf>
    <xf numFmtId="0" fontId="3" fillId="20" borderId="90" xfId="0" applyFont="1" applyFill="1" applyBorder="1" applyAlignment="1" applyProtection="1">
      <alignment vertical="center"/>
      <protection hidden="1"/>
    </xf>
    <xf numFmtId="0" fontId="0" fillId="20" borderId="12" xfId="0" applyFill="1" applyBorder="1" applyAlignment="1">
      <alignment horizontal="center" vertical="center"/>
    </xf>
    <xf numFmtId="1" fontId="10" fillId="21" borderId="53" xfId="0" applyNumberFormat="1" applyFont="1" applyFill="1" applyBorder="1" applyAlignment="1" applyProtection="1">
      <alignment horizontal="center" vertical="center"/>
      <protection hidden="1"/>
    </xf>
    <xf numFmtId="1" fontId="10" fillId="21" borderId="39" xfId="0" applyNumberFormat="1" applyFont="1" applyFill="1" applyBorder="1" applyAlignment="1" applyProtection="1">
      <alignment horizontal="center" vertical="center"/>
      <protection hidden="1"/>
    </xf>
    <xf numFmtId="1" fontId="10" fillId="21" borderId="47" xfId="0" applyNumberFormat="1" applyFont="1" applyFill="1" applyBorder="1" applyAlignment="1" applyProtection="1">
      <alignment horizontal="center" vertical="center"/>
      <protection hidden="1"/>
    </xf>
    <xf numFmtId="0" fontId="9" fillId="21" borderId="11" xfId="0" applyFont="1" applyFill="1" applyBorder="1" applyAlignment="1">
      <alignment horizontal="center" vertical="center" wrapText="1"/>
    </xf>
    <xf numFmtId="168" fontId="10" fillId="19" borderId="19" xfId="0" applyNumberFormat="1" applyFont="1" applyFill="1" applyBorder="1" applyAlignment="1" applyProtection="1">
      <alignment horizontal="center"/>
    </xf>
    <xf numFmtId="168" fontId="10" fillId="14" borderId="55" xfId="0" quotePrefix="1" applyNumberFormat="1" applyFont="1" applyFill="1" applyBorder="1" applyAlignment="1" applyProtection="1">
      <alignment horizontal="center"/>
    </xf>
    <xf numFmtId="168" fontId="10" fillId="14" borderId="53" xfId="0" quotePrefix="1" applyNumberFormat="1" applyFont="1" applyFill="1" applyBorder="1" applyAlignment="1" applyProtection="1">
      <alignment horizontal="center"/>
    </xf>
    <xf numFmtId="0" fontId="33" fillId="21" borderId="11" xfId="9" applyFont="1" applyFill="1" applyBorder="1" applyAlignment="1">
      <alignment horizontal="center" vertical="center"/>
    </xf>
    <xf numFmtId="168" fontId="10" fillId="14" borderId="47" xfId="0" quotePrefix="1" applyNumberFormat="1" applyFont="1" applyFill="1" applyBorder="1" applyAlignment="1" applyProtection="1">
      <alignment horizontal="center"/>
    </xf>
    <xf numFmtId="164" fontId="10" fillId="9" borderId="8" xfId="0" applyNumberFormat="1" applyFont="1" applyFill="1" applyBorder="1" applyAlignment="1" applyProtection="1">
      <alignment horizontal="center" vertical="center"/>
    </xf>
    <xf numFmtId="167" fontId="10" fillId="8" borderId="10" xfId="0" applyNumberFormat="1" applyFont="1" applyFill="1" applyBorder="1" applyAlignment="1" applyProtection="1">
      <alignment horizontal="center"/>
    </xf>
    <xf numFmtId="3" fontId="10" fillId="9" borderId="149" xfId="0" applyNumberFormat="1" applyFont="1" applyFill="1" applyBorder="1" applyAlignment="1" applyProtection="1"/>
    <xf numFmtId="3" fontId="10" fillId="9" borderId="9" xfId="0" applyNumberFormat="1" applyFont="1" applyFill="1" applyBorder="1"/>
    <xf numFmtId="3" fontId="10" fillId="9" borderId="151" xfId="0" applyNumberFormat="1" applyFont="1" applyFill="1" applyBorder="1" applyAlignment="1" applyProtection="1"/>
    <xf numFmtId="3" fontId="10" fillId="3" borderId="95" xfId="0" applyNumberFormat="1" applyFont="1" applyFill="1" applyBorder="1" applyAlignment="1" applyProtection="1"/>
    <xf numFmtId="3" fontId="10" fillId="3" borderId="14" xfId="0" applyNumberFormat="1" applyFont="1" applyFill="1" applyBorder="1" applyAlignment="1" applyProtection="1"/>
    <xf numFmtId="164" fontId="3" fillId="3" borderId="145" xfId="0" applyNumberFormat="1" applyFont="1" applyFill="1" applyBorder="1" applyAlignment="1" applyProtection="1">
      <alignment vertical="center"/>
      <protection hidden="1"/>
    </xf>
    <xf numFmtId="164" fontId="3" fillId="3" borderId="12" xfId="0" applyNumberFormat="1" applyFont="1" applyFill="1" applyBorder="1" applyAlignment="1" applyProtection="1">
      <alignment vertical="center"/>
      <protection hidden="1"/>
    </xf>
    <xf numFmtId="164" fontId="3" fillId="3" borderId="90" xfId="0" applyNumberFormat="1" applyFont="1" applyFill="1" applyBorder="1" applyAlignment="1" applyProtection="1">
      <alignment vertical="center"/>
      <protection hidden="1"/>
    </xf>
    <xf numFmtId="164" fontId="3" fillId="3" borderId="2" xfId="0" applyNumberFormat="1" applyFont="1" applyFill="1" applyBorder="1" applyAlignment="1" applyProtection="1">
      <alignment vertical="center"/>
      <protection hidden="1"/>
    </xf>
    <xf numFmtId="9" fontId="3" fillId="3" borderId="12" xfId="0" applyNumberFormat="1" applyFont="1" applyFill="1" applyBorder="1" applyAlignment="1" applyProtection="1">
      <alignment vertical="center"/>
      <protection hidden="1"/>
    </xf>
    <xf numFmtId="0" fontId="3" fillId="3" borderId="90" xfId="0" applyFont="1" applyFill="1" applyBorder="1" applyAlignment="1" applyProtection="1">
      <alignment vertical="center"/>
      <protection hidden="1"/>
    </xf>
    <xf numFmtId="0" fontId="0" fillId="3" borderId="12" xfId="0" applyFill="1" applyBorder="1" applyAlignment="1">
      <alignment horizontal="center" vertical="center"/>
    </xf>
    <xf numFmtId="167" fontId="10" fillId="8" borderId="13" xfId="0" applyNumberFormat="1" applyFont="1" applyFill="1" applyBorder="1" applyAlignment="1" applyProtection="1">
      <alignment horizontal="center"/>
    </xf>
    <xf numFmtId="1" fontId="40" fillId="0" borderId="111" xfId="0" applyNumberFormat="1" applyFont="1" applyFill="1" applyBorder="1" applyAlignment="1" applyProtection="1"/>
    <xf numFmtId="164" fontId="41" fillId="19" borderId="29" xfId="0" applyNumberFormat="1" applyFont="1" applyFill="1" applyBorder="1" applyAlignment="1" applyProtection="1">
      <alignment horizontal="center" vertical="center"/>
    </xf>
    <xf numFmtId="1" fontId="10" fillId="13" borderId="12" xfId="0" applyNumberFormat="1" applyFont="1" applyFill="1" applyBorder="1" applyAlignment="1" applyProtection="1">
      <alignment vertical="center"/>
      <protection hidden="1"/>
    </xf>
    <xf numFmtId="1" fontId="10" fillId="13" borderId="56" xfId="0" applyNumberFormat="1" applyFont="1" applyFill="1" applyBorder="1" applyAlignment="1" applyProtection="1">
      <alignment vertical="center"/>
      <protection hidden="1"/>
    </xf>
    <xf numFmtId="1" fontId="10" fillId="13" borderId="32" xfId="0" applyNumberFormat="1" applyFont="1" applyFill="1" applyBorder="1" applyAlignment="1" applyProtection="1">
      <alignment vertical="center"/>
      <protection hidden="1"/>
    </xf>
    <xf numFmtId="1" fontId="10" fillId="13" borderId="48" xfId="0" applyNumberFormat="1" applyFont="1" applyFill="1" applyBorder="1" applyAlignment="1" applyProtection="1">
      <alignment vertical="center"/>
      <protection hidden="1"/>
    </xf>
    <xf numFmtId="1" fontId="10" fillId="13" borderId="42" xfId="0" applyNumberFormat="1" applyFont="1" applyFill="1" applyBorder="1" applyAlignment="1" applyProtection="1">
      <alignment vertical="center"/>
      <protection hidden="1"/>
    </xf>
    <xf numFmtId="0" fontId="32" fillId="21" borderId="53" xfId="9" applyFont="1" applyFill="1" applyBorder="1" applyAlignment="1">
      <alignment horizontal="center" vertical="center"/>
    </xf>
    <xf numFmtId="167" fontId="10" fillId="14" borderId="31" xfId="0" applyNumberFormat="1" applyFont="1" applyFill="1" applyBorder="1" applyAlignment="1" applyProtection="1">
      <alignment horizontal="center"/>
    </xf>
    <xf numFmtId="167" fontId="10" fillId="14" borderId="51" xfId="0" applyNumberFormat="1" applyFont="1" applyFill="1" applyBorder="1" applyAlignment="1" applyProtection="1">
      <alignment horizontal="center"/>
    </xf>
    <xf numFmtId="167" fontId="10" fillId="14" borderId="85" xfId="0" applyNumberFormat="1" applyFont="1" applyFill="1" applyBorder="1" applyAlignment="1" applyProtection="1">
      <alignment horizontal="center"/>
    </xf>
    <xf numFmtId="164" fontId="41" fillId="21" borderId="53" xfId="0" applyNumberFormat="1" applyFont="1" applyFill="1" applyBorder="1" applyAlignment="1" applyProtection="1">
      <alignment horizontal="center" vertical="center"/>
    </xf>
    <xf numFmtId="164" fontId="41" fillId="21" borderId="92" xfId="0" applyNumberFormat="1" applyFont="1" applyFill="1" applyBorder="1" applyAlignment="1" applyProtection="1">
      <alignment horizontal="center" vertical="center"/>
    </xf>
    <xf numFmtId="0" fontId="34" fillId="19" borderId="144" xfId="0" applyFont="1" applyFill="1" applyBorder="1" applyAlignment="1">
      <alignment horizontal="center" vertical="center" wrapText="1"/>
    </xf>
    <xf numFmtId="0" fontId="34" fillId="19" borderId="91" xfId="0" applyFont="1" applyFill="1" applyBorder="1" applyAlignment="1">
      <alignment horizontal="center" vertical="center" wrapText="1"/>
    </xf>
    <xf numFmtId="0" fontId="34" fillId="19" borderId="92" xfId="0" applyFont="1" applyFill="1" applyBorder="1" applyAlignment="1">
      <alignment horizontal="center" vertical="center" wrapText="1"/>
    </xf>
    <xf numFmtId="164" fontId="12" fillId="0" borderId="26" xfId="0" applyNumberFormat="1" applyFont="1" applyFill="1" applyBorder="1" applyAlignment="1" applyProtection="1">
      <alignment horizontal="center"/>
    </xf>
    <xf numFmtId="164" fontId="12" fillId="0" borderId="89" xfId="0" applyNumberFormat="1" applyFont="1" applyFill="1" applyBorder="1" applyAlignment="1" applyProtection="1">
      <alignment horizontal="center"/>
    </xf>
    <xf numFmtId="164" fontId="12" fillId="0" borderId="153" xfId="0" applyNumberFormat="1" applyFont="1" applyFill="1" applyBorder="1" applyAlignment="1" applyProtection="1">
      <alignment horizontal="center"/>
    </xf>
    <xf numFmtId="0" fontId="34" fillId="21" borderId="144" xfId="0" applyFont="1" applyFill="1" applyBorder="1" applyAlignment="1">
      <alignment horizontal="center" vertical="center" wrapText="1"/>
    </xf>
    <xf numFmtId="0" fontId="34" fillId="21" borderId="91" xfId="0" applyFont="1" applyFill="1" applyBorder="1" applyAlignment="1">
      <alignment horizontal="center" vertical="center" wrapText="1"/>
    </xf>
    <xf numFmtId="0" fontId="34" fillId="14" borderId="144" xfId="0" applyFont="1" applyFill="1" applyBorder="1" applyAlignment="1">
      <alignment horizontal="center" vertical="center" wrapText="1"/>
    </xf>
    <xf numFmtId="0" fontId="34" fillId="14" borderId="92" xfId="0" applyFont="1" applyFill="1" applyBorder="1" applyAlignment="1">
      <alignment horizontal="center" vertical="center" wrapText="1"/>
    </xf>
    <xf numFmtId="164" fontId="10" fillId="0" borderId="27" xfId="0" applyNumberFormat="1" applyFont="1" applyFill="1" applyBorder="1" applyAlignment="1" applyProtection="1">
      <alignment horizontal="center" vertical="center"/>
    </xf>
    <xf numFmtId="164" fontId="10" fillId="0" borderId="143" xfId="0" applyNumberFormat="1" applyFont="1" applyFill="1" applyBorder="1" applyAlignment="1" applyProtection="1">
      <alignment horizontal="center" vertical="center"/>
    </xf>
    <xf numFmtId="164" fontId="10" fillId="0" borderId="146" xfId="0" applyNumberFormat="1" applyFont="1" applyFill="1" applyBorder="1" applyAlignment="1" applyProtection="1">
      <alignment horizontal="center" vertical="center"/>
    </xf>
    <xf numFmtId="168" fontId="10" fillId="2" borderId="34" xfId="0" quotePrefix="1" applyNumberFormat="1" applyFont="1" applyFill="1" applyBorder="1" applyAlignment="1" applyProtection="1">
      <alignment horizontal="center" vertical="center"/>
    </xf>
    <xf numFmtId="168" fontId="10" fillId="2" borderId="37" xfId="0" quotePrefix="1" applyNumberFormat="1" applyFont="1" applyFill="1" applyBorder="1" applyAlignment="1" applyProtection="1">
      <alignment horizontal="center" vertical="center"/>
    </xf>
    <xf numFmtId="168" fontId="10" fillId="2" borderId="36" xfId="0" quotePrefix="1" applyNumberFormat="1" applyFont="1" applyFill="1" applyBorder="1" applyAlignment="1" applyProtection="1">
      <alignment horizontal="center" vertical="center"/>
    </xf>
    <xf numFmtId="168" fontId="10" fillId="2" borderId="44" xfId="0" quotePrefix="1" applyNumberFormat="1" applyFont="1" applyFill="1" applyBorder="1" applyAlignment="1" applyProtection="1">
      <alignment horizontal="center" vertical="center"/>
    </xf>
    <xf numFmtId="168" fontId="10" fillId="2" borderId="0" xfId="0" quotePrefix="1" applyNumberFormat="1" applyFont="1" applyFill="1" applyBorder="1" applyAlignment="1" applyProtection="1">
      <alignment horizontal="center" vertical="center"/>
    </xf>
    <xf numFmtId="168" fontId="10" fillId="2" borderId="45" xfId="0" quotePrefix="1" applyNumberFormat="1" applyFont="1" applyFill="1" applyBorder="1" applyAlignment="1" applyProtection="1">
      <alignment horizontal="center" vertical="center"/>
    </xf>
    <xf numFmtId="168" fontId="10" fillId="2" borderId="145" xfId="0" quotePrefix="1" applyNumberFormat="1" applyFont="1" applyFill="1" applyBorder="1" applyAlignment="1" applyProtection="1">
      <alignment horizontal="center" vertical="center"/>
    </xf>
    <xf numFmtId="168" fontId="10" fillId="2" borderId="2" xfId="0" quotePrefix="1" applyNumberFormat="1" applyFont="1" applyFill="1" applyBorder="1" applyAlignment="1" applyProtection="1">
      <alignment horizontal="center" vertical="center"/>
    </xf>
    <xf numFmtId="168" fontId="10" fillId="2" borderId="90" xfId="0" quotePrefix="1" applyNumberFormat="1" applyFont="1" applyFill="1" applyBorder="1" applyAlignment="1" applyProtection="1">
      <alignment horizontal="center" vertical="center"/>
    </xf>
    <xf numFmtId="0" fontId="10" fillId="0" borderId="26" xfId="0" applyFont="1" applyFill="1" applyBorder="1" applyAlignment="1">
      <alignment horizontal="center"/>
    </xf>
    <xf numFmtId="0" fontId="10" fillId="0" borderId="89" xfId="0" applyFont="1" applyFill="1" applyBorder="1" applyAlignment="1">
      <alignment horizontal="center"/>
    </xf>
    <xf numFmtId="0" fontId="10" fillId="0" borderId="153" xfId="0" applyFont="1" applyFill="1" applyBorder="1" applyAlignment="1">
      <alignment horizontal="center"/>
    </xf>
    <xf numFmtId="0" fontId="10" fillId="0" borderId="144" xfId="0" applyFont="1" applyFill="1" applyBorder="1" applyAlignment="1">
      <alignment horizontal="center" vertical="center"/>
    </xf>
    <xf numFmtId="0" fontId="10" fillId="0" borderId="91" xfId="0" applyFont="1" applyFill="1" applyBorder="1" applyAlignment="1">
      <alignment horizontal="center" vertical="center"/>
    </xf>
    <xf numFmtId="0" fontId="10" fillId="0" borderId="92" xfId="0" applyFont="1" applyFill="1" applyBorder="1" applyAlignment="1">
      <alignment horizontal="center" vertical="center"/>
    </xf>
    <xf numFmtId="0" fontId="31" fillId="9" borderId="144" xfId="0" applyFont="1" applyFill="1" applyBorder="1" applyAlignment="1">
      <alignment horizontal="center" vertical="center"/>
    </xf>
    <xf numFmtId="0" fontId="31" fillId="9" borderId="91" xfId="0" applyFont="1" applyFill="1" applyBorder="1" applyAlignment="1">
      <alignment horizontal="center" vertical="center"/>
    </xf>
    <xf numFmtId="0" fontId="31" fillId="9" borderId="92" xfId="0" applyFont="1" applyFill="1" applyBorder="1" applyAlignment="1">
      <alignment horizontal="center" vertical="center"/>
    </xf>
    <xf numFmtId="0" fontId="34" fillId="10" borderId="34" xfId="0" applyFont="1" applyFill="1" applyBorder="1" applyAlignment="1">
      <alignment horizontal="center" vertical="center" wrapText="1"/>
    </xf>
    <xf numFmtId="0" fontId="34" fillId="10" borderId="36" xfId="0" applyFont="1" applyFill="1" applyBorder="1" applyAlignment="1">
      <alignment horizontal="center" vertical="center" wrapText="1"/>
    </xf>
    <xf numFmtId="164" fontId="12" fillId="0" borderId="27" xfId="0" applyNumberFormat="1" applyFont="1" applyFill="1" applyBorder="1" applyAlignment="1" applyProtection="1">
      <alignment horizontal="center"/>
    </xf>
    <xf numFmtId="164" fontId="12" fillId="0" borderId="143" xfId="0" applyNumberFormat="1" applyFont="1" applyFill="1" applyBorder="1" applyAlignment="1" applyProtection="1">
      <alignment horizontal="center"/>
    </xf>
    <xf numFmtId="164" fontId="12" fillId="0" borderId="146" xfId="0" applyNumberFormat="1" applyFont="1" applyFill="1" applyBorder="1" applyAlignment="1" applyProtection="1">
      <alignment horizontal="center"/>
    </xf>
    <xf numFmtId="164" fontId="10" fillId="0" borderId="144" xfId="0" applyNumberFormat="1" applyFont="1" applyFill="1" applyBorder="1" applyAlignment="1" applyProtection="1">
      <alignment horizontal="center" vertical="center"/>
    </xf>
    <xf numFmtId="164" fontId="10" fillId="0" borderId="91" xfId="0" applyNumberFormat="1" applyFont="1" applyFill="1" applyBorder="1" applyAlignment="1" applyProtection="1">
      <alignment horizontal="center" vertical="center"/>
    </xf>
    <xf numFmtId="164" fontId="10" fillId="0" borderId="92" xfId="0" applyNumberFormat="1" applyFont="1" applyFill="1" applyBorder="1" applyAlignment="1" applyProtection="1">
      <alignment horizontal="center" vertical="center"/>
    </xf>
    <xf numFmtId="164" fontId="10" fillId="0" borderId="34" xfId="0" applyNumberFormat="1" applyFont="1" applyFill="1" applyBorder="1" applyAlignment="1" applyProtection="1">
      <alignment horizontal="center" vertical="center"/>
    </xf>
    <xf numFmtId="164" fontId="10" fillId="0" borderId="44" xfId="0" applyNumberFormat="1" applyFont="1" applyFill="1" applyBorder="1" applyAlignment="1" applyProtection="1">
      <alignment horizontal="center" vertical="center"/>
    </xf>
    <xf numFmtId="164" fontId="10" fillId="0" borderId="145" xfId="0" applyNumberFormat="1" applyFont="1" applyFill="1" applyBorder="1" applyAlignment="1" applyProtection="1">
      <alignment horizontal="center" vertical="center"/>
    </xf>
    <xf numFmtId="0" fontId="16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 vertical="center"/>
    </xf>
    <xf numFmtId="164" fontId="10" fillId="2" borderId="65" xfId="0" applyNumberFormat="1" applyFont="1" applyFill="1" applyBorder="1" applyAlignment="1" applyProtection="1">
      <alignment horizontal="center"/>
    </xf>
    <xf numFmtId="164" fontId="10" fillId="2" borderId="68" xfId="0" applyNumberFormat="1" applyFont="1" applyFill="1" applyBorder="1" applyAlignment="1" applyProtection="1">
      <alignment horizontal="center"/>
    </xf>
    <xf numFmtId="164" fontId="10" fillId="2" borderId="67" xfId="0" applyNumberFormat="1" applyFont="1" applyFill="1" applyBorder="1" applyAlignment="1" applyProtection="1">
      <alignment horizontal="center"/>
    </xf>
    <xf numFmtId="164" fontId="10" fillId="0" borderId="163" xfId="0" applyNumberFormat="1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3" fillId="0" borderId="26" xfId="0" applyFont="1" applyFill="1" applyBorder="1" applyAlignment="1" applyProtection="1">
      <alignment horizontal="center" vertical="center"/>
      <protection hidden="1"/>
    </xf>
    <xf numFmtId="0" fontId="3" fillId="0" borderId="89" xfId="0" applyFont="1" applyFill="1" applyBorder="1" applyAlignment="1" applyProtection="1">
      <alignment horizontal="center" vertical="center"/>
      <protection hidden="1"/>
    </xf>
    <xf numFmtId="0" fontId="3" fillId="0" borderId="153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Border="1" applyAlignment="1">
      <alignment horizontal="center"/>
    </xf>
    <xf numFmtId="164" fontId="3" fillId="0" borderId="65" xfId="0" applyNumberFormat="1" applyFont="1" applyFill="1" applyBorder="1" applyAlignment="1" applyProtection="1">
      <alignment horizontal="center" vertical="center"/>
      <protection hidden="1"/>
    </xf>
    <xf numFmtId="164" fontId="3" fillId="0" borderId="68" xfId="0" applyNumberFormat="1" applyFont="1" applyFill="1" applyBorder="1" applyAlignment="1" applyProtection="1">
      <alignment horizontal="center" vertical="center"/>
      <protection hidden="1"/>
    </xf>
    <xf numFmtId="164" fontId="3" fillId="0" borderId="67" xfId="0" applyNumberFormat="1" applyFont="1" applyFill="1" applyBorder="1" applyAlignment="1" applyProtection="1">
      <alignment horizontal="center" vertical="center"/>
      <protection hidden="1"/>
    </xf>
    <xf numFmtId="0" fontId="17" fillId="0" borderId="0" xfId="0" applyFont="1" applyFill="1" applyBorder="1" applyAlignment="1">
      <alignment horizontal="center"/>
    </xf>
    <xf numFmtId="164" fontId="3" fillId="0" borderId="26" xfId="0" applyNumberFormat="1" applyFont="1" applyFill="1" applyBorder="1" applyAlignment="1" applyProtection="1">
      <alignment horizontal="center" vertical="center"/>
      <protection hidden="1"/>
    </xf>
    <xf numFmtId="0" fontId="10" fillId="0" borderId="0" xfId="0" applyNumberFormat="1" applyFont="1" applyFill="1" applyBorder="1" applyAlignment="1" applyProtection="1">
      <alignment horizontal="center" vertical="center" readingOrder="1"/>
      <protection locked="0"/>
    </xf>
    <xf numFmtId="164" fontId="9" fillId="0" borderId="65" xfId="0" applyNumberFormat="1" applyFont="1" applyFill="1" applyBorder="1" applyAlignment="1" applyProtection="1">
      <alignment horizontal="center"/>
    </xf>
    <xf numFmtId="164" fontId="9" fillId="0" borderId="68" xfId="0" applyNumberFormat="1" applyFont="1" applyFill="1" applyBorder="1" applyAlignment="1" applyProtection="1">
      <alignment horizontal="center"/>
    </xf>
    <xf numFmtId="164" fontId="9" fillId="0" borderId="67" xfId="0" applyNumberFormat="1" applyFont="1" applyFill="1" applyBorder="1" applyAlignment="1" applyProtection="1">
      <alignment horizontal="center"/>
    </xf>
    <xf numFmtId="0" fontId="10" fillId="0" borderId="26" xfId="0" applyNumberFormat="1" applyFont="1" applyFill="1" applyBorder="1" applyAlignment="1">
      <alignment horizontal="center"/>
    </xf>
    <xf numFmtId="0" fontId="10" fillId="0" borderId="89" xfId="0" applyNumberFormat="1" applyFont="1" applyFill="1" applyBorder="1" applyAlignment="1">
      <alignment horizontal="center"/>
    </xf>
    <xf numFmtId="0" fontId="10" fillId="0" borderId="153" xfId="0" applyNumberFormat="1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164" fontId="10" fillId="0" borderId="0" xfId="0" applyNumberFormat="1" applyFont="1" applyFill="1" applyBorder="1" applyAlignment="1">
      <alignment horizontal="center"/>
    </xf>
    <xf numFmtId="164" fontId="10" fillId="2" borderId="65" xfId="0" applyNumberFormat="1" applyFont="1" applyFill="1" applyBorder="1" applyAlignment="1" applyProtection="1">
      <alignment horizontal="center" vertical="center"/>
    </xf>
    <xf numFmtId="164" fontId="10" fillId="2" borderId="68" xfId="0" applyNumberFormat="1" applyFont="1" applyFill="1" applyBorder="1" applyAlignment="1" applyProtection="1">
      <alignment horizontal="center" vertical="center"/>
    </xf>
    <xf numFmtId="164" fontId="10" fillId="2" borderId="67" xfId="0" applyNumberFormat="1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7" fillId="0" borderId="136" xfId="0" applyFont="1" applyFill="1" applyBorder="1" applyAlignment="1">
      <alignment horizontal="center" vertical="center"/>
    </xf>
    <xf numFmtId="0" fontId="17" fillId="0" borderId="140" xfId="0" applyFont="1" applyFill="1" applyBorder="1" applyAlignment="1">
      <alignment horizontal="center" vertical="center"/>
    </xf>
    <xf numFmtId="0" fontId="17" fillId="0" borderId="126" xfId="0" applyFont="1" applyFill="1" applyBorder="1" applyAlignment="1">
      <alignment horizontal="center" vertical="center"/>
    </xf>
    <xf numFmtId="0" fontId="17" fillId="0" borderId="162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/>
    </xf>
    <xf numFmtId="164" fontId="9" fillId="0" borderId="150" xfId="0" applyNumberFormat="1" applyFont="1" applyBorder="1" applyAlignment="1">
      <alignment horizontal="center"/>
    </xf>
    <xf numFmtId="164" fontId="9" fillId="0" borderId="152" xfId="0" applyNumberFormat="1" applyFont="1" applyBorder="1" applyAlignment="1">
      <alignment horizontal="center"/>
    </xf>
    <xf numFmtId="164" fontId="9" fillId="0" borderId="149" xfId="0" applyNumberFormat="1" applyFont="1" applyBorder="1" applyAlignment="1">
      <alignment horizontal="center"/>
    </xf>
    <xf numFmtId="164" fontId="1" fillId="0" borderId="141" xfId="0" applyNumberFormat="1" applyFont="1" applyBorder="1" applyAlignment="1">
      <alignment horizontal="center"/>
    </xf>
    <xf numFmtId="164" fontId="1" fillId="0" borderId="37" xfId="0" applyNumberFormat="1" applyFont="1" applyBorder="1" applyAlignment="1">
      <alignment horizontal="center"/>
    </xf>
    <xf numFmtId="164" fontId="1" fillId="0" borderId="36" xfId="0" applyNumberFormat="1" applyFont="1" applyBorder="1" applyAlignment="1">
      <alignment horizontal="center"/>
    </xf>
    <xf numFmtId="164" fontId="9" fillId="0" borderId="151" xfId="0" applyNumberFormat="1" applyFont="1" applyBorder="1" applyAlignment="1">
      <alignment horizontal="center"/>
    </xf>
    <xf numFmtId="164" fontId="1" fillId="0" borderId="137" xfId="0" applyNumberFormat="1" applyFont="1" applyBorder="1" applyAlignment="1">
      <alignment horizontal="center"/>
    </xf>
    <xf numFmtId="0" fontId="10" fillId="0" borderId="57" xfId="0" applyFont="1" applyFill="1" applyBorder="1" applyAlignment="1" applyProtection="1">
      <alignment horizontal="right" vertical="center" indent="1"/>
      <protection hidden="1"/>
    </xf>
    <xf numFmtId="0" fontId="10" fillId="0" borderId="111" xfId="0" applyFont="1" applyFill="1" applyBorder="1" applyAlignment="1">
      <alignment horizontal="center" vertical="center"/>
    </xf>
    <xf numFmtId="0" fontId="10" fillId="0" borderId="151" xfId="0" applyFont="1" applyFill="1" applyBorder="1" applyAlignment="1">
      <alignment horizontal="center" vertical="center"/>
    </xf>
    <xf numFmtId="164" fontId="10" fillId="0" borderId="2" xfId="0" applyNumberFormat="1" applyFont="1" applyBorder="1" applyAlignment="1" applyProtection="1">
      <alignment horizontal="center"/>
    </xf>
    <xf numFmtId="164" fontId="10" fillId="0" borderId="108" xfId="0" applyNumberFormat="1" applyFont="1" applyBorder="1" applyAlignment="1" applyProtection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90" xfId="0" applyNumberFormat="1" applyFont="1" applyBorder="1" applyAlignment="1">
      <alignment horizontal="center"/>
    </xf>
    <xf numFmtId="0" fontId="10" fillId="0" borderId="1" xfId="0" applyFont="1" applyFill="1" applyBorder="1" applyAlignment="1" applyProtection="1">
      <alignment horizontal="right" vertical="center" indent="1"/>
      <protection hidden="1"/>
    </xf>
    <xf numFmtId="0" fontId="10" fillId="0" borderId="6" xfId="0" applyFont="1" applyFill="1" applyBorder="1" applyAlignment="1" applyProtection="1">
      <alignment horizontal="right" vertical="center" indent="1"/>
      <protection hidden="1"/>
    </xf>
    <xf numFmtId="164" fontId="12" fillId="0" borderId="152" xfId="0" applyNumberFormat="1" applyFont="1" applyBorder="1" applyAlignment="1" applyProtection="1">
      <alignment horizontal="center"/>
    </xf>
    <xf numFmtId="164" fontId="12" fillId="0" borderId="149" xfId="0" applyNumberFormat="1" applyFont="1" applyBorder="1" applyAlignment="1" applyProtection="1">
      <alignment horizontal="center"/>
    </xf>
    <xf numFmtId="0" fontId="10" fillId="0" borderId="6" xfId="0" applyFont="1" applyFill="1" applyBorder="1" applyAlignment="1" applyProtection="1">
      <alignment horizontal="center" vertical="center"/>
      <protection hidden="1"/>
    </xf>
    <xf numFmtId="0" fontId="10" fillId="0" borderId="25" xfId="0" applyFont="1" applyFill="1" applyBorder="1" applyAlignment="1" applyProtection="1">
      <alignment horizontal="center" vertical="center"/>
      <protection hidden="1"/>
    </xf>
    <xf numFmtId="164" fontId="12" fillId="0" borderId="151" xfId="0" applyNumberFormat="1" applyFont="1" applyBorder="1" applyAlignment="1" applyProtection="1">
      <alignment horizont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164" fontId="9" fillId="0" borderId="145" xfId="0" applyNumberFormat="1" applyFont="1" applyFill="1" applyBorder="1" applyAlignment="1" applyProtection="1">
      <alignment horizontal="center"/>
    </xf>
    <xf numFmtId="164" fontId="9" fillId="0" borderId="2" xfId="0" applyNumberFormat="1" applyFont="1" applyFill="1" applyBorder="1" applyAlignment="1" applyProtection="1">
      <alignment horizontal="center"/>
    </xf>
    <xf numFmtId="164" fontId="9" fillId="0" borderId="90" xfId="0" applyNumberFormat="1" applyFont="1" applyFill="1" applyBorder="1" applyAlignment="1" applyProtection="1">
      <alignment horizontal="center"/>
    </xf>
    <xf numFmtId="0" fontId="34" fillId="15" borderId="144" xfId="0" applyFont="1" applyFill="1" applyBorder="1" applyAlignment="1">
      <alignment horizontal="center" vertical="center" wrapText="1"/>
    </xf>
    <xf numFmtId="0" fontId="34" fillId="15" borderId="92" xfId="0" applyFont="1" applyFill="1" applyBorder="1" applyAlignment="1">
      <alignment horizontal="center" vertical="center" wrapText="1"/>
    </xf>
    <xf numFmtId="164" fontId="10" fillId="0" borderId="144" xfId="0" applyNumberFormat="1" applyFont="1" applyFill="1" applyBorder="1" applyAlignment="1" applyProtection="1">
      <alignment horizontal="center" vertical="center" wrapText="1"/>
    </xf>
    <xf numFmtId="164" fontId="10" fillId="0" borderId="91" xfId="0" applyNumberFormat="1" applyFont="1" applyFill="1" applyBorder="1" applyAlignment="1" applyProtection="1">
      <alignment horizontal="center" vertical="center" wrapText="1"/>
    </xf>
    <xf numFmtId="164" fontId="10" fillId="0" borderId="92" xfId="0" applyNumberFormat="1" applyFont="1" applyFill="1" applyBorder="1" applyAlignment="1" applyProtection="1">
      <alignment horizontal="center" vertical="center" wrapText="1"/>
    </xf>
    <xf numFmtId="164" fontId="9" fillId="0" borderId="111" xfId="0" applyNumberFormat="1" applyFont="1" applyFill="1" applyBorder="1" applyAlignment="1" applyProtection="1">
      <alignment horizontal="center"/>
    </xf>
    <xf numFmtId="164" fontId="9" fillId="0" borderId="152" xfId="0" applyNumberFormat="1" applyFont="1" applyFill="1" applyBorder="1" applyAlignment="1" applyProtection="1">
      <alignment horizontal="center"/>
    </xf>
    <xf numFmtId="164" fontId="9" fillId="0" borderId="151" xfId="0" applyNumberFormat="1" applyFont="1" applyFill="1" applyBorder="1" applyAlignment="1" applyProtection="1">
      <alignment horizontal="center"/>
    </xf>
    <xf numFmtId="0" fontId="10" fillId="0" borderId="34" xfId="0" applyFont="1" applyFill="1" applyBorder="1" applyAlignment="1">
      <alignment horizontal="center" vertical="center"/>
    </xf>
    <xf numFmtId="0" fontId="10" fillId="0" borderId="36" xfId="0" applyFont="1" applyFill="1" applyBorder="1" applyAlignment="1">
      <alignment horizontal="center" vertical="center"/>
    </xf>
    <xf numFmtId="0" fontId="10" fillId="0" borderId="44" xfId="0" applyFont="1" applyFill="1" applyBorder="1" applyAlignment="1">
      <alignment horizontal="center" vertical="center"/>
    </xf>
    <xf numFmtId="0" fontId="10" fillId="0" borderId="45" xfId="0" applyFont="1" applyFill="1" applyBorder="1" applyAlignment="1">
      <alignment horizontal="center" vertical="center"/>
    </xf>
    <xf numFmtId="0" fontId="10" fillId="0" borderId="145" xfId="0" applyFont="1" applyFill="1" applyBorder="1" applyAlignment="1">
      <alignment horizontal="center" vertical="center"/>
    </xf>
    <xf numFmtId="0" fontId="10" fillId="0" borderId="90" xfId="0" applyFont="1" applyFill="1" applyBorder="1" applyAlignment="1">
      <alignment horizontal="center" vertical="center"/>
    </xf>
    <xf numFmtId="164" fontId="10" fillId="0" borderId="161" xfId="0" applyNumberFormat="1" applyFont="1" applyFill="1" applyBorder="1" applyAlignment="1" applyProtection="1">
      <alignment horizontal="center" vertical="center" wrapText="1"/>
    </xf>
    <xf numFmtId="0" fontId="34" fillId="10" borderId="44" xfId="0" applyFont="1" applyFill="1" applyBorder="1" applyAlignment="1">
      <alignment horizontal="center" vertical="center" wrapText="1"/>
    </xf>
    <xf numFmtId="0" fontId="34" fillId="10" borderId="45" xfId="0" applyFont="1" applyFill="1" applyBorder="1" applyAlignment="1">
      <alignment horizontal="center" vertical="center" wrapText="1"/>
    </xf>
    <xf numFmtId="0" fontId="31" fillId="10" borderId="145" xfId="0" applyFont="1" applyFill="1" applyBorder="1" applyAlignment="1">
      <alignment horizontal="center" vertical="center"/>
    </xf>
    <xf numFmtId="0" fontId="31" fillId="10" borderId="90" xfId="0" applyFont="1" applyFill="1" applyBorder="1" applyAlignment="1">
      <alignment horizontal="center" vertical="center"/>
    </xf>
    <xf numFmtId="0" fontId="20" fillId="9" borderId="144" xfId="0" applyFont="1" applyFill="1" applyBorder="1" applyAlignment="1">
      <alignment horizontal="center" vertical="center"/>
    </xf>
    <xf numFmtId="0" fontId="20" fillId="9" borderId="92" xfId="0" applyFont="1" applyFill="1" applyBorder="1" applyAlignment="1">
      <alignment horizontal="center" vertical="center"/>
    </xf>
    <xf numFmtId="164" fontId="12" fillId="0" borderId="78" xfId="0" applyNumberFormat="1" applyFont="1" applyFill="1" applyBorder="1" applyAlignment="1" applyProtection="1">
      <alignment horizontal="center"/>
    </xf>
    <xf numFmtId="164" fontId="12" fillId="0" borderId="64" xfId="0" applyNumberFormat="1" applyFont="1" applyFill="1" applyBorder="1" applyAlignment="1" applyProtection="1">
      <alignment horizontal="center"/>
    </xf>
    <xf numFmtId="164" fontId="12" fillId="0" borderId="79" xfId="0" applyNumberFormat="1" applyFont="1" applyFill="1" applyBorder="1" applyAlignment="1" applyProtection="1">
      <alignment horizontal="center"/>
    </xf>
    <xf numFmtId="0" fontId="34" fillId="14" borderId="91" xfId="0" applyFont="1" applyFill="1" applyBorder="1" applyAlignment="1">
      <alignment horizontal="center" vertical="center" wrapText="1"/>
    </xf>
    <xf numFmtId="0" fontId="9" fillId="21" borderId="91" xfId="0" applyFont="1" applyFill="1" applyBorder="1" applyAlignment="1">
      <alignment horizontal="center" vertical="center" wrapText="1"/>
    </xf>
    <xf numFmtId="0" fontId="20" fillId="9" borderId="91" xfId="0" applyFont="1" applyFill="1" applyBorder="1" applyAlignment="1">
      <alignment horizontal="center" vertical="center"/>
    </xf>
    <xf numFmtId="0" fontId="10" fillId="0" borderId="7" xfId="0" applyFont="1" applyFill="1" applyBorder="1" applyAlignment="1" applyProtection="1">
      <alignment horizontal="center" vertical="center"/>
      <protection hidden="1"/>
    </xf>
    <xf numFmtId="0" fontId="10" fillId="0" borderId="161" xfId="0" applyFont="1" applyFill="1" applyBorder="1" applyAlignment="1">
      <alignment horizontal="center" vertical="center" wrapText="1"/>
    </xf>
    <xf numFmtId="0" fontId="10" fillId="0" borderId="91" xfId="0" applyFont="1" applyFill="1" applyBorder="1" applyAlignment="1">
      <alignment horizontal="center" vertical="center" wrapText="1"/>
    </xf>
    <xf numFmtId="0" fontId="10" fillId="0" borderId="165" xfId="0" applyFont="1" applyFill="1" applyBorder="1" applyAlignment="1">
      <alignment horizontal="center" vertical="center" wrapText="1"/>
    </xf>
    <xf numFmtId="0" fontId="10" fillId="0" borderId="144" xfId="0" applyFont="1" applyFill="1" applyBorder="1" applyAlignment="1">
      <alignment horizontal="center" vertical="center" wrapText="1"/>
    </xf>
    <xf numFmtId="0" fontId="0" fillId="2" borderId="161" xfId="0" applyFill="1" applyBorder="1" applyAlignment="1">
      <alignment horizontal="center" vertical="center"/>
    </xf>
    <xf numFmtId="0" fontId="0" fillId="2" borderId="91" xfId="0" applyFill="1" applyBorder="1" applyAlignment="1">
      <alignment horizontal="center" vertical="center"/>
    </xf>
    <xf numFmtId="0" fontId="0" fillId="2" borderId="165" xfId="0" applyFill="1" applyBorder="1" applyAlignment="1">
      <alignment horizontal="center" vertical="center"/>
    </xf>
    <xf numFmtId="0" fontId="0" fillId="9" borderId="144" xfId="0" applyFill="1" applyBorder="1" applyAlignment="1">
      <alignment horizontal="center" vertical="center"/>
    </xf>
    <xf numFmtId="0" fontId="0" fillId="9" borderId="91" xfId="0" applyFill="1" applyBorder="1" applyAlignment="1">
      <alignment horizontal="center" vertical="center"/>
    </xf>
    <xf numFmtId="0" fontId="0" fillId="3" borderId="165" xfId="0" applyFill="1" applyBorder="1" applyAlignment="1">
      <alignment horizontal="center" vertical="center"/>
    </xf>
    <xf numFmtId="164" fontId="10" fillId="0" borderId="65" xfId="0" applyNumberFormat="1" applyFont="1" applyFill="1" applyBorder="1" applyAlignment="1" applyProtection="1">
      <alignment horizontal="center" vertical="center" wrapText="1"/>
    </xf>
    <xf numFmtId="164" fontId="10" fillId="0" borderId="67" xfId="0" applyNumberFormat="1" applyFont="1" applyFill="1" applyBorder="1" applyAlignment="1" applyProtection="1">
      <alignment horizontal="center" vertical="center" wrapText="1"/>
    </xf>
    <xf numFmtId="0" fontId="10" fillId="2" borderId="144" xfId="0" applyFont="1" applyFill="1" applyBorder="1" applyAlignment="1">
      <alignment horizontal="center" vertical="center" wrapText="1"/>
    </xf>
    <xf numFmtId="0" fontId="10" fillId="2" borderId="91" xfId="0" applyFont="1" applyFill="1" applyBorder="1" applyAlignment="1">
      <alignment horizontal="center" vertical="center" wrapText="1"/>
    </xf>
    <xf numFmtId="0" fontId="10" fillId="2" borderId="92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164" fontId="10" fillId="0" borderId="27" xfId="0" applyNumberFormat="1" applyFont="1" applyFill="1" applyBorder="1" applyAlignment="1" applyProtection="1">
      <alignment horizontal="center"/>
    </xf>
    <xf numFmtId="164" fontId="10" fillId="0" borderId="143" xfId="0" applyNumberFormat="1" applyFont="1" applyFill="1" applyBorder="1" applyAlignment="1" applyProtection="1">
      <alignment horizontal="center"/>
    </xf>
    <xf numFmtId="164" fontId="10" fillId="0" borderId="146" xfId="0" applyNumberFormat="1" applyFont="1" applyFill="1" applyBorder="1" applyAlignment="1" applyProtection="1">
      <alignment horizontal="center"/>
    </xf>
    <xf numFmtId="164" fontId="10" fillId="0" borderId="163" xfId="0" applyNumberFormat="1" applyFont="1" applyFill="1" applyBorder="1" applyAlignment="1" applyProtection="1">
      <alignment horizontal="center"/>
    </xf>
    <xf numFmtId="0" fontId="10" fillId="0" borderId="2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61" xfId="0" applyFont="1" applyFill="1" applyBorder="1" applyAlignment="1">
      <alignment horizontal="center" vertical="center" wrapText="1"/>
    </xf>
    <xf numFmtId="0" fontId="10" fillId="0" borderId="99" xfId="0" applyFont="1" applyFill="1" applyBorder="1" applyAlignment="1">
      <alignment horizontal="center" vertical="center" wrapText="1"/>
    </xf>
    <xf numFmtId="0" fontId="10" fillId="0" borderId="73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 vertical="center" wrapText="1"/>
    </xf>
    <xf numFmtId="0" fontId="0" fillId="9" borderId="133" xfId="0" applyFill="1" applyBorder="1" applyAlignment="1">
      <alignment horizontal="center" vertical="center"/>
    </xf>
    <xf numFmtId="0" fontId="0" fillId="9" borderId="94" xfId="0" applyFill="1" applyBorder="1" applyAlignment="1">
      <alignment horizontal="center" vertical="center"/>
    </xf>
    <xf numFmtId="0" fontId="10" fillId="0" borderId="36" xfId="0" applyFont="1" applyFill="1" applyBorder="1" applyAlignment="1">
      <alignment horizontal="center" vertical="center" wrapText="1"/>
    </xf>
    <xf numFmtId="0" fontId="10" fillId="0" borderId="79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136" xfId="0" applyFont="1" applyFill="1" applyBorder="1" applyAlignment="1">
      <alignment horizontal="center" vertical="center" wrapText="1"/>
    </xf>
    <xf numFmtId="0" fontId="10" fillId="0" borderId="97" xfId="0" applyFont="1" applyFill="1" applyBorder="1" applyAlignment="1">
      <alignment horizontal="center" vertical="center" wrapText="1"/>
    </xf>
    <xf numFmtId="0" fontId="0" fillId="2" borderId="133" xfId="0" applyFill="1" applyBorder="1" applyAlignment="1">
      <alignment horizontal="center" vertical="center"/>
    </xf>
    <xf numFmtId="0" fontId="0" fillId="2" borderId="9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95" xfId="0" applyFill="1" applyBorder="1" applyAlignment="1">
      <alignment horizontal="center" vertical="center"/>
    </xf>
    <xf numFmtId="0" fontId="10" fillId="0" borderId="164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1" fontId="10" fillId="11" borderId="34" xfId="0" applyNumberFormat="1" applyFont="1" applyFill="1" applyBorder="1" applyAlignment="1" applyProtection="1">
      <alignment horizontal="center" vertical="center"/>
      <protection hidden="1"/>
    </xf>
    <xf numFmtId="1" fontId="10" fillId="11" borderId="37" xfId="0" applyNumberFormat="1" applyFont="1" applyFill="1" applyBorder="1" applyAlignment="1" applyProtection="1">
      <alignment horizontal="center" vertical="center"/>
      <protection hidden="1"/>
    </xf>
    <xf numFmtId="1" fontId="10" fillId="11" borderId="36" xfId="0" applyNumberFormat="1" applyFont="1" applyFill="1" applyBorder="1" applyAlignment="1" applyProtection="1">
      <alignment horizontal="center" vertical="center"/>
      <protection hidden="1"/>
    </xf>
    <xf numFmtId="1" fontId="10" fillId="11" borderId="78" xfId="0" applyNumberFormat="1" applyFont="1" applyFill="1" applyBorder="1" applyAlignment="1" applyProtection="1">
      <alignment horizontal="center" vertical="center"/>
      <protection hidden="1"/>
    </xf>
    <xf numFmtId="1" fontId="10" fillId="11" borderId="64" xfId="0" applyNumberFormat="1" applyFont="1" applyFill="1" applyBorder="1" applyAlignment="1" applyProtection="1">
      <alignment horizontal="center" vertical="center"/>
      <protection hidden="1"/>
    </xf>
    <xf numFmtId="1" fontId="10" fillId="11" borderId="79" xfId="0" applyNumberFormat="1" applyFont="1" applyFill="1" applyBorder="1" applyAlignment="1" applyProtection="1">
      <alignment horizontal="center" vertical="center"/>
      <protection hidden="1"/>
    </xf>
    <xf numFmtId="1" fontId="10" fillId="11" borderId="168" xfId="0" applyNumberFormat="1" applyFont="1" applyFill="1" applyBorder="1" applyAlignment="1" applyProtection="1">
      <alignment horizontal="center" vertical="center"/>
      <protection hidden="1"/>
    </xf>
    <xf numFmtId="1" fontId="10" fillId="11" borderId="127" xfId="0" applyNumberFormat="1" applyFont="1" applyFill="1" applyBorder="1" applyAlignment="1" applyProtection="1">
      <alignment horizontal="center" vertical="center"/>
      <protection hidden="1"/>
    </xf>
    <xf numFmtId="1" fontId="10" fillId="11" borderId="126" xfId="0" applyNumberFormat="1" applyFont="1" applyFill="1" applyBorder="1" applyAlignment="1" applyProtection="1">
      <alignment horizontal="center" vertical="center"/>
      <protection hidden="1"/>
    </xf>
    <xf numFmtId="1" fontId="10" fillId="11" borderId="169" xfId="0" applyNumberFormat="1" applyFont="1" applyFill="1" applyBorder="1" applyAlignment="1" applyProtection="1">
      <alignment horizontal="center" vertical="center"/>
      <protection hidden="1"/>
    </xf>
    <xf numFmtId="1" fontId="10" fillId="11" borderId="170" xfId="0" applyNumberFormat="1" applyFont="1" applyFill="1" applyBorder="1" applyAlignment="1" applyProtection="1">
      <alignment horizontal="center" vertical="center"/>
      <protection hidden="1"/>
    </xf>
    <xf numFmtId="1" fontId="10" fillId="17" borderId="144" xfId="0" applyNumberFormat="1" applyFont="1" applyFill="1" applyBorder="1" applyAlignment="1" applyProtection="1">
      <alignment horizontal="center" vertical="center"/>
      <protection hidden="1"/>
    </xf>
    <xf numFmtId="1" fontId="10" fillId="17" borderId="91" xfId="0" applyNumberFormat="1" applyFont="1" applyFill="1" applyBorder="1" applyAlignment="1" applyProtection="1">
      <alignment horizontal="center" vertical="center"/>
      <protection hidden="1"/>
    </xf>
    <xf numFmtId="1" fontId="10" fillId="17" borderId="92" xfId="0" applyNumberFormat="1" applyFont="1" applyFill="1" applyBorder="1" applyAlignment="1" applyProtection="1">
      <alignment horizontal="center" vertical="center"/>
      <protection hidden="1"/>
    </xf>
    <xf numFmtId="1" fontId="10" fillId="11" borderId="113" xfId="0" applyNumberFormat="1" applyFont="1" applyFill="1" applyBorder="1" applyAlignment="1" applyProtection="1">
      <alignment horizontal="center" vertical="center"/>
      <protection hidden="1"/>
    </xf>
    <xf numFmtId="1" fontId="10" fillId="11" borderId="171" xfId="0" applyNumberFormat="1" applyFont="1" applyFill="1" applyBorder="1" applyAlignment="1" applyProtection="1">
      <alignment horizontal="center" vertical="center"/>
      <protection hidden="1"/>
    </xf>
    <xf numFmtId="0" fontId="30" fillId="21" borderId="144" xfId="0" applyFont="1" applyFill="1" applyBorder="1" applyAlignment="1">
      <alignment horizontal="center" vertical="center" wrapText="1"/>
    </xf>
    <xf numFmtId="0" fontId="30" fillId="21" borderId="91" xfId="0" applyFont="1" applyFill="1" applyBorder="1" applyAlignment="1">
      <alignment horizontal="center" vertical="center" wrapText="1"/>
    </xf>
    <xf numFmtId="0" fontId="30" fillId="21" borderId="92" xfId="0" applyFont="1" applyFill="1" applyBorder="1" applyAlignment="1">
      <alignment horizontal="center" vertical="center" wrapText="1"/>
    </xf>
    <xf numFmtId="0" fontId="30" fillId="14" borderId="144" xfId="0" applyFont="1" applyFill="1" applyBorder="1" applyAlignment="1">
      <alignment horizontal="center" vertical="center" wrapText="1"/>
    </xf>
    <xf numFmtId="0" fontId="30" fillId="14" borderId="91" xfId="0" applyFont="1" applyFill="1" applyBorder="1" applyAlignment="1">
      <alignment horizontal="center" vertical="center" wrapText="1"/>
    </xf>
    <xf numFmtId="0" fontId="30" fillId="14" borderId="92" xfId="0" applyFont="1" applyFill="1" applyBorder="1" applyAlignment="1">
      <alignment horizontal="center" vertical="center" wrapText="1"/>
    </xf>
    <xf numFmtId="0" fontId="30" fillId="15" borderId="144" xfId="0" applyFont="1" applyFill="1" applyBorder="1" applyAlignment="1">
      <alignment horizontal="center" vertical="center" wrapText="1"/>
    </xf>
    <xf numFmtId="0" fontId="30" fillId="15" borderId="91" xfId="0" applyFont="1" applyFill="1" applyBorder="1" applyAlignment="1">
      <alignment horizontal="center" vertical="center" wrapText="1"/>
    </xf>
    <xf numFmtId="1" fontId="10" fillId="11" borderId="166" xfId="0" applyNumberFormat="1" applyFont="1" applyFill="1" applyBorder="1" applyAlignment="1" applyProtection="1">
      <alignment horizontal="center" vertical="center"/>
      <protection hidden="1"/>
    </xf>
    <xf numFmtId="1" fontId="10" fillId="11" borderId="167" xfId="0" applyNumberFormat="1" applyFont="1" applyFill="1" applyBorder="1" applyAlignment="1" applyProtection="1">
      <alignment horizontal="center" vertical="center"/>
      <protection hidden="1"/>
    </xf>
    <xf numFmtId="0" fontId="37" fillId="19" borderId="144" xfId="0" applyFont="1" applyFill="1" applyBorder="1" applyAlignment="1">
      <alignment horizontal="center" vertical="center" wrapText="1"/>
    </xf>
    <xf numFmtId="0" fontId="37" fillId="19" borderId="91" xfId="0" applyFont="1" applyFill="1" applyBorder="1" applyAlignment="1">
      <alignment horizontal="center" vertical="center" wrapText="1"/>
    </xf>
    <xf numFmtId="0" fontId="37" fillId="19" borderId="92" xfId="0" applyFont="1" applyFill="1" applyBorder="1" applyAlignment="1">
      <alignment horizontal="center" vertical="center" wrapText="1"/>
    </xf>
    <xf numFmtId="0" fontId="30" fillId="19" borderId="144" xfId="0" applyFont="1" applyFill="1" applyBorder="1" applyAlignment="1">
      <alignment horizontal="center" vertical="center" wrapText="1"/>
    </xf>
    <xf numFmtId="0" fontId="30" fillId="19" borderId="91" xfId="0" applyFont="1" applyFill="1" applyBorder="1" applyAlignment="1">
      <alignment horizontal="center" vertical="center" wrapText="1"/>
    </xf>
    <xf numFmtId="0" fontId="30" fillId="19" borderId="92" xfId="0" applyFont="1" applyFill="1" applyBorder="1" applyAlignment="1">
      <alignment horizontal="center" vertical="center" wrapText="1"/>
    </xf>
    <xf numFmtId="0" fontId="10" fillId="11" borderId="113" xfId="0" applyFont="1" applyFill="1" applyBorder="1" applyAlignment="1" applyProtection="1">
      <alignment horizontal="center" vertical="center"/>
      <protection hidden="1"/>
    </xf>
    <xf numFmtId="0" fontId="10" fillId="11" borderId="171" xfId="0" applyFont="1" applyFill="1" applyBorder="1" applyAlignment="1" applyProtection="1">
      <alignment horizontal="center" vertical="center"/>
      <protection hidden="1"/>
    </xf>
    <xf numFmtId="164" fontId="10" fillId="11" borderId="113" xfId="0" applyNumberFormat="1" applyFont="1" applyFill="1" applyBorder="1" applyAlignment="1" applyProtection="1">
      <alignment horizontal="center" vertical="center"/>
      <protection hidden="1"/>
    </xf>
    <xf numFmtId="164" fontId="10" fillId="11" borderId="171" xfId="0" applyNumberFormat="1" applyFont="1" applyFill="1" applyBorder="1" applyAlignment="1" applyProtection="1">
      <alignment horizontal="center" vertical="center"/>
      <protection hidden="1"/>
    </xf>
    <xf numFmtId="164" fontId="10" fillId="11" borderId="166" xfId="0" applyNumberFormat="1" applyFont="1" applyFill="1" applyBorder="1" applyAlignment="1" applyProtection="1">
      <alignment horizontal="center" vertical="center"/>
      <protection hidden="1"/>
    </xf>
    <xf numFmtId="164" fontId="10" fillId="11" borderId="167" xfId="0" applyNumberFormat="1" applyFont="1" applyFill="1" applyBorder="1" applyAlignment="1" applyProtection="1">
      <alignment horizontal="center" vertical="center"/>
      <protection hidden="1"/>
    </xf>
    <xf numFmtId="41" fontId="10" fillId="17" borderId="144" xfId="0" applyNumberFormat="1" applyFont="1" applyFill="1" applyBorder="1" applyAlignment="1" applyProtection="1">
      <alignment horizontal="center" vertical="center"/>
      <protection hidden="1"/>
    </xf>
    <xf numFmtId="41" fontId="10" fillId="17" borderId="91" xfId="0" applyNumberFormat="1" applyFont="1" applyFill="1" applyBorder="1" applyAlignment="1" applyProtection="1">
      <alignment horizontal="center" vertical="center"/>
      <protection hidden="1"/>
    </xf>
    <xf numFmtId="41" fontId="10" fillId="17" borderId="92" xfId="0" applyNumberFormat="1" applyFont="1" applyFill="1" applyBorder="1" applyAlignment="1" applyProtection="1">
      <alignment horizontal="center" vertical="center"/>
      <protection hidden="1"/>
    </xf>
    <xf numFmtId="0" fontId="30" fillId="15" borderId="92" xfId="0" applyFont="1" applyFill="1" applyBorder="1" applyAlignment="1">
      <alignment horizontal="center" vertical="center" wrapText="1"/>
    </xf>
  </cellXfs>
  <cellStyles count="12">
    <cellStyle name="category" xfId="1"/>
    <cellStyle name="Currency $" xfId="2"/>
    <cellStyle name="Grey" xfId="3"/>
    <cellStyle name="HEADER" xfId="4"/>
    <cellStyle name="Input [yellow]" xfId="5"/>
    <cellStyle name="Model" xfId="6"/>
    <cellStyle name="Normal" xfId="0" builtinId="0"/>
    <cellStyle name="Normal - Style1" xfId="7"/>
    <cellStyle name="Normal 2" xfId="8"/>
    <cellStyle name="Normal 3" xfId="9"/>
    <cellStyle name="Percent [2]" xfId="10"/>
    <cellStyle name="subhead" xfId="11"/>
  </cellStyles>
  <dxfs count="23"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FF0000"/>
      </font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/>
        <color rgb="FFFF0000"/>
      </font>
    </dxf>
    <dxf>
      <font>
        <b/>
        <i val="0"/>
        <color rgb="FFFF0000"/>
      </font>
    </dxf>
    <dxf>
      <fill>
        <patternFill>
          <bgColor rgb="FF7030A0"/>
        </patternFill>
      </fill>
    </dxf>
    <dxf>
      <fill>
        <patternFill patternType="solid">
          <bgColor rgb="FF7030A0"/>
        </patternFill>
      </fill>
    </dxf>
    <dxf>
      <fill>
        <patternFill>
          <bgColor indexed="4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indexed="45"/>
        </patternFill>
      </fill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calcChain" Target="calcChain.xml"/><Relationship Id="rId28" Type="http://schemas.openxmlformats.org/officeDocument/2006/relationships/worksheet" Target="worksheets/sheet10.xml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329747</xdr:colOff>
      <xdr:row>1</xdr:row>
      <xdr:rowOff>136071</xdr:rowOff>
    </xdr:from>
    <xdr:to>
      <xdr:col>20</xdr:col>
      <xdr:colOff>339272</xdr:colOff>
      <xdr:row>5</xdr:row>
      <xdr:rowOff>92052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409715" y="353785"/>
          <a:ext cx="2105025" cy="752475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2400" b="1">
              <a:solidFill>
                <a:srgbClr val="FF0000"/>
              </a:solidFill>
            </a:rPr>
            <a:t>CONFIDENTIAL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53976</xdr:colOff>
      <xdr:row>65</xdr:row>
      <xdr:rowOff>53975</xdr:rowOff>
    </xdr:from>
    <xdr:to>
      <xdr:col>11</xdr:col>
      <xdr:colOff>482497</xdr:colOff>
      <xdr:row>70</xdr:row>
      <xdr:rowOff>15914</xdr:rowOff>
    </xdr:to>
    <xdr:sp macro="" textlink="">
      <xdr:nvSpPr>
        <xdr:cNvPr id="2" name="Rounded Rectangular Callou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96151" y="9248775"/>
          <a:ext cx="1733549" cy="682625"/>
        </a:xfrm>
        <a:prstGeom prst="wedgeRoundRectCallout">
          <a:avLst>
            <a:gd name="adj1" fmla="val -24204"/>
            <a:gd name="adj2" fmla="val 15087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JUN PROD ==&gt; UMH MASIH PAKAI</a:t>
          </a:r>
          <a:r>
            <a:rPr lang="en-US" sz="1100" baseline="0"/>
            <a:t> JAN-JUN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PC%20Department/TOYOTA%20%20718W%20(350B)/KONVERSI%20SPP/2026/3.%20MAR/1.%20KONVERSI%20MAR%20JAI-2026-2.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Data%20(D)\Backup%20Manual\MASTER%20UMH\2026\2.%20FEB\1.%20UMH%20Detail%20for%20Feb-26%20--%20202602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Data%20(D)\Backup%20Manual\MASTER%20UMH\2026\1.JAN\UMH%20Detail%20for%20Jan-26%20--%20202601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Data%20(D)\Backup%20Manual\MASTER%20UMH\2024\6.%20JUN\06.%20UMH%20detail%20for%20Jun-24%20send%20to%20Produksi%20-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RODUCTION%20PLAN/Prod%20Plan%202024/14-%20PROD%20(SR-2403-22)%20APR%20MONTHL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PC%20Department/TOYOTA%20%20718W%20(350B)/SPP/2026/2.%20FEB/3-SPP%20359D%20FEB%20JAI-2026-1.2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C\PRODUCTION%20PLAN\Prod%20Plan%202007\PROD.%20PLAN%20(%20SR%23070118)%20--%20Feb%20Pro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C\PRODUCTION%20PLAN\Prod%20Plan%202010\03%20-%20PROD.PLAN%20(SR-100121)%20JAN%20Prod%20GUM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C\PRODUCTION%20PLAN\Prod%20Plan%202010\Prod%20Plan%202010\40%20-%20PROD.PLAN%20(SR-100923)%20OCT%20Prod%20GUM%20(monthly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PPC\PRODUCTION%20PLAN\Prod%20Plan%202010\Prod%20Plan%202010\49%20-%20PROD.PLAN%20(SR-101118)%20NOV%20Prod%20GUM%20trial%20for%20monthl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C\MASTER%20UMH\Master%20UMH%20MAZDA,TOYOTA,DAIHATSU\2010\update%20JUL'1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C\MASTER%20UMH\Master%20UMH%20MAZDA,TOYOTA\2010\update%20MAR'1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C\MASTER%20UMH\Master%20UMH%20MAZDA,TOYOTA,DAIHATSU\2010\3-update%20JUL'10%20REV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c\MASTER%20UMH\Master%20UMH%20MAZDA,TOYOTA\2009\update%2025-ju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PRODUCTION%20PLAN/Prod%20Plan%202012/07-%20PROD.PLAN%20(SR-120216)%20MAR%20(Monthly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PPC\PRODUCTION%20PLAN\Prod%20Plan%202010\Prod%20Plan%202010\44%20-%20PROD.PLAN%20(SR-101021)%20NOV%20Prod%20GUM%20(MONTHLY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01\PPC\PPC%20Department\PRIUS%20(377A)\MASS%20PRO\SPP\2011\6-JUN\2-%20SPP%20377A%20MASS%20PRO%20DEC%20%20(24-NOV%20'10%20)%20rev%20(down%20rate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PC%20Department/PRIUS%20628W%20(445B)/KONVERSI%20SPP/2018/1.%20JAN/5.%20KONVERSI%20SPP%20JAN%20SR%2020180122%20445B%20SR%20EXC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9">
          <cell r="B9" t="str">
            <v>82111-F2W22 B</v>
          </cell>
        </row>
        <row r="23">
          <cell r="B23" t="str">
            <v>82111-F2220 D</v>
          </cell>
          <cell r="C23" t="str">
            <v>661B (LHD,TNGA)</v>
          </cell>
          <cell r="I23">
            <v>0</v>
          </cell>
          <cell r="O23">
            <v>0</v>
          </cell>
          <cell r="U23">
            <v>0</v>
          </cell>
          <cell r="AA23">
            <v>0</v>
          </cell>
          <cell r="AG23">
            <v>0</v>
          </cell>
        </row>
        <row r="24">
          <cell r="B24" t="str">
            <v>82111-F2L51 B</v>
          </cell>
          <cell r="C24" t="str">
            <v>350B X-PKG (LHD, CONV)</v>
          </cell>
          <cell r="I24">
            <v>0</v>
          </cell>
          <cell r="O24">
            <v>0</v>
          </cell>
          <cell r="U24">
            <v>0</v>
          </cell>
          <cell r="AA24">
            <v>0</v>
          </cell>
          <cell r="AG24">
            <v>0</v>
          </cell>
        </row>
        <row r="25">
          <cell r="B25" t="str">
            <v>82111-FEQ90</v>
          </cell>
          <cell r="C25" t="str">
            <v>198D (LHD,TNGA)</v>
          </cell>
          <cell r="I25">
            <v>0</v>
          </cell>
          <cell r="O25">
            <v>0</v>
          </cell>
          <cell r="U25">
            <v>0</v>
          </cell>
          <cell r="AA25">
            <v>0</v>
          </cell>
          <cell r="AG25">
            <v>0</v>
          </cell>
        </row>
        <row r="26">
          <cell r="B26" t="str">
            <v>82111-FEQ60</v>
          </cell>
          <cell r="C26" t="str">
            <v>198D (LHD,TNGA)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B27" t="str">
            <v>82111-F2211</v>
          </cell>
          <cell r="C27" t="str">
            <v>198D (LHD,TNGA)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B28" t="str">
            <v>82111-F2W42</v>
          </cell>
          <cell r="C28" t="str">
            <v>198D (LHD,TNGA)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B29" t="str">
            <v>82111-F2W92</v>
          </cell>
          <cell r="C29" t="str">
            <v>198D (LHD,TNGA)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B30" t="str">
            <v>82111-F2W23</v>
          </cell>
          <cell r="C30" t="str">
            <v>198D (LHD,CONV)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B31" t="str">
            <v>82111-F2W34</v>
          </cell>
          <cell r="C31" t="str">
            <v>198D (LHD,CONV)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B32" t="str">
            <v>82111-F2W63</v>
          </cell>
          <cell r="C32" t="str">
            <v>198D (LHD,CONV)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B33" t="str">
            <v>82111-F2W83</v>
          </cell>
          <cell r="C33" t="str">
            <v>198D (LHD,CONV)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B34" t="str">
            <v>82115-F2Y40</v>
          </cell>
          <cell r="C34" t="str">
            <v>198D (LHD,CONV)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B35" t="str">
            <v>82111-F2132</v>
          </cell>
          <cell r="C35" t="str">
            <v>198D (LHD,HEV)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B36" t="str">
            <v>82111-F2152</v>
          </cell>
          <cell r="C36" t="str">
            <v>198D (LHD,HEV)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B37" t="str">
            <v>82111-F2X02</v>
          </cell>
          <cell r="C37" t="str">
            <v>198D (LHD,HEV)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B38" t="str">
            <v>82111-F2C11</v>
          </cell>
          <cell r="C38" t="str">
            <v>198D (LHD,HEV)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B39" t="str">
            <v>82111-FET00</v>
          </cell>
          <cell r="C39" t="str">
            <v>359D (HEV) F2132</v>
          </cell>
          <cell r="I39">
            <v>0</v>
          </cell>
          <cell r="O39">
            <v>0</v>
          </cell>
          <cell r="U39">
            <v>0</v>
          </cell>
          <cell r="AA39">
            <v>0</v>
          </cell>
          <cell r="AG39">
            <v>0</v>
          </cell>
        </row>
        <row r="40">
          <cell r="B40" t="str">
            <v>82111-FET10</v>
          </cell>
          <cell r="C40" t="str">
            <v>359D (HEV) F2152</v>
          </cell>
          <cell r="I40">
            <v>0</v>
          </cell>
          <cell r="O40">
            <v>0</v>
          </cell>
          <cell r="U40">
            <v>0</v>
          </cell>
          <cell r="AA40">
            <v>0</v>
          </cell>
          <cell r="AG40">
            <v>0</v>
          </cell>
        </row>
        <row r="41">
          <cell r="B41" t="str">
            <v>82116-0ZY10</v>
          </cell>
          <cell r="C41" t="str">
            <v>359D (HEV) F2X02</v>
          </cell>
          <cell r="D41">
            <v>48</v>
          </cell>
          <cell r="E41">
            <v>48</v>
          </cell>
          <cell r="F41">
            <v>42</v>
          </cell>
          <cell r="G41">
            <v>0</v>
          </cell>
          <cell r="H41">
            <v>42</v>
          </cell>
          <cell r="I41">
            <v>180</v>
          </cell>
          <cell r="J41">
            <v>24</v>
          </cell>
          <cell r="K41">
            <v>24</v>
          </cell>
          <cell r="L41">
            <v>24</v>
          </cell>
          <cell r="M41">
            <v>24</v>
          </cell>
          <cell r="O41">
            <v>96</v>
          </cell>
          <cell r="P41">
            <v>24</v>
          </cell>
          <cell r="Q41">
            <v>24</v>
          </cell>
          <cell r="R41">
            <v>24</v>
          </cell>
          <cell r="S41">
            <v>24</v>
          </cell>
          <cell r="U41">
            <v>96</v>
          </cell>
          <cell r="V41">
            <v>30</v>
          </cell>
          <cell r="W41">
            <v>30</v>
          </cell>
          <cell r="X41">
            <v>24</v>
          </cell>
          <cell r="Y41">
            <v>24</v>
          </cell>
          <cell r="Z41">
            <v>0</v>
          </cell>
          <cell r="AA41">
            <v>108</v>
          </cell>
          <cell r="AB41">
            <v>24</v>
          </cell>
          <cell r="AC41">
            <v>24</v>
          </cell>
          <cell r="AD41">
            <v>18</v>
          </cell>
          <cell r="AE41">
            <v>18</v>
          </cell>
          <cell r="AG41">
            <v>84</v>
          </cell>
        </row>
        <row r="42">
          <cell r="B42" t="str">
            <v>82115-F2840</v>
          </cell>
          <cell r="C42" t="str">
            <v>359D (HEV) F2C11</v>
          </cell>
        </row>
        <row r="43">
          <cell r="B43" t="str">
            <v>82116-0ZW70</v>
          </cell>
          <cell r="C43" t="str">
            <v>359D (HEV) F2W12</v>
          </cell>
          <cell r="D43">
            <v>48</v>
          </cell>
          <cell r="E43">
            <v>48</v>
          </cell>
          <cell r="F43">
            <v>48</v>
          </cell>
          <cell r="G43">
            <v>0</v>
          </cell>
          <cell r="H43">
            <v>48</v>
          </cell>
          <cell r="I43">
            <v>192</v>
          </cell>
          <cell r="J43">
            <v>54</v>
          </cell>
          <cell r="K43">
            <v>54</v>
          </cell>
          <cell r="L43">
            <v>54</v>
          </cell>
          <cell r="M43">
            <v>48</v>
          </cell>
          <cell r="O43">
            <v>210</v>
          </cell>
          <cell r="P43">
            <v>54</v>
          </cell>
          <cell r="Q43">
            <v>54</v>
          </cell>
          <cell r="R43">
            <v>54</v>
          </cell>
          <cell r="S43">
            <v>48</v>
          </cell>
          <cell r="U43">
            <v>210</v>
          </cell>
          <cell r="V43">
            <v>48</v>
          </cell>
          <cell r="W43">
            <v>48</v>
          </cell>
          <cell r="X43">
            <v>48</v>
          </cell>
          <cell r="Y43">
            <v>42</v>
          </cell>
          <cell r="Z43">
            <v>42</v>
          </cell>
          <cell r="AA43">
            <v>228</v>
          </cell>
          <cell r="AB43">
            <v>48</v>
          </cell>
          <cell r="AC43">
            <v>48</v>
          </cell>
          <cell r="AD43">
            <v>42</v>
          </cell>
          <cell r="AE43">
            <v>42</v>
          </cell>
          <cell r="AG43">
            <v>180</v>
          </cell>
        </row>
        <row r="44">
          <cell r="B44" t="str">
            <v>82115-F2390</v>
          </cell>
          <cell r="C44" t="str">
            <v>359D (TNGA) F2W42</v>
          </cell>
          <cell r="D44">
            <v>12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12</v>
          </cell>
          <cell r="J44">
            <v>12</v>
          </cell>
          <cell r="K44">
            <v>0</v>
          </cell>
          <cell r="L44">
            <v>0</v>
          </cell>
          <cell r="M44">
            <v>0</v>
          </cell>
          <cell r="O44">
            <v>12</v>
          </cell>
          <cell r="P44">
            <v>12</v>
          </cell>
          <cell r="Q44">
            <v>0</v>
          </cell>
          <cell r="R44">
            <v>0</v>
          </cell>
          <cell r="S44">
            <v>0</v>
          </cell>
          <cell r="U44">
            <v>12</v>
          </cell>
          <cell r="V44">
            <v>12</v>
          </cell>
          <cell r="W44">
            <v>12</v>
          </cell>
          <cell r="X44">
            <v>0</v>
          </cell>
          <cell r="Y44">
            <v>0</v>
          </cell>
          <cell r="Z44">
            <v>0</v>
          </cell>
          <cell r="AA44">
            <v>24</v>
          </cell>
          <cell r="AB44">
            <v>6</v>
          </cell>
          <cell r="AC44">
            <v>0</v>
          </cell>
          <cell r="AD44">
            <v>0</v>
          </cell>
          <cell r="AE44">
            <v>0</v>
          </cell>
          <cell r="AG44">
            <v>6</v>
          </cell>
        </row>
        <row r="45">
          <cell r="B45" t="str">
            <v>82111-FET20</v>
          </cell>
          <cell r="C45" t="str">
            <v>359D (TNGA) F2211</v>
          </cell>
          <cell r="I45">
            <v>0</v>
          </cell>
          <cell r="O45">
            <v>0</v>
          </cell>
          <cell r="U45">
            <v>0</v>
          </cell>
          <cell r="AA45">
            <v>0</v>
          </cell>
          <cell r="AG45">
            <v>0</v>
          </cell>
        </row>
        <row r="46">
          <cell r="B46" t="str">
            <v>82111-FET30</v>
          </cell>
          <cell r="C46" t="str">
            <v>359D (TNGA) F2220</v>
          </cell>
          <cell r="D46">
            <v>90</v>
          </cell>
          <cell r="E46">
            <v>90</v>
          </cell>
          <cell r="F46">
            <v>84</v>
          </cell>
          <cell r="G46">
            <v>0</v>
          </cell>
          <cell r="H46">
            <v>84</v>
          </cell>
          <cell r="I46">
            <v>348</v>
          </cell>
          <cell r="J46">
            <v>90</v>
          </cell>
          <cell r="K46">
            <v>90</v>
          </cell>
          <cell r="L46">
            <v>90</v>
          </cell>
          <cell r="M46">
            <v>84</v>
          </cell>
          <cell r="O46">
            <v>354</v>
          </cell>
          <cell r="P46">
            <v>96</v>
          </cell>
          <cell r="Q46">
            <v>96</v>
          </cell>
          <cell r="R46">
            <v>90</v>
          </cell>
          <cell r="S46">
            <v>90</v>
          </cell>
          <cell r="U46">
            <v>372</v>
          </cell>
          <cell r="V46">
            <v>84</v>
          </cell>
          <cell r="W46">
            <v>84</v>
          </cell>
          <cell r="X46">
            <v>78</v>
          </cell>
          <cell r="Y46">
            <v>78</v>
          </cell>
          <cell r="Z46">
            <v>78</v>
          </cell>
          <cell r="AA46">
            <v>402</v>
          </cell>
          <cell r="AB46">
            <v>84</v>
          </cell>
          <cell r="AC46">
            <v>84</v>
          </cell>
          <cell r="AD46">
            <v>78</v>
          </cell>
          <cell r="AE46">
            <v>78</v>
          </cell>
          <cell r="AG46">
            <v>324</v>
          </cell>
        </row>
        <row r="47">
          <cell r="B47" t="str">
            <v>82111-FET40</v>
          </cell>
          <cell r="C47" t="str">
            <v>359D (TNGA) FEQ60</v>
          </cell>
          <cell r="D47">
            <v>150</v>
          </cell>
          <cell r="E47">
            <v>144</v>
          </cell>
          <cell r="F47">
            <v>144</v>
          </cell>
          <cell r="G47">
            <v>0</v>
          </cell>
          <cell r="H47">
            <v>144</v>
          </cell>
          <cell r="I47">
            <v>582</v>
          </cell>
          <cell r="J47">
            <v>138</v>
          </cell>
          <cell r="K47">
            <v>138</v>
          </cell>
          <cell r="L47">
            <v>138</v>
          </cell>
          <cell r="M47">
            <v>132</v>
          </cell>
          <cell r="O47">
            <v>546</v>
          </cell>
          <cell r="P47">
            <v>162</v>
          </cell>
          <cell r="Q47">
            <v>162</v>
          </cell>
          <cell r="R47">
            <v>156</v>
          </cell>
          <cell r="S47">
            <v>156</v>
          </cell>
          <cell r="U47">
            <v>636</v>
          </cell>
          <cell r="V47">
            <v>144</v>
          </cell>
          <cell r="W47">
            <v>138</v>
          </cell>
          <cell r="X47">
            <v>138</v>
          </cell>
          <cell r="Y47">
            <v>138</v>
          </cell>
          <cell r="Z47">
            <v>138</v>
          </cell>
          <cell r="AA47">
            <v>696</v>
          </cell>
          <cell r="AB47">
            <v>138</v>
          </cell>
          <cell r="AC47">
            <v>138</v>
          </cell>
          <cell r="AD47">
            <v>138</v>
          </cell>
          <cell r="AE47">
            <v>132</v>
          </cell>
          <cell r="AG47">
            <v>546</v>
          </cell>
        </row>
        <row r="48">
          <cell r="B48" t="str">
            <v>82116-0ZX70</v>
          </cell>
          <cell r="C48" t="str">
            <v>359D (TNGA) F2W42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6</v>
          </cell>
          <cell r="K48">
            <v>0</v>
          </cell>
          <cell r="L48">
            <v>0</v>
          </cell>
          <cell r="M48">
            <v>0</v>
          </cell>
          <cell r="O48">
            <v>6</v>
          </cell>
          <cell r="P48">
            <v>6</v>
          </cell>
          <cell r="Q48">
            <v>0</v>
          </cell>
          <cell r="R48">
            <v>0</v>
          </cell>
          <cell r="S48">
            <v>0</v>
          </cell>
          <cell r="U48">
            <v>6</v>
          </cell>
          <cell r="V48">
            <v>6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6</v>
          </cell>
          <cell r="AB48">
            <v>6</v>
          </cell>
          <cell r="AC48">
            <v>0</v>
          </cell>
          <cell r="AD48">
            <v>0</v>
          </cell>
          <cell r="AE48">
            <v>0</v>
          </cell>
          <cell r="AG48">
            <v>6</v>
          </cell>
        </row>
        <row r="49">
          <cell r="B49" t="str">
            <v>82116-0ZY00</v>
          </cell>
          <cell r="C49" t="str">
            <v>359D (TNGA) F2W92</v>
          </cell>
          <cell r="D49">
            <v>168</v>
          </cell>
          <cell r="E49">
            <v>168</v>
          </cell>
          <cell r="F49">
            <v>162</v>
          </cell>
          <cell r="G49">
            <v>0</v>
          </cell>
          <cell r="H49">
            <v>162</v>
          </cell>
          <cell r="I49">
            <v>660</v>
          </cell>
          <cell r="J49">
            <v>150</v>
          </cell>
          <cell r="K49">
            <v>150</v>
          </cell>
          <cell r="L49">
            <v>144</v>
          </cell>
          <cell r="M49">
            <v>144</v>
          </cell>
          <cell r="O49">
            <v>588</v>
          </cell>
          <cell r="P49">
            <v>174</v>
          </cell>
          <cell r="Q49">
            <v>174</v>
          </cell>
          <cell r="R49">
            <v>168</v>
          </cell>
          <cell r="S49">
            <v>168</v>
          </cell>
          <cell r="U49">
            <v>684</v>
          </cell>
          <cell r="V49">
            <v>150</v>
          </cell>
          <cell r="W49">
            <v>150</v>
          </cell>
          <cell r="X49">
            <v>150</v>
          </cell>
          <cell r="Y49">
            <v>150</v>
          </cell>
          <cell r="Z49">
            <v>144</v>
          </cell>
          <cell r="AA49">
            <v>744</v>
          </cell>
          <cell r="AB49">
            <v>150</v>
          </cell>
          <cell r="AC49">
            <v>144</v>
          </cell>
          <cell r="AD49">
            <v>144</v>
          </cell>
          <cell r="AE49">
            <v>144</v>
          </cell>
          <cell r="AG49">
            <v>582</v>
          </cell>
        </row>
        <row r="50">
          <cell r="B50" t="str">
            <v>82116-0ZW80</v>
          </cell>
          <cell r="C50" t="str">
            <v>359D (CONV) F2W23</v>
          </cell>
          <cell r="I50">
            <v>0</v>
          </cell>
          <cell r="O50">
            <v>0</v>
          </cell>
          <cell r="U50">
            <v>0</v>
          </cell>
          <cell r="AA50">
            <v>0</v>
          </cell>
          <cell r="AG50">
            <v>0</v>
          </cell>
        </row>
        <row r="51">
          <cell r="B51" t="str">
            <v>82116-0ZW90</v>
          </cell>
          <cell r="C51" t="str">
            <v>359D (CONV) F2W34</v>
          </cell>
          <cell r="D51">
            <v>96</v>
          </cell>
          <cell r="E51">
            <v>96</v>
          </cell>
          <cell r="F51">
            <v>96</v>
          </cell>
          <cell r="G51">
            <v>0</v>
          </cell>
          <cell r="H51">
            <v>96</v>
          </cell>
          <cell r="I51">
            <v>384</v>
          </cell>
          <cell r="J51">
            <v>90</v>
          </cell>
          <cell r="K51">
            <v>90</v>
          </cell>
          <cell r="L51">
            <v>90</v>
          </cell>
          <cell r="M51">
            <v>90</v>
          </cell>
          <cell r="O51">
            <v>360</v>
          </cell>
          <cell r="P51">
            <v>114</v>
          </cell>
          <cell r="Q51">
            <v>114</v>
          </cell>
          <cell r="R51">
            <v>114</v>
          </cell>
          <cell r="S51">
            <v>108</v>
          </cell>
          <cell r="U51">
            <v>450</v>
          </cell>
          <cell r="V51">
            <v>102</v>
          </cell>
          <cell r="W51">
            <v>102</v>
          </cell>
          <cell r="X51">
            <v>102</v>
          </cell>
          <cell r="Y51">
            <v>96</v>
          </cell>
          <cell r="Z51">
            <v>96</v>
          </cell>
          <cell r="AA51">
            <v>498</v>
          </cell>
          <cell r="AB51">
            <v>102</v>
          </cell>
          <cell r="AC51">
            <v>96</v>
          </cell>
          <cell r="AD51">
            <v>96</v>
          </cell>
          <cell r="AE51">
            <v>96</v>
          </cell>
          <cell r="AG51">
            <v>390</v>
          </cell>
        </row>
        <row r="52">
          <cell r="B52" t="str">
            <v>82111-FE460</v>
          </cell>
          <cell r="C52" t="str">
            <v>359D (CONV)</v>
          </cell>
          <cell r="D52">
            <v>24</v>
          </cell>
          <cell r="E52">
            <v>18</v>
          </cell>
          <cell r="F52">
            <v>0</v>
          </cell>
          <cell r="G52">
            <v>0</v>
          </cell>
          <cell r="H52">
            <v>0</v>
          </cell>
          <cell r="I52">
            <v>42</v>
          </cell>
          <cell r="J52">
            <v>18</v>
          </cell>
          <cell r="K52">
            <v>12</v>
          </cell>
          <cell r="L52">
            <v>0</v>
          </cell>
          <cell r="M52">
            <v>0</v>
          </cell>
          <cell r="O52">
            <v>30</v>
          </cell>
          <cell r="P52">
            <v>18</v>
          </cell>
          <cell r="Q52">
            <v>18</v>
          </cell>
          <cell r="R52">
            <v>0</v>
          </cell>
          <cell r="S52">
            <v>0</v>
          </cell>
          <cell r="U52">
            <v>36</v>
          </cell>
          <cell r="V52">
            <v>18</v>
          </cell>
          <cell r="W52">
            <v>18</v>
          </cell>
          <cell r="X52">
            <v>0</v>
          </cell>
          <cell r="Y52">
            <v>0</v>
          </cell>
          <cell r="Z52">
            <v>0</v>
          </cell>
          <cell r="AA52">
            <v>36</v>
          </cell>
          <cell r="AB52">
            <v>18</v>
          </cell>
          <cell r="AC52">
            <v>12</v>
          </cell>
          <cell r="AD52">
            <v>0</v>
          </cell>
          <cell r="AE52">
            <v>0</v>
          </cell>
          <cell r="AG52">
            <v>30</v>
          </cell>
        </row>
        <row r="53">
          <cell r="B53" t="str">
            <v>82111-FE470</v>
          </cell>
          <cell r="C53" t="str">
            <v>359D (CONV)</v>
          </cell>
          <cell r="D53">
            <v>12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12</v>
          </cell>
          <cell r="J53">
            <v>48</v>
          </cell>
          <cell r="K53">
            <v>48</v>
          </cell>
          <cell r="L53">
            <v>42</v>
          </cell>
          <cell r="M53">
            <v>42</v>
          </cell>
          <cell r="O53">
            <v>180</v>
          </cell>
          <cell r="P53">
            <v>60</v>
          </cell>
          <cell r="Q53">
            <v>60</v>
          </cell>
          <cell r="R53">
            <v>54</v>
          </cell>
          <cell r="S53">
            <v>54</v>
          </cell>
          <cell r="U53">
            <v>228</v>
          </cell>
          <cell r="V53">
            <v>42</v>
          </cell>
          <cell r="W53">
            <v>42</v>
          </cell>
          <cell r="X53">
            <v>42</v>
          </cell>
          <cell r="Y53">
            <v>42</v>
          </cell>
          <cell r="Z53">
            <v>42</v>
          </cell>
          <cell r="AA53">
            <v>210</v>
          </cell>
          <cell r="AB53">
            <v>48</v>
          </cell>
          <cell r="AC53">
            <v>48</v>
          </cell>
          <cell r="AD53">
            <v>48</v>
          </cell>
          <cell r="AE53">
            <v>42</v>
          </cell>
          <cell r="AG53">
            <v>186</v>
          </cell>
        </row>
        <row r="54">
          <cell r="B54" t="str">
            <v>82116-0ZX90</v>
          </cell>
          <cell r="C54" t="str">
            <v>359D (CONV) F2W83</v>
          </cell>
          <cell r="D54">
            <v>12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12</v>
          </cell>
          <cell r="J54">
            <v>18</v>
          </cell>
          <cell r="K54">
            <v>12</v>
          </cell>
          <cell r="L54">
            <v>0</v>
          </cell>
          <cell r="M54">
            <v>0</v>
          </cell>
          <cell r="O54">
            <v>30</v>
          </cell>
          <cell r="P54">
            <v>18</v>
          </cell>
          <cell r="Q54">
            <v>12</v>
          </cell>
          <cell r="R54">
            <v>0</v>
          </cell>
          <cell r="S54">
            <v>0</v>
          </cell>
          <cell r="U54">
            <v>30</v>
          </cell>
          <cell r="V54">
            <v>18</v>
          </cell>
          <cell r="W54">
            <v>12</v>
          </cell>
          <cell r="X54">
            <v>0</v>
          </cell>
          <cell r="Y54">
            <v>0</v>
          </cell>
          <cell r="Z54">
            <v>0</v>
          </cell>
          <cell r="AA54">
            <v>30</v>
          </cell>
          <cell r="AB54">
            <v>12</v>
          </cell>
          <cell r="AC54">
            <v>12</v>
          </cell>
          <cell r="AD54">
            <v>0</v>
          </cell>
          <cell r="AE54">
            <v>0</v>
          </cell>
          <cell r="AG54">
            <v>24</v>
          </cell>
        </row>
        <row r="55">
          <cell r="B55" t="str">
            <v>82111-FE150</v>
          </cell>
          <cell r="C55" t="str">
            <v>824D (HEV)</v>
          </cell>
          <cell r="D55">
            <v>18</v>
          </cell>
          <cell r="E55">
            <v>18</v>
          </cell>
          <cell r="F55">
            <v>18</v>
          </cell>
          <cell r="G55">
            <v>0</v>
          </cell>
          <cell r="H55">
            <v>0</v>
          </cell>
          <cell r="I55">
            <v>54</v>
          </cell>
          <cell r="J55">
            <v>18</v>
          </cell>
          <cell r="K55">
            <v>18</v>
          </cell>
          <cell r="L55">
            <v>12</v>
          </cell>
          <cell r="M55">
            <v>0</v>
          </cell>
          <cell r="O55">
            <v>48</v>
          </cell>
          <cell r="P55">
            <v>24</v>
          </cell>
          <cell r="Q55">
            <v>18</v>
          </cell>
          <cell r="R55">
            <v>0</v>
          </cell>
          <cell r="S55">
            <v>0</v>
          </cell>
          <cell r="U55">
            <v>42</v>
          </cell>
          <cell r="V55">
            <v>24</v>
          </cell>
          <cell r="W55">
            <v>18</v>
          </cell>
          <cell r="X55">
            <v>0</v>
          </cell>
          <cell r="Y55">
            <v>0</v>
          </cell>
          <cell r="Z55">
            <v>0</v>
          </cell>
          <cell r="AA55">
            <v>42</v>
          </cell>
          <cell r="AB55">
            <v>18</v>
          </cell>
          <cell r="AC55">
            <v>12</v>
          </cell>
          <cell r="AD55">
            <v>0</v>
          </cell>
          <cell r="AE55">
            <v>0</v>
          </cell>
          <cell r="AG55">
            <v>30</v>
          </cell>
        </row>
        <row r="56">
          <cell r="B56" t="str">
            <v>82111-FE200</v>
          </cell>
          <cell r="C56" t="str">
            <v>824D (CONV)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G56">
            <v>0</v>
          </cell>
        </row>
        <row r="57">
          <cell r="B57" t="str">
            <v>82111-FE210</v>
          </cell>
          <cell r="C57" t="str">
            <v>824D (CONV)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G57">
            <v>0</v>
          </cell>
        </row>
        <row r="58">
          <cell r="I58">
            <v>0</v>
          </cell>
          <cell r="O58">
            <v>0</v>
          </cell>
          <cell r="U58">
            <v>0</v>
          </cell>
          <cell r="AA58">
            <v>0</v>
          </cell>
          <cell r="AG58">
            <v>0</v>
          </cell>
        </row>
        <row r="59">
          <cell r="I59">
            <v>0</v>
          </cell>
          <cell r="O59">
            <v>0</v>
          </cell>
          <cell r="U59">
            <v>0</v>
          </cell>
          <cell r="AA59">
            <v>0</v>
          </cell>
          <cell r="AG59">
            <v>0</v>
          </cell>
        </row>
        <row r="60">
          <cell r="I60">
            <v>0</v>
          </cell>
          <cell r="O60">
            <v>0</v>
          </cell>
          <cell r="U60">
            <v>0</v>
          </cell>
          <cell r="AA60">
            <v>0</v>
          </cell>
          <cell r="AG60">
            <v>0</v>
          </cell>
        </row>
        <row r="61">
          <cell r="I61">
            <v>0</v>
          </cell>
          <cell r="O61">
            <v>0</v>
          </cell>
          <cell r="U61">
            <v>0</v>
          </cell>
          <cell r="AA61">
            <v>0</v>
          </cell>
          <cell r="AG61">
            <v>0</v>
          </cell>
        </row>
        <row r="62">
          <cell r="I62">
            <v>0</v>
          </cell>
          <cell r="O62">
            <v>0</v>
          </cell>
          <cell r="U62">
            <v>0</v>
          </cell>
          <cell r="AA62">
            <v>0</v>
          </cell>
          <cell r="AG62">
            <v>0</v>
          </cell>
        </row>
        <row r="63">
          <cell r="I63">
            <v>0</v>
          </cell>
          <cell r="O63">
            <v>0</v>
          </cell>
          <cell r="U63">
            <v>0</v>
          </cell>
          <cell r="AA63">
            <v>0</v>
          </cell>
          <cell r="AG63">
            <v>0</v>
          </cell>
        </row>
        <row r="64">
          <cell r="I64">
            <v>0</v>
          </cell>
          <cell r="O64">
            <v>0</v>
          </cell>
          <cell r="U64">
            <v>0</v>
          </cell>
          <cell r="AA64">
            <v>0</v>
          </cell>
          <cell r="AG64">
            <v>0</v>
          </cell>
        </row>
        <row r="65">
          <cell r="I65">
            <v>0</v>
          </cell>
          <cell r="O65">
            <v>0</v>
          </cell>
          <cell r="U65">
            <v>0</v>
          </cell>
          <cell r="AA65">
            <v>0</v>
          </cell>
          <cell r="AG65">
            <v>0</v>
          </cell>
        </row>
        <row r="66">
          <cell r="I66">
            <v>0</v>
          </cell>
          <cell r="O66">
            <v>0</v>
          </cell>
          <cell r="U66">
            <v>0</v>
          </cell>
          <cell r="AA66">
            <v>0</v>
          </cell>
          <cell r="AG66">
            <v>0</v>
          </cell>
        </row>
        <row r="67">
          <cell r="I67">
            <v>0</v>
          </cell>
          <cell r="O67">
            <v>0</v>
          </cell>
          <cell r="U67">
            <v>0</v>
          </cell>
          <cell r="AA67">
            <v>0</v>
          </cell>
          <cell r="AG67">
            <v>0</v>
          </cell>
        </row>
        <row r="68">
          <cell r="I68">
            <v>0</v>
          </cell>
          <cell r="O68">
            <v>0</v>
          </cell>
          <cell r="U68">
            <v>0</v>
          </cell>
          <cell r="AA68">
            <v>0</v>
          </cell>
          <cell r="AG68">
            <v>0</v>
          </cell>
        </row>
        <row r="69">
          <cell r="I69">
            <v>0</v>
          </cell>
          <cell r="O69">
            <v>0</v>
          </cell>
          <cell r="U69">
            <v>0</v>
          </cell>
          <cell r="AA69">
            <v>0</v>
          </cell>
          <cell r="AG69">
            <v>0</v>
          </cell>
        </row>
        <row r="70">
          <cell r="I70">
            <v>0</v>
          </cell>
          <cell r="O70">
            <v>0</v>
          </cell>
          <cell r="U70">
            <v>0</v>
          </cell>
          <cell r="AA70">
            <v>0</v>
          </cell>
          <cell r="AG70">
            <v>0</v>
          </cell>
        </row>
        <row r="71">
          <cell r="I71">
            <v>0</v>
          </cell>
          <cell r="O71">
            <v>0</v>
          </cell>
          <cell r="U71">
            <v>0</v>
          </cell>
          <cell r="AA71">
            <v>0</v>
          </cell>
          <cell r="AG71">
            <v>0</v>
          </cell>
        </row>
        <row r="72">
          <cell r="I72">
            <v>0</v>
          </cell>
          <cell r="O72">
            <v>0</v>
          </cell>
          <cell r="U72">
            <v>0</v>
          </cell>
          <cell r="AA72">
            <v>0</v>
          </cell>
          <cell r="AG72">
            <v>0</v>
          </cell>
        </row>
        <row r="73">
          <cell r="I73">
            <v>0</v>
          </cell>
          <cell r="O73">
            <v>0</v>
          </cell>
          <cell r="U73">
            <v>0</v>
          </cell>
          <cell r="AA73">
            <v>0</v>
          </cell>
          <cell r="AG73">
            <v>0</v>
          </cell>
        </row>
        <row r="74">
          <cell r="I74">
            <v>0</v>
          </cell>
          <cell r="O74">
            <v>0</v>
          </cell>
          <cell r="U74">
            <v>0</v>
          </cell>
          <cell r="AA74">
            <v>0</v>
          </cell>
          <cell r="AG74">
            <v>0</v>
          </cell>
        </row>
        <row r="75">
          <cell r="I75">
            <v>0</v>
          </cell>
          <cell r="O75">
            <v>0</v>
          </cell>
          <cell r="U75">
            <v>0</v>
          </cell>
          <cell r="AA75">
            <v>0</v>
          </cell>
          <cell r="AG75">
            <v>0</v>
          </cell>
        </row>
        <row r="76">
          <cell r="I76">
            <v>0</v>
          </cell>
          <cell r="O76">
            <v>0</v>
          </cell>
          <cell r="U76">
            <v>0</v>
          </cell>
          <cell r="AA76">
            <v>0</v>
          </cell>
          <cell r="AG76">
            <v>0</v>
          </cell>
        </row>
        <row r="77">
          <cell r="I77">
            <v>0</v>
          </cell>
          <cell r="O77">
            <v>0</v>
          </cell>
          <cell r="U77">
            <v>0</v>
          </cell>
          <cell r="AA77">
            <v>0</v>
          </cell>
          <cell r="AG77">
            <v>0</v>
          </cell>
        </row>
        <row r="78">
          <cell r="I78">
            <v>0</v>
          </cell>
          <cell r="O78">
            <v>0</v>
          </cell>
          <cell r="U78">
            <v>0</v>
          </cell>
          <cell r="AA78">
            <v>0</v>
          </cell>
          <cell r="AG78">
            <v>0</v>
          </cell>
        </row>
        <row r="79">
          <cell r="C79" t="str">
            <v>CONV (198D)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</row>
        <row r="80">
          <cell r="C80" t="str">
            <v>CONV (359D)</v>
          </cell>
          <cell r="D80">
            <v>144</v>
          </cell>
          <cell r="E80">
            <v>114</v>
          </cell>
          <cell r="F80">
            <v>96</v>
          </cell>
          <cell r="G80">
            <v>0</v>
          </cell>
          <cell r="H80">
            <v>96</v>
          </cell>
          <cell r="I80">
            <v>450</v>
          </cell>
          <cell r="J80">
            <v>174</v>
          </cell>
          <cell r="K80">
            <v>162</v>
          </cell>
          <cell r="L80">
            <v>132</v>
          </cell>
          <cell r="M80">
            <v>132</v>
          </cell>
          <cell r="N80">
            <v>0</v>
          </cell>
          <cell r="O80">
            <v>600</v>
          </cell>
          <cell r="P80">
            <v>210</v>
          </cell>
          <cell r="Q80">
            <v>204</v>
          </cell>
          <cell r="R80">
            <v>168</v>
          </cell>
          <cell r="S80">
            <v>162</v>
          </cell>
          <cell r="T80">
            <v>0</v>
          </cell>
          <cell r="U80">
            <v>744</v>
          </cell>
          <cell r="V80">
            <v>180</v>
          </cell>
          <cell r="W80">
            <v>174</v>
          </cell>
          <cell r="X80">
            <v>144</v>
          </cell>
          <cell r="Y80">
            <v>138</v>
          </cell>
          <cell r="Z80">
            <v>138</v>
          </cell>
          <cell r="AA80">
            <v>774</v>
          </cell>
          <cell r="AB80">
            <v>180</v>
          </cell>
          <cell r="AC80">
            <v>168</v>
          </cell>
          <cell r="AD80">
            <v>144</v>
          </cell>
          <cell r="AE80">
            <v>138</v>
          </cell>
          <cell r="AF80">
            <v>0</v>
          </cell>
          <cell r="AG80">
            <v>630</v>
          </cell>
        </row>
        <row r="89">
          <cell r="I89">
            <v>2478</v>
          </cell>
          <cell r="J89">
            <v>666</v>
          </cell>
          <cell r="K89">
            <v>636</v>
          </cell>
          <cell r="L89">
            <v>594</v>
          </cell>
          <cell r="M89">
            <v>564</v>
          </cell>
          <cell r="N89">
            <v>0</v>
          </cell>
          <cell r="O89">
            <v>2460</v>
          </cell>
          <cell r="P89">
            <v>762</v>
          </cell>
          <cell r="Q89">
            <v>732</v>
          </cell>
          <cell r="R89">
            <v>660</v>
          </cell>
          <cell r="S89">
            <v>648</v>
          </cell>
          <cell r="T89">
            <v>0</v>
          </cell>
          <cell r="U89">
            <v>2802</v>
          </cell>
          <cell r="V89">
            <v>678</v>
          </cell>
          <cell r="W89">
            <v>654</v>
          </cell>
          <cell r="X89">
            <v>582</v>
          </cell>
          <cell r="Y89">
            <v>570</v>
          </cell>
          <cell r="Z89">
            <v>540</v>
          </cell>
          <cell r="AA89">
            <v>3024</v>
          </cell>
          <cell r="AB89">
            <v>654</v>
          </cell>
          <cell r="AC89">
            <v>618</v>
          </cell>
          <cell r="AD89">
            <v>564</v>
          </cell>
          <cell r="AE89">
            <v>552</v>
          </cell>
          <cell r="AF89">
            <v>0</v>
          </cell>
          <cell r="AG89">
            <v>2388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MH Detail"/>
      <sheetName val="UMH STPvsACT"/>
    </sheetNames>
    <sheetDataSet>
      <sheetData sheetId="0">
        <row r="4">
          <cell r="F4">
            <v>157.07380000000001</v>
          </cell>
          <cell r="G4">
            <v>0</v>
          </cell>
          <cell r="H4">
            <v>2.8568333333333331E-2</v>
          </cell>
          <cell r="I4">
            <v>5.933333333333333E-3</v>
          </cell>
          <cell r="J4">
            <v>0</v>
          </cell>
          <cell r="K4">
            <v>6.6075000000000009E-2</v>
          </cell>
          <cell r="L4">
            <v>0.37619666666666668</v>
          </cell>
          <cell r="M4">
            <v>2.0900000000000003E-3</v>
          </cell>
          <cell r="N4">
            <v>3.313E-2</v>
          </cell>
          <cell r="O4">
            <v>1.7660000000000002E-2</v>
          </cell>
          <cell r="P4">
            <v>1.4538333333333332E-2</v>
          </cell>
          <cell r="Q4">
            <v>3.4501666666666667E-2</v>
          </cell>
          <cell r="R4">
            <v>0.50968999999999998</v>
          </cell>
          <cell r="S4">
            <v>0</v>
          </cell>
          <cell r="T4">
            <v>0</v>
          </cell>
          <cell r="U4">
            <v>0</v>
          </cell>
          <cell r="V4">
            <v>0.54419166666666663</v>
          </cell>
        </row>
        <row r="5">
          <cell r="F5">
            <v>4317.1666999999998</v>
          </cell>
          <cell r="G5">
            <v>27.536999999999999</v>
          </cell>
          <cell r="H5">
            <v>0.28331166666666668</v>
          </cell>
          <cell r="I5">
            <v>0.51886333333333334</v>
          </cell>
          <cell r="J5">
            <v>0.26118000000000002</v>
          </cell>
          <cell r="K5">
            <v>0.80671000000000004</v>
          </cell>
          <cell r="L5">
            <v>1.9096350000000002</v>
          </cell>
          <cell r="M5">
            <v>8.0416666666666664E-2</v>
          </cell>
          <cell r="N5">
            <v>0.22281500000000001</v>
          </cell>
          <cell r="O5">
            <v>0.17028499999999999</v>
          </cell>
          <cell r="P5">
            <v>8.1753333333333317E-2</v>
          </cell>
          <cell r="Q5">
            <v>1.0633550000000001</v>
          </cell>
          <cell r="R5">
            <v>3.2716150000000006</v>
          </cell>
          <cell r="S5">
            <v>3.9266666666666665E-2</v>
          </cell>
          <cell r="T5">
            <v>1.5238333333333333E-2</v>
          </cell>
          <cell r="U5">
            <v>0</v>
          </cell>
          <cell r="V5">
            <v>4.389475</v>
          </cell>
        </row>
        <row r="6">
          <cell r="E6" t="str">
            <v>ASSY./PARTNUMBER(GCT)</v>
          </cell>
          <cell r="F6" t="str">
            <v>CU WEIGHT</v>
          </cell>
          <cell r="G6" t="str">
            <v>AL WEIGHT</v>
          </cell>
          <cell r="H6" t="str">
            <v>PROC_10</v>
          </cell>
          <cell r="I6" t="str">
            <v>PROC_20</v>
          </cell>
          <cell r="J6" t="str">
            <v>PROC_30</v>
          </cell>
          <cell r="K6" t="str">
            <v>PROC_40</v>
          </cell>
          <cell r="L6" t="str">
            <v>PROC_50</v>
          </cell>
          <cell r="M6" t="str">
            <v>PROC_60</v>
          </cell>
          <cell r="N6" t="str">
            <v>PROC_70</v>
          </cell>
          <cell r="O6" t="str">
            <v>PROC_80</v>
          </cell>
          <cell r="P6" t="str">
            <v>PROC_90</v>
          </cell>
          <cell r="Q6" t="str">
            <v>PROC_PA</v>
          </cell>
          <cell r="R6" t="str">
            <v>PROC_FA</v>
          </cell>
          <cell r="S6" t="str">
            <v>PROC_AB</v>
          </cell>
          <cell r="T6" t="str">
            <v>PROC_BC</v>
          </cell>
          <cell r="U6" t="str">
            <v>PROC_EV</v>
          </cell>
          <cell r="V6" t="str">
            <v>PROC_TOT</v>
          </cell>
        </row>
        <row r="7">
          <cell r="E7" t="str">
            <v>8211376170</v>
          </cell>
          <cell r="F7">
            <v>47.161000000000001</v>
          </cell>
          <cell r="G7">
            <v>0</v>
          </cell>
          <cell r="H7">
            <v>1.9398333333333333E-2</v>
          </cell>
          <cell r="I7">
            <v>3.1591666666666664E-2</v>
          </cell>
          <cell r="J7">
            <v>0</v>
          </cell>
          <cell r="K7">
            <v>4.7904999999999996E-2</v>
          </cell>
          <cell r="L7">
            <v>0.21232333333333334</v>
          </cell>
          <cell r="M7">
            <v>0</v>
          </cell>
          <cell r="N7">
            <v>2.0334999999999999E-2</v>
          </cell>
          <cell r="O7">
            <v>1.3406666666666667E-2</v>
          </cell>
          <cell r="P7">
            <v>4.6049999999999997E-3</v>
          </cell>
          <cell r="Q7">
            <v>5.0989999999999994E-2</v>
          </cell>
          <cell r="R7">
            <v>0.29857500000000003</v>
          </cell>
          <cell r="S7">
            <v>0</v>
          </cell>
          <cell r="T7">
            <v>0</v>
          </cell>
          <cell r="U7">
            <v>0</v>
          </cell>
          <cell r="V7">
            <v>0.34956500000000001</v>
          </cell>
        </row>
        <row r="8">
          <cell r="E8" t="str">
            <v>8211376180</v>
          </cell>
          <cell r="F8">
            <v>47.161000000000001</v>
          </cell>
          <cell r="G8">
            <v>0</v>
          </cell>
          <cell r="H8">
            <v>1.9816666666666666E-2</v>
          </cell>
          <cell r="I8">
            <v>3.1591666666666664E-2</v>
          </cell>
          <cell r="J8">
            <v>0</v>
          </cell>
          <cell r="K8">
            <v>4.7904999999999996E-2</v>
          </cell>
          <cell r="L8">
            <v>0.246005</v>
          </cell>
          <cell r="M8">
            <v>0</v>
          </cell>
          <cell r="N8">
            <v>2.0083333333333335E-2</v>
          </cell>
          <cell r="O8">
            <v>1.4525000000000001E-2</v>
          </cell>
          <cell r="P8">
            <v>5.3699999999999998E-3</v>
          </cell>
          <cell r="Q8">
            <v>5.1408333333333334E-2</v>
          </cell>
          <cell r="R8">
            <v>0.33388833333333334</v>
          </cell>
          <cell r="S8">
            <v>0</v>
          </cell>
          <cell r="T8">
            <v>0</v>
          </cell>
          <cell r="U8">
            <v>0</v>
          </cell>
          <cell r="V8">
            <v>0.38529666666666668</v>
          </cell>
        </row>
        <row r="9">
          <cell r="E9" t="str">
            <v>8211376190</v>
          </cell>
          <cell r="F9">
            <v>28.8535</v>
          </cell>
          <cell r="G9">
            <v>0</v>
          </cell>
          <cell r="H9">
            <v>7.9316666666666667E-3</v>
          </cell>
          <cell r="I9">
            <v>1.6673333333333332E-2</v>
          </cell>
          <cell r="J9">
            <v>0</v>
          </cell>
          <cell r="K9">
            <v>2.3704999999999997E-2</v>
          </cell>
          <cell r="L9">
            <v>7.011666666666666E-2</v>
          </cell>
          <cell r="M9">
            <v>0</v>
          </cell>
          <cell r="N9">
            <v>1.5224999999999999E-2</v>
          </cell>
          <cell r="O9">
            <v>9.6666666666666654E-3</v>
          </cell>
          <cell r="P9">
            <v>3.065E-3</v>
          </cell>
          <cell r="Q9">
            <v>2.4604999999999998E-2</v>
          </cell>
          <cell r="R9">
            <v>0.12177833333333334</v>
          </cell>
          <cell r="S9">
            <v>0</v>
          </cell>
          <cell r="T9">
            <v>0</v>
          </cell>
          <cell r="U9">
            <v>0</v>
          </cell>
          <cell r="V9">
            <v>0.14638333333333334</v>
          </cell>
        </row>
        <row r="10">
          <cell r="E10" t="str">
            <v>8211376210</v>
          </cell>
          <cell r="F10">
            <v>47.764699999999998</v>
          </cell>
          <cell r="G10">
            <v>0</v>
          </cell>
          <cell r="H10">
            <v>1.9431666666666667E-2</v>
          </cell>
          <cell r="I10">
            <v>3.168166666666667E-2</v>
          </cell>
          <cell r="J10">
            <v>0</v>
          </cell>
          <cell r="K10">
            <v>4.7904999999999996E-2</v>
          </cell>
          <cell r="L10">
            <v>0.21291333333333334</v>
          </cell>
          <cell r="M10">
            <v>0</v>
          </cell>
          <cell r="N10">
            <v>2.0338333333333333E-2</v>
          </cell>
          <cell r="O10">
            <v>1.3476666666666666E-2</v>
          </cell>
          <cell r="P10">
            <v>4.6533333333333331E-3</v>
          </cell>
          <cell r="Q10">
            <v>5.1113333333333337E-2</v>
          </cell>
          <cell r="R10">
            <v>0.2992866666666667</v>
          </cell>
          <cell r="S10">
            <v>0</v>
          </cell>
          <cell r="T10">
            <v>0</v>
          </cell>
          <cell r="U10">
            <v>0</v>
          </cell>
          <cell r="V10">
            <v>0.35040000000000004</v>
          </cell>
        </row>
        <row r="11">
          <cell r="E11" t="str">
            <v>8211376220</v>
          </cell>
          <cell r="F11">
            <v>47.764699999999998</v>
          </cell>
          <cell r="G11">
            <v>0</v>
          </cell>
          <cell r="H11">
            <v>1.985E-2</v>
          </cell>
          <cell r="I11">
            <v>3.168166666666667E-2</v>
          </cell>
          <cell r="J11">
            <v>0</v>
          </cell>
          <cell r="K11">
            <v>4.7904999999999996E-2</v>
          </cell>
          <cell r="L11">
            <v>0.24659666666666666</v>
          </cell>
          <cell r="M11">
            <v>0</v>
          </cell>
          <cell r="N11">
            <v>2.0086666666666666E-2</v>
          </cell>
          <cell r="O11">
            <v>1.4595E-2</v>
          </cell>
          <cell r="P11">
            <v>5.4166666666666669E-3</v>
          </cell>
          <cell r="Q11">
            <v>5.153166666666667E-2</v>
          </cell>
          <cell r="R11">
            <v>0.33460000000000001</v>
          </cell>
          <cell r="S11">
            <v>0</v>
          </cell>
          <cell r="T11">
            <v>0</v>
          </cell>
          <cell r="U11">
            <v>0</v>
          </cell>
          <cell r="V11">
            <v>0.38613166666666665</v>
          </cell>
        </row>
        <row r="12">
          <cell r="E12" t="str">
            <v>8211576030</v>
          </cell>
          <cell r="F12">
            <v>4601.6247000000003</v>
          </cell>
          <cell r="G12">
            <v>20.572600000000001</v>
          </cell>
          <cell r="H12">
            <v>0.298205</v>
          </cell>
          <cell r="I12">
            <v>0.53080166666666662</v>
          </cell>
          <cell r="J12">
            <v>0.25692166666666666</v>
          </cell>
          <cell r="K12">
            <v>0.87941166666666659</v>
          </cell>
          <cell r="L12">
            <v>1.9565266666666665</v>
          </cell>
          <cell r="M12">
            <v>8.3023333333333324E-2</v>
          </cell>
          <cell r="N12">
            <v>0.22662833333333332</v>
          </cell>
          <cell r="O12">
            <v>0.17280666666666666</v>
          </cell>
          <cell r="P12">
            <v>8.1826666666666659E-2</v>
          </cell>
          <cell r="Q12">
            <v>1.0859283333333334</v>
          </cell>
          <cell r="R12">
            <v>3.4002233333333329</v>
          </cell>
          <cell r="S12">
            <v>3.9266666666666665E-2</v>
          </cell>
          <cell r="T12">
            <v>1.5238333333333333E-2</v>
          </cell>
          <cell r="U12">
            <v>0</v>
          </cell>
          <cell r="V12">
            <v>4.5406566666666661</v>
          </cell>
        </row>
        <row r="13">
          <cell r="E13" t="str">
            <v>8211576040</v>
          </cell>
          <cell r="F13">
            <v>4578.6535999999996</v>
          </cell>
          <cell r="G13">
            <v>20.572600000000001</v>
          </cell>
          <cell r="H13">
            <v>0.29448999999999997</v>
          </cell>
          <cell r="I13">
            <v>0.52669833333333338</v>
          </cell>
          <cell r="J13">
            <v>0.25692166666666666</v>
          </cell>
          <cell r="K13">
            <v>0.87137333333333333</v>
          </cell>
          <cell r="L13">
            <v>1.9251483333333332</v>
          </cell>
          <cell r="M13">
            <v>8.2928333333333326E-2</v>
          </cell>
          <cell r="N13">
            <v>0.22404666666666667</v>
          </cell>
          <cell r="O13">
            <v>0.17199666666666669</v>
          </cell>
          <cell r="P13">
            <v>8.1466666666666659E-2</v>
          </cell>
          <cell r="Q13">
            <v>1.0781100000000001</v>
          </cell>
          <cell r="R13">
            <v>3.3569599999999999</v>
          </cell>
          <cell r="S13">
            <v>3.9266666666666665E-2</v>
          </cell>
          <cell r="T13">
            <v>1.5238333333333333E-2</v>
          </cell>
          <cell r="U13">
            <v>0</v>
          </cell>
          <cell r="V13">
            <v>4.4895749999999994</v>
          </cell>
        </row>
        <row r="14">
          <cell r="E14" t="str">
            <v>8211576050</v>
          </cell>
          <cell r="F14">
            <v>4559.5558000000001</v>
          </cell>
          <cell r="G14">
            <v>20.572600000000001</v>
          </cell>
          <cell r="H14">
            <v>0.29837999999999998</v>
          </cell>
          <cell r="I14">
            <v>0.48004833333333335</v>
          </cell>
          <cell r="J14">
            <v>0.24274999999999999</v>
          </cell>
          <cell r="K14">
            <v>0.8629216666666667</v>
          </cell>
          <cell r="L14">
            <v>1.9771933333333334</v>
          </cell>
          <cell r="M14">
            <v>8.3896666666666675E-2</v>
          </cell>
          <cell r="N14">
            <v>0.22725833333333334</v>
          </cell>
          <cell r="O14">
            <v>0.17846666666666666</v>
          </cell>
          <cell r="P14">
            <v>8.2608333333333311E-2</v>
          </cell>
          <cell r="Q14">
            <v>1.0211783333333333</v>
          </cell>
          <cell r="R14">
            <v>3.4123449999999997</v>
          </cell>
          <cell r="S14">
            <v>3.9266666666666665E-2</v>
          </cell>
          <cell r="T14">
            <v>1.5238333333333333E-2</v>
          </cell>
          <cell r="U14">
            <v>0</v>
          </cell>
          <cell r="V14">
            <v>4.4880283333333333</v>
          </cell>
        </row>
        <row r="15">
          <cell r="E15" t="str">
            <v>8211576060</v>
          </cell>
          <cell r="F15">
            <v>4585.3680999999997</v>
          </cell>
          <cell r="G15">
            <v>20.572600000000001</v>
          </cell>
          <cell r="H15">
            <v>0.29385166666666668</v>
          </cell>
          <cell r="I15">
            <v>0.52736833333333333</v>
          </cell>
          <cell r="J15">
            <v>0.25692166666666666</v>
          </cell>
          <cell r="K15">
            <v>0.85805833333333337</v>
          </cell>
          <cell r="L15">
            <v>1.9642466666666667</v>
          </cell>
          <cell r="M15">
            <v>8.3896666666666675E-2</v>
          </cell>
          <cell r="N15">
            <v>0.22837166666666667</v>
          </cell>
          <cell r="O15">
            <v>0.17873666666666665</v>
          </cell>
          <cell r="P15">
            <v>8.2608333333333325E-2</v>
          </cell>
          <cell r="Q15">
            <v>1.0781416666666668</v>
          </cell>
          <cell r="R15">
            <v>3.3959183333333334</v>
          </cell>
          <cell r="S15">
            <v>3.9266666666666665E-2</v>
          </cell>
          <cell r="T15">
            <v>1.5238333333333333E-2</v>
          </cell>
          <cell r="U15">
            <v>0</v>
          </cell>
          <cell r="V15">
            <v>4.5285649999999995</v>
          </cell>
        </row>
        <row r="16">
          <cell r="E16" t="str">
            <v>82125-12660</v>
          </cell>
          <cell r="F16">
            <v>19.306999999999999</v>
          </cell>
          <cell r="G16">
            <v>0</v>
          </cell>
          <cell r="H16">
            <v>1.0141666666666667E-2</v>
          </cell>
          <cell r="I16">
            <v>0</v>
          </cell>
          <cell r="J16">
            <v>1.302E-2</v>
          </cell>
          <cell r="K16">
            <v>2.6033333333333335E-2</v>
          </cell>
          <cell r="L16">
            <v>9.7705E-2</v>
          </cell>
          <cell r="M16">
            <v>1.0450000000000001E-3</v>
          </cell>
          <cell r="N16">
            <v>1.3483333333333335E-2</v>
          </cell>
          <cell r="O16">
            <v>8.4883333333333321E-3</v>
          </cell>
          <cell r="P16">
            <v>3.7383333333333335E-3</v>
          </cell>
          <cell r="Q16">
            <v>2.3161666666666667E-2</v>
          </cell>
          <cell r="R16">
            <v>0.15049333333333334</v>
          </cell>
          <cell r="S16">
            <v>0</v>
          </cell>
          <cell r="T16">
            <v>0</v>
          </cell>
          <cell r="U16">
            <v>0</v>
          </cell>
          <cell r="V16">
            <v>0.173655</v>
          </cell>
        </row>
        <row r="17">
          <cell r="E17" t="str">
            <v>82125-33180</v>
          </cell>
          <cell r="F17">
            <v>13.433299999999999</v>
          </cell>
          <cell r="G17">
            <v>0</v>
          </cell>
          <cell r="H17">
            <v>1.0136666666666665E-2</v>
          </cell>
          <cell r="I17">
            <v>0</v>
          </cell>
          <cell r="J17">
            <v>1.302E-2</v>
          </cell>
          <cell r="K17">
            <v>2.0313333333333336E-2</v>
          </cell>
          <cell r="L17">
            <v>9.212833333333334E-2</v>
          </cell>
          <cell r="M17">
            <v>1.0450000000000001E-3</v>
          </cell>
          <cell r="N17">
            <v>1.3481666666666666E-2</v>
          </cell>
          <cell r="O17">
            <v>7.906666666666666E-3</v>
          </cell>
          <cell r="P17">
            <v>3.7099999999999998E-3</v>
          </cell>
          <cell r="Q17">
            <v>2.3156666666666666E-2</v>
          </cell>
          <cell r="R17">
            <v>0.13858500000000001</v>
          </cell>
          <cell r="S17">
            <v>0</v>
          </cell>
          <cell r="T17">
            <v>0</v>
          </cell>
          <cell r="U17">
            <v>0</v>
          </cell>
          <cell r="V17">
            <v>0.16174166666666667</v>
          </cell>
        </row>
        <row r="18">
          <cell r="E18" t="str">
            <v>82125-52190</v>
          </cell>
          <cell r="F18">
            <v>7.0766000000000009</v>
          </cell>
          <cell r="G18">
            <v>0</v>
          </cell>
          <cell r="H18">
            <v>5.678333333333333E-3</v>
          </cell>
          <cell r="I18">
            <v>0</v>
          </cell>
          <cell r="J18">
            <v>1.1991666666666668E-2</v>
          </cell>
          <cell r="K18">
            <v>1.6023333333333334E-2</v>
          </cell>
          <cell r="L18">
            <v>6.617166666666667E-2</v>
          </cell>
          <cell r="M18">
            <v>1.0450000000000001E-3</v>
          </cell>
          <cell r="N18">
            <v>1.1741666666666668E-2</v>
          </cell>
          <cell r="O18">
            <v>6.7133333333333333E-3</v>
          </cell>
          <cell r="P18">
            <v>2.895E-3</v>
          </cell>
          <cell r="Q18">
            <v>1.7670000000000002E-2</v>
          </cell>
          <cell r="R18">
            <v>0.10459</v>
          </cell>
          <cell r="S18">
            <v>0</v>
          </cell>
          <cell r="T18">
            <v>0</v>
          </cell>
          <cell r="U18">
            <v>0</v>
          </cell>
          <cell r="V18">
            <v>0.12226000000000001</v>
          </cell>
        </row>
        <row r="19">
          <cell r="E19" t="str">
            <v>82126-12010</v>
          </cell>
          <cell r="F19">
            <v>27.472000000000001</v>
          </cell>
          <cell r="G19">
            <v>0</v>
          </cell>
          <cell r="H19">
            <v>7.7033333333333337E-3</v>
          </cell>
          <cell r="I19">
            <v>1.4534999999999999E-2</v>
          </cell>
          <cell r="J19">
            <v>0</v>
          </cell>
          <cell r="K19">
            <v>1.54E-2</v>
          </cell>
          <cell r="L19">
            <v>7.0035E-2</v>
          </cell>
          <cell r="M19">
            <v>0</v>
          </cell>
          <cell r="N19">
            <v>1.2110000000000001E-2</v>
          </cell>
          <cell r="O19">
            <v>7.6483333333333325E-3</v>
          </cell>
          <cell r="P19">
            <v>3.0733333333333333E-3</v>
          </cell>
          <cell r="Q19">
            <v>2.2238333333333332E-2</v>
          </cell>
          <cell r="R19">
            <v>0.10826666666666665</v>
          </cell>
          <cell r="S19">
            <v>0</v>
          </cell>
          <cell r="T19">
            <v>0</v>
          </cell>
          <cell r="U19">
            <v>0</v>
          </cell>
          <cell r="V19">
            <v>0.13050499999999998</v>
          </cell>
        </row>
        <row r="20">
          <cell r="E20" t="str">
            <v>82126-33050</v>
          </cell>
          <cell r="F20">
            <v>39.090400000000002</v>
          </cell>
          <cell r="G20">
            <v>0</v>
          </cell>
          <cell r="H20">
            <v>7.711666666666667E-3</v>
          </cell>
          <cell r="I20">
            <v>8.2633333333333343E-3</v>
          </cell>
          <cell r="J20">
            <v>0</v>
          </cell>
          <cell r="K20">
            <v>1.54E-2</v>
          </cell>
          <cell r="L20">
            <v>6.5471666666666664E-2</v>
          </cell>
          <cell r="M20">
            <v>0</v>
          </cell>
          <cell r="N20">
            <v>1.2116666666666666E-2</v>
          </cell>
          <cell r="O20">
            <v>7.8200000000000006E-3</v>
          </cell>
          <cell r="P20">
            <v>3.1916666666666669E-3</v>
          </cell>
          <cell r="Q20">
            <v>1.5975000000000003E-2</v>
          </cell>
          <cell r="R20">
            <v>0.104</v>
          </cell>
          <cell r="S20">
            <v>0</v>
          </cell>
          <cell r="T20">
            <v>0</v>
          </cell>
          <cell r="U20">
            <v>0</v>
          </cell>
          <cell r="V20">
            <v>0.119975</v>
          </cell>
        </row>
        <row r="21">
          <cell r="E21" t="str">
            <v>82219-12140</v>
          </cell>
          <cell r="F21">
            <v>13.566400000000002</v>
          </cell>
          <cell r="G21">
            <v>0</v>
          </cell>
          <cell r="H21">
            <v>9.4366666666666679E-3</v>
          </cell>
          <cell r="I21">
            <v>7.1383333333333333E-3</v>
          </cell>
          <cell r="J21">
            <v>0</v>
          </cell>
          <cell r="K21">
            <v>2.7298333333333331E-2</v>
          </cell>
          <cell r="L21">
            <v>0.10087666666666667</v>
          </cell>
          <cell r="M21">
            <v>0</v>
          </cell>
          <cell r="N21">
            <v>1.4631666666666666E-2</v>
          </cell>
          <cell r="O21">
            <v>8.2716666666666668E-3</v>
          </cell>
          <cell r="P21">
            <v>3.3149999999999998E-3</v>
          </cell>
          <cell r="Q21">
            <v>1.6574999999999999E-2</v>
          </cell>
          <cell r="R21">
            <v>0.15439333333333335</v>
          </cell>
          <cell r="S21">
            <v>0</v>
          </cell>
          <cell r="T21">
            <v>0</v>
          </cell>
          <cell r="U21">
            <v>0</v>
          </cell>
          <cell r="V21">
            <v>0.17096833333333336</v>
          </cell>
        </row>
        <row r="22">
          <cell r="E22" t="str">
            <v>82219-33141</v>
          </cell>
          <cell r="F22">
            <v>15.3857</v>
          </cell>
          <cell r="G22">
            <v>0</v>
          </cell>
          <cell r="H22">
            <v>9.3883333333333336E-3</v>
          </cell>
          <cell r="I22">
            <v>4.9259999999999998E-2</v>
          </cell>
          <cell r="J22">
            <v>7.4199999999999995E-3</v>
          </cell>
          <cell r="K22">
            <v>2.0735E-2</v>
          </cell>
          <cell r="L22">
            <v>9.7028333333333328E-2</v>
          </cell>
          <cell r="M22">
            <v>0</v>
          </cell>
          <cell r="N22">
            <v>1.3890000000000001E-2</v>
          </cell>
          <cell r="O22">
            <v>7.7383333333333332E-3</v>
          </cell>
          <cell r="P22">
            <v>3.0433333333333337E-3</v>
          </cell>
          <cell r="Q22">
            <v>6.6068333333333326E-2</v>
          </cell>
          <cell r="R22">
            <v>0.14243500000000003</v>
          </cell>
          <cell r="S22">
            <v>0</v>
          </cell>
          <cell r="T22">
            <v>0</v>
          </cell>
          <cell r="U22">
            <v>0</v>
          </cell>
          <cell r="V22">
            <v>0.20850333333333337</v>
          </cell>
        </row>
        <row r="23">
          <cell r="E23" t="str">
            <v>82219-76020</v>
          </cell>
          <cell r="F23">
            <v>10.9034</v>
          </cell>
          <cell r="G23">
            <v>0</v>
          </cell>
          <cell r="H23">
            <v>7.5733333333333338E-3</v>
          </cell>
          <cell r="I23">
            <v>4.0066666666666671E-3</v>
          </cell>
          <cell r="J23">
            <v>0</v>
          </cell>
          <cell r="K23">
            <v>2.5611666666666665E-2</v>
          </cell>
          <cell r="L23">
            <v>9.1294999999999987E-2</v>
          </cell>
          <cell r="M23">
            <v>0</v>
          </cell>
          <cell r="N23">
            <v>1.3806666666666667E-2</v>
          </cell>
          <cell r="O23">
            <v>7.6666666666666671E-3</v>
          </cell>
          <cell r="P23">
            <v>2.9949999999999998E-3</v>
          </cell>
          <cell r="Q23">
            <v>1.158E-2</v>
          </cell>
          <cell r="R23">
            <v>0.14137499999999997</v>
          </cell>
          <cell r="S23">
            <v>0</v>
          </cell>
          <cell r="T23">
            <v>0</v>
          </cell>
          <cell r="U23">
            <v>0</v>
          </cell>
          <cell r="V23">
            <v>0.15295499999999998</v>
          </cell>
        </row>
        <row r="24">
          <cell r="E24" t="str">
            <v>821111HX90</v>
          </cell>
          <cell r="F24">
            <v>3232.6237999999998</v>
          </cell>
          <cell r="G24">
            <v>0</v>
          </cell>
          <cell r="H24">
            <v>0.19661000000000001</v>
          </cell>
          <cell r="I24">
            <v>0.21136666666666667</v>
          </cell>
          <cell r="J24">
            <v>0.15852666666666665</v>
          </cell>
          <cell r="K24">
            <v>0.56643666666666659</v>
          </cell>
          <cell r="L24">
            <v>1.421235</v>
          </cell>
          <cell r="M24">
            <v>6.263500000000001E-2</v>
          </cell>
          <cell r="N24">
            <v>0.15764500000000001</v>
          </cell>
          <cell r="O24">
            <v>0.13317333333333334</v>
          </cell>
          <cell r="P24">
            <v>0.10004833333333335</v>
          </cell>
          <cell r="Q24">
            <v>0.56650333333333336</v>
          </cell>
          <cell r="R24">
            <v>2.4411733333333334</v>
          </cell>
          <cell r="S24">
            <v>2.7458333333333335E-2</v>
          </cell>
          <cell r="T24">
            <v>4.2031666666666669E-2</v>
          </cell>
          <cell r="U24">
            <v>0</v>
          </cell>
          <cell r="V24">
            <v>3.0771666666666664</v>
          </cell>
        </row>
        <row r="25">
          <cell r="E25" t="str">
            <v>821111KQ51</v>
          </cell>
          <cell r="F25">
            <v>3312.0854000000004</v>
          </cell>
          <cell r="G25">
            <v>0</v>
          </cell>
          <cell r="H25">
            <v>0.19965833333333333</v>
          </cell>
          <cell r="I25">
            <v>0.20711000000000002</v>
          </cell>
          <cell r="J25">
            <v>0.19985166666666665</v>
          </cell>
          <cell r="K25">
            <v>0.57214500000000001</v>
          </cell>
          <cell r="L25">
            <v>1.4270883333333333</v>
          </cell>
          <cell r="M25">
            <v>6.6711666666666669E-2</v>
          </cell>
          <cell r="N25">
            <v>0.16921166666666665</v>
          </cell>
          <cell r="O25">
            <v>0.13324333333333332</v>
          </cell>
          <cell r="P25">
            <v>7.7143333333333314E-2</v>
          </cell>
          <cell r="Q25">
            <v>0.60661999999999994</v>
          </cell>
          <cell r="R25">
            <v>2.4455433333333327</v>
          </cell>
          <cell r="S25">
            <v>2.7458333333333335E-2</v>
          </cell>
          <cell r="T25">
            <v>4.2031666666666669E-2</v>
          </cell>
          <cell r="U25">
            <v>0</v>
          </cell>
          <cell r="V25">
            <v>3.1216533333333323</v>
          </cell>
        </row>
        <row r="26">
          <cell r="E26" t="str">
            <v>821111LA71</v>
          </cell>
          <cell r="F26">
            <v>3128.3801000000003</v>
          </cell>
          <cell r="G26">
            <v>0</v>
          </cell>
          <cell r="H26">
            <v>0.18823333333333334</v>
          </cell>
          <cell r="I26">
            <v>0.20292833333333335</v>
          </cell>
          <cell r="J26">
            <v>0.15852666666666665</v>
          </cell>
          <cell r="K26">
            <v>0.54781333333333337</v>
          </cell>
          <cell r="L26">
            <v>1.3643916666666667</v>
          </cell>
          <cell r="M26">
            <v>5.9353333333333334E-2</v>
          </cell>
          <cell r="N26">
            <v>0.15250666666666665</v>
          </cell>
          <cell r="O26">
            <v>0.13600333333333334</v>
          </cell>
          <cell r="P26">
            <v>0.10380666666666669</v>
          </cell>
          <cell r="Q26">
            <v>0.54968833333333333</v>
          </cell>
          <cell r="R26">
            <v>2.3638750000000006</v>
          </cell>
          <cell r="S26">
            <v>2.7458333333333335E-2</v>
          </cell>
          <cell r="T26">
            <v>4.2031666666666669E-2</v>
          </cell>
          <cell r="U26">
            <v>0</v>
          </cell>
          <cell r="V26">
            <v>2.9830533333333338</v>
          </cell>
        </row>
        <row r="27">
          <cell r="E27" t="str">
            <v>821111LA80</v>
          </cell>
          <cell r="F27">
            <v>3091.3829999999998</v>
          </cell>
          <cell r="G27">
            <v>0</v>
          </cell>
          <cell r="H27">
            <v>0.18045499999999998</v>
          </cell>
          <cell r="I27">
            <v>0.198825</v>
          </cell>
          <cell r="J27">
            <v>0.15852666666666665</v>
          </cell>
          <cell r="K27">
            <v>0.51789166666666664</v>
          </cell>
          <cell r="L27">
            <v>1.33104</v>
          </cell>
          <cell r="M27">
            <v>5.9248333333333333E-2</v>
          </cell>
          <cell r="N27">
            <v>0.15032166666666666</v>
          </cell>
          <cell r="O27">
            <v>0.13566666666666669</v>
          </cell>
          <cell r="P27">
            <v>0.10357833333333336</v>
          </cell>
          <cell r="Q27">
            <v>0.53780666666666654</v>
          </cell>
          <cell r="R27">
            <v>2.2977466666666668</v>
          </cell>
          <cell r="S27">
            <v>2.7458333333333335E-2</v>
          </cell>
          <cell r="T27">
            <v>4.2031666666666669E-2</v>
          </cell>
          <cell r="U27">
            <v>0</v>
          </cell>
          <cell r="V27">
            <v>2.905043333333333</v>
          </cell>
        </row>
        <row r="28">
          <cell r="E28" t="str">
            <v>821111LA81</v>
          </cell>
          <cell r="F28">
            <v>3091.3026</v>
          </cell>
          <cell r="G28">
            <v>0</v>
          </cell>
          <cell r="H28">
            <v>0.17995666666666665</v>
          </cell>
          <cell r="I28">
            <v>0.198825</v>
          </cell>
          <cell r="J28">
            <v>0.15852666666666665</v>
          </cell>
          <cell r="K28">
            <v>0.52140166666666665</v>
          </cell>
          <cell r="L28">
            <v>1.3367849999999999</v>
          </cell>
          <cell r="M28">
            <v>5.9248333333333333E-2</v>
          </cell>
          <cell r="N28">
            <v>0.15032166666666666</v>
          </cell>
          <cell r="O28">
            <v>0.13565166666666664</v>
          </cell>
          <cell r="P28">
            <v>0.10356833333333335</v>
          </cell>
          <cell r="Q28">
            <v>0.53730833333333328</v>
          </cell>
          <cell r="R28">
            <v>2.3069766666666665</v>
          </cell>
          <cell r="S28">
            <v>2.7458333333333335E-2</v>
          </cell>
          <cell r="T28">
            <v>4.2031666666666669E-2</v>
          </cell>
          <cell r="U28">
            <v>0</v>
          </cell>
          <cell r="V28">
            <v>2.9137749999999993</v>
          </cell>
        </row>
        <row r="29">
          <cell r="E29" t="str">
            <v>821111LA90</v>
          </cell>
          <cell r="F29">
            <v>3208.9495999999999</v>
          </cell>
          <cell r="G29">
            <v>0</v>
          </cell>
          <cell r="H29">
            <v>0.18839166666666665</v>
          </cell>
          <cell r="I29">
            <v>0.198825</v>
          </cell>
          <cell r="J29">
            <v>0.16949</v>
          </cell>
          <cell r="K29">
            <v>0.5500733333333333</v>
          </cell>
          <cell r="L29">
            <v>1.3804716666666665</v>
          </cell>
          <cell r="M29">
            <v>5.9408333333333327E-2</v>
          </cell>
          <cell r="N29">
            <v>0.16344666666666668</v>
          </cell>
          <cell r="O29">
            <v>0.13684833333333335</v>
          </cell>
          <cell r="P29">
            <v>0.10409666666666667</v>
          </cell>
          <cell r="Q29">
            <v>0.55670666666666668</v>
          </cell>
          <cell r="R29">
            <v>2.3943449999999999</v>
          </cell>
          <cell r="S29">
            <v>2.7458333333333335E-2</v>
          </cell>
          <cell r="T29">
            <v>4.2031666666666669E-2</v>
          </cell>
          <cell r="U29">
            <v>0</v>
          </cell>
          <cell r="V29">
            <v>3.020541666666666</v>
          </cell>
        </row>
        <row r="30">
          <cell r="E30" t="str">
            <v>821111LB00</v>
          </cell>
          <cell r="F30">
            <v>3191.4137999999998</v>
          </cell>
          <cell r="G30">
            <v>0</v>
          </cell>
          <cell r="H30">
            <v>0.18613333333333332</v>
          </cell>
          <cell r="I30">
            <v>0.19895500000000002</v>
          </cell>
          <cell r="J30">
            <v>0.16852499999999998</v>
          </cell>
          <cell r="K30">
            <v>0.54700333333333329</v>
          </cell>
          <cell r="L30">
            <v>1.3564166666666668</v>
          </cell>
          <cell r="M30">
            <v>6.3875000000000001E-2</v>
          </cell>
          <cell r="N30">
            <v>0.15245</v>
          </cell>
          <cell r="O30">
            <v>0.14025166666666669</v>
          </cell>
          <cell r="P30">
            <v>9.2835000000000001E-2</v>
          </cell>
          <cell r="Q30">
            <v>0.55361333333333329</v>
          </cell>
          <cell r="R30">
            <v>2.3528316666666669</v>
          </cell>
          <cell r="S30">
            <v>2.7458333333333335E-2</v>
          </cell>
          <cell r="T30">
            <v>4.2031666666666669E-2</v>
          </cell>
          <cell r="U30">
            <v>0</v>
          </cell>
          <cell r="V30">
            <v>2.9759349999999998</v>
          </cell>
        </row>
        <row r="31">
          <cell r="E31" t="str">
            <v>821111LB10</v>
          </cell>
          <cell r="F31">
            <v>3324.4794000000002</v>
          </cell>
          <cell r="G31">
            <v>0</v>
          </cell>
          <cell r="H31">
            <v>0.19652166666666665</v>
          </cell>
          <cell r="I31">
            <v>0.19895500000000002</v>
          </cell>
          <cell r="J31">
            <v>0.20915333333333336</v>
          </cell>
          <cell r="K31">
            <v>0.56129166666666674</v>
          </cell>
          <cell r="L31">
            <v>1.454415</v>
          </cell>
          <cell r="M31">
            <v>6.4395000000000008E-2</v>
          </cell>
          <cell r="N31">
            <v>0.16995333333333335</v>
          </cell>
          <cell r="O31">
            <v>0.14867833333333333</v>
          </cell>
          <cell r="P31">
            <v>9.482666666666667E-2</v>
          </cell>
          <cell r="Q31">
            <v>0.60463</v>
          </cell>
          <cell r="R31">
            <v>2.49356</v>
          </cell>
          <cell r="S31">
            <v>2.7458333333333335E-2</v>
          </cell>
          <cell r="T31">
            <v>4.2031666666666669E-2</v>
          </cell>
          <cell r="U31">
            <v>0</v>
          </cell>
          <cell r="V31">
            <v>3.1676799999999994</v>
          </cell>
        </row>
        <row r="32">
          <cell r="E32" t="str">
            <v>821111LB21</v>
          </cell>
          <cell r="F32">
            <v>3105.2273999999998</v>
          </cell>
          <cell r="G32">
            <v>0</v>
          </cell>
          <cell r="H32">
            <v>0.18482833333333334</v>
          </cell>
          <cell r="I32">
            <v>0.20292833333333335</v>
          </cell>
          <cell r="J32">
            <v>0.15852666666666665</v>
          </cell>
          <cell r="K32">
            <v>0.53873666666666664</v>
          </cell>
          <cell r="L32">
            <v>1.358055</v>
          </cell>
          <cell r="M32">
            <v>5.9353333333333334E-2</v>
          </cell>
          <cell r="N32">
            <v>0.15210666666666667</v>
          </cell>
          <cell r="O32">
            <v>0.13600333333333334</v>
          </cell>
          <cell r="P32">
            <v>0.10380666666666669</v>
          </cell>
          <cell r="Q32">
            <v>0.54628333333333334</v>
          </cell>
          <cell r="R32">
            <v>2.3480616666666672</v>
          </cell>
          <cell r="S32">
            <v>2.7458333333333335E-2</v>
          </cell>
          <cell r="T32">
            <v>4.2031666666666669E-2</v>
          </cell>
          <cell r="U32">
            <v>0</v>
          </cell>
          <cell r="V32">
            <v>2.963835</v>
          </cell>
        </row>
        <row r="33">
          <cell r="E33" t="str">
            <v>82111-4DM31</v>
          </cell>
          <cell r="F33">
            <v>5159.4599999999991</v>
          </cell>
          <cell r="G33">
            <v>502.57409999999999</v>
          </cell>
          <cell r="H33">
            <v>0.43010166666666666</v>
          </cell>
          <cell r="I33">
            <v>0.88388499999999992</v>
          </cell>
          <cell r="J33">
            <v>0.25437166666666666</v>
          </cell>
          <cell r="K33">
            <v>1.18981</v>
          </cell>
          <cell r="L33">
            <v>2.7537733333333336</v>
          </cell>
          <cell r="M33">
            <v>7.345666666666667E-2</v>
          </cell>
          <cell r="N33">
            <v>0.28783500000000001</v>
          </cell>
          <cell r="O33">
            <v>0.35625499999999999</v>
          </cell>
          <cell r="P33">
            <v>0.10439833333333332</v>
          </cell>
          <cell r="Q33">
            <v>1.5683583333333333</v>
          </cell>
          <cell r="R33">
            <v>4.765528333333334</v>
          </cell>
          <cell r="S33">
            <v>0</v>
          </cell>
          <cell r="T33">
            <v>3.8100000000000002E-2</v>
          </cell>
          <cell r="U33">
            <v>0.57308999999999999</v>
          </cell>
          <cell r="V33">
            <v>6.945076666666667</v>
          </cell>
        </row>
        <row r="34">
          <cell r="E34" t="str">
            <v>82111-4DM51</v>
          </cell>
          <cell r="F34">
            <v>4404.3370999999997</v>
          </cell>
          <cell r="G34">
            <v>514.88249999999994</v>
          </cell>
          <cell r="H34">
            <v>0.37290666666666666</v>
          </cell>
          <cell r="I34">
            <v>0.73700166666666667</v>
          </cell>
          <cell r="J34">
            <v>0.19677</v>
          </cell>
          <cell r="K34">
            <v>1.0523633333333333</v>
          </cell>
          <cell r="L34">
            <v>2.357226666666667</v>
          </cell>
          <cell r="M34">
            <v>6.9816666666666666E-2</v>
          </cell>
          <cell r="N34">
            <v>0.28019833333333338</v>
          </cell>
          <cell r="O34">
            <v>0.33684833333333331</v>
          </cell>
          <cell r="P34">
            <v>9.846000000000002E-2</v>
          </cell>
          <cell r="Q34">
            <v>1.3066783333333332</v>
          </cell>
          <cell r="R34">
            <v>4.1949133333333339</v>
          </cell>
          <cell r="S34">
            <v>0</v>
          </cell>
          <cell r="T34">
            <v>5.0180000000000002E-2</v>
          </cell>
          <cell r="U34">
            <v>0.5508249999999999</v>
          </cell>
          <cell r="V34">
            <v>6.1025966666666669</v>
          </cell>
        </row>
        <row r="35">
          <cell r="E35" t="str">
            <v>82111-4DM61</v>
          </cell>
          <cell r="F35">
            <v>4286.6034</v>
          </cell>
          <cell r="G35">
            <v>511.24189999999999</v>
          </cell>
          <cell r="H35">
            <v>0.3695816666666667</v>
          </cell>
          <cell r="I35">
            <v>0.74926999999999999</v>
          </cell>
          <cell r="J35">
            <v>0.19543166666666664</v>
          </cell>
          <cell r="K35">
            <v>1.0424899999999999</v>
          </cell>
          <cell r="L35">
            <v>2.309766666666667</v>
          </cell>
          <cell r="M35">
            <v>6.8301666666666663E-2</v>
          </cell>
          <cell r="N35">
            <v>0.27582499999999999</v>
          </cell>
          <cell r="O35">
            <v>0.33451166666666665</v>
          </cell>
          <cell r="P35">
            <v>9.6540000000000015E-2</v>
          </cell>
          <cell r="Q35">
            <v>1.3142833333333332</v>
          </cell>
          <cell r="R35">
            <v>4.1274350000000002</v>
          </cell>
          <cell r="S35">
            <v>0</v>
          </cell>
          <cell r="T35">
            <v>5.0180000000000002E-2</v>
          </cell>
          <cell r="U35">
            <v>0.5314549999999999</v>
          </cell>
          <cell r="V35">
            <v>6.0233533333333336</v>
          </cell>
        </row>
        <row r="36">
          <cell r="E36" t="str">
            <v>82111-4DN61</v>
          </cell>
          <cell r="F36">
            <v>4483.9896999999992</v>
          </cell>
          <cell r="G36">
            <v>521.4325</v>
          </cell>
          <cell r="H36">
            <v>0.36428166666666667</v>
          </cell>
          <cell r="I36">
            <v>0.71434500000000001</v>
          </cell>
          <cell r="J36">
            <v>0.20508000000000001</v>
          </cell>
          <cell r="K36">
            <v>1.0247166666666667</v>
          </cell>
          <cell r="L36">
            <v>2.2648766666666664</v>
          </cell>
          <cell r="M36">
            <v>5.9404999999999999E-2</v>
          </cell>
          <cell r="N36">
            <v>0.27615166666666663</v>
          </cell>
          <cell r="O36">
            <v>0.35030166666666668</v>
          </cell>
          <cell r="P36">
            <v>8.4423333333333336E-2</v>
          </cell>
          <cell r="Q36">
            <v>1.2837066666666666</v>
          </cell>
          <cell r="R36">
            <v>4.0598749999999999</v>
          </cell>
          <cell r="S36">
            <v>0</v>
          </cell>
          <cell r="T36">
            <v>5.018333333333333E-2</v>
          </cell>
          <cell r="U36">
            <v>0.52799166666666664</v>
          </cell>
          <cell r="V36">
            <v>5.9217566666666661</v>
          </cell>
        </row>
        <row r="37">
          <cell r="E37" t="str">
            <v>82111-4DU20</v>
          </cell>
          <cell r="F37">
            <v>4272.2815000000001</v>
          </cell>
          <cell r="G37">
            <v>517.1309</v>
          </cell>
          <cell r="H37">
            <v>0.37051833333333334</v>
          </cell>
          <cell r="I37">
            <v>0.74017333333333335</v>
          </cell>
          <cell r="J37">
            <v>0.19543166666666664</v>
          </cell>
          <cell r="K37">
            <v>1.0512466666666667</v>
          </cell>
          <cell r="L37">
            <v>2.3404150000000001</v>
          </cell>
          <cell r="M37">
            <v>6.8521666666666661E-2</v>
          </cell>
          <cell r="N37">
            <v>0.27729166666666666</v>
          </cell>
          <cell r="O37">
            <v>0.33635166666666666</v>
          </cell>
          <cell r="P37">
            <v>9.7596666666666665E-2</v>
          </cell>
          <cell r="Q37">
            <v>1.3061233333333333</v>
          </cell>
          <cell r="R37">
            <v>4.1714233333333341</v>
          </cell>
          <cell r="S37">
            <v>0</v>
          </cell>
          <cell r="T37">
            <v>5.1096666666666672E-2</v>
          </cell>
          <cell r="U37">
            <v>0.53807999999999989</v>
          </cell>
          <cell r="V37">
            <v>6.0667233333333339</v>
          </cell>
        </row>
        <row r="38">
          <cell r="E38" t="str">
            <v>82111-4DU30</v>
          </cell>
          <cell r="F38">
            <v>4311.4314999999997</v>
          </cell>
          <cell r="G38">
            <v>517.64789999999994</v>
          </cell>
          <cell r="H38">
            <v>0.37457833333333329</v>
          </cell>
          <cell r="I38">
            <v>0.75497333333333339</v>
          </cell>
          <cell r="J38">
            <v>0.20260999999999998</v>
          </cell>
          <cell r="K38">
            <v>1.0480333333333334</v>
          </cell>
          <cell r="L38">
            <v>2.3464216666666666</v>
          </cell>
          <cell r="M38">
            <v>6.857166666666667E-2</v>
          </cell>
          <cell r="N38">
            <v>0.27543000000000001</v>
          </cell>
          <cell r="O38">
            <v>0.33616666666666667</v>
          </cell>
          <cell r="P38">
            <v>9.7516666666666668E-2</v>
          </cell>
          <cell r="Q38">
            <v>1.3321616666666667</v>
          </cell>
          <cell r="R38">
            <v>4.1721399999999997</v>
          </cell>
          <cell r="S38">
            <v>0</v>
          </cell>
          <cell r="T38">
            <v>5.1096666666666672E-2</v>
          </cell>
          <cell r="U38">
            <v>0.55710333333333328</v>
          </cell>
          <cell r="V38">
            <v>6.1125016666666667</v>
          </cell>
        </row>
        <row r="39">
          <cell r="E39" t="str">
            <v>82111-4DU40</v>
          </cell>
          <cell r="F39">
            <v>4433.3502999999992</v>
          </cell>
          <cell r="G39">
            <v>523.53690000000006</v>
          </cell>
          <cell r="H39">
            <v>0.37800166666666668</v>
          </cell>
          <cell r="I39">
            <v>0.7530216666666667</v>
          </cell>
          <cell r="J39">
            <v>0.20260999999999998</v>
          </cell>
          <cell r="K39">
            <v>1.061995</v>
          </cell>
          <cell r="L39">
            <v>2.3817149999999998</v>
          </cell>
          <cell r="M39">
            <v>6.8791666666666668E-2</v>
          </cell>
          <cell r="N39">
            <v>0.28088333333333337</v>
          </cell>
          <cell r="O39">
            <v>0.33854666666666666</v>
          </cell>
          <cell r="P39">
            <v>9.8571666666666669E-2</v>
          </cell>
          <cell r="Q39">
            <v>1.3336333333333332</v>
          </cell>
          <cell r="R39">
            <v>4.2305033333333331</v>
          </cell>
          <cell r="S39">
            <v>0</v>
          </cell>
          <cell r="T39">
            <v>5.1096666666666672E-2</v>
          </cell>
          <cell r="U39">
            <v>0.56372833333333328</v>
          </cell>
          <cell r="V39">
            <v>6.1789616666666669</v>
          </cell>
        </row>
        <row r="40">
          <cell r="E40" t="str">
            <v>82111-4DU90</v>
          </cell>
          <cell r="F40">
            <v>4244.8507999999993</v>
          </cell>
          <cell r="G40">
            <v>528.56150000000002</v>
          </cell>
          <cell r="H40">
            <v>0.35142999999999996</v>
          </cell>
          <cell r="I40">
            <v>0.6897133333333334</v>
          </cell>
          <cell r="J40">
            <v>0.19761666666666666</v>
          </cell>
          <cell r="K40">
            <v>0.98771999999999993</v>
          </cell>
          <cell r="L40">
            <v>2.2141916666666663</v>
          </cell>
          <cell r="M40">
            <v>5.9254999999999995E-2</v>
          </cell>
          <cell r="N40">
            <v>0.26861333333333337</v>
          </cell>
          <cell r="O40">
            <v>0.34225333333333335</v>
          </cell>
          <cell r="P40">
            <v>8.3936666666666673E-2</v>
          </cell>
          <cell r="Q40">
            <v>1.2387600000000001</v>
          </cell>
          <cell r="R40">
            <v>3.9559699999999998</v>
          </cell>
          <cell r="S40">
            <v>0</v>
          </cell>
          <cell r="T40">
            <v>5.018333333333333E-2</v>
          </cell>
          <cell r="U40">
            <v>0.53461666666666663</v>
          </cell>
          <cell r="V40">
            <v>5.7795299999999994</v>
          </cell>
        </row>
        <row r="41">
          <cell r="E41" t="str">
            <v>82111-4DV90</v>
          </cell>
          <cell r="F41">
            <v>3664.2198999999996</v>
          </cell>
          <cell r="G41">
            <v>449.71519999999998</v>
          </cell>
          <cell r="H41">
            <v>0.27057000000000003</v>
          </cell>
          <cell r="I41">
            <v>0.42968333333333331</v>
          </cell>
          <cell r="J41">
            <v>0.10049666666666666</v>
          </cell>
          <cell r="K41">
            <v>0.78217500000000006</v>
          </cell>
          <cell r="L41">
            <v>2.1297600000000001</v>
          </cell>
          <cell r="M41">
            <v>6.1561666666666667E-2</v>
          </cell>
          <cell r="N41">
            <v>0.23652833333333334</v>
          </cell>
          <cell r="O41">
            <v>0.2970133333333333</v>
          </cell>
          <cell r="P41">
            <v>9.4016666666666665E-2</v>
          </cell>
          <cell r="Q41">
            <v>0.80075000000000007</v>
          </cell>
          <cell r="R41">
            <v>3.6010549999999997</v>
          </cell>
          <cell r="S41">
            <v>0</v>
          </cell>
          <cell r="T41">
            <v>4.2983333333333332E-2</v>
          </cell>
          <cell r="U41">
            <v>0.45492833333333332</v>
          </cell>
          <cell r="V41">
            <v>4.8997166666666656</v>
          </cell>
        </row>
        <row r="42">
          <cell r="E42" t="str">
            <v>82111-4DW00</v>
          </cell>
          <cell r="F42">
            <v>5159.4776000000002</v>
          </cell>
          <cell r="G42">
            <v>502.57409999999999</v>
          </cell>
          <cell r="H42">
            <v>0.43010166666666666</v>
          </cell>
          <cell r="I42">
            <v>0.88287833333333343</v>
          </cell>
          <cell r="J42">
            <v>0.25437166666666666</v>
          </cell>
          <cell r="K42">
            <v>1.1995766666666665</v>
          </cell>
          <cell r="L42">
            <v>2.7482099999999998</v>
          </cell>
          <cell r="M42">
            <v>7.3101666666666662E-2</v>
          </cell>
          <cell r="N42">
            <v>0.28652500000000003</v>
          </cell>
          <cell r="O42">
            <v>0.35479500000000003</v>
          </cell>
          <cell r="P42">
            <v>0.10312499999999999</v>
          </cell>
          <cell r="Q42">
            <v>1.5673516666666667</v>
          </cell>
          <cell r="R42">
            <v>4.7653333333333343</v>
          </cell>
          <cell r="S42">
            <v>0</v>
          </cell>
          <cell r="T42">
            <v>3.3790000000000001E-2</v>
          </cell>
          <cell r="U42">
            <v>0.57308999999999999</v>
          </cell>
          <cell r="V42">
            <v>6.9395650000000009</v>
          </cell>
        </row>
        <row r="43">
          <cell r="E43" t="str">
            <v>82111-4DW10</v>
          </cell>
          <cell r="F43">
            <v>5136.3312999999998</v>
          </cell>
          <cell r="G43">
            <v>508.4615</v>
          </cell>
          <cell r="H43">
            <v>0.43027500000000002</v>
          </cell>
          <cell r="I43">
            <v>0.87378</v>
          </cell>
          <cell r="J43">
            <v>0.25437166666666666</v>
          </cell>
          <cell r="K43">
            <v>1.1928266666666665</v>
          </cell>
          <cell r="L43">
            <v>2.7772483333333331</v>
          </cell>
          <cell r="M43">
            <v>7.3321666666666674E-2</v>
          </cell>
          <cell r="N43">
            <v>0.28791166666666668</v>
          </cell>
          <cell r="O43">
            <v>0.3566333333333333</v>
          </cell>
          <cell r="P43">
            <v>0.10417999999999999</v>
          </cell>
          <cell r="Q43">
            <v>1.5584266666666666</v>
          </cell>
          <cell r="R43">
            <v>4.7921216666666666</v>
          </cell>
          <cell r="S43">
            <v>0</v>
          </cell>
          <cell r="T43">
            <v>3.3790000000000001E-2</v>
          </cell>
          <cell r="U43">
            <v>0.57971500000000009</v>
          </cell>
          <cell r="V43">
            <v>6.9640533333333332</v>
          </cell>
        </row>
        <row r="44">
          <cell r="E44" t="str">
            <v>82111-4DW50</v>
          </cell>
          <cell r="F44">
            <v>4066.7031999999999</v>
          </cell>
          <cell r="G44">
            <v>439.10609999999997</v>
          </cell>
          <cell r="H44">
            <v>0.33466000000000001</v>
          </cell>
          <cell r="I44">
            <v>0.70446500000000001</v>
          </cell>
          <cell r="J44">
            <v>0.20016999999999999</v>
          </cell>
          <cell r="K44">
            <v>0.95219166666666666</v>
          </cell>
          <cell r="L44">
            <v>2.2815050000000001</v>
          </cell>
          <cell r="M44">
            <v>6.3491666666666668E-2</v>
          </cell>
          <cell r="N44">
            <v>0.257415</v>
          </cell>
          <cell r="O44">
            <v>0.30915499999999996</v>
          </cell>
          <cell r="P44">
            <v>9.4656666666666694E-2</v>
          </cell>
          <cell r="Q44">
            <v>1.239295</v>
          </cell>
          <cell r="R44">
            <v>3.9584150000000005</v>
          </cell>
          <cell r="S44">
            <v>0</v>
          </cell>
          <cell r="T44">
            <v>3.0893333333333328E-2</v>
          </cell>
          <cell r="U44">
            <v>0.46271666666666661</v>
          </cell>
          <cell r="V44">
            <v>5.6913200000000002</v>
          </cell>
        </row>
        <row r="45">
          <cell r="E45" t="str">
            <v>82111-4DW70</v>
          </cell>
          <cell r="F45">
            <v>4735.9312</v>
          </cell>
          <cell r="G45">
            <v>475.48070000000001</v>
          </cell>
          <cell r="H45">
            <v>0.39342833333333332</v>
          </cell>
          <cell r="I45">
            <v>0.84969666666666666</v>
          </cell>
          <cell r="J45">
            <v>0.25047666666666668</v>
          </cell>
          <cell r="K45">
            <v>1.0952949999999999</v>
          </cell>
          <cell r="L45">
            <v>2.6208200000000001</v>
          </cell>
          <cell r="M45">
            <v>7.1766666666666673E-2</v>
          </cell>
          <cell r="N45">
            <v>0.28064499999999998</v>
          </cell>
          <cell r="O45">
            <v>0.339895</v>
          </cell>
          <cell r="P45">
            <v>0.10205999999999998</v>
          </cell>
          <cell r="Q45">
            <v>1.4936016666666667</v>
          </cell>
          <cell r="R45">
            <v>4.5104816666666672</v>
          </cell>
          <cell r="S45">
            <v>0</v>
          </cell>
          <cell r="T45">
            <v>3.3790000000000001E-2</v>
          </cell>
          <cell r="U45">
            <v>0.58633999999999997</v>
          </cell>
          <cell r="V45">
            <v>6.6242133333333335</v>
          </cell>
        </row>
        <row r="46">
          <cell r="E46" t="str">
            <v>82111-4DW80</v>
          </cell>
          <cell r="F46">
            <v>4090.0439999999999</v>
          </cell>
          <cell r="G46">
            <v>498.93759999999997</v>
          </cell>
          <cell r="H46">
            <v>0.31534000000000001</v>
          </cell>
          <cell r="I46">
            <v>0.52087499999999998</v>
          </cell>
          <cell r="J46">
            <v>0.129745</v>
          </cell>
          <cell r="K46">
            <v>0.90832000000000002</v>
          </cell>
          <cell r="L46">
            <v>2.2283466666666665</v>
          </cell>
          <cell r="M46">
            <v>6.492666666666666E-2</v>
          </cell>
          <cell r="N46">
            <v>0.24581333333333333</v>
          </cell>
          <cell r="O46">
            <v>0.31642333333333333</v>
          </cell>
          <cell r="P46">
            <v>9.4766666666666666E-2</v>
          </cell>
          <cell r="Q46">
            <v>0.96595999999999993</v>
          </cell>
          <cell r="R46">
            <v>3.8585966666666667</v>
          </cell>
          <cell r="S46">
            <v>0</v>
          </cell>
          <cell r="T46">
            <v>4.2983333333333332E-2</v>
          </cell>
          <cell r="U46">
            <v>0.46817833333333331</v>
          </cell>
          <cell r="V46">
            <v>5.3357183333333325</v>
          </cell>
        </row>
        <row r="47">
          <cell r="E47" t="str">
            <v>82111-4DX10</v>
          </cell>
          <cell r="F47">
            <v>4202.9360999999999</v>
          </cell>
          <cell r="G47">
            <v>458.13549999999998</v>
          </cell>
          <cell r="H47">
            <v>0.35697166666666663</v>
          </cell>
          <cell r="I47">
            <v>0.74219666666666662</v>
          </cell>
          <cell r="J47">
            <v>0.20831</v>
          </cell>
          <cell r="K47">
            <v>1.0198133333333332</v>
          </cell>
          <cell r="L47">
            <v>2.3961566666666667</v>
          </cell>
          <cell r="M47">
            <v>6.6271666666666673E-2</v>
          </cell>
          <cell r="N47">
            <v>0.26791833333333331</v>
          </cell>
          <cell r="O47">
            <v>0.33504166666666663</v>
          </cell>
          <cell r="P47">
            <v>9.7408333333333347E-2</v>
          </cell>
          <cell r="Q47">
            <v>1.3074783333333333</v>
          </cell>
          <cell r="R47">
            <v>4.1826099999999995</v>
          </cell>
          <cell r="S47">
            <v>0</v>
          </cell>
          <cell r="T47">
            <v>3.0893333333333328E-2</v>
          </cell>
          <cell r="U47">
            <v>0.47596666666666665</v>
          </cell>
          <cell r="V47">
            <v>5.9969483333333322</v>
          </cell>
        </row>
        <row r="48">
          <cell r="E48" t="str">
            <v>82111-4DX50</v>
          </cell>
          <cell r="F48">
            <v>4419.1071000000002</v>
          </cell>
          <cell r="G48">
            <v>461.8546</v>
          </cell>
          <cell r="H48">
            <v>0.35401333333333335</v>
          </cell>
          <cell r="I48">
            <v>0.73027666666666669</v>
          </cell>
          <cell r="J48">
            <v>0.19915166666666667</v>
          </cell>
          <cell r="K48">
            <v>1.0071166666666667</v>
          </cell>
          <cell r="L48">
            <v>2.3155416666666668</v>
          </cell>
          <cell r="M48">
            <v>5.9490000000000001E-2</v>
          </cell>
          <cell r="N48">
            <v>0.26429166666666665</v>
          </cell>
          <cell r="O48">
            <v>0.35850833333333332</v>
          </cell>
          <cell r="P48">
            <v>8.5073333333333348E-2</v>
          </cell>
          <cell r="Q48">
            <v>1.2834416666666666</v>
          </cell>
          <cell r="R48">
            <v>4.0900216666666669</v>
          </cell>
          <cell r="S48">
            <v>0</v>
          </cell>
          <cell r="T48">
            <v>3.829833333333333E-2</v>
          </cell>
          <cell r="U48">
            <v>0.46911166666666665</v>
          </cell>
          <cell r="V48">
            <v>5.8808733333333336</v>
          </cell>
        </row>
        <row r="49">
          <cell r="E49" t="str">
            <v>82111-4DX60</v>
          </cell>
          <cell r="F49">
            <v>5124.0821999999998</v>
          </cell>
          <cell r="G49">
            <v>484.22609999999997</v>
          </cell>
          <cell r="H49">
            <v>0.413325</v>
          </cell>
          <cell r="I49">
            <v>0.83288833333333334</v>
          </cell>
          <cell r="J49">
            <v>0.23216999999999999</v>
          </cell>
          <cell r="K49">
            <v>1.1574766666666667</v>
          </cell>
          <cell r="L49">
            <v>2.67625</v>
          </cell>
          <cell r="M49">
            <v>6.6475000000000006E-2</v>
          </cell>
          <cell r="N49">
            <v>0.27840500000000001</v>
          </cell>
          <cell r="O49">
            <v>0.37440333333333337</v>
          </cell>
          <cell r="P49">
            <v>9.1823333333333354E-2</v>
          </cell>
          <cell r="Q49">
            <v>1.4783833333333334</v>
          </cell>
          <cell r="R49">
            <v>4.6448333333333336</v>
          </cell>
          <cell r="S49">
            <v>0</v>
          </cell>
          <cell r="T49">
            <v>4.1195000000000002E-2</v>
          </cell>
          <cell r="U49">
            <v>0.5074616666666667</v>
          </cell>
          <cell r="V49">
            <v>6.671873333333334</v>
          </cell>
        </row>
        <row r="50">
          <cell r="E50" t="str">
            <v>82111-4DX70</v>
          </cell>
          <cell r="F50">
            <v>5013.1287999999995</v>
          </cell>
          <cell r="G50">
            <v>491.36430000000001</v>
          </cell>
          <cell r="H50">
            <v>0.40258833333333333</v>
          </cell>
          <cell r="I50">
            <v>0.80966666666666665</v>
          </cell>
          <cell r="J50">
            <v>0.22844499999999998</v>
          </cell>
          <cell r="K50">
            <v>1.1293633333333333</v>
          </cell>
          <cell r="L50">
            <v>2.6378900000000001</v>
          </cell>
          <cell r="M50">
            <v>6.6324999999999995E-2</v>
          </cell>
          <cell r="N50">
            <v>0.27393666666666666</v>
          </cell>
          <cell r="O50">
            <v>0.36662499999999998</v>
          </cell>
          <cell r="P50">
            <v>9.1336666666666663E-2</v>
          </cell>
          <cell r="Q50">
            <v>1.4406999999999999</v>
          </cell>
          <cell r="R50">
            <v>4.5654766666666671</v>
          </cell>
          <cell r="S50">
            <v>0</v>
          </cell>
          <cell r="T50">
            <v>4.1195000000000002E-2</v>
          </cell>
          <cell r="U50">
            <v>0.51408666666666658</v>
          </cell>
          <cell r="V50">
            <v>6.5614583333333334</v>
          </cell>
        </row>
        <row r="51">
          <cell r="E51" t="str">
            <v>82111-4DX80</v>
          </cell>
          <cell r="F51">
            <v>4156.2020999999995</v>
          </cell>
          <cell r="G51">
            <v>553.90020000000004</v>
          </cell>
          <cell r="H51">
            <v>0.32705166666666668</v>
          </cell>
          <cell r="I51">
            <v>0.53545000000000009</v>
          </cell>
          <cell r="J51">
            <v>0.129745</v>
          </cell>
          <cell r="K51">
            <v>0.94514666666666658</v>
          </cell>
          <cell r="L51">
            <v>2.2801150000000003</v>
          </cell>
          <cell r="M51">
            <v>6.5121666666666675E-2</v>
          </cell>
          <cell r="N51">
            <v>0.25018166666666664</v>
          </cell>
          <cell r="O51">
            <v>0.33564500000000003</v>
          </cell>
          <cell r="P51">
            <v>9.5481666666666687E-2</v>
          </cell>
          <cell r="Q51">
            <v>0.99224666666666672</v>
          </cell>
          <cell r="R51">
            <v>3.9716916666666671</v>
          </cell>
          <cell r="S51">
            <v>0</v>
          </cell>
          <cell r="T51">
            <v>4.2983333333333332E-2</v>
          </cell>
          <cell r="U51">
            <v>0.46817833333333331</v>
          </cell>
          <cell r="V51">
            <v>5.4751000000000003</v>
          </cell>
        </row>
        <row r="52">
          <cell r="E52" t="str">
            <v>82111-4DX90</v>
          </cell>
          <cell r="F52">
            <v>4302.1284000000005</v>
          </cell>
          <cell r="G52">
            <v>445.4579</v>
          </cell>
          <cell r="H52">
            <v>0.34923000000000004</v>
          </cell>
          <cell r="I52">
            <v>0.73434499999999991</v>
          </cell>
          <cell r="J52">
            <v>0.19563333333333333</v>
          </cell>
          <cell r="K52">
            <v>0.988035</v>
          </cell>
          <cell r="L52">
            <v>2.3141850000000002</v>
          </cell>
          <cell r="M52">
            <v>6.3681666666666664E-2</v>
          </cell>
          <cell r="N52">
            <v>0.26401333333333332</v>
          </cell>
          <cell r="O52">
            <v>0.32252333333333338</v>
          </cell>
          <cell r="P52">
            <v>9.5340000000000008E-2</v>
          </cell>
          <cell r="Q52">
            <v>1.2792083333333333</v>
          </cell>
          <cell r="R52">
            <v>4.0477783333333335</v>
          </cell>
          <cell r="S52">
            <v>0</v>
          </cell>
          <cell r="T52">
            <v>3.0893333333333328E-2</v>
          </cell>
          <cell r="U52">
            <v>0.45609166666666667</v>
          </cell>
          <cell r="V52">
            <v>5.8139716666666663</v>
          </cell>
        </row>
        <row r="53">
          <cell r="E53" t="str">
            <v>82111-4DY10</v>
          </cell>
          <cell r="F53">
            <v>4176.7648000000008</v>
          </cell>
          <cell r="G53">
            <v>468.98969999999997</v>
          </cell>
          <cell r="H53">
            <v>0.33987666666666672</v>
          </cell>
          <cell r="I53">
            <v>0.69992333333333323</v>
          </cell>
          <cell r="J53">
            <v>0.19168666666666667</v>
          </cell>
          <cell r="K53">
            <v>0.96840666666666664</v>
          </cell>
          <cell r="L53">
            <v>2.2714966666666667</v>
          </cell>
          <cell r="M53">
            <v>5.9339999999999997E-2</v>
          </cell>
          <cell r="N53">
            <v>0.25667333333333331</v>
          </cell>
          <cell r="O53">
            <v>0.35045999999999999</v>
          </cell>
          <cell r="P53">
            <v>8.4586666666666685E-2</v>
          </cell>
          <cell r="Q53">
            <v>1.2314866666666666</v>
          </cell>
          <cell r="R53">
            <v>3.9909633333333332</v>
          </cell>
          <cell r="S53">
            <v>0</v>
          </cell>
          <cell r="T53">
            <v>3.829833333333333E-2</v>
          </cell>
          <cell r="U53">
            <v>0.47573666666666664</v>
          </cell>
          <cell r="V53">
            <v>5.7364850000000001</v>
          </cell>
        </row>
        <row r="54">
          <cell r="E54" t="str">
            <v>8211176Z81</v>
          </cell>
          <cell r="F54">
            <v>4226.2078000000001</v>
          </cell>
          <cell r="G54">
            <v>17.264500000000002</v>
          </cell>
          <cell r="H54">
            <v>0.28601333333333329</v>
          </cell>
          <cell r="I54">
            <v>0.53188333333333337</v>
          </cell>
          <cell r="J54">
            <v>0.24140333333333333</v>
          </cell>
          <cell r="K54">
            <v>0.84096000000000004</v>
          </cell>
          <cell r="L54">
            <v>1.9059516666666667</v>
          </cell>
          <cell r="M54">
            <v>8.1736666666666666E-2</v>
          </cell>
          <cell r="N54">
            <v>0.22460166666666667</v>
          </cell>
          <cell r="O54">
            <v>0.18220833333333333</v>
          </cell>
          <cell r="P54">
            <v>8.1551666666666633E-2</v>
          </cell>
          <cell r="Q54">
            <v>1.0593000000000001</v>
          </cell>
          <cell r="R54">
            <v>3.3170099999999998</v>
          </cell>
          <cell r="S54">
            <v>3.9289999999999999E-2</v>
          </cell>
          <cell r="T54">
            <v>1.5138333333333335E-2</v>
          </cell>
          <cell r="U54">
            <v>0</v>
          </cell>
          <cell r="V54">
            <v>4.4307383333333341</v>
          </cell>
        </row>
        <row r="55">
          <cell r="E55" t="str">
            <v>8211176Z91</v>
          </cell>
          <cell r="F55">
            <v>4584.8407000000007</v>
          </cell>
          <cell r="G55">
            <v>17.264500000000002</v>
          </cell>
          <cell r="H55">
            <v>0.29608000000000001</v>
          </cell>
          <cell r="I55">
            <v>0.53416166666666665</v>
          </cell>
          <cell r="J55">
            <v>0.25118333333333331</v>
          </cell>
          <cell r="K55">
            <v>0.87904000000000004</v>
          </cell>
          <cell r="L55">
            <v>1.9437549999999999</v>
          </cell>
          <cell r="M55">
            <v>8.3228333333333321E-2</v>
          </cell>
          <cell r="N55">
            <v>0.23042666666666667</v>
          </cell>
          <cell r="O55">
            <v>0.18126499999999998</v>
          </cell>
          <cell r="P55">
            <v>8.2099999999999979E-2</v>
          </cell>
          <cell r="Q55">
            <v>1.0814249999999999</v>
          </cell>
          <cell r="R55">
            <v>3.3998150000000003</v>
          </cell>
          <cell r="S55">
            <v>3.9289999999999999E-2</v>
          </cell>
          <cell r="T55">
            <v>1.5138333333333335E-2</v>
          </cell>
          <cell r="U55">
            <v>0</v>
          </cell>
          <cell r="V55">
            <v>4.5356683333333336</v>
          </cell>
        </row>
        <row r="56">
          <cell r="E56" t="str">
            <v>82111812D1</v>
          </cell>
          <cell r="F56">
            <v>3091.3026</v>
          </cell>
          <cell r="G56">
            <v>0</v>
          </cell>
          <cell r="H56">
            <v>0.17995666666666665</v>
          </cell>
          <cell r="I56">
            <v>0.198825</v>
          </cell>
          <cell r="J56">
            <v>0.15852666666666665</v>
          </cell>
          <cell r="K56">
            <v>0.52140166666666665</v>
          </cell>
          <cell r="L56">
            <v>1.3318366666666668</v>
          </cell>
          <cell r="M56">
            <v>5.9248333333333333E-2</v>
          </cell>
          <cell r="N56">
            <v>0.15032166666666666</v>
          </cell>
          <cell r="O56">
            <v>0.13566666666666669</v>
          </cell>
          <cell r="P56">
            <v>0.10357833333333336</v>
          </cell>
          <cell r="Q56">
            <v>0.53730833333333328</v>
          </cell>
          <cell r="R56">
            <v>2.3020533333333337</v>
          </cell>
          <cell r="S56">
            <v>2.7458333333333335E-2</v>
          </cell>
          <cell r="T56">
            <v>4.2031666666666669E-2</v>
          </cell>
          <cell r="U56">
            <v>0</v>
          </cell>
          <cell r="V56">
            <v>2.9088516666666666</v>
          </cell>
        </row>
        <row r="57">
          <cell r="E57" t="str">
            <v>82115715D3</v>
          </cell>
          <cell r="F57">
            <v>4322.1917999999996</v>
          </cell>
          <cell r="G57">
            <v>529.95010000000002</v>
          </cell>
          <cell r="H57">
            <v>0.37734999999999996</v>
          </cell>
          <cell r="I57">
            <v>0.75118666666666667</v>
          </cell>
          <cell r="J57">
            <v>0.19993333333333335</v>
          </cell>
          <cell r="K57">
            <v>1.0743266666666667</v>
          </cell>
          <cell r="L57">
            <v>2.3245750000000003</v>
          </cell>
          <cell r="M57">
            <v>6.8521666666666661E-2</v>
          </cell>
          <cell r="N57">
            <v>0.27825166666666667</v>
          </cell>
          <cell r="O57">
            <v>0.3380016666666667</v>
          </cell>
          <cell r="P57">
            <v>9.7596666666666651E-2</v>
          </cell>
          <cell r="Q57">
            <v>1.32847</v>
          </cell>
          <cell r="R57">
            <v>4.1812733333333343</v>
          </cell>
          <cell r="S57">
            <v>0</v>
          </cell>
          <cell r="T57">
            <v>4.5869999999999994E-2</v>
          </cell>
          <cell r="U57">
            <v>0.54470499999999988</v>
          </cell>
          <cell r="V57">
            <v>6.100318333333334</v>
          </cell>
        </row>
        <row r="58">
          <cell r="E58" t="str">
            <v>82115715D5</v>
          </cell>
          <cell r="F58">
            <v>4296.2957999999999</v>
          </cell>
          <cell r="G58">
            <v>542.04680000000008</v>
          </cell>
          <cell r="H58">
            <v>0.35834833333333338</v>
          </cell>
          <cell r="I58">
            <v>0.69593166666666662</v>
          </cell>
          <cell r="J58">
            <v>0.20211666666666667</v>
          </cell>
          <cell r="K58">
            <v>1.0127533333333334</v>
          </cell>
          <cell r="L58">
            <v>2.2001183333333336</v>
          </cell>
          <cell r="M58">
            <v>5.9254999999999995E-2</v>
          </cell>
          <cell r="N58">
            <v>0.26957333333333333</v>
          </cell>
          <cell r="O58">
            <v>0.34390333333333334</v>
          </cell>
          <cell r="P58">
            <v>8.3240000000000008E-2</v>
          </cell>
          <cell r="Q58">
            <v>1.2563966666666666</v>
          </cell>
          <cell r="R58">
            <v>3.9688433333333335</v>
          </cell>
          <cell r="S58">
            <v>0</v>
          </cell>
          <cell r="T58">
            <v>4.5873333333333328E-2</v>
          </cell>
          <cell r="U58">
            <v>0.54124166666666662</v>
          </cell>
          <cell r="V58">
            <v>5.8123550000000002</v>
          </cell>
        </row>
        <row r="59">
          <cell r="E59" t="str">
            <v>82115715D7</v>
          </cell>
          <cell r="F59">
            <v>5199.0318000000007</v>
          </cell>
          <cell r="G59">
            <v>550.10069999999996</v>
          </cell>
          <cell r="H59">
            <v>0.4324783333333333</v>
          </cell>
          <cell r="I59">
            <v>0.87126166666666671</v>
          </cell>
          <cell r="J59">
            <v>0.26982166666666668</v>
          </cell>
          <cell r="K59">
            <v>1.2114516666666666</v>
          </cell>
          <cell r="L59">
            <v>2.7575449999999999</v>
          </cell>
          <cell r="M59">
            <v>7.3411666666666667E-2</v>
          </cell>
          <cell r="N59">
            <v>0.29104833333333335</v>
          </cell>
          <cell r="O59">
            <v>0.35753166666666664</v>
          </cell>
          <cell r="P59">
            <v>0.10449333333333334</v>
          </cell>
          <cell r="Q59">
            <v>1.5735616666666665</v>
          </cell>
          <cell r="R59">
            <v>4.7954816666666664</v>
          </cell>
          <cell r="S59">
            <v>0</v>
          </cell>
          <cell r="T59">
            <v>3.3790000000000001E-2</v>
          </cell>
          <cell r="U59">
            <v>0.58922666666666668</v>
          </cell>
          <cell r="V59">
            <v>6.9920599999999995</v>
          </cell>
        </row>
        <row r="60">
          <cell r="E60" t="str">
            <v>82115715DA</v>
          </cell>
          <cell r="F60">
            <v>4322.0895</v>
          </cell>
          <cell r="G60">
            <v>517.51289999999995</v>
          </cell>
          <cell r="H60">
            <v>0.36920166666666671</v>
          </cell>
          <cell r="I60">
            <v>0.75255499999999997</v>
          </cell>
          <cell r="J60">
            <v>0.228265</v>
          </cell>
          <cell r="K60">
            <v>1.0558000000000001</v>
          </cell>
          <cell r="L60">
            <v>2.3936216666666668</v>
          </cell>
          <cell r="M60">
            <v>6.6356666666666661E-2</v>
          </cell>
          <cell r="N60">
            <v>0.27217333333333332</v>
          </cell>
          <cell r="O60">
            <v>0.33923333333333333</v>
          </cell>
          <cell r="P60">
            <v>9.7720000000000015E-2</v>
          </cell>
          <cell r="Q60">
            <v>1.3500216666666667</v>
          </cell>
          <cell r="R60">
            <v>4.2249049999999997</v>
          </cell>
          <cell r="S60">
            <v>0</v>
          </cell>
          <cell r="T60">
            <v>3.0893333333333328E-2</v>
          </cell>
          <cell r="U60">
            <v>0.49872833333333338</v>
          </cell>
          <cell r="V60">
            <v>6.1045483333333328</v>
          </cell>
        </row>
        <row r="61">
          <cell r="E61" t="str">
            <v>82115715DC</v>
          </cell>
          <cell r="F61">
            <v>4483.963600000001</v>
          </cell>
          <cell r="G61">
            <v>506.08209999999997</v>
          </cell>
          <cell r="H61">
            <v>0.35665333333333332</v>
          </cell>
          <cell r="I61">
            <v>0.72516000000000003</v>
          </cell>
          <cell r="J61">
            <v>0.229825</v>
          </cell>
          <cell r="K61">
            <v>1.0237883333333333</v>
          </cell>
          <cell r="L61">
            <v>2.31304</v>
          </cell>
          <cell r="M61">
            <v>5.9580000000000001E-2</v>
          </cell>
          <cell r="N61">
            <v>0.26742833333333332</v>
          </cell>
          <cell r="O61">
            <v>0.35940666666666665</v>
          </cell>
          <cell r="P61">
            <v>8.538500000000003E-2</v>
          </cell>
          <cell r="Q61">
            <v>1.3116383333333332</v>
          </cell>
          <cell r="R61">
            <v>4.1086283333333329</v>
          </cell>
          <cell r="S61">
            <v>0</v>
          </cell>
          <cell r="T61">
            <v>3.0896666666666663E-2</v>
          </cell>
          <cell r="U61">
            <v>0.47862333333333329</v>
          </cell>
          <cell r="V61">
            <v>5.9297866666666668</v>
          </cell>
        </row>
        <row r="62">
          <cell r="E62" t="str">
            <v>82115715DD</v>
          </cell>
          <cell r="F62">
            <v>5208.2556999999997</v>
          </cell>
          <cell r="G62">
            <v>526.24829999999997</v>
          </cell>
          <cell r="H62">
            <v>0.41619166666666663</v>
          </cell>
          <cell r="I62">
            <v>0.82780833333333337</v>
          </cell>
          <cell r="J62">
            <v>0.26084166666666664</v>
          </cell>
          <cell r="K62">
            <v>1.1800083333333333</v>
          </cell>
          <cell r="L62">
            <v>2.674268333333333</v>
          </cell>
          <cell r="M62">
            <v>6.6564999999999999E-2</v>
          </cell>
          <cell r="N62">
            <v>0.28154166666666663</v>
          </cell>
          <cell r="O62">
            <v>0.3753016666666667</v>
          </cell>
          <cell r="P62">
            <v>9.2136666666666658E-2</v>
          </cell>
          <cell r="Q62">
            <v>1.5048416666666666</v>
          </cell>
          <cell r="R62">
            <v>4.6698216666666674</v>
          </cell>
          <cell r="S62">
            <v>0</v>
          </cell>
          <cell r="T62">
            <v>3.3793333333333328E-2</v>
          </cell>
          <cell r="U62">
            <v>0.51697333333333328</v>
          </cell>
          <cell r="V62">
            <v>6.7254300000000011</v>
          </cell>
        </row>
        <row r="63">
          <cell r="E63" t="str">
            <v>82115715DE</v>
          </cell>
          <cell r="F63">
            <v>4292.7011999999995</v>
          </cell>
          <cell r="G63">
            <v>526.44389999999999</v>
          </cell>
          <cell r="H63">
            <v>0.34888666666666668</v>
          </cell>
          <cell r="I63">
            <v>0.70621833333333339</v>
          </cell>
          <cell r="J63">
            <v>0.22685999999999998</v>
          </cell>
          <cell r="K63">
            <v>0.99062833333333333</v>
          </cell>
          <cell r="L63">
            <v>2.2806833333333336</v>
          </cell>
          <cell r="M63">
            <v>5.9429999999999997E-2</v>
          </cell>
          <cell r="N63">
            <v>0.26045000000000001</v>
          </cell>
          <cell r="O63">
            <v>0.35300833333333331</v>
          </cell>
          <cell r="P63">
            <v>8.4898333333333367E-2</v>
          </cell>
          <cell r="Q63">
            <v>1.2819650000000002</v>
          </cell>
          <cell r="R63">
            <v>4.0290983333333337</v>
          </cell>
          <cell r="S63">
            <v>0</v>
          </cell>
          <cell r="T63">
            <v>3.0896666666666663E-2</v>
          </cell>
          <cell r="U63">
            <v>0.49187333333333327</v>
          </cell>
          <cell r="V63">
            <v>5.8338333333333345</v>
          </cell>
        </row>
        <row r="64">
          <cell r="E64" t="str">
            <v>82115715DF</v>
          </cell>
          <cell r="F64">
            <v>4270.7604000000001</v>
          </cell>
          <cell r="G64">
            <v>514.64619999999991</v>
          </cell>
          <cell r="H64">
            <v>0.3686666666666667</v>
          </cell>
          <cell r="I64">
            <v>0.74259999999999993</v>
          </cell>
          <cell r="J64">
            <v>0.19543166666666664</v>
          </cell>
          <cell r="K64">
            <v>1.0466433333333334</v>
          </cell>
          <cell r="L64">
            <v>2.3078333333333334</v>
          </cell>
          <cell r="M64">
            <v>6.8521666666666661E-2</v>
          </cell>
          <cell r="N64">
            <v>0.27713166666666667</v>
          </cell>
          <cell r="O64">
            <v>0.33635166666666666</v>
          </cell>
          <cell r="P64">
            <v>9.7596666666666651E-2</v>
          </cell>
          <cell r="Q64">
            <v>1.3066983333333333</v>
          </cell>
          <cell r="R64">
            <v>4.134078333333334</v>
          </cell>
          <cell r="S64">
            <v>0</v>
          </cell>
          <cell r="T64">
            <v>4.5869999999999994E-2</v>
          </cell>
          <cell r="U64">
            <v>0.53807999999999989</v>
          </cell>
          <cell r="V64">
            <v>6.024726666666667</v>
          </cell>
        </row>
        <row r="65">
          <cell r="E65" t="str">
            <v>82126-K0040</v>
          </cell>
          <cell r="F65">
            <v>9.9452999999999996</v>
          </cell>
          <cell r="G65">
            <v>0</v>
          </cell>
          <cell r="H65">
            <v>5.7350000000000005E-3</v>
          </cell>
          <cell r="I65">
            <v>5.8666666666666667E-3</v>
          </cell>
          <cell r="J65">
            <v>0</v>
          </cell>
          <cell r="K65">
            <v>1.155E-2</v>
          </cell>
          <cell r="L65">
            <v>6.8783333333333335E-2</v>
          </cell>
          <cell r="M65">
            <v>0</v>
          </cell>
          <cell r="N65">
            <v>1.1361666666666666E-2</v>
          </cell>
          <cell r="O65">
            <v>8.8699999999999994E-3</v>
          </cell>
          <cell r="P65">
            <v>2.7000000000000001E-3</v>
          </cell>
          <cell r="Q65">
            <v>1.1601666666666666E-2</v>
          </cell>
          <cell r="R65">
            <v>0.103265</v>
          </cell>
          <cell r="S65">
            <v>0</v>
          </cell>
          <cell r="T65">
            <v>0</v>
          </cell>
          <cell r="U65">
            <v>0</v>
          </cell>
          <cell r="V65">
            <v>0.11486666666666666</v>
          </cell>
        </row>
        <row r="66">
          <cell r="E66" t="str">
            <v>82219-K0050</v>
          </cell>
          <cell r="F66">
            <v>12.550699999999999</v>
          </cell>
          <cell r="G66">
            <v>0</v>
          </cell>
          <cell r="H66">
            <v>9.1733333333333337E-3</v>
          </cell>
          <cell r="I66">
            <v>8.1583333333333334E-3</v>
          </cell>
          <cell r="J66">
            <v>0</v>
          </cell>
          <cell r="K66">
            <v>2.2494999999999998E-2</v>
          </cell>
          <cell r="L66">
            <v>9.8680000000000004E-2</v>
          </cell>
          <cell r="M66">
            <v>0</v>
          </cell>
          <cell r="N66">
            <v>1.3265000000000001E-2</v>
          </cell>
          <cell r="O66">
            <v>7.083333333333333E-3</v>
          </cell>
          <cell r="P66">
            <v>3.1483333333333337E-3</v>
          </cell>
          <cell r="Q66">
            <v>1.7331666666666669E-2</v>
          </cell>
          <cell r="R66">
            <v>0.14467166666666667</v>
          </cell>
          <cell r="S66">
            <v>0</v>
          </cell>
          <cell r="T66">
            <v>0</v>
          </cell>
          <cell r="U66">
            <v>0</v>
          </cell>
          <cell r="V66">
            <v>0.16200333333333333</v>
          </cell>
        </row>
        <row r="67">
          <cell r="E67" t="str">
            <v>82219-K0060</v>
          </cell>
          <cell r="F67">
            <v>5.4432</v>
          </cell>
          <cell r="G67">
            <v>0</v>
          </cell>
          <cell r="H67">
            <v>4.7549999999999997E-3</v>
          </cell>
          <cell r="I67">
            <v>3.8533333333333332E-3</v>
          </cell>
          <cell r="J67">
            <v>0</v>
          </cell>
          <cell r="K67">
            <v>1.2869999999999999E-2</v>
          </cell>
          <cell r="L67">
            <v>7.1153333333333332E-2</v>
          </cell>
          <cell r="M67">
            <v>0</v>
          </cell>
          <cell r="N67">
            <v>1.1091666666666666E-2</v>
          </cell>
          <cell r="O67">
            <v>5.901666666666667E-3</v>
          </cell>
          <cell r="P67">
            <v>2.4350000000000001E-3</v>
          </cell>
          <cell r="Q67">
            <v>8.6083333333333324E-3</v>
          </cell>
          <cell r="R67">
            <v>0.10345166666666668</v>
          </cell>
          <cell r="S67">
            <v>0</v>
          </cell>
          <cell r="T67">
            <v>0</v>
          </cell>
          <cell r="U67">
            <v>0</v>
          </cell>
          <cell r="V67">
            <v>0.11206000000000001</v>
          </cell>
        </row>
        <row r="68">
          <cell r="E68" t="str">
            <v>74757416</v>
          </cell>
          <cell r="F68">
            <v>24.727</v>
          </cell>
          <cell r="G68">
            <v>0</v>
          </cell>
          <cell r="H68">
            <v>9.75E-3</v>
          </cell>
          <cell r="I68">
            <v>7.911E-2</v>
          </cell>
          <cell r="J68">
            <v>0</v>
          </cell>
          <cell r="K68">
            <v>1.694E-2</v>
          </cell>
          <cell r="L68">
            <v>1.4043333333333333E-2</v>
          </cell>
          <cell r="M68">
            <v>0</v>
          </cell>
          <cell r="N68">
            <v>1.2263333333333333E-2</v>
          </cell>
          <cell r="O68">
            <v>9.4833333333333332E-3</v>
          </cell>
          <cell r="P68">
            <v>5.4516666666666663E-3</v>
          </cell>
          <cell r="Q68">
            <v>8.8859999999999995E-2</v>
          </cell>
          <cell r="R68">
            <v>5.8181666666666666E-2</v>
          </cell>
          <cell r="S68">
            <v>0</v>
          </cell>
          <cell r="T68">
            <v>0</v>
          </cell>
          <cell r="U68">
            <v>0</v>
          </cell>
          <cell r="V68">
            <v>0.14704166666666665</v>
          </cell>
        </row>
        <row r="69">
          <cell r="E69" t="str">
            <v>82113B2020</v>
          </cell>
          <cell r="F69">
            <v>20.922899999999998</v>
          </cell>
          <cell r="G69">
            <v>0</v>
          </cell>
          <cell r="H69">
            <v>3.9983333333333338E-3</v>
          </cell>
          <cell r="I69">
            <v>3.3633333333333328E-2</v>
          </cell>
          <cell r="J69">
            <v>0</v>
          </cell>
          <cell r="K69">
            <v>6.8933333333333338E-3</v>
          </cell>
          <cell r="L69">
            <v>1.112E-2</v>
          </cell>
          <cell r="M69">
            <v>0</v>
          </cell>
          <cell r="N69">
            <v>1.0823333333333332E-2</v>
          </cell>
          <cell r="O69">
            <v>1.1655E-2</v>
          </cell>
          <cell r="P69">
            <v>4.8549999999999999E-3</v>
          </cell>
          <cell r="Q69">
            <v>3.763166666666666E-2</v>
          </cell>
          <cell r="R69">
            <v>4.534666666666666E-2</v>
          </cell>
          <cell r="S69">
            <v>0</v>
          </cell>
          <cell r="T69">
            <v>0</v>
          </cell>
          <cell r="U69">
            <v>0</v>
          </cell>
          <cell r="V69">
            <v>8.2978333333333321E-2</v>
          </cell>
        </row>
        <row r="70">
          <cell r="E70" t="str">
            <v>82143B2050</v>
          </cell>
          <cell r="F70">
            <v>7.7122999999999999</v>
          </cell>
          <cell r="G70">
            <v>0</v>
          </cell>
          <cell r="H70">
            <v>3.218333333333333E-3</v>
          </cell>
          <cell r="I70">
            <v>3.1106666666666668E-2</v>
          </cell>
          <cell r="J70">
            <v>0</v>
          </cell>
          <cell r="K70">
            <v>5.6466666666666662E-3</v>
          </cell>
          <cell r="L70">
            <v>8.1349999999999999E-3</v>
          </cell>
          <cell r="M70">
            <v>0</v>
          </cell>
          <cell r="N70">
            <v>1.0706666666666666E-2</v>
          </cell>
          <cell r="O70">
            <v>8.5283333333333339E-3</v>
          </cell>
          <cell r="P70">
            <v>2.8916666666666665E-3</v>
          </cell>
          <cell r="Q70">
            <v>3.4325000000000001E-2</v>
          </cell>
          <cell r="R70">
            <v>3.5908333333333334E-2</v>
          </cell>
          <cell r="S70">
            <v>0</v>
          </cell>
          <cell r="T70">
            <v>0</v>
          </cell>
          <cell r="U70">
            <v>0</v>
          </cell>
          <cell r="V70">
            <v>7.0233333333333342E-2</v>
          </cell>
        </row>
        <row r="71">
          <cell r="E71" t="str">
            <v>82143B2060</v>
          </cell>
          <cell r="F71">
            <v>36.325299999999999</v>
          </cell>
          <cell r="G71">
            <v>0</v>
          </cell>
          <cell r="H71">
            <v>1.3196666666666666E-2</v>
          </cell>
          <cell r="I71">
            <v>0.12442666666666667</v>
          </cell>
          <cell r="J71">
            <v>0</v>
          </cell>
          <cell r="K71">
            <v>2.2586666666666665E-2</v>
          </cell>
          <cell r="L71">
            <v>2.0544999999999997E-2</v>
          </cell>
          <cell r="M71">
            <v>0</v>
          </cell>
          <cell r="N71">
            <v>1.3108333333333333E-2</v>
          </cell>
          <cell r="O71">
            <v>1.5259999999999999E-2</v>
          </cell>
          <cell r="P71">
            <v>7.4183333333333332E-3</v>
          </cell>
          <cell r="Q71">
            <v>0.13762333333333335</v>
          </cell>
          <cell r="R71">
            <v>7.8918333333333326E-2</v>
          </cell>
          <cell r="S71">
            <v>0</v>
          </cell>
          <cell r="T71">
            <v>0</v>
          </cell>
          <cell r="U71">
            <v>0</v>
          </cell>
          <cell r="V71">
            <v>0.21654166666666669</v>
          </cell>
        </row>
        <row r="72">
          <cell r="E72" t="str">
            <v>82143B2070</v>
          </cell>
          <cell r="F72">
            <v>8.5371000000000006</v>
          </cell>
          <cell r="G72">
            <v>0</v>
          </cell>
          <cell r="H72">
            <v>6.0299999999999998E-3</v>
          </cell>
          <cell r="I72">
            <v>6.3219999999999998E-2</v>
          </cell>
          <cell r="J72">
            <v>0</v>
          </cell>
          <cell r="K72">
            <v>1.0926666666666666E-2</v>
          </cell>
          <cell r="L72">
            <v>5.9446666666666668E-2</v>
          </cell>
          <cell r="M72">
            <v>0</v>
          </cell>
          <cell r="N72">
            <v>1.5695000000000001E-2</v>
          </cell>
          <cell r="O72">
            <v>8.915000000000001E-3</v>
          </cell>
          <cell r="P72">
            <v>2.7850000000000001E-3</v>
          </cell>
          <cell r="Q72">
            <v>6.9249999999999992E-2</v>
          </cell>
          <cell r="R72">
            <v>9.7768333333333332E-2</v>
          </cell>
          <cell r="S72">
            <v>0</v>
          </cell>
          <cell r="T72">
            <v>0</v>
          </cell>
          <cell r="U72">
            <v>0</v>
          </cell>
          <cell r="V72">
            <v>0.16701833333333332</v>
          </cell>
        </row>
        <row r="73">
          <cell r="E73" t="str">
            <v>82143B2080</v>
          </cell>
          <cell r="F73">
            <v>21.272099999999998</v>
          </cell>
          <cell r="G73">
            <v>0</v>
          </cell>
          <cell r="H73">
            <v>1.2308333333333334E-2</v>
          </cell>
          <cell r="I73">
            <v>0.12543333333333334</v>
          </cell>
          <cell r="J73">
            <v>0</v>
          </cell>
          <cell r="K73">
            <v>2.1853333333333332E-2</v>
          </cell>
          <cell r="L73">
            <v>0.11134666666666666</v>
          </cell>
          <cell r="M73">
            <v>0</v>
          </cell>
          <cell r="N73">
            <v>2.1528333333333333E-2</v>
          </cell>
          <cell r="O73">
            <v>1.4321666666666667E-2</v>
          </cell>
          <cell r="P73">
            <v>4.4400000000000004E-3</v>
          </cell>
          <cell r="Q73">
            <v>0.13774166666666668</v>
          </cell>
          <cell r="R73">
            <v>0.17349000000000001</v>
          </cell>
          <cell r="S73">
            <v>0</v>
          </cell>
          <cell r="T73">
            <v>0</v>
          </cell>
          <cell r="U73">
            <v>0</v>
          </cell>
          <cell r="V73">
            <v>0.31123166666666668</v>
          </cell>
        </row>
        <row r="74">
          <cell r="E74" t="str">
            <v>82155B2020</v>
          </cell>
          <cell r="F74">
            <v>7.2664999999999997</v>
          </cell>
          <cell r="G74">
            <v>0</v>
          </cell>
          <cell r="H74">
            <v>3.1916666666666669E-3</v>
          </cell>
          <cell r="I74">
            <v>3.1106666666666668E-2</v>
          </cell>
          <cell r="J74">
            <v>0</v>
          </cell>
          <cell r="K74">
            <v>5.4633333333333331E-3</v>
          </cell>
          <cell r="L74">
            <v>8.09E-3</v>
          </cell>
          <cell r="M74">
            <v>0</v>
          </cell>
          <cell r="N74">
            <v>1.0701666666666667E-2</v>
          </cell>
          <cell r="O74">
            <v>8.4316666666666672E-3</v>
          </cell>
          <cell r="P74">
            <v>2.8266666666666666E-3</v>
          </cell>
          <cell r="Q74">
            <v>3.4298333333333333E-2</v>
          </cell>
          <cell r="R74">
            <v>3.5513333333333334E-2</v>
          </cell>
          <cell r="S74">
            <v>0</v>
          </cell>
          <cell r="T74">
            <v>0</v>
          </cell>
          <cell r="U74">
            <v>0</v>
          </cell>
          <cell r="V74">
            <v>6.9811666666666661E-2</v>
          </cell>
        </row>
        <row r="75">
          <cell r="E75" t="str">
            <v>82156B2020</v>
          </cell>
          <cell r="F75">
            <v>7.7122999999999999</v>
          </cell>
          <cell r="G75">
            <v>0</v>
          </cell>
          <cell r="H75">
            <v>3.218333333333333E-3</v>
          </cell>
          <cell r="I75">
            <v>3.1106666666666668E-2</v>
          </cell>
          <cell r="J75">
            <v>0</v>
          </cell>
          <cell r="K75">
            <v>5.4633333333333331E-3</v>
          </cell>
          <cell r="L75">
            <v>8.1349999999999999E-3</v>
          </cell>
          <cell r="M75">
            <v>0</v>
          </cell>
          <cell r="N75">
            <v>1.0706666666666666E-2</v>
          </cell>
          <cell r="O75">
            <v>8.5300000000000011E-3</v>
          </cell>
          <cell r="P75">
            <v>2.8933333333333333E-3</v>
          </cell>
          <cell r="Q75">
            <v>3.4325000000000001E-2</v>
          </cell>
          <cell r="R75">
            <v>3.5728333333333334E-2</v>
          </cell>
          <cell r="S75">
            <v>0</v>
          </cell>
          <cell r="T75">
            <v>0</v>
          </cell>
          <cell r="U75">
            <v>0</v>
          </cell>
          <cell r="V75">
            <v>7.0053333333333329E-2</v>
          </cell>
        </row>
        <row r="76">
          <cell r="E76" t="str">
            <v>82172B2060</v>
          </cell>
          <cell r="F76">
            <v>20.2393</v>
          </cell>
          <cell r="G76">
            <v>0</v>
          </cell>
          <cell r="H76">
            <v>3.9583333333333328E-3</v>
          </cell>
          <cell r="I76">
            <v>3.1106666666666668E-2</v>
          </cell>
          <cell r="J76">
            <v>0</v>
          </cell>
          <cell r="K76">
            <v>5.4633333333333331E-3</v>
          </cell>
          <cell r="L76">
            <v>9.3666666666666672E-3</v>
          </cell>
          <cell r="M76">
            <v>0</v>
          </cell>
          <cell r="N76">
            <v>1.0818333333333334E-2</v>
          </cell>
          <cell r="O76">
            <v>1.124E-2</v>
          </cell>
          <cell r="P76">
            <v>4.7549999999999997E-3</v>
          </cell>
          <cell r="Q76">
            <v>3.5064999999999999E-2</v>
          </cell>
          <cell r="R76">
            <v>4.1643333333333338E-2</v>
          </cell>
          <cell r="S76">
            <v>0</v>
          </cell>
          <cell r="T76">
            <v>0</v>
          </cell>
          <cell r="U76">
            <v>0</v>
          </cell>
          <cell r="V76">
            <v>7.6708333333333337E-2</v>
          </cell>
        </row>
        <row r="77">
          <cell r="E77" t="str">
            <v>82188B2090</v>
          </cell>
          <cell r="F77">
            <v>10.7438</v>
          </cell>
          <cell r="G77">
            <v>0</v>
          </cell>
          <cell r="H77">
            <v>3.3966666666666668E-3</v>
          </cell>
          <cell r="I77">
            <v>3.1106666666666668E-2</v>
          </cell>
          <cell r="J77">
            <v>0</v>
          </cell>
          <cell r="K77">
            <v>5.4633333333333331E-3</v>
          </cell>
          <cell r="L77">
            <v>8.4316666666666672E-3</v>
          </cell>
          <cell r="M77">
            <v>0</v>
          </cell>
          <cell r="N77">
            <v>1.0733333333333334E-2</v>
          </cell>
          <cell r="O77">
            <v>9.1850000000000005E-3</v>
          </cell>
          <cell r="P77">
            <v>3.3433333333333331E-3</v>
          </cell>
          <cell r="Q77">
            <v>3.4503333333333337E-2</v>
          </cell>
          <cell r="R77">
            <v>3.7156666666666664E-2</v>
          </cell>
          <cell r="S77">
            <v>0</v>
          </cell>
          <cell r="T77">
            <v>0</v>
          </cell>
          <cell r="U77">
            <v>0</v>
          </cell>
          <cell r="V77">
            <v>7.1660000000000001E-2</v>
          </cell>
        </row>
        <row r="78">
          <cell r="E78" t="str">
            <v>82189B2010</v>
          </cell>
          <cell r="F78">
            <v>5.3273000000000001</v>
          </cell>
          <cell r="G78">
            <v>0</v>
          </cell>
          <cell r="H78">
            <v>3.0783333333333335E-3</v>
          </cell>
          <cell r="I78">
            <v>3.1106666666666668E-2</v>
          </cell>
          <cell r="J78">
            <v>0</v>
          </cell>
          <cell r="K78">
            <v>5.4633333333333331E-3</v>
          </cell>
          <cell r="L78">
            <v>7.899999999999999E-3</v>
          </cell>
          <cell r="M78">
            <v>0</v>
          </cell>
          <cell r="N78">
            <v>1.0685E-2</v>
          </cell>
          <cell r="O78">
            <v>8.0149999999999996E-3</v>
          </cell>
          <cell r="P78">
            <v>2.538333333333333E-3</v>
          </cell>
          <cell r="Q78">
            <v>3.4185E-2</v>
          </cell>
          <cell r="R78">
            <v>3.4601666666666663E-2</v>
          </cell>
          <cell r="S78">
            <v>0</v>
          </cell>
          <cell r="T78">
            <v>0</v>
          </cell>
          <cell r="U78">
            <v>0</v>
          </cell>
          <cell r="V78">
            <v>6.8786666666666663E-2</v>
          </cell>
        </row>
        <row r="79">
          <cell r="E79" t="str">
            <v>K0V867030</v>
          </cell>
          <cell r="F79">
            <v>1816.8019999999999</v>
          </cell>
          <cell r="G79">
            <v>33.107799999999997</v>
          </cell>
          <cell r="H79">
            <v>0.23423666666666668</v>
          </cell>
          <cell r="I79">
            <v>0.34717999999999999</v>
          </cell>
          <cell r="J79">
            <v>0.10551166666666667</v>
          </cell>
          <cell r="K79">
            <v>0.59792000000000001</v>
          </cell>
          <cell r="L79">
            <v>1.3618966666666668</v>
          </cell>
          <cell r="M79">
            <v>1.5675000000000001E-2</v>
          </cell>
          <cell r="N79">
            <v>0.12717333333333333</v>
          </cell>
          <cell r="O79">
            <v>9.3143333333333328E-2</v>
          </cell>
          <cell r="P79">
            <v>0.10519333333333333</v>
          </cell>
          <cell r="Q79">
            <v>0.68692833333333336</v>
          </cell>
          <cell r="R79">
            <v>2.3010016666666666</v>
          </cell>
          <cell r="S79">
            <v>2.5163333333333329E-2</v>
          </cell>
          <cell r="T79">
            <v>0</v>
          </cell>
          <cell r="U79">
            <v>0</v>
          </cell>
          <cell r="V79">
            <v>3.0130933333333334</v>
          </cell>
        </row>
        <row r="80">
          <cell r="E80" t="str">
            <v>K1A367030</v>
          </cell>
          <cell r="F80">
            <v>1816.8019999999999</v>
          </cell>
          <cell r="G80">
            <v>33.107799999999997</v>
          </cell>
          <cell r="H80">
            <v>0.23451666666666665</v>
          </cell>
          <cell r="I80">
            <v>0.34717999999999999</v>
          </cell>
          <cell r="J80">
            <v>0.10551166666666667</v>
          </cell>
          <cell r="K80">
            <v>0.59792000000000001</v>
          </cell>
          <cell r="L80">
            <v>1.376115</v>
          </cell>
          <cell r="M80">
            <v>1.5675000000000001E-2</v>
          </cell>
          <cell r="N80">
            <v>0.12789</v>
          </cell>
          <cell r="O80">
            <v>9.3701666666666655E-2</v>
          </cell>
          <cell r="P80">
            <v>0.10558333333333333</v>
          </cell>
          <cell r="Q80">
            <v>0.68720833333333331</v>
          </cell>
          <cell r="R80">
            <v>2.3168849999999996</v>
          </cell>
          <cell r="S80">
            <v>2.5163333333333329E-2</v>
          </cell>
          <cell r="T80">
            <v>0</v>
          </cell>
          <cell r="U80">
            <v>0</v>
          </cell>
          <cell r="V80">
            <v>3.0292566666666665</v>
          </cell>
        </row>
        <row r="81">
          <cell r="E81" t="str">
            <v>K1B167030</v>
          </cell>
          <cell r="F81">
            <v>1942.5703999999998</v>
          </cell>
          <cell r="G81">
            <v>33.107799999999997</v>
          </cell>
          <cell r="H81">
            <v>0.24352166666666666</v>
          </cell>
          <cell r="I81">
            <v>0.36186333333333331</v>
          </cell>
          <cell r="J81">
            <v>0.13475500000000001</v>
          </cell>
          <cell r="K81">
            <v>0.61524500000000004</v>
          </cell>
          <cell r="L81">
            <v>1.4292450000000001</v>
          </cell>
          <cell r="M81">
            <v>1.5675000000000001E-2</v>
          </cell>
          <cell r="N81">
            <v>0.13334833333333332</v>
          </cell>
          <cell r="O81">
            <v>9.8394999999999996E-2</v>
          </cell>
          <cell r="P81">
            <v>0.11286333333333333</v>
          </cell>
          <cell r="Q81">
            <v>0.74014000000000002</v>
          </cell>
          <cell r="R81">
            <v>2.4047716666666665</v>
          </cell>
          <cell r="S81">
            <v>2.5163333333333329E-2</v>
          </cell>
          <cell r="T81">
            <v>0</v>
          </cell>
          <cell r="U81">
            <v>0</v>
          </cell>
          <cell r="V81">
            <v>3.1700749999999998</v>
          </cell>
        </row>
        <row r="82">
          <cell r="E82" t="str">
            <v>K1B367030</v>
          </cell>
          <cell r="F82">
            <v>2003.2007999999998</v>
          </cell>
          <cell r="G82">
            <v>33.107799999999997</v>
          </cell>
          <cell r="H82">
            <v>0.24949333333333332</v>
          </cell>
          <cell r="I82">
            <v>0.39425833333333332</v>
          </cell>
          <cell r="J82">
            <v>0.14122166666666666</v>
          </cell>
          <cell r="K82">
            <v>0.62885333333333338</v>
          </cell>
          <cell r="L82">
            <v>1.4379016666666666</v>
          </cell>
          <cell r="M82">
            <v>1.5675000000000001E-2</v>
          </cell>
          <cell r="N82">
            <v>0.134265</v>
          </cell>
          <cell r="O82">
            <v>9.9213333333333334E-2</v>
          </cell>
          <cell r="P82">
            <v>0.11336833333333333</v>
          </cell>
          <cell r="Q82">
            <v>0.7849733333333333</v>
          </cell>
          <cell r="R82">
            <v>2.4292766666666665</v>
          </cell>
          <cell r="S82">
            <v>2.5163333333333329E-2</v>
          </cell>
          <cell r="T82">
            <v>0</v>
          </cell>
          <cell r="U82">
            <v>0</v>
          </cell>
          <cell r="V82">
            <v>3.2394133333333333</v>
          </cell>
        </row>
        <row r="83">
          <cell r="E83" t="str">
            <v>K1B467030</v>
          </cell>
          <cell r="F83">
            <v>2009.6834999999999</v>
          </cell>
          <cell r="G83">
            <v>33.107799999999997</v>
          </cell>
          <cell r="H83">
            <v>0.2506133333333333</v>
          </cell>
          <cell r="I83">
            <v>0.396675</v>
          </cell>
          <cell r="J83">
            <v>0.14122166666666666</v>
          </cell>
          <cell r="K83">
            <v>0.63141999999999998</v>
          </cell>
          <cell r="L83">
            <v>1.44062</v>
          </cell>
          <cell r="M83">
            <v>1.5675000000000001E-2</v>
          </cell>
          <cell r="N83">
            <v>0.13508333333333333</v>
          </cell>
          <cell r="O83">
            <v>9.9568333333333328E-2</v>
          </cell>
          <cell r="P83">
            <v>0.11356833333333333</v>
          </cell>
          <cell r="Q83">
            <v>0.78850999999999993</v>
          </cell>
          <cell r="R83">
            <v>2.4359349999999997</v>
          </cell>
          <cell r="S83">
            <v>2.5163333333333329E-2</v>
          </cell>
          <cell r="T83">
            <v>0</v>
          </cell>
          <cell r="U83">
            <v>0</v>
          </cell>
          <cell r="V83">
            <v>3.2496083333333332</v>
          </cell>
        </row>
        <row r="84">
          <cell r="E84" t="str">
            <v>K1D567030A</v>
          </cell>
          <cell r="F84">
            <v>1087.1855</v>
          </cell>
          <cell r="G84">
            <v>27.688400000000001</v>
          </cell>
          <cell r="H84">
            <v>0.15064166666666667</v>
          </cell>
          <cell r="I84">
            <v>0.18152166666666666</v>
          </cell>
          <cell r="J84">
            <v>1.8835000000000001E-2</v>
          </cell>
          <cell r="K84">
            <v>0.44329333333333332</v>
          </cell>
          <cell r="L84">
            <v>1.1856216666666666</v>
          </cell>
          <cell r="M84">
            <v>8.3600000000000011E-3</v>
          </cell>
          <cell r="N84">
            <v>9.3496666666666658E-2</v>
          </cell>
          <cell r="O84">
            <v>6.7726666666666671E-2</v>
          </cell>
          <cell r="P84">
            <v>9.8506666666666673E-2</v>
          </cell>
          <cell r="Q84">
            <v>0.35099833333333336</v>
          </cell>
          <cell r="R84">
            <v>1.8970049999999998</v>
          </cell>
          <cell r="S84">
            <v>0</v>
          </cell>
          <cell r="T84">
            <v>0</v>
          </cell>
          <cell r="U84">
            <v>0</v>
          </cell>
          <cell r="V84">
            <v>2.2480033333333331</v>
          </cell>
        </row>
        <row r="85">
          <cell r="E85" t="str">
            <v>K1D767030A</v>
          </cell>
          <cell r="F85">
            <v>1107.0608</v>
          </cell>
          <cell r="G85">
            <v>27.688400000000001</v>
          </cell>
          <cell r="H85">
            <v>0.15432833333333335</v>
          </cell>
          <cell r="I85">
            <v>0.19780333333333333</v>
          </cell>
          <cell r="J85">
            <v>1.8835000000000001E-2</v>
          </cell>
          <cell r="K85">
            <v>0.45429333333333333</v>
          </cell>
          <cell r="L85">
            <v>1.1884033333333333</v>
          </cell>
          <cell r="M85">
            <v>8.3600000000000011E-3</v>
          </cell>
          <cell r="N85">
            <v>9.3736666666666663E-2</v>
          </cell>
          <cell r="O85">
            <v>6.7726666666666671E-2</v>
          </cell>
          <cell r="P85">
            <v>9.8506666666666673E-2</v>
          </cell>
          <cell r="Q85">
            <v>0.37096666666666667</v>
          </cell>
          <cell r="R85">
            <v>1.9110266666666667</v>
          </cell>
          <cell r="S85">
            <v>0</v>
          </cell>
          <cell r="T85">
            <v>0</v>
          </cell>
          <cell r="U85">
            <v>0</v>
          </cell>
          <cell r="V85">
            <v>2.2819933333333333</v>
          </cell>
        </row>
        <row r="86">
          <cell r="E86" t="str">
            <v>K1E267030A</v>
          </cell>
          <cell r="F86">
            <v>1017.5282999999999</v>
          </cell>
          <cell r="G86">
            <v>25.8659</v>
          </cell>
          <cell r="H86">
            <v>0.14129</v>
          </cell>
          <cell r="I86">
            <v>0.17559833333333333</v>
          </cell>
          <cell r="J86">
            <v>1.8835000000000001E-2</v>
          </cell>
          <cell r="K86">
            <v>0.42002999999999996</v>
          </cell>
          <cell r="L86">
            <v>1.0932683333333335</v>
          </cell>
          <cell r="M86">
            <v>8.3600000000000011E-3</v>
          </cell>
          <cell r="N86">
            <v>8.8000000000000009E-2</v>
          </cell>
          <cell r="O86">
            <v>6.4903333333333341E-2</v>
          </cell>
          <cell r="P86">
            <v>9.0826666666666667E-2</v>
          </cell>
          <cell r="Q86">
            <v>0.33572333333333332</v>
          </cell>
          <cell r="R86">
            <v>1.7653883333333333</v>
          </cell>
          <cell r="S86">
            <v>0</v>
          </cell>
          <cell r="T86">
            <v>0</v>
          </cell>
          <cell r="U86">
            <v>0</v>
          </cell>
          <cell r="V86">
            <v>2.1011116666666667</v>
          </cell>
        </row>
        <row r="87">
          <cell r="E87" t="str">
            <v>K1R267030A</v>
          </cell>
          <cell r="F87">
            <v>1024.9305999999999</v>
          </cell>
          <cell r="G87">
            <v>27.688400000000001</v>
          </cell>
          <cell r="H87">
            <v>0.14412333333333333</v>
          </cell>
          <cell r="I87">
            <v>0.17559833333333333</v>
          </cell>
          <cell r="J87">
            <v>1.8835000000000001E-2</v>
          </cell>
          <cell r="K87">
            <v>0.42936000000000002</v>
          </cell>
          <cell r="L87">
            <v>1.1088233333333333</v>
          </cell>
          <cell r="M87">
            <v>8.3600000000000011E-3</v>
          </cell>
          <cell r="N87">
            <v>8.903833333333333E-2</v>
          </cell>
          <cell r="O87">
            <v>6.5526666666666664E-2</v>
          </cell>
          <cell r="P87">
            <v>9.1259999999999994E-2</v>
          </cell>
          <cell r="Q87">
            <v>0.33855666666666667</v>
          </cell>
          <cell r="R87">
            <v>1.7923683333333331</v>
          </cell>
          <cell r="S87">
            <v>0</v>
          </cell>
          <cell r="T87">
            <v>0</v>
          </cell>
          <cell r="U87">
            <v>0</v>
          </cell>
          <cell r="V87">
            <v>2.130925</v>
          </cell>
        </row>
        <row r="88">
          <cell r="E88" t="str">
            <v>K61667240A</v>
          </cell>
          <cell r="F88">
            <v>54.824399999999997</v>
          </cell>
          <cell r="G88">
            <v>0</v>
          </cell>
          <cell r="H88">
            <v>1.1746666666666666E-2</v>
          </cell>
          <cell r="I88">
            <v>0</v>
          </cell>
          <cell r="J88">
            <v>0</v>
          </cell>
          <cell r="K88">
            <v>2.9883333333333331E-2</v>
          </cell>
          <cell r="L88">
            <v>0.15276999999999999</v>
          </cell>
          <cell r="M88">
            <v>2.0900000000000003E-3</v>
          </cell>
          <cell r="N88">
            <v>2.2381666666666668E-2</v>
          </cell>
          <cell r="O88">
            <v>1.3015000000000001E-2</v>
          </cell>
          <cell r="P88">
            <v>4.9816666666666664E-3</v>
          </cell>
          <cell r="Q88">
            <v>1.1746666666666666E-2</v>
          </cell>
          <cell r="R88">
            <v>0.22512166666666666</v>
          </cell>
          <cell r="S88">
            <v>0</v>
          </cell>
          <cell r="T88">
            <v>0</v>
          </cell>
          <cell r="U88">
            <v>0</v>
          </cell>
          <cell r="V88">
            <v>0.23686833333333332</v>
          </cell>
        </row>
        <row r="89">
          <cell r="E89" t="str">
            <v>K61667SJ0D</v>
          </cell>
          <cell r="F89">
            <v>98.915999999999997</v>
          </cell>
          <cell r="G89">
            <v>0</v>
          </cell>
          <cell r="H89">
            <v>2.6025000000000003E-2</v>
          </cell>
          <cell r="I89">
            <v>0.11806</v>
          </cell>
          <cell r="J89">
            <v>2.5866666666666666E-2</v>
          </cell>
          <cell r="K89">
            <v>6.4111666666666664E-2</v>
          </cell>
          <cell r="L89">
            <v>7.4486666666666659E-2</v>
          </cell>
          <cell r="M89">
            <v>0</v>
          </cell>
          <cell r="N89">
            <v>2.0355000000000002E-2</v>
          </cell>
          <cell r="O89">
            <v>7.3750000000000005E-3</v>
          </cell>
          <cell r="P89">
            <v>3.8983333333333331E-3</v>
          </cell>
          <cell r="Q89">
            <v>0.16995166666666667</v>
          </cell>
          <cell r="R89">
            <v>0.17022666666666667</v>
          </cell>
          <cell r="S89">
            <v>0</v>
          </cell>
          <cell r="T89">
            <v>0</v>
          </cell>
          <cell r="U89">
            <v>0</v>
          </cell>
          <cell r="V89">
            <v>0.34017833333333336</v>
          </cell>
        </row>
        <row r="90">
          <cell r="E90" t="str">
            <v>K63K67120A</v>
          </cell>
          <cell r="F90">
            <v>29.682600000000001</v>
          </cell>
          <cell r="G90">
            <v>0</v>
          </cell>
          <cell r="H90">
            <v>1.1253333333333334E-2</v>
          </cell>
          <cell r="I90">
            <v>5.2800000000000008E-3</v>
          </cell>
          <cell r="J90">
            <v>0</v>
          </cell>
          <cell r="K90">
            <v>1.6500000000000001E-2</v>
          </cell>
          <cell r="L90">
            <v>0.26657166666666671</v>
          </cell>
          <cell r="M90">
            <v>1.0450000000000001E-3</v>
          </cell>
          <cell r="N90">
            <v>2.1871666666666668E-2</v>
          </cell>
          <cell r="O90">
            <v>1.3238333333333333E-2</v>
          </cell>
          <cell r="P90">
            <v>6.9033333333333334E-3</v>
          </cell>
          <cell r="Q90">
            <v>1.6533333333333334E-2</v>
          </cell>
          <cell r="R90">
            <v>0.32613000000000009</v>
          </cell>
          <cell r="S90">
            <v>0</v>
          </cell>
          <cell r="T90">
            <v>0</v>
          </cell>
          <cell r="U90">
            <v>0</v>
          </cell>
          <cell r="V90">
            <v>0.34266333333333343</v>
          </cell>
        </row>
        <row r="91">
          <cell r="E91" t="str">
            <v>K63K67240A</v>
          </cell>
          <cell r="F91">
            <v>65.7714</v>
          </cell>
          <cell r="G91">
            <v>0</v>
          </cell>
          <cell r="H91">
            <v>1.3984999999999999E-2</v>
          </cell>
          <cell r="I91">
            <v>0</v>
          </cell>
          <cell r="J91">
            <v>0</v>
          </cell>
          <cell r="K91">
            <v>3.5108333333333332E-2</v>
          </cell>
          <cell r="L91">
            <v>0.16838833333333333</v>
          </cell>
          <cell r="M91">
            <v>2.0900000000000003E-3</v>
          </cell>
          <cell r="N91">
            <v>2.3890000000000002E-2</v>
          </cell>
          <cell r="O91">
            <v>1.3721666666666667E-2</v>
          </cell>
          <cell r="P91">
            <v>5.3699999999999998E-3</v>
          </cell>
          <cell r="Q91">
            <v>1.3984999999999999E-2</v>
          </cell>
          <cell r="R91">
            <v>0.24856833333333334</v>
          </cell>
          <cell r="S91">
            <v>0</v>
          </cell>
          <cell r="T91">
            <v>0</v>
          </cell>
          <cell r="U91">
            <v>0</v>
          </cell>
          <cell r="V91">
            <v>0.26255333333333336</v>
          </cell>
        </row>
        <row r="92">
          <cell r="E92" t="str">
            <v>K63L67240A</v>
          </cell>
          <cell r="F92">
            <v>61.714599999999997</v>
          </cell>
          <cell r="G92">
            <v>0</v>
          </cell>
          <cell r="H92">
            <v>1.2946666666666667E-2</v>
          </cell>
          <cell r="I92">
            <v>0</v>
          </cell>
          <cell r="J92">
            <v>0</v>
          </cell>
          <cell r="K92">
            <v>3.3366666666666663E-2</v>
          </cell>
          <cell r="L92">
            <v>0.15958333333333333</v>
          </cell>
          <cell r="M92">
            <v>2.0900000000000003E-3</v>
          </cell>
          <cell r="N92">
            <v>2.3198333333333331E-2</v>
          </cell>
          <cell r="O92">
            <v>1.3278333333333333E-2</v>
          </cell>
          <cell r="P92">
            <v>5.1599999999999997E-3</v>
          </cell>
          <cell r="Q92">
            <v>1.2946666666666667E-2</v>
          </cell>
          <cell r="R92">
            <v>0.23667666666666665</v>
          </cell>
          <cell r="S92">
            <v>0</v>
          </cell>
          <cell r="T92">
            <v>0</v>
          </cell>
          <cell r="U92">
            <v>0</v>
          </cell>
          <cell r="V92">
            <v>0.24962333333333331</v>
          </cell>
        </row>
        <row r="93">
          <cell r="E93" t="str">
            <v>K63M67240A</v>
          </cell>
          <cell r="F93">
            <v>72.661699999999996</v>
          </cell>
          <cell r="G93">
            <v>0</v>
          </cell>
          <cell r="H93">
            <v>1.5185000000000001E-2</v>
          </cell>
          <cell r="I93">
            <v>0</v>
          </cell>
          <cell r="J93">
            <v>0</v>
          </cell>
          <cell r="K93">
            <v>3.859166666666667E-2</v>
          </cell>
          <cell r="L93">
            <v>0.17520333333333332</v>
          </cell>
          <cell r="M93">
            <v>2.0900000000000003E-3</v>
          </cell>
          <cell r="N93">
            <v>2.4704999999999998E-2</v>
          </cell>
          <cell r="O93">
            <v>1.3981666666666667E-2</v>
          </cell>
          <cell r="P93">
            <v>5.5483333333333331E-3</v>
          </cell>
          <cell r="Q93">
            <v>1.5185000000000001E-2</v>
          </cell>
          <cell r="R93">
            <v>0.26011999999999996</v>
          </cell>
          <cell r="S93">
            <v>0</v>
          </cell>
          <cell r="T93">
            <v>0</v>
          </cell>
          <cell r="U93">
            <v>0</v>
          </cell>
          <cell r="V93">
            <v>0.27530499999999997</v>
          </cell>
        </row>
        <row r="94">
          <cell r="E94" t="str">
            <v>K63N67240A</v>
          </cell>
          <cell r="F94">
            <v>67.418199999999999</v>
          </cell>
          <cell r="G94">
            <v>0</v>
          </cell>
          <cell r="H94">
            <v>1.4366666666666666E-2</v>
          </cell>
          <cell r="I94">
            <v>0</v>
          </cell>
          <cell r="J94">
            <v>0</v>
          </cell>
          <cell r="K94">
            <v>3.7033333333333335E-2</v>
          </cell>
          <cell r="L94">
            <v>0.16342833333333334</v>
          </cell>
          <cell r="M94">
            <v>2.0900000000000003E-3</v>
          </cell>
          <cell r="N94">
            <v>2.4018333333333333E-2</v>
          </cell>
          <cell r="O94">
            <v>1.363E-2</v>
          </cell>
          <cell r="P94">
            <v>5.398333333333334E-3</v>
          </cell>
          <cell r="Q94">
            <v>1.4366666666666666E-2</v>
          </cell>
          <cell r="R94">
            <v>0.24559833333333336</v>
          </cell>
          <cell r="S94">
            <v>0</v>
          </cell>
          <cell r="T94">
            <v>0</v>
          </cell>
          <cell r="U94">
            <v>0</v>
          </cell>
          <cell r="V94">
            <v>0.259965</v>
          </cell>
        </row>
        <row r="95">
          <cell r="E95" t="str">
            <v>K63P67240A</v>
          </cell>
          <cell r="F95">
            <v>78.365300000000005</v>
          </cell>
          <cell r="G95">
            <v>0</v>
          </cell>
          <cell r="H95">
            <v>1.6604999999999998E-2</v>
          </cell>
          <cell r="I95">
            <v>0</v>
          </cell>
          <cell r="J95">
            <v>0</v>
          </cell>
          <cell r="K95">
            <v>4.2258333333333328E-2</v>
          </cell>
          <cell r="L95">
            <v>0.17904666666666669</v>
          </cell>
          <cell r="M95">
            <v>2.0900000000000003E-3</v>
          </cell>
          <cell r="N95">
            <v>2.5525000000000003E-2</v>
          </cell>
          <cell r="O95">
            <v>1.4333333333333333E-2</v>
          </cell>
          <cell r="P95">
            <v>5.7883333333333337E-3</v>
          </cell>
          <cell r="Q95">
            <v>1.6604999999999998E-2</v>
          </cell>
          <cell r="R95">
            <v>0.26904166666666668</v>
          </cell>
          <cell r="S95">
            <v>0</v>
          </cell>
          <cell r="T95">
            <v>0</v>
          </cell>
          <cell r="U95">
            <v>0</v>
          </cell>
          <cell r="V95">
            <v>0.28564666666666666</v>
          </cell>
        </row>
        <row r="96">
          <cell r="E96" t="str">
            <v>K63R67120A</v>
          </cell>
          <cell r="F96">
            <v>47.585700000000003</v>
          </cell>
          <cell r="G96">
            <v>0</v>
          </cell>
          <cell r="H96">
            <v>1.4615E-2</v>
          </cell>
          <cell r="I96">
            <v>1.0534999999999999E-2</v>
          </cell>
          <cell r="J96">
            <v>0</v>
          </cell>
          <cell r="K96">
            <v>2.7445000000000001E-2</v>
          </cell>
          <cell r="L96">
            <v>0.29221666666666668</v>
          </cell>
          <cell r="M96">
            <v>1.0450000000000001E-3</v>
          </cell>
          <cell r="N96">
            <v>2.4126666666666668E-2</v>
          </cell>
          <cell r="O96">
            <v>1.448E-2</v>
          </cell>
          <cell r="P96">
            <v>7.6583333333333338E-3</v>
          </cell>
          <cell r="Q96">
            <v>2.5149999999999999E-2</v>
          </cell>
          <cell r="R96">
            <v>0.3669716666666667</v>
          </cell>
          <cell r="S96">
            <v>0</v>
          </cell>
          <cell r="T96">
            <v>0</v>
          </cell>
          <cell r="U96">
            <v>0</v>
          </cell>
          <cell r="V96">
            <v>0.3921216666666667</v>
          </cell>
        </row>
        <row r="97">
          <cell r="E97" t="str">
            <v>K63S67120A</v>
          </cell>
          <cell r="F97">
            <v>81.146600000000007</v>
          </cell>
          <cell r="G97">
            <v>0</v>
          </cell>
          <cell r="H97">
            <v>2.1145000000000001E-2</v>
          </cell>
          <cell r="I97">
            <v>2.2588333333333332E-2</v>
          </cell>
          <cell r="J97">
            <v>0</v>
          </cell>
          <cell r="K97">
            <v>4.1928333333333331E-2</v>
          </cell>
          <cell r="L97">
            <v>0.34898000000000001</v>
          </cell>
          <cell r="M97">
            <v>1.0450000000000001E-3</v>
          </cell>
          <cell r="N97">
            <v>2.726E-2</v>
          </cell>
          <cell r="O97">
            <v>1.6199999999999999E-2</v>
          </cell>
          <cell r="P97">
            <v>8.8316666666666665E-3</v>
          </cell>
          <cell r="Q97">
            <v>4.3733333333333332E-2</v>
          </cell>
          <cell r="R97">
            <v>0.44424500000000006</v>
          </cell>
          <cell r="S97">
            <v>0</v>
          </cell>
          <cell r="T97">
            <v>0</v>
          </cell>
          <cell r="U97">
            <v>0</v>
          </cell>
          <cell r="V97">
            <v>0.4879783333333334</v>
          </cell>
        </row>
        <row r="98">
          <cell r="E98" t="str">
            <v>K64B67120A</v>
          </cell>
          <cell r="F98">
            <v>52.119399999999999</v>
          </cell>
          <cell r="G98">
            <v>0</v>
          </cell>
          <cell r="H98">
            <v>1.5386666666666667E-2</v>
          </cell>
          <cell r="I98">
            <v>1.0534999999999999E-2</v>
          </cell>
          <cell r="J98">
            <v>0</v>
          </cell>
          <cell r="K98">
            <v>3.0928333333333332E-2</v>
          </cell>
          <cell r="L98">
            <v>0.288935</v>
          </cell>
          <cell r="M98">
            <v>1.0450000000000001E-3</v>
          </cell>
          <cell r="N98">
            <v>2.4838333333333334E-2</v>
          </cell>
          <cell r="O98">
            <v>1.4738333333333332E-2</v>
          </cell>
          <cell r="P98">
            <v>7.6516666666666669E-3</v>
          </cell>
          <cell r="Q98">
            <v>2.5921666666666666E-2</v>
          </cell>
          <cell r="R98">
            <v>0.36813666666666672</v>
          </cell>
          <cell r="S98">
            <v>0</v>
          </cell>
          <cell r="T98">
            <v>0</v>
          </cell>
          <cell r="U98">
            <v>0</v>
          </cell>
          <cell r="V98">
            <v>0.3940583333333334</v>
          </cell>
        </row>
        <row r="99">
          <cell r="E99" t="str">
            <v>K64C67120A</v>
          </cell>
          <cell r="F99">
            <v>85.680300000000003</v>
          </cell>
          <cell r="G99">
            <v>0</v>
          </cell>
          <cell r="H99">
            <v>2.1916666666666664E-2</v>
          </cell>
          <cell r="I99">
            <v>2.2588333333333332E-2</v>
          </cell>
          <cell r="J99">
            <v>0</v>
          </cell>
          <cell r="K99">
            <v>4.5411666666666663E-2</v>
          </cell>
          <cell r="L99">
            <v>0.345225</v>
          </cell>
          <cell r="M99">
            <v>1.0450000000000001E-3</v>
          </cell>
          <cell r="N99">
            <v>2.7969999999999998E-2</v>
          </cell>
          <cell r="O99">
            <v>1.6456666666666668E-2</v>
          </cell>
          <cell r="P99">
            <v>8.8249999999999995E-3</v>
          </cell>
          <cell r="Q99">
            <v>4.4504999999999996E-2</v>
          </cell>
          <cell r="R99">
            <v>0.4449333333333334</v>
          </cell>
          <cell r="S99">
            <v>0</v>
          </cell>
          <cell r="T99">
            <v>0</v>
          </cell>
          <cell r="U99">
            <v>0</v>
          </cell>
          <cell r="V99">
            <v>0.48943833333333342</v>
          </cell>
        </row>
        <row r="100">
          <cell r="E100" t="str">
            <v>K64K67120A</v>
          </cell>
          <cell r="F100">
            <v>59.928699999999999</v>
          </cell>
          <cell r="G100">
            <v>0</v>
          </cell>
          <cell r="H100">
            <v>1.6446666666666668E-2</v>
          </cell>
          <cell r="I100">
            <v>1.0534999999999999E-2</v>
          </cell>
          <cell r="J100">
            <v>0</v>
          </cell>
          <cell r="K100">
            <v>3.2761666666666668E-2</v>
          </cell>
          <cell r="L100">
            <v>0.29822333333333334</v>
          </cell>
          <cell r="M100">
            <v>2.0900000000000003E-3</v>
          </cell>
          <cell r="N100">
            <v>2.7375E-2</v>
          </cell>
          <cell r="O100">
            <v>1.7845E-2</v>
          </cell>
          <cell r="P100">
            <v>7.9183333333333345E-3</v>
          </cell>
          <cell r="Q100">
            <v>2.6981666666666668E-2</v>
          </cell>
          <cell r="R100">
            <v>0.38621333333333335</v>
          </cell>
          <cell r="S100">
            <v>0</v>
          </cell>
          <cell r="T100">
            <v>0</v>
          </cell>
          <cell r="U100">
            <v>0</v>
          </cell>
          <cell r="V100">
            <v>0.41319500000000003</v>
          </cell>
        </row>
        <row r="101">
          <cell r="E101" t="str">
            <v>K64S67030B</v>
          </cell>
          <cell r="F101">
            <v>1204.7034000000001</v>
          </cell>
          <cell r="G101">
            <v>0</v>
          </cell>
          <cell r="H101">
            <v>0.19718333333333332</v>
          </cell>
          <cell r="I101">
            <v>0.32570833333333332</v>
          </cell>
          <cell r="J101">
            <v>9.5468333333333336E-2</v>
          </cell>
          <cell r="K101">
            <v>0.48070666666666667</v>
          </cell>
          <cell r="L101">
            <v>1.1118433333333333</v>
          </cell>
          <cell r="M101">
            <v>9.4050000000000002E-3</v>
          </cell>
          <cell r="N101">
            <v>0.10555166666666667</v>
          </cell>
          <cell r="O101">
            <v>6.1403333333333338E-2</v>
          </cell>
          <cell r="P101">
            <v>7.6395000000000005E-2</v>
          </cell>
          <cell r="Q101">
            <v>0.61836000000000002</v>
          </cell>
          <cell r="R101">
            <v>1.845305</v>
          </cell>
          <cell r="S101">
            <v>0</v>
          </cell>
          <cell r="T101">
            <v>0</v>
          </cell>
          <cell r="U101">
            <v>0</v>
          </cell>
          <cell r="V101">
            <v>2.4636649999999998</v>
          </cell>
        </row>
        <row r="102">
          <cell r="E102" t="str">
            <v>K64W67120A</v>
          </cell>
          <cell r="F102">
            <v>98.023399999999995</v>
          </cell>
          <cell r="G102">
            <v>0</v>
          </cell>
          <cell r="H102">
            <v>2.444E-2</v>
          </cell>
          <cell r="I102">
            <v>2.2588333333333332E-2</v>
          </cell>
          <cell r="J102">
            <v>0</v>
          </cell>
          <cell r="K102">
            <v>5.0728333333333334E-2</v>
          </cell>
          <cell r="L102">
            <v>0.37373999999999996</v>
          </cell>
          <cell r="M102">
            <v>2.0900000000000003E-3</v>
          </cell>
          <cell r="N102">
            <v>3.1940000000000003E-2</v>
          </cell>
          <cell r="O102">
            <v>2.0413333333333335E-2</v>
          </cell>
          <cell r="P102">
            <v>9.58E-3</v>
          </cell>
          <cell r="Q102">
            <v>4.7028333333333332E-2</v>
          </cell>
          <cell r="R102">
            <v>0.4884916666666666</v>
          </cell>
          <cell r="S102">
            <v>0</v>
          </cell>
          <cell r="T102">
            <v>0</v>
          </cell>
          <cell r="U102">
            <v>0</v>
          </cell>
          <cell r="V102">
            <v>0.53551999999999988</v>
          </cell>
        </row>
        <row r="103">
          <cell r="E103" t="str">
            <v>K65D67030A</v>
          </cell>
          <cell r="F103">
            <v>1260.9752000000001</v>
          </cell>
          <cell r="G103">
            <v>0</v>
          </cell>
          <cell r="H103">
            <v>0.20473833333333333</v>
          </cell>
          <cell r="I103">
            <v>0.34689166666666671</v>
          </cell>
          <cell r="J103">
            <v>0.10168333333333333</v>
          </cell>
          <cell r="K103">
            <v>0.49995666666666666</v>
          </cell>
          <cell r="L103">
            <v>1.1308333333333331</v>
          </cell>
          <cell r="M103">
            <v>9.4050000000000002E-3</v>
          </cell>
          <cell r="N103">
            <v>0.10685666666666667</v>
          </cell>
          <cell r="O103">
            <v>6.1919999999999996E-2</v>
          </cell>
          <cell r="P103">
            <v>7.8716666666666671E-2</v>
          </cell>
          <cell r="Q103">
            <v>0.65331333333333341</v>
          </cell>
          <cell r="R103">
            <v>1.8876883333333332</v>
          </cell>
          <cell r="S103">
            <v>0</v>
          </cell>
          <cell r="T103">
            <v>0</v>
          </cell>
          <cell r="U103">
            <v>0</v>
          </cell>
          <cell r="V103">
            <v>2.5410016666666664</v>
          </cell>
        </row>
        <row r="104">
          <cell r="E104" t="str">
            <v>K65F67030A</v>
          </cell>
          <cell r="F104">
            <v>1315.3468000000003</v>
          </cell>
          <cell r="G104">
            <v>0</v>
          </cell>
          <cell r="H104">
            <v>0.20988166666666666</v>
          </cell>
          <cell r="I104">
            <v>0.37914500000000001</v>
          </cell>
          <cell r="J104">
            <v>0.10815</v>
          </cell>
          <cell r="K104">
            <v>0.50894000000000006</v>
          </cell>
          <cell r="L104">
            <v>1.1450416666666667</v>
          </cell>
          <cell r="M104">
            <v>9.4050000000000002E-3</v>
          </cell>
          <cell r="N104">
            <v>0.10767499999999999</v>
          </cell>
          <cell r="O104">
            <v>6.2298333333333331E-2</v>
          </cell>
          <cell r="P104">
            <v>7.8933333333333328E-2</v>
          </cell>
          <cell r="Q104">
            <v>0.69717666666666667</v>
          </cell>
          <cell r="R104">
            <v>1.9122933333333334</v>
          </cell>
          <cell r="S104">
            <v>0</v>
          </cell>
          <cell r="T104">
            <v>0</v>
          </cell>
          <cell r="U104">
            <v>0</v>
          </cell>
          <cell r="V104">
            <v>2.60947</v>
          </cell>
        </row>
        <row r="105">
          <cell r="E105" t="str">
            <v>K65H67030A</v>
          </cell>
          <cell r="F105">
            <v>1220.0541000000001</v>
          </cell>
          <cell r="G105">
            <v>0</v>
          </cell>
          <cell r="H105">
            <v>0.20074666666666668</v>
          </cell>
          <cell r="I105">
            <v>0.34098499999999998</v>
          </cell>
          <cell r="J105">
            <v>9.5468333333333336E-2</v>
          </cell>
          <cell r="K105">
            <v>0.49170666666666668</v>
          </cell>
          <cell r="L105">
            <v>1.1142116666666666</v>
          </cell>
          <cell r="M105">
            <v>9.4050000000000002E-3</v>
          </cell>
          <cell r="N105">
            <v>0.10579166666666667</v>
          </cell>
          <cell r="O105">
            <v>6.1403333333333338E-2</v>
          </cell>
          <cell r="P105">
            <v>7.6395000000000005E-2</v>
          </cell>
          <cell r="Q105">
            <v>0.6372000000000001</v>
          </cell>
          <cell r="R105">
            <v>1.8589133333333334</v>
          </cell>
          <cell r="S105">
            <v>0</v>
          </cell>
          <cell r="T105">
            <v>0</v>
          </cell>
          <cell r="U105">
            <v>0</v>
          </cell>
          <cell r="V105">
            <v>2.4961133333333336</v>
          </cell>
        </row>
        <row r="106">
          <cell r="E106" t="str">
            <v>K65S67120A</v>
          </cell>
          <cell r="F106">
            <v>214.00980000000001</v>
          </cell>
          <cell r="G106">
            <v>0</v>
          </cell>
          <cell r="H106">
            <v>3.8954999999999997E-2</v>
          </cell>
          <cell r="I106">
            <v>2.2588333333333332E-2</v>
          </cell>
          <cell r="J106">
            <v>0</v>
          </cell>
          <cell r="K106">
            <v>8.9724999999999999E-2</v>
          </cell>
          <cell r="L106">
            <v>0.47255333333333333</v>
          </cell>
          <cell r="M106">
            <v>2.0900000000000003E-3</v>
          </cell>
          <cell r="N106">
            <v>3.7865000000000003E-2</v>
          </cell>
          <cell r="O106">
            <v>2.0431666666666667E-2</v>
          </cell>
          <cell r="P106">
            <v>1.6338333333333333E-2</v>
          </cell>
          <cell r="Q106">
            <v>6.1543333333333325E-2</v>
          </cell>
          <cell r="R106">
            <v>0.63900333333333337</v>
          </cell>
          <cell r="S106">
            <v>0</v>
          </cell>
          <cell r="T106">
            <v>0</v>
          </cell>
          <cell r="U106">
            <v>0</v>
          </cell>
          <cell r="V106">
            <v>0.70054666666666665</v>
          </cell>
        </row>
        <row r="107">
          <cell r="E107" t="str">
            <v>K65V67120A</v>
          </cell>
          <cell r="F107">
            <v>214.00980000000001</v>
          </cell>
          <cell r="G107">
            <v>0</v>
          </cell>
          <cell r="H107">
            <v>3.964666666666667E-2</v>
          </cell>
          <cell r="I107">
            <v>2.2588333333333332E-2</v>
          </cell>
          <cell r="J107">
            <v>0</v>
          </cell>
          <cell r="K107">
            <v>8.9724999999999999E-2</v>
          </cell>
          <cell r="L107">
            <v>0.495535</v>
          </cell>
          <cell r="M107">
            <v>2.0900000000000003E-3</v>
          </cell>
          <cell r="N107">
            <v>3.8586666666666665E-2</v>
          </cell>
          <cell r="O107">
            <v>2.1023333333333335E-2</v>
          </cell>
          <cell r="P107">
            <v>1.6833333333333332E-2</v>
          </cell>
          <cell r="Q107">
            <v>6.2234999999999999E-2</v>
          </cell>
          <cell r="R107">
            <v>0.66379333333333335</v>
          </cell>
          <cell r="S107">
            <v>0</v>
          </cell>
          <cell r="T107">
            <v>0</v>
          </cell>
          <cell r="U107">
            <v>0</v>
          </cell>
          <cell r="V107">
            <v>0.72602833333333339</v>
          </cell>
        </row>
        <row r="108">
          <cell r="E108" t="str">
            <v>K66M67120A</v>
          </cell>
          <cell r="F108">
            <v>190.4376</v>
          </cell>
          <cell r="G108">
            <v>0</v>
          </cell>
          <cell r="H108">
            <v>3.4380000000000001E-2</v>
          </cell>
          <cell r="I108">
            <v>1.0534999999999999E-2</v>
          </cell>
          <cell r="J108">
            <v>0</v>
          </cell>
          <cell r="K108">
            <v>7.8724999999999989E-2</v>
          </cell>
          <cell r="L108">
            <v>0.43885666666666662</v>
          </cell>
          <cell r="M108">
            <v>2.0900000000000003E-3</v>
          </cell>
          <cell r="N108">
            <v>3.6768333333333333E-2</v>
          </cell>
          <cell r="O108">
            <v>2.2143333333333334E-2</v>
          </cell>
          <cell r="P108">
            <v>1.5748333333333333E-2</v>
          </cell>
          <cell r="Q108">
            <v>4.4914999999999997E-2</v>
          </cell>
          <cell r="R108">
            <v>0.59433166666666659</v>
          </cell>
          <cell r="S108">
            <v>0</v>
          </cell>
          <cell r="T108">
            <v>0</v>
          </cell>
          <cell r="U108">
            <v>0</v>
          </cell>
          <cell r="V108">
            <v>0.63924666666666663</v>
          </cell>
        </row>
        <row r="109">
          <cell r="E109" t="str">
            <v>K66N67120A</v>
          </cell>
          <cell r="F109">
            <v>224.0016</v>
          </cell>
          <cell r="G109">
            <v>0</v>
          </cell>
          <cell r="H109">
            <v>4.0910000000000002E-2</v>
          </cell>
          <cell r="I109">
            <v>2.2588333333333332E-2</v>
          </cell>
          <cell r="J109">
            <v>0</v>
          </cell>
          <cell r="K109">
            <v>9.3208333333333337E-2</v>
          </cell>
          <cell r="L109">
            <v>0.495145</v>
          </cell>
          <cell r="M109">
            <v>2.0900000000000003E-3</v>
          </cell>
          <cell r="N109">
            <v>3.9901666666666662E-2</v>
          </cell>
          <cell r="O109">
            <v>2.3863333333333334E-2</v>
          </cell>
          <cell r="P109">
            <v>1.6921666666666668E-2</v>
          </cell>
          <cell r="Q109">
            <v>6.3498333333333337E-2</v>
          </cell>
          <cell r="R109">
            <v>0.67113</v>
          </cell>
          <cell r="S109">
            <v>0</v>
          </cell>
          <cell r="T109">
            <v>0</v>
          </cell>
          <cell r="U109">
            <v>0</v>
          </cell>
          <cell r="V109">
            <v>0.73462833333333333</v>
          </cell>
        </row>
        <row r="110">
          <cell r="E110" t="str">
            <v>K66R67120A</v>
          </cell>
          <cell r="F110">
            <v>224.0016</v>
          </cell>
          <cell r="G110">
            <v>0</v>
          </cell>
          <cell r="H110">
            <v>4.1603333333333332E-2</v>
          </cell>
          <cell r="I110">
            <v>2.2588333333333332E-2</v>
          </cell>
          <cell r="J110">
            <v>0</v>
          </cell>
          <cell r="K110">
            <v>9.3208333333333337E-2</v>
          </cell>
          <cell r="L110">
            <v>0.51812666666666662</v>
          </cell>
          <cell r="M110">
            <v>2.0900000000000003E-3</v>
          </cell>
          <cell r="N110">
            <v>4.0625000000000001E-2</v>
          </cell>
          <cell r="O110">
            <v>2.4455000000000001E-2</v>
          </cell>
          <cell r="P110">
            <v>1.7416666666666667E-2</v>
          </cell>
          <cell r="Q110">
            <v>6.4191666666666661E-2</v>
          </cell>
          <cell r="R110">
            <v>0.69592166666666666</v>
          </cell>
          <cell r="S110">
            <v>0</v>
          </cell>
          <cell r="T110">
            <v>0</v>
          </cell>
          <cell r="U110">
            <v>0</v>
          </cell>
          <cell r="V110">
            <v>0.76011333333333331</v>
          </cell>
        </row>
        <row r="111">
          <cell r="E111" t="str">
            <v>KCLL67030D</v>
          </cell>
          <cell r="F111">
            <v>1222.1309000000001</v>
          </cell>
          <cell r="G111">
            <v>0</v>
          </cell>
          <cell r="H111">
            <v>0.19441833333333333</v>
          </cell>
          <cell r="I111">
            <v>0.31677833333333333</v>
          </cell>
          <cell r="J111">
            <v>9.6530000000000005E-2</v>
          </cell>
          <cell r="K111">
            <v>0.47635166666666667</v>
          </cell>
          <cell r="L111">
            <v>1.0322416666666667</v>
          </cell>
          <cell r="M111">
            <v>9.4050000000000002E-3</v>
          </cell>
          <cell r="N111">
            <v>0.10077666666666667</v>
          </cell>
          <cell r="O111">
            <v>5.3995000000000001E-2</v>
          </cell>
          <cell r="P111">
            <v>7.2770000000000001E-2</v>
          </cell>
          <cell r="Q111">
            <v>0.60772666666666664</v>
          </cell>
          <cell r="R111">
            <v>1.7455400000000003</v>
          </cell>
          <cell r="S111">
            <v>0</v>
          </cell>
          <cell r="T111">
            <v>0</v>
          </cell>
          <cell r="U111">
            <v>0</v>
          </cell>
          <cell r="V111">
            <v>2.3532666666666668</v>
          </cell>
        </row>
        <row r="112">
          <cell r="E112" t="str">
            <v>KCLL67120A</v>
          </cell>
          <cell r="F112">
            <v>57.306699999999999</v>
          </cell>
          <cell r="G112">
            <v>0</v>
          </cell>
          <cell r="H112">
            <v>1.6691666666666667E-2</v>
          </cell>
          <cell r="I112">
            <v>1.788E-2</v>
          </cell>
          <cell r="J112">
            <v>0</v>
          </cell>
          <cell r="K112">
            <v>3.2761666666666668E-2</v>
          </cell>
          <cell r="L112">
            <v>0.30521333333333334</v>
          </cell>
          <cell r="M112">
            <v>1.0450000000000001E-3</v>
          </cell>
          <cell r="N112">
            <v>2.4931666666666668E-2</v>
          </cell>
          <cell r="O112">
            <v>1.4443333333333334E-2</v>
          </cell>
          <cell r="P112">
            <v>7.6299999999999996E-3</v>
          </cell>
          <cell r="Q112">
            <v>3.4571666666666667E-2</v>
          </cell>
          <cell r="R112">
            <v>0.38602500000000006</v>
          </cell>
          <cell r="S112">
            <v>0</v>
          </cell>
          <cell r="T112">
            <v>0</v>
          </cell>
          <cell r="U112">
            <v>0</v>
          </cell>
          <cell r="V112">
            <v>0.42059666666666673</v>
          </cell>
        </row>
        <row r="113">
          <cell r="E113" t="str">
            <v>KCLL67240B</v>
          </cell>
          <cell r="F113">
            <v>73.865099999999998</v>
          </cell>
          <cell r="G113">
            <v>0</v>
          </cell>
          <cell r="H113">
            <v>1.7303333333333334E-2</v>
          </cell>
          <cell r="I113">
            <v>0</v>
          </cell>
          <cell r="J113">
            <v>0</v>
          </cell>
          <cell r="K113">
            <v>4.4274999999999995E-2</v>
          </cell>
          <cell r="L113">
            <v>0.17913666666666667</v>
          </cell>
          <cell r="M113">
            <v>2.0900000000000003E-3</v>
          </cell>
          <cell r="N113">
            <v>2.5601666666666668E-2</v>
          </cell>
          <cell r="O113">
            <v>1.4245000000000001E-2</v>
          </cell>
          <cell r="P113">
            <v>5.7266666666666672E-3</v>
          </cell>
          <cell r="Q113">
            <v>1.7303333333333334E-2</v>
          </cell>
          <cell r="R113">
            <v>0.27107500000000001</v>
          </cell>
          <cell r="S113">
            <v>0</v>
          </cell>
          <cell r="T113">
            <v>0</v>
          </cell>
          <cell r="U113">
            <v>0</v>
          </cell>
          <cell r="V113">
            <v>0.28837833333333335</v>
          </cell>
        </row>
        <row r="114">
          <cell r="E114" t="str">
            <v>KCLL67SJ0A</v>
          </cell>
          <cell r="F114">
            <v>86.278199999999998</v>
          </cell>
          <cell r="G114">
            <v>0</v>
          </cell>
          <cell r="H114">
            <v>2.5619999999999997E-2</v>
          </cell>
          <cell r="I114">
            <v>0.12197666666666666</v>
          </cell>
          <cell r="J114">
            <v>2.5866666666666666E-2</v>
          </cell>
          <cell r="K114">
            <v>6.4111666666666664E-2</v>
          </cell>
          <cell r="L114">
            <v>6.3646666666666671E-2</v>
          </cell>
          <cell r="M114">
            <v>0</v>
          </cell>
          <cell r="N114">
            <v>1.9564999999999999E-2</v>
          </cell>
          <cell r="O114">
            <v>6.4316666666666671E-3</v>
          </cell>
          <cell r="P114">
            <v>3.0733333333333333E-3</v>
          </cell>
          <cell r="Q114">
            <v>0.17346333333333333</v>
          </cell>
          <cell r="R114">
            <v>0.15682833333333335</v>
          </cell>
          <cell r="S114">
            <v>0</v>
          </cell>
          <cell r="T114">
            <v>0</v>
          </cell>
          <cell r="U114">
            <v>0</v>
          </cell>
          <cell r="V114">
            <v>0.33029166666666665</v>
          </cell>
        </row>
        <row r="115">
          <cell r="E115" t="str">
            <v>KCLM67030D</v>
          </cell>
          <cell r="F115">
            <v>1261.0479</v>
          </cell>
          <cell r="G115">
            <v>0</v>
          </cell>
          <cell r="H115">
            <v>0.19714166666666666</v>
          </cell>
          <cell r="I115">
            <v>0.32258999999999999</v>
          </cell>
          <cell r="J115">
            <v>9.6530000000000005E-2</v>
          </cell>
          <cell r="K115">
            <v>0.48551833333333333</v>
          </cell>
          <cell r="L115">
            <v>1.0206983333333333</v>
          </cell>
          <cell r="M115">
            <v>9.4050000000000002E-3</v>
          </cell>
          <cell r="N115">
            <v>0.10102999999999999</v>
          </cell>
          <cell r="O115">
            <v>5.3591666666666669E-2</v>
          </cell>
          <cell r="P115">
            <v>7.2448333333333323E-2</v>
          </cell>
          <cell r="Q115">
            <v>0.61626166666666671</v>
          </cell>
          <cell r="R115">
            <v>1.7426916666666665</v>
          </cell>
          <cell r="S115">
            <v>0</v>
          </cell>
          <cell r="T115">
            <v>0</v>
          </cell>
          <cell r="U115">
            <v>0</v>
          </cell>
          <cell r="V115">
            <v>2.358953333333333</v>
          </cell>
        </row>
        <row r="116">
          <cell r="E116" t="str">
            <v>KCLM67120A</v>
          </cell>
          <cell r="F116">
            <v>48.678600000000003</v>
          </cell>
          <cell r="G116">
            <v>0</v>
          </cell>
          <cell r="H116">
            <v>1.357E-2</v>
          </cell>
          <cell r="I116">
            <v>1.1195E-2</v>
          </cell>
          <cell r="J116">
            <v>0</v>
          </cell>
          <cell r="K116">
            <v>2.7445000000000001E-2</v>
          </cell>
          <cell r="L116">
            <v>0.25542333333333334</v>
          </cell>
          <cell r="M116">
            <v>1.0450000000000001E-3</v>
          </cell>
          <cell r="N116">
            <v>2.2786666666666667E-2</v>
          </cell>
          <cell r="O116">
            <v>1.3300000000000001E-2</v>
          </cell>
          <cell r="P116">
            <v>6.8516666666666674E-3</v>
          </cell>
          <cell r="Q116">
            <v>2.4765000000000002E-2</v>
          </cell>
          <cell r="R116">
            <v>0.32685166666666665</v>
          </cell>
          <cell r="S116">
            <v>0</v>
          </cell>
          <cell r="T116">
            <v>0</v>
          </cell>
          <cell r="U116">
            <v>0</v>
          </cell>
          <cell r="V116">
            <v>0.35161666666666663</v>
          </cell>
        </row>
        <row r="117">
          <cell r="E117" t="str">
            <v>KCLM67240A</v>
          </cell>
          <cell r="F117">
            <v>74.8185</v>
          </cell>
          <cell r="G117">
            <v>0</v>
          </cell>
          <cell r="H117">
            <v>1.7276666666666666E-2</v>
          </cell>
          <cell r="I117">
            <v>0</v>
          </cell>
          <cell r="J117">
            <v>0</v>
          </cell>
          <cell r="K117">
            <v>4.4274999999999995E-2</v>
          </cell>
          <cell r="L117">
            <v>0.18382666666666667</v>
          </cell>
          <cell r="M117">
            <v>2.0900000000000003E-3</v>
          </cell>
          <cell r="N117">
            <v>2.5608333333333334E-2</v>
          </cell>
          <cell r="O117">
            <v>1.4413333333333334E-2</v>
          </cell>
          <cell r="P117">
            <v>5.8433333333333341E-3</v>
          </cell>
          <cell r="Q117">
            <v>1.7276666666666666E-2</v>
          </cell>
          <cell r="R117">
            <v>0.27605666666666662</v>
          </cell>
          <cell r="S117">
            <v>0</v>
          </cell>
          <cell r="T117">
            <v>0</v>
          </cell>
          <cell r="U117">
            <v>0</v>
          </cell>
          <cell r="V117">
            <v>0.29333333333333328</v>
          </cell>
        </row>
        <row r="118">
          <cell r="E118" t="str">
            <v>KCLM67SJ0A</v>
          </cell>
          <cell r="F118">
            <v>86.278199999999998</v>
          </cell>
          <cell r="G118">
            <v>0</v>
          </cell>
          <cell r="H118">
            <v>2.5619999999999997E-2</v>
          </cell>
          <cell r="I118">
            <v>0.12197666666666666</v>
          </cell>
          <cell r="J118">
            <v>2.5866666666666666E-2</v>
          </cell>
          <cell r="K118">
            <v>6.4111666666666664E-2</v>
          </cell>
          <cell r="L118">
            <v>6.7496666666666677E-2</v>
          </cell>
          <cell r="M118">
            <v>0</v>
          </cell>
          <cell r="N118">
            <v>2.0343333333333331E-2</v>
          </cell>
          <cell r="O118">
            <v>7.0800000000000004E-3</v>
          </cell>
          <cell r="P118">
            <v>3.6966666666666667E-3</v>
          </cell>
          <cell r="Q118">
            <v>0.17346333333333333</v>
          </cell>
          <cell r="R118">
            <v>0.16272833333333331</v>
          </cell>
          <cell r="S118">
            <v>0</v>
          </cell>
          <cell r="T118">
            <v>0</v>
          </cell>
          <cell r="U118">
            <v>0</v>
          </cell>
          <cell r="V118">
            <v>0.33619166666666667</v>
          </cell>
        </row>
        <row r="119">
          <cell r="E119" t="str">
            <v>KCLN67240A</v>
          </cell>
          <cell r="F119">
            <v>64.7607</v>
          </cell>
          <cell r="G119">
            <v>0</v>
          </cell>
          <cell r="H119">
            <v>1.423E-2</v>
          </cell>
          <cell r="I119">
            <v>0</v>
          </cell>
          <cell r="J119">
            <v>0</v>
          </cell>
          <cell r="K119">
            <v>3.5108333333333332E-2</v>
          </cell>
          <cell r="L119">
            <v>0.17061500000000002</v>
          </cell>
          <cell r="M119">
            <v>2.0900000000000003E-3</v>
          </cell>
          <cell r="N119">
            <v>2.3885E-2</v>
          </cell>
          <cell r="O119">
            <v>1.3608333333333333E-2</v>
          </cell>
          <cell r="P119">
            <v>5.2933333333333331E-3</v>
          </cell>
          <cell r="Q119">
            <v>1.423E-2</v>
          </cell>
          <cell r="R119">
            <v>0.25059999999999999</v>
          </cell>
          <cell r="S119">
            <v>0</v>
          </cell>
          <cell r="T119">
            <v>0</v>
          </cell>
          <cell r="U119">
            <v>0</v>
          </cell>
          <cell r="V119">
            <v>0.26483000000000001</v>
          </cell>
        </row>
        <row r="120">
          <cell r="E120" t="str">
            <v>KCLP67120A</v>
          </cell>
          <cell r="F120">
            <v>35.017299999999999</v>
          </cell>
          <cell r="G120">
            <v>0</v>
          </cell>
          <cell r="H120">
            <v>1.1644999999999999E-2</v>
          </cell>
          <cell r="I120">
            <v>5.933333333333333E-3</v>
          </cell>
          <cell r="J120">
            <v>0</v>
          </cell>
          <cell r="K120">
            <v>2.1761666666666669E-2</v>
          </cell>
          <cell r="L120">
            <v>0.25337833333333332</v>
          </cell>
          <cell r="M120">
            <v>1.0450000000000001E-3</v>
          </cell>
          <cell r="N120">
            <v>2.2619999999999998E-2</v>
          </cell>
          <cell r="O120">
            <v>1.3123333333333332E-2</v>
          </cell>
          <cell r="P120">
            <v>6.7299999999999999E-3</v>
          </cell>
          <cell r="Q120">
            <v>1.7578333333333331E-2</v>
          </cell>
          <cell r="R120">
            <v>0.31865833333333332</v>
          </cell>
          <cell r="S120">
            <v>0</v>
          </cell>
          <cell r="T120">
            <v>0</v>
          </cell>
          <cell r="U120">
            <v>0</v>
          </cell>
          <cell r="V120">
            <v>0.33623666666666663</v>
          </cell>
        </row>
        <row r="121">
          <cell r="E121" t="str">
            <v>KCLP67240A</v>
          </cell>
          <cell r="F121">
            <v>67.299700000000001</v>
          </cell>
          <cell r="G121">
            <v>0</v>
          </cell>
          <cell r="H121">
            <v>1.4628333333333333E-2</v>
          </cell>
          <cell r="I121">
            <v>0</v>
          </cell>
          <cell r="J121">
            <v>0</v>
          </cell>
          <cell r="K121">
            <v>3.7033333333333335E-2</v>
          </cell>
          <cell r="L121">
            <v>0.17109833333333332</v>
          </cell>
          <cell r="M121">
            <v>2.0900000000000003E-3</v>
          </cell>
          <cell r="N121">
            <v>2.402E-2</v>
          </cell>
          <cell r="O121">
            <v>1.3678333333333332E-2</v>
          </cell>
          <cell r="P121">
            <v>5.4316666666666671E-3</v>
          </cell>
          <cell r="Q121">
            <v>1.4628333333333333E-2</v>
          </cell>
          <cell r="R121">
            <v>0.25335166666666664</v>
          </cell>
          <cell r="S121">
            <v>0</v>
          </cell>
          <cell r="T121">
            <v>0</v>
          </cell>
          <cell r="U121">
            <v>0</v>
          </cell>
          <cell r="V121">
            <v>0.26798</v>
          </cell>
        </row>
        <row r="122">
          <cell r="E122" t="str">
            <v>KCLR67240A</v>
          </cell>
          <cell r="F122">
            <v>78.242199999999997</v>
          </cell>
          <cell r="G122">
            <v>0</v>
          </cell>
          <cell r="H122">
            <v>1.687E-2</v>
          </cell>
          <cell r="I122">
            <v>0</v>
          </cell>
          <cell r="J122">
            <v>0</v>
          </cell>
          <cell r="K122">
            <v>4.2258333333333328E-2</v>
          </cell>
          <cell r="L122">
            <v>0.18671499999999999</v>
          </cell>
          <cell r="M122">
            <v>2.0900000000000003E-3</v>
          </cell>
          <cell r="N122">
            <v>2.5528333333333333E-2</v>
          </cell>
          <cell r="O122">
            <v>1.4383333333333333E-2</v>
          </cell>
          <cell r="P122">
            <v>5.8216666666666668E-3</v>
          </cell>
          <cell r="Q122">
            <v>1.687E-2</v>
          </cell>
          <cell r="R122">
            <v>0.27679666666666669</v>
          </cell>
          <cell r="S122">
            <v>0</v>
          </cell>
          <cell r="T122">
            <v>0</v>
          </cell>
          <cell r="U122">
            <v>0</v>
          </cell>
          <cell r="V122">
            <v>0.29366666666666669</v>
          </cell>
        </row>
        <row r="123">
          <cell r="E123" t="str">
            <v>KCLS67120A</v>
          </cell>
          <cell r="F123">
            <v>53.064500000000002</v>
          </cell>
          <cell r="G123">
            <v>0</v>
          </cell>
          <cell r="H123">
            <v>1.5015000000000001E-2</v>
          </cell>
          <cell r="I123">
            <v>1.1195E-2</v>
          </cell>
          <cell r="J123">
            <v>0</v>
          </cell>
          <cell r="K123">
            <v>3.0928333333333332E-2</v>
          </cell>
          <cell r="L123">
            <v>0.27405833333333335</v>
          </cell>
          <cell r="M123">
            <v>1.0450000000000001E-3</v>
          </cell>
          <cell r="N123">
            <v>2.4218333333333335E-2</v>
          </cell>
          <cell r="O123">
            <v>1.4084999999999999E-2</v>
          </cell>
          <cell r="P123">
            <v>7.2966666666666674E-3</v>
          </cell>
          <cell r="Q123">
            <v>2.6210000000000001E-2</v>
          </cell>
          <cell r="R123">
            <v>0.35163166666666673</v>
          </cell>
          <cell r="S123">
            <v>0</v>
          </cell>
          <cell r="T123">
            <v>0</v>
          </cell>
          <cell r="U123">
            <v>0</v>
          </cell>
          <cell r="V123">
            <v>0.37784166666666674</v>
          </cell>
        </row>
        <row r="124">
          <cell r="E124" t="str">
            <v>KCLS67240A</v>
          </cell>
          <cell r="F124">
            <v>71.474999999999994</v>
          </cell>
          <cell r="G124">
            <v>0</v>
          </cell>
          <cell r="H124">
            <v>1.5405E-2</v>
          </cell>
          <cell r="I124">
            <v>0</v>
          </cell>
          <cell r="J124">
            <v>0</v>
          </cell>
          <cell r="K124">
            <v>3.8774999999999997E-2</v>
          </cell>
          <cell r="L124">
            <v>0.17223333333333332</v>
          </cell>
          <cell r="M124">
            <v>2.0900000000000003E-3</v>
          </cell>
          <cell r="N124">
            <v>2.4709999999999999E-2</v>
          </cell>
          <cell r="O124">
            <v>1.4071666666666668E-2</v>
          </cell>
          <cell r="P124">
            <v>5.6100000000000004E-3</v>
          </cell>
          <cell r="Q124">
            <v>1.5405E-2</v>
          </cell>
          <cell r="R124">
            <v>0.25749</v>
          </cell>
          <cell r="S124">
            <v>0</v>
          </cell>
          <cell r="T124">
            <v>0</v>
          </cell>
          <cell r="U124">
            <v>0</v>
          </cell>
          <cell r="V124">
            <v>0.272895</v>
          </cell>
        </row>
        <row r="125">
          <cell r="E125" t="str">
            <v>KCLT67030D</v>
          </cell>
          <cell r="F125">
            <v>1316.0183000000002</v>
          </cell>
          <cell r="G125">
            <v>0</v>
          </cell>
          <cell r="H125">
            <v>0.20311166666666666</v>
          </cell>
          <cell r="I125">
            <v>0.35474833333333333</v>
          </cell>
          <cell r="J125">
            <v>0.10299666666666667</v>
          </cell>
          <cell r="K125">
            <v>0.49450166666666667</v>
          </cell>
          <cell r="L125">
            <v>1.0623466666666668</v>
          </cell>
          <cell r="M125">
            <v>9.4050000000000002E-3</v>
          </cell>
          <cell r="N125">
            <v>0.10257833333333334</v>
          </cell>
          <cell r="O125">
            <v>5.4856666666666665E-2</v>
          </cell>
          <cell r="P125">
            <v>7.5286666666666668E-2</v>
          </cell>
          <cell r="Q125">
            <v>0.66085666666666665</v>
          </cell>
          <cell r="R125">
            <v>1.7989750000000002</v>
          </cell>
          <cell r="S125">
            <v>0</v>
          </cell>
          <cell r="T125">
            <v>0</v>
          </cell>
          <cell r="U125">
            <v>0</v>
          </cell>
          <cell r="V125">
            <v>2.4598316666666671</v>
          </cell>
        </row>
        <row r="126">
          <cell r="E126" t="str">
            <v>KCLT67120A</v>
          </cell>
          <cell r="F126">
            <v>79.736900000000006</v>
          </cell>
          <cell r="G126">
            <v>0</v>
          </cell>
          <cell r="H126">
            <v>2.1503333333333333E-2</v>
          </cell>
          <cell r="I126">
            <v>2.3141666666666668E-2</v>
          </cell>
          <cell r="J126">
            <v>0</v>
          </cell>
          <cell r="K126">
            <v>4.5411666666666663E-2</v>
          </cell>
          <cell r="L126">
            <v>0.3445266666666667</v>
          </cell>
          <cell r="M126">
            <v>1.0450000000000001E-3</v>
          </cell>
          <cell r="N126">
            <v>2.7959999999999999E-2</v>
          </cell>
          <cell r="O126">
            <v>1.619E-2</v>
          </cell>
          <cell r="P126">
            <v>8.6400000000000001E-3</v>
          </cell>
          <cell r="Q126">
            <v>4.4645000000000004E-2</v>
          </cell>
          <cell r="R126">
            <v>0.44377333333333335</v>
          </cell>
          <cell r="S126">
            <v>0</v>
          </cell>
          <cell r="T126">
            <v>0</v>
          </cell>
          <cell r="U126">
            <v>0</v>
          </cell>
          <cell r="V126">
            <v>0.48841833333333334</v>
          </cell>
        </row>
        <row r="127">
          <cell r="E127" t="str">
            <v>KCLT67240A</v>
          </cell>
          <cell r="F127">
            <v>70.464299999999994</v>
          </cell>
          <cell r="G127">
            <v>0</v>
          </cell>
          <cell r="H127">
            <v>1.5650000000000001E-2</v>
          </cell>
          <cell r="I127">
            <v>0</v>
          </cell>
          <cell r="J127">
            <v>0</v>
          </cell>
          <cell r="K127">
            <v>3.8774999999999997E-2</v>
          </cell>
          <cell r="L127">
            <v>0.17445833333333333</v>
          </cell>
          <cell r="M127">
            <v>2.0900000000000003E-3</v>
          </cell>
          <cell r="N127">
            <v>2.4704999999999998E-2</v>
          </cell>
          <cell r="O127">
            <v>1.3958333333333333E-2</v>
          </cell>
          <cell r="P127">
            <v>5.5316666666666665E-3</v>
          </cell>
          <cell r="Q127">
            <v>1.5650000000000001E-2</v>
          </cell>
          <cell r="R127">
            <v>0.25951833333333335</v>
          </cell>
          <cell r="S127">
            <v>0</v>
          </cell>
          <cell r="T127">
            <v>0</v>
          </cell>
          <cell r="U127">
            <v>0</v>
          </cell>
          <cell r="V127">
            <v>0.27516833333333335</v>
          </cell>
        </row>
        <row r="128">
          <cell r="E128" t="str">
            <v>KCLV67240</v>
          </cell>
          <cell r="F128">
            <v>62.922600000000003</v>
          </cell>
          <cell r="G128">
            <v>0</v>
          </cell>
          <cell r="H128">
            <v>1.5061666666666666E-2</v>
          </cell>
          <cell r="I128">
            <v>0</v>
          </cell>
          <cell r="J128">
            <v>0</v>
          </cell>
          <cell r="K128">
            <v>3.9050000000000001E-2</v>
          </cell>
          <cell r="L128">
            <v>0.16837833333333335</v>
          </cell>
          <cell r="M128">
            <v>2.0900000000000003E-3</v>
          </cell>
          <cell r="N128">
            <v>2.4094999999999998E-2</v>
          </cell>
          <cell r="O128">
            <v>1.3541666666666667E-2</v>
          </cell>
          <cell r="P128">
            <v>5.338333333333333E-3</v>
          </cell>
          <cell r="Q128">
            <v>1.5061666666666666E-2</v>
          </cell>
          <cell r="R128">
            <v>0.25249333333333335</v>
          </cell>
          <cell r="S128">
            <v>0</v>
          </cell>
          <cell r="T128">
            <v>0</v>
          </cell>
          <cell r="U128">
            <v>0</v>
          </cell>
          <cell r="V128">
            <v>0.26755499999999999</v>
          </cell>
        </row>
        <row r="129">
          <cell r="E129" t="str">
            <v>KCLW67030D</v>
          </cell>
          <cell r="F129">
            <v>1243.3213000000001</v>
          </cell>
          <cell r="G129">
            <v>0</v>
          </cell>
          <cell r="H129">
            <v>0.19814000000000001</v>
          </cell>
          <cell r="I129">
            <v>0.33335166666666666</v>
          </cell>
          <cell r="J129">
            <v>9.6530000000000005E-2</v>
          </cell>
          <cell r="K129">
            <v>0.48735166666666668</v>
          </cell>
          <cell r="L129">
            <v>1.035145</v>
          </cell>
          <cell r="M129">
            <v>9.4050000000000002E-3</v>
          </cell>
          <cell r="N129">
            <v>0.10101666666666667</v>
          </cell>
          <cell r="O129">
            <v>5.3995000000000001E-2</v>
          </cell>
          <cell r="P129">
            <v>7.2770000000000001E-2</v>
          </cell>
          <cell r="Q129">
            <v>0.6280216666666667</v>
          </cell>
          <cell r="R129">
            <v>1.7596833333333335</v>
          </cell>
          <cell r="S129">
            <v>0</v>
          </cell>
          <cell r="T129">
            <v>0</v>
          </cell>
          <cell r="U129">
            <v>0</v>
          </cell>
          <cell r="V129">
            <v>2.3877050000000004</v>
          </cell>
        </row>
        <row r="130">
          <cell r="E130" t="str">
            <v>KCMA67030D</v>
          </cell>
          <cell r="F130">
            <v>1282.2383</v>
          </cell>
          <cell r="G130">
            <v>0</v>
          </cell>
          <cell r="H130">
            <v>0.20086333333333334</v>
          </cell>
          <cell r="I130">
            <v>0.33916333333333332</v>
          </cell>
          <cell r="J130">
            <v>9.6530000000000005E-2</v>
          </cell>
          <cell r="K130">
            <v>0.49651833333333334</v>
          </cell>
          <cell r="L130">
            <v>1.0236016666666667</v>
          </cell>
          <cell r="M130">
            <v>9.4050000000000002E-3</v>
          </cell>
          <cell r="N130">
            <v>0.10127</v>
          </cell>
          <cell r="O130">
            <v>5.3591666666666669E-2</v>
          </cell>
          <cell r="P130">
            <v>7.2448333333333323E-2</v>
          </cell>
          <cell r="Q130">
            <v>0.63655666666666666</v>
          </cell>
          <cell r="R130">
            <v>1.7568350000000001</v>
          </cell>
          <cell r="S130">
            <v>0</v>
          </cell>
          <cell r="T130">
            <v>0</v>
          </cell>
          <cell r="U130">
            <v>0</v>
          </cell>
          <cell r="V130">
            <v>2.393391666666667</v>
          </cell>
        </row>
        <row r="131">
          <cell r="E131" t="str">
            <v>KCMC67240</v>
          </cell>
          <cell r="F131">
            <v>59.526200000000003</v>
          </cell>
          <cell r="G131">
            <v>0</v>
          </cell>
          <cell r="H131">
            <v>1.3408333333333333E-2</v>
          </cell>
          <cell r="I131">
            <v>0</v>
          </cell>
          <cell r="J131">
            <v>0</v>
          </cell>
          <cell r="K131">
            <v>3.3549999999999996E-2</v>
          </cell>
          <cell r="L131">
            <v>0.16369999999999998</v>
          </cell>
          <cell r="M131">
            <v>2.0900000000000003E-3</v>
          </cell>
          <cell r="N131">
            <v>2.3196666666666664E-2</v>
          </cell>
          <cell r="O131">
            <v>1.3253333333333334E-2</v>
          </cell>
          <cell r="P131">
            <v>5.1433333333333331E-3</v>
          </cell>
          <cell r="Q131">
            <v>1.3408333333333333E-2</v>
          </cell>
          <cell r="R131">
            <v>0.24093333333333333</v>
          </cell>
          <cell r="S131">
            <v>0</v>
          </cell>
          <cell r="T131">
            <v>0</v>
          </cell>
          <cell r="U131">
            <v>0</v>
          </cell>
          <cell r="V131">
            <v>0.25434166666666669</v>
          </cell>
        </row>
        <row r="132">
          <cell r="E132" t="str">
            <v>KCME67030D</v>
          </cell>
          <cell r="F132">
            <v>1337.2087000000001</v>
          </cell>
          <cell r="G132">
            <v>0</v>
          </cell>
          <cell r="H132">
            <v>0.20613333333333334</v>
          </cell>
          <cell r="I132">
            <v>0.37132166666666666</v>
          </cell>
          <cell r="J132">
            <v>0.10299666666666667</v>
          </cell>
          <cell r="K132">
            <v>0.50550166666666674</v>
          </cell>
          <cell r="L132">
            <v>1.0356283333333334</v>
          </cell>
          <cell r="M132">
            <v>9.4050000000000002E-3</v>
          </cell>
          <cell r="N132">
            <v>0.10209166666666666</v>
          </cell>
          <cell r="O132">
            <v>5.4054999999999999E-2</v>
          </cell>
          <cell r="P132">
            <v>7.2719999999999993E-2</v>
          </cell>
          <cell r="Q132">
            <v>0.68045166666666668</v>
          </cell>
          <cell r="R132">
            <v>1.7794016666666668</v>
          </cell>
          <cell r="S132">
            <v>0</v>
          </cell>
          <cell r="T132">
            <v>0</v>
          </cell>
          <cell r="U132">
            <v>0</v>
          </cell>
          <cell r="V132">
            <v>2.4598533333333332</v>
          </cell>
        </row>
        <row r="133">
          <cell r="E133" t="str">
            <v>KCME67120A</v>
          </cell>
          <cell r="F133">
            <v>65.010999999999996</v>
          </cell>
          <cell r="G133">
            <v>0</v>
          </cell>
          <cell r="H133">
            <v>1.7444999999999999E-2</v>
          </cell>
          <cell r="I133">
            <v>1.1195E-2</v>
          </cell>
          <cell r="J133">
            <v>0</v>
          </cell>
          <cell r="K133">
            <v>3.6244999999999999E-2</v>
          </cell>
          <cell r="L133">
            <v>0.30047666666666667</v>
          </cell>
          <cell r="M133">
            <v>2.0900000000000003E-3</v>
          </cell>
          <cell r="N133">
            <v>2.8188333333333333E-2</v>
          </cell>
          <cell r="O133">
            <v>1.8065000000000001E-2</v>
          </cell>
          <cell r="P133">
            <v>8.0683333333333336E-3</v>
          </cell>
          <cell r="Q133">
            <v>2.8639999999999999E-2</v>
          </cell>
          <cell r="R133">
            <v>0.39313333333333333</v>
          </cell>
          <cell r="S133">
            <v>0</v>
          </cell>
          <cell r="T133">
            <v>0</v>
          </cell>
          <cell r="U133">
            <v>0</v>
          </cell>
          <cell r="V133">
            <v>0.42177333333333333</v>
          </cell>
        </row>
        <row r="134">
          <cell r="E134" t="str">
            <v>KCMF67030D</v>
          </cell>
          <cell r="F134">
            <v>1337.2087000000001</v>
          </cell>
          <cell r="G134">
            <v>0</v>
          </cell>
          <cell r="H134">
            <v>0.20683333333333334</v>
          </cell>
          <cell r="I134">
            <v>0.37132166666666666</v>
          </cell>
          <cell r="J134">
            <v>0.10299666666666667</v>
          </cell>
          <cell r="K134">
            <v>0.50550166666666674</v>
          </cell>
          <cell r="L134">
            <v>1.06525</v>
          </cell>
          <cell r="M134">
            <v>9.4050000000000002E-3</v>
          </cell>
          <cell r="N134">
            <v>0.10281833333333333</v>
          </cell>
          <cell r="O134">
            <v>5.4856666666666665E-2</v>
          </cell>
          <cell r="P134">
            <v>7.5286666666666668E-2</v>
          </cell>
          <cell r="Q134">
            <v>0.6811516666666666</v>
          </cell>
          <cell r="R134">
            <v>1.8131183333333334</v>
          </cell>
          <cell r="S134">
            <v>0</v>
          </cell>
          <cell r="T134">
            <v>0</v>
          </cell>
          <cell r="U134">
            <v>0</v>
          </cell>
          <cell r="V134">
            <v>2.4942700000000002</v>
          </cell>
        </row>
        <row r="135">
          <cell r="E135" t="str">
            <v>KCMF67120A</v>
          </cell>
          <cell r="F135">
            <v>91.683300000000003</v>
          </cell>
          <cell r="G135">
            <v>0</v>
          </cell>
          <cell r="H135">
            <v>2.3938333333333332E-2</v>
          </cell>
          <cell r="I135">
            <v>2.3141666666666668E-2</v>
          </cell>
          <cell r="J135">
            <v>0</v>
          </cell>
          <cell r="K135">
            <v>5.0728333333333334E-2</v>
          </cell>
          <cell r="L135">
            <v>0.37094666666666665</v>
          </cell>
          <cell r="M135">
            <v>2.0900000000000003E-3</v>
          </cell>
          <cell r="N135">
            <v>3.193E-2</v>
          </cell>
          <cell r="O135">
            <v>2.017E-2</v>
          </cell>
          <cell r="P135">
            <v>9.4133333333333326E-3</v>
          </cell>
          <cell r="Q135">
            <v>4.7079999999999997E-2</v>
          </cell>
          <cell r="R135">
            <v>0.48527833333333331</v>
          </cell>
          <cell r="S135">
            <v>0</v>
          </cell>
          <cell r="T135">
            <v>0</v>
          </cell>
          <cell r="U135">
            <v>0</v>
          </cell>
          <cell r="V135">
            <v>0.53235833333333327</v>
          </cell>
        </row>
        <row r="136">
          <cell r="E136" t="str">
            <v>KCMF67240</v>
          </cell>
          <cell r="F136">
            <v>71.474999999999994</v>
          </cell>
          <cell r="G136">
            <v>0</v>
          </cell>
          <cell r="H136">
            <v>1.5405E-2</v>
          </cell>
          <cell r="I136">
            <v>0</v>
          </cell>
          <cell r="J136">
            <v>0</v>
          </cell>
          <cell r="K136">
            <v>3.8774999999999997E-2</v>
          </cell>
          <cell r="L136">
            <v>0.17709166666666668</v>
          </cell>
          <cell r="M136">
            <v>2.0900000000000003E-3</v>
          </cell>
          <cell r="N136">
            <v>2.4709999999999999E-2</v>
          </cell>
          <cell r="O136">
            <v>1.4071666666666668E-2</v>
          </cell>
          <cell r="P136">
            <v>5.6100000000000004E-3</v>
          </cell>
          <cell r="Q136">
            <v>1.5405E-2</v>
          </cell>
          <cell r="R136">
            <v>0.26234833333333335</v>
          </cell>
          <cell r="S136">
            <v>0</v>
          </cell>
          <cell r="T136">
            <v>0</v>
          </cell>
          <cell r="U136">
            <v>0</v>
          </cell>
          <cell r="V136">
            <v>0.27775333333333335</v>
          </cell>
        </row>
        <row r="137">
          <cell r="E137" t="str">
            <v>KCMG67030C</v>
          </cell>
          <cell r="F137">
            <v>1136.4231</v>
          </cell>
          <cell r="G137">
            <v>0</v>
          </cell>
          <cell r="H137">
            <v>0.18074666666666667</v>
          </cell>
          <cell r="I137">
            <v>0.24591499999999999</v>
          </cell>
          <cell r="J137">
            <v>7.2929999999999995E-2</v>
          </cell>
          <cell r="K137">
            <v>0.45439833333333335</v>
          </cell>
          <cell r="L137">
            <v>1.00095</v>
          </cell>
          <cell r="M137">
            <v>9.4050000000000002E-3</v>
          </cell>
          <cell r="N137">
            <v>9.9341666666666661E-2</v>
          </cell>
          <cell r="O137">
            <v>5.1984999999999996E-2</v>
          </cell>
          <cell r="P137">
            <v>6.5259999999999999E-2</v>
          </cell>
          <cell r="Q137">
            <v>0.49959166666666666</v>
          </cell>
          <cell r="R137">
            <v>1.6813400000000001</v>
          </cell>
          <cell r="S137">
            <v>0</v>
          </cell>
          <cell r="T137">
            <v>0</v>
          </cell>
          <cell r="U137">
            <v>0</v>
          </cell>
          <cell r="V137">
            <v>2.1809316666666669</v>
          </cell>
        </row>
        <row r="138">
          <cell r="E138" t="str">
            <v>KCMJ67030C</v>
          </cell>
          <cell r="F138">
            <v>1190.7946999999999</v>
          </cell>
          <cell r="G138">
            <v>0</v>
          </cell>
          <cell r="H138">
            <v>0.18612333333333334</v>
          </cell>
          <cell r="I138">
            <v>0.27816833333333335</v>
          </cell>
          <cell r="J138">
            <v>7.9396666666666657E-2</v>
          </cell>
          <cell r="K138">
            <v>0.46338166666666669</v>
          </cell>
          <cell r="L138">
            <v>1.0277350000000001</v>
          </cell>
          <cell r="M138">
            <v>9.4050000000000002E-3</v>
          </cell>
          <cell r="N138">
            <v>0.10077</v>
          </cell>
          <cell r="O138">
            <v>5.2814999999999994E-2</v>
          </cell>
          <cell r="P138">
            <v>6.5686666666666657E-2</v>
          </cell>
          <cell r="Q138">
            <v>0.54368833333333333</v>
          </cell>
          <cell r="R138">
            <v>1.7197933333333335</v>
          </cell>
          <cell r="S138">
            <v>0</v>
          </cell>
          <cell r="T138">
            <v>0</v>
          </cell>
          <cell r="U138">
            <v>0</v>
          </cell>
          <cell r="V138">
            <v>2.2634816666666668</v>
          </cell>
        </row>
        <row r="139">
          <cell r="E139" t="str">
            <v>KCMJ67120A</v>
          </cell>
          <cell r="F139">
            <v>48.678600000000003</v>
          </cell>
          <cell r="G139">
            <v>0</v>
          </cell>
          <cell r="H139">
            <v>1.357E-2</v>
          </cell>
          <cell r="I139">
            <v>1.1195E-2</v>
          </cell>
          <cell r="J139">
            <v>0</v>
          </cell>
          <cell r="K139">
            <v>2.7445000000000001E-2</v>
          </cell>
          <cell r="L139">
            <v>0.25137833333333337</v>
          </cell>
          <cell r="M139">
            <v>1.0450000000000001E-3</v>
          </cell>
          <cell r="N139">
            <v>2.2786666666666667E-2</v>
          </cell>
          <cell r="O139">
            <v>1.3300000000000001E-2</v>
          </cell>
          <cell r="P139">
            <v>6.8516666666666674E-3</v>
          </cell>
          <cell r="Q139">
            <v>2.4765000000000002E-2</v>
          </cell>
          <cell r="R139">
            <v>0.32280666666666669</v>
          </cell>
          <cell r="S139">
            <v>0</v>
          </cell>
          <cell r="T139">
            <v>0</v>
          </cell>
          <cell r="U139">
            <v>0</v>
          </cell>
          <cell r="V139">
            <v>0.34757166666666667</v>
          </cell>
        </row>
        <row r="140">
          <cell r="E140" t="str">
            <v>KCML67030C</v>
          </cell>
          <cell r="F140">
            <v>1151.7738999999999</v>
          </cell>
          <cell r="G140">
            <v>0</v>
          </cell>
          <cell r="H140">
            <v>0.18431166666666668</v>
          </cell>
          <cell r="I140">
            <v>0.26119166666666666</v>
          </cell>
          <cell r="J140">
            <v>7.2929999999999995E-2</v>
          </cell>
          <cell r="K140">
            <v>0.4653983333333333</v>
          </cell>
          <cell r="L140">
            <v>1.0033166666666666</v>
          </cell>
          <cell r="M140">
            <v>9.4050000000000002E-3</v>
          </cell>
          <cell r="N140">
            <v>9.9581666666666666E-2</v>
          </cell>
          <cell r="O140">
            <v>5.1984999999999996E-2</v>
          </cell>
          <cell r="P140">
            <v>6.5259999999999999E-2</v>
          </cell>
          <cell r="Q140">
            <v>0.5184333333333333</v>
          </cell>
          <cell r="R140">
            <v>1.6949466666666668</v>
          </cell>
          <cell r="S140">
            <v>0</v>
          </cell>
          <cell r="T140">
            <v>0</v>
          </cell>
          <cell r="U140">
            <v>0</v>
          </cell>
          <cell r="V140">
            <v>2.2133799999999999</v>
          </cell>
        </row>
        <row r="141">
          <cell r="E141" t="str">
            <v>KCML67120A</v>
          </cell>
          <cell r="F141">
            <v>35.017299999999999</v>
          </cell>
          <cell r="G141">
            <v>0</v>
          </cell>
          <cell r="H141">
            <v>1.1644999999999999E-2</v>
          </cell>
          <cell r="I141">
            <v>5.933333333333333E-3</v>
          </cell>
          <cell r="J141">
            <v>0</v>
          </cell>
          <cell r="K141">
            <v>2.1761666666666669E-2</v>
          </cell>
          <cell r="L141">
            <v>0.24933333333333335</v>
          </cell>
          <cell r="M141">
            <v>1.0450000000000001E-3</v>
          </cell>
          <cell r="N141">
            <v>2.2619999999999998E-2</v>
          </cell>
          <cell r="O141">
            <v>1.3123333333333332E-2</v>
          </cell>
          <cell r="P141">
            <v>6.7299999999999999E-3</v>
          </cell>
          <cell r="Q141">
            <v>1.7578333333333331E-2</v>
          </cell>
          <cell r="R141">
            <v>0.31461333333333336</v>
          </cell>
          <cell r="S141">
            <v>0</v>
          </cell>
          <cell r="T141">
            <v>0</v>
          </cell>
          <cell r="U141">
            <v>0</v>
          </cell>
          <cell r="V141">
            <v>0.33219166666666666</v>
          </cell>
        </row>
        <row r="142">
          <cell r="E142" t="str">
            <v>KCMN67030C</v>
          </cell>
          <cell r="F142">
            <v>1206.1455000000001</v>
          </cell>
          <cell r="G142">
            <v>0</v>
          </cell>
          <cell r="H142">
            <v>0.18968666666666667</v>
          </cell>
          <cell r="I142">
            <v>0.29344500000000001</v>
          </cell>
          <cell r="J142">
            <v>7.9396666666666657E-2</v>
          </cell>
          <cell r="K142">
            <v>0.4743816666666667</v>
          </cell>
          <cell r="L142">
            <v>1.0301016666666667</v>
          </cell>
          <cell r="M142">
            <v>9.4050000000000002E-3</v>
          </cell>
          <cell r="N142">
            <v>0.10101</v>
          </cell>
          <cell r="O142">
            <v>5.2814999999999994E-2</v>
          </cell>
          <cell r="P142">
            <v>6.5686666666666657E-2</v>
          </cell>
          <cell r="Q142">
            <v>0.5625283333333333</v>
          </cell>
          <cell r="R142">
            <v>1.7334000000000003</v>
          </cell>
          <cell r="S142">
            <v>0</v>
          </cell>
          <cell r="T142">
            <v>0</v>
          </cell>
          <cell r="U142">
            <v>0</v>
          </cell>
          <cell r="V142">
            <v>2.2959283333333333</v>
          </cell>
        </row>
        <row r="143">
          <cell r="E143" t="str">
            <v>KCMP67030C</v>
          </cell>
          <cell r="F143">
            <v>1249.6673000000001</v>
          </cell>
          <cell r="G143">
            <v>0</v>
          </cell>
          <cell r="H143">
            <v>0.20067833333333332</v>
          </cell>
          <cell r="I143">
            <v>0.33161666666666662</v>
          </cell>
          <cell r="J143">
            <v>9.7753333333333331E-2</v>
          </cell>
          <cell r="K143">
            <v>0.49289833333333333</v>
          </cell>
          <cell r="L143">
            <v>1.0607633333333333</v>
          </cell>
          <cell r="M143">
            <v>9.4050000000000002E-3</v>
          </cell>
          <cell r="N143">
            <v>0.10274</v>
          </cell>
          <cell r="O143">
            <v>5.417333333333333E-2</v>
          </cell>
          <cell r="P143">
            <v>7.2764999999999996E-2</v>
          </cell>
          <cell r="Q143">
            <v>0.63004833333333332</v>
          </cell>
          <cell r="R143">
            <v>1.7927450000000003</v>
          </cell>
          <cell r="S143">
            <v>0</v>
          </cell>
          <cell r="T143">
            <v>0</v>
          </cell>
          <cell r="U143">
            <v>0</v>
          </cell>
          <cell r="V143">
            <v>2.4227933333333338</v>
          </cell>
        </row>
        <row r="144">
          <cell r="E144" t="str">
            <v>KCMR67030C</v>
          </cell>
          <cell r="F144">
            <v>1260.8722000000002</v>
          </cell>
          <cell r="G144">
            <v>0</v>
          </cell>
          <cell r="H144">
            <v>0.20246666666666666</v>
          </cell>
          <cell r="I144">
            <v>0.35796166666666662</v>
          </cell>
          <cell r="J144">
            <v>0.10421999999999999</v>
          </cell>
          <cell r="K144">
            <v>0.49271499999999996</v>
          </cell>
          <cell r="L144">
            <v>1.0716516666666667</v>
          </cell>
          <cell r="M144">
            <v>9.4050000000000002E-3</v>
          </cell>
          <cell r="N144">
            <v>0.103185</v>
          </cell>
          <cell r="O144">
            <v>5.4491666666666667E-2</v>
          </cell>
          <cell r="P144">
            <v>7.0871666666666666E-2</v>
          </cell>
          <cell r="Q144">
            <v>0.66464833333333329</v>
          </cell>
          <cell r="R144">
            <v>1.8023200000000001</v>
          </cell>
          <cell r="S144">
            <v>0</v>
          </cell>
          <cell r="T144">
            <v>0</v>
          </cell>
          <cell r="U144">
            <v>0</v>
          </cell>
          <cell r="V144">
            <v>2.4669683333333334</v>
          </cell>
        </row>
        <row r="145">
          <cell r="E145" t="str">
            <v>KCMV67030C</v>
          </cell>
          <cell r="F145">
            <v>1265.0181000000002</v>
          </cell>
          <cell r="G145">
            <v>0</v>
          </cell>
          <cell r="H145">
            <v>0.20424166666666668</v>
          </cell>
          <cell r="I145">
            <v>0.34689166666666671</v>
          </cell>
          <cell r="J145">
            <v>9.7753333333333331E-2</v>
          </cell>
          <cell r="K145">
            <v>0.50389833333333334</v>
          </cell>
          <cell r="L145">
            <v>1.0631299999999999</v>
          </cell>
          <cell r="M145">
            <v>9.4050000000000002E-3</v>
          </cell>
          <cell r="N145">
            <v>0.10298</v>
          </cell>
          <cell r="O145">
            <v>5.417333333333333E-2</v>
          </cell>
          <cell r="P145">
            <v>7.2764999999999996E-2</v>
          </cell>
          <cell r="Q145">
            <v>0.64888666666666672</v>
          </cell>
          <cell r="R145">
            <v>1.8063516666666668</v>
          </cell>
          <cell r="S145">
            <v>0</v>
          </cell>
          <cell r="T145">
            <v>0</v>
          </cell>
          <cell r="U145">
            <v>0</v>
          </cell>
          <cell r="V145">
            <v>2.4552383333333334</v>
          </cell>
        </row>
        <row r="146">
          <cell r="E146" t="str">
            <v>KCNA67030C</v>
          </cell>
          <cell r="F146">
            <v>1319.3897000000002</v>
          </cell>
          <cell r="G146">
            <v>0</v>
          </cell>
          <cell r="H146">
            <v>0.20961666666666667</v>
          </cell>
          <cell r="I146">
            <v>0.37914500000000001</v>
          </cell>
          <cell r="J146">
            <v>0.10421999999999999</v>
          </cell>
          <cell r="K146">
            <v>0.51288166666666668</v>
          </cell>
          <cell r="L146">
            <v>1.09074</v>
          </cell>
          <cell r="M146">
            <v>9.4050000000000002E-3</v>
          </cell>
          <cell r="N146">
            <v>0.10440999999999999</v>
          </cell>
          <cell r="O146">
            <v>5.5008333333333333E-2</v>
          </cell>
          <cell r="P146">
            <v>7.3193333333333346E-2</v>
          </cell>
          <cell r="Q146">
            <v>0.69298166666666661</v>
          </cell>
          <cell r="R146">
            <v>1.8456383333333335</v>
          </cell>
          <cell r="S146">
            <v>0</v>
          </cell>
          <cell r="T146">
            <v>0</v>
          </cell>
          <cell r="U146">
            <v>0</v>
          </cell>
          <cell r="V146">
            <v>2.5386199999999999</v>
          </cell>
        </row>
        <row r="147">
          <cell r="E147" t="str">
            <v>KCNB67030B</v>
          </cell>
          <cell r="F147">
            <v>1153.5244</v>
          </cell>
          <cell r="G147">
            <v>0</v>
          </cell>
          <cell r="H147">
            <v>0.17558166666666666</v>
          </cell>
          <cell r="I147">
            <v>0.22769166666666668</v>
          </cell>
          <cell r="J147">
            <v>7.5503333333333325E-2</v>
          </cell>
          <cell r="K147">
            <v>0.43785166666666669</v>
          </cell>
          <cell r="L147">
            <v>0.99000666666666659</v>
          </cell>
          <cell r="M147">
            <v>9.4050000000000002E-3</v>
          </cell>
          <cell r="N147">
            <v>9.8121666666666663E-2</v>
          </cell>
          <cell r="O147">
            <v>5.2335E-2</v>
          </cell>
          <cell r="P147">
            <v>6.7596666666666666E-2</v>
          </cell>
          <cell r="Q147">
            <v>0.47877666666666668</v>
          </cell>
          <cell r="R147">
            <v>1.6553166666666668</v>
          </cell>
          <cell r="S147">
            <v>0</v>
          </cell>
          <cell r="T147">
            <v>0</v>
          </cell>
          <cell r="U147">
            <v>0</v>
          </cell>
          <cell r="V147">
            <v>2.1340933333333334</v>
          </cell>
        </row>
        <row r="148">
          <cell r="E148" t="str">
            <v>KCNB67120A</v>
          </cell>
          <cell r="F148">
            <v>65.010999999999996</v>
          </cell>
          <cell r="G148">
            <v>0</v>
          </cell>
          <cell r="H148">
            <v>1.7444999999999999E-2</v>
          </cell>
          <cell r="I148">
            <v>1.1195E-2</v>
          </cell>
          <cell r="J148">
            <v>0</v>
          </cell>
          <cell r="K148">
            <v>3.6244999999999999E-2</v>
          </cell>
          <cell r="L148">
            <v>0.2964316666666667</v>
          </cell>
          <cell r="M148">
            <v>2.0900000000000003E-3</v>
          </cell>
          <cell r="N148">
            <v>2.8188333333333333E-2</v>
          </cell>
          <cell r="O148">
            <v>1.8065000000000001E-2</v>
          </cell>
          <cell r="P148">
            <v>8.0683333333333336E-3</v>
          </cell>
          <cell r="Q148">
            <v>2.8639999999999999E-2</v>
          </cell>
          <cell r="R148">
            <v>0.38908833333333337</v>
          </cell>
          <cell r="S148">
            <v>0</v>
          </cell>
          <cell r="T148">
            <v>0</v>
          </cell>
          <cell r="U148">
            <v>0</v>
          </cell>
          <cell r="V148">
            <v>0.41772833333333337</v>
          </cell>
        </row>
        <row r="149">
          <cell r="E149" t="str">
            <v>KCNC67120A</v>
          </cell>
          <cell r="F149">
            <v>91.683300000000003</v>
          </cell>
          <cell r="G149">
            <v>0</v>
          </cell>
          <cell r="H149">
            <v>2.3938333333333332E-2</v>
          </cell>
          <cell r="I149">
            <v>2.3141666666666668E-2</v>
          </cell>
          <cell r="J149">
            <v>0</v>
          </cell>
          <cell r="K149">
            <v>5.0728333333333334E-2</v>
          </cell>
          <cell r="L149">
            <v>0.36690166666666663</v>
          </cell>
          <cell r="M149">
            <v>2.0900000000000003E-3</v>
          </cell>
          <cell r="N149">
            <v>3.193E-2</v>
          </cell>
          <cell r="O149">
            <v>2.017E-2</v>
          </cell>
          <cell r="P149">
            <v>9.4133333333333326E-3</v>
          </cell>
          <cell r="Q149">
            <v>4.7079999999999997E-2</v>
          </cell>
          <cell r="R149">
            <v>0.48123333333333329</v>
          </cell>
          <cell r="S149">
            <v>0</v>
          </cell>
          <cell r="T149">
            <v>0</v>
          </cell>
          <cell r="U149">
            <v>0</v>
          </cell>
          <cell r="V149">
            <v>0.5283133333333333</v>
          </cell>
        </row>
        <row r="150">
          <cell r="E150" t="str">
            <v>KCND67030B</v>
          </cell>
          <cell r="F150">
            <v>1208.4947999999997</v>
          </cell>
          <cell r="G150">
            <v>0</v>
          </cell>
          <cell r="H150">
            <v>0.18085500000000002</v>
          </cell>
          <cell r="I150">
            <v>0.25984999999999997</v>
          </cell>
          <cell r="J150">
            <v>8.1970000000000001E-2</v>
          </cell>
          <cell r="K150">
            <v>0.44683499999999998</v>
          </cell>
          <cell r="L150">
            <v>1.0020316666666667</v>
          </cell>
          <cell r="M150">
            <v>9.4050000000000002E-3</v>
          </cell>
          <cell r="N150">
            <v>9.8943333333333341E-2</v>
          </cell>
          <cell r="O150">
            <v>5.2798333333333329E-2</v>
          </cell>
          <cell r="P150">
            <v>6.787E-2</v>
          </cell>
          <cell r="Q150">
            <v>0.522675</v>
          </cell>
          <cell r="R150">
            <v>1.6778833333333334</v>
          </cell>
          <cell r="S150">
            <v>0</v>
          </cell>
          <cell r="T150">
            <v>0</v>
          </cell>
          <cell r="U150">
            <v>0</v>
          </cell>
          <cell r="V150">
            <v>2.2005583333333334</v>
          </cell>
        </row>
        <row r="151">
          <cell r="E151" t="str">
            <v>KCNE67030B</v>
          </cell>
          <cell r="F151">
            <v>1127.0069999999998</v>
          </cell>
          <cell r="G151">
            <v>0</v>
          </cell>
          <cell r="H151">
            <v>0.175625</v>
          </cell>
          <cell r="I151">
            <v>0.23168166666666667</v>
          </cell>
          <cell r="J151">
            <v>7.5503333333333325E-2</v>
          </cell>
          <cell r="K151">
            <v>0.43968499999999999</v>
          </cell>
          <cell r="L151">
            <v>0.97761666666666658</v>
          </cell>
          <cell r="M151">
            <v>9.4050000000000002E-3</v>
          </cell>
          <cell r="N151">
            <v>9.7463333333333332E-2</v>
          </cell>
          <cell r="O151">
            <v>5.1941666666666664E-2</v>
          </cell>
          <cell r="P151">
            <v>6.5353333333333333E-2</v>
          </cell>
          <cell r="Q151">
            <v>0.48281000000000002</v>
          </cell>
          <cell r="R151">
            <v>1.6414649999999997</v>
          </cell>
          <cell r="S151">
            <v>0</v>
          </cell>
          <cell r="T151">
            <v>0</v>
          </cell>
          <cell r="U151">
            <v>0</v>
          </cell>
          <cell r="V151">
            <v>2.1242749999999999</v>
          </cell>
        </row>
        <row r="152">
          <cell r="E152" t="str">
            <v>KCNF67030B</v>
          </cell>
          <cell r="F152">
            <v>1165.9209000000001</v>
          </cell>
          <cell r="G152">
            <v>0</v>
          </cell>
          <cell r="H152">
            <v>0.17904499999999998</v>
          </cell>
          <cell r="I152">
            <v>0.23749333333333331</v>
          </cell>
          <cell r="J152">
            <v>7.5503333333333325E-2</v>
          </cell>
          <cell r="K152">
            <v>0.4488516666666667</v>
          </cell>
          <cell r="L152">
            <v>0.99263166666666658</v>
          </cell>
          <cell r="M152">
            <v>9.4050000000000002E-3</v>
          </cell>
          <cell r="N152">
            <v>9.8441666666666677E-2</v>
          </cell>
          <cell r="O152">
            <v>5.2335E-2</v>
          </cell>
          <cell r="P152">
            <v>6.7596666666666666E-2</v>
          </cell>
          <cell r="Q152">
            <v>0.4920416666666666</v>
          </cell>
          <cell r="R152">
            <v>1.6692616666666669</v>
          </cell>
          <cell r="S152">
            <v>0</v>
          </cell>
          <cell r="T152">
            <v>0</v>
          </cell>
          <cell r="U152">
            <v>0</v>
          </cell>
          <cell r="V152">
            <v>2.1613033333333336</v>
          </cell>
        </row>
        <row r="153">
          <cell r="E153" t="str">
            <v>KCNH67030B</v>
          </cell>
          <cell r="F153">
            <v>1220.8912999999998</v>
          </cell>
          <cell r="G153">
            <v>0</v>
          </cell>
          <cell r="H153">
            <v>0.18431833333333333</v>
          </cell>
          <cell r="I153">
            <v>0.26965166666666662</v>
          </cell>
          <cell r="J153">
            <v>8.1970000000000001E-2</v>
          </cell>
          <cell r="K153">
            <v>0.45783499999999999</v>
          </cell>
          <cell r="L153">
            <v>1.0046566666666668</v>
          </cell>
          <cell r="M153">
            <v>9.4050000000000002E-3</v>
          </cell>
          <cell r="N153">
            <v>9.9263333333333328E-2</v>
          </cell>
          <cell r="O153">
            <v>5.2798333333333329E-2</v>
          </cell>
          <cell r="P153">
            <v>6.787E-2</v>
          </cell>
          <cell r="Q153">
            <v>0.53593999999999997</v>
          </cell>
          <cell r="R153">
            <v>1.6918283333333335</v>
          </cell>
          <cell r="S153">
            <v>0</v>
          </cell>
          <cell r="T153">
            <v>0</v>
          </cell>
          <cell r="U153">
            <v>0</v>
          </cell>
          <cell r="V153">
            <v>2.2277683333333336</v>
          </cell>
        </row>
        <row r="154">
          <cell r="E154" t="str">
            <v>KCNL67030B</v>
          </cell>
          <cell r="F154">
            <v>1203.1677999999997</v>
          </cell>
          <cell r="G154">
            <v>0</v>
          </cell>
          <cell r="H154">
            <v>0.18461666666666668</v>
          </cell>
          <cell r="I154">
            <v>0.28041499999999997</v>
          </cell>
          <cell r="J154">
            <v>8.1970000000000001E-2</v>
          </cell>
          <cell r="K154">
            <v>0.45966833333333335</v>
          </cell>
          <cell r="L154">
            <v>0.99254666666666658</v>
          </cell>
          <cell r="M154">
            <v>9.4050000000000002E-3</v>
          </cell>
          <cell r="N154">
            <v>9.8525000000000001E-2</v>
          </cell>
          <cell r="O154">
            <v>5.2403333333333336E-2</v>
          </cell>
          <cell r="P154">
            <v>6.5625000000000003E-2</v>
          </cell>
          <cell r="Q154">
            <v>0.54700166666666661</v>
          </cell>
          <cell r="R154">
            <v>1.6781733333333333</v>
          </cell>
          <cell r="S154">
            <v>0</v>
          </cell>
          <cell r="T154">
            <v>0</v>
          </cell>
          <cell r="U154">
            <v>0</v>
          </cell>
          <cell r="V154">
            <v>2.2251750000000001</v>
          </cell>
        </row>
        <row r="155">
          <cell r="E155" t="str">
            <v>KCNM67030B</v>
          </cell>
          <cell r="F155">
            <v>1242.0816999999997</v>
          </cell>
          <cell r="G155">
            <v>0</v>
          </cell>
          <cell r="H155">
            <v>0.18804000000000001</v>
          </cell>
          <cell r="I155">
            <v>0.28622666666666668</v>
          </cell>
          <cell r="J155">
            <v>8.1970000000000001E-2</v>
          </cell>
          <cell r="K155">
            <v>0.468835</v>
          </cell>
          <cell r="L155">
            <v>1.0075616666666667</v>
          </cell>
          <cell r="M155">
            <v>9.4050000000000002E-3</v>
          </cell>
          <cell r="N155">
            <v>9.9503333333333333E-2</v>
          </cell>
          <cell r="O155">
            <v>5.2798333333333329E-2</v>
          </cell>
          <cell r="P155">
            <v>6.787E-2</v>
          </cell>
          <cell r="Q155">
            <v>0.55623666666666671</v>
          </cell>
          <cell r="R155">
            <v>1.7059733333333333</v>
          </cell>
          <cell r="S155">
            <v>0</v>
          </cell>
          <cell r="T155">
            <v>0</v>
          </cell>
          <cell r="U155">
            <v>0</v>
          </cell>
          <cell r="V155">
            <v>2.2622100000000001</v>
          </cell>
        </row>
        <row r="156">
          <cell r="E156" t="str">
            <v>KCNW67120A</v>
          </cell>
          <cell r="F156">
            <v>211.4812</v>
          </cell>
          <cell r="G156">
            <v>0</v>
          </cell>
          <cell r="H156">
            <v>4.018833333333334E-2</v>
          </cell>
          <cell r="I156">
            <v>2.3141666666666668E-2</v>
          </cell>
          <cell r="J156">
            <v>0</v>
          </cell>
          <cell r="K156">
            <v>9.3208333333333337E-2</v>
          </cell>
          <cell r="L156">
            <v>0.4835983333333333</v>
          </cell>
          <cell r="M156">
            <v>2.0900000000000003E-3</v>
          </cell>
          <cell r="N156">
            <v>3.9891666666666666E-2</v>
          </cell>
          <cell r="O156">
            <v>2.360333333333333E-2</v>
          </cell>
          <cell r="P156">
            <v>1.6743333333333332E-2</v>
          </cell>
          <cell r="Q156">
            <v>6.3330000000000011E-2</v>
          </cell>
          <cell r="R156">
            <v>0.65913500000000003</v>
          </cell>
          <cell r="S156">
            <v>0</v>
          </cell>
          <cell r="T156">
            <v>0</v>
          </cell>
          <cell r="U156">
            <v>0</v>
          </cell>
          <cell r="V156">
            <v>0.72246500000000002</v>
          </cell>
        </row>
        <row r="157">
          <cell r="E157" t="str">
            <v>KCPH67120A</v>
          </cell>
          <cell r="F157">
            <v>201.79650000000001</v>
          </cell>
          <cell r="G157">
            <v>0</v>
          </cell>
          <cell r="H157">
            <v>3.8323333333333334E-2</v>
          </cell>
          <cell r="I157">
            <v>2.3141666666666668E-2</v>
          </cell>
          <cell r="J157">
            <v>0</v>
          </cell>
          <cell r="K157">
            <v>8.9724999999999999E-2</v>
          </cell>
          <cell r="L157">
            <v>0.45904833333333334</v>
          </cell>
          <cell r="M157">
            <v>2.0900000000000003E-3</v>
          </cell>
          <cell r="N157">
            <v>3.7853333333333329E-2</v>
          </cell>
          <cell r="O157">
            <v>2.0171666666666664E-2</v>
          </cell>
          <cell r="P157">
            <v>1.6160000000000001E-2</v>
          </cell>
          <cell r="Q157">
            <v>6.1465000000000006E-2</v>
          </cell>
          <cell r="R157">
            <v>0.62504833333333332</v>
          </cell>
          <cell r="S157">
            <v>0</v>
          </cell>
          <cell r="T157">
            <v>0</v>
          </cell>
          <cell r="U157">
            <v>0</v>
          </cell>
          <cell r="V157">
            <v>0.68651333333333331</v>
          </cell>
        </row>
        <row r="158">
          <cell r="E158" t="str">
            <v>KCPM67120A</v>
          </cell>
          <cell r="F158">
            <v>207.09530000000001</v>
          </cell>
          <cell r="G158">
            <v>0</v>
          </cell>
          <cell r="H158">
            <v>3.8745000000000002E-2</v>
          </cell>
          <cell r="I158">
            <v>2.3141666666666668E-2</v>
          </cell>
          <cell r="J158">
            <v>0</v>
          </cell>
          <cell r="K158">
            <v>8.9724999999999999E-2</v>
          </cell>
          <cell r="L158">
            <v>0.46091833333333337</v>
          </cell>
          <cell r="M158">
            <v>2.0900000000000003E-3</v>
          </cell>
          <cell r="N158">
            <v>3.8460000000000001E-2</v>
          </cell>
          <cell r="O158">
            <v>2.2818333333333333E-2</v>
          </cell>
          <cell r="P158">
            <v>1.6298333333333335E-2</v>
          </cell>
          <cell r="Q158">
            <v>6.1886666666666673E-2</v>
          </cell>
          <cell r="R158">
            <v>0.63031000000000015</v>
          </cell>
          <cell r="S158">
            <v>0</v>
          </cell>
          <cell r="T158">
            <v>0</v>
          </cell>
          <cell r="U158">
            <v>0</v>
          </cell>
          <cell r="V158">
            <v>0.69219666666666679</v>
          </cell>
        </row>
        <row r="159">
          <cell r="E159" t="str">
            <v>KCPS67120A</v>
          </cell>
          <cell r="F159">
            <v>211.4812</v>
          </cell>
          <cell r="G159">
            <v>0</v>
          </cell>
          <cell r="H159">
            <v>4.018833333333334E-2</v>
          </cell>
          <cell r="I159">
            <v>2.3141666666666668E-2</v>
          </cell>
          <cell r="J159">
            <v>0</v>
          </cell>
          <cell r="K159">
            <v>9.3208333333333337E-2</v>
          </cell>
          <cell r="L159">
            <v>0.47955333333333333</v>
          </cell>
          <cell r="M159">
            <v>2.0900000000000003E-3</v>
          </cell>
          <cell r="N159">
            <v>3.9891666666666666E-2</v>
          </cell>
          <cell r="O159">
            <v>2.360333333333333E-2</v>
          </cell>
          <cell r="P159">
            <v>1.6743333333333332E-2</v>
          </cell>
          <cell r="Q159">
            <v>6.3330000000000011E-2</v>
          </cell>
          <cell r="R159">
            <v>0.65508999999999995</v>
          </cell>
          <cell r="S159">
            <v>0</v>
          </cell>
          <cell r="T159">
            <v>0</v>
          </cell>
          <cell r="U159">
            <v>0</v>
          </cell>
          <cell r="V159">
            <v>0.71841999999999995</v>
          </cell>
        </row>
        <row r="160">
          <cell r="E160" t="str">
            <v>KCPV67030C</v>
          </cell>
          <cell r="F160">
            <v>1125.5342000000001</v>
          </cell>
          <cell r="G160">
            <v>0</v>
          </cell>
          <cell r="H160">
            <v>0.17784666666666665</v>
          </cell>
          <cell r="I160">
            <v>0.23607833333333333</v>
          </cell>
          <cell r="J160">
            <v>7.2929999999999995E-2</v>
          </cell>
          <cell r="K160">
            <v>0.44523166666666664</v>
          </cell>
          <cell r="L160">
            <v>0.99891666666666667</v>
          </cell>
          <cell r="M160">
            <v>9.4050000000000002E-3</v>
          </cell>
          <cell r="N160">
            <v>9.9101666666666671E-2</v>
          </cell>
          <cell r="O160">
            <v>5.1984999999999996E-2</v>
          </cell>
          <cell r="P160">
            <v>6.5259999999999999E-2</v>
          </cell>
          <cell r="Q160">
            <v>0.48685499999999998</v>
          </cell>
          <cell r="R160">
            <v>1.6699000000000002</v>
          </cell>
          <cell r="S160">
            <v>0</v>
          </cell>
          <cell r="T160">
            <v>0</v>
          </cell>
          <cell r="U160">
            <v>0</v>
          </cell>
          <cell r="V160">
            <v>2.156755</v>
          </cell>
        </row>
        <row r="161">
          <cell r="E161" t="str">
            <v>KCRA67030C</v>
          </cell>
          <cell r="F161">
            <v>1179.9058</v>
          </cell>
          <cell r="G161">
            <v>0</v>
          </cell>
          <cell r="H161">
            <v>0.18322333333333332</v>
          </cell>
          <cell r="I161">
            <v>0.26833166666666669</v>
          </cell>
          <cell r="J161">
            <v>7.9396666666666657E-2</v>
          </cell>
          <cell r="K161">
            <v>0.45421499999999998</v>
          </cell>
          <cell r="L161">
            <v>1.0257016666666667</v>
          </cell>
          <cell r="M161">
            <v>9.4050000000000002E-3</v>
          </cell>
          <cell r="N161">
            <v>0.10052999999999999</v>
          </cell>
          <cell r="O161">
            <v>5.2814999999999994E-2</v>
          </cell>
          <cell r="P161">
            <v>6.5686666666666657E-2</v>
          </cell>
          <cell r="Q161">
            <v>0.53095166666666671</v>
          </cell>
          <cell r="R161">
            <v>1.7083533333333336</v>
          </cell>
          <cell r="S161">
            <v>0</v>
          </cell>
          <cell r="T161">
            <v>0</v>
          </cell>
          <cell r="U161">
            <v>0</v>
          </cell>
          <cell r="V161">
            <v>2.2393050000000003</v>
          </cell>
        </row>
        <row r="162">
          <cell r="E162" t="str">
            <v>KCSR67030A</v>
          </cell>
          <cell r="F162">
            <v>1220.7785000000001</v>
          </cell>
          <cell r="G162">
            <v>0</v>
          </cell>
          <cell r="H162">
            <v>0.18653333333333333</v>
          </cell>
          <cell r="I162">
            <v>0.25569999999999998</v>
          </cell>
          <cell r="J162">
            <v>8.3775000000000002E-2</v>
          </cell>
          <cell r="K162">
            <v>0.46587333333333336</v>
          </cell>
          <cell r="L162">
            <v>1.03372</v>
          </cell>
          <cell r="M162">
            <v>9.4050000000000002E-3</v>
          </cell>
          <cell r="N162">
            <v>0.10119666666666666</v>
          </cell>
          <cell r="O162">
            <v>5.4543333333333339E-2</v>
          </cell>
          <cell r="P162">
            <v>7.3010000000000005E-2</v>
          </cell>
          <cell r="Q162">
            <v>0.5260083333333333</v>
          </cell>
          <cell r="R162">
            <v>1.7377483333333335</v>
          </cell>
          <cell r="S162">
            <v>0</v>
          </cell>
          <cell r="T162">
            <v>0</v>
          </cell>
          <cell r="U162">
            <v>0</v>
          </cell>
          <cell r="V162">
            <v>2.2637566666666666</v>
          </cell>
        </row>
        <row r="163">
          <cell r="E163" t="str">
            <v>KEFW67030A</v>
          </cell>
          <cell r="F163">
            <v>1228.3942999999999</v>
          </cell>
          <cell r="G163">
            <v>0</v>
          </cell>
          <cell r="H163">
            <v>0.18380333333333335</v>
          </cell>
          <cell r="I163">
            <v>0.25583666666666666</v>
          </cell>
          <cell r="J163">
            <v>7.5503333333333325E-2</v>
          </cell>
          <cell r="K163">
            <v>0.46312333333333339</v>
          </cell>
          <cell r="L163">
            <v>1.0001966666666666</v>
          </cell>
          <cell r="M163">
            <v>9.4050000000000002E-3</v>
          </cell>
          <cell r="N163">
            <v>9.9421666666666672E-2</v>
          </cell>
          <cell r="O163">
            <v>5.2883333333333331E-2</v>
          </cell>
          <cell r="P163">
            <v>6.783666666666667E-2</v>
          </cell>
          <cell r="Q163">
            <v>0.5151433333333334</v>
          </cell>
          <cell r="R163">
            <v>1.692866666666667</v>
          </cell>
          <cell r="S163">
            <v>0</v>
          </cell>
          <cell r="T163">
            <v>0</v>
          </cell>
          <cell r="U163">
            <v>0</v>
          </cell>
          <cell r="V163">
            <v>2.2080100000000003</v>
          </cell>
        </row>
        <row r="164">
          <cell r="E164" t="str">
            <v>KEGA67030A</v>
          </cell>
          <cell r="F164">
            <v>1259.6984000000002</v>
          </cell>
          <cell r="G164">
            <v>0</v>
          </cell>
          <cell r="H164">
            <v>0.18995499999999998</v>
          </cell>
          <cell r="I164">
            <v>0.26151166666666664</v>
          </cell>
          <cell r="J164">
            <v>8.3775000000000002E-2</v>
          </cell>
          <cell r="K164">
            <v>0.47504000000000002</v>
          </cell>
          <cell r="L164">
            <v>1.048735</v>
          </cell>
          <cell r="M164">
            <v>9.4050000000000002E-3</v>
          </cell>
          <cell r="N164">
            <v>0.10217499999999999</v>
          </cell>
          <cell r="O164">
            <v>5.4938333333333332E-2</v>
          </cell>
          <cell r="P164">
            <v>7.5255000000000002E-2</v>
          </cell>
          <cell r="Q164">
            <v>0.53524166666666662</v>
          </cell>
          <cell r="R164">
            <v>1.7655483333333335</v>
          </cell>
          <cell r="S164">
            <v>0</v>
          </cell>
          <cell r="T164">
            <v>0</v>
          </cell>
          <cell r="U164">
            <v>0</v>
          </cell>
          <cell r="V164">
            <v>2.3007900000000001</v>
          </cell>
        </row>
        <row r="165">
          <cell r="E165" t="str">
            <v>KEGD67030A</v>
          </cell>
          <cell r="F165">
            <v>1283.3646999999999</v>
          </cell>
          <cell r="G165">
            <v>0</v>
          </cell>
          <cell r="H165">
            <v>0.18907499999999999</v>
          </cell>
          <cell r="I165">
            <v>0.28799499999999995</v>
          </cell>
          <cell r="J165">
            <v>8.1970000000000001E-2</v>
          </cell>
          <cell r="K165">
            <v>0.47210666666666667</v>
          </cell>
          <cell r="L165">
            <v>1.0122216666666666</v>
          </cell>
          <cell r="M165">
            <v>9.4050000000000002E-3</v>
          </cell>
          <cell r="N165">
            <v>0.10024333333333332</v>
          </cell>
          <cell r="O165">
            <v>5.3344999999999997E-2</v>
          </cell>
          <cell r="P165">
            <v>6.810833333333334E-2</v>
          </cell>
          <cell r="Q165">
            <v>0.55903999999999998</v>
          </cell>
          <cell r="R165">
            <v>1.71543</v>
          </cell>
          <cell r="S165">
            <v>0</v>
          </cell>
          <cell r="T165">
            <v>0</v>
          </cell>
          <cell r="U165">
            <v>0</v>
          </cell>
          <cell r="V165">
            <v>2.27447</v>
          </cell>
        </row>
        <row r="166">
          <cell r="E166" t="str">
            <v>KEGE67030A</v>
          </cell>
          <cell r="F166">
            <v>1314.6687999999999</v>
          </cell>
          <cell r="G166">
            <v>0</v>
          </cell>
          <cell r="H166">
            <v>0.19522666666666666</v>
          </cell>
          <cell r="I166">
            <v>0.29366999999999999</v>
          </cell>
          <cell r="J166">
            <v>9.0241666666666678E-2</v>
          </cell>
          <cell r="K166">
            <v>0.48402333333333331</v>
          </cell>
          <cell r="L166">
            <v>1.063825</v>
          </cell>
          <cell r="M166">
            <v>9.4050000000000002E-3</v>
          </cell>
          <cell r="N166">
            <v>0.10299833333333333</v>
          </cell>
          <cell r="O166">
            <v>5.5403333333333332E-2</v>
          </cell>
          <cell r="P166">
            <v>7.5526666666666673E-2</v>
          </cell>
          <cell r="Q166">
            <v>0.57913833333333331</v>
          </cell>
          <cell r="R166">
            <v>1.7911816666666667</v>
          </cell>
          <cell r="S166">
            <v>0</v>
          </cell>
          <cell r="T166">
            <v>0</v>
          </cell>
          <cell r="U166">
            <v>0</v>
          </cell>
          <cell r="V166">
            <v>2.37032</v>
          </cell>
        </row>
        <row r="167">
          <cell r="E167" t="str">
            <v>KEGK67120</v>
          </cell>
          <cell r="F167">
            <v>29.682600000000001</v>
          </cell>
          <cell r="G167">
            <v>0</v>
          </cell>
          <cell r="H167">
            <v>9.5499999999999995E-3</v>
          </cell>
          <cell r="I167">
            <v>5.2800000000000008E-3</v>
          </cell>
          <cell r="J167">
            <v>0</v>
          </cell>
          <cell r="K167">
            <v>1.6500000000000001E-2</v>
          </cell>
          <cell r="L167">
            <v>0.20400333333333334</v>
          </cell>
          <cell r="M167">
            <v>1.0450000000000001E-3</v>
          </cell>
          <cell r="N167">
            <v>1.8710000000000001E-2</v>
          </cell>
          <cell r="O167">
            <v>1.0985E-2</v>
          </cell>
          <cell r="P167">
            <v>5.6366666666666666E-3</v>
          </cell>
          <cell r="Q167">
            <v>1.4829999999999999E-2</v>
          </cell>
          <cell r="R167">
            <v>0.25688</v>
          </cell>
          <cell r="S167">
            <v>0</v>
          </cell>
          <cell r="T167">
            <v>0</v>
          </cell>
          <cell r="U167">
            <v>0</v>
          </cell>
          <cell r="V167">
            <v>0.27171000000000001</v>
          </cell>
        </row>
        <row r="168">
          <cell r="E168" t="str">
            <v>KEHD67030A</v>
          </cell>
          <cell r="F168">
            <v>1224.9784999999997</v>
          </cell>
          <cell r="G168">
            <v>0</v>
          </cell>
          <cell r="H168">
            <v>0.18256666666666668</v>
          </cell>
          <cell r="I168">
            <v>0.26528499999999999</v>
          </cell>
          <cell r="J168">
            <v>8.1970000000000001E-2</v>
          </cell>
          <cell r="K168">
            <v>0.45233499999999999</v>
          </cell>
          <cell r="L168">
            <v>0.99583500000000003</v>
          </cell>
          <cell r="M168">
            <v>9.4050000000000002E-3</v>
          </cell>
          <cell r="N168">
            <v>9.8443333333333341E-2</v>
          </cell>
          <cell r="O168">
            <v>5.006E-2</v>
          </cell>
          <cell r="P168">
            <v>6.762E-2</v>
          </cell>
          <cell r="Q168">
            <v>0.52982166666666664</v>
          </cell>
          <cell r="R168">
            <v>1.6736983333333335</v>
          </cell>
          <cell r="S168">
            <v>0</v>
          </cell>
          <cell r="T168">
            <v>0</v>
          </cell>
          <cell r="U168">
            <v>0</v>
          </cell>
          <cell r="V168">
            <v>2.2035200000000001</v>
          </cell>
        </row>
        <row r="169">
          <cell r="E169" t="str">
            <v>KEHE67120</v>
          </cell>
          <cell r="F169">
            <v>64.462500000000006</v>
          </cell>
          <cell r="G169">
            <v>0</v>
          </cell>
          <cell r="H169">
            <v>1.6898333333333335E-2</v>
          </cell>
          <cell r="I169">
            <v>1.0534999999999999E-2</v>
          </cell>
          <cell r="J169">
            <v>0</v>
          </cell>
          <cell r="K169">
            <v>3.6244999999999999E-2</v>
          </cell>
          <cell r="L169">
            <v>0.27852833333333332</v>
          </cell>
          <cell r="M169">
            <v>2.0900000000000003E-3</v>
          </cell>
          <cell r="N169">
            <v>2.6368333333333334E-2</v>
          </cell>
          <cell r="O169">
            <v>1.7031666666666667E-2</v>
          </cell>
          <cell r="P169">
            <v>7.6366666666666666E-3</v>
          </cell>
          <cell r="Q169">
            <v>2.7433333333333334E-2</v>
          </cell>
          <cell r="R169">
            <v>0.3679</v>
          </cell>
          <cell r="S169">
            <v>0</v>
          </cell>
          <cell r="T169">
            <v>0</v>
          </cell>
          <cell r="U169">
            <v>0</v>
          </cell>
          <cell r="V169">
            <v>0.39533333333333331</v>
          </cell>
        </row>
        <row r="170">
          <cell r="E170" t="str">
            <v>KEHF67120A</v>
          </cell>
          <cell r="F170">
            <v>98.023399999999995</v>
          </cell>
          <cell r="G170">
            <v>0</v>
          </cell>
          <cell r="H170">
            <v>2.4426666666666666E-2</v>
          </cell>
          <cell r="I170">
            <v>2.2588333333333332E-2</v>
          </cell>
          <cell r="J170">
            <v>0</v>
          </cell>
          <cell r="K170">
            <v>5.0728333333333334E-2</v>
          </cell>
          <cell r="L170">
            <v>0.37172666666666665</v>
          </cell>
          <cell r="M170">
            <v>2.0900000000000003E-3</v>
          </cell>
          <cell r="N170">
            <v>3.1940000000000003E-2</v>
          </cell>
          <cell r="O170">
            <v>2.0396666666666667E-2</v>
          </cell>
          <cell r="P170">
            <v>9.5683333333333349E-3</v>
          </cell>
          <cell r="Q170">
            <v>4.7015000000000001E-2</v>
          </cell>
          <cell r="R170">
            <v>0.48644999999999999</v>
          </cell>
          <cell r="S170">
            <v>0</v>
          </cell>
          <cell r="T170">
            <v>0</v>
          </cell>
          <cell r="U170">
            <v>0</v>
          </cell>
          <cell r="V170">
            <v>0.53346499999999997</v>
          </cell>
        </row>
        <row r="171">
          <cell r="E171" t="str">
            <v>KEHG67030A</v>
          </cell>
          <cell r="F171">
            <v>1233.5347999999999</v>
          </cell>
          <cell r="G171">
            <v>0</v>
          </cell>
          <cell r="H171">
            <v>0.18685333333333334</v>
          </cell>
          <cell r="I171">
            <v>0.26020333333333334</v>
          </cell>
          <cell r="J171">
            <v>7.5503333333333325E-2</v>
          </cell>
          <cell r="K171">
            <v>0.47228999999999999</v>
          </cell>
          <cell r="L171">
            <v>1.0113533333333333</v>
          </cell>
          <cell r="M171">
            <v>9.4050000000000002E-3</v>
          </cell>
          <cell r="N171">
            <v>0.10040333333333334</v>
          </cell>
          <cell r="O171">
            <v>5.5625000000000001E-2</v>
          </cell>
          <cell r="P171">
            <v>6.808666666666667E-2</v>
          </cell>
          <cell r="Q171">
            <v>0.52256000000000002</v>
          </cell>
          <cell r="R171">
            <v>1.7171633333333334</v>
          </cell>
          <cell r="S171">
            <v>0</v>
          </cell>
          <cell r="T171">
            <v>0</v>
          </cell>
          <cell r="U171">
            <v>0</v>
          </cell>
          <cell r="V171">
            <v>2.2397233333333335</v>
          </cell>
        </row>
        <row r="172">
          <cell r="E172" t="str">
            <v>KEHH67030A</v>
          </cell>
          <cell r="F172">
            <v>1288.5051999999998</v>
          </cell>
          <cell r="G172">
            <v>0</v>
          </cell>
          <cell r="H172">
            <v>0.19212666666666667</v>
          </cell>
          <cell r="I172">
            <v>0.29236166666666663</v>
          </cell>
          <cell r="J172">
            <v>8.1970000000000001E-2</v>
          </cell>
          <cell r="K172">
            <v>0.48127333333333333</v>
          </cell>
          <cell r="L172">
            <v>1.02338</v>
          </cell>
          <cell r="M172">
            <v>9.4050000000000002E-3</v>
          </cell>
          <cell r="N172">
            <v>0.101225</v>
          </cell>
          <cell r="O172">
            <v>5.608833333333333E-2</v>
          </cell>
          <cell r="P172">
            <v>6.8360000000000004E-2</v>
          </cell>
          <cell r="Q172">
            <v>0.56645833333333329</v>
          </cell>
          <cell r="R172">
            <v>1.7397316666666665</v>
          </cell>
          <cell r="S172">
            <v>0</v>
          </cell>
          <cell r="T172">
            <v>0</v>
          </cell>
          <cell r="U172">
            <v>0</v>
          </cell>
          <cell r="V172">
            <v>2.30619</v>
          </cell>
        </row>
        <row r="173">
          <cell r="E173" t="str">
            <v>KEJB67030A</v>
          </cell>
          <cell r="F173">
            <v>1284.5968</v>
          </cell>
          <cell r="G173">
            <v>0</v>
          </cell>
          <cell r="H173">
            <v>0.19917833333333332</v>
          </cell>
          <cell r="I173">
            <v>0.33512166666666665</v>
          </cell>
          <cell r="J173">
            <v>9.6530000000000005E-2</v>
          </cell>
          <cell r="K173">
            <v>0.49062333333333336</v>
          </cell>
          <cell r="L173">
            <v>1.0398066666666665</v>
          </cell>
          <cell r="M173">
            <v>9.4050000000000002E-3</v>
          </cell>
          <cell r="N173">
            <v>0.10175666666666668</v>
          </cell>
          <cell r="O173">
            <v>5.4543333333333339E-2</v>
          </cell>
          <cell r="P173">
            <v>7.3010000000000005E-2</v>
          </cell>
          <cell r="Q173">
            <v>0.63083</v>
          </cell>
          <cell r="R173">
            <v>1.7691450000000002</v>
          </cell>
          <cell r="S173">
            <v>0</v>
          </cell>
          <cell r="T173">
            <v>0</v>
          </cell>
          <cell r="U173">
            <v>0</v>
          </cell>
          <cell r="V173">
            <v>2.3999750000000004</v>
          </cell>
        </row>
        <row r="174">
          <cell r="E174" t="str">
            <v>KEJD67030A</v>
          </cell>
          <cell r="F174">
            <v>1323.5168000000001</v>
          </cell>
          <cell r="G174">
            <v>0</v>
          </cell>
          <cell r="H174">
            <v>0.20259833333333335</v>
          </cell>
          <cell r="I174">
            <v>0.34093333333333331</v>
          </cell>
          <cell r="J174">
            <v>9.6530000000000005E-2</v>
          </cell>
          <cell r="K174">
            <v>0.49979000000000001</v>
          </cell>
          <cell r="L174">
            <v>1.0548216666666665</v>
          </cell>
          <cell r="M174">
            <v>9.4050000000000002E-3</v>
          </cell>
          <cell r="N174">
            <v>0.10273500000000001</v>
          </cell>
          <cell r="O174">
            <v>5.4938333333333332E-2</v>
          </cell>
          <cell r="P174">
            <v>7.5255000000000002E-2</v>
          </cell>
          <cell r="Q174">
            <v>0.64006166666666664</v>
          </cell>
          <cell r="R174">
            <v>1.796945</v>
          </cell>
          <cell r="S174">
            <v>0</v>
          </cell>
          <cell r="T174">
            <v>0</v>
          </cell>
          <cell r="U174">
            <v>0</v>
          </cell>
          <cell r="V174">
            <v>2.4370066666666665</v>
          </cell>
        </row>
        <row r="175">
          <cell r="E175" t="str">
            <v>KEJE67030A</v>
          </cell>
          <cell r="F175">
            <v>1378.4872000000003</v>
          </cell>
          <cell r="G175">
            <v>0</v>
          </cell>
          <cell r="H175">
            <v>0.20787166666666668</v>
          </cell>
          <cell r="I175">
            <v>0.37309166666666665</v>
          </cell>
          <cell r="J175">
            <v>0.10299666666666667</v>
          </cell>
          <cell r="K175">
            <v>0.5087733333333333</v>
          </cell>
          <cell r="L175">
            <v>1.0699116666666666</v>
          </cell>
          <cell r="M175">
            <v>9.4050000000000002E-3</v>
          </cell>
          <cell r="N175">
            <v>0.10355833333333334</v>
          </cell>
          <cell r="O175">
            <v>5.5403333333333332E-2</v>
          </cell>
          <cell r="P175">
            <v>7.5526666666666673E-2</v>
          </cell>
          <cell r="Q175">
            <v>0.6839599999999999</v>
          </cell>
          <cell r="R175">
            <v>1.8225783333333334</v>
          </cell>
          <cell r="S175">
            <v>0</v>
          </cell>
          <cell r="T175">
            <v>0</v>
          </cell>
          <cell r="U175">
            <v>0</v>
          </cell>
          <cell r="V175">
            <v>2.5065383333333333</v>
          </cell>
        </row>
        <row r="176">
          <cell r="E176" t="str">
            <v>KEJV67120</v>
          </cell>
          <cell r="F176">
            <v>190.4376</v>
          </cell>
          <cell r="G176">
            <v>0</v>
          </cell>
          <cell r="H176">
            <v>3.3370000000000004E-2</v>
          </cell>
          <cell r="I176">
            <v>1.0534999999999999E-2</v>
          </cell>
          <cell r="J176">
            <v>0</v>
          </cell>
          <cell r="K176">
            <v>7.8724999999999989E-2</v>
          </cell>
          <cell r="L176">
            <v>0.39993333333333331</v>
          </cell>
          <cell r="M176">
            <v>2.0900000000000003E-3</v>
          </cell>
          <cell r="N176">
            <v>3.4328333333333329E-2</v>
          </cell>
          <cell r="O176">
            <v>2.0479999999999998E-2</v>
          </cell>
          <cell r="P176">
            <v>1.4976666666666666E-2</v>
          </cell>
          <cell r="Q176">
            <v>4.3905E-2</v>
          </cell>
          <cell r="R176">
            <v>0.55053333333333332</v>
          </cell>
          <cell r="S176">
            <v>0</v>
          </cell>
          <cell r="T176">
            <v>0</v>
          </cell>
          <cell r="U176">
            <v>0</v>
          </cell>
          <cell r="V176">
            <v>0.59443833333333329</v>
          </cell>
        </row>
        <row r="177">
          <cell r="E177" t="str">
            <v>KEJW67120A</v>
          </cell>
          <cell r="F177">
            <v>224.0016</v>
          </cell>
          <cell r="G177">
            <v>0</v>
          </cell>
          <cell r="H177">
            <v>4.0896666666666671E-2</v>
          </cell>
          <cell r="I177">
            <v>2.2588333333333332E-2</v>
          </cell>
          <cell r="J177">
            <v>0</v>
          </cell>
          <cell r="K177">
            <v>9.3208333333333337E-2</v>
          </cell>
          <cell r="L177">
            <v>0.49313166666666669</v>
          </cell>
          <cell r="M177">
            <v>2.0900000000000003E-3</v>
          </cell>
          <cell r="N177">
            <v>3.9901666666666662E-2</v>
          </cell>
          <cell r="O177">
            <v>2.3848333333333336E-2</v>
          </cell>
          <cell r="P177">
            <v>1.6909999999999998E-2</v>
          </cell>
          <cell r="Q177">
            <v>6.3485E-2</v>
          </cell>
          <cell r="R177">
            <v>0.66909000000000007</v>
          </cell>
          <cell r="S177">
            <v>0</v>
          </cell>
          <cell r="T177">
            <v>0</v>
          </cell>
          <cell r="U177">
            <v>0</v>
          </cell>
          <cell r="V177">
            <v>0.73257500000000009</v>
          </cell>
        </row>
        <row r="178">
          <cell r="E178" t="str">
            <v>KGTR67030</v>
          </cell>
          <cell r="F178">
            <v>1593.6692</v>
          </cell>
          <cell r="G178">
            <v>36.046199999999999</v>
          </cell>
          <cell r="H178">
            <v>0.20582500000000001</v>
          </cell>
          <cell r="I178">
            <v>0.26295333333333332</v>
          </cell>
          <cell r="J178">
            <v>7.2251666666666658E-2</v>
          </cell>
          <cell r="K178">
            <v>0.54710833333333342</v>
          </cell>
          <cell r="L178">
            <v>1.21665</v>
          </cell>
          <cell r="M178">
            <v>1.4630000000000001E-2</v>
          </cell>
          <cell r="N178">
            <v>0.11817166666666666</v>
          </cell>
          <cell r="O178">
            <v>7.9081666666666675E-2</v>
          </cell>
          <cell r="P178">
            <v>9.3045000000000003E-2</v>
          </cell>
          <cell r="Q178">
            <v>0.5410299999999999</v>
          </cell>
          <cell r="R178">
            <v>2.0686866666666668</v>
          </cell>
          <cell r="S178">
            <v>2.5163333333333329E-2</v>
          </cell>
          <cell r="T178">
            <v>0</v>
          </cell>
          <cell r="U178">
            <v>0</v>
          </cell>
          <cell r="V178">
            <v>2.6348799999999999</v>
          </cell>
        </row>
        <row r="179">
          <cell r="E179" t="str">
            <v>KGVD67030</v>
          </cell>
          <cell r="F179">
            <v>1650.0626000000002</v>
          </cell>
          <cell r="G179">
            <v>36.046199999999999</v>
          </cell>
          <cell r="H179">
            <v>0.21178333333333335</v>
          </cell>
          <cell r="I179">
            <v>0.29504666666666668</v>
          </cell>
          <cell r="J179">
            <v>7.8718333333333321E-2</v>
          </cell>
          <cell r="K179">
            <v>0.56071666666666664</v>
          </cell>
          <cell r="L179">
            <v>1.2252733333333334</v>
          </cell>
          <cell r="M179">
            <v>1.4630000000000001E-2</v>
          </cell>
          <cell r="N179">
            <v>0.11908833333333332</v>
          </cell>
          <cell r="O179">
            <v>7.9899999999999999E-2</v>
          </cell>
          <cell r="P179">
            <v>9.3550000000000008E-2</v>
          </cell>
          <cell r="Q179">
            <v>0.58554833333333334</v>
          </cell>
          <cell r="R179">
            <v>2.0931583333333332</v>
          </cell>
          <cell r="S179">
            <v>2.5163333333333329E-2</v>
          </cell>
          <cell r="T179">
            <v>0</v>
          </cell>
          <cell r="U179">
            <v>0</v>
          </cell>
          <cell r="V179">
            <v>2.7038700000000002</v>
          </cell>
        </row>
        <row r="180">
          <cell r="E180" t="str">
            <v>KGVF67030</v>
          </cell>
          <cell r="F180">
            <v>1732.2496999999998</v>
          </cell>
          <cell r="G180">
            <v>36.046199999999999</v>
          </cell>
          <cell r="H180">
            <v>0.21758833333333336</v>
          </cell>
          <cell r="I180">
            <v>0.30847833333333335</v>
          </cell>
          <cell r="J180">
            <v>8.8888333333333333E-2</v>
          </cell>
          <cell r="K180">
            <v>0.57300000000000006</v>
          </cell>
          <cell r="L180">
            <v>1.2496733333333334</v>
          </cell>
          <cell r="M180">
            <v>1.4630000000000001E-2</v>
          </cell>
          <cell r="N180">
            <v>0.12222</v>
          </cell>
          <cell r="O180">
            <v>8.3423333333333335E-2</v>
          </cell>
          <cell r="P180">
            <v>9.6180000000000002E-2</v>
          </cell>
          <cell r="Q180">
            <v>0.61495500000000003</v>
          </cell>
          <cell r="R180">
            <v>2.1391266666666664</v>
          </cell>
          <cell r="S180">
            <v>2.5163333333333329E-2</v>
          </cell>
          <cell r="T180">
            <v>0</v>
          </cell>
          <cell r="U180">
            <v>0</v>
          </cell>
          <cell r="V180">
            <v>2.779245</v>
          </cell>
        </row>
        <row r="181">
          <cell r="E181" t="str">
            <v>KGVH67030</v>
          </cell>
          <cell r="F181">
            <v>1479.5014000000001</v>
          </cell>
          <cell r="G181">
            <v>33.107799999999997</v>
          </cell>
          <cell r="H181">
            <v>0.18590000000000001</v>
          </cell>
          <cell r="I181">
            <v>0.20237000000000002</v>
          </cell>
          <cell r="J181">
            <v>5.7833333333333334E-2</v>
          </cell>
          <cell r="K181">
            <v>0.48264833333333335</v>
          </cell>
          <cell r="L181">
            <v>1.191235</v>
          </cell>
          <cell r="M181">
            <v>1.3585000000000002E-2</v>
          </cell>
          <cell r="N181">
            <v>0.11306666666666666</v>
          </cell>
          <cell r="O181">
            <v>7.5573333333333326E-2</v>
          </cell>
          <cell r="P181">
            <v>9.1906666666666664E-2</v>
          </cell>
          <cell r="Q181">
            <v>0.44610333333333335</v>
          </cell>
          <cell r="R181">
            <v>1.9680149999999998</v>
          </cell>
          <cell r="S181">
            <v>2.5163333333333329E-2</v>
          </cell>
          <cell r="T181">
            <v>0</v>
          </cell>
          <cell r="U181">
            <v>0</v>
          </cell>
          <cell r="V181">
            <v>2.4392816666666666</v>
          </cell>
        </row>
        <row r="182">
          <cell r="E182" t="str">
            <v>KGVK67030</v>
          </cell>
          <cell r="F182">
            <v>1571.6649</v>
          </cell>
          <cell r="G182">
            <v>33.107799999999997</v>
          </cell>
          <cell r="H182">
            <v>0.19177666666666668</v>
          </cell>
          <cell r="I182">
            <v>0.21599333333333334</v>
          </cell>
          <cell r="J182">
            <v>7.2098333333333334E-2</v>
          </cell>
          <cell r="K182">
            <v>0.49493166666666671</v>
          </cell>
          <cell r="L182">
            <v>1.2175483333333332</v>
          </cell>
          <cell r="M182">
            <v>1.3585000000000002E-2</v>
          </cell>
          <cell r="N182">
            <v>0.11619833333333333</v>
          </cell>
          <cell r="O182">
            <v>7.9096666666666662E-2</v>
          </cell>
          <cell r="P182">
            <v>9.4536666666666672E-2</v>
          </cell>
          <cell r="Q182">
            <v>0.47986833333333334</v>
          </cell>
          <cell r="R182">
            <v>2.0158966666666664</v>
          </cell>
          <cell r="S182">
            <v>2.5163333333333329E-2</v>
          </cell>
          <cell r="T182">
            <v>0</v>
          </cell>
          <cell r="U182">
            <v>0</v>
          </cell>
          <cell r="V182">
            <v>2.520928333333333</v>
          </cell>
        </row>
        <row r="183">
          <cell r="E183" t="str">
            <v>KGVP67030</v>
          </cell>
          <cell r="F183">
            <v>1502.9059</v>
          </cell>
          <cell r="G183">
            <v>36.046199999999999</v>
          </cell>
          <cell r="H183">
            <v>0.19507666666666665</v>
          </cell>
          <cell r="I183">
            <v>0.21379833333333334</v>
          </cell>
          <cell r="J183">
            <v>9.0896666666666667E-2</v>
          </cell>
          <cell r="K183">
            <v>0.51153999999999999</v>
          </cell>
          <cell r="L183">
            <v>1.1946099999999999</v>
          </cell>
          <cell r="M183">
            <v>1.3585000000000002E-2</v>
          </cell>
          <cell r="N183">
            <v>0.11573666666666667</v>
          </cell>
          <cell r="O183">
            <v>7.7836666666666679E-2</v>
          </cell>
          <cell r="P183">
            <v>9.0161666666666668E-2</v>
          </cell>
          <cell r="Q183">
            <v>0.49977166666666667</v>
          </cell>
          <cell r="R183">
            <v>2.0034700000000001</v>
          </cell>
          <cell r="S183">
            <v>4.2664999999999995E-2</v>
          </cell>
          <cell r="T183">
            <v>0</v>
          </cell>
          <cell r="U183">
            <v>0</v>
          </cell>
          <cell r="V183">
            <v>2.5459066666666668</v>
          </cell>
        </row>
        <row r="184">
          <cell r="E184" t="str">
            <v>KGVR67030</v>
          </cell>
          <cell r="F184">
            <v>1559.2992999999999</v>
          </cell>
          <cell r="G184">
            <v>36.046199999999999</v>
          </cell>
          <cell r="H184">
            <v>0.20103666666666667</v>
          </cell>
          <cell r="I184">
            <v>0.24589</v>
          </cell>
          <cell r="J184">
            <v>9.736333333333333E-2</v>
          </cell>
          <cell r="K184">
            <v>0.52514666666666665</v>
          </cell>
          <cell r="L184">
            <v>1.2032366666666665</v>
          </cell>
          <cell r="M184">
            <v>1.3585000000000002E-2</v>
          </cell>
          <cell r="N184">
            <v>0.11665166666666667</v>
          </cell>
          <cell r="O184">
            <v>7.8651666666666661E-2</v>
          </cell>
          <cell r="P184">
            <v>9.0666666666666673E-2</v>
          </cell>
          <cell r="Q184">
            <v>0.54429000000000005</v>
          </cell>
          <cell r="R184">
            <v>2.0279383333333332</v>
          </cell>
          <cell r="S184">
            <v>4.2664999999999995E-2</v>
          </cell>
          <cell r="T184">
            <v>0</v>
          </cell>
          <cell r="U184">
            <v>0</v>
          </cell>
          <cell r="V184">
            <v>2.6148933333333333</v>
          </cell>
        </row>
        <row r="185">
          <cell r="E185" t="str">
            <v>KGWD67030</v>
          </cell>
          <cell r="F185">
            <v>1444.1678999999999</v>
          </cell>
          <cell r="G185">
            <v>33.534100000000002</v>
          </cell>
          <cell r="H185">
            <v>0.18409833333333334</v>
          </cell>
          <cell r="I185">
            <v>0.20512166666666667</v>
          </cell>
          <cell r="J185">
            <v>8.7555000000000008E-2</v>
          </cell>
          <cell r="K185">
            <v>0.47798833333333335</v>
          </cell>
          <cell r="L185">
            <v>1.1402216666666667</v>
          </cell>
          <cell r="M185">
            <v>1.3585000000000002E-2</v>
          </cell>
          <cell r="N185">
            <v>0.10885333333333333</v>
          </cell>
          <cell r="O185">
            <v>7.3491666666666677E-2</v>
          </cell>
          <cell r="P185">
            <v>8.7818333333333332E-2</v>
          </cell>
          <cell r="Q185">
            <v>0.476775</v>
          </cell>
          <cell r="R185">
            <v>1.9019583333333332</v>
          </cell>
          <cell r="S185">
            <v>4.2664999999999995E-2</v>
          </cell>
          <cell r="T185">
            <v>0</v>
          </cell>
          <cell r="U185">
            <v>0</v>
          </cell>
          <cell r="V185">
            <v>2.4213983333333333</v>
          </cell>
        </row>
        <row r="186">
          <cell r="E186" t="str">
            <v>KHFE67030</v>
          </cell>
          <cell r="F186">
            <v>1489.4474</v>
          </cell>
          <cell r="G186">
            <v>33.534100000000002</v>
          </cell>
          <cell r="H186">
            <v>0.19036333333333333</v>
          </cell>
          <cell r="I186">
            <v>0.21723166666666666</v>
          </cell>
          <cell r="J186">
            <v>8.7555000000000008E-2</v>
          </cell>
          <cell r="K186">
            <v>0.49258166666666664</v>
          </cell>
          <cell r="L186">
            <v>1.2015516666666668</v>
          </cell>
          <cell r="M186">
            <v>1.4630000000000001E-2</v>
          </cell>
          <cell r="N186">
            <v>0.11365333333333334</v>
          </cell>
          <cell r="O186">
            <v>7.9504999999999992E-2</v>
          </cell>
          <cell r="P186">
            <v>9.8296666666666671E-2</v>
          </cell>
          <cell r="Q186">
            <v>0.49514999999999998</v>
          </cell>
          <cell r="R186">
            <v>2.0002183333333332</v>
          </cell>
          <cell r="S186">
            <v>4.2664999999999995E-2</v>
          </cell>
          <cell r="T186">
            <v>0</v>
          </cell>
          <cell r="U186">
            <v>0</v>
          </cell>
          <cell r="V186">
            <v>2.5380333333333334</v>
          </cell>
        </row>
        <row r="187">
          <cell r="E187" t="str">
            <v>KHFG67030</v>
          </cell>
          <cell r="F187">
            <v>1548.1885</v>
          </cell>
          <cell r="G187">
            <v>36.046199999999999</v>
          </cell>
          <cell r="H187">
            <v>0.20134166666666667</v>
          </cell>
          <cell r="I187">
            <v>0.22590666666666664</v>
          </cell>
          <cell r="J187">
            <v>9.0896666666666667E-2</v>
          </cell>
          <cell r="K187">
            <v>0.52613333333333334</v>
          </cell>
          <cell r="L187">
            <v>1.2559216666666666</v>
          </cell>
          <cell r="M187">
            <v>1.4630000000000001E-2</v>
          </cell>
          <cell r="N187">
            <v>0.12053666666666667</v>
          </cell>
          <cell r="O187">
            <v>8.3849999999999994E-2</v>
          </cell>
          <cell r="P187">
            <v>0.10064000000000001</v>
          </cell>
          <cell r="Q187">
            <v>0.51814499999999997</v>
          </cell>
          <cell r="R187">
            <v>2.1017116666666666</v>
          </cell>
          <cell r="S187">
            <v>4.2664999999999995E-2</v>
          </cell>
          <cell r="T187">
            <v>0</v>
          </cell>
          <cell r="U187">
            <v>0</v>
          </cell>
          <cell r="V187">
            <v>2.6625216666666667</v>
          </cell>
        </row>
        <row r="188">
          <cell r="E188" t="str">
            <v>KHFS67030</v>
          </cell>
          <cell r="F188">
            <v>1630.4218999999998</v>
          </cell>
          <cell r="G188">
            <v>36.046199999999999</v>
          </cell>
          <cell r="H188">
            <v>0.20714833333333335</v>
          </cell>
          <cell r="I188">
            <v>0.24034333333333333</v>
          </cell>
          <cell r="J188">
            <v>0.10106666666666667</v>
          </cell>
          <cell r="K188">
            <v>0.53841666666666665</v>
          </cell>
          <cell r="L188">
            <v>1.2803266666666666</v>
          </cell>
          <cell r="M188">
            <v>1.4630000000000001E-2</v>
          </cell>
          <cell r="N188">
            <v>0.12366833333333332</v>
          </cell>
          <cell r="O188">
            <v>8.7374999999999994E-2</v>
          </cell>
          <cell r="P188">
            <v>0.10326833333333334</v>
          </cell>
          <cell r="Q188">
            <v>0.54855833333333337</v>
          </cell>
          <cell r="R188">
            <v>2.1476850000000001</v>
          </cell>
          <cell r="S188">
            <v>4.2664999999999995E-2</v>
          </cell>
          <cell r="T188">
            <v>0</v>
          </cell>
          <cell r="U188">
            <v>0</v>
          </cell>
          <cell r="V188">
            <v>2.7389083333333333</v>
          </cell>
        </row>
        <row r="189">
          <cell r="E189" t="str">
            <v>KHFT67030</v>
          </cell>
          <cell r="F189">
            <v>1641.5356999999999</v>
          </cell>
          <cell r="G189">
            <v>36.046199999999999</v>
          </cell>
          <cell r="H189">
            <v>0.20684166666666667</v>
          </cell>
          <cell r="I189">
            <v>0.26032666666666665</v>
          </cell>
          <cell r="J189">
            <v>0.10753333333333333</v>
          </cell>
          <cell r="K189">
            <v>0.53743000000000007</v>
          </cell>
          <cell r="L189">
            <v>1.2276416666666667</v>
          </cell>
          <cell r="M189">
            <v>1.3585000000000002E-2</v>
          </cell>
          <cell r="N189">
            <v>0.11978333333333334</v>
          </cell>
          <cell r="O189">
            <v>8.2175000000000012E-2</v>
          </cell>
          <cell r="P189">
            <v>9.3294999999999989E-2</v>
          </cell>
          <cell r="Q189">
            <v>0.57470166666666667</v>
          </cell>
          <cell r="R189">
            <v>2.0739100000000001</v>
          </cell>
          <cell r="S189">
            <v>4.2664999999999995E-2</v>
          </cell>
          <cell r="T189">
            <v>0</v>
          </cell>
          <cell r="U189">
            <v>0</v>
          </cell>
          <cell r="V189">
            <v>2.6912766666666665</v>
          </cell>
        </row>
        <row r="190">
          <cell r="E190" t="str">
            <v>KHFV67030</v>
          </cell>
          <cell r="F190">
            <v>1686.8152999999998</v>
          </cell>
          <cell r="G190">
            <v>36.046199999999999</v>
          </cell>
          <cell r="H190">
            <v>0.21310666666666667</v>
          </cell>
          <cell r="I190">
            <v>0.27243499999999998</v>
          </cell>
          <cell r="J190">
            <v>0.10753333333333333</v>
          </cell>
          <cell r="K190">
            <v>0.55202333333333331</v>
          </cell>
          <cell r="L190">
            <v>1.2889533333333332</v>
          </cell>
          <cell r="M190">
            <v>1.4630000000000001E-2</v>
          </cell>
          <cell r="N190">
            <v>0.124585</v>
          </cell>
          <cell r="O190">
            <v>8.8191666666666668E-2</v>
          </cell>
          <cell r="P190">
            <v>0.10377333333333333</v>
          </cell>
          <cell r="Q190">
            <v>0.59307500000000002</v>
          </cell>
          <cell r="R190">
            <v>2.1721566666666665</v>
          </cell>
          <cell r="S190">
            <v>4.2664999999999995E-2</v>
          </cell>
          <cell r="T190">
            <v>0</v>
          </cell>
          <cell r="U190">
            <v>0</v>
          </cell>
          <cell r="V190">
            <v>2.8078966666666667</v>
          </cell>
        </row>
        <row r="191">
          <cell r="E191" t="str">
            <v>KHGD67030</v>
          </cell>
          <cell r="F191">
            <v>1790.9124999999999</v>
          </cell>
          <cell r="G191">
            <v>36.046199999999999</v>
          </cell>
          <cell r="H191">
            <v>0.22449</v>
          </cell>
          <cell r="I191">
            <v>0.31989333333333331</v>
          </cell>
          <cell r="J191">
            <v>0.10753333333333333</v>
          </cell>
          <cell r="K191">
            <v>0.58638333333333337</v>
          </cell>
          <cell r="L191">
            <v>1.2590216666666667</v>
          </cell>
          <cell r="M191">
            <v>1.4630000000000001E-2</v>
          </cell>
          <cell r="N191">
            <v>0.12378666666666667</v>
          </cell>
          <cell r="O191">
            <v>8.3909999999999998E-2</v>
          </cell>
          <cell r="P191">
            <v>9.632333333333333E-2</v>
          </cell>
          <cell r="Q191">
            <v>0.6519166666666667</v>
          </cell>
          <cell r="R191">
            <v>2.1640549999999998</v>
          </cell>
          <cell r="S191">
            <v>4.2664999999999995E-2</v>
          </cell>
          <cell r="T191">
            <v>0</v>
          </cell>
          <cell r="U191">
            <v>0</v>
          </cell>
          <cell r="V191">
            <v>2.8586366666666665</v>
          </cell>
        </row>
        <row r="192">
          <cell r="E192" t="str">
            <v>KHGE67030</v>
          </cell>
          <cell r="F192">
            <v>1836.1923999999999</v>
          </cell>
          <cell r="G192">
            <v>36.046199999999999</v>
          </cell>
          <cell r="H192">
            <v>0.23075499999999999</v>
          </cell>
          <cell r="I192">
            <v>0.33200166666666669</v>
          </cell>
          <cell r="J192">
            <v>0.10753333333333333</v>
          </cell>
          <cell r="K192">
            <v>0.6009766666666666</v>
          </cell>
          <cell r="L192">
            <v>1.3203333333333334</v>
          </cell>
          <cell r="M192">
            <v>1.5675000000000001E-2</v>
          </cell>
          <cell r="N192">
            <v>0.12858833333333333</v>
          </cell>
          <cell r="O192">
            <v>8.9928333333333332E-2</v>
          </cell>
          <cell r="P192">
            <v>0.10680166666666667</v>
          </cell>
          <cell r="Q192">
            <v>0.67029000000000005</v>
          </cell>
          <cell r="R192">
            <v>2.2623033333333336</v>
          </cell>
          <cell r="S192">
            <v>4.2664999999999995E-2</v>
          </cell>
          <cell r="T192">
            <v>0</v>
          </cell>
          <cell r="U192">
            <v>0</v>
          </cell>
          <cell r="V192">
            <v>2.9752583333333336</v>
          </cell>
        </row>
        <row r="193">
          <cell r="E193" t="str">
            <v>KHGF67030</v>
          </cell>
          <cell r="F193">
            <v>1829.7420999999999</v>
          </cell>
          <cell r="G193">
            <v>36.046199999999999</v>
          </cell>
          <cell r="H193">
            <v>0.22875166666666666</v>
          </cell>
          <cell r="I193">
            <v>0.32230999999999999</v>
          </cell>
          <cell r="J193">
            <v>0.12302166666666667</v>
          </cell>
          <cell r="K193">
            <v>0.59481666666666666</v>
          </cell>
          <cell r="L193">
            <v>1.2900133333333335</v>
          </cell>
          <cell r="M193">
            <v>1.4630000000000001E-2</v>
          </cell>
          <cell r="N193">
            <v>0.12693166666666666</v>
          </cell>
          <cell r="O193">
            <v>8.5436666666666661E-2</v>
          </cell>
          <cell r="P193">
            <v>0.101175</v>
          </cell>
          <cell r="Q193">
            <v>0.67408333333333337</v>
          </cell>
          <cell r="R193">
            <v>2.2130033333333334</v>
          </cell>
          <cell r="S193">
            <v>4.2664999999999995E-2</v>
          </cell>
          <cell r="T193">
            <v>0</v>
          </cell>
          <cell r="U193">
            <v>0</v>
          </cell>
          <cell r="V193">
            <v>2.9297516666666668</v>
          </cell>
        </row>
        <row r="194">
          <cell r="E194" t="str">
            <v>KHGG67030</v>
          </cell>
          <cell r="F194">
            <v>1875.0219999999999</v>
          </cell>
          <cell r="G194">
            <v>36.046199999999999</v>
          </cell>
          <cell r="H194">
            <v>0.23501666666666668</v>
          </cell>
          <cell r="I194">
            <v>0.33441833333333337</v>
          </cell>
          <cell r="J194">
            <v>0.12302166666666667</v>
          </cell>
          <cell r="K194">
            <v>0.60941000000000001</v>
          </cell>
          <cell r="L194">
            <v>1.3513266666666666</v>
          </cell>
          <cell r="M194">
            <v>1.5675000000000001E-2</v>
          </cell>
          <cell r="N194">
            <v>0.13173166666666666</v>
          </cell>
          <cell r="O194">
            <v>9.1451666666666667E-2</v>
          </cell>
          <cell r="P194">
            <v>0.11165333333333334</v>
          </cell>
          <cell r="Q194">
            <v>0.69245666666666672</v>
          </cell>
          <cell r="R194">
            <v>2.3112483333333333</v>
          </cell>
          <cell r="S194">
            <v>4.2664999999999995E-2</v>
          </cell>
          <cell r="T194">
            <v>0</v>
          </cell>
          <cell r="U194">
            <v>0</v>
          </cell>
          <cell r="V194">
            <v>3.04637</v>
          </cell>
        </row>
        <row r="195">
          <cell r="E195" t="str">
            <v>KHJE67030</v>
          </cell>
          <cell r="F195">
            <v>1444.2863</v>
          </cell>
          <cell r="G195">
            <v>36.046199999999999</v>
          </cell>
          <cell r="H195">
            <v>0.18817666666666666</v>
          </cell>
          <cell r="I195">
            <v>0.20338833333333334</v>
          </cell>
          <cell r="J195">
            <v>7.2251666666666658E-2</v>
          </cell>
          <cell r="K195">
            <v>0.49815666666666664</v>
          </cell>
          <cell r="L195">
            <v>1.1852683333333334</v>
          </cell>
          <cell r="M195">
            <v>1.3585000000000002E-2</v>
          </cell>
          <cell r="N195">
            <v>0.11416833333333334</v>
          </cell>
          <cell r="O195">
            <v>7.7344999999999997E-2</v>
          </cell>
          <cell r="P195">
            <v>9.0016666666666662E-2</v>
          </cell>
          <cell r="Q195">
            <v>0.46381666666666665</v>
          </cell>
          <cell r="R195">
            <v>1.97854</v>
          </cell>
          <cell r="S195">
            <v>2.5163333333333329E-2</v>
          </cell>
          <cell r="T195">
            <v>0</v>
          </cell>
          <cell r="U195">
            <v>0</v>
          </cell>
          <cell r="V195">
            <v>2.4675199999999999</v>
          </cell>
        </row>
        <row r="196">
          <cell r="E196" t="str">
            <v>KHJF67030</v>
          </cell>
          <cell r="F196">
            <v>1675.8562999999999</v>
          </cell>
          <cell r="G196">
            <v>36.046199999999999</v>
          </cell>
          <cell r="H196">
            <v>0.21162833333333333</v>
          </cell>
          <cell r="I196">
            <v>0.27638500000000005</v>
          </cell>
          <cell r="J196">
            <v>8.2421666666666657E-2</v>
          </cell>
          <cell r="K196">
            <v>0.55939166666666662</v>
          </cell>
          <cell r="L196">
            <v>1.2410466666666666</v>
          </cell>
          <cell r="M196">
            <v>1.4630000000000001E-2</v>
          </cell>
          <cell r="N196">
            <v>0.121305</v>
          </cell>
          <cell r="O196">
            <v>8.2608333333333339E-2</v>
          </cell>
          <cell r="P196">
            <v>9.5674999999999996E-2</v>
          </cell>
          <cell r="Q196">
            <v>0.57043500000000003</v>
          </cell>
          <cell r="R196">
            <v>2.1146566666666664</v>
          </cell>
          <cell r="S196">
            <v>2.5163333333333329E-2</v>
          </cell>
          <cell r="T196">
            <v>0</v>
          </cell>
          <cell r="U196">
            <v>0</v>
          </cell>
          <cell r="V196">
            <v>2.7102550000000001</v>
          </cell>
        </row>
        <row r="197">
          <cell r="E197" t="str">
            <v>KHVM67030</v>
          </cell>
          <cell r="F197">
            <v>1771.0842000000002</v>
          </cell>
          <cell r="G197">
            <v>36.046199999999999</v>
          </cell>
          <cell r="H197">
            <v>0.22184999999999999</v>
          </cell>
          <cell r="I197">
            <v>0.31089500000000003</v>
          </cell>
          <cell r="J197">
            <v>0.10437666666666666</v>
          </cell>
          <cell r="K197">
            <v>0.58143333333333336</v>
          </cell>
          <cell r="L197">
            <v>1.2806633333333333</v>
          </cell>
          <cell r="M197">
            <v>1.4630000000000001E-2</v>
          </cell>
          <cell r="N197">
            <v>0.125365</v>
          </cell>
          <cell r="O197">
            <v>8.4950000000000012E-2</v>
          </cell>
          <cell r="P197">
            <v>0.10102999999999999</v>
          </cell>
          <cell r="Q197">
            <v>0.6371216666666667</v>
          </cell>
          <cell r="R197">
            <v>2.1880716666666666</v>
          </cell>
          <cell r="S197">
            <v>2.5163333333333329E-2</v>
          </cell>
          <cell r="T197">
            <v>0</v>
          </cell>
          <cell r="U197">
            <v>0</v>
          </cell>
          <cell r="V197">
            <v>2.8503566666666669</v>
          </cell>
        </row>
        <row r="198">
          <cell r="E198" t="str">
            <v>KHVP67030</v>
          </cell>
          <cell r="F198">
            <v>1526.5442</v>
          </cell>
          <cell r="G198">
            <v>33.534100000000002</v>
          </cell>
          <cell r="H198">
            <v>0.19552666666666668</v>
          </cell>
          <cell r="I198">
            <v>0.26289166666666669</v>
          </cell>
          <cell r="J198">
            <v>6.8909999999999999E-2</v>
          </cell>
          <cell r="K198">
            <v>0.51483833333333329</v>
          </cell>
          <cell r="L198">
            <v>1.1788583333333333</v>
          </cell>
          <cell r="M198">
            <v>1.4630000000000001E-2</v>
          </cell>
          <cell r="N198">
            <v>0.11251499999999999</v>
          </cell>
          <cell r="O198">
            <v>7.5715000000000005E-2</v>
          </cell>
          <cell r="P198">
            <v>8.9151666666666671E-2</v>
          </cell>
          <cell r="Q198">
            <v>0.5273283333333334</v>
          </cell>
          <cell r="R198">
            <v>1.9857083333333332</v>
          </cell>
          <cell r="S198">
            <v>2.5163333333333329E-2</v>
          </cell>
          <cell r="T198">
            <v>0</v>
          </cell>
          <cell r="U198">
            <v>0</v>
          </cell>
          <cell r="V198">
            <v>2.5381999999999998</v>
          </cell>
        </row>
        <row r="199">
          <cell r="E199" t="str">
            <v>KHVS67030</v>
          </cell>
          <cell r="F199">
            <v>1573.5855000000001</v>
          </cell>
          <cell r="G199">
            <v>36.046199999999999</v>
          </cell>
          <cell r="H199">
            <v>0.20410166666666668</v>
          </cell>
          <cell r="I199">
            <v>0.26295333333333332</v>
          </cell>
          <cell r="J199">
            <v>7.2251666666666658E-2</v>
          </cell>
          <cell r="K199">
            <v>0.54124000000000005</v>
          </cell>
          <cell r="L199">
            <v>1.2114883333333333</v>
          </cell>
          <cell r="M199">
            <v>1.4630000000000001E-2</v>
          </cell>
          <cell r="N199">
            <v>0.117345</v>
          </cell>
          <cell r="O199">
            <v>7.8493333333333332E-2</v>
          </cell>
          <cell r="P199">
            <v>9.0673333333333342E-2</v>
          </cell>
          <cell r="Q199">
            <v>0.5393066666666666</v>
          </cell>
          <cell r="R199">
            <v>2.0538699999999999</v>
          </cell>
          <cell r="S199">
            <v>2.5163333333333329E-2</v>
          </cell>
          <cell r="T199">
            <v>0</v>
          </cell>
          <cell r="U199">
            <v>0</v>
          </cell>
          <cell r="V199">
            <v>2.6183399999999999</v>
          </cell>
        </row>
        <row r="200">
          <cell r="E200" t="str">
            <v>KJVF67030</v>
          </cell>
          <cell r="F200">
            <v>1560.7476999999999</v>
          </cell>
          <cell r="G200">
            <v>33.107799999999997</v>
          </cell>
          <cell r="H200">
            <v>0.20162333333333335</v>
          </cell>
          <cell r="I200">
            <v>0.24712666666666666</v>
          </cell>
          <cell r="J200">
            <v>5.7833333333333334E-2</v>
          </cell>
          <cell r="K200">
            <v>0.53003999999999996</v>
          </cell>
          <cell r="L200">
            <v>1.2158033333333333</v>
          </cell>
          <cell r="M200">
            <v>1.4630000000000001E-2</v>
          </cell>
          <cell r="N200">
            <v>0.11706833333333333</v>
          </cell>
          <cell r="O200">
            <v>7.7260000000000009E-2</v>
          </cell>
          <cell r="P200">
            <v>9.490333333333334E-2</v>
          </cell>
          <cell r="Q200">
            <v>0.50658333333333327</v>
          </cell>
          <cell r="R200">
            <v>2.0497049999999999</v>
          </cell>
          <cell r="S200">
            <v>2.5163333333333329E-2</v>
          </cell>
          <cell r="T200">
            <v>0</v>
          </cell>
          <cell r="U200">
            <v>0</v>
          </cell>
          <cell r="V200">
            <v>2.5814516666666667</v>
          </cell>
        </row>
        <row r="201">
          <cell r="E201" t="str">
            <v>KJVH67030</v>
          </cell>
          <cell r="F201">
            <v>1652.4342999999999</v>
          </cell>
          <cell r="G201">
            <v>33.107799999999997</v>
          </cell>
          <cell r="H201">
            <v>0.207535</v>
          </cell>
          <cell r="I201">
            <v>0.26074999999999998</v>
          </cell>
          <cell r="J201">
            <v>7.2098333333333334E-2</v>
          </cell>
          <cell r="K201">
            <v>0.54232333333333338</v>
          </cell>
          <cell r="L201">
            <v>1.2423550000000001</v>
          </cell>
          <cell r="M201">
            <v>1.4630000000000001E-2</v>
          </cell>
          <cell r="N201">
            <v>0.1202</v>
          </cell>
          <cell r="O201">
            <v>8.0783333333333346E-2</v>
          </cell>
          <cell r="P201">
            <v>9.7531666666666655E-2</v>
          </cell>
          <cell r="Q201">
            <v>0.54038333333333333</v>
          </cell>
          <cell r="R201">
            <v>2.0978233333333334</v>
          </cell>
          <cell r="S201">
            <v>2.5163333333333329E-2</v>
          </cell>
          <cell r="T201">
            <v>0</v>
          </cell>
          <cell r="U201">
            <v>0</v>
          </cell>
          <cell r="V201">
            <v>2.66337</v>
          </cell>
        </row>
        <row r="202">
          <cell r="E202" t="str">
            <v>KJVP67030</v>
          </cell>
          <cell r="F202">
            <v>1713.0646999999999</v>
          </cell>
          <cell r="G202">
            <v>33.107799999999997</v>
          </cell>
          <cell r="H202">
            <v>0.21350833333333333</v>
          </cell>
          <cell r="I202">
            <v>0.29314333333333331</v>
          </cell>
          <cell r="J202">
            <v>7.8564999999999996E-2</v>
          </cell>
          <cell r="K202">
            <v>0.5559316666666666</v>
          </cell>
          <cell r="L202">
            <v>1.2510133333333333</v>
          </cell>
          <cell r="M202">
            <v>1.4630000000000001E-2</v>
          </cell>
          <cell r="N202">
            <v>0.12111666666666668</v>
          </cell>
          <cell r="O202">
            <v>8.1599999999999992E-2</v>
          </cell>
          <cell r="P202">
            <v>9.8036666666666675E-2</v>
          </cell>
          <cell r="Q202">
            <v>0.58521666666666661</v>
          </cell>
          <cell r="R202">
            <v>2.1223283333333334</v>
          </cell>
          <cell r="S202">
            <v>2.5163333333333329E-2</v>
          </cell>
          <cell r="T202">
            <v>0</v>
          </cell>
          <cell r="U202">
            <v>0</v>
          </cell>
          <cell r="V202">
            <v>2.7327083333333335</v>
          </cell>
        </row>
        <row r="203">
          <cell r="E203" t="str">
            <v>KJVR67030</v>
          </cell>
          <cell r="F203">
            <v>1713.5445999999999</v>
          </cell>
          <cell r="G203">
            <v>33.107799999999997</v>
          </cell>
          <cell r="H203">
            <v>0.21347333333333335</v>
          </cell>
          <cell r="I203">
            <v>0.29314333333333331</v>
          </cell>
          <cell r="J203">
            <v>7.8564999999999996E-2</v>
          </cell>
          <cell r="K203">
            <v>0.5559316666666666</v>
          </cell>
          <cell r="L203">
            <v>1.250775</v>
          </cell>
          <cell r="M203">
            <v>1.4630000000000001E-2</v>
          </cell>
          <cell r="N203">
            <v>0.12111666666666668</v>
          </cell>
          <cell r="O203">
            <v>8.1599999999999992E-2</v>
          </cell>
          <cell r="P203">
            <v>9.8036666666666675E-2</v>
          </cell>
          <cell r="Q203">
            <v>0.58518166666666671</v>
          </cell>
          <cell r="R203">
            <v>2.12209</v>
          </cell>
          <cell r="S203">
            <v>2.5163333333333329E-2</v>
          </cell>
          <cell r="T203">
            <v>0</v>
          </cell>
          <cell r="U203">
            <v>0</v>
          </cell>
          <cell r="V203">
            <v>2.7324350000000002</v>
          </cell>
        </row>
        <row r="204">
          <cell r="E204" t="str">
            <v>KKLA67030</v>
          </cell>
          <cell r="F204">
            <v>1523.2946000000002</v>
          </cell>
          <cell r="G204">
            <v>30.978000000000002</v>
          </cell>
          <cell r="H204">
            <v>0.19336666666666666</v>
          </cell>
          <cell r="I204">
            <v>0.21681833333333334</v>
          </cell>
          <cell r="J204">
            <v>9.4851666666666654E-2</v>
          </cell>
          <cell r="K204">
            <v>0.50493999999999994</v>
          </cell>
          <cell r="L204">
            <v>1.2074516666666668</v>
          </cell>
          <cell r="M204">
            <v>1.3585000000000002E-2</v>
          </cell>
          <cell r="N204">
            <v>0.11730166666666667</v>
          </cell>
          <cell r="O204">
            <v>8.0873333333333339E-2</v>
          </cell>
          <cell r="P204">
            <v>9.2645000000000005E-2</v>
          </cell>
          <cell r="Q204">
            <v>0.50503666666666669</v>
          </cell>
          <cell r="R204">
            <v>2.0167966666666666</v>
          </cell>
          <cell r="S204">
            <v>2.5163333333333329E-2</v>
          </cell>
          <cell r="T204">
            <v>0</v>
          </cell>
          <cell r="U204">
            <v>0</v>
          </cell>
          <cell r="V204">
            <v>2.5469966666666668</v>
          </cell>
        </row>
        <row r="205">
          <cell r="E205" t="str">
            <v>KKLB67030</v>
          </cell>
          <cell r="F205">
            <v>1579.6880000000001</v>
          </cell>
          <cell r="G205">
            <v>30.978000000000002</v>
          </cell>
          <cell r="H205">
            <v>0.199325</v>
          </cell>
          <cell r="I205">
            <v>0.24891166666666667</v>
          </cell>
          <cell r="J205">
            <v>0.10131833333333334</v>
          </cell>
          <cell r="K205">
            <v>0.51854666666666671</v>
          </cell>
          <cell r="L205">
            <v>1.2160766666666667</v>
          </cell>
          <cell r="M205">
            <v>1.3585000000000002E-2</v>
          </cell>
          <cell r="N205">
            <v>0.11821666666666666</v>
          </cell>
          <cell r="O205">
            <v>8.1686666666666671E-2</v>
          </cell>
          <cell r="P205">
            <v>9.3150000000000011E-2</v>
          </cell>
          <cell r="Q205">
            <v>0.54955500000000002</v>
          </cell>
          <cell r="R205">
            <v>2.0412616666666668</v>
          </cell>
          <cell r="S205">
            <v>2.5163333333333329E-2</v>
          </cell>
          <cell r="T205">
            <v>0</v>
          </cell>
          <cell r="U205">
            <v>0</v>
          </cell>
          <cell r="V205">
            <v>2.6159800000000004</v>
          </cell>
        </row>
        <row r="206">
          <cell r="E206" t="str">
            <v>KKLD67030</v>
          </cell>
          <cell r="F206">
            <v>1729.0601999999999</v>
          </cell>
          <cell r="G206">
            <v>30.978000000000002</v>
          </cell>
          <cell r="H206">
            <v>0.21697333333333332</v>
          </cell>
          <cell r="I206">
            <v>0.30847833333333335</v>
          </cell>
          <cell r="J206">
            <v>0.10131833333333334</v>
          </cell>
          <cell r="K206">
            <v>0.5675</v>
          </cell>
          <cell r="L206">
            <v>1.2474583333333333</v>
          </cell>
          <cell r="M206">
            <v>1.4630000000000001E-2</v>
          </cell>
          <cell r="N206">
            <v>0.12222</v>
          </cell>
          <cell r="O206">
            <v>8.3423333333333335E-2</v>
          </cell>
          <cell r="P206">
            <v>9.6180000000000002E-2</v>
          </cell>
          <cell r="Q206">
            <v>0.62677000000000005</v>
          </cell>
          <cell r="R206">
            <v>2.1314116666666663</v>
          </cell>
          <cell r="S206">
            <v>2.5163333333333329E-2</v>
          </cell>
          <cell r="T206">
            <v>0</v>
          </cell>
          <cell r="U206">
            <v>0</v>
          </cell>
          <cell r="V206">
            <v>2.7833449999999997</v>
          </cell>
        </row>
        <row r="207">
          <cell r="E207" t="str">
            <v>KKTH67240</v>
          </cell>
          <cell r="F207">
            <v>21.587800000000001</v>
          </cell>
          <cell r="G207">
            <v>0</v>
          </cell>
          <cell r="H207">
            <v>1.2624999999999999E-2</v>
          </cell>
          <cell r="I207">
            <v>0</v>
          </cell>
          <cell r="J207">
            <v>0</v>
          </cell>
          <cell r="K207">
            <v>3.4031666666666668E-2</v>
          </cell>
          <cell r="L207">
            <v>0.14403833333333335</v>
          </cell>
          <cell r="M207">
            <v>1.0450000000000001E-3</v>
          </cell>
          <cell r="N207">
            <v>1.8095000000000003E-2</v>
          </cell>
          <cell r="O207">
            <v>8.6383333333333329E-3</v>
          </cell>
          <cell r="P207">
            <v>4.1200000000000004E-3</v>
          </cell>
          <cell r="Q207">
            <v>1.2624999999999999E-2</v>
          </cell>
          <cell r="R207">
            <v>0.20996833333333334</v>
          </cell>
          <cell r="S207">
            <v>0</v>
          </cell>
          <cell r="T207">
            <v>0</v>
          </cell>
          <cell r="U207">
            <v>0</v>
          </cell>
          <cell r="V207">
            <v>0.22259333333333334</v>
          </cell>
        </row>
        <row r="208">
          <cell r="E208" t="str">
            <v>KLAS67030B</v>
          </cell>
          <cell r="F208">
            <v>964.6742999999999</v>
          </cell>
          <cell r="G208">
            <v>28.940300000000001</v>
          </cell>
          <cell r="H208">
            <v>0.14107833333333333</v>
          </cell>
          <cell r="I208">
            <v>0.16437333333333332</v>
          </cell>
          <cell r="J208">
            <v>1.4756666666666666E-2</v>
          </cell>
          <cell r="K208">
            <v>0.41879666666666665</v>
          </cell>
          <cell r="L208">
            <v>1.1201583333333334</v>
          </cell>
          <cell r="M208">
            <v>8.3600000000000011E-3</v>
          </cell>
          <cell r="N208">
            <v>9.0800000000000006E-2</v>
          </cell>
          <cell r="O208">
            <v>6.3738333333333327E-2</v>
          </cell>
          <cell r="P208">
            <v>9.4091666666666671E-2</v>
          </cell>
          <cell r="Q208">
            <v>0.32020833333333332</v>
          </cell>
          <cell r="R208">
            <v>1.7959449999999999</v>
          </cell>
          <cell r="S208">
            <v>0</v>
          </cell>
          <cell r="T208">
            <v>0</v>
          </cell>
          <cell r="U208">
            <v>0</v>
          </cell>
          <cell r="V208">
            <v>2.1161533333333331</v>
          </cell>
        </row>
        <row r="209">
          <cell r="E209" t="str">
            <v>KLBA67030B</v>
          </cell>
          <cell r="F209">
            <v>1010.1243999999999</v>
          </cell>
          <cell r="G209">
            <v>28.940300000000001</v>
          </cell>
          <cell r="H209">
            <v>0.14716500000000002</v>
          </cell>
          <cell r="I209">
            <v>0.18387500000000001</v>
          </cell>
          <cell r="J209">
            <v>1.4756666666666666E-2</v>
          </cell>
          <cell r="K209">
            <v>0.43632500000000002</v>
          </cell>
          <cell r="L209">
            <v>1.1396983333333333</v>
          </cell>
          <cell r="M209">
            <v>8.3600000000000011E-3</v>
          </cell>
          <cell r="N209">
            <v>9.3196666666666664E-2</v>
          </cell>
          <cell r="O209">
            <v>6.4785000000000009E-2</v>
          </cell>
          <cell r="P209">
            <v>9.6553333333333324E-2</v>
          </cell>
          <cell r="Q209">
            <v>0.34579666666666664</v>
          </cell>
          <cell r="R209">
            <v>1.8389183333333332</v>
          </cell>
          <cell r="S209">
            <v>0</v>
          </cell>
          <cell r="T209">
            <v>0</v>
          </cell>
          <cell r="U209">
            <v>0</v>
          </cell>
          <cell r="V209">
            <v>2.1847149999999997</v>
          </cell>
        </row>
        <row r="210">
          <cell r="E210" t="str">
            <v>KLBC67120A</v>
          </cell>
          <cell r="F210">
            <v>166.84270000000001</v>
          </cell>
          <cell r="G210">
            <v>0</v>
          </cell>
          <cell r="H210">
            <v>2.6166666666666668E-2</v>
          </cell>
          <cell r="I210">
            <v>1.5831666666666667E-2</v>
          </cell>
          <cell r="J210">
            <v>0</v>
          </cell>
          <cell r="K210">
            <v>6.5724999999999992E-2</v>
          </cell>
          <cell r="L210">
            <v>0.2791116666666667</v>
          </cell>
          <cell r="M210">
            <v>1.0450000000000001E-3</v>
          </cell>
          <cell r="N210">
            <v>2.6845000000000001E-2</v>
          </cell>
          <cell r="O210">
            <v>1.7038333333333332E-2</v>
          </cell>
          <cell r="P210">
            <v>1.0891666666666666E-2</v>
          </cell>
          <cell r="Q210">
            <v>4.1998333333333332E-2</v>
          </cell>
          <cell r="R210">
            <v>0.40065666666666672</v>
          </cell>
          <cell r="S210">
            <v>0</v>
          </cell>
          <cell r="T210">
            <v>0</v>
          </cell>
          <cell r="U210">
            <v>0</v>
          </cell>
          <cell r="V210">
            <v>0.44265500000000002</v>
          </cell>
        </row>
        <row r="211">
          <cell r="E211" t="str">
            <v>KLBC67240</v>
          </cell>
          <cell r="F211">
            <v>32.4634</v>
          </cell>
          <cell r="G211">
            <v>0</v>
          </cell>
          <cell r="H211">
            <v>1.4918333333333334E-2</v>
          </cell>
          <cell r="I211">
            <v>0</v>
          </cell>
          <cell r="J211">
            <v>0</v>
          </cell>
          <cell r="K211">
            <v>4.2220000000000001E-2</v>
          </cell>
          <cell r="L211">
            <v>0.15747666666666668</v>
          </cell>
          <cell r="M211">
            <v>1.0450000000000001E-3</v>
          </cell>
          <cell r="N211">
            <v>1.9610000000000002E-2</v>
          </cell>
          <cell r="O211">
            <v>9.5250000000000005E-3</v>
          </cell>
          <cell r="P211">
            <v>4.6333333333333339E-3</v>
          </cell>
          <cell r="Q211">
            <v>1.4918333333333334E-2</v>
          </cell>
          <cell r="R211">
            <v>0.23451</v>
          </cell>
          <cell r="S211">
            <v>0</v>
          </cell>
          <cell r="T211">
            <v>0</v>
          </cell>
          <cell r="U211">
            <v>0</v>
          </cell>
          <cell r="V211">
            <v>0.24942833333333334</v>
          </cell>
        </row>
        <row r="212">
          <cell r="E212" t="str">
            <v>KLBE67030A</v>
          </cell>
          <cell r="F212">
            <v>949.24420000000009</v>
          </cell>
          <cell r="G212">
            <v>38.2637</v>
          </cell>
          <cell r="H212">
            <v>0.14615333333333333</v>
          </cell>
          <cell r="I212">
            <v>0.17269833333333334</v>
          </cell>
          <cell r="J212">
            <v>2.1440000000000001E-2</v>
          </cell>
          <cell r="K212">
            <v>0.43478166666666668</v>
          </cell>
          <cell r="L212">
            <v>1.1051049999999998</v>
          </cell>
          <cell r="M212">
            <v>8.3600000000000011E-3</v>
          </cell>
          <cell r="N212">
            <v>9.1963333333333341E-2</v>
          </cell>
          <cell r="O212">
            <v>6.3968333333333335E-2</v>
          </cell>
          <cell r="P212">
            <v>9.2136666666666672E-2</v>
          </cell>
          <cell r="Q212">
            <v>0.34029166666666666</v>
          </cell>
          <cell r="R212">
            <v>1.7963149999999999</v>
          </cell>
          <cell r="S212">
            <v>0</v>
          </cell>
          <cell r="T212">
            <v>0</v>
          </cell>
          <cell r="U212">
            <v>0</v>
          </cell>
          <cell r="V212">
            <v>2.1366066666666663</v>
          </cell>
        </row>
        <row r="213">
          <cell r="E213" t="str">
            <v>KLBG67030A</v>
          </cell>
          <cell r="F213">
            <v>999.95319999999992</v>
          </cell>
          <cell r="G213">
            <v>38.2637</v>
          </cell>
          <cell r="H213">
            <v>0.15095833333333333</v>
          </cell>
          <cell r="I213">
            <v>0.17269833333333334</v>
          </cell>
          <cell r="J213">
            <v>2.1440000000000001E-2</v>
          </cell>
          <cell r="K213">
            <v>0.44523166666666664</v>
          </cell>
          <cell r="L213">
            <v>1.1411983333333333</v>
          </cell>
          <cell r="M213">
            <v>8.3600000000000011E-3</v>
          </cell>
          <cell r="N213">
            <v>9.3768333333333329E-2</v>
          </cell>
          <cell r="O213">
            <v>6.493666666666667E-2</v>
          </cell>
          <cell r="P213">
            <v>9.6743333333333334E-2</v>
          </cell>
          <cell r="Q213">
            <v>0.34509666666666672</v>
          </cell>
          <cell r="R213">
            <v>1.8502383333333332</v>
          </cell>
          <cell r="S213">
            <v>0</v>
          </cell>
          <cell r="T213">
            <v>0</v>
          </cell>
          <cell r="U213">
            <v>0</v>
          </cell>
          <cell r="V213">
            <v>2.195335</v>
          </cell>
        </row>
        <row r="214">
          <cell r="E214" t="str">
            <v>KLBG67120A</v>
          </cell>
          <cell r="F214">
            <v>176.9512</v>
          </cell>
          <cell r="G214">
            <v>0</v>
          </cell>
          <cell r="H214">
            <v>2.7991666666666668E-2</v>
          </cell>
          <cell r="I214">
            <v>1.5831666666666667E-2</v>
          </cell>
          <cell r="J214">
            <v>0</v>
          </cell>
          <cell r="K214">
            <v>6.920833333333333E-2</v>
          </cell>
          <cell r="L214">
            <v>0.31842833333333331</v>
          </cell>
          <cell r="M214">
            <v>1.0450000000000001E-3</v>
          </cell>
          <cell r="N214">
            <v>2.9488333333333335E-2</v>
          </cell>
          <cell r="O214">
            <v>1.8489999999999999E-2</v>
          </cell>
          <cell r="P214">
            <v>1.1608333333333333E-2</v>
          </cell>
          <cell r="Q214">
            <v>4.3823333333333339E-2</v>
          </cell>
          <cell r="R214">
            <v>0.44826833333333332</v>
          </cell>
          <cell r="S214">
            <v>0</v>
          </cell>
          <cell r="T214">
            <v>0</v>
          </cell>
          <cell r="U214">
            <v>0</v>
          </cell>
          <cell r="V214">
            <v>0.49209166666666665</v>
          </cell>
        </row>
        <row r="215">
          <cell r="E215" t="str">
            <v>KLBK67030A</v>
          </cell>
          <cell r="F215">
            <v>982.4701</v>
          </cell>
          <cell r="G215">
            <v>29.602799999999998</v>
          </cell>
          <cell r="H215">
            <v>0.14399333333333333</v>
          </cell>
          <cell r="I215">
            <v>0.17874500000000001</v>
          </cell>
          <cell r="J215">
            <v>1.7268333333333333E-2</v>
          </cell>
          <cell r="K215">
            <v>0.42630499999999999</v>
          </cell>
          <cell r="L215">
            <v>1.1270116666666667</v>
          </cell>
          <cell r="M215">
            <v>8.3600000000000011E-3</v>
          </cell>
          <cell r="N215">
            <v>9.0804999999999997E-2</v>
          </cell>
          <cell r="O215">
            <v>6.5941666666666662E-2</v>
          </cell>
          <cell r="P215">
            <v>9.3339999999999992E-2</v>
          </cell>
          <cell r="Q215">
            <v>0.34000666666666668</v>
          </cell>
          <cell r="R215">
            <v>1.8117633333333332</v>
          </cell>
          <cell r="S215">
            <v>0</v>
          </cell>
          <cell r="T215">
            <v>0</v>
          </cell>
          <cell r="U215">
            <v>0</v>
          </cell>
          <cell r="V215">
            <v>2.15177</v>
          </cell>
        </row>
        <row r="216">
          <cell r="E216" t="str">
            <v>KLBK67240</v>
          </cell>
          <cell r="F216">
            <v>18.9358</v>
          </cell>
          <cell r="G216">
            <v>0</v>
          </cell>
          <cell r="H216">
            <v>1.2095E-2</v>
          </cell>
          <cell r="I216">
            <v>0</v>
          </cell>
          <cell r="J216">
            <v>0</v>
          </cell>
          <cell r="K216">
            <v>3.3845E-2</v>
          </cell>
          <cell r="L216">
            <v>0.11545166666666667</v>
          </cell>
          <cell r="M216">
            <v>1.0450000000000001E-3</v>
          </cell>
          <cell r="N216">
            <v>1.8086666666666664E-2</v>
          </cell>
          <cell r="O216">
            <v>8.4333333333333326E-3</v>
          </cell>
          <cell r="P216">
            <v>3.9783333333333329E-3</v>
          </cell>
          <cell r="Q216">
            <v>1.2095E-2</v>
          </cell>
          <cell r="R216">
            <v>0.18084</v>
          </cell>
          <cell r="S216">
            <v>0</v>
          </cell>
          <cell r="T216">
            <v>0</v>
          </cell>
          <cell r="U216">
            <v>0</v>
          </cell>
          <cell r="V216">
            <v>0.192935</v>
          </cell>
        </row>
        <row r="217">
          <cell r="E217" t="str">
            <v>KLBM67030A</v>
          </cell>
          <cell r="F217">
            <v>1037.5927999999999</v>
          </cell>
          <cell r="G217">
            <v>29.602799999999998</v>
          </cell>
          <cell r="H217">
            <v>0.14743166666666668</v>
          </cell>
          <cell r="I217">
            <v>0.18495500000000001</v>
          </cell>
          <cell r="J217">
            <v>2.551833333333333E-2</v>
          </cell>
          <cell r="K217">
            <v>0.43272166666666667</v>
          </cell>
          <cell r="L217">
            <v>1.1402700000000001</v>
          </cell>
          <cell r="M217">
            <v>8.3600000000000011E-3</v>
          </cell>
          <cell r="N217">
            <v>9.1789999999999997E-2</v>
          </cell>
          <cell r="O217">
            <v>6.6496666666666662E-2</v>
          </cell>
          <cell r="P217">
            <v>9.5689999999999997E-2</v>
          </cell>
          <cell r="Q217">
            <v>0.35790500000000003</v>
          </cell>
          <cell r="R217">
            <v>1.8353283333333335</v>
          </cell>
          <cell r="S217">
            <v>0</v>
          </cell>
          <cell r="T217">
            <v>0</v>
          </cell>
          <cell r="U217">
            <v>0</v>
          </cell>
          <cell r="V217">
            <v>2.1932333333333336</v>
          </cell>
        </row>
        <row r="218">
          <cell r="E218" t="str">
            <v>KLBM67240</v>
          </cell>
          <cell r="F218">
            <v>28.046500000000002</v>
          </cell>
          <cell r="G218">
            <v>0</v>
          </cell>
          <cell r="H218">
            <v>1.3916666666666666E-2</v>
          </cell>
          <cell r="I218">
            <v>0</v>
          </cell>
          <cell r="J218">
            <v>0</v>
          </cell>
          <cell r="K218">
            <v>3.9070000000000001E-2</v>
          </cell>
          <cell r="L218">
            <v>0.14339499999999999</v>
          </cell>
          <cell r="M218">
            <v>1.0450000000000001E-3</v>
          </cell>
          <cell r="N218">
            <v>1.960333333333333E-2</v>
          </cell>
          <cell r="O218">
            <v>9.3699999999999999E-3</v>
          </cell>
          <cell r="P218">
            <v>4.5266666666666667E-3</v>
          </cell>
          <cell r="Q218">
            <v>1.3916666666666666E-2</v>
          </cell>
          <cell r="R218">
            <v>0.21700999999999998</v>
          </cell>
          <cell r="S218">
            <v>0</v>
          </cell>
          <cell r="T218">
            <v>0</v>
          </cell>
          <cell r="U218">
            <v>0</v>
          </cell>
          <cell r="V218">
            <v>0.23092666666666664</v>
          </cell>
        </row>
        <row r="219">
          <cell r="E219" t="str">
            <v>KLBP67030A</v>
          </cell>
          <cell r="F219">
            <v>1098.3951</v>
          </cell>
          <cell r="G219">
            <v>31.4253</v>
          </cell>
          <cell r="H219">
            <v>0.15512499999999999</v>
          </cell>
          <cell r="I219">
            <v>0.18495500000000001</v>
          </cell>
          <cell r="J219">
            <v>2.551833333333333E-2</v>
          </cell>
          <cell r="K219">
            <v>0.45250166666666664</v>
          </cell>
          <cell r="L219">
            <v>1.1922999999999999</v>
          </cell>
          <cell r="M219">
            <v>8.3600000000000011E-3</v>
          </cell>
          <cell r="N219">
            <v>9.4634999999999997E-2</v>
          </cell>
          <cell r="O219">
            <v>6.8088333333333334E-2</v>
          </cell>
          <cell r="P219">
            <v>0.10072833333333334</v>
          </cell>
          <cell r="Q219">
            <v>0.3655983333333333</v>
          </cell>
          <cell r="R219">
            <v>1.9166133333333331</v>
          </cell>
          <cell r="S219">
            <v>0</v>
          </cell>
          <cell r="T219">
            <v>0</v>
          </cell>
          <cell r="U219">
            <v>0</v>
          </cell>
          <cell r="V219">
            <v>2.2822116666666665</v>
          </cell>
        </row>
        <row r="220">
          <cell r="E220" t="str">
            <v>KLBS67030A</v>
          </cell>
          <cell r="F220">
            <v>1118.2672</v>
          </cell>
          <cell r="G220">
            <v>31.4253</v>
          </cell>
          <cell r="H220">
            <v>0.15881000000000001</v>
          </cell>
          <cell r="I220">
            <v>0.20123666666666665</v>
          </cell>
          <cell r="J220">
            <v>2.551833333333333E-2</v>
          </cell>
          <cell r="K220">
            <v>0.46350166666666665</v>
          </cell>
          <cell r="L220">
            <v>1.1950816666666666</v>
          </cell>
          <cell r="M220">
            <v>8.3600000000000011E-3</v>
          </cell>
          <cell r="N220">
            <v>9.4875000000000001E-2</v>
          </cell>
          <cell r="O220">
            <v>6.8088333333333334E-2</v>
          </cell>
          <cell r="P220">
            <v>0.10072833333333334</v>
          </cell>
          <cell r="Q220">
            <v>0.38556499999999994</v>
          </cell>
          <cell r="R220">
            <v>1.9306349999999999</v>
          </cell>
          <cell r="S220">
            <v>0</v>
          </cell>
          <cell r="T220">
            <v>0</v>
          </cell>
          <cell r="U220">
            <v>0</v>
          </cell>
          <cell r="V220">
            <v>2.3161999999999998</v>
          </cell>
        </row>
        <row r="221">
          <cell r="E221" t="str">
            <v>KLCC67030A</v>
          </cell>
          <cell r="F221">
            <v>1000.6279</v>
          </cell>
          <cell r="G221">
            <v>25.8659</v>
          </cell>
          <cell r="H221">
            <v>0.13856833333333332</v>
          </cell>
          <cell r="I221">
            <v>0.18010833333333334</v>
          </cell>
          <cell r="J221">
            <v>1.8835000000000001E-2</v>
          </cell>
          <cell r="K221">
            <v>0.41076666666666667</v>
          </cell>
          <cell r="L221">
            <v>1.1286216666666666</v>
          </cell>
          <cell r="M221">
            <v>8.3600000000000011E-3</v>
          </cell>
          <cell r="N221">
            <v>9.0670000000000001E-2</v>
          </cell>
          <cell r="O221">
            <v>6.6496666666666662E-2</v>
          </cell>
          <cell r="P221">
            <v>9.5689999999999997E-2</v>
          </cell>
          <cell r="Q221">
            <v>0.33751166666666665</v>
          </cell>
          <cell r="R221">
            <v>1.800605</v>
          </cell>
          <cell r="S221">
            <v>0</v>
          </cell>
          <cell r="T221">
            <v>0</v>
          </cell>
          <cell r="U221">
            <v>0</v>
          </cell>
          <cell r="V221">
            <v>2.1381166666666669</v>
          </cell>
        </row>
        <row r="222">
          <cell r="E222" t="str">
            <v>KLCW67030A</v>
          </cell>
          <cell r="F222">
            <v>988.44869999999992</v>
          </cell>
          <cell r="G222">
            <v>28.982099999999999</v>
          </cell>
          <cell r="H222">
            <v>0.14626833333333333</v>
          </cell>
          <cell r="I222">
            <v>0.18487333333333333</v>
          </cell>
          <cell r="J222">
            <v>1.4756666666666666E-2</v>
          </cell>
          <cell r="K222">
            <v>0.43606666666666671</v>
          </cell>
          <cell r="L222">
            <v>1.1305316666666667</v>
          </cell>
          <cell r="M222">
            <v>8.3600000000000011E-3</v>
          </cell>
          <cell r="N222">
            <v>9.239E-2</v>
          </cell>
          <cell r="O222">
            <v>6.457333333333333E-2</v>
          </cell>
          <cell r="P222">
            <v>9.4519999999999993E-2</v>
          </cell>
          <cell r="Q222">
            <v>0.34589833333333331</v>
          </cell>
          <cell r="R222">
            <v>1.8264416666666665</v>
          </cell>
          <cell r="S222">
            <v>0</v>
          </cell>
          <cell r="T222">
            <v>0</v>
          </cell>
          <cell r="U222">
            <v>0</v>
          </cell>
          <cell r="V222">
            <v>2.1723399999999997</v>
          </cell>
        </row>
        <row r="223">
          <cell r="E223" t="str">
            <v>KLEE67030B</v>
          </cell>
          <cell r="F223">
            <v>1036.7346</v>
          </cell>
          <cell r="G223">
            <v>28.940300000000001</v>
          </cell>
          <cell r="H223">
            <v>0.15154500000000001</v>
          </cell>
          <cell r="I223">
            <v>0.19016333333333335</v>
          </cell>
          <cell r="J223">
            <v>1.4756666666666666E-2</v>
          </cell>
          <cell r="K223">
            <v>0.44911333333333331</v>
          </cell>
          <cell r="L223">
            <v>1.1454416666666667</v>
          </cell>
          <cell r="M223">
            <v>8.3600000000000011E-3</v>
          </cell>
          <cell r="N223">
            <v>9.3676666666666658E-2</v>
          </cell>
          <cell r="O223">
            <v>6.4785000000000009E-2</v>
          </cell>
          <cell r="P223">
            <v>9.6553333333333324E-2</v>
          </cell>
          <cell r="Q223">
            <v>0.35646500000000003</v>
          </cell>
          <cell r="R223">
            <v>1.8579299999999999</v>
          </cell>
          <cell r="S223">
            <v>0</v>
          </cell>
          <cell r="T223">
            <v>0</v>
          </cell>
          <cell r="U223">
            <v>0</v>
          </cell>
          <cell r="V223">
            <v>2.2143949999999997</v>
          </cell>
        </row>
        <row r="224">
          <cell r="E224" t="str">
            <v>KLFL67030</v>
          </cell>
          <cell r="F224">
            <v>1608.4394000000002</v>
          </cell>
          <cell r="G224">
            <v>36.046199999999999</v>
          </cell>
          <cell r="H224">
            <v>0.20772666666666667</v>
          </cell>
          <cell r="I224">
            <v>0.26295333333333332</v>
          </cell>
          <cell r="J224">
            <v>7.2251666666666658E-2</v>
          </cell>
          <cell r="K224">
            <v>0.55233333333333334</v>
          </cell>
          <cell r="L224">
            <v>1.2183250000000001</v>
          </cell>
          <cell r="M224">
            <v>1.4630000000000001E-2</v>
          </cell>
          <cell r="N224">
            <v>0.11841166666666667</v>
          </cell>
          <cell r="O224">
            <v>7.445333333333333E-2</v>
          </cell>
          <cell r="P224">
            <v>9.3039999999999998E-2</v>
          </cell>
          <cell r="Q224">
            <v>0.54293166666666659</v>
          </cell>
          <cell r="R224">
            <v>2.071193333333333</v>
          </cell>
          <cell r="S224">
            <v>2.5163333333333329E-2</v>
          </cell>
          <cell r="T224">
            <v>0</v>
          </cell>
          <cell r="U224">
            <v>0</v>
          </cell>
          <cell r="V224">
            <v>2.639288333333333</v>
          </cell>
        </row>
        <row r="225">
          <cell r="E225" t="str">
            <v>KLFN67030</v>
          </cell>
          <cell r="F225">
            <v>1690.6309999999999</v>
          </cell>
          <cell r="G225">
            <v>36.046199999999999</v>
          </cell>
          <cell r="H225">
            <v>0.21353</v>
          </cell>
          <cell r="I225">
            <v>0.27638500000000005</v>
          </cell>
          <cell r="J225">
            <v>8.2421666666666657E-2</v>
          </cell>
          <cell r="K225">
            <v>0.56461666666666666</v>
          </cell>
          <cell r="L225">
            <v>1.2427233333333334</v>
          </cell>
          <cell r="M225">
            <v>1.4630000000000001E-2</v>
          </cell>
          <cell r="N225">
            <v>0.12154333333333334</v>
          </cell>
          <cell r="O225">
            <v>7.797833333333333E-2</v>
          </cell>
          <cell r="P225">
            <v>9.5668333333333327E-2</v>
          </cell>
          <cell r="Q225">
            <v>0.57233666666666672</v>
          </cell>
          <cell r="R225">
            <v>2.1171599999999997</v>
          </cell>
          <cell r="S225">
            <v>2.5163333333333329E-2</v>
          </cell>
          <cell r="T225">
            <v>0</v>
          </cell>
          <cell r="U225">
            <v>0</v>
          </cell>
          <cell r="V225">
            <v>2.7146599999999999</v>
          </cell>
        </row>
        <row r="226">
          <cell r="E226" t="str">
            <v>KLFT67030</v>
          </cell>
          <cell r="F226">
            <v>1747.0244000000002</v>
          </cell>
          <cell r="G226">
            <v>36.046199999999999</v>
          </cell>
          <cell r="H226">
            <v>0.21948999999999999</v>
          </cell>
          <cell r="I226">
            <v>0.30847833333333335</v>
          </cell>
          <cell r="J226">
            <v>8.8888333333333333E-2</v>
          </cell>
          <cell r="K226">
            <v>0.57822499999999999</v>
          </cell>
          <cell r="L226">
            <v>1.25135</v>
          </cell>
          <cell r="M226">
            <v>1.4630000000000001E-2</v>
          </cell>
          <cell r="N226">
            <v>0.12246</v>
          </cell>
          <cell r="O226">
            <v>7.879499999999999E-2</v>
          </cell>
          <cell r="P226">
            <v>9.6173333333333347E-2</v>
          </cell>
          <cell r="Q226">
            <v>0.61685666666666672</v>
          </cell>
          <cell r="R226">
            <v>2.1416333333333331</v>
          </cell>
          <cell r="S226">
            <v>2.5163333333333329E-2</v>
          </cell>
          <cell r="T226">
            <v>0</v>
          </cell>
          <cell r="U226">
            <v>0</v>
          </cell>
          <cell r="V226">
            <v>2.7836533333333331</v>
          </cell>
        </row>
        <row r="227">
          <cell r="E227" t="str">
            <v>KLFW67030</v>
          </cell>
          <cell r="F227">
            <v>1779.3321000000001</v>
          </cell>
          <cell r="G227">
            <v>36.046199999999999</v>
          </cell>
          <cell r="H227">
            <v>0.22258999999999998</v>
          </cell>
          <cell r="I227">
            <v>0.31089500000000003</v>
          </cell>
          <cell r="J227">
            <v>0.10437666666666666</v>
          </cell>
          <cell r="K227">
            <v>0.58326666666666671</v>
          </cell>
          <cell r="L227">
            <v>1.2796166666666666</v>
          </cell>
          <cell r="M227">
            <v>1.4630000000000001E-2</v>
          </cell>
          <cell r="N227">
            <v>0.12478666666666666</v>
          </cell>
          <cell r="O227">
            <v>7.9966666666666672E-2</v>
          </cell>
          <cell r="P227">
            <v>0.100825</v>
          </cell>
          <cell r="Q227">
            <v>0.63786166666666666</v>
          </cell>
          <cell r="R227">
            <v>2.1830916666666664</v>
          </cell>
          <cell r="S227">
            <v>2.5163333333333329E-2</v>
          </cell>
          <cell r="T227">
            <v>0</v>
          </cell>
          <cell r="U227">
            <v>0</v>
          </cell>
          <cell r="V227">
            <v>2.8461166666666666</v>
          </cell>
        </row>
        <row r="228">
          <cell r="E228" t="str">
            <v>KLJM67030</v>
          </cell>
          <cell r="F228">
            <v>1746.5001000000002</v>
          </cell>
          <cell r="G228">
            <v>36.046199999999999</v>
          </cell>
          <cell r="H228">
            <v>0.21890333333333334</v>
          </cell>
          <cell r="I228">
            <v>0.31371166666666667</v>
          </cell>
          <cell r="J228">
            <v>8.8888333333333333E-2</v>
          </cell>
          <cell r="K228">
            <v>0.57648333333333335</v>
          </cell>
          <cell r="L228">
            <v>1.2508950000000001</v>
          </cell>
          <cell r="M228">
            <v>1.4630000000000001E-2</v>
          </cell>
          <cell r="N228">
            <v>0.12230000000000001</v>
          </cell>
          <cell r="O228">
            <v>8.3423333333333335E-2</v>
          </cell>
          <cell r="P228">
            <v>9.6180000000000002E-2</v>
          </cell>
          <cell r="Q228">
            <v>0.62150333333333341</v>
          </cell>
          <cell r="R228">
            <v>2.1439116666666664</v>
          </cell>
          <cell r="S228">
            <v>2.5163333333333329E-2</v>
          </cell>
          <cell r="T228">
            <v>0</v>
          </cell>
          <cell r="U228">
            <v>0</v>
          </cell>
          <cell r="V228">
            <v>2.7905783333333334</v>
          </cell>
        </row>
        <row r="229">
          <cell r="E229" t="str">
            <v>KLJP67030</v>
          </cell>
          <cell r="F229">
            <v>1785.3346000000001</v>
          </cell>
          <cell r="G229">
            <v>36.046199999999999</v>
          </cell>
          <cell r="H229">
            <v>0.223165</v>
          </cell>
          <cell r="I229">
            <v>0.31612833333333334</v>
          </cell>
          <cell r="J229">
            <v>0.10437666666666666</v>
          </cell>
          <cell r="K229">
            <v>0.58491666666666664</v>
          </cell>
          <cell r="L229">
            <v>1.2818849999999999</v>
          </cell>
          <cell r="M229">
            <v>1.4630000000000001E-2</v>
          </cell>
          <cell r="N229">
            <v>0.125445</v>
          </cell>
          <cell r="O229">
            <v>8.4950000000000012E-2</v>
          </cell>
          <cell r="P229">
            <v>0.10102999999999999</v>
          </cell>
          <cell r="Q229">
            <v>0.64367000000000008</v>
          </cell>
          <cell r="R229">
            <v>2.1928566666666667</v>
          </cell>
          <cell r="S229">
            <v>2.5163333333333329E-2</v>
          </cell>
          <cell r="T229">
            <v>0</v>
          </cell>
          <cell r="U229">
            <v>0</v>
          </cell>
          <cell r="V229">
            <v>2.8616900000000003</v>
          </cell>
        </row>
        <row r="230">
          <cell r="E230" t="str">
            <v>KMRP67030A</v>
          </cell>
          <cell r="F230">
            <v>1017.6601000000001</v>
          </cell>
          <cell r="G230">
            <v>38.2637</v>
          </cell>
          <cell r="H230">
            <v>0.154585</v>
          </cell>
          <cell r="I230">
            <v>0.18849833333333335</v>
          </cell>
          <cell r="J230">
            <v>2.1440000000000001E-2</v>
          </cell>
          <cell r="K230">
            <v>0.45623166666666665</v>
          </cell>
          <cell r="L230">
            <v>1.1437816666666667</v>
          </cell>
          <cell r="M230">
            <v>8.3600000000000011E-3</v>
          </cell>
          <cell r="N230">
            <v>9.4008333333333333E-2</v>
          </cell>
          <cell r="O230">
            <v>6.493666666666667E-2</v>
          </cell>
          <cell r="P230">
            <v>9.6743333333333334E-2</v>
          </cell>
          <cell r="Q230">
            <v>0.36452333333333337</v>
          </cell>
          <cell r="R230">
            <v>1.8640616666666665</v>
          </cell>
          <cell r="S230">
            <v>0</v>
          </cell>
          <cell r="T230">
            <v>0</v>
          </cell>
          <cell r="U230">
            <v>0</v>
          </cell>
          <cell r="V230">
            <v>2.2285849999999998</v>
          </cell>
        </row>
        <row r="231">
          <cell r="E231" t="str">
            <v>KMRR67030A</v>
          </cell>
          <cell r="F231">
            <v>916.38470000000007</v>
          </cell>
          <cell r="G231">
            <v>36.230200000000004</v>
          </cell>
          <cell r="H231">
            <v>0.14424999999999999</v>
          </cell>
          <cell r="I231">
            <v>0.17275166666666666</v>
          </cell>
          <cell r="J231">
            <v>1.7268333333333333E-2</v>
          </cell>
          <cell r="K231">
            <v>0.43182333333333334</v>
          </cell>
          <cell r="L231">
            <v>1.0803883333333333</v>
          </cell>
          <cell r="M231">
            <v>8.3600000000000011E-3</v>
          </cell>
          <cell r="N231">
            <v>9.0418333333333323E-2</v>
          </cell>
          <cell r="O231">
            <v>6.2788333333333335E-2</v>
          </cell>
          <cell r="P231">
            <v>8.935333333333334E-2</v>
          </cell>
          <cell r="Q231">
            <v>0.33426999999999996</v>
          </cell>
          <cell r="R231">
            <v>1.7631316666666663</v>
          </cell>
          <cell r="S231">
            <v>0</v>
          </cell>
          <cell r="T231">
            <v>0</v>
          </cell>
          <cell r="U231">
            <v>0</v>
          </cell>
          <cell r="V231">
            <v>2.0974016666666664</v>
          </cell>
        </row>
        <row r="232">
          <cell r="E232" t="str">
            <v>KMRT67030A</v>
          </cell>
          <cell r="F232">
            <v>1026.5600999999999</v>
          </cell>
          <cell r="G232">
            <v>38.222000000000001</v>
          </cell>
          <cell r="H232">
            <v>0.155335</v>
          </cell>
          <cell r="I232">
            <v>0.17898833333333333</v>
          </cell>
          <cell r="J232">
            <v>2.1440000000000001E-2</v>
          </cell>
          <cell r="K232">
            <v>0.45802000000000004</v>
          </cell>
          <cell r="L232">
            <v>1.1469316666666667</v>
          </cell>
          <cell r="M232">
            <v>8.3600000000000011E-3</v>
          </cell>
          <cell r="N232">
            <v>9.4248333333333323E-2</v>
          </cell>
          <cell r="O232">
            <v>6.493666666666667E-2</v>
          </cell>
          <cell r="P232">
            <v>9.6743333333333334E-2</v>
          </cell>
          <cell r="Q232">
            <v>0.35576333333333332</v>
          </cell>
          <cell r="R232">
            <v>1.86924</v>
          </cell>
          <cell r="S232">
            <v>0</v>
          </cell>
          <cell r="T232">
            <v>0</v>
          </cell>
          <cell r="U232">
            <v>0</v>
          </cell>
          <cell r="V232">
            <v>2.2250033333333334</v>
          </cell>
        </row>
        <row r="233">
          <cell r="E233" t="str">
            <v>KMSA67030A</v>
          </cell>
          <cell r="F233">
            <v>1044.2670000000001</v>
          </cell>
          <cell r="G233">
            <v>38.222000000000001</v>
          </cell>
          <cell r="H233">
            <v>0.15896333333333335</v>
          </cell>
          <cell r="I233">
            <v>0.19478833333333334</v>
          </cell>
          <cell r="J233">
            <v>2.1440000000000001E-2</v>
          </cell>
          <cell r="K233">
            <v>0.46902000000000005</v>
          </cell>
          <cell r="L233">
            <v>1.1495150000000001</v>
          </cell>
          <cell r="M233">
            <v>8.3600000000000011E-3</v>
          </cell>
          <cell r="N233">
            <v>9.4488333333333327E-2</v>
          </cell>
          <cell r="O233">
            <v>6.493666666666667E-2</v>
          </cell>
          <cell r="P233">
            <v>9.6743333333333334E-2</v>
          </cell>
          <cell r="Q233">
            <v>0.3751916666666667</v>
          </cell>
          <cell r="R233">
            <v>1.8830633333333333</v>
          </cell>
          <cell r="S233">
            <v>0</v>
          </cell>
          <cell r="T233">
            <v>0</v>
          </cell>
          <cell r="U233">
            <v>0</v>
          </cell>
          <cell r="V233">
            <v>2.2582550000000001</v>
          </cell>
        </row>
        <row r="234">
          <cell r="E234" t="str">
            <v>KMSB67030A</v>
          </cell>
          <cell r="F234">
            <v>975.85110000000009</v>
          </cell>
          <cell r="G234">
            <v>38.222000000000001</v>
          </cell>
          <cell r="H234">
            <v>0.15053166666666667</v>
          </cell>
          <cell r="I234">
            <v>0.17898833333333333</v>
          </cell>
          <cell r="J234">
            <v>2.1440000000000001E-2</v>
          </cell>
          <cell r="K234">
            <v>0.44756999999999997</v>
          </cell>
          <cell r="L234">
            <v>1.1108366666666667</v>
          </cell>
          <cell r="M234">
            <v>8.3600000000000011E-3</v>
          </cell>
          <cell r="N234">
            <v>9.2443333333333336E-2</v>
          </cell>
          <cell r="O234">
            <v>6.3968333333333335E-2</v>
          </cell>
          <cell r="P234">
            <v>9.2136666666666672E-2</v>
          </cell>
          <cell r="Q234">
            <v>0.35096000000000005</v>
          </cell>
          <cell r="R234">
            <v>1.8153150000000002</v>
          </cell>
          <cell r="S234">
            <v>0</v>
          </cell>
          <cell r="T234">
            <v>0</v>
          </cell>
          <cell r="U234">
            <v>0</v>
          </cell>
          <cell r="V234">
            <v>2.1662750000000002</v>
          </cell>
        </row>
        <row r="235">
          <cell r="E235" t="str">
            <v>KMTA67030A</v>
          </cell>
          <cell r="F235">
            <v>1044.9950999999999</v>
          </cell>
          <cell r="G235">
            <v>31.4253</v>
          </cell>
          <cell r="H235">
            <v>0.15026500000000001</v>
          </cell>
          <cell r="I235">
            <v>0.18495500000000001</v>
          </cell>
          <cell r="J235">
            <v>2.551833333333333E-2</v>
          </cell>
          <cell r="K235">
            <v>0.44205166666666668</v>
          </cell>
          <cell r="L235">
            <v>1.1558250000000001</v>
          </cell>
          <cell r="M235">
            <v>8.3600000000000011E-3</v>
          </cell>
          <cell r="N235">
            <v>9.2828333333333332E-2</v>
          </cell>
          <cell r="O235">
            <v>6.7118333333333335E-2</v>
          </cell>
          <cell r="P235">
            <v>9.6123333333333338E-2</v>
          </cell>
          <cell r="Q235">
            <v>0.36073833333333333</v>
          </cell>
          <cell r="R235">
            <v>1.8623066666666668</v>
          </cell>
          <cell r="S235">
            <v>0</v>
          </cell>
          <cell r="T235">
            <v>0</v>
          </cell>
          <cell r="U235">
            <v>0</v>
          </cell>
          <cell r="V235">
            <v>2.2230449999999999</v>
          </cell>
        </row>
        <row r="236">
          <cell r="E236" t="str">
            <v>KMV667240</v>
          </cell>
          <cell r="F236">
            <v>59.526200000000003</v>
          </cell>
          <cell r="G236">
            <v>0</v>
          </cell>
          <cell r="H236">
            <v>1.3408333333333333E-2</v>
          </cell>
          <cell r="I236">
            <v>0</v>
          </cell>
          <cell r="J236">
            <v>0</v>
          </cell>
          <cell r="K236">
            <v>3.3549999999999996E-2</v>
          </cell>
          <cell r="L236">
            <v>0.15884166666666666</v>
          </cell>
          <cell r="M236">
            <v>2.0900000000000003E-3</v>
          </cell>
          <cell r="N236">
            <v>2.3196666666666664E-2</v>
          </cell>
          <cell r="O236">
            <v>1.3253333333333334E-2</v>
          </cell>
          <cell r="P236">
            <v>5.1433333333333331E-3</v>
          </cell>
          <cell r="Q236">
            <v>1.3408333333333333E-2</v>
          </cell>
          <cell r="R236">
            <v>0.23607500000000001</v>
          </cell>
          <cell r="S236">
            <v>0</v>
          </cell>
          <cell r="T236">
            <v>0</v>
          </cell>
          <cell r="U236">
            <v>0</v>
          </cell>
          <cell r="V236">
            <v>0.24948333333333333</v>
          </cell>
        </row>
        <row r="237">
          <cell r="E237" t="str">
            <v>KMV667SJ0</v>
          </cell>
          <cell r="F237">
            <v>27.7746</v>
          </cell>
          <cell r="G237">
            <v>0</v>
          </cell>
          <cell r="H237">
            <v>7.4150000000000006E-3</v>
          </cell>
          <cell r="I237">
            <v>4.8700000000000002E-3</v>
          </cell>
          <cell r="J237">
            <v>0</v>
          </cell>
          <cell r="K237">
            <v>2.3778333333333335E-2</v>
          </cell>
          <cell r="L237">
            <v>5.7514999999999997E-2</v>
          </cell>
          <cell r="M237">
            <v>0</v>
          </cell>
          <cell r="N237">
            <v>1.9223333333333332E-2</v>
          </cell>
          <cell r="O237">
            <v>7.0800000000000004E-3</v>
          </cell>
          <cell r="P237">
            <v>3.6966666666666667E-3</v>
          </cell>
          <cell r="Q237">
            <v>1.2285000000000001E-2</v>
          </cell>
          <cell r="R237">
            <v>0.11129333333333333</v>
          </cell>
          <cell r="S237">
            <v>0</v>
          </cell>
          <cell r="T237">
            <v>0</v>
          </cell>
          <cell r="U237">
            <v>0</v>
          </cell>
          <cell r="V237">
            <v>0.12357833333333333</v>
          </cell>
        </row>
        <row r="238">
          <cell r="E238" t="str">
            <v>KMVA67030B</v>
          </cell>
          <cell r="F238">
            <v>877.0847</v>
          </cell>
          <cell r="G238">
            <v>26.990300000000001</v>
          </cell>
          <cell r="H238">
            <v>0.13247333333333333</v>
          </cell>
          <cell r="I238">
            <v>0.17056499999999999</v>
          </cell>
          <cell r="J238">
            <v>1.0585000000000001E-2</v>
          </cell>
          <cell r="K238">
            <v>0.40114499999999997</v>
          </cell>
          <cell r="L238">
            <v>1.0292233333333334</v>
          </cell>
          <cell r="M238">
            <v>8.3600000000000011E-3</v>
          </cell>
          <cell r="N238">
            <v>8.6473333333333333E-2</v>
          </cell>
          <cell r="O238">
            <v>6.1405000000000001E-2</v>
          </cell>
          <cell r="P238">
            <v>8.6524999999999991E-2</v>
          </cell>
          <cell r="Q238">
            <v>0.31362333333333331</v>
          </cell>
          <cell r="R238">
            <v>1.6731316666666667</v>
          </cell>
          <cell r="S238">
            <v>0</v>
          </cell>
          <cell r="T238">
            <v>0</v>
          </cell>
          <cell r="U238">
            <v>0</v>
          </cell>
          <cell r="V238">
            <v>1.986755</v>
          </cell>
        </row>
        <row r="239">
          <cell r="E239" t="str">
            <v>KMVB67030B</v>
          </cell>
          <cell r="F239">
            <v>903.6948000000001</v>
          </cell>
          <cell r="G239">
            <v>26.990300000000001</v>
          </cell>
          <cell r="H239">
            <v>0.13685166666666668</v>
          </cell>
          <cell r="I239">
            <v>0.17685333333333333</v>
          </cell>
          <cell r="J239">
            <v>1.0585000000000001E-2</v>
          </cell>
          <cell r="K239">
            <v>0.41393333333333332</v>
          </cell>
          <cell r="L239">
            <v>1.0349683333333333</v>
          </cell>
          <cell r="M239">
            <v>8.3600000000000011E-3</v>
          </cell>
          <cell r="N239">
            <v>8.6953333333333341E-2</v>
          </cell>
          <cell r="O239">
            <v>6.1405000000000001E-2</v>
          </cell>
          <cell r="P239">
            <v>8.6524999999999991E-2</v>
          </cell>
          <cell r="Q239">
            <v>0.32429000000000002</v>
          </cell>
          <cell r="R239">
            <v>1.6921449999999998</v>
          </cell>
          <cell r="S239">
            <v>0</v>
          </cell>
          <cell r="T239">
            <v>0</v>
          </cell>
          <cell r="U239">
            <v>0</v>
          </cell>
          <cell r="V239">
            <v>2.016435</v>
          </cell>
        </row>
        <row r="240">
          <cell r="E240" t="str">
            <v>KMVC67030B</v>
          </cell>
          <cell r="F240">
            <v>883.03089999999997</v>
          </cell>
          <cell r="G240">
            <v>26.990300000000001</v>
          </cell>
          <cell r="H240">
            <v>0.12980833333333333</v>
          </cell>
          <cell r="I240">
            <v>0.15729833333333335</v>
          </cell>
          <cell r="J240">
            <v>1.4756666666666666E-2</v>
          </cell>
          <cell r="K240">
            <v>0.39003333333333334</v>
          </cell>
          <cell r="L240">
            <v>1.021325</v>
          </cell>
          <cell r="M240">
            <v>8.3600000000000011E-3</v>
          </cell>
          <cell r="N240">
            <v>8.5063333333333324E-2</v>
          </cell>
          <cell r="O240">
            <v>6.0916666666666661E-2</v>
          </cell>
          <cell r="P240">
            <v>8.6413333333333328E-2</v>
          </cell>
          <cell r="Q240">
            <v>0.30186333333333332</v>
          </cell>
          <cell r="R240">
            <v>1.6521116666666664</v>
          </cell>
          <cell r="S240">
            <v>0</v>
          </cell>
          <cell r="T240">
            <v>0</v>
          </cell>
          <cell r="U240">
            <v>0</v>
          </cell>
          <cell r="V240">
            <v>1.9539749999999998</v>
          </cell>
        </row>
        <row r="241">
          <cell r="E241" t="str">
            <v>KMVD67030B</v>
          </cell>
          <cell r="F241">
            <v>928.47810000000004</v>
          </cell>
          <cell r="G241">
            <v>26.990300000000001</v>
          </cell>
          <cell r="H241">
            <v>0.13589500000000002</v>
          </cell>
          <cell r="I241">
            <v>0.17680000000000001</v>
          </cell>
          <cell r="J241">
            <v>1.4756666666666666E-2</v>
          </cell>
          <cell r="K241">
            <v>0.40756166666666671</v>
          </cell>
          <cell r="L241">
            <v>1.0408649999999999</v>
          </cell>
          <cell r="M241">
            <v>8.3600000000000011E-3</v>
          </cell>
          <cell r="N241">
            <v>8.746000000000001E-2</v>
          </cell>
          <cell r="O241">
            <v>6.1963333333333336E-2</v>
          </cell>
          <cell r="P241">
            <v>8.8874999999999996E-2</v>
          </cell>
          <cell r="Q241">
            <v>0.3274516666666667</v>
          </cell>
          <cell r="R241">
            <v>1.6950850000000002</v>
          </cell>
          <cell r="S241">
            <v>0</v>
          </cell>
          <cell r="T241">
            <v>0</v>
          </cell>
          <cell r="U241">
            <v>0</v>
          </cell>
          <cell r="V241">
            <v>2.0225366666666669</v>
          </cell>
        </row>
        <row r="242">
          <cell r="E242" t="str">
            <v>KMVE67030B</v>
          </cell>
          <cell r="F242">
            <v>955.09130000000005</v>
          </cell>
          <cell r="G242">
            <v>26.990300000000001</v>
          </cell>
          <cell r="H242">
            <v>0.14027333333333333</v>
          </cell>
          <cell r="I242">
            <v>0.18309</v>
          </cell>
          <cell r="J242">
            <v>1.4756666666666666E-2</v>
          </cell>
          <cell r="K242">
            <v>0.42035</v>
          </cell>
          <cell r="L242">
            <v>1.0466083333333334</v>
          </cell>
          <cell r="M242">
            <v>8.3600000000000011E-3</v>
          </cell>
          <cell r="N242">
            <v>8.793999999999999E-2</v>
          </cell>
          <cell r="O242">
            <v>6.1963333333333336E-2</v>
          </cell>
          <cell r="P242">
            <v>8.8874999999999996E-2</v>
          </cell>
          <cell r="Q242">
            <v>0.33811999999999998</v>
          </cell>
          <cell r="R242">
            <v>1.7140966666666666</v>
          </cell>
          <cell r="S242">
            <v>0</v>
          </cell>
          <cell r="T242">
            <v>0</v>
          </cell>
          <cell r="U242">
            <v>0</v>
          </cell>
          <cell r="V242">
            <v>2.0522166666666664</v>
          </cell>
        </row>
        <row r="243">
          <cell r="E243" t="str">
            <v>KMVF67030B</v>
          </cell>
          <cell r="F243">
            <v>950.63550000000009</v>
          </cell>
          <cell r="G243">
            <v>28.982099999999999</v>
          </cell>
          <cell r="H243">
            <v>0.13927999999999999</v>
          </cell>
          <cell r="I243">
            <v>0.15729833333333335</v>
          </cell>
          <cell r="J243">
            <v>1.4756666666666666E-2</v>
          </cell>
          <cell r="K243">
            <v>0.41531333333333337</v>
          </cell>
          <cell r="L243">
            <v>1.0788116666666667</v>
          </cell>
          <cell r="M243">
            <v>8.3600000000000011E-3</v>
          </cell>
          <cell r="N243">
            <v>8.8148333333333329E-2</v>
          </cell>
          <cell r="O243">
            <v>6.2509999999999996E-2</v>
          </cell>
          <cell r="P243">
            <v>9.1451666666666667E-2</v>
          </cell>
          <cell r="Q243">
            <v>0.31133499999999997</v>
          </cell>
          <cell r="R243">
            <v>1.7445950000000001</v>
          </cell>
          <cell r="S243">
            <v>0</v>
          </cell>
          <cell r="T243">
            <v>0</v>
          </cell>
          <cell r="U243">
            <v>0</v>
          </cell>
          <cell r="V243">
            <v>2.05593</v>
          </cell>
        </row>
        <row r="244">
          <cell r="E244" t="str">
            <v>KMVG67030B</v>
          </cell>
          <cell r="F244">
            <v>996.08570000000009</v>
          </cell>
          <cell r="G244">
            <v>28.982099999999999</v>
          </cell>
          <cell r="H244">
            <v>0.14536666666666667</v>
          </cell>
          <cell r="I244">
            <v>0.17680000000000001</v>
          </cell>
          <cell r="J244">
            <v>1.4756666666666666E-2</v>
          </cell>
          <cell r="K244">
            <v>0.43284166666666668</v>
          </cell>
          <cell r="L244">
            <v>1.0983499999999999</v>
          </cell>
          <cell r="M244">
            <v>8.3600000000000011E-3</v>
          </cell>
          <cell r="N244">
            <v>9.0545E-2</v>
          </cell>
          <cell r="O244">
            <v>6.3556666666666664E-2</v>
          </cell>
          <cell r="P244">
            <v>9.3913333333333335E-2</v>
          </cell>
          <cell r="Q244">
            <v>0.33692333333333335</v>
          </cell>
          <cell r="R244">
            <v>1.7875666666666665</v>
          </cell>
          <cell r="S244">
            <v>0</v>
          </cell>
          <cell r="T244">
            <v>0</v>
          </cell>
          <cell r="U244">
            <v>0</v>
          </cell>
          <cell r="V244">
            <v>2.1244899999999998</v>
          </cell>
        </row>
        <row r="245">
          <cell r="E245" t="str">
            <v>KMVJ67030B</v>
          </cell>
          <cell r="F245">
            <v>936.54649999999992</v>
          </cell>
          <cell r="G245">
            <v>28.982099999999999</v>
          </cell>
          <cell r="H245">
            <v>0.13875166666666669</v>
          </cell>
          <cell r="I245">
            <v>0.17680000000000001</v>
          </cell>
          <cell r="J245">
            <v>1.4756666666666666E-2</v>
          </cell>
          <cell r="K245">
            <v>0.41689166666666666</v>
          </cell>
          <cell r="L245">
            <v>1.0596766666666666</v>
          </cell>
          <cell r="M245">
            <v>8.3600000000000011E-3</v>
          </cell>
          <cell r="N245">
            <v>8.8498333333333332E-2</v>
          </cell>
          <cell r="O245">
            <v>6.2585000000000002E-2</v>
          </cell>
          <cell r="P245">
            <v>8.9308333333333337E-2</v>
          </cell>
          <cell r="Q245">
            <v>0.33030833333333331</v>
          </cell>
          <cell r="R245">
            <v>1.72532</v>
          </cell>
          <cell r="S245">
            <v>0</v>
          </cell>
          <cell r="T245">
            <v>0</v>
          </cell>
          <cell r="U245">
            <v>0</v>
          </cell>
          <cell r="V245">
            <v>2.0556283333333334</v>
          </cell>
        </row>
        <row r="246">
          <cell r="E246" t="str">
            <v>KMVK67030B</v>
          </cell>
          <cell r="F246">
            <v>1022.6991</v>
          </cell>
          <cell r="G246">
            <v>28.982099999999999</v>
          </cell>
          <cell r="H246">
            <v>0.14974666666666667</v>
          </cell>
          <cell r="I246">
            <v>0.18309</v>
          </cell>
          <cell r="J246">
            <v>1.4756666666666666E-2</v>
          </cell>
          <cell r="K246">
            <v>0.44563000000000003</v>
          </cell>
          <cell r="L246">
            <v>1.104095</v>
          </cell>
          <cell r="M246">
            <v>8.3600000000000011E-3</v>
          </cell>
          <cell r="N246">
            <v>9.1024999999999995E-2</v>
          </cell>
          <cell r="O246">
            <v>6.3556666666666664E-2</v>
          </cell>
          <cell r="P246">
            <v>9.3913333333333335E-2</v>
          </cell>
          <cell r="Q246">
            <v>0.34759333333333331</v>
          </cell>
          <cell r="R246">
            <v>1.8065799999999999</v>
          </cell>
          <cell r="S246">
            <v>0</v>
          </cell>
          <cell r="T246">
            <v>0</v>
          </cell>
          <cell r="U246">
            <v>0</v>
          </cell>
          <cell r="V246">
            <v>2.1541733333333331</v>
          </cell>
        </row>
        <row r="247">
          <cell r="E247" t="str">
            <v>KMVL67030B</v>
          </cell>
          <cell r="F247">
            <v>963.15969999999993</v>
          </cell>
          <cell r="G247">
            <v>28.982099999999999</v>
          </cell>
          <cell r="H247">
            <v>0.14313000000000001</v>
          </cell>
          <cell r="I247">
            <v>0.18309</v>
          </cell>
          <cell r="J247">
            <v>1.4756666666666666E-2</v>
          </cell>
          <cell r="K247">
            <v>0.42968000000000001</v>
          </cell>
          <cell r="L247">
            <v>1.0654216666666667</v>
          </cell>
          <cell r="M247">
            <v>8.3600000000000011E-3</v>
          </cell>
          <cell r="N247">
            <v>8.897833333333334E-2</v>
          </cell>
          <cell r="O247">
            <v>6.2585000000000002E-2</v>
          </cell>
          <cell r="P247">
            <v>8.9308333333333337E-2</v>
          </cell>
          <cell r="Q247">
            <v>0.34097666666666665</v>
          </cell>
          <cell r="R247">
            <v>1.7443333333333335</v>
          </cell>
          <cell r="S247">
            <v>0</v>
          </cell>
          <cell r="T247">
            <v>0</v>
          </cell>
          <cell r="U247">
            <v>0</v>
          </cell>
          <cell r="V247">
            <v>2.0853100000000002</v>
          </cell>
        </row>
        <row r="248">
          <cell r="E248" t="str">
            <v>KMWB67030A</v>
          </cell>
          <cell r="F248">
            <v>1081.3054</v>
          </cell>
          <cell r="G248">
            <v>27.688400000000001</v>
          </cell>
          <cell r="H248">
            <v>0.14994666666666667</v>
          </cell>
          <cell r="I248">
            <v>0.19639000000000001</v>
          </cell>
          <cell r="J248">
            <v>1.8835000000000001E-2</v>
          </cell>
          <cell r="K248">
            <v>0.44154666666666664</v>
          </cell>
          <cell r="L248">
            <v>1.183435</v>
          </cell>
          <cell r="M248">
            <v>8.3600000000000011E-3</v>
          </cell>
          <cell r="N248">
            <v>9.3755000000000005E-2</v>
          </cell>
          <cell r="O248">
            <v>6.8088333333333334E-2</v>
          </cell>
          <cell r="P248">
            <v>0.10072833333333334</v>
          </cell>
          <cell r="Q248">
            <v>0.36517166666666667</v>
          </cell>
          <cell r="R248">
            <v>1.8959133333333333</v>
          </cell>
          <cell r="S248">
            <v>0</v>
          </cell>
          <cell r="T248">
            <v>0</v>
          </cell>
          <cell r="U248">
            <v>0</v>
          </cell>
          <cell r="V248">
            <v>2.261085</v>
          </cell>
        </row>
        <row r="249">
          <cell r="E249" t="str">
            <v>KMWC67030A</v>
          </cell>
          <cell r="F249">
            <v>1008.0302</v>
          </cell>
          <cell r="G249">
            <v>27.688400000000001</v>
          </cell>
          <cell r="H249">
            <v>0.14140166666666668</v>
          </cell>
          <cell r="I249">
            <v>0.18010833333333334</v>
          </cell>
          <cell r="J249">
            <v>1.8835000000000001E-2</v>
          </cell>
          <cell r="K249">
            <v>0.42009666666666667</v>
          </cell>
          <cell r="L249">
            <v>1.1441766666666666</v>
          </cell>
          <cell r="M249">
            <v>8.3600000000000011E-3</v>
          </cell>
          <cell r="N249">
            <v>9.1708333333333336E-2</v>
          </cell>
          <cell r="O249">
            <v>6.7118333333333335E-2</v>
          </cell>
          <cell r="P249">
            <v>9.6123333333333338E-2</v>
          </cell>
          <cell r="Q249">
            <v>0.34034500000000001</v>
          </cell>
          <cell r="R249">
            <v>1.8275833333333333</v>
          </cell>
          <cell r="S249">
            <v>0</v>
          </cell>
          <cell r="T249">
            <v>0</v>
          </cell>
          <cell r="U249">
            <v>0</v>
          </cell>
          <cell r="V249">
            <v>2.1679283333333332</v>
          </cell>
        </row>
        <row r="250">
          <cell r="E250" t="str">
            <v>KNM267030</v>
          </cell>
          <cell r="F250">
            <v>1478.5984000000001</v>
          </cell>
          <cell r="G250">
            <v>30.919599999999999</v>
          </cell>
          <cell r="H250">
            <v>0.182445</v>
          </cell>
          <cell r="I250">
            <v>0.20916333333333331</v>
          </cell>
          <cell r="J250">
            <v>6.0716666666666662E-2</v>
          </cell>
          <cell r="K250">
            <v>0.47230666666666665</v>
          </cell>
          <cell r="L250">
            <v>1.1299366666666666</v>
          </cell>
          <cell r="M250">
            <v>1.3585000000000002E-2</v>
          </cell>
          <cell r="N250">
            <v>0.10703166666666666</v>
          </cell>
          <cell r="O250">
            <v>7.1893333333333337E-2</v>
          </cell>
          <cell r="P250">
            <v>8.6595000000000005E-2</v>
          </cell>
          <cell r="Q250">
            <v>0.45232499999999998</v>
          </cell>
          <cell r="R250">
            <v>1.8813483333333332</v>
          </cell>
          <cell r="S250">
            <v>2.5163333333333329E-2</v>
          </cell>
          <cell r="T250">
            <v>0</v>
          </cell>
          <cell r="U250">
            <v>0</v>
          </cell>
          <cell r="V250">
            <v>2.3588366666666665</v>
          </cell>
        </row>
        <row r="251">
          <cell r="E251" t="str">
            <v>KNM367030</v>
          </cell>
          <cell r="F251">
            <v>1618.2022999999999</v>
          </cell>
          <cell r="G251">
            <v>33.107799999999997</v>
          </cell>
          <cell r="H251">
            <v>0.20826166666666665</v>
          </cell>
          <cell r="I251">
            <v>0.25397333333333333</v>
          </cell>
          <cell r="J251">
            <v>6.7739999999999995E-2</v>
          </cell>
          <cell r="K251">
            <v>0.54703833333333329</v>
          </cell>
          <cell r="L251">
            <v>1.2316983333333333</v>
          </cell>
          <cell r="M251">
            <v>1.4630000000000001E-2</v>
          </cell>
          <cell r="N251">
            <v>0.11844666666666666</v>
          </cell>
          <cell r="O251">
            <v>7.7623333333333336E-2</v>
          </cell>
          <cell r="P251">
            <v>9.5108333333333336E-2</v>
          </cell>
          <cell r="Q251">
            <v>0.52997499999999997</v>
          </cell>
          <cell r="R251">
            <v>2.0845449999999999</v>
          </cell>
          <cell r="S251">
            <v>2.5163333333333329E-2</v>
          </cell>
          <cell r="T251">
            <v>0</v>
          </cell>
          <cell r="U251">
            <v>0</v>
          </cell>
          <cell r="V251">
            <v>2.6396833333333332</v>
          </cell>
        </row>
        <row r="252">
          <cell r="E252" t="str">
            <v>KNM467030</v>
          </cell>
          <cell r="F252">
            <v>1678.8326999999999</v>
          </cell>
          <cell r="G252">
            <v>33.107799999999997</v>
          </cell>
          <cell r="H252">
            <v>0.21423333333333333</v>
          </cell>
          <cell r="I252">
            <v>0.28636833333333328</v>
          </cell>
          <cell r="J252">
            <v>7.4206666666666671E-2</v>
          </cell>
          <cell r="K252">
            <v>0.56064666666666674</v>
          </cell>
          <cell r="L252">
            <v>1.2403550000000001</v>
          </cell>
          <cell r="M252">
            <v>1.4630000000000001E-2</v>
          </cell>
          <cell r="N252">
            <v>0.11936166666666666</v>
          </cell>
          <cell r="O252">
            <v>7.8436666666666668E-2</v>
          </cell>
          <cell r="P252">
            <v>9.5613333333333328E-2</v>
          </cell>
          <cell r="Q252">
            <v>0.57480833333333325</v>
          </cell>
          <cell r="R252">
            <v>2.1090433333333332</v>
          </cell>
          <cell r="S252">
            <v>2.5163333333333329E-2</v>
          </cell>
          <cell r="T252">
            <v>0</v>
          </cell>
          <cell r="U252">
            <v>0</v>
          </cell>
          <cell r="V252">
            <v>2.709015</v>
          </cell>
        </row>
        <row r="253">
          <cell r="E253" t="str">
            <v>KNM667030</v>
          </cell>
          <cell r="F253">
            <v>1718.8906999999999</v>
          </cell>
          <cell r="G253">
            <v>33.107799999999997</v>
          </cell>
          <cell r="H253">
            <v>0.2185</v>
          </cell>
          <cell r="I253">
            <v>0.28878500000000001</v>
          </cell>
          <cell r="J253">
            <v>8.9161666666666667E-2</v>
          </cell>
          <cell r="K253">
            <v>0.56907999999999992</v>
          </cell>
          <cell r="L253">
            <v>1.2698783333333334</v>
          </cell>
          <cell r="M253">
            <v>1.4630000000000001E-2</v>
          </cell>
          <cell r="N253">
            <v>0.12250666666666667</v>
          </cell>
          <cell r="O253">
            <v>7.9963333333333331E-2</v>
          </cell>
          <cell r="P253">
            <v>0.100465</v>
          </cell>
          <cell r="Q253">
            <v>0.59644666666666668</v>
          </cell>
          <cell r="R253">
            <v>2.1565233333333329</v>
          </cell>
          <cell r="S253">
            <v>2.5163333333333329E-2</v>
          </cell>
          <cell r="T253">
            <v>0</v>
          </cell>
          <cell r="U253">
            <v>0</v>
          </cell>
          <cell r="V253">
            <v>2.7781333333333329</v>
          </cell>
        </row>
        <row r="254">
          <cell r="E254" t="str">
            <v>KNM767030</v>
          </cell>
          <cell r="F254">
            <v>1544.5636999999999</v>
          </cell>
          <cell r="G254">
            <v>30.919599999999999</v>
          </cell>
          <cell r="H254">
            <v>0.19796666666666668</v>
          </cell>
          <cell r="I254">
            <v>0.2539183333333333</v>
          </cell>
          <cell r="J254">
            <v>6.0716666666666662E-2</v>
          </cell>
          <cell r="K254">
            <v>0.51988166666666669</v>
          </cell>
          <cell r="L254">
            <v>1.1511566666666666</v>
          </cell>
          <cell r="M254">
            <v>1.4630000000000001E-2</v>
          </cell>
          <cell r="N254">
            <v>0.11036833333333333</v>
          </cell>
          <cell r="O254">
            <v>7.3041666666666671E-2</v>
          </cell>
          <cell r="P254">
            <v>8.7251666666666672E-2</v>
          </cell>
          <cell r="Q254">
            <v>0.51260166666666662</v>
          </cell>
          <cell r="R254">
            <v>1.9563299999999999</v>
          </cell>
          <cell r="S254">
            <v>2.5163333333333329E-2</v>
          </cell>
          <cell r="T254">
            <v>0</v>
          </cell>
          <cell r="U254">
            <v>0</v>
          </cell>
          <cell r="V254">
            <v>2.4940949999999997</v>
          </cell>
        </row>
        <row r="255">
          <cell r="E255" t="str">
            <v>KNMF67030A</v>
          </cell>
          <cell r="F255">
            <v>1031.1723999999999</v>
          </cell>
          <cell r="G255">
            <v>31.44</v>
          </cell>
          <cell r="H255">
            <v>0.14344666666666667</v>
          </cell>
          <cell r="I255">
            <v>0.17055333333333333</v>
          </cell>
          <cell r="J255">
            <v>2.551833333333333E-2</v>
          </cell>
          <cell r="K255">
            <v>0.42005499999999996</v>
          </cell>
          <cell r="L255">
            <v>1.1229133333333332</v>
          </cell>
          <cell r="M255">
            <v>8.3600000000000011E-3</v>
          </cell>
          <cell r="N255">
            <v>8.962500000000001E-2</v>
          </cell>
          <cell r="O255">
            <v>6.6106666666666675E-2</v>
          </cell>
          <cell r="P255">
            <v>9.3626666666666677E-2</v>
          </cell>
          <cell r="Q255">
            <v>0.33951833333333331</v>
          </cell>
          <cell r="R255">
            <v>1.8006866666666665</v>
          </cell>
          <cell r="S255">
            <v>0</v>
          </cell>
          <cell r="T255">
            <v>0</v>
          </cell>
          <cell r="U255">
            <v>0</v>
          </cell>
          <cell r="V255">
            <v>2.1402049999999999</v>
          </cell>
        </row>
        <row r="256">
          <cell r="E256" t="str">
            <v>KR9P67030D</v>
          </cell>
          <cell r="F256">
            <v>1222.1309000000001</v>
          </cell>
          <cell r="G256">
            <v>0</v>
          </cell>
          <cell r="H256">
            <v>0.19371833333333335</v>
          </cell>
          <cell r="I256">
            <v>0.31677833333333333</v>
          </cell>
          <cell r="J256">
            <v>9.6530000000000005E-2</v>
          </cell>
          <cell r="K256">
            <v>0.47635166666666667</v>
          </cell>
          <cell r="L256">
            <v>1.0056833333333333</v>
          </cell>
          <cell r="M256">
            <v>9.4050000000000002E-3</v>
          </cell>
          <cell r="N256">
            <v>0.10005</v>
          </cell>
          <cell r="O256">
            <v>5.3193333333333336E-2</v>
          </cell>
          <cell r="P256">
            <v>7.020333333333334E-2</v>
          </cell>
          <cell r="Q256">
            <v>0.60702666666666671</v>
          </cell>
          <cell r="R256">
            <v>1.7148866666666669</v>
          </cell>
          <cell r="S256">
            <v>0</v>
          </cell>
          <cell r="T256">
            <v>0</v>
          </cell>
          <cell r="U256">
            <v>0</v>
          </cell>
          <cell r="V256">
            <v>2.3219133333333337</v>
          </cell>
        </row>
        <row r="257">
          <cell r="E257" t="str">
            <v>KR9P67120A</v>
          </cell>
          <cell r="F257">
            <v>30.631399999999999</v>
          </cell>
          <cell r="G257">
            <v>0</v>
          </cell>
          <cell r="H257">
            <v>9.9466666666666662E-3</v>
          </cell>
          <cell r="I257">
            <v>5.933333333333333E-3</v>
          </cell>
          <cell r="J257">
            <v>0</v>
          </cell>
          <cell r="K257">
            <v>1.6500000000000001E-2</v>
          </cell>
          <cell r="L257">
            <v>0.20963833333333334</v>
          </cell>
          <cell r="M257">
            <v>1.0450000000000001E-3</v>
          </cell>
          <cell r="N257">
            <v>1.8705000000000003E-2</v>
          </cell>
          <cell r="O257">
            <v>1.0863333333333334E-2</v>
          </cell>
          <cell r="P257">
            <v>5.5533333333333329E-3</v>
          </cell>
          <cell r="Q257">
            <v>1.5879999999999998E-2</v>
          </cell>
          <cell r="R257">
            <v>0.26230500000000001</v>
          </cell>
          <cell r="S257">
            <v>0</v>
          </cell>
          <cell r="T257">
            <v>0</v>
          </cell>
          <cell r="U257">
            <v>0</v>
          </cell>
          <cell r="V257">
            <v>0.27818500000000002</v>
          </cell>
        </row>
        <row r="258">
          <cell r="E258" t="str">
            <v>KR9P67SJ0</v>
          </cell>
          <cell r="F258">
            <v>2.7875000000000001</v>
          </cell>
          <cell r="G258">
            <v>0</v>
          </cell>
          <cell r="H258">
            <v>3.0299999999999997E-3</v>
          </cell>
          <cell r="I258">
            <v>0</v>
          </cell>
          <cell r="J258">
            <v>0</v>
          </cell>
          <cell r="K258">
            <v>9.1666666666666667E-3</v>
          </cell>
          <cell r="L258">
            <v>2.2788333333333334E-2</v>
          </cell>
          <cell r="M258">
            <v>0</v>
          </cell>
          <cell r="N258">
            <v>1.0781666666666667E-2</v>
          </cell>
          <cell r="O258">
            <v>4.7249999999999992E-3</v>
          </cell>
          <cell r="P258">
            <v>1.9066666666666668E-3</v>
          </cell>
          <cell r="Q258">
            <v>3.0299999999999997E-3</v>
          </cell>
          <cell r="R258">
            <v>4.9368333333333334E-2</v>
          </cell>
          <cell r="S258">
            <v>0</v>
          </cell>
          <cell r="T258">
            <v>0</v>
          </cell>
          <cell r="U258">
            <v>0</v>
          </cell>
          <cell r="V258">
            <v>5.2398333333333331E-2</v>
          </cell>
        </row>
        <row r="259">
          <cell r="E259" t="str">
            <v>KS0G67030C</v>
          </cell>
          <cell r="F259">
            <v>1206.5006000000001</v>
          </cell>
          <cell r="G259">
            <v>0</v>
          </cell>
          <cell r="H259">
            <v>0.19709166666666667</v>
          </cell>
          <cell r="I259">
            <v>0.32570833333333332</v>
          </cell>
          <cell r="J259">
            <v>9.7753333333333331E-2</v>
          </cell>
          <cell r="K259">
            <v>0.48373166666666667</v>
          </cell>
          <cell r="L259">
            <v>1.0440416666666665</v>
          </cell>
          <cell r="M259">
            <v>9.4050000000000002E-3</v>
          </cell>
          <cell r="N259">
            <v>0.10175666666666668</v>
          </cell>
          <cell r="O259">
            <v>5.366166666666667E-2</v>
          </cell>
          <cell r="P259">
            <v>7.0443333333333344E-2</v>
          </cell>
          <cell r="Q259">
            <v>0.62055333333333329</v>
          </cell>
          <cell r="R259">
            <v>1.7630400000000002</v>
          </cell>
          <cell r="S259">
            <v>0</v>
          </cell>
          <cell r="T259">
            <v>0</v>
          </cell>
          <cell r="U259">
            <v>0</v>
          </cell>
          <cell r="V259">
            <v>2.3835933333333337</v>
          </cell>
        </row>
        <row r="260">
          <cell r="E260" t="str">
            <v>KS0G67240A</v>
          </cell>
          <cell r="F260">
            <v>63.871499999999997</v>
          </cell>
          <cell r="G260">
            <v>0</v>
          </cell>
          <cell r="H260">
            <v>1.5036666666666667E-2</v>
          </cell>
          <cell r="I260">
            <v>0</v>
          </cell>
          <cell r="J260">
            <v>0</v>
          </cell>
          <cell r="K260">
            <v>3.9050000000000001E-2</v>
          </cell>
          <cell r="L260">
            <v>0.16821</v>
          </cell>
          <cell r="M260">
            <v>2.0900000000000003E-3</v>
          </cell>
          <cell r="N260">
            <v>2.4101666666666667E-2</v>
          </cell>
          <cell r="O260">
            <v>1.371E-2</v>
          </cell>
          <cell r="P260">
            <v>5.4549999999999998E-3</v>
          </cell>
          <cell r="Q260">
            <v>1.5036666666666667E-2</v>
          </cell>
          <cell r="R260">
            <v>0.25261666666666666</v>
          </cell>
          <cell r="S260">
            <v>0</v>
          </cell>
          <cell r="T260">
            <v>0</v>
          </cell>
          <cell r="U260">
            <v>0</v>
          </cell>
          <cell r="V260">
            <v>0.2676533333333333</v>
          </cell>
        </row>
        <row r="261">
          <cell r="E261" t="str">
            <v>KS1A67030C</v>
          </cell>
          <cell r="F261">
            <v>1093.2564</v>
          </cell>
          <cell r="G261">
            <v>0</v>
          </cell>
          <cell r="H261">
            <v>0.17716000000000001</v>
          </cell>
          <cell r="I261">
            <v>0.24000833333333332</v>
          </cell>
          <cell r="J261">
            <v>7.2929999999999995E-2</v>
          </cell>
          <cell r="K261">
            <v>0.44523166666666664</v>
          </cell>
          <cell r="L261">
            <v>0.98422833333333337</v>
          </cell>
          <cell r="M261">
            <v>9.4050000000000002E-3</v>
          </cell>
          <cell r="N261">
            <v>9.8356666666666662E-2</v>
          </cell>
          <cell r="O261">
            <v>5.1468333333333331E-2</v>
          </cell>
          <cell r="P261">
            <v>6.2936666666666669E-2</v>
          </cell>
          <cell r="Q261">
            <v>0.49009833333333336</v>
          </cell>
          <cell r="R261">
            <v>1.6516266666666666</v>
          </cell>
          <cell r="S261">
            <v>0</v>
          </cell>
          <cell r="T261">
            <v>0</v>
          </cell>
          <cell r="U261">
            <v>0</v>
          </cell>
          <cell r="V261">
            <v>2.1417250000000001</v>
          </cell>
        </row>
        <row r="262">
          <cell r="E262" t="str">
            <v>KS1A67240A</v>
          </cell>
          <cell r="F262">
            <v>60.527999999999999</v>
          </cell>
          <cell r="G262">
            <v>0</v>
          </cell>
          <cell r="H262">
            <v>1.3166666666666667E-2</v>
          </cell>
          <cell r="I262">
            <v>0</v>
          </cell>
          <cell r="J262">
            <v>0</v>
          </cell>
          <cell r="K262">
            <v>3.3549999999999996E-2</v>
          </cell>
          <cell r="L262">
            <v>0.156615</v>
          </cell>
          <cell r="M262">
            <v>2.0900000000000003E-3</v>
          </cell>
          <cell r="N262">
            <v>2.3201666666666666E-2</v>
          </cell>
          <cell r="O262">
            <v>1.3366666666666667E-2</v>
          </cell>
          <cell r="P262">
            <v>5.2199999999999998E-3</v>
          </cell>
          <cell r="Q262">
            <v>1.3166666666666667E-2</v>
          </cell>
          <cell r="R262">
            <v>0.23404333333333335</v>
          </cell>
          <cell r="S262">
            <v>0</v>
          </cell>
          <cell r="T262">
            <v>0</v>
          </cell>
          <cell r="U262">
            <v>0</v>
          </cell>
          <cell r="V262">
            <v>0.24721000000000001</v>
          </cell>
        </row>
        <row r="263">
          <cell r="E263" t="str">
            <v>KSL267030</v>
          </cell>
          <cell r="F263">
            <v>1710.3687</v>
          </cell>
          <cell r="G263">
            <v>33.107799999999997</v>
          </cell>
          <cell r="H263">
            <v>0.21414</v>
          </cell>
          <cell r="I263">
            <v>0.26765166666666668</v>
          </cell>
          <cell r="J263">
            <v>8.2005000000000008E-2</v>
          </cell>
          <cell r="K263">
            <v>0.55932166666666672</v>
          </cell>
          <cell r="L263">
            <v>1.2580133333333334</v>
          </cell>
          <cell r="M263">
            <v>1.4630000000000001E-2</v>
          </cell>
          <cell r="N263">
            <v>0.12157833333333333</v>
          </cell>
          <cell r="O263">
            <v>8.1146666666666672E-2</v>
          </cell>
          <cell r="P263">
            <v>9.7736666666666666E-2</v>
          </cell>
          <cell r="Q263">
            <v>0.56379666666666672</v>
          </cell>
          <cell r="R263">
            <v>2.1324266666666665</v>
          </cell>
          <cell r="S263">
            <v>2.5163333333333329E-2</v>
          </cell>
          <cell r="T263">
            <v>0</v>
          </cell>
          <cell r="U263">
            <v>0</v>
          </cell>
          <cell r="V263">
            <v>2.7213866666666666</v>
          </cell>
        </row>
        <row r="264">
          <cell r="E264" t="str">
            <v>KSL467030</v>
          </cell>
          <cell r="F264">
            <v>1770.9991</v>
          </cell>
          <cell r="G264">
            <v>33.107799999999997</v>
          </cell>
          <cell r="H264">
            <v>0.22011166666666665</v>
          </cell>
          <cell r="I264">
            <v>0.30004666666666668</v>
          </cell>
          <cell r="J264">
            <v>8.8471666666666671E-2</v>
          </cell>
          <cell r="K264">
            <v>0.57292999999999994</v>
          </cell>
          <cell r="L264">
            <v>1.2666700000000002</v>
          </cell>
          <cell r="M264">
            <v>1.4630000000000001E-2</v>
          </cell>
          <cell r="N264">
            <v>0.12249333333333333</v>
          </cell>
          <cell r="O264">
            <v>8.1960000000000005E-2</v>
          </cell>
          <cell r="P264">
            <v>9.8243333333333321E-2</v>
          </cell>
          <cell r="Q264">
            <v>0.60863</v>
          </cell>
          <cell r="R264">
            <v>2.1569266666666667</v>
          </cell>
          <cell r="S264">
            <v>2.5163333333333329E-2</v>
          </cell>
          <cell r="T264">
            <v>0</v>
          </cell>
          <cell r="U264">
            <v>0</v>
          </cell>
          <cell r="V264">
            <v>2.7907200000000003</v>
          </cell>
        </row>
        <row r="265">
          <cell r="E265" t="str">
            <v>KSL667030</v>
          </cell>
          <cell r="F265">
            <v>1811.2040999999999</v>
          </cell>
          <cell r="G265">
            <v>33.107799999999997</v>
          </cell>
          <cell r="H265">
            <v>0.22438</v>
          </cell>
          <cell r="I265">
            <v>0.30246333333333336</v>
          </cell>
          <cell r="J265">
            <v>0.10345666666666667</v>
          </cell>
          <cell r="K265">
            <v>0.58136333333333334</v>
          </cell>
          <cell r="L265">
            <v>1.2962099999999999</v>
          </cell>
          <cell r="M265">
            <v>1.4630000000000001E-2</v>
          </cell>
          <cell r="N265">
            <v>0.12563833333333332</v>
          </cell>
          <cell r="O265">
            <v>8.3486666666666667E-2</v>
          </cell>
          <cell r="P265">
            <v>0.10309333333333333</v>
          </cell>
          <cell r="Q265">
            <v>0.63029999999999997</v>
          </cell>
          <cell r="R265">
            <v>2.2044216666666663</v>
          </cell>
          <cell r="S265">
            <v>2.5163333333333329E-2</v>
          </cell>
          <cell r="T265">
            <v>0</v>
          </cell>
          <cell r="U265">
            <v>0</v>
          </cell>
          <cell r="V265">
            <v>2.8598849999999998</v>
          </cell>
        </row>
        <row r="266">
          <cell r="E266" t="str">
            <v>KST567030B</v>
          </cell>
          <cell r="F266">
            <v>1114.6105</v>
          </cell>
          <cell r="G266">
            <v>0</v>
          </cell>
          <cell r="H266">
            <v>0.17216166666666669</v>
          </cell>
          <cell r="I266">
            <v>0.22187999999999999</v>
          </cell>
          <cell r="J266">
            <v>7.5503333333333325E-2</v>
          </cell>
          <cell r="K266">
            <v>0.42868499999999998</v>
          </cell>
          <cell r="L266">
            <v>0.97499166666666659</v>
          </cell>
          <cell r="M266">
            <v>9.4050000000000002E-3</v>
          </cell>
          <cell r="N266">
            <v>9.7143333333333332E-2</v>
          </cell>
          <cell r="O266">
            <v>5.1941666666666664E-2</v>
          </cell>
          <cell r="P266">
            <v>6.5353333333333333E-2</v>
          </cell>
          <cell r="Q266">
            <v>0.46954499999999999</v>
          </cell>
          <cell r="R266">
            <v>1.6275200000000001</v>
          </cell>
          <cell r="S266">
            <v>0</v>
          </cell>
          <cell r="T266">
            <v>0</v>
          </cell>
          <cell r="U266">
            <v>0</v>
          </cell>
          <cell r="V266">
            <v>2.0970650000000002</v>
          </cell>
        </row>
        <row r="267">
          <cell r="E267" t="str">
            <v>KV0T67030</v>
          </cell>
          <cell r="F267">
            <v>1822.4417000000001</v>
          </cell>
          <cell r="G267">
            <v>35.5655</v>
          </cell>
          <cell r="H267">
            <v>0.23376833333333333</v>
          </cell>
          <cell r="I267">
            <v>0.36992333333333333</v>
          </cell>
          <cell r="J267">
            <v>9.9015000000000006E-2</v>
          </cell>
          <cell r="K267">
            <v>0.61877666666666675</v>
          </cell>
          <cell r="L267">
            <v>1.284775</v>
          </cell>
          <cell r="M267">
            <v>1.3585000000000002E-2</v>
          </cell>
          <cell r="N267">
            <v>0.12791666666666665</v>
          </cell>
          <cell r="O267">
            <v>8.2083333333333328E-2</v>
          </cell>
          <cell r="P267">
            <v>8.5320000000000007E-2</v>
          </cell>
          <cell r="Q267">
            <v>0.70270666666666659</v>
          </cell>
          <cell r="R267">
            <v>2.2124566666666663</v>
          </cell>
          <cell r="S267">
            <v>2.5163333333333329E-2</v>
          </cell>
          <cell r="T267">
            <v>0</v>
          </cell>
          <cell r="U267">
            <v>0</v>
          </cell>
          <cell r="V267">
            <v>2.9403266666666665</v>
          </cell>
        </row>
        <row r="268">
          <cell r="E268" t="str">
            <v>KV1G67030</v>
          </cell>
          <cell r="F268">
            <v>1902.8362</v>
          </cell>
          <cell r="G268">
            <v>35.5655</v>
          </cell>
          <cell r="H268">
            <v>0.23979166666666665</v>
          </cell>
          <cell r="I268">
            <v>0.37751499999999999</v>
          </cell>
          <cell r="J268">
            <v>0.12045666666666667</v>
          </cell>
          <cell r="K268">
            <v>0.6292266666666666</v>
          </cell>
          <cell r="L268">
            <v>1.3136033333333332</v>
          </cell>
          <cell r="M268">
            <v>1.3585000000000002E-2</v>
          </cell>
          <cell r="N268">
            <v>0.13173333333333334</v>
          </cell>
          <cell r="O268">
            <v>8.5903333333333345E-2</v>
          </cell>
          <cell r="P268">
            <v>8.8054999999999994E-2</v>
          </cell>
          <cell r="Q268">
            <v>0.73776333333333333</v>
          </cell>
          <cell r="R268">
            <v>2.2621066666666669</v>
          </cell>
          <cell r="S268">
            <v>2.5163333333333329E-2</v>
          </cell>
          <cell r="T268">
            <v>0</v>
          </cell>
          <cell r="U268">
            <v>0</v>
          </cell>
          <cell r="V268">
            <v>3.0250333333333339</v>
          </cell>
        </row>
        <row r="269">
          <cell r="E269" t="str">
            <v>KW0A67030</v>
          </cell>
          <cell r="F269">
            <v>1664.5992999999999</v>
          </cell>
          <cell r="G269">
            <v>35.910400000000003</v>
          </cell>
          <cell r="H269">
            <v>0.21811666666666665</v>
          </cell>
          <cell r="I269">
            <v>0.38517499999999999</v>
          </cell>
          <cell r="J269">
            <v>8.1425000000000011E-2</v>
          </cell>
          <cell r="K269">
            <v>0.58569333333333329</v>
          </cell>
          <cell r="L269">
            <v>1.1292766666666667</v>
          </cell>
          <cell r="M269">
            <v>1.4630000000000001E-2</v>
          </cell>
          <cell r="N269">
            <v>0.11643833333333334</v>
          </cell>
          <cell r="O269">
            <v>7.7066666666666658E-2</v>
          </cell>
          <cell r="P269">
            <v>8.7559999999999999E-2</v>
          </cell>
          <cell r="Q269">
            <v>0.68471666666666664</v>
          </cell>
          <cell r="R269">
            <v>2.0106649999999999</v>
          </cell>
          <cell r="S269">
            <v>2.5163333333333329E-2</v>
          </cell>
          <cell r="T269">
            <v>0</v>
          </cell>
          <cell r="U269">
            <v>0</v>
          </cell>
          <cell r="V269">
            <v>2.720545</v>
          </cell>
        </row>
        <row r="270">
          <cell r="E270" t="str">
            <v>KW0D67030</v>
          </cell>
          <cell r="F270">
            <v>1747.8915000000002</v>
          </cell>
          <cell r="G270">
            <v>35.910400000000003</v>
          </cell>
          <cell r="H270">
            <v>0.21847666666666665</v>
          </cell>
          <cell r="I270">
            <v>0.38988</v>
          </cell>
          <cell r="J270">
            <v>9.9824999999999997E-2</v>
          </cell>
          <cell r="K270">
            <v>0.57864000000000004</v>
          </cell>
          <cell r="L270">
            <v>1.1497083333333333</v>
          </cell>
          <cell r="M270">
            <v>1.4630000000000001E-2</v>
          </cell>
          <cell r="N270">
            <v>0.11890666666666667</v>
          </cell>
          <cell r="O270">
            <v>7.8953333333333334E-2</v>
          </cell>
          <cell r="P270">
            <v>8.8558333333333336E-2</v>
          </cell>
          <cell r="Q270">
            <v>0.70818166666666671</v>
          </cell>
          <cell r="R270">
            <v>2.029396666666667</v>
          </cell>
          <cell r="S270">
            <v>2.5163333333333329E-2</v>
          </cell>
          <cell r="T270">
            <v>0</v>
          </cell>
          <cell r="U270">
            <v>0</v>
          </cell>
          <cell r="V270">
            <v>2.7627416666666669</v>
          </cell>
        </row>
        <row r="271">
          <cell r="E271" t="str">
            <v>KW0E67030</v>
          </cell>
          <cell r="F271">
            <v>1786.5248000000001</v>
          </cell>
          <cell r="G271">
            <v>35.910400000000003</v>
          </cell>
          <cell r="H271">
            <v>0.22273500000000002</v>
          </cell>
          <cell r="I271">
            <v>0.39229666666666668</v>
          </cell>
          <cell r="J271">
            <v>0.115215</v>
          </cell>
          <cell r="K271">
            <v>0.58707333333333334</v>
          </cell>
          <cell r="L271">
            <v>1.1806750000000001</v>
          </cell>
          <cell r="M271">
            <v>1.4630000000000001E-2</v>
          </cell>
          <cell r="N271">
            <v>0.12205166666666667</v>
          </cell>
          <cell r="O271">
            <v>8.048000000000001E-2</v>
          </cell>
          <cell r="P271">
            <v>9.3409999999999993E-2</v>
          </cell>
          <cell r="Q271">
            <v>0.7302466666666666</v>
          </cell>
          <cell r="R271">
            <v>2.0783200000000002</v>
          </cell>
          <cell r="S271">
            <v>2.5163333333333329E-2</v>
          </cell>
          <cell r="T271">
            <v>0</v>
          </cell>
          <cell r="U271">
            <v>0</v>
          </cell>
          <cell r="V271">
            <v>2.8337300000000001</v>
          </cell>
        </row>
        <row r="272">
          <cell r="E272" t="str">
            <v>BC111-16J40-1</v>
          </cell>
          <cell r="F272">
            <v>182.50890000000001</v>
          </cell>
          <cell r="G272">
            <v>0</v>
          </cell>
          <cell r="H272">
            <v>2.241666666666667E-3</v>
          </cell>
          <cell r="I272">
            <v>7.9816666666666664E-3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2.5683333333333331E-3</v>
          </cell>
          <cell r="Q272">
            <v>1.0223333333333334E-2</v>
          </cell>
          <cell r="R272">
            <v>2.5683333333333331E-3</v>
          </cell>
          <cell r="S272">
            <v>0</v>
          </cell>
          <cell r="T272">
            <v>0</v>
          </cell>
          <cell r="U272">
            <v>0</v>
          </cell>
          <cell r="V272">
            <v>1.2791666666666666E-2</v>
          </cell>
        </row>
        <row r="273">
          <cell r="E273" t="str">
            <v>BC111-16P60-1</v>
          </cell>
          <cell r="F273">
            <v>323.50290000000001</v>
          </cell>
          <cell r="G273">
            <v>0</v>
          </cell>
          <cell r="H273">
            <v>2.7316666666666665E-3</v>
          </cell>
          <cell r="I273">
            <v>6.4333333333333334E-3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3.1650000000000003E-3</v>
          </cell>
          <cell r="Q273">
            <v>9.1649999999999995E-3</v>
          </cell>
          <cell r="R273">
            <v>3.1650000000000003E-3</v>
          </cell>
          <cell r="S273">
            <v>0</v>
          </cell>
          <cell r="T273">
            <v>0</v>
          </cell>
          <cell r="U273">
            <v>0</v>
          </cell>
          <cell r="V273">
            <v>1.2330000000000001E-2</v>
          </cell>
        </row>
        <row r="274">
          <cell r="E274" t="str">
            <v>BC111-16R30-1</v>
          </cell>
          <cell r="F274">
            <v>182.50890000000001</v>
          </cell>
          <cell r="G274">
            <v>0</v>
          </cell>
          <cell r="H274">
            <v>2.241666666666667E-3</v>
          </cell>
          <cell r="I274">
            <v>7.9816666666666664E-3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2.5683333333333331E-3</v>
          </cell>
          <cell r="Q274">
            <v>1.0223333333333334E-2</v>
          </cell>
          <cell r="R274">
            <v>2.5683333333333331E-3</v>
          </cell>
          <cell r="S274">
            <v>0</v>
          </cell>
          <cell r="T274">
            <v>0</v>
          </cell>
          <cell r="U274">
            <v>0</v>
          </cell>
          <cell r="V274">
            <v>1.2791666666666666E-2</v>
          </cell>
        </row>
        <row r="275">
          <cell r="E275" t="str">
            <v>BC111-16R90-1</v>
          </cell>
          <cell r="F275">
            <v>322.19740000000002</v>
          </cell>
          <cell r="G275">
            <v>0</v>
          </cell>
          <cell r="H275">
            <v>2.7516666666666666E-3</v>
          </cell>
          <cell r="I275">
            <v>6.4333333333333334E-3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3.1583333333333333E-3</v>
          </cell>
          <cell r="Q275">
            <v>9.1850000000000005E-3</v>
          </cell>
          <cell r="R275">
            <v>3.1583333333333333E-3</v>
          </cell>
          <cell r="S275">
            <v>0</v>
          </cell>
          <cell r="T275">
            <v>0</v>
          </cell>
          <cell r="U275">
            <v>0</v>
          </cell>
          <cell r="V275">
            <v>1.2343333333333335E-2</v>
          </cell>
        </row>
        <row r="276">
          <cell r="E276" t="str">
            <v>BC111-1HQ61-1</v>
          </cell>
          <cell r="F276">
            <v>182.50890000000001</v>
          </cell>
          <cell r="G276">
            <v>0</v>
          </cell>
          <cell r="H276">
            <v>2.241666666666667E-3</v>
          </cell>
          <cell r="I276">
            <v>7.9816666666666664E-3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2.5683333333333331E-3</v>
          </cell>
          <cell r="Q276">
            <v>1.0223333333333334E-2</v>
          </cell>
          <cell r="R276">
            <v>2.5683333333333331E-3</v>
          </cell>
          <cell r="S276">
            <v>0</v>
          </cell>
          <cell r="T276">
            <v>0</v>
          </cell>
          <cell r="U276">
            <v>0</v>
          </cell>
          <cell r="V276">
            <v>1.2791666666666666E-2</v>
          </cell>
        </row>
        <row r="277">
          <cell r="E277" t="str">
            <v>BC111-1HR01-1</v>
          </cell>
          <cell r="F277">
            <v>182.50890000000001</v>
          </cell>
          <cell r="G277">
            <v>0</v>
          </cell>
          <cell r="H277">
            <v>2.241666666666667E-3</v>
          </cell>
          <cell r="I277">
            <v>7.9816666666666664E-3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2.5683333333333331E-3</v>
          </cell>
          <cell r="Q277">
            <v>1.0223333333333334E-2</v>
          </cell>
          <cell r="R277">
            <v>2.5683333333333331E-3</v>
          </cell>
          <cell r="S277">
            <v>0</v>
          </cell>
          <cell r="T277">
            <v>0</v>
          </cell>
          <cell r="U277">
            <v>0</v>
          </cell>
          <cell r="V277">
            <v>1.2791666666666666E-2</v>
          </cell>
        </row>
        <row r="278">
          <cell r="E278" t="str">
            <v>BC111-2FE72-1</v>
          </cell>
          <cell r="F278">
            <v>100.1203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1.1176666666666666E-2</v>
          </cell>
          <cell r="U278">
            <v>0</v>
          </cell>
          <cell r="V278">
            <v>1.1176666666666666E-2</v>
          </cell>
        </row>
        <row r="279">
          <cell r="E279" t="str">
            <v>BC111-2FE72-2</v>
          </cell>
          <cell r="F279">
            <v>328.09559999999999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1.1361666666666666E-2</v>
          </cell>
          <cell r="U279">
            <v>0</v>
          </cell>
          <cell r="V279">
            <v>1.1361666666666666E-2</v>
          </cell>
        </row>
        <row r="280">
          <cell r="E280" t="str">
            <v>BC111-47V60-1</v>
          </cell>
          <cell r="F280">
            <v>182.50890000000001</v>
          </cell>
          <cell r="G280">
            <v>0</v>
          </cell>
          <cell r="H280">
            <v>2.2383333333333335E-3</v>
          </cell>
          <cell r="I280">
            <v>7.9816666666666664E-3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2.5683333333333331E-3</v>
          </cell>
          <cell r="Q280">
            <v>1.022E-2</v>
          </cell>
          <cell r="R280">
            <v>2.5683333333333331E-3</v>
          </cell>
          <cell r="S280">
            <v>0</v>
          </cell>
          <cell r="T280">
            <v>0</v>
          </cell>
          <cell r="U280">
            <v>0</v>
          </cell>
          <cell r="V280">
            <v>1.2788333333333332E-2</v>
          </cell>
        </row>
        <row r="281">
          <cell r="E281" t="str">
            <v>BC111-4EB50-1</v>
          </cell>
          <cell r="F281">
            <v>182.50890000000001</v>
          </cell>
          <cell r="G281">
            <v>0</v>
          </cell>
          <cell r="H281">
            <v>2.2383333333333335E-3</v>
          </cell>
          <cell r="I281">
            <v>7.9816666666666664E-3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2.5683333333333331E-3</v>
          </cell>
          <cell r="Q281">
            <v>1.022E-2</v>
          </cell>
          <cell r="R281">
            <v>2.5683333333333331E-3</v>
          </cell>
          <cell r="S281">
            <v>0</v>
          </cell>
          <cell r="T281">
            <v>0</v>
          </cell>
          <cell r="U281">
            <v>0</v>
          </cell>
          <cell r="V281">
            <v>1.2788333333333332E-2</v>
          </cell>
        </row>
        <row r="282">
          <cell r="E282" t="str">
            <v>BC111-4EE80-1</v>
          </cell>
          <cell r="F282">
            <v>323.24180000000001</v>
          </cell>
          <cell r="G282">
            <v>0</v>
          </cell>
          <cell r="H282">
            <v>2.7300000000000002E-3</v>
          </cell>
          <cell r="I282">
            <v>6.4333333333333334E-3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3.1633333333333331E-3</v>
          </cell>
          <cell r="Q282">
            <v>9.1633333333333341E-3</v>
          </cell>
          <cell r="R282">
            <v>3.1633333333333331E-3</v>
          </cell>
          <cell r="S282">
            <v>0</v>
          </cell>
          <cell r="T282">
            <v>0</v>
          </cell>
          <cell r="U282">
            <v>0</v>
          </cell>
          <cell r="V282">
            <v>1.2326666666666666E-2</v>
          </cell>
        </row>
        <row r="283">
          <cell r="E283" t="str">
            <v>BC111-4EW40-1</v>
          </cell>
          <cell r="F283">
            <v>321.15300000000002</v>
          </cell>
          <cell r="G283">
            <v>0</v>
          </cell>
          <cell r="H283">
            <v>2.7366666666666668E-3</v>
          </cell>
          <cell r="I283">
            <v>6.4333333333333334E-3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3.1549999999999998E-3</v>
          </cell>
          <cell r="Q283">
            <v>9.1700000000000011E-3</v>
          </cell>
          <cell r="R283">
            <v>3.1549999999999998E-3</v>
          </cell>
          <cell r="S283">
            <v>0</v>
          </cell>
          <cell r="T283">
            <v>0</v>
          </cell>
          <cell r="U283">
            <v>0</v>
          </cell>
          <cell r="V283">
            <v>1.2325000000000001E-2</v>
          </cell>
        </row>
        <row r="284">
          <cell r="E284" t="str">
            <v>BC111-5A883-2</v>
          </cell>
          <cell r="F284">
            <v>454.05290000000002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1.6293333333333333E-2</v>
          </cell>
          <cell r="U284">
            <v>0</v>
          </cell>
          <cell r="V284">
            <v>1.6293333333333333E-2</v>
          </cell>
        </row>
        <row r="285">
          <cell r="E285" t="str">
            <v>BC111-5AA03-2</v>
          </cell>
          <cell r="F285">
            <v>455.35840000000002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1.6305E-2</v>
          </cell>
          <cell r="U285">
            <v>0</v>
          </cell>
          <cell r="V285">
            <v>1.6305E-2</v>
          </cell>
        </row>
        <row r="286">
          <cell r="E286" t="str">
            <v>BC111-5AC33-2</v>
          </cell>
          <cell r="F286">
            <v>452.74740000000003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1.6279999999999999E-2</v>
          </cell>
          <cell r="U286">
            <v>0</v>
          </cell>
          <cell r="V286">
            <v>1.6279999999999999E-2</v>
          </cell>
        </row>
        <row r="287">
          <cell r="E287" t="str">
            <v>BC111-62215-2</v>
          </cell>
          <cell r="F287">
            <v>454.05290000000002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1.6293333333333333E-2</v>
          </cell>
          <cell r="U287">
            <v>0</v>
          </cell>
          <cell r="V287">
            <v>1.6293333333333333E-2</v>
          </cell>
        </row>
        <row r="288">
          <cell r="E288" t="str">
            <v>BC111-V1020-1</v>
          </cell>
          <cell r="F288">
            <v>128.20009999999999</v>
          </cell>
          <cell r="G288">
            <v>0</v>
          </cell>
          <cell r="H288">
            <v>1.4683333333333332E-3</v>
          </cell>
          <cell r="I288">
            <v>7.9816666666666664E-3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2.3366666666666666E-3</v>
          </cell>
          <cell r="Q288">
            <v>9.4500000000000001E-3</v>
          </cell>
          <cell r="R288">
            <v>2.3366666666666666E-3</v>
          </cell>
          <cell r="S288">
            <v>0</v>
          </cell>
          <cell r="T288">
            <v>0</v>
          </cell>
          <cell r="U288">
            <v>0</v>
          </cell>
          <cell r="V288">
            <v>1.1786666666666668E-2</v>
          </cell>
        </row>
        <row r="289">
          <cell r="E289" t="str">
            <v>BC111-V1100-1</v>
          </cell>
          <cell r="F289">
            <v>136.55529999999999</v>
          </cell>
          <cell r="G289">
            <v>0</v>
          </cell>
          <cell r="H289">
            <v>1.5083333333333333E-3</v>
          </cell>
          <cell r="I289">
            <v>7.9816666666666664E-3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2.3733333333333332E-3</v>
          </cell>
          <cell r="Q289">
            <v>9.4900000000000002E-3</v>
          </cell>
          <cell r="R289">
            <v>2.3733333333333332E-3</v>
          </cell>
          <cell r="S289">
            <v>0</v>
          </cell>
          <cell r="T289">
            <v>0</v>
          </cell>
          <cell r="U289">
            <v>0</v>
          </cell>
          <cell r="V289">
            <v>1.1863333333333333E-2</v>
          </cell>
        </row>
        <row r="290">
          <cell r="E290" t="str">
            <v>BC111-V3650-2</v>
          </cell>
          <cell r="F290">
            <v>343.63490000000002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1.1546666666666667E-2</v>
          </cell>
          <cell r="U290">
            <v>0</v>
          </cell>
          <cell r="V290">
            <v>1.1546666666666667E-2</v>
          </cell>
        </row>
        <row r="291">
          <cell r="E291" t="str">
            <v>BC111-V3881-1</v>
          </cell>
          <cell r="F291">
            <v>64.714299999999994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8.1883333333333339E-3</v>
          </cell>
          <cell r="U291">
            <v>0</v>
          </cell>
          <cell r="V291">
            <v>8.1883333333333339E-3</v>
          </cell>
        </row>
        <row r="292">
          <cell r="E292" t="str">
            <v>BC115-5CC80-1</v>
          </cell>
          <cell r="F292">
            <v>71.981800000000007</v>
          </cell>
          <cell r="G292">
            <v>0</v>
          </cell>
          <cell r="H292">
            <v>8.8666666666666657E-4</v>
          </cell>
          <cell r="I292">
            <v>9.5300000000000003E-3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2.4383333333333336E-3</v>
          </cell>
          <cell r="Q292">
            <v>1.0416666666666666E-2</v>
          </cell>
          <cell r="R292">
            <v>2.4383333333333336E-3</v>
          </cell>
          <cell r="S292">
            <v>0</v>
          </cell>
          <cell r="T292">
            <v>0</v>
          </cell>
          <cell r="U292">
            <v>0</v>
          </cell>
          <cell r="V292">
            <v>1.2855E-2</v>
          </cell>
        </row>
        <row r="293">
          <cell r="E293" t="str">
            <v>BC115-5CC80-2</v>
          </cell>
          <cell r="F293">
            <v>106.4147</v>
          </cell>
          <cell r="G293">
            <v>0</v>
          </cell>
          <cell r="H293">
            <v>1.5316666666666666E-3</v>
          </cell>
          <cell r="I293">
            <v>9.5300000000000003E-3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2.3933333333333333E-3</v>
          </cell>
          <cell r="Q293">
            <v>1.1061666666666668E-2</v>
          </cell>
          <cell r="R293">
            <v>2.3933333333333333E-3</v>
          </cell>
          <cell r="S293">
            <v>0</v>
          </cell>
          <cell r="T293">
            <v>0</v>
          </cell>
          <cell r="U293">
            <v>0</v>
          </cell>
          <cell r="V293">
            <v>1.3455000000000002E-2</v>
          </cell>
        </row>
        <row r="294">
          <cell r="E294" t="str">
            <v>BC121-35G70-1</v>
          </cell>
          <cell r="F294">
            <v>338.11799999999999</v>
          </cell>
          <cell r="G294">
            <v>0</v>
          </cell>
          <cell r="H294">
            <v>2.6133333333333334E-3</v>
          </cell>
          <cell r="I294">
            <v>9.5300000000000003E-3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3.1749999999999999E-3</v>
          </cell>
          <cell r="Q294">
            <v>1.2143333333333334E-2</v>
          </cell>
          <cell r="R294">
            <v>3.1749999999999999E-3</v>
          </cell>
          <cell r="S294">
            <v>0</v>
          </cell>
          <cell r="T294">
            <v>0</v>
          </cell>
          <cell r="U294">
            <v>0</v>
          </cell>
          <cell r="V294">
            <v>1.5318333333333333E-2</v>
          </cell>
        </row>
        <row r="295">
          <cell r="E295" t="str">
            <v>BC121-35G90-1</v>
          </cell>
          <cell r="F295">
            <v>452.70400000000001</v>
          </cell>
          <cell r="G295">
            <v>0</v>
          </cell>
          <cell r="H295">
            <v>2.6199999999999999E-3</v>
          </cell>
          <cell r="I295">
            <v>9.5300000000000003E-3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3.1816666666666664E-3</v>
          </cell>
          <cell r="Q295">
            <v>1.2150000000000001E-2</v>
          </cell>
          <cell r="R295">
            <v>3.1816666666666664E-3</v>
          </cell>
          <cell r="S295">
            <v>0</v>
          </cell>
          <cell r="T295">
            <v>0</v>
          </cell>
          <cell r="U295">
            <v>0</v>
          </cell>
          <cell r="V295">
            <v>1.5331666666666667E-2</v>
          </cell>
        </row>
        <row r="296">
          <cell r="E296" t="str">
            <v>BC121-35K80-1</v>
          </cell>
          <cell r="F296">
            <v>335.298</v>
          </cell>
          <cell r="G296">
            <v>0</v>
          </cell>
          <cell r="H296">
            <v>2.6016666666666666E-3</v>
          </cell>
          <cell r="I296">
            <v>9.5300000000000003E-3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3.1650000000000003E-3</v>
          </cell>
          <cell r="Q296">
            <v>1.2131666666666667E-2</v>
          </cell>
          <cell r="R296">
            <v>3.1650000000000003E-3</v>
          </cell>
          <cell r="S296">
            <v>0</v>
          </cell>
          <cell r="T296">
            <v>0</v>
          </cell>
          <cell r="U296">
            <v>0</v>
          </cell>
          <cell r="V296">
            <v>1.5296666666666667E-2</v>
          </cell>
        </row>
        <row r="297">
          <cell r="E297" t="str">
            <v>BC121-6B220-1</v>
          </cell>
          <cell r="F297">
            <v>124.31440000000001</v>
          </cell>
          <cell r="G297">
            <v>0</v>
          </cell>
          <cell r="H297">
            <v>1.6466666666666667E-3</v>
          </cell>
          <cell r="I297">
            <v>7.9816666666666664E-3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2.5483333333333334E-3</v>
          </cell>
          <cell r="Q297">
            <v>9.6283333333333325E-3</v>
          </cell>
          <cell r="R297">
            <v>2.5483333333333334E-3</v>
          </cell>
          <cell r="S297">
            <v>0</v>
          </cell>
          <cell r="T297">
            <v>0</v>
          </cell>
          <cell r="U297">
            <v>0</v>
          </cell>
          <cell r="V297">
            <v>1.2176666666666666E-2</v>
          </cell>
        </row>
        <row r="298">
          <cell r="E298" t="str">
            <v>BC121-6B260-1</v>
          </cell>
          <cell r="F298">
            <v>415.38600000000002</v>
          </cell>
          <cell r="G298">
            <v>0</v>
          </cell>
          <cell r="H298">
            <v>2.7099999999999997E-3</v>
          </cell>
          <cell r="I298">
            <v>9.5300000000000003E-3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3.4783333333333333E-3</v>
          </cell>
          <cell r="Q298">
            <v>1.2240000000000001E-2</v>
          </cell>
          <cell r="R298">
            <v>3.4783333333333333E-3</v>
          </cell>
          <cell r="S298">
            <v>0</v>
          </cell>
          <cell r="T298">
            <v>0</v>
          </cell>
          <cell r="U298">
            <v>0</v>
          </cell>
          <cell r="V298">
            <v>1.5718333333333334E-2</v>
          </cell>
        </row>
        <row r="299">
          <cell r="E299" t="str">
            <v>BC121-6B370-1</v>
          </cell>
          <cell r="F299">
            <v>287.77210000000002</v>
          </cell>
          <cell r="G299">
            <v>0</v>
          </cell>
          <cell r="H299">
            <v>2.698333333333333E-3</v>
          </cell>
          <cell r="I299">
            <v>9.5300000000000003E-3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3.4666666666666665E-3</v>
          </cell>
          <cell r="Q299">
            <v>1.2228333333333334E-2</v>
          </cell>
          <cell r="R299">
            <v>3.4666666666666665E-3</v>
          </cell>
          <cell r="S299">
            <v>0</v>
          </cell>
          <cell r="T299">
            <v>0</v>
          </cell>
          <cell r="U299">
            <v>0</v>
          </cell>
          <cell r="V299">
            <v>1.5695000000000001E-2</v>
          </cell>
        </row>
        <row r="300">
          <cell r="E300" t="str">
            <v>BC121-6B370-2</v>
          </cell>
          <cell r="F300">
            <v>292.09949999999998</v>
          </cell>
          <cell r="G300">
            <v>0</v>
          </cell>
          <cell r="H300">
            <v>2.725E-3</v>
          </cell>
          <cell r="I300">
            <v>9.5300000000000003E-3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3.4916666666666664E-3</v>
          </cell>
          <cell r="Q300">
            <v>1.2255E-2</v>
          </cell>
          <cell r="R300">
            <v>3.4916666666666664E-3</v>
          </cell>
          <cell r="S300">
            <v>0</v>
          </cell>
          <cell r="T300">
            <v>0</v>
          </cell>
          <cell r="U300">
            <v>0</v>
          </cell>
          <cell r="V300">
            <v>1.5746666666666666E-2</v>
          </cell>
        </row>
        <row r="301">
          <cell r="E301" t="str">
            <v>BC121-B1530-1</v>
          </cell>
          <cell r="F301">
            <v>186.47470000000001</v>
          </cell>
          <cell r="G301">
            <v>0</v>
          </cell>
          <cell r="H301">
            <v>2.2099999999999997E-3</v>
          </cell>
          <cell r="I301">
            <v>8.9750000000000003E-3</v>
          </cell>
          <cell r="J301">
            <v>2.0183333333333334E-3</v>
          </cell>
          <cell r="K301">
            <v>2.1516666666666667E-3</v>
          </cell>
          <cell r="L301">
            <v>4.3818333333333334E-2</v>
          </cell>
          <cell r="M301">
            <v>2.9483333333333332E-3</v>
          </cell>
          <cell r="N301">
            <v>0</v>
          </cell>
          <cell r="O301">
            <v>6.8783333333333335E-3</v>
          </cell>
          <cell r="P301">
            <v>3.3816666666666665E-3</v>
          </cell>
          <cell r="Q301">
            <v>1.3203333333333334E-2</v>
          </cell>
          <cell r="R301">
            <v>5.9178333333333333E-2</v>
          </cell>
          <cell r="S301">
            <v>0</v>
          </cell>
          <cell r="T301">
            <v>1.8568333333333333E-2</v>
          </cell>
          <cell r="U301">
            <v>0</v>
          </cell>
          <cell r="V301">
            <v>9.0950000000000003E-2</v>
          </cell>
        </row>
        <row r="302">
          <cell r="E302" t="str">
            <v>BC121-B1530-2</v>
          </cell>
          <cell r="F302">
            <v>236.10509999999999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3.5279999999999999E-2</v>
          </cell>
          <cell r="U302">
            <v>0</v>
          </cell>
          <cell r="V302">
            <v>3.5279999999999999E-2</v>
          </cell>
        </row>
        <row r="303">
          <cell r="E303" t="str">
            <v>BC121-B1550-1</v>
          </cell>
          <cell r="F303">
            <v>193.24360000000001</v>
          </cell>
          <cell r="G303">
            <v>0</v>
          </cell>
          <cell r="H303">
            <v>1.9449999999999999E-3</v>
          </cell>
          <cell r="I303">
            <v>8.9750000000000003E-3</v>
          </cell>
          <cell r="J303">
            <v>2.0183333333333334E-3</v>
          </cell>
          <cell r="K303">
            <v>2.1516666666666667E-3</v>
          </cell>
          <cell r="L303">
            <v>3.0823333333333331E-2</v>
          </cell>
          <cell r="M303">
            <v>2.9499999999999999E-3</v>
          </cell>
          <cell r="N303">
            <v>0</v>
          </cell>
          <cell r="O303">
            <v>6.9383333333333337E-3</v>
          </cell>
          <cell r="P303">
            <v>3.4233333333333333E-3</v>
          </cell>
          <cell r="Q303">
            <v>1.2938333333333335E-2</v>
          </cell>
          <cell r="R303">
            <v>4.6286666666666663E-2</v>
          </cell>
          <cell r="S303">
            <v>0</v>
          </cell>
          <cell r="T303">
            <v>1.8616666666666663E-2</v>
          </cell>
          <cell r="U303">
            <v>0</v>
          </cell>
          <cell r="V303">
            <v>7.784166666666667E-2</v>
          </cell>
        </row>
        <row r="304">
          <cell r="E304" t="str">
            <v>BC121-B1550-2</v>
          </cell>
          <cell r="F304">
            <v>121.3301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4.2756666666666665E-2</v>
          </cell>
          <cell r="U304">
            <v>0</v>
          </cell>
          <cell r="V304">
            <v>4.2756666666666665E-2</v>
          </cell>
        </row>
        <row r="305">
          <cell r="E305" t="str">
            <v>DC111-2FE72</v>
          </cell>
          <cell r="F305">
            <v>124.0292</v>
          </cell>
          <cell r="G305">
            <v>0</v>
          </cell>
          <cell r="H305">
            <v>2.0100000000000001E-3</v>
          </cell>
          <cell r="I305">
            <v>9.5300000000000003E-3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3.6949999999999999E-3</v>
          </cell>
          <cell r="Q305">
            <v>1.154E-2</v>
          </cell>
          <cell r="R305">
            <v>3.6949999999999999E-3</v>
          </cell>
          <cell r="S305">
            <v>0</v>
          </cell>
          <cell r="T305">
            <v>0</v>
          </cell>
          <cell r="U305">
            <v>0</v>
          </cell>
          <cell r="V305">
            <v>1.5235E-2</v>
          </cell>
        </row>
        <row r="306">
          <cell r="E306" t="str">
            <v>DC111-2FK53</v>
          </cell>
          <cell r="F306">
            <v>124.0292</v>
          </cell>
          <cell r="G306">
            <v>0</v>
          </cell>
          <cell r="H306">
            <v>2.0100000000000001E-3</v>
          </cell>
          <cell r="I306">
            <v>9.5300000000000003E-3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3.6949999999999999E-3</v>
          </cell>
          <cell r="Q306">
            <v>1.154E-2</v>
          </cell>
          <cell r="R306">
            <v>3.6949999999999999E-3</v>
          </cell>
          <cell r="S306">
            <v>0</v>
          </cell>
          <cell r="T306">
            <v>0</v>
          </cell>
          <cell r="U306">
            <v>0</v>
          </cell>
          <cell r="V306">
            <v>1.5235E-2</v>
          </cell>
        </row>
        <row r="307">
          <cell r="E307" t="str">
            <v>DC111-V3650</v>
          </cell>
          <cell r="F307">
            <v>142.05670000000001</v>
          </cell>
          <cell r="G307">
            <v>0</v>
          </cell>
          <cell r="H307">
            <v>2.1183333333333332E-3</v>
          </cell>
          <cell r="I307">
            <v>5.9316666666666667E-3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3.9716666666666667E-3</v>
          </cell>
          <cell r="Q307">
            <v>8.0499999999999999E-3</v>
          </cell>
          <cell r="R307">
            <v>3.9716666666666667E-3</v>
          </cell>
          <cell r="S307">
            <v>0</v>
          </cell>
          <cell r="T307">
            <v>0</v>
          </cell>
          <cell r="U307">
            <v>0</v>
          </cell>
          <cell r="V307">
            <v>1.2021666666666667E-2</v>
          </cell>
        </row>
        <row r="308">
          <cell r="E308" t="str">
            <v>DC111-V3C10</v>
          </cell>
          <cell r="F308">
            <v>121.8659</v>
          </cell>
          <cell r="G308">
            <v>0</v>
          </cell>
          <cell r="H308">
            <v>1.9966666666666666E-3</v>
          </cell>
          <cell r="I308">
            <v>9.5300000000000003E-3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3.6616666666666668E-3</v>
          </cell>
          <cell r="Q308">
            <v>1.1526666666666668E-2</v>
          </cell>
          <cell r="R308">
            <v>3.6616666666666668E-3</v>
          </cell>
          <cell r="S308">
            <v>0</v>
          </cell>
          <cell r="T308">
            <v>0</v>
          </cell>
          <cell r="U308">
            <v>0</v>
          </cell>
          <cell r="V308">
            <v>1.5188333333333335E-2</v>
          </cell>
        </row>
        <row r="309">
          <cell r="E309" t="str">
            <v>DC111-V3C50</v>
          </cell>
          <cell r="F309">
            <v>108.3813</v>
          </cell>
          <cell r="G309">
            <v>0</v>
          </cell>
          <cell r="H309">
            <v>1.9166666666666668E-3</v>
          </cell>
          <cell r="I309">
            <v>9.5300000000000003E-3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3.4550000000000002E-3</v>
          </cell>
          <cell r="Q309">
            <v>1.1446666666666667E-2</v>
          </cell>
          <cell r="R309">
            <v>3.4550000000000002E-3</v>
          </cell>
          <cell r="S309">
            <v>0</v>
          </cell>
          <cell r="T309">
            <v>0</v>
          </cell>
          <cell r="U309">
            <v>0</v>
          </cell>
          <cell r="V309">
            <v>1.4901666666666667E-2</v>
          </cell>
        </row>
        <row r="310">
          <cell r="E310" t="str">
            <v>TRIAL CL BC111-2FE72-1</v>
          </cell>
          <cell r="F310">
            <v>98.153300000000002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1.1153333333333333E-2</v>
          </cell>
          <cell r="U310">
            <v>0</v>
          </cell>
          <cell r="V310">
            <v>1.1153333333333333E-2</v>
          </cell>
        </row>
        <row r="311">
          <cell r="E311" t="str">
            <v>TRIAL CL BC111-2FE72-2</v>
          </cell>
          <cell r="F311">
            <v>97.169799999999995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1.1140000000000001E-2</v>
          </cell>
          <cell r="U311">
            <v>0</v>
          </cell>
          <cell r="V311">
            <v>1.1140000000000001E-2</v>
          </cell>
        </row>
        <row r="312">
          <cell r="E312" t="str">
            <v>JUNKAN D24N 0003</v>
          </cell>
          <cell r="F312">
            <v>4.5999999999999996</v>
          </cell>
          <cell r="G312">
            <v>0</v>
          </cell>
          <cell r="H312">
            <v>7.2499999999999995E-4</v>
          </cell>
          <cell r="I312">
            <v>1.4416666666666666E-3</v>
          </cell>
          <cell r="J312">
            <v>9.5116666666666665E-3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2.7200000000000002E-3</v>
          </cell>
          <cell r="Q312">
            <v>1.1678333333333332E-2</v>
          </cell>
          <cell r="R312">
            <v>2.7200000000000002E-3</v>
          </cell>
          <cell r="S312">
            <v>0</v>
          </cell>
          <cell r="T312">
            <v>0</v>
          </cell>
          <cell r="U312">
            <v>0</v>
          </cell>
          <cell r="V312">
            <v>1.4398333333333332E-2</v>
          </cell>
        </row>
        <row r="313">
          <cell r="E313" t="str">
            <v>JUNKAN D24N 0004</v>
          </cell>
          <cell r="F313">
            <v>4.5999999999999996</v>
          </cell>
          <cell r="G313">
            <v>0</v>
          </cell>
          <cell r="H313">
            <v>7.2499999999999995E-4</v>
          </cell>
          <cell r="I313">
            <v>1.4416666666666666E-3</v>
          </cell>
          <cell r="J313">
            <v>9.5116666666666665E-3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2.7200000000000002E-3</v>
          </cell>
          <cell r="Q313">
            <v>1.1678333333333332E-2</v>
          </cell>
          <cell r="R313">
            <v>2.7200000000000002E-3</v>
          </cell>
          <cell r="S313">
            <v>0</v>
          </cell>
          <cell r="T313">
            <v>0</v>
          </cell>
          <cell r="U313">
            <v>0</v>
          </cell>
          <cell r="V313">
            <v>1.4398333333333332E-2</v>
          </cell>
        </row>
        <row r="314">
          <cell r="E314" t="str">
            <v>JUNKAN D24N 0005</v>
          </cell>
          <cell r="F314">
            <v>4.5999999999999996</v>
          </cell>
          <cell r="G314">
            <v>0</v>
          </cell>
          <cell r="H314">
            <v>7.2499999999999995E-4</v>
          </cell>
          <cell r="I314">
            <v>1.4416666666666666E-3</v>
          </cell>
          <cell r="J314">
            <v>9.5116666666666665E-3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2.7200000000000002E-3</v>
          </cell>
          <cell r="Q314">
            <v>1.1678333333333332E-2</v>
          </cell>
          <cell r="R314">
            <v>2.7200000000000002E-3</v>
          </cell>
          <cell r="S314">
            <v>0</v>
          </cell>
          <cell r="T314">
            <v>0</v>
          </cell>
          <cell r="U314">
            <v>0</v>
          </cell>
          <cell r="V314">
            <v>1.4398333333333332E-2</v>
          </cell>
        </row>
        <row r="315">
          <cell r="E315" t="str">
            <v>JUNKAN D24N 0006</v>
          </cell>
          <cell r="F315">
            <v>4.5999999999999996</v>
          </cell>
          <cell r="G315">
            <v>0</v>
          </cell>
          <cell r="H315">
            <v>7.2499999999999995E-4</v>
          </cell>
          <cell r="I315">
            <v>1.4416666666666666E-3</v>
          </cell>
          <cell r="J315">
            <v>9.5116666666666665E-3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2.7200000000000002E-3</v>
          </cell>
          <cell r="Q315">
            <v>1.1678333333333332E-2</v>
          </cell>
          <cell r="R315">
            <v>2.7200000000000002E-3</v>
          </cell>
          <cell r="S315">
            <v>0</v>
          </cell>
          <cell r="T315">
            <v>0</v>
          </cell>
          <cell r="U315">
            <v>0</v>
          </cell>
          <cell r="V315">
            <v>1.4398333333333332E-2</v>
          </cell>
        </row>
        <row r="316">
          <cell r="E316" t="str">
            <v>JUNKAN D24N 0007</v>
          </cell>
          <cell r="F316">
            <v>4.5999999999999996</v>
          </cell>
          <cell r="G316">
            <v>0</v>
          </cell>
          <cell r="H316">
            <v>7.2499999999999995E-4</v>
          </cell>
          <cell r="I316">
            <v>1.4416666666666666E-3</v>
          </cell>
          <cell r="J316">
            <v>9.5116666666666665E-3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2.7200000000000002E-3</v>
          </cell>
          <cell r="Q316">
            <v>1.1678333333333332E-2</v>
          </cell>
          <cell r="R316">
            <v>2.7200000000000002E-3</v>
          </cell>
          <cell r="S316">
            <v>0</v>
          </cell>
          <cell r="T316">
            <v>0</v>
          </cell>
          <cell r="U316">
            <v>0</v>
          </cell>
          <cell r="V316">
            <v>1.4398333333333332E-2</v>
          </cell>
        </row>
        <row r="317">
          <cell r="E317" t="str">
            <v>JUNKAN D24N 0009</v>
          </cell>
          <cell r="F317">
            <v>4.5999999999999996</v>
          </cell>
          <cell r="G317">
            <v>0</v>
          </cell>
          <cell r="H317">
            <v>7.2499999999999995E-4</v>
          </cell>
          <cell r="I317">
            <v>1.4416666666666666E-3</v>
          </cell>
          <cell r="J317">
            <v>9.5116666666666665E-3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2.7200000000000002E-3</v>
          </cell>
          <cell r="Q317">
            <v>1.1678333333333332E-2</v>
          </cell>
          <cell r="R317">
            <v>2.7200000000000002E-3</v>
          </cell>
          <cell r="S317">
            <v>0</v>
          </cell>
          <cell r="T317">
            <v>0</v>
          </cell>
          <cell r="U317">
            <v>0</v>
          </cell>
          <cell r="V317">
            <v>1.4398333333333332E-2</v>
          </cell>
        </row>
        <row r="318">
          <cell r="E318" t="str">
            <v>JUNKAN D24N 0011</v>
          </cell>
          <cell r="F318">
            <v>0</v>
          </cell>
          <cell r="G318">
            <v>1.53</v>
          </cell>
          <cell r="H318">
            <v>7.2499999999999995E-4</v>
          </cell>
          <cell r="I318">
            <v>1.4416666666666666E-3</v>
          </cell>
          <cell r="J318">
            <v>9.5116666666666665E-3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2.7200000000000002E-3</v>
          </cell>
          <cell r="Q318">
            <v>1.1678333333333332E-2</v>
          </cell>
          <cell r="R318">
            <v>2.7200000000000002E-3</v>
          </cell>
          <cell r="S318">
            <v>0</v>
          </cell>
          <cell r="T318">
            <v>0</v>
          </cell>
          <cell r="U318">
            <v>0</v>
          </cell>
          <cell r="V318">
            <v>1.4398333333333332E-2</v>
          </cell>
        </row>
        <row r="319">
          <cell r="E319" t="str">
            <v>JUNKAN D24N 0012</v>
          </cell>
          <cell r="F319">
            <v>0</v>
          </cell>
          <cell r="G319">
            <v>1.53</v>
          </cell>
          <cell r="H319">
            <v>7.2499999999999995E-4</v>
          </cell>
          <cell r="I319">
            <v>1.4416666666666666E-3</v>
          </cell>
          <cell r="J319">
            <v>9.5116666666666665E-3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2.7200000000000002E-3</v>
          </cell>
          <cell r="Q319">
            <v>1.1678333333333332E-2</v>
          </cell>
          <cell r="R319">
            <v>2.7200000000000002E-3</v>
          </cell>
          <cell r="S319">
            <v>0</v>
          </cell>
          <cell r="T319">
            <v>0</v>
          </cell>
          <cell r="U319">
            <v>0</v>
          </cell>
          <cell r="V319">
            <v>1.4398333333333332E-2</v>
          </cell>
        </row>
        <row r="320">
          <cell r="E320" t="str">
            <v>JUNKAN D24N 0014</v>
          </cell>
          <cell r="F320">
            <v>0</v>
          </cell>
          <cell r="G320">
            <v>1.36</v>
          </cell>
          <cell r="H320">
            <v>7.2499999999999995E-4</v>
          </cell>
          <cell r="I320">
            <v>1.4416666666666666E-3</v>
          </cell>
          <cell r="J320">
            <v>9.5116666666666665E-3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2.7200000000000002E-3</v>
          </cell>
          <cell r="Q320">
            <v>1.1678333333333332E-2</v>
          </cell>
          <cell r="R320">
            <v>2.7200000000000002E-3</v>
          </cell>
          <cell r="S320">
            <v>0</v>
          </cell>
          <cell r="T320">
            <v>0</v>
          </cell>
          <cell r="U320">
            <v>0</v>
          </cell>
          <cell r="V320">
            <v>1.4398333333333332E-2</v>
          </cell>
        </row>
        <row r="321">
          <cell r="E321" t="str">
            <v>JUNKAN D24N 0015</v>
          </cell>
          <cell r="F321">
            <v>0</v>
          </cell>
          <cell r="G321">
            <v>1.36</v>
          </cell>
          <cell r="H321">
            <v>7.2499999999999995E-4</v>
          </cell>
          <cell r="I321">
            <v>1.4416666666666666E-3</v>
          </cell>
          <cell r="J321">
            <v>9.5116666666666665E-3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2.7200000000000002E-3</v>
          </cell>
          <cell r="Q321">
            <v>1.1678333333333332E-2</v>
          </cell>
          <cell r="R321">
            <v>2.7200000000000002E-3</v>
          </cell>
          <cell r="S321">
            <v>0</v>
          </cell>
          <cell r="T321">
            <v>0</v>
          </cell>
          <cell r="U321">
            <v>0</v>
          </cell>
          <cell r="V321">
            <v>1.4398333333333332E-2</v>
          </cell>
        </row>
        <row r="322">
          <cell r="E322" t="str">
            <v>JUNKAN D24N 0016</v>
          </cell>
          <cell r="F322">
            <v>0</v>
          </cell>
          <cell r="G322">
            <v>1.53</v>
          </cell>
          <cell r="H322">
            <v>7.2499999999999995E-4</v>
          </cell>
          <cell r="I322">
            <v>1.4416666666666666E-3</v>
          </cell>
          <cell r="J322">
            <v>9.5116666666666665E-3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2.7200000000000002E-3</v>
          </cell>
          <cell r="Q322">
            <v>1.1678333333333332E-2</v>
          </cell>
          <cell r="R322">
            <v>2.7200000000000002E-3</v>
          </cell>
          <cell r="S322">
            <v>0</v>
          </cell>
          <cell r="T322">
            <v>0</v>
          </cell>
          <cell r="U322">
            <v>0</v>
          </cell>
          <cell r="V322">
            <v>1.4398333333333332E-2</v>
          </cell>
        </row>
        <row r="323">
          <cell r="E323" t="str">
            <v>JUNKAN D24N 0017</v>
          </cell>
          <cell r="F323">
            <v>0</v>
          </cell>
          <cell r="G323">
            <v>1.53</v>
          </cell>
          <cell r="H323">
            <v>7.2499999999999995E-4</v>
          </cell>
          <cell r="I323">
            <v>1.4416666666666666E-3</v>
          </cell>
          <cell r="J323">
            <v>9.5116666666666665E-3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2.7200000000000002E-3</v>
          </cell>
          <cell r="Q323">
            <v>1.1678333333333332E-2</v>
          </cell>
          <cell r="R323">
            <v>2.7200000000000002E-3</v>
          </cell>
          <cell r="S323">
            <v>0</v>
          </cell>
          <cell r="T323">
            <v>0</v>
          </cell>
          <cell r="U323">
            <v>0</v>
          </cell>
          <cell r="V323">
            <v>1.4398333333333332E-2</v>
          </cell>
        </row>
        <row r="324">
          <cell r="E324" t="str">
            <v>JUNKAN D24N 0019</v>
          </cell>
          <cell r="F324">
            <v>0</v>
          </cell>
          <cell r="G324">
            <v>1.53</v>
          </cell>
          <cell r="H324">
            <v>7.2499999999999995E-4</v>
          </cell>
          <cell r="I324">
            <v>1.4416666666666666E-3</v>
          </cell>
          <cell r="J324">
            <v>9.5116666666666665E-3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2.7200000000000002E-3</v>
          </cell>
          <cell r="Q324">
            <v>1.1678333333333332E-2</v>
          </cell>
          <cell r="R324">
            <v>2.7200000000000002E-3</v>
          </cell>
          <cell r="S324">
            <v>0</v>
          </cell>
          <cell r="T324">
            <v>0</v>
          </cell>
          <cell r="U324">
            <v>0</v>
          </cell>
          <cell r="V324">
            <v>1.4398333333333332E-2</v>
          </cell>
        </row>
        <row r="325">
          <cell r="E325" t="str">
            <v>JUNKAN D24N 0020</v>
          </cell>
          <cell r="F325">
            <v>0</v>
          </cell>
          <cell r="G325">
            <v>1.53</v>
          </cell>
          <cell r="H325">
            <v>7.2499999999999995E-4</v>
          </cell>
          <cell r="I325">
            <v>1.4416666666666666E-3</v>
          </cell>
          <cell r="J325">
            <v>9.5116666666666665E-3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2.7200000000000002E-3</v>
          </cell>
          <cell r="Q325">
            <v>1.1678333333333332E-2</v>
          </cell>
          <cell r="R325">
            <v>2.7200000000000002E-3</v>
          </cell>
          <cell r="S325">
            <v>0</v>
          </cell>
          <cell r="T325">
            <v>0</v>
          </cell>
          <cell r="U325">
            <v>0</v>
          </cell>
          <cell r="V325">
            <v>1.4398333333333332E-2</v>
          </cell>
        </row>
        <row r="326">
          <cell r="E326" t="str">
            <v>JUNKAN D24N 0022</v>
          </cell>
          <cell r="F326">
            <v>0</v>
          </cell>
          <cell r="G326">
            <v>1.36</v>
          </cell>
          <cell r="H326">
            <v>7.2499999999999995E-4</v>
          </cell>
          <cell r="I326">
            <v>1.4416666666666666E-3</v>
          </cell>
          <cell r="J326">
            <v>9.5116666666666665E-3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2.7200000000000002E-3</v>
          </cell>
          <cell r="Q326">
            <v>1.1678333333333332E-2</v>
          </cell>
          <cell r="R326">
            <v>2.7200000000000002E-3</v>
          </cell>
          <cell r="S326">
            <v>0</v>
          </cell>
          <cell r="T326">
            <v>0</v>
          </cell>
          <cell r="U326">
            <v>0</v>
          </cell>
          <cell r="V326">
            <v>1.4398333333333332E-2</v>
          </cell>
        </row>
        <row r="327">
          <cell r="E327" t="str">
            <v>JUNKAN D24N 0023</v>
          </cell>
          <cell r="F327">
            <v>0</v>
          </cell>
          <cell r="G327">
            <v>1.36</v>
          </cell>
          <cell r="H327">
            <v>7.2499999999999995E-4</v>
          </cell>
          <cell r="I327">
            <v>1.4416666666666666E-3</v>
          </cell>
          <cell r="J327">
            <v>9.5116666666666665E-3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2.7200000000000002E-3</v>
          </cell>
          <cell r="Q327">
            <v>1.1678333333333332E-2</v>
          </cell>
          <cell r="R327">
            <v>2.7200000000000002E-3</v>
          </cell>
          <cell r="S327">
            <v>0</v>
          </cell>
          <cell r="T327">
            <v>0</v>
          </cell>
          <cell r="U327">
            <v>0</v>
          </cell>
          <cell r="V327">
            <v>1.4398333333333332E-2</v>
          </cell>
        </row>
        <row r="328">
          <cell r="E328" t="str">
            <v>JUNKAN D24N 0027</v>
          </cell>
          <cell r="F328">
            <v>0</v>
          </cell>
          <cell r="G328">
            <v>1.36</v>
          </cell>
          <cell r="H328">
            <v>7.2499999999999995E-4</v>
          </cell>
          <cell r="I328">
            <v>1.4416666666666666E-3</v>
          </cell>
          <cell r="J328">
            <v>9.5116666666666665E-3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2.7200000000000002E-3</v>
          </cell>
          <cell r="Q328">
            <v>1.1678333333333332E-2</v>
          </cell>
          <cell r="R328">
            <v>2.7200000000000002E-3</v>
          </cell>
          <cell r="S328">
            <v>0</v>
          </cell>
          <cell r="T328">
            <v>0</v>
          </cell>
          <cell r="U328">
            <v>0</v>
          </cell>
          <cell r="V328">
            <v>1.4398333333333332E-2</v>
          </cell>
        </row>
        <row r="329">
          <cell r="E329" t="str">
            <v>JUNKAN D24N 0028</v>
          </cell>
          <cell r="F329">
            <v>0</v>
          </cell>
          <cell r="G329">
            <v>1.36</v>
          </cell>
          <cell r="H329">
            <v>7.2499999999999995E-4</v>
          </cell>
          <cell r="I329">
            <v>1.4416666666666666E-3</v>
          </cell>
          <cell r="J329">
            <v>9.5116666666666665E-3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2.7200000000000002E-3</v>
          </cell>
          <cell r="Q329">
            <v>1.1678333333333332E-2</v>
          </cell>
          <cell r="R329">
            <v>2.7200000000000002E-3</v>
          </cell>
          <cell r="S329">
            <v>0</v>
          </cell>
          <cell r="T329">
            <v>0</v>
          </cell>
          <cell r="U329">
            <v>0</v>
          </cell>
          <cell r="V329">
            <v>1.4398333333333332E-2</v>
          </cell>
        </row>
        <row r="330">
          <cell r="E330" t="str">
            <v>JUNKAN D24N 0029</v>
          </cell>
          <cell r="F330">
            <v>0</v>
          </cell>
          <cell r="G330">
            <v>1.36</v>
          </cell>
          <cell r="H330">
            <v>7.2499999999999995E-4</v>
          </cell>
          <cell r="I330">
            <v>1.4416666666666666E-3</v>
          </cell>
          <cell r="J330">
            <v>9.5116666666666665E-3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2.7200000000000002E-3</v>
          </cell>
          <cell r="Q330">
            <v>1.1678333333333332E-2</v>
          </cell>
          <cell r="R330">
            <v>2.7200000000000002E-3</v>
          </cell>
          <cell r="S330">
            <v>0</v>
          </cell>
          <cell r="T330">
            <v>0</v>
          </cell>
          <cell r="U330">
            <v>0</v>
          </cell>
          <cell r="V330">
            <v>1.4398333333333332E-2</v>
          </cell>
        </row>
        <row r="331">
          <cell r="E331" t="str">
            <v>JUNKAN D24N 0030</v>
          </cell>
          <cell r="F331">
            <v>0</v>
          </cell>
          <cell r="G331">
            <v>1.36</v>
          </cell>
          <cell r="H331">
            <v>7.2499999999999995E-4</v>
          </cell>
          <cell r="I331">
            <v>1.4416666666666666E-3</v>
          </cell>
          <cell r="J331">
            <v>9.5116666666666665E-3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2.7200000000000002E-3</v>
          </cell>
          <cell r="Q331">
            <v>1.1678333333333332E-2</v>
          </cell>
          <cell r="R331">
            <v>2.7200000000000002E-3</v>
          </cell>
          <cell r="S331">
            <v>0</v>
          </cell>
          <cell r="T331">
            <v>0</v>
          </cell>
          <cell r="U331">
            <v>0</v>
          </cell>
          <cell r="V331">
            <v>1.4398333333333332E-2</v>
          </cell>
        </row>
        <row r="332">
          <cell r="E332" t="str">
            <v>JUNKAN D24N 0031</v>
          </cell>
          <cell r="F332">
            <v>0</v>
          </cell>
          <cell r="G332">
            <v>1.36</v>
          </cell>
          <cell r="H332">
            <v>7.2499999999999995E-4</v>
          </cell>
          <cell r="I332">
            <v>1.4416666666666666E-3</v>
          </cell>
          <cell r="J332">
            <v>9.5116666666666665E-3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2.7200000000000002E-3</v>
          </cell>
          <cell r="Q332">
            <v>1.1678333333333332E-2</v>
          </cell>
          <cell r="R332">
            <v>2.7200000000000002E-3</v>
          </cell>
          <cell r="S332">
            <v>0</v>
          </cell>
          <cell r="T332">
            <v>0</v>
          </cell>
          <cell r="U332">
            <v>0</v>
          </cell>
          <cell r="V332">
            <v>1.4398333333333332E-2</v>
          </cell>
        </row>
        <row r="333">
          <cell r="E333" t="str">
            <v>JUNKAN D24N 0036</v>
          </cell>
          <cell r="F333">
            <v>0</v>
          </cell>
          <cell r="G333">
            <v>1.36</v>
          </cell>
          <cell r="H333">
            <v>7.2499999999999995E-4</v>
          </cell>
          <cell r="I333">
            <v>1.4416666666666666E-3</v>
          </cell>
          <cell r="J333">
            <v>9.5116666666666665E-3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2.7200000000000002E-3</v>
          </cell>
          <cell r="Q333">
            <v>1.1678333333333332E-2</v>
          </cell>
          <cell r="R333">
            <v>2.7200000000000002E-3</v>
          </cell>
          <cell r="S333">
            <v>0</v>
          </cell>
          <cell r="T333">
            <v>0</v>
          </cell>
          <cell r="U333">
            <v>0</v>
          </cell>
          <cell r="V333">
            <v>1.4398333333333332E-2</v>
          </cell>
        </row>
        <row r="334">
          <cell r="E334" t="str">
            <v>24011-7YA0A</v>
          </cell>
          <cell r="F334">
            <v>1559.4719</v>
          </cell>
          <cell r="G334">
            <v>70.552899999999994</v>
          </cell>
          <cell r="H334">
            <v>0.17609166666666667</v>
          </cell>
          <cell r="I334">
            <v>0.56513999999999998</v>
          </cell>
          <cell r="J334">
            <v>0.30648166666666665</v>
          </cell>
          <cell r="K334">
            <v>0.42165166666666665</v>
          </cell>
          <cell r="L334">
            <v>1.2072166666666668</v>
          </cell>
          <cell r="M334">
            <v>1.3466666666666667E-2</v>
          </cell>
          <cell r="N334">
            <v>9.515333333333334E-2</v>
          </cell>
          <cell r="O334">
            <v>9.4928333333333337E-2</v>
          </cell>
          <cell r="P334">
            <v>2.9544999999999998E-2</v>
          </cell>
          <cell r="Q334">
            <v>1.0477133333333333</v>
          </cell>
          <cell r="R334">
            <v>1.861961666666667</v>
          </cell>
          <cell r="S334">
            <v>0</v>
          </cell>
          <cell r="T334">
            <v>0</v>
          </cell>
          <cell r="U334">
            <v>0</v>
          </cell>
          <cell r="V334">
            <v>2.909675</v>
          </cell>
        </row>
        <row r="335">
          <cell r="E335" t="str">
            <v>24012-6YZ0B</v>
          </cell>
          <cell r="F335">
            <v>2364.6034</v>
          </cell>
          <cell r="G335">
            <v>0</v>
          </cell>
          <cell r="H335">
            <v>0.15972166666666665</v>
          </cell>
          <cell r="I335">
            <v>0.29966999999999999</v>
          </cell>
          <cell r="J335">
            <v>0.12239</v>
          </cell>
          <cell r="K335">
            <v>0.44143000000000004</v>
          </cell>
          <cell r="L335">
            <v>0.89677333333333331</v>
          </cell>
          <cell r="M335">
            <v>5.8783333333333333E-2</v>
          </cell>
          <cell r="N335">
            <v>0.15522</v>
          </cell>
          <cell r="O335">
            <v>0.12727833333333333</v>
          </cell>
          <cell r="P335">
            <v>2.5043333333333331E-2</v>
          </cell>
          <cell r="Q335">
            <v>0.58178166666666664</v>
          </cell>
          <cell r="R335">
            <v>1.7045283333333334</v>
          </cell>
          <cell r="S335">
            <v>0</v>
          </cell>
          <cell r="T335">
            <v>0</v>
          </cell>
          <cell r="U335">
            <v>0</v>
          </cell>
          <cell r="V335">
            <v>2.2863100000000003</v>
          </cell>
        </row>
        <row r="336">
          <cell r="E336" t="str">
            <v>24012-7YA0A</v>
          </cell>
          <cell r="F336">
            <v>4322.6484</v>
          </cell>
          <cell r="G336">
            <v>30.232900000000001</v>
          </cell>
          <cell r="H336">
            <v>0.28825833333333334</v>
          </cell>
          <cell r="I336">
            <v>0.50277666666666665</v>
          </cell>
          <cell r="J336">
            <v>0.53947000000000001</v>
          </cell>
          <cell r="K336">
            <v>0.84099666666666673</v>
          </cell>
          <cell r="L336">
            <v>2.2304650000000001</v>
          </cell>
          <cell r="M336">
            <v>5.2601666666666665E-2</v>
          </cell>
          <cell r="N336">
            <v>0.22449</v>
          </cell>
          <cell r="O336">
            <v>0.23844166666666666</v>
          </cell>
          <cell r="P336">
            <v>6.098166666666667E-2</v>
          </cell>
          <cell r="Q336">
            <v>1.330505</v>
          </cell>
          <cell r="R336">
            <v>3.6479766666666671</v>
          </cell>
          <cell r="S336">
            <v>0</v>
          </cell>
          <cell r="T336">
            <v>3.0788333333333334E-2</v>
          </cell>
          <cell r="U336">
            <v>0</v>
          </cell>
          <cell r="V336">
            <v>5.0092700000000008</v>
          </cell>
        </row>
        <row r="337">
          <cell r="E337" t="str">
            <v>24012-7YA0B</v>
          </cell>
          <cell r="F337">
            <v>4407.7739999999994</v>
          </cell>
          <cell r="G337">
            <v>30.232900000000001</v>
          </cell>
          <cell r="H337">
            <v>0.29644666666666664</v>
          </cell>
          <cell r="I337">
            <v>0.50277666666666665</v>
          </cell>
          <cell r="J337">
            <v>0.57319666666666669</v>
          </cell>
          <cell r="K337">
            <v>0.86319833333333329</v>
          </cell>
          <cell r="L337">
            <v>2.2792166666666662</v>
          </cell>
          <cell r="M337">
            <v>5.3663333333333334E-2</v>
          </cell>
          <cell r="N337">
            <v>0.23158833333333334</v>
          </cell>
          <cell r="O337">
            <v>0.24244666666666664</v>
          </cell>
          <cell r="P337">
            <v>6.1776666666666667E-2</v>
          </cell>
          <cell r="Q337">
            <v>1.37242</v>
          </cell>
          <cell r="R337">
            <v>3.7318899999999995</v>
          </cell>
          <cell r="S337">
            <v>0</v>
          </cell>
          <cell r="T337">
            <v>3.0788333333333334E-2</v>
          </cell>
          <cell r="U337">
            <v>0</v>
          </cell>
          <cell r="V337">
            <v>5.1350983333333335</v>
          </cell>
        </row>
        <row r="338">
          <cell r="E338" t="str">
            <v>24012-7YA0E</v>
          </cell>
          <cell r="F338">
            <v>5137.0546999999997</v>
          </cell>
          <cell r="G338">
            <v>63.531799999999997</v>
          </cell>
          <cell r="H338">
            <v>0.331455</v>
          </cell>
          <cell r="I338">
            <v>0.62757000000000007</v>
          </cell>
          <cell r="J338">
            <v>0.60115833333333335</v>
          </cell>
          <cell r="K338">
            <v>0.96487000000000001</v>
          </cell>
          <cell r="L338">
            <v>2.4936533333333335</v>
          </cell>
          <cell r="M338">
            <v>5.3858333333333334E-2</v>
          </cell>
          <cell r="N338">
            <v>0.25071499999999997</v>
          </cell>
          <cell r="O338">
            <v>0.26591166666666666</v>
          </cell>
          <cell r="P338">
            <v>6.6953333333333337E-2</v>
          </cell>
          <cell r="Q338">
            <v>1.5601833333333333</v>
          </cell>
          <cell r="R338">
            <v>4.0959616666666667</v>
          </cell>
          <cell r="S338">
            <v>0</v>
          </cell>
          <cell r="T338">
            <v>3.0788333333333334E-2</v>
          </cell>
          <cell r="U338">
            <v>0</v>
          </cell>
          <cell r="V338">
            <v>5.6869333333333341</v>
          </cell>
        </row>
        <row r="339">
          <cell r="E339" t="str">
            <v>24012-7YA5A</v>
          </cell>
          <cell r="F339">
            <v>4288.2442000000001</v>
          </cell>
          <cell r="G339">
            <v>30.232900000000001</v>
          </cell>
          <cell r="H339">
            <v>0.28150333333333333</v>
          </cell>
          <cell r="I339">
            <v>0.49615833333333337</v>
          </cell>
          <cell r="J339">
            <v>0.52271166666666669</v>
          </cell>
          <cell r="K339">
            <v>0.83084666666666662</v>
          </cell>
          <cell r="L339">
            <v>2.2080316666666664</v>
          </cell>
          <cell r="M339">
            <v>5.2593333333333339E-2</v>
          </cell>
          <cell r="N339">
            <v>0.22313333333333332</v>
          </cell>
          <cell r="O339">
            <v>0.23785999999999999</v>
          </cell>
          <cell r="P339">
            <v>6.0579999999999995E-2</v>
          </cell>
          <cell r="Q339">
            <v>1.3003733333333334</v>
          </cell>
          <cell r="R339">
            <v>3.6130449999999992</v>
          </cell>
          <cell r="S339">
            <v>0</v>
          </cell>
          <cell r="T339">
            <v>3.0788333333333334E-2</v>
          </cell>
          <cell r="U339">
            <v>0</v>
          </cell>
          <cell r="V339">
            <v>4.9442066666666662</v>
          </cell>
        </row>
        <row r="340">
          <cell r="E340" t="str">
            <v>24128-7DA0A</v>
          </cell>
          <cell r="F340">
            <v>97.304100000000005</v>
          </cell>
          <cell r="G340">
            <v>0</v>
          </cell>
          <cell r="H340">
            <v>1.1383333333333334E-2</v>
          </cell>
          <cell r="I340">
            <v>6.0283333333333335E-3</v>
          </cell>
          <cell r="J340">
            <v>0</v>
          </cell>
          <cell r="K340">
            <v>4.6894999999999999E-2</v>
          </cell>
          <cell r="L340">
            <v>0.10906166666666667</v>
          </cell>
          <cell r="M340">
            <v>2.0900000000000003E-3</v>
          </cell>
          <cell r="N340">
            <v>1.8899999999999997E-2</v>
          </cell>
          <cell r="O340">
            <v>9.2733333333333331E-3</v>
          </cell>
          <cell r="P340">
            <v>5.2266666666666668E-3</v>
          </cell>
          <cell r="Q340">
            <v>1.7411666666666666E-2</v>
          </cell>
          <cell r="R340">
            <v>0.19144666666666665</v>
          </cell>
          <cell r="S340">
            <v>0</v>
          </cell>
          <cell r="T340">
            <v>0</v>
          </cell>
          <cell r="U340">
            <v>0</v>
          </cell>
          <cell r="V340">
            <v>0.20885833333333331</v>
          </cell>
        </row>
        <row r="341">
          <cell r="E341" t="str">
            <v>24128-7DA0B</v>
          </cell>
          <cell r="F341">
            <v>132.98759999999999</v>
          </cell>
          <cell r="G341">
            <v>0</v>
          </cell>
          <cell r="H341">
            <v>1.737E-2</v>
          </cell>
          <cell r="I341">
            <v>1.0516666666666667E-2</v>
          </cell>
          <cell r="J341">
            <v>0</v>
          </cell>
          <cell r="K341">
            <v>5.3641666666666671E-2</v>
          </cell>
          <cell r="L341">
            <v>0.11542500000000001</v>
          </cell>
          <cell r="M341">
            <v>2.0900000000000003E-3</v>
          </cell>
          <cell r="N341">
            <v>1.9459999999999998E-2</v>
          </cell>
          <cell r="O341">
            <v>9.2733333333333331E-3</v>
          </cell>
          <cell r="P341">
            <v>5.2266666666666668E-3</v>
          </cell>
          <cell r="Q341">
            <v>2.7886666666666667E-2</v>
          </cell>
          <cell r="R341">
            <v>0.2051166666666667</v>
          </cell>
          <cell r="S341">
            <v>0</v>
          </cell>
          <cell r="T341">
            <v>0</v>
          </cell>
          <cell r="U341">
            <v>0</v>
          </cell>
          <cell r="V341">
            <v>0.23300333333333337</v>
          </cell>
        </row>
        <row r="342">
          <cell r="E342" t="str">
            <v>24128-7DP0A</v>
          </cell>
          <cell r="F342">
            <v>97.304100000000005</v>
          </cell>
          <cell r="G342">
            <v>0</v>
          </cell>
          <cell r="H342">
            <v>1.1383333333333334E-2</v>
          </cell>
          <cell r="I342">
            <v>6.0283333333333335E-3</v>
          </cell>
          <cell r="J342">
            <v>0</v>
          </cell>
          <cell r="K342">
            <v>4.6894999999999999E-2</v>
          </cell>
          <cell r="L342">
            <v>0.106055</v>
          </cell>
          <cell r="M342">
            <v>2.0900000000000003E-3</v>
          </cell>
          <cell r="N342">
            <v>1.8899999999999997E-2</v>
          </cell>
          <cell r="O342">
            <v>9.2733333333333331E-3</v>
          </cell>
          <cell r="P342">
            <v>5.2266666666666668E-3</v>
          </cell>
          <cell r="Q342">
            <v>1.7411666666666666E-2</v>
          </cell>
          <cell r="R342">
            <v>0.18844</v>
          </cell>
          <cell r="S342">
            <v>0</v>
          </cell>
          <cell r="T342">
            <v>0</v>
          </cell>
          <cell r="U342">
            <v>0</v>
          </cell>
          <cell r="V342">
            <v>0.20585166666666666</v>
          </cell>
        </row>
        <row r="343">
          <cell r="E343" t="str">
            <v>24128-7DP0B</v>
          </cell>
          <cell r="F343">
            <v>132.98759999999999</v>
          </cell>
          <cell r="G343">
            <v>0</v>
          </cell>
          <cell r="H343">
            <v>1.737E-2</v>
          </cell>
          <cell r="I343">
            <v>1.0516666666666667E-2</v>
          </cell>
          <cell r="J343">
            <v>0</v>
          </cell>
          <cell r="K343">
            <v>5.3641666666666671E-2</v>
          </cell>
          <cell r="L343">
            <v>0.11241833333333333</v>
          </cell>
          <cell r="M343">
            <v>2.0900000000000003E-3</v>
          </cell>
          <cell r="N343">
            <v>1.9459999999999998E-2</v>
          </cell>
          <cell r="O343">
            <v>9.2733333333333331E-3</v>
          </cell>
          <cell r="P343">
            <v>5.2266666666666668E-3</v>
          </cell>
          <cell r="Q343">
            <v>2.7886666666666667E-2</v>
          </cell>
          <cell r="R343">
            <v>0.20210999999999998</v>
          </cell>
          <cell r="S343">
            <v>0</v>
          </cell>
          <cell r="T343">
            <v>0</v>
          </cell>
          <cell r="U343">
            <v>0</v>
          </cell>
          <cell r="V343">
            <v>0.22999666666666665</v>
          </cell>
        </row>
        <row r="344">
          <cell r="E344" t="str">
            <v>24128-7YA0A</v>
          </cell>
          <cell r="F344">
            <v>168.20679999999999</v>
          </cell>
          <cell r="G344">
            <v>0</v>
          </cell>
          <cell r="H344">
            <v>1.5371666666666667E-2</v>
          </cell>
          <cell r="I344">
            <v>1.5901666666666665E-2</v>
          </cell>
          <cell r="J344">
            <v>0</v>
          </cell>
          <cell r="K344">
            <v>6.0251666666666669E-2</v>
          </cell>
          <cell r="L344">
            <v>0.12959333333333334</v>
          </cell>
          <cell r="M344">
            <v>2.0900000000000003E-3</v>
          </cell>
          <cell r="N344">
            <v>1.9241666666666667E-2</v>
          </cell>
          <cell r="O344">
            <v>9.5399999999999999E-3</v>
          </cell>
          <cell r="P344">
            <v>5.5966666666666665E-3</v>
          </cell>
          <cell r="Q344">
            <v>3.1273333333333334E-2</v>
          </cell>
          <cell r="R344">
            <v>0.22631333333333334</v>
          </cell>
          <cell r="S344">
            <v>0</v>
          </cell>
          <cell r="T344">
            <v>0</v>
          </cell>
          <cell r="U344">
            <v>0</v>
          </cell>
          <cell r="V344">
            <v>0.25758666666666669</v>
          </cell>
        </row>
        <row r="345">
          <cell r="E345" t="str">
            <v>24128-7YA0B</v>
          </cell>
          <cell r="F345">
            <v>194.78100000000001</v>
          </cell>
          <cell r="G345">
            <v>0</v>
          </cell>
          <cell r="H345">
            <v>1.9366666666666664E-2</v>
          </cell>
          <cell r="I345">
            <v>1.5901666666666665E-2</v>
          </cell>
          <cell r="J345">
            <v>0</v>
          </cell>
          <cell r="K345">
            <v>6.8611666666666668E-2</v>
          </cell>
          <cell r="L345">
            <v>0.150835</v>
          </cell>
          <cell r="M345">
            <v>2.0900000000000003E-3</v>
          </cell>
          <cell r="N345">
            <v>2.0301666666666666E-2</v>
          </cell>
          <cell r="O345">
            <v>9.8866666666666651E-3</v>
          </cell>
          <cell r="P345">
            <v>5.8316666666666664E-3</v>
          </cell>
          <cell r="Q345">
            <v>3.5268333333333332E-2</v>
          </cell>
          <cell r="R345">
            <v>0.25755666666666671</v>
          </cell>
          <cell r="S345">
            <v>0</v>
          </cell>
          <cell r="T345">
            <v>0</v>
          </cell>
          <cell r="U345">
            <v>0</v>
          </cell>
          <cell r="V345">
            <v>0.29282500000000006</v>
          </cell>
        </row>
        <row r="346">
          <cell r="E346" t="str">
            <v>24129-7DA0A</v>
          </cell>
          <cell r="F346">
            <v>102.0864</v>
          </cell>
          <cell r="G346">
            <v>0</v>
          </cell>
          <cell r="H346">
            <v>1.0473333333333333E-2</v>
          </cell>
          <cell r="I346">
            <v>6.1500000000000001E-3</v>
          </cell>
          <cell r="J346">
            <v>0</v>
          </cell>
          <cell r="K346">
            <v>4.6385000000000003E-2</v>
          </cell>
          <cell r="L346">
            <v>0.10590000000000001</v>
          </cell>
          <cell r="M346">
            <v>2.0900000000000003E-3</v>
          </cell>
          <cell r="N346">
            <v>1.8165000000000001E-2</v>
          </cell>
          <cell r="O346">
            <v>9.0500000000000008E-3</v>
          </cell>
          <cell r="P346">
            <v>5.0749999999999997E-3</v>
          </cell>
          <cell r="Q346">
            <v>1.6623333333333334E-2</v>
          </cell>
          <cell r="R346">
            <v>0.18666500000000003</v>
          </cell>
          <cell r="S346">
            <v>0</v>
          </cell>
          <cell r="T346">
            <v>0</v>
          </cell>
          <cell r="U346">
            <v>0</v>
          </cell>
          <cell r="V346">
            <v>0.20328833333333335</v>
          </cell>
        </row>
        <row r="347">
          <cell r="E347" t="str">
            <v>24129-7DA0B</v>
          </cell>
          <cell r="F347">
            <v>136.50059999999999</v>
          </cell>
          <cell r="G347">
            <v>0</v>
          </cell>
          <cell r="H347">
            <v>1.6958333333333336E-2</v>
          </cell>
          <cell r="I347">
            <v>1.0465E-2</v>
          </cell>
          <cell r="J347">
            <v>0</v>
          </cell>
          <cell r="K347">
            <v>5.4928333333333336E-2</v>
          </cell>
          <cell r="L347">
            <v>0.11276</v>
          </cell>
          <cell r="M347">
            <v>2.0900000000000003E-3</v>
          </cell>
          <cell r="N347">
            <v>1.9465E-2</v>
          </cell>
          <cell r="O347">
            <v>9.385000000000001E-3</v>
          </cell>
          <cell r="P347">
            <v>5.3033333333333326E-3</v>
          </cell>
          <cell r="Q347">
            <v>2.7423333333333334E-2</v>
          </cell>
          <cell r="R347">
            <v>0.20393166666666668</v>
          </cell>
          <cell r="S347">
            <v>0</v>
          </cell>
          <cell r="T347">
            <v>0</v>
          </cell>
          <cell r="U347">
            <v>0</v>
          </cell>
          <cell r="V347">
            <v>0.23135500000000001</v>
          </cell>
        </row>
        <row r="348">
          <cell r="E348" t="str">
            <v>24129-7DP0A</v>
          </cell>
          <cell r="F348">
            <v>102.0864</v>
          </cell>
          <cell r="G348">
            <v>0</v>
          </cell>
          <cell r="H348">
            <v>1.0473333333333333E-2</v>
          </cell>
          <cell r="I348">
            <v>6.1500000000000001E-3</v>
          </cell>
          <cell r="J348">
            <v>0</v>
          </cell>
          <cell r="K348">
            <v>4.6385000000000003E-2</v>
          </cell>
          <cell r="L348">
            <v>0.10289333333333334</v>
          </cell>
          <cell r="M348">
            <v>2.0900000000000003E-3</v>
          </cell>
          <cell r="N348">
            <v>1.8165000000000001E-2</v>
          </cell>
          <cell r="O348">
            <v>9.0500000000000008E-3</v>
          </cell>
          <cell r="P348">
            <v>5.0749999999999997E-3</v>
          </cell>
          <cell r="Q348">
            <v>1.6623333333333334E-2</v>
          </cell>
          <cell r="R348">
            <v>0.18365833333333337</v>
          </cell>
          <cell r="S348">
            <v>0</v>
          </cell>
          <cell r="T348">
            <v>0</v>
          </cell>
          <cell r="U348">
            <v>0</v>
          </cell>
          <cell r="V348">
            <v>0.20028166666666669</v>
          </cell>
        </row>
        <row r="349">
          <cell r="E349" t="str">
            <v>24129-7DP0B</v>
          </cell>
          <cell r="F349">
            <v>136.50059999999999</v>
          </cell>
          <cell r="G349">
            <v>0</v>
          </cell>
          <cell r="H349">
            <v>1.6958333333333336E-2</v>
          </cell>
          <cell r="I349">
            <v>1.0465E-2</v>
          </cell>
          <cell r="J349">
            <v>0</v>
          </cell>
          <cell r="K349">
            <v>5.4928333333333336E-2</v>
          </cell>
          <cell r="L349">
            <v>0.10975333333333334</v>
          </cell>
          <cell r="M349">
            <v>2.0900000000000003E-3</v>
          </cell>
          <cell r="N349">
            <v>1.9465E-2</v>
          </cell>
          <cell r="O349">
            <v>9.385000000000001E-3</v>
          </cell>
          <cell r="P349">
            <v>5.3033333333333326E-3</v>
          </cell>
          <cell r="Q349">
            <v>2.7423333333333334E-2</v>
          </cell>
          <cell r="R349">
            <v>0.20092500000000002</v>
          </cell>
          <cell r="S349">
            <v>0</v>
          </cell>
          <cell r="T349">
            <v>0</v>
          </cell>
          <cell r="U349">
            <v>0</v>
          </cell>
          <cell r="V349">
            <v>0.22834833333333335</v>
          </cell>
        </row>
        <row r="350">
          <cell r="E350" t="str">
            <v>24129-7YA0A</v>
          </cell>
          <cell r="F350">
            <v>173.28559999999999</v>
          </cell>
          <cell r="G350">
            <v>0</v>
          </cell>
          <cell r="H350">
            <v>1.5911666666666668E-2</v>
          </cell>
          <cell r="I350">
            <v>1.5768333333333336E-2</v>
          </cell>
          <cell r="J350">
            <v>0</v>
          </cell>
          <cell r="K350">
            <v>6.3138333333333338E-2</v>
          </cell>
          <cell r="L350">
            <v>0.1172</v>
          </cell>
          <cell r="M350">
            <v>2.0900000000000003E-3</v>
          </cell>
          <cell r="N350">
            <v>1.9318333333333333E-2</v>
          </cell>
          <cell r="O350">
            <v>9.4466666666666657E-3</v>
          </cell>
          <cell r="P350">
            <v>5.5316666666666665E-3</v>
          </cell>
          <cell r="Q350">
            <v>3.168E-2</v>
          </cell>
          <cell r="R350">
            <v>0.21672499999999997</v>
          </cell>
          <cell r="S350">
            <v>0</v>
          </cell>
          <cell r="T350">
            <v>0</v>
          </cell>
          <cell r="U350">
            <v>0</v>
          </cell>
          <cell r="V350">
            <v>0.24840499999999999</v>
          </cell>
        </row>
        <row r="351">
          <cell r="E351" t="str">
            <v>24129-7YA0B</v>
          </cell>
          <cell r="F351">
            <v>198.04060000000001</v>
          </cell>
          <cell r="G351">
            <v>0</v>
          </cell>
          <cell r="H351">
            <v>1.9678333333333336E-2</v>
          </cell>
          <cell r="I351">
            <v>1.5768333333333336E-2</v>
          </cell>
          <cell r="J351">
            <v>0</v>
          </cell>
          <cell r="K351">
            <v>7.3588333333333339E-2</v>
          </cell>
          <cell r="L351">
            <v>0.12838333333333335</v>
          </cell>
          <cell r="M351">
            <v>2.0900000000000003E-3</v>
          </cell>
          <cell r="N351">
            <v>2.0378333333333332E-2</v>
          </cell>
          <cell r="O351">
            <v>9.8133333333333336E-3</v>
          </cell>
          <cell r="P351">
            <v>5.7816666666666667E-3</v>
          </cell>
          <cell r="Q351">
            <v>3.5446666666666668E-2</v>
          </cell>
          <cell r="R351">
            <v>0.24003500000000003</v>
          </cell>
          <cell r="S351">
            <v>0</v>
          </cell>
          <cell r="T351">
            <v>0</v>
          </cell>
          <cell r="U351">
            <v>0</v>
          </cell>
          <cell r="V351">
            <v>0.27548166666666668</v>
          </cell>
        </row>
        <row r="352">
          <cell r="E352" t="str">
            <v>295J1-6RA0A</v>
          </cell>
          <cell r="F352">
            <v>149.7766</v>
          </cell>
          <cell r="G352">
            <v>0</v>
          </cell>
          <cell r="H352">
            <v>6.5863333333333329E-2</v>
          </cell>
          <cell r="I352">
            <v>5.9441666666666663E-2</v>
          </cell>
          <cell r="J352">
            <v>8.0483333333333327E-3</v>
          </cell>
          <cell r="K352">
            <v>0.20201166666666664</v>
          </cell>
          <cell r="L352">
            <v>0.14968666666666666</v>
          </cell>
          <cell r="M352">
            <v>0</v>
          </cell>
          <cell r="N352">
            <v>2.6724999999999999E-2</v>
          </cell>
          <cell r="O352">
            <v>1.1094999999999999E-2</v>
          </cell>
          <cell r="P352">
            <v>4.306666666666667E-3</v>
          </cell>
          <cell r="Q352">
            <v>0.13335333333333332</v>
          </cell>
          <cell r="R352">
            <v>0.39382500000000004</v>
          </cell>
          <cell r="S352">
            <v>0</v>
          </cell>
          <cell r="T352">
            <v>0</v>
          </cell>
          <cell r="U352">
            <v>0</v>
          </cell>
          <cell r="V352">
            <v>0.5271783333333333</v>
          </cell>
        </row>
        <row r="353">
          <cell r="E353" t="str">
            <v>295J1-7YA0A</v>
          </cell>
          <cell r="F353">
            <v>149.078</v>
          </cell>
          <cell r="G353">
            <v>0</v>
          </cell>
          <cell r="H353">
            <v>6.5561666666666671E-2</v>
          </cell>
          <cell r="I353">
            <v>5.5965000000000001E-2</v>
          </cell>
          <cell r="J353">
            <v>8.0483333333333327E-3</v>
          </cell>
          <cell r="K353">
            <v>0.20201166666666664</v>
          </cell>
          <cell r="L353">
            <v>0.14135166666666665</v>
          </cell>
          <cell r="M353">
            <v>0</v>
          </cell>
          <cell r="N353">
            <v>2.6131666666666668E-2</v>
          </cell>
          <cell r="O353">
            <v>1.3415E-2</v>
          </cell>
          <cell r="P353">
            <v>4.4066666666666672E-3</v>
          </cell>
          <cell r="Q353">
            <v>0.129575</v>
          </cell>
          <cell r="R353">
            <v>0.38731666666666664</v>
          </cell>
          <cell r="S353">
            <v>0</v>
          </cell>
          <cell r="T353">
            <v>0</v>
          </cell>
          <cell r="U353">
            <v>0</v>
          </cell>
          <cell r="V353">
            <v>0.51689166666666664</v>
          </cell>
        </row>
        <row r="354">
          <cell r="E354" t="str">
            <v>295J2-2140A</v>
          </cell>
          <cell r="F354">
            <v>82.472999999999999</v>
          </cell>
          <cell r="G354">
            <v>0</v>
          </cell>
          <cell r="H354">
            <v>2.2675000000000001E-2</v>
          </cell>
          <cell r="I354">
            <v>4.3268333333333332E-2</v>
          </cell>
          <cell r="J354">
            <v>1.2880000000000001E-2</v>
          </cell>
          <cell r="K354">
            <v>7.2386666666666669E-2</v>
          </cell>
          <cell r="L354">
            <v>0.14571666666666666</v>
          </cell>
          <cell r="M354">
            <v>0</v>
          </cell>
          <cell r="N354">
            <v>2.0136666666666667E-2</v>
          </cell>
          <cell r="O354">
            <v>1.0013333333333334E-2</v>
          </cell>
          <cell r="P354">
            <v>4.8783333333333335E-3</v>
          </cell>
          <cell r="Q354">
            <v>7.8823333333333329E-2</v>
          </cell>
          <cell r="R354">
            <v>0.25313166666666664</v>
          </cell>
          <cell r="S354">
            <v>0</v>
          </cell>
          <cell r="T354">
            <v>0</v>
          </cell>
          <cell r="U354">
            <v>0</v>
          </cell>
          <cell r="V354">
            <v>0.331955</v>
          </cell>
        </row>
        <row r="355">
          <cell r="E355" t="str">
            <v>295J2-6RA0A</v>
          </cell>
          <cell r="F355">
            <v>95.387</v>
          </cell>
          <cell r="G355">
            <v>0</v>
          </cell>
          <cell r="H355">
            <v>2.614E-2</v>
          </cell>
          <cell r="I355">
            <v>6.5881666666666672E-2</v>
          </cell>
          <cell r="J355">
            <v>1.6096666666666665E-2</v>
          </cell>
          <cell r="K355">
            <v>7.5781666666666664E-2</v>
          </cell>
          <cell r="L355">
            <v>0.14323</v>
          </cell>
          <cell r="M355">
            <v>0</v>
          </cell>
          <cell r="N355">
            <v>2.0351666666666667E-2</v>
          </cell>
          <cell r="O355">
            <v>1.2383333333333333E-2</v>
          </cell>
          <cell r="P355">
            <v>5.0116666666666669E-3</v>
          </cell>
          <cell r="Q355">
            <v>0.10811833333333333</v>
          </cell>
          <cell r="R355">
            <v>0.25675833333333337</v>
          </cell>
          <cell r="S355">
            <v>0</v>
          </cell>
          <cell r="T355">
            <v>0</v>
          </cell>
          <cell r="U355">
            <v>0</v>
          </cell>
          <cell r="V355">
            <v>0.36487666666666668</v>
          </cell>
        </row>
        <row r="356">
          <cell r="E356" t="str">
            <v>295J2-7YA1A</v>
          </cell>
          <cell r="F356">
            <v>85.457599999999999</v>
          </cell>
          <cell r="G356">
            <v>0</v>
          </cell>
          <cell r="H356">
            <v>2.3286666666666667E-2</v>
          </cell>
          <cell r="I356">
            <v>4.3268333333333332E-2</v>
          </cell>
          <cell r="J356">
            <v>1.2880000000000001E-2</v>
          </cell>
          <cell r="K356">
            <v>7.4160000000000004E-2</v>
          </cell>
          <cell r="L356">
            <v>0.14658333333333334</v>
          </cell>
          <cell r="M356">
            <v>0</v>
          </cell>
          <cell r="N356">
            <v>2.0216666666666668E-2</v>
          </cell>
          <cell r="O356">
            <v>1.0013333333333334E-2</v>
          </cell>
          <cell r="P356">
            <v>4.8783333333333335E-3</v>
          </cell>
          <cell r="Q356">
            <v>7.9435000000000006E-2</v>
          </cell>
          <cell r="R356">
            <v>0.25585166666666664</v>
          </cell>
          <cell r="S356">
            <v>0</v>
          </cell>
          <cell r="T356">
            <v>0</v>
          </cell>
          <cell r="U356">
            <v>0</v>
          </cell>
          <cell r="V356">
            <v>0.33528666666666662</v>
          </cell>
        </row>
        <row r="357">
          <cell r="E357" t="str">
            <v>JYUNKAN CORNER SENS FR</v>
          </cell>
          <cell r="F357">
            <v>9.8000000000000007</v>
          </cell>
          <cell r="G357">
            <v>0</v>
          </cell>
          <cell r="H357">
            <v>2.8999999999999998E-3</v>
          </cell>
          <cell r="I357">
            <v>5.7666666666666665E-3</v>
          </cell>
          <cell r="J357">
            <v>3.8046666666666666E-2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1.0880000000000001E-2</v>
          </cell>
          <cell r="Q357">
            <v>4.6713333333333329E-2</v>
          </cell>
          <cell r="R357">
            <v>1.0880000000000001E-2</v>
          </cell>
          <cell r="S357">
            <v>0</v>
          </cell>
          <cell r="T357">
            <v>0</v>
          </cell>
          <cell r="U357">
            <v>0</v>
          </cell>
          <cell r="V357">
            <v>5.759333333333333E-2</v>
          </cell>
        </row>
        <row r="358">
          <cell r="E358" t="str">
            <v>JYUNKAN ENGROOM</v>
          </cell>
          <cell r="F358">
            <v>157.55999999999997</v>
          </cell>
          <cell r="G358">
            <v>0</v>
          </cell>
          <cell r="H358">
            <v>2.6099999999999998E-2</v>
          </cell>
          <cell r="I358">
            <v>5.1899999999999995E-2</v>
          </cell>
          <cell r="J358">
            <v>0.34242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9.7920000000000007E-2</v>
          </cell>
          <cell r="Q358">
            <v>0.42042000000000002</v>
          </cell>
          <cell r="R358">
            <v>9.7920000000000007E-2</v>
          </cell>
          <cell r="S358">
            <v>0</v>
          </cell>
          <cell r="T358">
            <v>0</v>
          </cell>
          <cell r="U358">
            <v>0</v>
          </cell>
          <cell r="V358">
            <v>0.51834000000000002</v>
          </cell>
        </row>
        <row r="359">
          <cell r="E359" t="str">
            <v>JYUNKAN ENGROOM-1</v>
          </cell>
          <cell r="F359">
            <v>260.41000000000003</v>
          </cell>
          <cell r="G359">
            <v>0</v>
          </cell>
          <cell r="H359">
            <v>6.5249999999999996E-3</v>
          </cell>
          <cell r="I359">
            <v>1.2974999999999999E-2</v>
          </cell>
          <cell r="J359">
            <v>8.5605000000000001E-2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2.4480000000000002E-2</v>
          </cell>
          <cell r="Q359">
            <v>0.105105</v>
          </cell>
          <cell r="R359">
            <v>2.4480000000000002E-2</v>
          </cell>
          <cell r="S359">
            <v>0</v>
          </cell>
          <cell r="T359">
            <v>0</v>
          </cell>
          <cell r="U359">
            <v>0</v>
          </cell>
          <cell r="V359">
            <v>0.12958500000000001</v>
          </cell>
        </row>
        <row r="360">
          <cell r="E360" t="str">
            <v>82111-F2W22</v>
          </cell>
          <cell r="F360">
            <v>2686.2175999999999</v>
          </cell>
          <cell r="G360">
            <v>0</v>
          </cell>
          <cell r="H360">
            <v>0.17287833333333333</v>
          </cell>
          <cell r="I360">
            <v>0.12714666666666666</v>
          </cell>
          <cell r="J360">
            <v>0.16768166666666667</v>
          </cell>
          <cell r="K360">
            <v>0.48022333333333334</v>
          </cell>
          <cell r="L360">
            <v>1.4961799999999998</v>
          </cell>
          <cell r="M360">
            <v>6.2560000000000004E-2</v>
          </cell>
          <cell r="N360">
            <v>0.15563333333333332</v>
          </cell>
          <cell r="O360">
            <v>0.13904333333333332</v>
          </cell>
          <cell r="P360">
            <v>4.9633333333333335E-2</v>
          </cell>
          <cell r="Q360">
            <v>0.46770666666666666</v>
          </cell>
          <cell r="R360">
            <v>2.3832733333333334</v>
          </cell>
          <cell r="S360">
            <v>4.1839999999999995E-2</v>
          </cell>
          <cell r="T360">
            <v>4.2001666666666673E-2</v>
          </cell>
          <cell r="U360">
            <v>0</v>
          </cell>
          <cell r="V360">
            <v>2.9348216666666667</v>
          </cell>
        </row>
        <row r="361">
          <cell r="E361" t="str">
            <v>82111-F2W62</v>
          </cell>
          <cell r="F361">
            <v>2636.3161</v>
          </cell>
          <cell r="G361">
            <v>0</v>
          </cell>
          <cell r="H361">
            <v>0.16241166666666668</v>
          </cell>
          <cell r="I361">
            <v>0.12468666666666667</v>
          </cell>
          <cell r="J361">
            <v>0.14203333333333334</v>
          </cell>
          <cell r="K361">
            <v>0.46408499999999997</v>
          </cell>
          <cell r="L361">
            <v>1.436485</v>
          </cell>
          <cell r="M361">
            <v>6.2526666666666661E-2</v>
          </cell>
          <cell r="N361">
            <v>0.15758999999999998</v>
          </cell>
          <cell r="O361">
            <v>0.12671166666666667</v>
          </cell>
          <cell r="P361">
            <v>4.8031666666666667E-2</v>
          </cell>
          <cell r="Q361">
            <v>0.42913166666666669</v>
          </cell>
          <cell r="R361">
            <v>2.2954300000000001</v>
          </cell>
          <cell r="S361">
            <v>4.1839999999999995E-2</v>
          </cell>
          <cell r="T361">
            <v>4.2001666666666673E-2</v>
          </cell>
          <cell r="U361">
            <v>0</v>
          </cell>
          <cell r="V361">
            <v>2.8084033333333336</v>
          </cell>
        </row>
        <row r="362">
          <cell r="E362" t="str">
            <v>82111-FE150</v>
          </cell>
          <cell r="F362">
            <v>3251.1471999999999</v>
          </cell>
          <cell r="G362">
            <v>0</v>
          </cell>
          <cell r="H362">
            <v>0.23194999999999999</v>
          </cell>
          <cell r="I362">
            <v>0.28115999999999997</v>
          </cell>
          <cell r="J362">
            <v>0.30346166666666663</v>
          </cell>
          <cell r="K362">
            <v>0.61091166666666663</v>
          </cell>
          <cell r="L362">
            <v>1.7057399999999998</v>
          </cell>
          <cell r="M362">
            <v>6.9205000000000003E-2</v>
          </cell>
          <cell r="N362">
            <v>0.17460666666666666</v>
          </cell>
          <cell r="O362">
            <v>0.14848166666666665</v>
          </cell>
          <cell r="P362">
            <v>6.9186666666666674E-2</v>
          </cell>
          <cell r="Q362">
            <v>0.81657166666666658</v>
          </cell>
          <cell r="R362">
            <v>2.7781316666666664</v>
          </cell>
          <cell r="S362">
            <v>3.0056666666666669E-2</v>
          </cell>
          <cell r="T362">
            <v>3.7756666666666668E-2</v>
          </cell>
          <cell r="U362">
            <v>0</v>
          </cell>
          <cell r="V362">
            <v>3.6625166666666664</v>
          </cell>
        </row>
        <row r="363">
          <cell r="E363" t="str">
            <v>82111-FE200</v>
          </cell>
          <cell r="F363">
            <v>2626.7682999999997</v>
          </cell>
          <cell r="G363">
            <v>0</v>
          </cell>
          <cell r="H363">
            <v>0.16186999999999999</v>
          </cell>
          <cell r="I363">
            <v>0.12967166666666669</v>
          </cell>
          <cell r="J363">
            <v>0.15002833333333332</v>
          </cell>
          <cell r="K363">
            <v>0.4713</v>
          </cell>
          <cell r="L363">
            <v>1.3999950000000001</v>
          </cell>
          <cell r="M363">
            <v>6.2491666666666661E-2</v>
          </cell>
          <cell r="N363">
            <v>0.15697999999999998</v>
          </cell>
          <cell r="O363">
            <v>0.12628666666666669</v>
          </cell>
          <cell r="P363">
            <v>4.7841666666666664E-2</v>
          </cell>
          <cell r="Q363">
            <v>0.44157000000000002</v>
          </cell>
          <cell r="R363">
            <v>2.2648950000000001</v>
          </cell>
          <cell r="S363">
            <v>3.6031666666666663E-2</v>
          </cell>
          <cell r="T363">
            <v>4.2001666666666673E-2</v>
          </cell>
          <cell r="U363">
            <v>0</v>
          </cell>
          <cell r="V363">
            <v>2.7844983333333335</v>
          </cell>
        </row>
        <row r="364">
          <cell r="E364" t="str">
            <v>82111-FE210</v>
          </cell>
          <cell r="F364">
            <v>2677.5248000000001</v>
          </cell>
          <cell r="G364">
            <v>0</v>
          </cell>
          <cell r="H364">
            <v>0.17233833333333332</v>
          </cell>
          <cell r="I364">
            <v>0.13213166666666668</v>
          </cell>
          <cell r="J364">
            <v>0.17701500000000001</v>
          </cell>
          <cell r="K364">
            <v>0.48565833333333336</v>
          </cell>
          <cell r="L364">
            <v>1.4603983333333335</v>
          </cell>
          <cell r="M364">
            <v>6.2524999999999997E-2</v>
          </cell>
          <cell r="N364">
            <v>0.15502333333333332</v>
          </cell>
          <cell r="O364">
            <v>0.13861833333333334</v>
          </cell>
          <cell r="P364">
            <v>4.9443333333333332E-2</v>
          </cell>
          <cell r="Q364">
            <v>0.48148500000000005</v>
          </cell>
          <cell r="R364">
            <v>2.351666666666667</v>
          </cell>
          <cell r="S364">
            <v>3.6031666666666663E-2</v>
          </cell>
          <cell r="T364">
            <v>4.2001666666666673E-2</v>
          </cell>
          <cell r="U364">
            <v>0</v>
          </cell>
          <cell r="V364">
            <v>2.9111850000000006</v>
          </cell>
        </row>
        <row r="365">
          <cell r="E365" t="str">
            <v>82111-FE460</v>
          </cell>
          <cell r="F365">
            <v>2662.3555000000001</v>
          </cell>
          <cell r="G365">
            <v>0</v>
          </cell>
          <cell r="H365">
            <v>0.16463333333333333</v>
          </cell>
          <cell r="I365">
            <v>0.14230499999999999</v>
          </cell>
          <cell r="J365">
            <v>0.15429000000000001</v>
          </cell>
          <cell r="K365">
            <v>0.47933166666666666</v>
          </cell>
          <cell r="L365">
            <v>1.3992150000000001</v>
          </cell>
          <cell r="M365">
            <v>6.3601666666666667E-2</v>
          </cell>
          <cell r="N365">
            <v>0.15803666666666669</v>
          </cell>
          <cell r="O365">
            <v>0.12656999999999999</v>
          </cell>
          <cell r="P365">
            <v>4.8031666666666667E-2</v>
          </cell>
          <cell r="Q365">
            <v>0.46122833333333335</v>
          </cell>
          <cell r="R365">
            <v>2.274786666666667</v>
          </cell>
          <cell r="S365">
            <v>2.9931666666666669E-2</v>
          </cell>
          <cell r="T365">
            <v>4.2001666666666673E-2</v>
          </cell>
          <cell r="U365">
            <v>0</v>
          </cell>
          <cell r="V365">
            <v>2.8079483333333335</v>
          </cell>
        </row>
        <row r="366">
          <cell r="E366" t="str">
            <v>82111-FE470</v>
          </cell>
          <cell r="F366">
            <v>2713.2155000000002</v>
          </cell>
          <cell r="G366">
            <v>0</v>
          </cell>
          <cell r="H366">
            <v>0.17510499999999998</v>
          </cell>
          <cell r="I366">
            <v>0.144765</v>
          </cell>
          <cell r="J366">
            <v>0.18127666666666667</v>
          </cell>
          <cell r="K366">
            <v>0.49173666666666666</v>
          </cell>
          <cell r="L366">
            <v>1.4596383333333334</v>
          </cell>
          <cell r="M366">
            <v>6.3634999999999997E-2</v>
          </cell>
          <cell r="N366">
            <v>0.15608000000000002</v>
          </cell>
          <cell r="O366">
            <v>0.13890166666666665</v>
          </cell>
          <cell r="P366">
            <v>4.9633333333333335E-2</v>
          </cell>
          <cell r="Q366">
            <v>0.50114666666666663</v>
          </cell>
          <cell r="R366">
            <v>2.3596250000000003</v>
          </cell>
          <cell r="S366">
            <v>2.9931666666666669E-2</v>
          </cell>
          <cell r="T366">
            <v>4.2001666666666673E-2</v>
          </cell>
          <cell r="U366">
            <v>0</v>
          </cell>
          <cell r="V366">
            <v>2.9327050000000003</v>
          </cell>
        </row>
        <row r="367">
          <cell r="E367" t="str">
            <v>82111-FET30</v>
          </cell>
          <cell r="F367">
            <v>2930.1306000000004</v>
          </cell>
          <cell r="G367">
            <v>0</v>
          </cell>
          <cell r="H367">
            <v>0.16789999999999999</v>
          </cell>
          <cell r="I367">
            <v>0.12238333333333333</v>
          </cell>
          <cell r="J367">
            <v>0.21335666666666667</v>
          </cell>
          <cell r="K367">
            <v>0.49222833333333332</v>
          </cell>
          <cell r="L367">
            <v>1.4248833333333333</v>
          </cell>
          <cell r="M367">
            <v>6.3771666666666657E-2</v>
          </cell>
          <cell r="N367">
            <v>0.16188166666666665</v>
          </cell>
          <cell r="O367">
            <v>0.13017333333333334</v>
          </cell>
          <cell r="P367">
            <v>4.8798333333333339E-2</v>
          </cell>
          <cell r="Q367">
            <v>0.50363999999999998</v>
          </cell>
          <cell r="R367">
            <v>2.3217366666666668</v>
          </cell>
          <cell r="S367">
            <v>3.8523333333333333E-2</v>
          </cell>
          <cell r="T367">
            <v>4.6706666666666674E-2</v>
          </cell>
          <cell r="U367">
            <v>0</v>
          </cell>
          <cell r="V367">
            <v>2.9106066666666668</v>
          </cell>
        </row>
        <row r="368">
          <cell r="E368" t="str">
            <v>82111-FET40</v>
          </cell>
          <cell r="F368">
            <v>2944.9754000000003</v>
          </cell>
          <cell r="G368">
            <v>0</v>
          </cell>
          <cell r="H368">
            <v>0.16723833333333332</v>
          </cell>
          <cell r="I368">
            <v>0.11552666666666668</v>
          </cell>
          <cell r="J368">
            <v>0.21007166666666668</v>
          </cell>
          <cell r="K368">
            <v>0.48840333333333336</v>
          </cell>
          <cell r="L368">
            <v>1.4261233333333334</v>
          </cell>
          <cell r="M368">
            <v>6.3856666666666659E-2</v>
          </cell>
          <cell r="N368">
            <v>0.16274</v>
          </cell>
          <cell r="O368">
            <v>0.13050166666666665</v>
          </cell>
          <cell r="P368">
            <v>4.910833333333333E-2</v>
          </cell>
          <cell r="Q368">
            <v>0.4928366666666667</v>
          </cell>
          <cell r="R368">
            <v>2.3207333333333331</v>
          </cell>
          <cell r="S368">
            <v>3.8523333333333333E-2</v>
          </cell>
          <cell r="T368">
            <v>4.6706666666666674E-2</v>
          </cell>
          <cell r="U368">
            <v>0</v>
          </cell>
          <cell r="V368">
            <v>2.8988</v>
          </cell>
        </row>
        <row r="369">
          <cell r="E369" t="str">
            <v>82111VU010</v>
          </cell>
          <cell r="F369">
            <v>4056.7907999999998</v>
          </cell>
          <cell r="G369">
            <v>0</v>
          </cell>
          <cell r="H369">
            <v>0.29346833333333333</v>
          </cell>
          <cell r="I369">
            <v>0.5864166666666667</v>
          </cell>
          <cell r="J369">
            <v>0.31668333333333337</v>
          </cell>
          <cell r="K369">
            <v>0.87036999999999998</v>
          </cell>
          <cell r="L369">
            <v>1.6512833333333332</v>
          </cell>
          <cell r="M369">
            <v>8.2135E-2</v>
          </cell>
          <cell r="N369">
            <v>0.23285833333333333</v>
          </cell>
          <cell r="O369">
            <v>0.19467833333333334</v>
          </cell>
          <cell r="P369">
            <v>4.7504999999999999E-2</v>
          </cell>
          <cell r="Q369">
            <v>1.1965683333333335</v>
          </cell>
          <cell r="R369">
            <v>3.07883</v>
          </cell>
          <cell r="S369">
            <v>0</v>
          </cell>
          <cell r="T369">
            <v>2.115333333333333E-2</v>
          </cell>
          <cell r="U369">
            <v>0</v>
          </cell>
          <cell r="V369">
            <v>4.2965516666666668</v>
          </cell>
        </row>
        <row r="370">
          <cell r="E370" t="str">
            <v>82111VU020</v>
          </cell>
          <cell r="F370">
            <v>3929.6850999999997</v>
          </cell>
          <cell r="G370">
            <v>0</v>
          </cell>
          <cell r="H370">
            <v>0.28439000000000003</v>
          </cell>
          <cell r="I370">
            <v>0.55325666666666662</v>
          </cell>
          <cell r="J370">
            <v>0.31277833333333332</v>
          </cell>
          <cell r="K370">
            <v>0.85068833333333338</v>
          </cell>
          <cell r="L370">
            <v>1.6400283333333334</v>
          </cell>
          <cell r="M370">
            <v>8.1608333333333324E-2</v>
          </cell>
          <cell r="N370">
            <v>0.22681333333333334</v>
          </cell>
          <cell r="O370">
            <v>0.18829500000000002</v>
          </cell>
          <cell r="P370">
            <v>4.6691666666666666E-2</v>
          </cell>
          <cell r="Q370">
            <v>1.150425</v>
          </cell>
          <cell r="R370">
            <v>3.0341250000000004</v>
          </cell>
          <cell r="S370">
            <v>0</v>
          </cell>
          <cell r="T370">
            <v>2.115333333333333E-2</v>
          </cell>
          <cell r="U370">
            <v>0</v>
          </cell>
          <cell r="V370">
            <v>4.205703333333334</v>
          </cell>
        </row>
        <row r="371">
          <cell r="E371" t="str">
            <v>82111VU030</v>
          </cell>
          <cell r="F371">
            <v>4299.8783000000003</v>
          </cell>
          <cell r="G371">
            <v>0</v>
          </cell>
          <cell r="H371">
            <v>0.30466500000000002</v>
          </cell>
          <cell r="I371">
            <v>0.5864166666666667</v>
          </cell>
          <cell r="J371">
            <v>0.32079666666666667</v>
          </cell>
          <cell r="K371">
            <v>0.90357166666666666</v>
          </cell>
          <cell r="L371">
            <v>1.7039466666666667</v>
          </cell>
          <cell r="M371">
            <v>8.2736666666666667E-2</v>
          </cell>
          <cell r="N371">
            <v>0.23829500000000001</v>
          </cell>
          <cell r="O371">
            <v>0.20168333333333335</v>
          </cell>
          <cell r="P371">
            <v>4.8728333333333339E-2</v>
          </cell>
          <cell r="Q371">
            <v>1.2118783333333334</v>
          </cell>
          <cell r="R371">
            <v>3.1789616666666665</v>
          </cell>
          <cell r="S371">
            <v>0</v>
          </cell>
          <cell r="T371">
            <v>2.115333333333333E-2</v>
          </cell>
          <cell r="U371">
            <v>0</v>
          </cell>
          <cell r="V371">
            <v>4.4119933333333332</v>
          </cell>
        </row>
        <row r="372">
          <cell r="E372" t="str">
            <v>82111VU040</v>
          </cell>
          <cell r="F372">
            <v>4172.7726000000002</v>
          </cell>
          <cell r="G372">
            <v>0</v>
          </cell>
          <cell r="H372">
            <v>0.29558666666666666</v>
          </cell>
          <cell r="I372">
            <v>0.55325666666666662</v>
          </cell>
          <cell r="J372">
            <v>0.31689166666666668</v>
          </cell>
          <cell r="K372">
            <v>0.88584333333333332</v>
          </cell>
          <cell r="L372">
            <v>1.69269</v>
          </cell>
          <cell r="M372">
            <v>8.2209999999999991E-2</v>
          </cell>
          <cell r="N372">
            <v>0.23225000000000001</v>
          </cell>
          <cell r="O372">
            <v>0.1953</v>
          </cell>
          <cell r="P372">
            <v>4.7914999999999999E-2</v>
          </cell>
          <cell r="Q372">
            <v>1.165735</v>
          </cell>
          <cell r="R372">
            <v>3.1362083333333337</v>
          </cell>
          <cell r="S372">
            <v>0</v>
          </cell>
          <cell r="T372">
            <v>2.115333333333333E-2</v>
          </cell>
          <cell r="U372">
            <v>0</v>
          </cell>
          <cell r="V372">
            <v>4.3230966666666673</v>
          </cell>
        </row>
        <row r="373">
          <cell r="E373" t="str">
            <v>82115-F2390</v>
          </cell>
          <cell r="F373">
            <v>3020.0383000000002</v>
          </cell>
          <cell r="G373">
            <v>0</v>
          </cell>
          <cell r="H373">
            <v>0.18954666666666667</v>
          </cell>
          <cell r="I373">
            <v>0.14792</v>
          </cell>
          <cell r="J373">
            <v>0.21547833333333333</v>
          </cell>
          <cell r="K373">
            <v>0.53073666666666663</v>
          </cell>
          <cell r="L373">
            <v>1.5286283333333333</v>
          </cell>
          <cell r="M373">
            <v>6.3924999999999996E-2</v>
          </cell>
          <cell r="N373">
            <v>0.17076166666666664</v>
          </cell>
          <cell r="O373">
            <v>0.14294999999999999</v>
          </cell>
          <cell r="P373">
            <v>6.4155000000000004E-2</v>
          </cell>
          <cell r="Q373">
            <v>0.55294500000000002</v>
          </cell>
          <cell r="R373">
            <v>2.5011566666666658</v>
          </cell>
          <cell r="S373">
            <v>3.2423333333333339E-2</v>
          </cell>
          <cell r="T373">
            <v>4.6706666666666674E-2</v>
          </cell>
          <cell r="U373">
            <v>0</v>
          </cell>
          <cell r="V373">
            <v>3.1332316666666662</v>
          </cell>
        </row>
        <row r="374">
          <cell r="E374" t="str">
            <v>82115-F2Y40</v>
          </cell>
          <cell r="F374">
            <v>2707.9942000000001</v>
          </cell>
          <cell r="G374">
            <v>0</v>
          </cell>
          <cell r="H374">
            <v>0.17367666666666667</v>
          </cell>
          <cell r="I374">
            <v>0.12714666666666666</v>
          </cell>
          <cell r="J374">
            <v>0.167735</v>
          </cell>
          <cell r="K374">
            <v>0.49109666666666668</v>
          </cell>
          <cell r="L374">
            <v>1.4736533333333335</v>
          </cell>
          <cell r="M374">
            <v>6.2545000000000003E-2</v>
          </cell>
          <cell r="N374">
            <v>0.15610666666666667</v>
          </cell>
          <cell r="O374">
            <v>0.13890666666666668</v>
          </cell>
          <cell r="P374">
            <v>4.9541666666666671E-2</v>
          </cell>
          <cell r="Q374">
            <v>0.4685583333333333</v>
          </cell>
          <cell r="R374">
            <v>2.3718500000000002</v>
          </cell>
          <cell r="S374">
            <v>4.1839999999999995E-2</v>
          </cell>
          <cell r="T374">
            <v>4.2001666666666673E-2</v>
          </cell>
          <cell r="U374">
            <v>0</v>
          </cell>
          <cell r="V374">
            <v>2.9242500000000002</v>
          </cell>
        </row>
        <row r="375">
          <cell r="E375" t="str">
            <v>82116-0ZW70</v>
          </cell>
          <cell r="F375">
            <v>3250.4782</v>
          </cell>
          <cell r="G375">
            <v>0</v>
          </cell>
          <cell r="H375">
            <v>0.23191166666666665</v>
          </cell>
          <cell r="I375">
            <v>0.28115999999999997</v>
          </cell>
          <cell r="J375">
            <v>0.30339833333333333</v>
          </cell>
          <cell r="K375">
            <v>0.61091166666666663</v>
          </cell>
          <cell r="L375">
            <v>1.7039883333333334</v>
          </cell>
          <cell r="M375">
            <v>6.9190000000000002E-2</v>
          </cell>
          <cell r="N375">
            <v>0.17460166666666668</v>
          </cell>
          <cell r="O375">
            <v>0.14836666666666665</v>
          </cell>
          <cell r="P375">
            <v>6.9808333333333333E-2</v>
          </cell>
          <cell r="Q375">
            <v>0.81646999999999992</v>
          </cell>
          <cell r="R375">
            <v>2.7768666666666668</v>
          </cell>
          <cell r="S375">
            <v>3.0056666666666669E-2</v>
          </cell>
          <cell r="T375">
            <v>3.7756666666666668E-2</v>
          </cell>
          <cell r="U375">
            <v>0</v>
          </cell>
          <cell r="V375">
            <v>3.6611500000000001</v>
          </cell>
        </row>
        <row r="376">
          <cell r="E376" t="str">
            <v>82116-0ZW90</v>
          </cell>
          <cell r="F376">
            <v>2559.2388000000001</v>
          </cell>
          <cell r="G376">
            <v>0</v>
          </cell>
          <cell r="H376">
            <v>0.14669333333333334</v>
          </cell>
          <cell r="I376">
            <v>0.11465499999999999</v>
          </cell>
          <cell r="J376">
            <v>0.16080333333333333</v>
          </cell>
          <cell r="K376">
            <v>0.43890666666666667</v>
          </cell>
          <cell r="L376">
            <v>1.3828333333333334</v>
          </cell>
          <cell r="M376">
            <v>6.2431666666666663E-2</v>
          </cell>
          <cell r="N376">
            <v>0.15317500000000001</v>
          </cell>
          <cell r="O376">
            <v>0.12621000000000002</v>
          </cell>
          <cell r="P376">
            <v>4.787333333333333E-2</v>
          </cell>
          <cell r="Q376">
            <v>0.4221516666666667</v>
          </cell>
          <cell r="R376">
            <v>2.21143</v>
          </cell>
          <cell r="S376">
            <v>2.9931666666666669E-2</v>
          </cell>
          <cell r="T376">
            <v>4.2001666666666673E-2</v>
          </cell>
          <cell r="U376">
            <v>0</v>
          </cell>
          <cell r="V376">
            <v>2.7055150000000001</v>
          </cell>
        </row>
        <row r="377">
          <cell r="E377" t="str">
            <v>82116-0ZX80</v>
          </cell>
          <cell r="F377">
            <v>2624.7151999999996</v>
          </cell>
          <cell r="G377">
            <v>0</v>
          </cell>
          <cell r="H377">
            <v>0.16240833333333335</v>
          </cell>
          <cell r="I377">
            <v>0.13577166666666668</v>
          </cell>
          <cell r="J377">
            <v>0.15006333333333333</v>
          </cell>
          <cell r="K377">
            <v>0.466395</v>
          </cell>
          <cell r="L377">
            <v>1.4300333333333335</v>
          </cell>
          <cell r="M377">
            <v>6.2526666666666661E-2</v>
          </cell>
          <cell r="N377">
            <v>0.15758999999999998</v>
          </cell>
          <cell r="O377">
            <v>0.12671166666666667</v>
          </cell>
          <cell r="P377">
            <v>4.8031666666666667E-2</v>
          </cell>
          <cell r="Q377">
            <v>0.44824333333333333</v>
          </cell>
          <cell r="R377">
            <v>2.2912883333333336</v>
          </cell>
          <cell r="S377">
            <v>2.9931666666666669E-2</v>
          </cell>
          <cell r="T377">
            <v>4.2001666666666673E-2</v>
          </cell>
          <cell r="U377">
            <v>0</v>
          </cell>
          <cell r="V377">
            <v>2.8114650000000005</v>
          </cell>
        </row>
        <row r="378">
          <cell r="E378" t="str">
            <v>82116-0ZX90</v>
          </cell>
          <cell r="F378">
            <v>2595.0870999999997</v>
          </cell>
          <cell r="G378">
            <v>0</v>
          </cell>
          <cell r="H378">
            <v>0.15403500000000001</v>
          </cell>
          <cell r="I378">
            <v>0.11571666666666666</v>
          </cell>
          <cell r="J378">
            <v>0.14306833333333333</v>
          </cell>
          <cell r="K378">
            <v>0.45611333333333337</v>
          </cell>
          <cell r="L378">
            <v>1.3735133333333331</v>
          </cell>
          <cell r="M378">
            <v>6.2286666666666671E-2</v>
          </cell>
          <cell r="N378">
            <v>0.15528500000000001</v>
          </cell>
          <cell r="O378">
            <v>0.12784999999999999</v>
          </cell>
          <cell r="P378">
            <v>4.7251666666666671E-2</v>
          </cell>
          <cell r="Q378">
            <v>0.41281999999999996</v>
          </cell>
          <cell r="R378">
            <v>2.2222999999999997</v>
          </cell>
          <cell r="S378">
            <v>2.9931666666666669E-2</v>
          </cell>
          <cell r="T378">
            <v>4.2001666666666673E-2</v>
          </cell>
          <cell r="U378">
            <v>0</v>
          </cell>
          <cell r="V378">
            <v>2.7070533333333331</v>
          </cell>
        </row>
        <row r="379">
          <cell r="E379" t="str">
            <v>82116-0ZY00</v>
          </cell>
          <cell r="F379">
            <v>2981.7129</v>
          </cell>
          <cell r="G379">
            <v>0</v>
          </cell>
          <cell r="H379">
            <v>0.17460666666666666</v>
          </cell>
          <cell r="I379">
            <v>0.11658833333333334</v>
          </cell>
          <cell r="J379">
            <v>0.19234333333333334</v>
          </cell>
          <cell r="K379">
            <v>0.50365666666666664</v>
          </cell>
          <cell r="L379">
            <v>1.4167183333333333</v>
          </cell>
          <cell r="M379">
            <v>6.3716666666666671E-2</v>
          </cell>
          <cell r="N379">
            <v>0.16485166666666667</v>
          </cell>
          <cell r="O379">
            <v>0.13214500000000001</v>
          </cell>
          <cell r="P379">
            <v>6.1943333333333336E-2</v>
          </cell>
          <cell r="Q379">
            <v>0.48353833333333329</v>
          </cell>
          <cell r="R379">
            <v>2.3430316666666666</v>
          </cell>
          <cell r="S379">
            <v>3.8523333333333333E-2</v>
          </cell>
          <cell r="T379">
            <v>4.6706666666666674E-2</v>
          </cell>
          <cell r="U379">
            <v>0</v>
          </cell>
          <cell r="V379">
            <v>2.9117999999999999</v>
          </cell>
        </row>
        <row r="380">
          <cell r="E380" t="str">
            <v>82116-0ZY10</v>
          </cell>
          <cell r="F380">
            <v>3067.9875999999999</v>
          </cell>
          <cell r="G380">
            <v>0</v>
          </cell>
          <cell r="H380">
            <v>0.20702000000000001</v>
          </cell>
          <cell r="I380">
            <v>0.24881999999999999</v>
          </cell>
          <cell r="J380">
            <v>0.25528000000000001</v>
          </cell>
          <cell r="K380">
            <v>0.564975</v>
          </cell>
          <cell r="L380">
            <v>1.5745916666666666</v>
          </cell>
          <cell r="M380">
            <v>6.8475000000000008E-2</v>
          </cell>
          <cell r="N380">
            <v>0.16688500000000001</v>
          </cell>
          <cell r="O380">
            <v>0.13990166666666667</v>
          </cell>
          <cell r="P380">
            <v>6.7246666666666663E-2</v>
          </cell>
          <cell r="Q380">
            <v>0.71111999999999997</v>
          </cell>
          <cell r="R380">
            <v>2.5820750000000001</v>
          </cell>
          <cell r="S380">
            <v>3.0056666666666669E-2</v>
          </cell>
          <cell r="T380">
            <v>3.7756666666666668E-2</v>
          </cell>
          <cell r="U380">
            <v>0</v>
          </cell>
          <cell r="V380">
            <v>3.3610083333333334</v>
          </cell>
        </row>
        <row r="381">
          <cell r="E381" t="str">
            <v>AL116-0E540</v>
          </cell>
          <cell r="F381">
            <v>0</v>
          </cell>
          <cell r="G381">
            <v>61.250000000000007</v>
          </cell>
          <cell r="H381">
            <v>2.1024999999999999E-2</v>
          </cell>
          <cell r="I381">
            <v>4.1808333333333336E-2</v>
          </cell>
          <cell r="J381">
            <v>0.27583833333333335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7.8880000000000006E-2</v>
          </cell>
          <cell r="Q381">
            <v>0.3386716666666667</v>
          </cell>
          <cell r="R381">
            <v>7.8880000000000006E-2</v>
          </cell>
          <cell r="S381">
            <v>0</v>
          </cell>
          <cell r="T381">
            <v>0</v>
          </cell>
          <cell r="U381">
            <v>0</v>
          </cell>
          <cell r="V381">
            <v>0.41755166666666671</v>
          </cell>
        </row>
        <row r="382">
          <cell r="E382" t="str">
            <v>JK111-4DQ41</v>
          </cell>
          <cell r="F382">
            <v>131.79</v>
          </cell>
          <cell r="G382">
            <v>93.340000000000018</v>
          </cell>
          <cell r="H382">
            <v>5.3649999999999996E-2</v>
          </cell>
          <cell r="I382">
            <v>0.10668333333333332</v>
          </cell>
          <cell r="J382">
            <v>0.70386333333333329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0.20128000000000001</v>
          </cell>
          <cell r="Q382">
            <v>0.86419666666666661</v>
          </cell>
          <cell r="R382">
            <v>0.20128000000000001</v>
          </cell>
          <cell r="S382">
            <v>0</v>
          </cell>
          <cell r="T382">
            <v>0</v>
          </cell>
          <cell r="U382">
            <v>0</v>
          </cell>
          <cell r="V382">
            <v>1.0654766666666666</v>
          </cell>
        </row>
        <row r="383">
          <cell r="E383" t="str">
            <v>JUNKAN NISSAN J42U-5</v>
          </cell>
          <cell r="F383">
            <v>91.95</v>
          </cell>
          <cell r="G383">
            <v>0</v>
          </cell>
          <cell r="H383">
            <v>7.2499999999999995E-4</v>
          </cell>
          <cell r="I383">
            <v>1.4416666666666666E-3</v>
          </cell>
          <cell r="J383">
            <v>9.5116666666666665E-3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2.7200000000000002E-3</v>
          </cell>
          <cell r="Q383">
            <v>1.1678333333333332E-2</v>
          </cell>
          <cell r="R383">
            <v>2.7200000000000002E-3</v>
          </cell>
          <cell r="S383">
            <v>0</v>
          </cell>
          <cell r="T383">
            <v>0</v>
          </cell>
          <cell r="U383">
            <v>0</v>
          </cell>
          <cell r="V383">
            <v>1.4398333333333332E-2</v>
          </cell>
        </row>
        <row r="384">
          <cell r="E384" t="str">
            <v>JUNKAN NISSAN J42U-6</v>
          </cell>
          <cell r="F384">
            <v>47.45</v>
          </cell>
          <cell r="G384">
            <v>0</v>
          </cell>
          <cell r="H384">
            <v>1.4499999999999999E-3</v>
          </cell>
          <cell r="I384">
            <v>2.8833333333333332E-3</v>
          </cell>
          <cell r="J384">
            <v>1.9023333333333333E-2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5.4400000000000004E-3</v>
          </cell>
          <cell r="Q384">
            <v>2.3356666666666664E-2</v>
          </cell>
          <cell r="R384">
            <v>5.4400000000000004E-3</v>
          </cell>
          <cell r="S384">
            <v>0</v>
          </cell>
          <cell r="T384">
            <v>0</v>
          </cell>
          <cell r="U384">
            <v>0</v>
          </cell>
          <cell r="V384">
            <v>2.8796666666666665E-2</v>
          </cell>
        </row>
        <row r="385">
          <cell r="E385" t="str">
            <v>JUNKAN NISSAN J42U-7</v>
          </cell>
          <cell r="F385">
            <v>17.63</v>
          </cell>
          <cell r="G385">
            <v>0</v>
          </cell>
          <cell r="H385">
            <v>7.2499999999999995E-4</v>
          </cell>
          <cell r="I385">
            <v>1.4416666666666666E-3</v>
          </cell>
          <cell r="J385">
            <v>9.5116666666666665E-3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2.7200000000000002E-3</v>
          </cell>
          <cell r="Q385">
            <v>1.1678333333333332E-2</v>
          </cell>
          <cell r="R385">
            <v>2.7200000000000002E-3</v>
          </cell>
          <cell r="S385">
            <v>0</v>
          </cell>
          <cell r="T385">
            <v>0</v>
          </cell>
          <cell r="U385">
            <v>0</v>
          </cell>
          <cell r="V385">
            <v>1.4398333333333332E-2</v>
          </cell>
        </row>
        <row r="386">
          <cell r="E386" t="str">
            <v>MK111-4DQ30</v>
          </cell>
          <cell r="F386">
            <v>73.509999999999991</v>
          </cell>
          <cell r="G386">
            <v>87.840000000000018</v>
          </cell>
          <cell r="H386">
            <v>5.2925E-2</v>
          </cell>
          <cell r="I386">
            <v>0.10524166666666666</v>
          </cell>
          <cell r="J386">
            <v>0.69435166666666659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0.19856000000000001</v>
          </cell>
          <cell r="Q386">
            <v>0.85251833333333327</v>
          </cell>
          <cell r="R386">
            <v>0.19856000000000001</v>
          </cell>
          <cell r="S386">
            <v>0</v>
          </cell>
          <cell r="T386">
            <v>0</v>
          </cell>
          <cell r="U386">
            <v>0</v>
          </cell>
          <cell r="V386">
            <v>1.0510783333333333</v>
          </cell>
        </row>
        <row r="387">
          <cell r="E387" t="str">
            <v>82111-0EZ80</v>
          </cell>
          <cell r="F387">
            <v>3698.7636999999995</v>
          </cell>
          <cell r="G387">
            <v>452.6189</v>
          </cell>
          <cell r="H387">
            <v>0.27494666666666667</v>
          </cell>
          <cell r="I387">
            <v>0.45112000000000002</v>
          </cell>
          <cell r="J387">
            <v>0.10049666666666666</v>
          </cell>
          <cell r="K387">
            <v>0.7849516666666666</v>
          </cell>
          <cell r="L387">
            <v>2.10948</v>
          </cell>
          <cell r="M387">
            <v>6.030166666666667E-2</v>
          </cell>
          <cell r="N387">
            <v>0.23220666666666664</v>
          </cell>
          <cell r="O387">
            <v>0.29524166666666668</v>
          </cell>
          <cell r="P387">
            <v>0.13128500000000001</v>
          </cell>
          <cell r="Q387">
            <v>0.82656333333333332</v>
          </cell>
          <cell r="R387">
            <v>3.6134666666666666</v>
          </cell>
          <cell r="S387">
            <v>0</v>
          </cell>
          <cell r="T387">
            <v>4.2983333333333332E-2</v>
          </cell>
          <cell r="U387">
            <v>0.45591999999999999</v>
          </cell>
          <cell r="V387">
            <v>4.938933333333333</v>
          </cell>
        </row>
        <row r="388">
          <cell r="E388" t="str">
            <v>82111-F2C50</v>
          </cell>
          <cell r="F388">
            <v>2598.9704000000002</v>
          </cell>
          <cell r="G388">
            <v>0</v>
          </cell>
          <cell r="H388">
            <v>0.13998333333333332</v>
          </cell>
          <cell r="I388">
            <v>0.10543666666666666</v>
          </cell>
          <cell r="J388">
            <v>8.5983333333333328E-2</v>
          </cell>
          <cell r="K388">
            <v>0.47042666666666666</v>
          </cell>
          <cell r="L388">
            <v>1.4580616666666666</v>
          </cell>
          <cell r="M388">
            <v>4.0235E-2</v>
          </cell>
          <cell r="N388">
            <v>0.16070833333333334</v>
          </cell>
          <cell r="O388">
            <v>0.15683833333333333</v>
          </cell>
          <cell r="P388">
            <v>0</v>
          </cell>
          <cell r="Q388">
            <v>0.33140333333333327</v>
          </cell>
          <cell r="R388">
            <v>2.28627</v>
          </cell>
          <cell r="S388">
            <v>4.9745000000000004E-2</v>
          </cell>
          <cell r="T388">
            <v>4.2040000000000008E-2</v>
          </cell>
          <cell r="U388">
            <v>0</v>
          </cell>
          <cell r="V388">
            <v>2.7094583333333335</v>
          </cell>
        </row>
        <row r="389">
          <cell r="E389" t="str">
            <v>82115-0E440 M</v>
          </cell>
          <cell r="F389">
            <v>3479.4100999999996</v>
          </cell>
          <cell r="G389">
            <v>370.84039999999999</v>
          </cell>
          <cell r="H389">
            <v>0.23877333333333334</v>
          </cell>
          <cell r="I389">
            <v>0.32644000000000001</v>
          </cell>
          <cell r="J389">
            <v>9.2078333333333331E-2</v>
          </cell>
          <cell r="K389">
            <v>0.67835333333333336</v>
          </cell>
          <cell r="L389">
            <v>1.9187283333333334</v>
          </cell>
          <cell r="M389">
            <v>5.3585000000000001E-2</v>
          </cell>
          <cell r="N389">
            <v>0.22206833333333334</v>
          </cell>
          <cell r="O389">
            <v>0.25699333333333335</v>
          </cell>
          <cell r="P389">
            <v>0.13700000000000001</v>
          </cell>
          <cell r="Q389">
            <v>0.65729166666666672</v>
          </cell>
          <cell r="R389">
            <v>3.2667283333333339</v>
          </cell>
          <cell r="S389">
            <v>0</v>
          </cell>
          <cell r="T389">
            <v>4.3024999999999994E-2</v>
          </cell>
          <cell r="U389">
            <v>0.41713833333333333</v>
          </cell>
          <cell r="V389">
            <v>4.3841833333333335</v>
          </cell>
        </row>
        <row r="390">
          <cell r="E390" t="str">
            <v>82115-0E450 M</v>
          </cell>
          <cell r="F390">
            <v>3479.4100999999996</v>
          </cell>
          <cell r="G390">
            <v>370.84039999999999</v>
          </cell>
          <cell r="H390">
            <v>0.23877333333333334</v>
          </cell>
          <cell r="I390">
            <v>0.32644000000000001</v>
          </cell>
          <cell r="J390">
            <v>9.2078333333333331E-2</v>
          </cell>
          <cell r="K390">
            <v>0.67444666666666664</v>
          </cell>
          <cell r="L390">
            <v>1.9187283333333334</v>
          </cell>
          <cell r="M390">
            <v>5.3585000000000001E-2</v>
          </cell>
          <cell r="N390">
            <v>0.22206833333333334</v>
          </cell>
          <cell r="O390">
            <v>0.25699333333333335</v>
          </cell>
          <cell r="P390">
            <v>0.13700000000000001</v>
          </cell>
          <cell r="Q390">
            <v>0.65729166666666672</v>
          </cell>
          <cell r="R390">
            <v>3.262821666666667</v>
          </cell>
          <cell r="S390">
            <v>0</v>
          </cell>
          <cell r="T390">
            <v>4.3024999999999994E-2</v>
          </cell>
          <cell r="U390">
            <v>0.41713833333333333</v>
          </cell>
          <cell r="V390">
            <v>4.380276666666667</v>
          </cell>
        </row>
        <row r="391">
          <cell r="E391" t="str">
            <v>82115-0E460 M</v>
          </cell>
          <cell r="F391">
            <v>3792.2071000000001</v>
          </cell>
          <cell r="G391">
            <v>371.93279999999999</v>
          </cell>
          <cell r="H391">
            <v>0.26194166666666668</v>
          </cell>
          <cell r="I391">
            <v>0.37051666666666672</v>
          </cell>
          <cell r="J391">
            <v>9.3776666666666661E-2</v>
          </cell>
          <cell r="K391">
            <v>0.75082166666666672</v>
          </cell>
          <cell r="L391">
            <v>1.965735</v>
          </cell>
          <cell r="M391">
            <v>5.4904999999999995E-2</v>
          </cell>
          <cell r="N391">
            <v>0.23415833333333333</v>
          </cell>
          <cell r="O391">
            <v>0.26127</v>
          </cell>
          <cell r="P391">
            <v>0.13784333333333335</v>
          </cell>
          <cell r="Q391">
            <v>0.72623499999999996</v>
          </cell>
          <cell r="R391">
            <v>3.4047333333333336</v>
          </cell>
          <cell r="S391">
            <v>0</v>
          </cell>
          <cell r="T391">
            <v>4.3024999999999994E-2</v>
          </cell>
          <cell r="U391">
            <v>0.40762666666666669</v>
          </cell>
          <cell r="V391">
            <v>4.58162</v>
          </cell>
        </row>
        <row r="392">
          <cell r="E392" t="str">
            <v>82115-0E480 K</v>
          </cell>
          <cell r="F392">
            <v>3856.4899000000005</v>
          </cell>
          <cell r="G392">
            <v>322.31849999999997</v>
          </cell>
          <cell r="H392">
            <v>0.30663499999999999</v>
          </cell>
          <cell r="I392">
            <v>0.62702999999999998</v>
          </cell>
          <cell r="J392">
            <v>0.16853833333333332</v>
          </cell>
          <cell r="K392">
            <v>0.86804500000000007</v>
          </cell>
          <cell r="L392">
            <v>2.0752299999999999</v>
          </cell>
          <cell r="M392">
            <v>5.7100000000000005E-2</v>
          </cell>
          <cell r="N392">
            <v>0.24826833333333334</v>
          </cell>
          <cell r="O392">
            <v>0.307755</v>
          </cell>
          <cell r="P392">
            <v>9.0596666666666673E-2</v>
          </cell>
          <cell r="Q392">
            <v>1.1022033333333332</v>
          </cell>
          <cell r="R392">
            <v>3.646995</v>
          </cell>
          <cell r="S392">
            <v>0</v>
          </cell>
          <cell r="T392">
            <v>1.6895E-2</v>
          </cell>
          <cell r="U392">
            <v>0.19762833333333335</v>
          </cell>
          <cell r="V392">
            <v>4.9637216666666664</v>
          </cell>
        </row>
        <row r="393">
          <cell r="E393" t="str">
            <v>82115-0E490 K</v>
          </cell>
          <cell r="F393">
            <v>4136.0109000000002</v>
          </cell>
          <cell r="G393">
            <v>431.16309999999999</v>
          </cell>
          <cell r="H393">
            <v>0.31593166666666667</v>
          </cell>
          <cell r="I393">
            <v>0.61169833333333334</v>
          </cell>
          <cell r="J393">
            <v>0.21371833333333334</v>
          </cell>
          <cell r="K393">
            <v>0.88355666666666666</v>
          </cell>
          <cell r="L393">
            <v>2.0296383333333332</v>
          </cell>
          <cell r="M393">
            <v>6.1760000000000002E-2</v>
          </cell>
          <cell r="N393">
            <v>0.26568333333333333</v>
          </cell>
          <cell r="O393">
            <v>0.28845999999999999</v>
          </cell>
          <cell r="P393">
            <v>0.137045</v>
          </cell>
          <cell r="Q393">
            <v>1.1413483333333332</v>
          </cell>
          <cell r="R393">
            <v>3.6661433333333338</v>
          </cell>
          <cell r="S393">
            <v>0</v>
          </cell>
          <cell r="T393">
            <v>4.5909999999999992E-2</v>
          </cell>
          <cell r="U393">
            <v>0.48528666666666664</v>
          </cell>
          <cell r="V393">
            <v>5.3386883333333337</v>
          </cell>
        </row>
        <row r="394">
          <cell r="E394" t="str">
            <v>82115-0E511 B</v>
          </cell>
          <cell r="F394">
            <v>3706.0201999999999</v>
          </cell>
          <cell r="G394">
            <v>418.25699999999995</v>
          </cell>
          <cell r="H394">
            <v>0.26230833333333331</v>
          </cell>
          <cell r="I394">
            <v>0.41749833333333336</v>
          </cell>
          <cell r="J394">
            <v>9.5118333333333333E-2</v>
          </cell>
          <cell r="K394">
            <v>0.75100833333333328</v>
          </cell>
          <cell r="L394">
            <v>1.9720283333333335</v>
          </cell>
          <cell r="M394">
            <v>5.3874999999999999E-2</v>
          </cell>
          <cell r="N394">
            <v>0.23671666666666666</v>
          </cell>
          <cell r="O394">
            <v>0.272845</v>
          </cell>
          <cell r="P394">
            <v>0.13945833333333332</v>
          </cell>
          <cell r="Q394">
            <v>0.77492499999999997</v>
          </cell>
          <cell r="R394">
            <v>3.4259316666666666</v>
          </cell>
          <cell r="S394">
            <v>0</v>
          </cell>
          <cell r="T394">
            <v>4.7335000000000002E-2</v>
          </cell>
          <cell r="U394">
            <v>0.4010016666666667</v>
          </cell>
          <cell r="V394">
            <v>4.6491933333333337</v>
          </cell>
        </row>
        <row r="395">
          <cell r="E395" t="str">
            <v>82115-0E521 B</v>
          </cell>
          <cell r="F395">
            <v>3732.6758</v>
          </cell>
          <cell r="G395">
            <v>432.73820000000001</v>
          </cell>
          <cell r="H395">
            <v>0.27192500000000003</v>
          </cell>
          <cell r="I395">
            <v>0.44123499999999999</v>
          </cell>
          <cell r="J395">
            <v>0.11198666666666666</v>
          </cell>
          <cell r="K395">
            <v>0.76719499999999996</v>
          </cell>
          <cell r="L395">
            <v>2.0220700000000003</v>
          </cell>
          <cell r="M395">
            <v>5.4100000000000002E-2</v>
          </cell>
          <cell r="N395">
            <v>0.23862166666666665</v>
          </cell>
          <cell r="O395">
            <v>0.27427666666666667</v>
          </cell>
          <cell r="P395">
            <v>0.14035833333333333</v>
          </cell>
          <cell r="Q395">
            <v>0.82514666666666669</v>
          </cell>
          <cell r="R395">
            <v>3.496621666666667</v>
          </cell>
          <cell r="S395">
            <v>0</v>
          </cell>
          <cell r="T395">
            <v>4.7335000000000002E-2</v>
          </cell>
          <cell r="U395">
            <v>0.42750166666666667</v>
          </cell>
          <cell r="V395">
            <v>4.7966050000000013</v>
          </cell>
        </row>
        <row r="396">
          <cell r="E396" t="str">
            <v>82115-0E531 B</v>
          </cell>
          <cell r="F396">
            <v>3921.9303</v>
          </cell>
          <cell r="G396">
            <v>432.73820000000001</v>
          </cell>
          <cell r="H396">
            <v>0.28389333333333333</v>
          </cell>
          <cell r="I396">
            <v>0.47818499999999997</v>
          </cell>
          <cell r="J396">
            <v>0.11198666666666666</v>
          </cell>
          <cell r="K396">
            <v>0.79365166666666676</v>
          </cell>
          <cell r="L396">
            <v>2.0425650000000002</v>
          </cell>
          <cell r="M396">
            <v>5.4100000000000002E-2</v>
          </cell>
          <cell r="N396">
            <v>0.23942166666666667</v>
          </cell>
          <cell r="O396">
            <v>0.27427666666666667</v>
          </cell>
          <cell r="P396">
            <v>0.14035833333333333</v>
          </cell>
          <cell r="Q396">
            <v>0.87406499999999998</v>
          </cell>
          <cell r="R396">
            <v>3.544373333333334</v>
          </cell>
          <cell r="S396">
            <v>0</v>
          </cell>
          <cell r="T396">
            <v>4.7335000000000002E-2</v>
          </cell>
          <cell r="U396">
            <v>0.42750166666666667</v>
          </cell>
          <cell r="V396">
            <v>4.8932750000000009</v>
          </cell>
        </row>
        <row r="397">
          <cell r="E397" t="str">
            <v>82115-0E561 B</v>
          </cell>
          <cell r="F397">
            <v>4129.3202000000001</v>
          </cell>
          <cell r="G397">
            <v>453.59019999999998</v>
          </cell>
          <cell r="H397">
            <v>0.29678333333333329</v>
          </cell>
          <cell r="I397">
            <v>0.50103666666666669</v>
          </cell>
          <cell r="J397">
            <v>0.11822833333333334</v>
          </cell>
          <cell r="K397">
            <v>0.85325833333333334</v>
          </cell>
          <cell r="L397">
            <v>2.1301033333333335</v>
          </cell>
          <cell r="M397">
            <v>5.4324999999999998E-2</v>
          </cell>
          <cell r="N397">
            <v>0.24212833333333333</v>
          </cell>
          <cell r="O397">
            <v>0.27350000000000002</v>
          </cell>
          <cell r="P397">
            <v>0.14143</v>
          </cell>
          <cell r="Q397">
            <v>0.91604833333333335</v>
          </cell>
          <cell r="R397">
            <v>3.6947450000000002</v>
          </cell>
          <cell r="S397">
            <v>0</v>
          </cell>
          <cell r="T397">
            <v>4.7335000000000002E-2</v>
          </cell>
          <cell r="U397">
            <v>0.39846166666666671</v>
          </cell>
          <cell r="V397">
            <v>5.0565900000000008</v>
          </cell>
        </row>
        <row r="398">
          <cell r="E398" t="str">
            <v>82115-0E701</v>
          </cell>
          <cell r="F398">
            <v>4341.3197999999993</v>
          </cell>
          <cell r="G398">
            <v>515.10919999999999</v>
          </cell>
          <cell r="H398">
            <v>0.37323833333333334</v>
          </cell>
          <cell r="I398">
            <v>0.75803166666666677</v>
          </cell>
          <cell r="J398">
            <v>0.19992833333333332</v>
          </cell>
          <cell r="K398">
            <v>1.0515516666666667</v>
          </cell>
          <cell r="L398">
            <v>2.3370616666666666</v>
          </cell>
          <cell r="M398">
            <v>6.8231666666666663E-2</v>
          </cell>
          <cell r="N398">
            <v>0.27046500000000001</v>
          </cell>
          <cell r="O398">
            <v>0.33483166666666669</v>
          </cell>
          <cell r="P398">
            <v>0.13445000000000001</v>
          </cell>
          <cell r="Q398">
            <v>1.3311983333333335</v>
          </cell>
          <cell r="R398">
            <v>4.1965916666666674</v>
          </cell>
          <cell r="S398">
            <v>0</v>
          </cell>
          <cell r="T398">
            <v>5.0180000000000002E-2</v>
          </cell>
          <cell r="U398">
            <v>0.53802666666666665</v>
          </cell>
          <cell r="V398">
            <v>6.1159966666666676</v>
          </cell>
        </row>
        <row r="399">
          <cell r="E399" t="str">
            <v>82115-0EA00 M</v>
          </cell>
          <cell r="F399">
            <v>3818.8584000000001</v>
          </cell>
          <cell r="G399">
            <v>386.41399999999999</v>
          </cell>
          <cell r="H399">
            <v>0.27155666666666661</v>
          </cell>
          <cell r="I399">
            <v>0.39425166666666667</v>
          </cell>
          <cell r="J399">
            <v>0.11064500000000001</v>
          </cell>
          <cell r="K399">
            <v>0.77091500000000002</v>
          </cell>
          <cell r="L399">
            <v>2.0157783333333334</v>
          </cell>
          <cell r="M399">
            <v>5.5135000000000003E-2</v>
          </cell>
          <cell r="N399">
            <v>0.236065</v>
          </cell>
          <cell r="O399">
            <v>0.26271</v>
          </cell>
          <cell r="P399">
            <v>0.13874333333333333</v>
          </cell>
          <cell r="Q399">
            <v>0.77645333333333333</v>
          </cell>
          <cell r="R399">
            <v>3.4793466666666664</v>
          </cell>
          <cell r="S399">
            <v>0</v>
          </cell>
          <cell r="T399">
            <v>4.3024999999999994E-2</v>
          </cell>
          <cell r="U399">
            <v>0.43412666666666666</v>
          </cell>
          <cell r="V399">
            <v>4.7329516666666667</v>
          </cell>
        </row>
        <row r="400">
          <cell r="E400" t="str">
            <v>82115-0EA10 K</v>
          </cell>
          <cell r="F400">
            <v>4162.5950000000003</v>
          </cell>
          <cell r="G400">
            <v>445.33190000000002</v>
          </cell>
          <cell r="H400">
            <v>0.32567166666666664</v>
          </cell>
          <cell r="I400">
            <v>0.63537999999999994</v>
          </cell>
          <cell r="J400">
            <v>0.23068333333333332</v>
          </cell>
          <cell r="K400">
            <v>0.90560333333333332</v>
          </cell>
          <cell r="L400">
            <v>2.0904933333333333</v>
          </cell>
          <cell r="M400">
            <v>6.1984999999999998E-2</v>
          </cell>
          <cell r="N400">
            <v>0.26758833333333332</v>
          </cell>
          <cell r="O400">
            <v>0.28989166666666666</v>
          </cell>
          <cell r="P400">
            <v>0.13794500000000001</v>
          </cell>
          <cell r="Q400">
            <v>1.191735</v>
          </cell>
          <cell r="R400">
            <v>3.7535066666666665</v>
          </cell>
          <cell r="S400">
            <v>0</v>
          </cell>
          <cell r="T400">
            <v>4.5909999999999992E-2</v>
          </cell>
          <cell r="U400">
            <v>0.51178666666666661</v>
          </cell>
          <cell r="V400">
            <v>5.5029383333333328</v>
          </cell>
        </row>
        <row r="401">
          <cell r="E401" t="str">
            <v>82115-0EG10</v>
          </cell>
          <cell r="F401">
            <v>4148.4809999999998</v>
          </cell>
          <cell r="G401">
            <v>550.36320000000001</v>
          </cell>
          <cell r="H401">
            <v>0.32012000000000002</v>
          </cell>
          <cell r="I401">
            <v>0.53470000000000006</v>
          </cell>
          <cell r="J401">
            <v>0.12706500000000001</v>
          </cell>
          <cell r="K401">
            <v>0.93660500000000002</v>
          </cell>
          <cell r="L401">
            <v>2.2930133333333336</v>
          </cell>
          <cell r="M401">
            <v>6.3816666666666674E-2</v>
          </cell>
          <cell r="N401">
            <v>0.24987499999999999</v>
          </cell>
          <cell r="O401">
            <v>0.33022333333333337</v>
          </cell>
          <cell r="P401">
            <v>0.13285</v>
          </cell>
          <cell r="Q401">
            <v>0.98188500000000012</v>
          </cell>
          <cell r="R401">
            <v>4.0063833333333339</v>
          </cell>
          <cell r="S401">
            <v>0</v>
          </cell>
          <cell r="T401">
            <v>4.2983333333333332E-2</v>
          </cell>
          <cell r="U401">
            <v>0.45014666666666669</v>
          </cell>
          <cell r="V401">
            <v>5.4813983333333338</v>
          </cell>
        </row>
        <row r="402">
          <cell r="E402" t="str">
            <v>82115-0EZ90</v>
          </cell>
          <cell r="F402">
            <v>4181.7826999999997</v>
          </cell>
          <cell r="G402">
            <v>475.81769999999995</v>
          </cell>
          <cell r="H402">
            <v>0.30617333333333335</v>
          </cell>
          <cell r="I402">
            <v>0.50556999999999996</v>
          </cell>
          <cell r="J402">
            <v>0.11822833333333334</v>
          </cell>
          <cell r="K402">
            <v>0.89293666666666671</v>
          </cell>
          <cell r="L402">
            <v>2.1641633333333332</v>
          </cell>
          <cell r="M402">
            <v>5.4525000000000004E-2</v>
          </cell>
          <cell r="N402">
            <v>0.24645833333333333</v>
          </cell>
          <cell r="O402">
            <v>0.27672666666666668</v>
          </cell>
          <cell r="P402">
            <v>0.14216833333333331</v>
          </cell>
          <cell r="Q402">
            <v>0.92997166666666664</v>
          </cell>
          <cell r="R402">
            <v>3.7769783333333335</v>
          </cell>
          <cell r="S402">
            <v>0</v>
          </cell>
          <cell r="T402">
            <v>4.7335000000000002E-2</v>
          </cell>
          <cell r="U402">
            <v>0.39846166666666671</v>
          </cell>
          <cell r="V402">
            <v>5.1527466666666673</v>
          </cell>
        </row>
        <row r="403">
          <cell r="E403" t="str">
            <v>82116-0E350</v>
          </cell>
          <cell r="F403">
            <v>3887.0971</v>
          </cell>
          <cell r="G403">
            <v>532.00250000000005</v>
          </cell>
          <cell r="H403">
            <v>0.30657333333333336</v>
          </cell>
          <cell r="I403">
            <v>0.51361666666666672</v>
          </cell>
          <cell r="J403">
            <v>0.12584666666666666</v>
          </cell>
          <cell r="K403">
            <v>0.86935333333333331</v>
          </cell>
          <cell r="L403">
            <v>2.2744716666666664</v>
          </cell>
          <cell r="M403">
            <v>6.3041666666666676E-2</v>
          </cell>
          <cell r="N403">
            <v>0.249195</v>
          </cell>
          <cell r="O403">
            <v>0.33311666666666662</v>
          </cell>
          <cell r="P403">
            <v>0.13382166666666664</v>
          </cell>
          <cell r="Q403">
            <v>0.94603666666666675</v>
          </cell>
          <cell r="R403">
            <v>3.9229999999999996</v>
          </cell>
          <cell r="S403">
            <v>0</v>
          </cell>
          <cell r="T403">
            <v>4.2983333333333332E-2</v>
          </cell>
          <cell r="U403">
            <v>0.48241999999999996</v>
          </cell>
          <cell r="V403">
            <v>5.3944399999999995</v>
          </cell>
        </row>
        <row r="404">
          <cell r="E404" t="str">
            <v>82116-0E360</v>
          </cell>
          <cell r="F404">
            <v>3821.0246999999999</v>
          </cell>
          <cell r="G404">
            <v>477.11689999999999</v>
          </cell>
          <cell r="H404">
            <v>0.29486333333333337</v>
          </cell>
          <cell r="I404">
            <v>0.49904166666666666</v>
          </cell>
          <cell r="J404">
            <v>0.12584666666666666</v>
          </cell>
          <cell r="K404">
            <v>0.85596666666666665</v>
          </cell>
          <cell r="L404">
            <v>2.2210783333333333</v>
          </cell>
          <cell r="M404">
            <v>6.2846666666666662E-2</v>
          </cell>
          <cell r="N404">
            <v>0.24482666666666666</v>
          </cell>
          <cell r="O404">
            <v>0.31389499999999998</v>
          </cell>
          <cell r="P404">
            <v>0.13310666666666665</v>
          </cell>
          <cell r="Q404">
            <v>0.91975166666666675</v>
          </cell>
          <cell r="R404">
            <v>3.8317199999999998</v>
          </cell>
          <cell r="S404">
            <v>0</v>
          </cell>
          <cell r="T404">
            <v>4.2983333333333332E-2</v>
          </cell>
          <cell r="U404">
            <v>0.48241999999999996</v>
          </cell>
          <cell r="V404">
            <v>5.2768749999999995</v>
          </cell>
        </row>
        <row r="405">
          <cell r="E405" t="str">
            <v>82116-0E370</v>
          </cell>
          <cell r="F405">
            <v>3698.3738999999996</v>
          </cell>
          <cell r="G405">
            <v>455.50830000000002</v>
          </cell>
          <cell r="H405">
            <v>0.27451166666666665</v>
          </cell>
          <cell r="I405">
            <v>0.45704499999999998</v>
          </cell>
          <cell r="J405">
            <v>9.4113333333333327E-2</v>
          </cell>
          <cell r="K405">
            <v>0.79057166666666667</v>
          </cell>
          <cell r="L405">
            <v>2.1235866666666667</v>
          </cell>
          <cell r="M405">
            <v>6.0411666666666662E-2</v>
          </cell>
          <cell r="N405">
            <v>0.23443666666666668</v>
          </cell>
          <cell r="O405">
            <v>0.29968333333333336</v>
          </cell>
          <cell r="P405">
            <v>0.13190166666666667</v>
          </cell>
          <cell r="Q405">
            <v>0.8256699999999999</v>
          </cell>
          <cell r="R405">
            <v>3.6405916666666669</v>
          </cell>
          <cell r="S405">
            <v>0</v>
          </cell>
          <cell r="T405">
            <v>4.2983333333333332E-2</v>
          </cell>
          <cell r="U405">
            <v>0.45591999999999999</v>
          </cell>
          <cell r="V405">
            <v>4.9651649999999998</v>
          </cell>
        </row>
        <row r="406">
          <cell r="E406" t="str">
            <v>82116-0E420</v>
          </cell>
          <cell r="F406">
            <v>4207.6019000000006</v>
          </cell>
          <cell r="G406">
            <v>472.03140000000002</v>
          </cell>
          <cell r="H406">
            <v>0.3549133333333333</v>
          </cell>
          <cell r="I406">
            <v>0.76513166666666665</v>
          </cell>
          <cell r="J406">
            <v>0.21127166666666666</v>
          </cell>
          <cell r="K406">
            <v>1.0226583333333332</v>
          </cell>
          <cell r="L406">
            <v>2.3374600000000001</v>
          </cell>
          <cell r="M406">
            <v>6.561666666666667E-2</v>
          </cell>
          <cell r="N406">
            <v>0.25882666666666665</v>
          </cell>
          <cell r="O406">
            <v>0.32592499999999996</v>
          </cell>
          <cell r="P406">
            <v>0.13295333333333334</v>
          </cell>
          <cell r="Q406">
            <v>1.3313166666666667</v>
          </cell>
          <cell r="R406">
            <v>4.14344</v>
          </cell>
          <cell r="S406">
            <v>0</v>
          </cell>
          <cell r="T406">
            <v>3.0893333333333328E-2</v>
          </cell>
          <cell r="U406">
            <v>0.47013999999999995</v>
          </cell>
          <cell r="V406">
            <v>5.9757899999999999</v>
          </cell>
        </row>
        <row r="407">
          <cell r="E407" t="str">
            <v>82116-0E430</v>
          </cell>
          <cell r="F407">
            <v>4184.4465</v>
          </cell>
          <cell r="G407">
            <v>472.03140000000002</v>
          </cell>
          <cell r="H407">
            <v>0.35296666666666671</v>
          </cell>
          <cell r="I407">
            <v>0.75603000000000009</v>
          </cell>
          <cell r="J407">
            <v>0.21127166666666666</v>
          </cell>
          <cell r="K407">
            <v>1.0190183333333334</v>
          </cell>
          <cell r="L407">
            <v>2.3350116666666665</v>
          </cell>
          <cell r="M407">
            <v>6.561666666666667E-2</v>
          </cell>
          <cell r="N407">
            <v>0.25874666666666668</v>
          </cell>
          <cell r="O407">
            <v>0.32592499999999996</v>
          </cell>
          <cell r="P407">
            <v>0.13295333333333334</v>
          </cell>
          <cell r="Q407">
            <v>1.3202683333333336</v>
          </cell>
          <cell r="R407">
            <v>4.137271666666666</v>
          </cell>
          <cell r="S407">
            <v>0</v>
          </cell>
          <cell r="T407">
            <v>3.0893333333333328E-2</v>
          </cell>
          <cell r="U407">
            <v>0.47013999999999995</v>
          </cell>
          <cell r="V407">
            <v>5.9585733333333328</v>
          </cell>
        </row>
        <row r="408">
          <cell r="E408" t="str">
            <v>82116-0E450</v>
          </cell>
          <cell r="F408">
            <v>3923.2015999999999</v>
          </cell>
          <cell r="G408">
            <v>453.88189999999997</v>
          </cell>
          <cell r="H408">
            <v>0.33942166666666668</v>
          </cell>
          <cell r="I408">
            <v>0.73483166666666666</v>
          </cell>
          <cell r="J408">
            <v>0.21005500000000002</v>
          </cell>
          <cell r="K408">
            <v>0.96543999999999996</v>
          </cell>
          <cell r="L408">
            <v>2.3160816666666668</v>
          </cell>
          <cell r="M408">
            <v>6.4841666666666659E-2</v>
          </cell>
          <cell r="N408">
            <v>0.25806666666666667</v>
          </cell>
          <cell r="O408">
            <v>0.32882</v>
          </cell>
          <cell r="P408">
            <v>0.13392666666666667</v>
          </cell>
          <cell r="Q408">
            <v>1.2843083333333334</v>
          </cell>
          <cell r="R408">
            <v>4.0671766666666667</v>
          </cell>
          <cell r="S408">
            <v>0</v>
          </cell>
          <cell r="T408">
            <v>3.0893333333333328E-2</v>
          </cell>
          <cell r="U408">
            <v>0.50241333333333327</v>
          </cell>
          <cell r="V408">
            <v>5.8847916666666666</v>
          </cell>
        </row>
        <row r="409">
          <cell r="E409" t="str">
            <v>BC115-0EG80</v>
          </cell>
          <cell r="F409">
            <v>0</v>
          </cell>
          <cell r="G409">
            <v>140.71709999999999</v>
          </cell>
          <cell r="H409">
            <v>3.8583333333333334E-3</v>
          </cell>
          <cell r="I409">
            <v>9.5300000000000003E-3</v>
          </cell>
          <cell r="J409">
            <v>0</v>
          </cell>
          <cell r="K409">
            <v>0</v>
          </cell>
          <cell r="L409">
            <v>3.2116666666666669E-3</v>
          </cell>
          <cell r="M409">
            <v>0</v>
          </cell>
          <cell r="N409">
            <v>0</v>
          </cell>
          <cell r="O409">
            <v>7.7983333333333333E-3</v>
          </cell>
          <cell r="P409">
            <v>4.4816666666666659E-3</v>
          </cell>
          <cell r="Q409">
            <v>1.3388333333333334E-2</v>
          </cell>
          <cell r="R409">
            <v>1.5491666666666667E-2</v>
          </cell>
          <cell r="S409">
            <v>0</v>
          </cell>
          <cell r="T409">
            <v>0</v>
          </cell>
          <cell r="U409">
            <v>0</v>
          </cell>
          <cell r="V409">
            <v>2.8880000000000003E-2</v>
          </cell>
        </row>
        <row r="410">
          <cell r="E410" t="str">
            <v>82115-0EG00</v>
          </cell>
          <cell r="F410">
            <v>4082.4189999999999</v>
          </cell>
          <cell r="G410">
            <v>495.4776</v>
          </cell>
          <cell r="H410">
            <v>0.30841000000000002</v>
          </cell>
          <cell r="I410">
            <v>0.52012499999999995</v>
          </cell>
          <cell r="J410">
            <v>0.12706500000000001</v>
          </cell>
          <cell r="K410">
            <v>0.90759166666666669</v>
          </cell>
          <cell r="L410">
            <v>2.2395216666666666</v>
          </cell>
          <cell r="M410">
            <v>6.362166666666666E-2</v>
          </cell>
          <cell r="N410">
            <v>0.24550666666666665</v>
          </cell>
          <cell r="O410">
            <v>0.311</v>
          </cell>
          <cell r="P410">
            <v>0.132135</v>
          </cell>
          <cell r="Q410">
            <v>0.9556</v>
          </cell>
          <cell r="R410">
            <v>3.8993766666666665</v>
          </cell>
          <cell r="S410">
            <v>0</v>
          </cell>
          <cell r="T410">
            <v>4.2983333333333332E-2</v>
          </cell>
          <cell r="U410">
            <v>0.45014666666666669</v>
          </cell>
          <cell r="V410">
            <v>5.3481066666666663</v>
          </cell>
        </row>
        <row r="411">
          <cell r="E411" t="str">
            <v>82115-0E721</v>
          </cell>
          <cell r="F411">
            <v>4079.8641999999995</v>
          </cell>
          <cell r="G411">
            <v>497.06</v>
          </cell>
          <cell r="H411">
            <v>0.35969500000000004</v>
          </cell>
          <cell r="I411">
            <v>0.73683333333333334</v>
          </cell>
          <cell r="J411">
            <v>0.19871166666666668</v>
          </cell>
          <cell r="K411">
            <v>0.99406666666666665</v>
          </cell>
          <cell r="L411">
            <v>2.3182083333333332</v>
          </cell>
          <cell r="M411">
            <v>6.7456666666666665E-2</v>
          </cell>
          <cell r="N411">
            <v>0.269785</v>
          </cell>
          <cell r="O411">
            <v>0.33772666666666668</v>
          </cell>
          <cell r="P411">
            <v>0.13542333333333334</v>
          </cell>
          <cell r="Q411">
            <v>1.2952399999999999</v>
          </cell>
          <cell r="R411">
            <v>4.1226666666666665</v>
          </cell>
          <cell r="S411">
            <v>0</v>
          </cell>
          <cell r="T411">
            <v>5.0180000000000002E-2</v>
          </cell>
          <cell r="U411">
            <v>0.57030000000000003</v>
          </cell>
          <cell r="V411">
            <v>6.0383866666666659</v>
          </cell>
        </row>
        <row r="412">
          <cell r="E412" t="str">
            <v>82116-0ZX70</v>
          </cell>
          <cell r="F412">
            <v>3004.6570999999999</v>
          </cell>
          <cell r="G412">
            <v>0</v>
          </cell>
          <cell r="H412">
            <v>0.18210000000000001</v>
          </cell>
          <cell r="I412">
            <v>0.12819</v>
          </cell>
          <cell r="J412">
            <v>0.22534833333333332</v>
          </cell>
          <cell r="K412">
            <v>0.51956333333333338</v>
          </cell>
          <cell r="L412">
            <v>1.4393666666666667</v>
          </cell>
          <cell r="M412">
            <v>6.3570000000000002E-2</v>
          </cell>
          <cell r="N412">
            <v>0.16638</v>
          </cell>
          <cell r="O412">
            <v>0.13751833333333333</v>
          </cell>
          <cell r="P412">
            <v>6.2534999999999993E-2</v>
          </cell>
          <cell r="Q412">
            <v>0.53563833333333333</v>
          </cell>
          <cell r="R412">
            <v>2.3889333333333336</v>
          </cell>
          <cell r="S412">
            <v>3.2423333333333339E-2</v>
          </cell>
          <cell r="T412">
            <v>4.6706666666666674E-2</v>
          </cell>
          <cell r="U412">
            <v>0</v>
          </cell>
          <cell r="V412">
            <v>3.0037016666666672</v>
          </cell>
        </row>
        <row r="413">
          <cell r="E413" t="str">
            <v>82115715DB</v>
          </cell>
          <cell r="F413">
            <v>4229.6329999999998</v>
          </cell>
          <cell r="G413">
            <v>496.38679999999999</v>
          </cell>
          <cell r="H413">
            <v>0.35677166666666671</v>
          </cell>
          <cell r="I413">
            <v>0.75748666666666664</v>
          </cell>
          <cell r="J413">
            <v>0.23278666666666667</v>
          </cell>
          <cell r="K413">
            <v>1.0256149999999999</v>
          </cell>
          <cell r="L413">
            <v>2.3337016666666668</v>
          </cell>
          <cell r="M413">
            <v>6.604666666666667E-2</v>
          </cell>
          <cell r="N413">
            <v>0.26593166666666668</v>
          </cell>
          <cell r="O413">
            <v>0.32142166666666666</v>
          </cell>
          <cell r="P413">
            <v>9.6331666666666663E-2</v>
          </cell>
          <cell r="Q413">
            <v>1.347045</v>
          </cell>
          <cell r="R413">
            <v>4.1090483333333339</v>
          </cell>
          <cell r="S413">
            <v>0</v>
          </cell>
          <cell r="T413">
            <v>3.0893333333333328E-2</v>
          </cell>
          <cell r="U413">
            <v>0.49872833333333338</v>
          </cell>
          <cell r="V413">
            <v>5.9857149999999999</v>
          </cell>
        </row>
        <row r="414">
          <cell r="E414">
            <v>5.9857139587402344</v>
          </cell>
          <cell r="F414">
            <v>5.9857139587402344</v>
          </cell>
          <cell r="G414">
            <v>5.9857139587402344</v>
          </cell>
          <cell r="H414">
            <v>5.9857139587402344</v>
          </cell>
          <cell r="I414">
            <v>5.9857139587402344</v>
          </cell>
          <cell r="J414">
            <v>5.9857139587402344</v>
          </cell>
          <cell r="K414">
            <v>5.9857139587402344</v>
          </cell>
          <cell r="L414">
            <v>5.9857139587402344</v>
          </cell>
          <cell r="M414">
            <v>5.9857139587402344</v>
          </cell>
          <cell r="N414">
            <v>5.9857139587402344</v>
          </cell>
          <cell r="O414">
            <v>5.9857139587402344</v>
          </cell>
          <cell r="P414">
            <v>5.9857139587402344</v>
          </cell>
          <cell r="Q414">
            <v>5.9857139587402344</v>
          </cell>
          <cell r="R414">
            <v>5.9857139587402344</v>
          </cell>
          <cell r="S414">
            <v>5.9857139587402344</v>
          </cell>
          <cell r="T414">
            <v>5.9857139587402344</v>
          </cell>
          <cell r="U414">
            <v>5.9857139587402344</v>
          </cell>
          <cell r="V414">
            <v>5.9857139587402344</v>
          </cell>
        </row>
        <row r="415">
          <cell r="E415" t="str">
            <v>73755168</v>
          </cell>
          <cell r="F415">
            <v>9.8521999999999998</v>
          </cell>
          <cell r="G415">
            <v>0</v>
          </cell>
          <cell r="H415">
            <v>3.3449999999999999E-3</v>
          </cell>
          <cell r="I415">
            <v>2.2983333333333335E-2</v>
          </cell>
          <cell r="J415">
            <v>0</v>
          </cell>
          <cell r="K415">
            <v>1.65E-3</v>
          </cell>
          <cell r="L415">
            <v>1.5529999999999999E-2</v>
          </cell>
          <cell r="M415">
            <v>0</v>
          </cell>
          <cell r="N415">
            <v>1.3196666666666666E-2</v>
          </cell>
          <cell r="O415">
            <v>6.4216666666666667E-3</v>
          </cell>
          <cell r="P415">
            <v>3.1650000000000003E-3</v>
          </cell>
          <cell r="Q415">
            <v>2.6328333333333336E-2</v>
          </cell>
          <cell r="R415">
            <v>3.996333333333333E-2</v>
          </cell>
          <cell r="S415">
            <v>0</v>
          </cell>
          <cell r="T415">
            <v>0</v>
          </cell>
          <cell r="U415">
            <v>0</v>
          </cell>
          <cell r="V415">
            <v>6.6291666666666665E-2</v>
          </cell>
        </row>
        <row r="416">
          <cell r="E416" t="str">
            <v>73755169</v>
          </cell>
          <cell r="F416">
            <v>4.8666999999999998</v>
          </cell>
          <cell r="G416">
            <v>0</v>
          </cell>
          <cell r="H416">
            <v>3.0499999999999998E-3</v>
          </cell>
          <cell r="I416">
            <v>2.2983333333333335E-2</v>
          </cell>
          <cell r="J416">
            <v>0</v>
          </cell>
          <cell r="K416">
            <v>1.65E-3</v>
          </cell>
          <cell r="L416">
            <v>1.504E-2</v>
          </cell>
          <cell r="M416">
            <v>0</v>
          </cell>
          <cell r="N416">
            <v>1.3153333333333333E-2</v>
          </cell>
          <cell r="O416">
            <v>5.3449999999999999E-3</v>
          </cell>
          <cell r="P416">
            <v>2.4233333333333333E-3</v>
          </cell>
          <cell r="Q416">
            <v>2.6033333333333335E-2</v>
          </cell>
          <cell r="R416">
            <v>3.7611666666666668E-2</v>
          </cell>
          <cell r="S416">
            <v>0</v>
          </cell>
          <cell r="T416">
            <v>0</v>
          </cell>
          <cell r="U416">
            <v>0</v>
          </cell>
          <cell r="V416">
            <v>6.3645000000000007E-2</v>
          </cell>
        </row>
        <row r="417">
          <cell r="E417" t="str">
            <v>73755171</v>
          </cell>
          <cell r="F417">
            <v>9.8521999999999998</v>
          </cell>
          <cell r="G417">
            <v>0</v>
          </cell>
          <cell r="H417">
            <v>3.3449999999999999E-3</v>
          </cell>
          <cell r="I417">
            <v>2.2983333333333335E-2</v>
          </cell>
          <cell r="J417">
            <v>0</v>
          </cell>
          <cell r="K417">
            <v>1.65E-3</v>
          </cell>
          <cell r="L417">
            <v>1.5529999999999999E-2</v>
          </cell>
          <cell r="M417">
            <v>0</v>
          </cell>
          <cell r="N417">
            <v>1.3196666666666666E-2</v>
          </cell>
          <cell r="O417">
            <v>6.4216666666666667E-3</v>
          </cell>
          <cell r="P417">
            <v>3.1650000000000003E-3</v>
          </cell>
          <cell r="Q417">
            <v>2.6328333333333336E-2</v>
          </cell>
          <cell r="R417">
            <v>3.996333333333333E-2</v>
          </cell>
          <cell r="S417">
            <v>0</v>
          </cell>
          <cell r="T417">
            <v>0</v>
          </cell>
          <cell r="U417">
            <v>0</v>
          </cell>
          <cell r="V417">
            <v>6.6291666666666665E-2</v>
          </cell>
        </row>
        <row r="418">
          <cell r="E418" t="str">
            <v>74750039</v>
          </cell>
          <cell r="F418">
            <v>10.186500000000001</v>
          </cell>
          <cell r="G418">
            <v>0</v>
          </cell>
          <cell r="H418">
            <v>3.3649999999999999E-3</v>
          </cell>
          <cell r="I418">
            <v>2.2983333333333335E-2</v>
          </cell>
          <cell r="J418">
            <v>0</v>
          </cell>
          <cell r="K418">
            <v>1.65E-3</v>
          </cell>
          <cell r="L418">
            <v>1.5563333333333334E-2</v>
          </cell>
          <cell r="M418">
            <v>0</v>
          </cell>
          <cell r="N418">
            <v>1.32E-2</v>
          </cell>
          <cell r="O418">
            <v>6.4933333333333336E-3</v>
          </cell>
          <cell r="P418">
            <v>3.2133333333333332E-3</v>
          </cell>
          <cell r="Q418">
            <v>2.6348333333333335E-2</v>
          </cell>
          <cell r="R418">
            <v>4.0120000000000003E-2</v>
          </cell>
          <cell r="S418">
            <v>0</v>
          </cell>
          <cell r="T418">
            <v>0</v>
          </cell>
          <cell r="U418">
            <v>0</v>
          </cell>
          <cell r="V418">
            <v>6.6468333333333338E-2</v>
          </cell>
        </row>
        <row r="419">
          <cell r="E419" t="str">
            <v>74750040</v>
          </cell>
          <cell r="F419">
            <v>13.4557</v>
          </cell>
          <cell r="G419">
            <v>0</v>
          </cell>
          <cell r="H419">
            <v>3.5583333333333331E-3</v>
          </cell>
          <cell r="I419">
            <v>2.2983333333333335E-2</v>
          </cell>
          <cell r="J419">
            <v>0</v>
          </cell>
          <cell r="K419">
            <v>1.65E-3</v>
          </cell>
          <cell r="L419">
            <v>1.5885E-2</v>
          </cell>
          <cell r="M419">
            <v>0</v>
          </cell>
          <cell r="N419">
            <v>1.3229999999999999E-2</v>
          </cell>
          <cell r="O419">
            <v>7.2033333333333333E-3</v>
          </cell>
          <cell r="P419">
            <v>3.7000000000000002E-3</v>
          </cell>
          <cell r="Q419">
            <v>2.6541666666666668E-2</v>
          </cell>
          <cell r="R419">
            <v>4.1668333333333335E-2</v>
          </cell>
          <cell r="S419">
            <v>0</v>
          </cell>
          <cell r="T419">
            <v>0</v>
          </cell>
          <cell r="U419">
            <v>0</v>
          </cell>
          <cell r="V419">
            <v>6.8210000000000007E-2</v>
          </cell>
        </row>
        <row r="420">
          <cell r="E420" t="str">
            <v>74750041</v>
          </cell>
          <cell r="F420">
            <v>10.1494</v>
          </cell>
          <cell r="G420">
            <v>0</v>
          </cell>
          <cell r="H420">
            <v>3.3633333333333336E-3</v>
          </cell>
          <cell r="I420">
            <v>2.2983333333333335E-2</v>
          </cell>
          <cell r="J420">
            <v>0</v>
          </cell>
          <cell r="K420">
            <v>1.65E-3</v>
          </cell>
          <cell r="L420">
            <v>1.5558333333333334E-2</v>
          </cell>
          <cell r="M420">
            <v>0</v>
          </cell>
          <cell r="N420">
            <v>1.32E-2</v>
          </cell>
          <cell r="O420">
            <v>6.4883333333333329E-3</v>
          </cell>
          <cell r="P420">
            <v>3.2099999999999997E-3</v>
          </cell>
          <cell r="Q420">
            <v>2.6346666666666668E-2</v>
          </cell>
          <cell r="R420">
            <v>4.0106666666666665E-2</v>
          </cell>
          <cell r="S420">
            <v>0</v>
          </cell>
          <cell r="T420">
            <v>0</v>
          </cell>
          <cell r="U420">
            <v>0</v>
          </cell>
          <cell r="V420">
            <v>6.6453333333333336E-2</v>
          </cell>
        </row>
        <row r="421">
          <cell r="E421" t="str">
            <v>74750042</v>
          </cell>
          <cell r="F421">
            <v>5.1712999999999996</v>
          </cell>
          <cell r="G421">
            <v>0</v>
          </cell>
          <cell r="H421">
            <v>3.0683333333333335E-3</v>
          </cell>
          <cell r="I421">
            <v>2.2983333333333335E-2</v>
          </cell>
          <cell r="J421">
            <v>0</v>
          </cell>
          <cell r="K421">
            <v>1.65E-3</v>
          </cell>
          <cell r="L421">
            <v>1.507E-2</v>
          </cell>
          <cell r="M421">
            <v>0</v>
          </cell>
          <cell r="N421">
            <v>1.3155E-2</v>
          </cell>
          <cell r="O421">
            <v>5.4099999999999999E-3</v>
          </cell>
          <cell r="P421">
            <v>2.47E-3</v>
          </cell>
          <cell r="Q421">
            <v>2.6051666666666667E-2</v>
          </cell>
          <cell r="R421">
            <v>3.7754999999999997E-2</v>
          </cell>
          <cell r="S421">
            <v>0</v>
          </cell>
          <cell r="T421">
            <v>0</v>
          </cell>
          <cell r="U421">
            <v>0</v>
          </cell>
          <cell r="V421">
            <v>6.3806666666666664E-2</v>
          </cell>
        </row>
        <row r="422">
          <cell r="E422" t="str">
            <v>74750043</v>
          </cell>
          <cell r="F422">
            <v>9.4657999999999998</v>
          </cell>
          <cell r="G422">
            <v>0</v>
          </cell>
          <cell r="H422">
            <v>3.3216666666666668E-3</v>
          </cell>
          <cell r="I422">
            <v>2.2983333333333335E-2</v>
          </cell>
          <cell r="J422">
            <v>0</v>
          </cell>
          <cell r="K422">
            <v>1.65E-3</v>
          </cell>
          <cell r="L422">
            <v>1.5491666666666666E-2</v>
          </cell>
          <cell r="M422">
            <v>0</v>
          </cell>
          <cell r="N422">
            <v>1.3193333333333333E-2</v>
          </cell>
          <cell r="O422">
            <v>6.3383333333333338E-3</v>
          </cell>
          <cell r="P422">
            <v>3.1083333333333332E-3</v>
          </cell>
          <cell r="Q422">
            <v>2.6305000000000002E-2</v>
          </cell>
          <cell r="R422">
            <v>3.9781666666666667E-2</v>
          </cell>
          <cell r="S422">
            <v>0</v>
          </cell>
          <cell r="T422">
            <v>0</v>
          </cell>
          <cell r="U422">
            <v>0</v>
          </cell>
          <cell r="V422">
            <v>6.6086666666666669E-2</v>
          </cell>
        </row>
        <row r="423">
          <cell r="E423" t="str">
            <v>74757416</v>
          </cell>
          <cell r="F423">
            <v>24.727</v>
          </cell>
          <cell r="G423">
            <v>0</v>
          </cell>
          <cell r="H423">
            <v>9.75E-3</v>
          </cell>
          <cell r="I423">
            <v>7.911E-2</v>
          </cell>
          <cell r="J423">
            <v>0</v>
          </cell>
          <cell r="K423">
            <v>1.694E-2</v>
          </cell>
          <cell r="L423">
            <v>1.4043333333333333E-2</v>
          </cell>
          <cell r="M423">
            <v>0</v>
          </cell>
          <cell r="N423">
            <v>1.2263333333333333E-2</v>
          </cell>
          <cell r="O423">
            <v>9.4833333333333332E-3</v>
          </cell>
          <cell r="P423">
            <v>5.4516666666666663E-3</v>
          </cell>
          <cell r="Q423">
            <v>8.8859999999999995E-2</v>
          </cell>
          <cell r="R423">
            <v>5.8181666666666666E-2</v>
          </cell>
          <cell r="S423">
            <v>0</v>
          </cell>
          <cell r="T423">
            <v>0</v>
          </cell>
          <cell r="U423">
            <v>0</v>
          </cell>
          <cell r="V423">
            <v>0.14704166666666665</v>
          </cell>
        </row>
        <row r="424">
          <cell r="E424" t="str">
            <v>74757417</v>
          </cell>
          <cell r="F424">
            <v>16.1751</v>
          </cell>
          <cell r="G424">
            <v>0</v>
          </cell>
          <cell r="H424">
            <v>6.4816666666666668E-3</v>
          </cell>
          <cell r="I424">
            <v>5.2740000000000002E-2</v>
          </cell>
          <cell r="J424">
            <v>0</v>
          </cell>
          <cell r="K424">
            <v>1.1293333333333332E-2</v>
          </cell>
          <cell r="L424">
            <v>1.0943333333333333E-2</v>
          </cell>
          <cell r="M424">
            <v>0</v>
          </cell>
          <cell r="N424">
            <v>1.1456666666666667E-2</v>
          </cell>
          <cell r="O424">
            <v>7.4900000000000001E-3</v>
          </cell>
          <cell r="P424">
            <v>4.0833333333333329E-3</v>
          </cell>
          <cell r="Q424">
            <v>5.9221666666666672E-2</v>
          </cell>
          <cell r="R424">
            <v>4.526666666666667E-2</v>
          </cell>
          <cell r="S424">
            <v>0</v>
          </cell>
          <cell r="T424">
            <v>0</v>
          </cell>
          <cell r="U424">
            <v>0</v>
          </cell>
          <cell r="V424">
            <v>0.10448833333333335</v>
          </cell>
        </row>
        <row r="425">
          <cell r="E425" t="str">
            <v>74757567</v>
          </cell>
          <cell r="F425">
            <v>25.5443</v>
          </cell>
          <cell r="G425">
            <v>0</v>
          </cell>
          <cell r="H425">
            <v>9.7983333333333325E-3</v>
          </cell>
          <cell r="I425">
            <v>7.911E-2</v>
          </cell>
          <cell r="J425">
            <v>0</v>
          </cell>
          <cell r="K425">
            <v>1.694E-2</v>
          </cell>
          <cell r="L425">
            <v>1.5664999999999998E-2</v>
          </cell>
          <cell r="M425">
            <v>0</v>
          </cell>
          <cell r="N425">
            <v>1.2271666666666665E-2</v>
          </cell>
          <cell r="O425">
            <v>9.6616666666666674E-3</v>
          </cell>
          <cell r="P425">
            <v>5.5733333333333329E-3</v>
          </cell>
          <cell r="Q425">
            <v>8.8908333333333339E-2</v>
          </cell>
          <cell r="R425">
            <v>6.011166666666666E-2</v>
          </cell>
          <cell r="S425">
            <v>0</v>
          </cell>
          <cell r="T425">
            <v>0</v>
          </cell>
          <cell r="U425">
            <v>0</v>
          </cell>
          <cell r="V425">
            <v>0.14901999999999999</v>
          </cell>
        </row>
        <row r="426">
          <cell r="E426" t="str">
            <v>74757568</v>
          </cell>
          <cell r="F426">
            <v>17.5199</v>
          </cell>
          <cell r="G426">
            <v>0</v>
          </cell>
          <cell r="H426">
            <v>6.5599999999999999E-3</v>
          </cell>
          <cell r="I426">
            <v>5.2740000000000002E-2</v>
          </cell>
          <cell r="J426">
            <v>0</v>
          </cell>
          <cell r="K426">
            <v>1.1293333333333332E-2</v>
          </cell>
          <cell r="L426">
            <v>1.2614999999999999E-2</v>
          </cell>
          <cell r="M426">
            <v>0</v>
          </cell>
          <cell r="N426">
            <v>1.1468333333333334E-2</v>
          </cell>
          <cell r="O426">
            <v>7.7799999999999996E-3</v>
          </cell>
          <cell r="P426">
            <v>4.2833333333333334E-3</v>
          </cell>
          <cell r="Q426">
            <v>5.9300000000000005E-2</v>
          </cell>
          <cell r="R426">
            <v>4.7440000000000003E-2</v>
          </cell>
          <cell r="S426">
            <v>0</v>
          </cell>
          <cell r="T426">
            <v>0</v>
          </cell>
          <cell r="U426">
            <v>0</v>
          </cell>
          <cell r="V426">
            <v>0.10674</v>
          </cell>
        </row>
        <row r="427">
          <cell r="E427">
            <v>0.10673999786376953</v>
          </cell>
          <cell r="F427">
            <v>0.10673999786376953</v>
          </cell>
          <cell r="G427">
            <v>0.10673999786376953</v>
          </cell>
          <cell r="H427">
            <v>0.10673999786376953</v>
          </cell>
          <cell r="I427">
            <v>0.10673999786376953</v>
          </cell>
          <cell r="J427">
            <v>0.10673999786376953</v>
          </cell>
          <cell r="K427">
            <v>0.10673999786376953</v>
          </cell>
          <cell r="L427">
            <v>0.10673999786376953</v>
          </cell>
          <cell r="M427">
            <v>0.10673999786376953</v>
          </cell>
          <cell r="N427">
            <v>0.10673999786376953</v>
          </cell>
          <cell r="O427">
            <v>0.10673999786376953</v>
          </cell>
          <cell r="P427">
            <v>0.10673999786376953</v>
          </cell>
          <cell r="Q427">
            <v>0.10673999786376953</v>
          </cell>
          <cell r="R427">
            <v>0.10673999786376953</v>
          </cell>
          <cell r="S427">
            <v>0.10673999786376953</v>
          </cell>
          <cell r="T427">
            <v>0.10673999786376953</v>
          </cell>
          <cell r="U427">
            <v>0.10673999786376953</v>
          </cell>
          <cell r="V427">
            <v>0.10673999786376953</v>
          </cell>
        </row>
        <row r="428">
          <cell r="E428">
            <v>0.10673999786376953</v>
          </cell>
          <cell r="F428">
            <v>0.10673999786376953</v>
          </cell>
          <cell r="G428">
            <v>0.10673999786376953</v>
          </cell>
          <cell r="H428">
            <v>0.10673999786376953</v>
          </cell>
          <cell r="I428">
            <v>0.10673999786376953</v>
          </cell>
          <cell r="J428">
            <v>0.10673999786376953</v>
          </cell>
          <cell r="K428">
            <v>0.10673999786376953</v>
          </cell>
          <cell r="L428">
            <v>0.10673999786376953</v>
          </cell>
          <cell r="M428">
            <v>0.10673999786376953</v>
          </cell>
          <cell r="N428">
            <v>0.10673999786376953</v>
          </cell>
          <cell r="O428">
            <v>0.10673999786376953</v>
          </cell>
          <cell r="P428">
            <v>0.10673999786376953</v>
          </cell>
          <cell r="Q428">
            <v>0.10673999786376953</v>
          </cell>
          <cell r="R428">
            <v>0.10673999786376953</v>
          </cell>
          <cell r="S428">
            <v>0.10673999786376953</v>
          </cell>
          <cell r="T428">
            <v>0.10673999786376953</v>
          </cell>
          <cell r="U428">
            <v>0.10673999786376953</v>
          </cell>
          <cell r="V428">
            <v>0.10673999786376953</v>
          </cell>
        </row>
        <row r="429">
          <cell r="E429">
            <v>0.10673999786376953</v>
          </cell>
          <cell r="F429">
            <v>0.10673999786376953</v>
          </cell>
          <cell r="G429">
            <v>0.10673999786376953</v>
          </cell>
          <cell r="H429">
            <v>0.10673999786376953</v>
          </cell>
          <cell r="I429">
            <v>0.10673999786376953</v>
          </cell>
          <cell r="J429">
            <v>0.10673999786376953</v>
          </cell>
          <cell r="K429">
            <v>0.10673999786376953</v>
          </cell>
          <cell r="L429">
            <v>0.10673999786376953</v>
          </cell>
          <cell r="M429">
            <v>0.10673999786376953</v>
          </cell>
          <cell r="N429">
            <v>0.10673999786376953</v>
          </cell>
          <cell r="O429">
            <v>0.10673999786376953</v>
          </cell>
          <cell r="P429">
            <v>0.10673999786376953</v>
          </cell>
          <cell r="Q429">
            <v>0.10673999786376953</v>
          </cell>
          <cell r="R429">
            <v>0.10673999786376953</v>
          </cell>
          <cell r="S429">
            <v>0.10673999786376953</v>
          </cell>
          <cell r="T429">
            <v>0.10673999786376953</v>
          </cell>
          <cell r="U429">
            <v>0.10673999786376953</v>
          </cell>
          <cell r="V429">
            <v>0.10673999786376953</v>
          </cell>
        </row>
        <row r="430">
          <cell r="E430">
            <v>0.10673999786376953</v>
          </cell>
          <cell r="F430">
            <v>0.10673999786376953</v>
          </cell>
          <cell r="G430">
            <v>0.10673999786376953</v>
          </cell>
          <cell r="H430">
            <v>0.10673999786376953</v>
          </cell>
          <cell r="I430">
            <v>0.10673999786376953</v>
          </cell>
          <cell r="J430">
            <v>0.10673999786376953</v>
          </cell>
          <cell r="K430">
            <v>0.10673999786376953</v>
          </cell>
          <cell r="L430">
            <v>0.10673999786376953</v>
          </cell>
          <cell r="M430">
            <v>0.10673999786376953</v>
          </cell>
          <cell r="N430">
            <v>0.10673999786376953</v>
          </cell>
          <cell r="O430">
            <v>0.10673999786376953</v>
          </cell>
          <cell r="P430">
            <v>0.10673999786376953</v>
          </cell>
          <cell r="Q430">
            <v>0.10673999786376953</v>
          </cell>
          <cell r="R430">
            <v>0.10673999786376953</v>
          </cell>
          <cell r="S430">
            <v>0.10673999786376953</v>
          </cell>
          <cell r="T430">
            <v>0.10673999786376953</v>
          </cell>
          <cell r="U430">
            <v>0.10673999786376953</v>
          </cell>
          <cell r="V430">
            <v>0.10673999786376953</v>
          </cell>
        </row>
        <row r="431">
          <cell r="E431">
            <v>0.10673999786376953</v>
          </cell>
          <cell r="F431">
            <v>0.10673999786376953</v>
          </cell>
          <cell r="G431">
            <v>0.10673999786376953</v>
          </cell>
          <cell r="H431">
            <v>0.10673999786376953</v>
          </cell>
          <cell r="I431">
            <v>0.10673999786376953</v>
          </cell>
          <cell r="J431">
            <v>0.10673999786376953</v>
          </cell>
          <cell r="K431">
            <v>0.10673999786376953</v>
          </cell>
          <cell r="L431">
            <v>0.10673999786376953</v>
          </cell>
          <cell r="M431">
            <v>0.10673999786376953</v>
          </cell>
          <cell r="N431">
            <v>0.10673999786376953</v>
          </cell>
          <cell r="O431">
            <v>0.10673999786376953</v>
          </cell>
          <cell r="P431">
            <v>0.10673999786376953</v>
          </cell>
          <cell r="Q431">
            <v>0.10673999786376953</v>
          </cell>
          <cell r="R431">
            <v>0.10673999786376953</v>
          </cell>
          <cell r="S431">
            <v>0.10673999786376953</v>
          </cell>
          <cell r="T431">
            <v>0.10673999786376953</v>
          </cell>
          <cell r="U431">
            <v>0.10673999786376953</v>
          </cell>
          <cell r="V431">
            <v>0.10673999786376953</v>
          </cell>
        </row>
        <row r="432">
          <cell r="E432">
            <v>0.10673999786376953</v>
          </cell>
          <cell r="F432">
            <v>0.10673999786376953</v>
          </cell>
          <cell r="G432">
            <v>0.10673999786376953</v>
          </cell>
          <cell r="H432">
            <v>0.10673999786376953</v>
          </cell>
          <cell r="I432">
            <v>0.10673999786376953</v>
          </cell>
          <cell r="J432">
            <v>0.10673999786376953</v>
          </cell>
          <cell r="K432">
            <v>0.10673999786376953</v>
          </cell>
          <cell r="L432">
            <v>0.10673999786376953</v>
          </cell>
          <cell r="M432">
            <v>0.10673999786376953</v>
          </cell>
          <cell r="N432">
            <v>0.10673999786376953</v>
          </cell>
          <cell r="O432">
            <v>0.10673999786376953</v>
          </cell>
          <cell r="P432">
            <v>0.10673999786376953</v>
          </cell>
          <cell r="Q432">
            <v>0.10673999786376953</v>
          </cell>
          <cell r="R432">
            <v>0.10673999786376953</v>
          </cell>
          <cell r="S432">
            <v>0.10673999786376953</v>
          </cell>
          <cell r="T432">
            <v>0.10673999786376953</v>
          </cell>
          <cell r="U432">
            <v>0.10673999786376953</v>
          </cell>
          <cell r="V432">
            <v>0.10673999786376953</v>
          </cell>
        </row>
        <row r="433">
          <cell r="E433">
            <v>0.10673999786376953</v>
          </cell>
          <cell r="F433">
            <v>0.10673999786376953</v>
          </cell>
          <cell r="G433">
            <v>0.10673999786376953</v>
          </cell>
          <cell r="H433">
            <v>0.10673999786376953</v>
          </cell>
          <cell r="I433">
            <v>0.10673999786376953</v>
          </cell>
          <cell r="J433">
            <v>0.10673999786376953</v>
          </cell>
          <cell r="K433">
            <v>0.10673999786376953</v>
          </cell>
          <cell r="L433">
            <v>0.10673999786376953</v>
          </cell>
          <cell r="M433">
            <v>0.10673999786376953</v>
          </cell>
          <cell r="N433">
            <v>0.10673999786376953</v>
          </cell>
          <cell r="O433">
            <v>0.10673999786376953</v>
          </cell>
          <cell r="P433">
            <v>0.10673999786376953</v>
          </cell>
          <cell r="Q433">
            <v>0.10673999786376953</v>
          </cell>
          <cell r="R433">
            <v>0.10673999786376953</v>
          </cell>
          <cell r="S433">
            <v>0.10673999786376953</v>
          </cell>
          <cell r="T433">
            <v>0.10673999786376953</v>
          </cell>
          <cell r="U433">
            <v>0.10673999786376953</v>
          </cell>
          <cell r="V433">
            <v>0.10673999786376953</v>
          </cell>
        </row>
        <row r="434">
          <cell r="E434">
            <v>0.10673999786376953</v>
          </cell>
          <cell r="F434">
            <v>0.10673999786376953</v>
          </cell>
          <cell r="G434">
            <v>0.10673999786376953</v>
          </cell>
          <cell r="H434">
            <v>0.10673999786376953</v>
          </cell>
          <cell r="I434">
            <v>0.10673999786376953</v>
          </cell>
          <cell r="J434">
            <v>0.10673999786376953</v>
          </cell>
          <cell r="K434">
            <v>0.10673999786376953</v>
          </cell>
          <cell r="L434">
            <v>0.10673999786376953</v>
          </cell>
          <cell r="M434">
            <v>0.10673999786376953</v>
          </cell>
          <cell r="N434">
            <v>0.10673999786376953</v>
          </cell>
          <cell r="O434">
            <v>0.10673999786376953</v>
          </cell>
          <cell r="P434">
            <v>0.10673999786376953</v>
          </cell>
          <cell r="Q434">
            <v>0.10673999786376953</v>
          </cell>
          <cell r="R434">
            <v>0.10673999786376953</v>
          </cell>
          <cell r="S434">
            <v>0.10673999786376953</v>
          </cell>
          <cell r="T434">
            <v>0.10673999786376953</v>
          </cell>
          <cell r="U434">
            <v>0.10673999786376953</v>
          </cell>
          <cell r="V434">
            <v>0.10673999786376953</v>
          </cell>
        </row>
        <row r="435">
          <cell r="E435">
            <v>0.10673999786376953</v>
          </cell>
          <cell r="F435">
            <v>0.10673999786376953</v>
          </cell>
          <cell r="G435">
            <v>0.10673999786376953</v>
          </cell>
          <cell r="H435">
            <v>0.10673999786376953</v>
          </cell>
          <cell r="I435">
            <v>0.10673999786376953</v>
          </cell>
          <cell r="J435">
            <v>0.10673999786376953</v>
          </cell>
          <cell r="K435">
            <v>0.10673999786376953</v>
          </cell>
          <cell r="L435">
            <v>0.10673999786376953</v>
          </cell>
          <cell r="M435">
            <v>0.10673999786376953</v>
          </cell>
          <cell r="N435">
            <v>0.10673999786376953</v>
          </cell>
          <cell r="O435">
            <v>0.10673999786376953</v>
          </cell>
          <cell r="P435">
            <v>0.10673999786376953</v>
          </cell>
          <cell r="Q435">
            <v>0.10673999786376953</v>
          </cell>
          <cell r="R435">
            <v>0.10673999786376953</v>
          </cell>
          <cell r="S435">
            <v>0.10673999786376953</v>
          </cell>
          <cell r="T435">
            <v>0.10673999786376953</v>
          </cell>
          <cell r="U435">
            <v>0.10673999786376953</v>
          </cell>
          <cell r="V435">
            <v>0.10673999786376953</v>
          </cell>
        </row>
        <row r="436">
          <cell r="E436">
            <v>0.10673999786376953</v>
          </cell>
          <cell r="F436">
            <v>0.10673999786376953</v>
          </cell>
          <cell r="G436">
            <v>0.10673999786376953</v>
          </cell>
          <cell r="H436">
            <v>0.10673999786376953</v>
          </cell>
          <cell r="I436">
            <v>0.10673999786376953</v>
          </cell>
          <cell r="J436">
            <v>0.10673999786376953</v>
          </cell>
          <cell r="K436">
            <v>0.10673999786376953</v>
          </cell>
          <cell r="L436">
            <v>0.10673999786376953</v>
          </cell>
          <cell r="M436">
            <v>0.10673999786376953</v>
          </cell>
          <cell r="N436">
            <v>0.10673999786376953</v>
          </cell>
          <cell r="O436">
            <v>0.10673999786376953</v>
          </cell>
          <cell r="P436">
            <v>0.10673999786376953</v>
          </cell>
          <cell r="Q436">
            <v>0.10673999786376953</v>
          </cell>
          <cell r="R436">
            <v>0.10673999786376953</v>
          </cell>
          <cell r="S436">
            <v>0.10673999786376953</v>
          </cell>
          <cell r="T436">
            <v>0.10673999786376953</v>
          </cell>
          <cell r="U436">
            <v>0.10673999786376953</v>
          </cell>
          <cell r="V436">
            <v>0.10673999786376953</v>
          </cell>
        </row>
        <row r="437">
          <cell r="E437">
            <v>0.10673999786376953</v>
          </cell>
          <cell r="F437">
            <v>0.10673999786376953</v>
          </cell>
          <cell r="G437">
            <v>0.10673999786376953</v>
          </cell>
          <cell r="H437">
            <v>0.10673999786376953</v>
          </cell>
          <cell r="I437">
            <v>0.10673999786376953</v>
          </cell>
          <cell r="J437">
            <v>0.10673999786376953</v>
          </cell>
          <cell r="K437">
            <v>0.10673999786376953</v>
          </cell>
          <cell r="L437">
            <v>0.10673999786376953</v>
          </cell>
          <cell r="M437">
            <v>0.10673999786376953</v>
          </cell>
          <cell r="N437">
            <v>0.10673999786376953</v>
          </cell>
          <cell r="O437">
            <v>0.10673999786376953</v>
          </cell>
          <cell r="P437">
            <v>0.10673999786376953</v>
          </cell>
          <cell r="Q437">
            <v>0.10673999786376953</v>
          </cell>
          <cell r="R437">
            <v>0.10673999786376953</v>
          </cell>
          <cell r="S437">
            <v>0.10673999786376953</v>
          </cell>
          <cell r="T437">
            <v>0.10673999786376953</v>
          </cell>
          <cell r="U437">
            <v>0.10673999786376953</v>
          </cell>
          <cell r="V437">
            <v>0.10673999786376953</v>
          </cell>
        </row>
        <row r="438">
          <cell r="E438">
            <v>0.10673999786376953</v>
          </cell>
          <cell r="F438">
            <v>0.10673999786376953</v>
          </cell>
          <cell r="G438">
            <v>0.10673999786376953</v>
          </cell>
          <cell r="H438">
            <v>0.10673999786376953</v>
          </cell>
          <cell r="I438">
            <v>0.10673999786376953</v>
          </cell>
          <cell r="J438">
            <v>0.10673999786376953</v>
          </cell>
          <cell r="K438">
            <v>0.10673999786376953</v>
          </cell>
          <cell r="L438">
            <v>0.10673999786376953</v>
          </cell>
          <cell r="M438">
            <v>0.10673999786376953</v>
          </cell>
          <cell r="N438">
            <v>0.10673999786376953</v>
          </cell>
          <cell r="O438">
            <v>0.10673999786376953</v>
          </cell>
          <cell r="P438">
            <v>0.10673999786376953</v>
          </cell>
          <cell r="Q438">
            <v>0.10673999786376953</v>
          </cell>
          <cell r="R438">
            <v>0.10673999786376953</v>
          </cell>
          <cell r="S438">
            <v>0.10673999786376953</v>
          </cell>
          <cell r="T438">
            <v>0.10673999786376953</v>
          </cell>
          <cell r="U438">
            <v>0.10673999786376953</v>
          </cell>
          <cell r="V438">
            <v>0.10673999786376953</v>
          </cell>
        </row>
        <row r="439">
          <cell r="E439">
            <v>0.10673999786376953</v>
          </cell>
          <cell r="F439">
            <v>0.10673999786376953</v>
          </cell>
          <cell r="G439">
            <v>0.10673999786376953</v>
          </cell>
          <cell r="H439">
            <v>0.10673999786376953</v>
          </cell>
          <cell r="I439">
            <v>0.10673999786376953</v>
          </cell>
          <cell r="J439">
            <v>0.10673999786376953</v>
          </cell>
          <cell r="K439">
            <v>0.10673999786376953</v>
          </cell>
          <cell r="L439">
            <v>0.10673999786376953</v>
          </cell>
          <cell r="M439">
            <v>0.10673999786376953</v>
          </cell>
          <cell r="N439">
            <v>0.10673999786376953</v>
          </cell>
          <cell r="O439">
            <v>0.10673999786376953</v>
          </cell>
          <cell r="P439">
            <v>0.10673999786376953</v>
          </cell>
          <cell r="Q439">
            <v>0.10673999786376953</v>
          </cell>
          <cell r="R439">
            <v>0.10673999786376953</v>
          </cell>
          <cell r="S439">
            <v>0.10673999786376953</v>
          </cell>
          <cell r="T439">
            <v>0.10673999786376953</v>
          </cell>
          <cell r="U439">
            <v>0.10673999786376953</v>
          </cell>
          <cell r="V439">
            <v>0.10673999786376953</v>
          </cell>
        </row>
        <row r="440">
          <cell r="E440">
            <v>0.10673999786376953</v>
          </cell>
          <cell r="F440">
            <v>0.10673999786376953</v>
          </cell>
          <cell r="G440">
            <v>0.10673999786376953</v>
          </cell>
          <cell r="H440">
            <v>0.10673999786376953</v>
          </cell>
          <cell r="I440">
            <v>0.10673999786376953</v>
          </cell>
          <cell r="J440">
            <v>0.10673999786376953</v>
          </cell>
          <cell r="K440">
            <v>0.10673999786376953</v>
          </cell>
          <cell r="L440">
            <v>0.10673999786376953</v>
          </cell>
          <cell r="M440">
            <v>0.10673999786376953</v>
          </cell>
          <cell r="N440">
            <v>0.10673999786376953</v>
          </cell>
          <cell r="O440">
            <v>0.10673999786376953</v>
          </cell>
          <cell r="P440">
            <v>0.10673999786376953</v>
          </cell>
          <cell r="Q440">
            <v>0.10673999786376953</v>
          </cell>
          <cell r="R440">
            <v>0.10673999786376953</v>
          </cell>
          <cell r="S440">
            <v>0.10673999786376953</v>
          </cell>
          <cell r="T440">
            <v>0.10673999786376953</v>
          </cell>
          <cell r="U440">
            <v>0.10673999786376953</v>
          </cell>
          <cell r="V440">
            <v>0.10673999786376953</v>
          </cell>
        </row>
        <row r="441">
          <cell r="E441">
            <v>0.10673999786376953</v>
          </cell>
          <cell r="F441">
            <v>0.10673999786376953</v>
          </cell>
          <cell r="G441">
            <v>0.10673999786376953</v>
          </cell>
          <cell r="H441">
            <v>0.10673999786376953</v>
          </cell>
          <cell r="I441">
            <v>0.10673999786376953</v>
          </cell>
          <cell r="J441">
            <v>0.10673999786376953</v>
          </cell>
          <cell r="K441">
            <v>0.10673999786376953</v>
          </cell>
          <cell r="L441">
            <v>0.10673999786376953</v>
          </cell>
          <cell r="M441">
            <v>0.10673999786376953</v>
          </cell>
          <cell r="N441">
            <v>0.10673999786376953</v>
          </cell>
          <cell r="O441">
            <v>0.10673999786376953</v>
          </cell>
          <cell r="P441">
            <v>0.10673999786376953</v>
          </cell>
          <cell r="Q441">
            <v>0.10673999786376953</v>
          </cell>
          <cell r="R441">
            <v>0.10673999786376953</v>
          </cell>
          <cell r="S441">
            <v>0.10673999786376953</v>
          </cell>
          <cell r="T441">
            <v>0.10673999786376953</v>
          </cell>
          <cell r="U441">
            <v>0.10673999786376953</v>
          </cell>
          <cell r="V441">
            <v>0.10673999786376953</v>
          </cell>
        </row>
        <row r="442">
          <cell r="E442">
            <v>0.10673999786376953</v>
          </cell>
          <cell r="F442">
            <v>0.10673999786376953</v>
          </cell>
          <cell r="G442">
            <v>0.10673999786376953</v>
          </cell>
          <cell r="H442">
            <v>0.10673999786376953</v>
          </cell>
          <cell r="I442">
            <v>0.10673999786376953</v>
          </cell>
          <cell r="J442">
            <v>0.10673999786376953</v>
          </cell>
          <cell r="K442">
            <v>0.10673999786376953</v>
          </cell>
          <cell r="L442">
            <v>0.10673999786376953</v>
          </cell>
          <cell r="M442">
            <v>0.10673999786376953</v>
          </cell>
          <cell r="N442">
            <v>0.10673999786376953</v>
          </cell>
          <cell r="O442">
            <v>0.10673999786376953</v>
          </cell>
          <cell r="P442">
            <v>0.10673999786376953</v>
          </cell>
          <cell r="Q442">
            <v>0.10673999786376953</v>
          </cell>
          <cell r="R442">
            <v>0.10673999786376953</v>
          </cell>
          <cell r="S442">
            <v>0.10673999786376953</v>
          </cell>
          <cell r="T442">
            <v>0.10673999786376953</v>
          </cell>
          <cell r="U442">
            <v>0.10673999786376953</v>
          </cell>
          <cell r="V442">
            <v>0.10673999786376953</v>
          </cell>
        </row>
        <row r="443">
          <cell r="E443">
            <v>0.10673999786376953</v>
          </cell>
          <cell r="F443">
            <v>0.10673999786376953</v>
          </cell>
          <cell r="G443">
            <v>0.10673999786376953</v>
          </cell>
          <cell r="H443">
            <v>0.10673999786376953</v>
          </cell>
          <cell r="I443">
            <v>0.10673999786376953</v>
          </cell>
          <cell r="J443">
            <v>0.10673999786376953</v>
          </cell>
          <cell r="K443">
            <v>0.10673999786376953</v>
          </cell>
          <cell r="L443">
            <v>0.10673999786376953</v>
          </cell>
          <cell r="M443">
            <v>0.10673999786376953</v>
          </cell>
          <cell r="N443">
            <v>0.10673999786376953</v>
          </cell>
          <cell r="O443">
            <v>0.10673999786376953</v>
          </cell>
          <cell r="P443">
            <v>0.10673999786376953</v>
          </cell>
          <cell r="Q443">
            <v>0.10673999786376953</v>
          </cell>
          <cell r="R443">
            <v>0.10673999786376953</v>
          </cell>
          <cell r="S443">
            <v>0.10673999786376953</v>
          </cell>
          <cell r="T443">
            <v>0.10673999786376953</v>
          </cell>
          <cell r="U443">
            <v>0.10673999786376953</v>
          </cell>
          <cell r="V443">
            <v>0.10673999786376953</v>
          </cell>
        </row>
        <row r="444">
          <cell r="E444">
            <v>0.10673999786376953</v>
          </cell>
          <cell r="F444">
            <v>0.10673999786376953</v>
          </cell>
          <cell r="G444">
            <v>0.10673999786376953</v>
          </cell>
          <cell r="H444">
            <v>0.10673999786376953</v>
          </cell>
          <cell r="I444">
            <v>0.10673999786376953</v>
          </cell>
          <cell r="J444">
            <v>0.10673999786376953</v>
          </cell>
          <cell r="K444">
            <v>0.10673999786376953</v>
          </cell>
          <cell r="L444">
            <v>0.10673999786376953</v>
          </cell>
          <cell r="M444">
            <v>0.10673999786376953</v>
          </cell>
          <cell r="N444">
            <v>0.10673999786376953</v>
          </cell>
          <cell r="O444">
            <v>0.10673999786376953</v>
          </cell>
          <cell r="P444">
            <v>0.10673999786376953</v>
          </cell>
          <cell r="Q444">
            <v>0.10673999786376953</v>
          </cell>
          <cell r="R444">
            <v>0.10673999786376953</v>
          </cell>
          <cell r="S444">
            <v>0.10673999786376953</v>
          </cell>
          <cell r="T444">
            <v>0.10673999786376953</v>
          </cell>
          <cell r="U444">
            <v>0.10673999786376953</v>
          </cell>
          <cell r="V444">
            <v>0.10673999786376953</v>
          </cell>
        </row>
        <row r="445">
          <cell r="E445">
            <v>0.10673999786376953</v>
          </cell>
          <cell r="F445">
            <v>0.10673999786376953</v>
          </cell>
          <cell r="G445">
            <v>0.10673999786376953</v>
          </cell>
          <cell r="H445">
            <v>0.10673999786376953</v>
          </cell>
          <cell r="I445">
            <v>0.10673999786376953</v>
          </cell>
          <cell r="J445">
            <v>0.10673999786376953</v>
          </cell>
          <cell r="K445">
            <v>0.10673999786376953</v>
          </cell>
          <cell r="L445">
            <v>0.10673999786376953</v>
          </cell>
          <cell r="M445">
            <v>0.10673999786376953</v>
          </cell>
          <cell r="N445">
            <v>0.10673999786376953</v>
          </cell>
          <cell r="O445">
            <v>0.10673999786376953</v>
          </cell>
          <cell r="P445">
            <v>0.10673999786376953</v>
          </cell>
          <cell r="Q445">
            <v>0.10673999786376953</v>
          </cell>
          <cell r="R445">
            <v>0.10673999786376953</v>
          </cell>
          <cell r="S445">
            <v>0.10673999786376953</v>
          </cell>
          <cell r="T445">
            <v>0.10673999786376953</v>
          </cell>
          <cell r="U445">
            <v>0.10673999786376953</v>
          </cell>
          <cell r="V445">
            <v>0.10673999786376953</v>
          </cell>
        </row>
        <row r="446">
          <cell r="E446">
            <v>0.10673999786376953</v>
          </cell>
          <cell r="F446">
            <v>0.10673999786376953</v>
          </cell>
          <cell r="G446">
            <v>0.10673999786376953</v>
          </cell>
          <cell r="H446">
            <v>0.10673999786376953</v>
          </cell>
          <cell r="I446">
            <v>0.10673999786376953</v>
          </cell>
          <cell r="J446">
            <v>0.10673999786376953</v>
          </cell>
          <cell r="K446">
            <v>0.10673999786376953</v>
          </cell>
          <cell r="L446">
            <v>0.10673999786376953</v>
          </cell>
          <cell r="M446">
            <v>0.10673999786376953</v>
          </cell>
          <cell r="N446">
            <v>0.10673999786376953</v>
          </cell>
          <cell r="O446">
            <v>0.10673999786376953</v>
          </cell>
          <cell r="P446">
            <v>0.10673999786376953</v>
          </cell>
          <cell r="Q446">
            <v>0.10673999786376953</v>
          </cell>
          <cell r="R446">
            <v>0.10673999786376953</v>
          </cell>
          <cell r="S446">
            <v>0.10673999786376953</v>
          </cell>
          <cell r="T446">
            <v>0.10673999786376953</v>
          </cell>
          <cell r="U446">
            <v>0.10673999786376953</v>
          </cell>
          <cell r="V446">
            <v>0.10673999786376953</v>
          </cell>
        </row>
        <row r="447">
          <cell r="E447">
            <v>0.10673999786376953</v>
          </cell>
          <cell r="F447">
            <v>0.10673999786376953</v>
          </cell>
          <cell r="G447">
            <v>0.10673999786376953</v>
          </cell>
          <cell r="H447">
            <v>0.10673999786376953</v>
          </cell>
          <cell r="I447">
            <v>0.10673999786376953</v>
          </cell>
          <cell r="J447">
            <v>0.10673999786376953</v>
          </cell>
          <cell r="K447">
            <v>0.10673999786376953</v>
          </cell>
          <cell r="L447">
            <v>0.10673999786376953</v>
          </cell>
          <cell r="M447">
            <v>0.10673999786376953</v>
          </cell>
          <cell r="N447">
            <v>0.10673999786376953</v>
          </cell>
          <cell r="O447">
            <v>0.10673999786376953</v>
          </cell>
          <cell r="P447">
            <v>0.10673999786376953</v>
          </cell>
          <cell r="Q447">
            <v>0.10673999786376953</v>
          </cell>
          <cell r="R447">
            <v>0.10673999786376953</v>
          </cell>
          <cell r="S447">
            <v>0.10673999786376953</v>
          </cell>
          <cell r="T447">
            <v>0.10673999786376953</v>
          </cell>
          <cell r="U447">
            <v>0.10673999786376953</v>
          </cell>
          <cell r="V447">
            <v>0.10673999786376953</v>
          </cell>
        </row>
        <row r="448">
          <cell r="E448">
            <v>0.10673999786376953</v>
          </cell>
          <cell r="F448">
            <v>0.10673999786376953</v>
          </cell>
          <cell r="G448">
            <v>0.10673999786376953</v>
          </cell>
          <cell r="H448">
            <v>0.10673999786376953</v>
          </cell>
          <cell r="I448">
            <v>0.10673999786376953</v>
          </cell>
          <cell r="J448">
            <v>0.10673999786376953</v>
          </cell>
          <cell r="K448">
            <v>0.10673999786376953</v>
          </cell>
          <cell r="L448">
            <v>0.10673999786376953</v>
          </cell>
          <cell r="M448">
            <v>0.10673999786376953</v>
          </cell>
          <cell r="N448">
            <v>0.10673999786376953</v>
          </cell>
          <cell r="O448">
            <v>0.10673999786376953</v>
          </cell>
          <cell r="P448">
            <v>0.10673999786376953</v>
          </cell>
          <cell r="Q448">
            <v>0.10673999786376953</v>
          </cell>
          <cell r="R448">
            <v>0.10673999786376953</v>
          </cell>
          <cell r="S448">
            <v>0.10673999786376953</v>
          </cell>
          <cell r="T448">
            <v>0.10673999786376953</v>
          </cell>
          <cell r="U448">
            <v>0.10673999786376953</v>
          </cell>
          <cell r="V448">
            <v>0.10673999786376953</v>
          </cell>
        </row>
        <row r="449">
          <cell r="E449">
            <v>0.10673999786376953</v>
          </cell>
          <cell r="F449">
            <v>0.10673999786376953</v>
          </cell>
          <cell r="G449">
            <v>0.10673999786376953</v>
          </cell>
          <cell r="H449">
            <v>0.10673999786376953</v>
          </cell>
          <cell r="I449">
            <v>0.10673999786376953</v>
          </cell>
          <cell r="J449">
            <v>0.10673999786376953</v>
          </cell>
          <cell r="K449">
            <v>0.10673999786376953</v>
          </cell>
          <cell r="L449">
            <v>0.10673999786376953</v>
          </cell>
          <cell r="M449">
            <v>0.10673999786376953</v>
          </cell>
          <cell r="N449">
            <v>0.10673999786376953</v>
          </cell>
          <cell r="O449">
            <v>0.10673999786376953</v>
          </cell>
          <cell r="P449">
            <v>0.10673999786376953</v>
          </cell>
          <cell r="Q449">
            <v>0.10673999786376953</v>
          </cell>
          <cell r="R449">
            <v>0.10673999786376953</v>
          </cell>
          <cell r="S449">
            <v>0.10673999786376953</v>
          </cell>
          <cell r="T449">
            <v>0.10673999786376953</v>
          </cell>
          <cell r="U449">
            <v>0.10673999786376953</v>
          </cell>
          <cell r="V449">
            <v>0.10673999786376953</v>
          </cell>
        </row>
        <row r="450">
          <cell r="E450">
            <v>0.10673999786376953</v>
          </cell>
          <cell r="F450">
            <v>0.10673999786376953</v>
          </cell>
          <cell r="G450">
            <v>0.10673999786376953</v>
          </cell>
          <cell r="H450">
            <v>0.10673999786376953</v>
          </cell>
          <cell r="I450">
            <v>0.10673999786376953</v>
          </cell>
          <cell r="J450">
            <v>0.10673999786376953</v>
          </cell>
          <cell r="K450">
            <v>0.10673999786376953</v>
          </cell>
          <cell r="L450">
            <v>0.10673999786376953</v>
          </cell>
          <cell r="M450">
            <v>0.10673999786376953</v>
          </cell>
          <cell r="N450">
            <v>0.10673999786376953</v>
          </cell>
          <cell r="O450">
            <v>0.10673999786376953</v>
          </cell>
          <cell r="P450">
            <v>0.10673999786376953</v>
          </cell>
          <cell r="Q450">
            <v>0.10673999786376953</v>
          </cell>
          <cell r="R450">
            <v>0.10673999786376953</v>
          </cell>
          <cell r="S450">
            <v>0.10673999786376953</v>
          </cell>
          <cell r="T450">
            <v>0.10673999786376953</v>
          </cell>
          <cell r="U450">
            <v>0.10673999786376953</v>
          </cell>
          <cell r="V450">
            <v>0.10673999786376953</v>
          </cell>
        </row>
        <row r="451">
          <cell r="E451">
            <v>0.10673999786376953</v>
          </cell>
          <cell r="F451">
            <v>0.10673999786376953</v>
          </cell>
          <cell r="G451">
            <v>0.10673999786376953</v>
          </cell>
          <cell r="H451">
            <v>0.10673999786376953</v>
          </cell>
          <cell r="I451">
            <v>0.10673999786376953</v>
          </cell>
          <cell r="J451">
            <v>0.10673999786376953</v>
          </cell>
          <cell r="K451">
            <v>0.10673999786376953</v>
          </cell>
          <cell r="L451">
            <v>0.10673999786376953</v>
          </cell>
          <cell r="M451">
            <v>0.10673999786376953</v>
          </cell>
          <cell r="N451">
            <v>0.10673999786376953</v>
          </cell>
          <cell r="O451">
            <v>0.10673999786376953</v>
          </cell>
          <cell r="P451">
            <v>0.10673999786376953</v>
          </cell>
          <cell r="Q451">
            <v>0.10673999786376953</v>
          </cell>
          <cell r="R451">
            <v>0.10673999786376953</v>
          </cell>
          <cell r="S451">
            <v>0.10673999786376953</v>
          </cell>
          <cell r="T451">
            <v>0.10673999786376953</v>
          </cell>
          <cell r="U451">
            <v>0.10673999786376953</v>
          </cell>
          <cell r="V451">
            <v>0.10673999786376953</v>
          </cell>
        </row>
        <row r="452">
          <cell r="E452">
            <v>0.10673999786376953</v>
          </cell>
          <cell r="F452">
            <v>0.10673999786376953</v>
          </cell>
          <cell r="G452">
            <v>0.10673999786376953</v>
          </cell>
          <cell r="H452">
            <v>0.10673999786376953</v>
          </cell>
          <cell r="I452">
            <v>0.10673999786376953</v>
          </cell>
          <cell r="J452">
            <v>0.10673999786376953</v>
          </cell>
          <cell r="K452">
            <v>0.10673999786376953</v>
          </cell>
          <cell r="L452">
            <v>0.10673999786376953</v>
          </cell>
          <cell r="M452">
            <v>0.10673999786376953</v>
          </cell>
          <cell r="N452">
            <v>0.10673999786376953</v>
          </cell>
          <cell r="O452">
            <v>0.10673999786376953</v>
          </cell>
          <cell r="P452">
            <v>0.10673999786376953</v>
          </cell>
          <cell r="Q452">
            <v>0.10673999786376953</v>
          </cell>
          <cell r="R452">
            <v>0.10673999786376953</v>
          </cell>
          <cell r="S452">
            <v>0.10673999786376953</v>
          </cell>
          <cell r="T452">
            <v>0.10673999786376953</v>
          </cell>
          <cell r="U452">
            <v>0.10673999786376953</v>
          </cell>
          <cell r="V452">
            <v>0.10673999786376953</v>
          </cell>
        </row>
        <row r="453">
          <cell r="E453">
            <v>0.10673999786376953</v>
          </cell>
          <cell r="F453">
            <v>0.10673999786376953</v>
          </cell>
          <cell r="G453">
            <v>0.10673999786376953</v>
          </cell>
          <cell r="H453">
            <v>0.10673999786376953</v>
          </cell>
          <cell r="I453">
            <v>0.10673999786376953</v>
          </cell>
          <cell r="J453">
            <v>0.10673999786376953</v>
          </cell>
          <cell r="K453">
            <v>0.10673999786376953</v>
          </cell>
          <cell r="L453">
            <v>0.10673999786376953</v>
          </cell>
          <cell r="M453">
            <v>0.10673999786376953</v>
          </cell>
          <cell r="N453">
            <v>0.10673999786376953</v>
          </cell>
          <cell r="O453">
            <v>0.10673999786376953</v>
          </cell>
          <cell r="P453">
            <v>0.10673999786376953</v>
          </cell>
          <cell r="Q453">
            <v>0.10673999786376953</v>
          </cell>
          <cell r="R453">
            <v>0.10673999786376953</v>
          </cell>
          <cell r="S453">
            <v>0.10673999786376953</v>
          </cell>
          <cell r="T453">
            <v>0.10673999786376953</v>
          </cell>
          <cell r="U453">
            <v>0.10673999786376953</v>
          </cell>
          <cell r="V453">
            <v>0.10673999786376953</v>
          </cell>
        </row>
        <row r="454">
          <cell r="E454">
            <v>0.10673999786376953</v>
          </cell>
          <cell r="F454">
            <v>0.10673999786376953</v>
          </cell>
          <cell r="G454">
            <v>0.10673999786376953</v>
          </cell>
          <cell r="H454">
            <v>0.10673999786376953</v>
          </cell>
          <cell r="I454">
            <v>0.10673999786376953</v>
          </cell>
          <cell r="J454">
            <v>0.10673999786376953</v>
          </cell>
          <cell r="K454">
            <v>0.10673999786376953</v>
          </cell>
          <cell r="L454">
            <v>0.10673999786376953</v>
          </cell>
          <cell r="M454">
            <v>0.10673999786376953</v>
          </cell>
          <cell r="N454">
            <v>0.10673999786376953</v>
          </cell>
          <cell r="O454">
            <v>0.10673999786376953</v>
          </cell>
          <cell r="P454">
            <v>0.10673999786376953</v>
          </cell>
          <cell r="Q454">
            <v>0.10673999786376953</v>
          </cell>
          <cell r="R454">
            <v>0.10673999786376953</v>
          </cell>
          <cell r="S454">
            <v>0.10673999786376953</v>
          </cell>
          <cell r="T454">
            <v>0.10673999786376953</v>
          </cell>
          <cell r="U454">
            <v>0.10673999786376953</v>
          </cell>
          <cell r="V454">
            <v>0.10673999786376953</v>
          </cell>
        </row>
        <row r="455">
          <cell r="E455">
            <v>0.10673999786376953</v>
          </cell>
          <cell r="F455">
            <v>0.10673999786376953</v>
          </cell>
          <cell r="G455">
            <v>0.10673999786376953</v>
          </cell>
          <cell r="H455">
            <v>0.10673999786376953</v>
          </cell>
          <cell r="I455">
            <v>0.10673999786376953</v>
          </cell>
          <cell r="J455">
            <v>0.10673999786376953</v>
          </cell>
          <cell r="K455">
            <v>0.10673999786376953</v>
          </cell>
          <cell r="L455">
            <v>0.10673999786376953</v>
          </cell>
          <cell r="M455">
            <v>0.10673999786376953</v>
          </cell>
          <cell r="N455">
            <v>0.10673999786376953</v>
          </cell>
          <cell r="O455">
            <v>0.10673999786376953</v>
          </cell>
          <cell r="P455">
            <v>0.10673999786376953</v>
          </cell>
          <cell r="Q455">
            <v>0.10673999786376953</v>
          </cell>
          <cell r="R455">
            <v>0.10673999786376953</v>
          </cell>
          <cell r="S455">
            <v>0.10673999786376953</v>
          </cell>
          <cell r="T455">
            <v>0.10673999786376953</v>
          </cell>
          <cell r="U455">
            <v>0.10673999786376953</v>
          </cell>
          <cell r="V455">
            <v>0.10673999786376953</v>
          </cell>
        </row>
        <row r="456">
          <cell r="E456">
            <v>0.10673999786376953</v>
          </cell>
          <cell r="F456">
            <v>0.10673999786376953</v>
          </cell>
          <cell r="G456">
            <v>0.10673999786376953</v>
          </cell>
          <cell r="H456">
            <v>0.10673999786376953</v>
          </cell>
          <cell r="I456">
            <v>0.10673999786376953</v>
          </cell>
          <cell r="J456">
            <v>0.10673999786376953</v>
          </cell>
          <cell r="K456">
            <v>0.10673999786376953</v>
          </cell>
          <cell r="L456">
            <v>0.10673999786376953</v>
          </cell>
          <cell r="M456">
            <v>0.10673999786376953</v>
          </cell>
          <cell r="N456">
            <v>0.10673999786376953</v>
          </cell>
          <cell r="O456">
            <v>0.10673999786376953</v>
          </cell>
          <cell r="P456">
            <v>0.10673999786376953</v>
          </cell>
          <cell r="Q456">
            <v>0.10673999786376953</v>
          </cell>
          <cell r="R456">
            <v>0.10673999786376953</v>
          </cell>
          <cell r="S456">
            <v>0.10673999786376953</v>
          </cell>
          <cell r="T456">
            <v>0.10673999786376953</v>
          </cell>
          <cell r="U456">
            <v>0.10673999786376953</v>
          </cell>
          <cell r="V456">
            <v>0.10673999786376953</v>
          </cell>
        </row>
        <row r="457">
          <cell r="E457">
            <v>0.10673999786376953</v>
          </cell>
          <cell r="F457">
            <v>0.10673999786376953</v>
          </cell>
          <cell r="G457">
            <v>0.10673999786376953</v>
          </cell>
          <cell r="H457">
            <v>0.10673999786376953</v>
          </cell>
          <cell r="I457">
            <v>0.10673999786376953</v>
          </cell>
          <cell r="J457">
            <v>0.10673999786376953</v>
          </cell>
          <cell r="K457">
            <v>0.10673999786376953</v>
          </cell>
          <cell r="L457">
            <v>0.10673999786376953</v>
          </cell>
          <cell r="M457">
            <v>0.10673999786376953</v>
          </cell>
          <cell r="N457">
            <v>0.10673999786376953</v>
          </cell>
          <cell r="O457">
            <v>0.10673999786376953</v>
          </cell>
          <cell r="P457">
            <v>0.10673999786376953</v>
          </cell>
          <cell r="Q457">
            <v>0.10673999786376953</v>
          </cell>
          <cell r="R457">
            <v>0.10673999786376953</v>
          </cell>
          <cell r="S457">
            <v>0.10673999786376953</v>
          </cell>
          <cell r="T457">
            <v>0.10673999786376953</v>
          </cell>
          <cell r="U457">
            <v>0.10673999786376953</v>
          </cell>
          <cell r="V457">
            <v>0.10673999786376953</v>
          </cell>
        </row>
        <row r="458">
          <cell r="E458">
            <v>0.10673999786376953</v>
          </cell>
          <cell r="F458">
            <v>0.10673999786376953</v>
          </cell>
          <cell r="G458">
            <v>0.10673999786376953</v>
          </cell>
          <cell r="H458">
            <v>0.10673999786376953</v>
          </cell>
          <cell r="I458">
            <v>0.10673999786376953</v>
          </cell>
          <cell r="J458">
            <v>0.10673999786376953</v>
          </cell>
          <cell r="K458">
            <v>0.10673999786376953</v>
          </cell>
          <cell r="L458">
            <v>0.10673999786376953</v>
          </cell>
          <cell r="M458">
            <v>0.10673999786376953</v>
          </cell>
          <cell r="N458">
            <v>0.10673999786376953</v>
          </cell>
          <cell r="O458">
            <v>0.10673999786376953</v>
          </cell>
          <cell r="P458">
            <v>0.10673999786376953</v>
          </cell>
          <cell r="Q458">
            <v>0.10673999786376953</v>
          </cell>
          <cell r="R458">
            <v>0.10673999786376953</v>
          </cell>
          <cell r="S458">
            <v>0.10673999786376953</v>
          </cell>
          <cell r="T458">
            <v>0.10673999786376953</v>
          </cell>
          <cell r="U458">
            <v>0.10673999786376953</v>
          </cell>
          <cell r="V458">
            <v>0.10673999786376953</v>
          </cell>
        </row>
        <row r="459">
          <cell r="E459">
            <v>0.10673999786376953</v>
          </cell>
          <cell r="F459">
            <v>0.10673999786376953</v>
          </cell>
          <cell r="G459">
            <v>0.10673999786376953</v>
          </cell>
          <cell r="H459">
            <v>0.10673999786376953</v>
          </cell>
          <cell r="I459">
            <v>0.10673999786376953</v>
          </cell>
          <cell r="J459">
            <v>0.10673999786376953</v>
          </cell>
          <cell r="K459">
            <v>0.10673999786376953</v>
          </cell>
          <cell r="L459">
            <v>0.10673999786376953</v>
          </cell>
          <cell r="M459">
            <v>0.10673999786376953</v>
          </cell>
          <cell r="N459">
            <v>0.10673999786376953</v>
          </cell>
          <cell r="O459">
            <v>0.10673999786376953</v>
          </cell>
          <cell r="P459">
            <v>0.10673999786376953</v>
          </cell>
          <cell r="Q459">
            <v>0.10673999786376953</v>
          </cell>
          <cell r="R459">
            <v>0.10673999786376953</v>
          </cell>
          <cell r="S459">
            <v>0.10673999786376953</v>
          </cell>
          <cell r="T459">
            <v>0.10673999786376953</v>
          </cell>
          <cell r="U459">
            <v>0.10673999786376953</v>
          </cell>
          <cell r="V459">
            <v>0.10673999786376953</v>
          </cell>
        </row>
        <row r="460">
          <cell r="E460">
            <v>0.10673999786376953</v>
          </cell>
          <cell r="F460">
            <v>0.10673999786376953</v>
          </cell>
          <cell r="G460">
            <v>0.10673999786376953</v>
          </cell>
          <cell r="H460">
            <v>0.10673999786376953</v>
          </cell>
          <cell r="I460">
            <v>0.10673999786376953</v>
          </cell>
          <cell r="J460">
            <v>0.10673999786376953</v>
          </cell>
          <cell r="K460">
            <v>0.10673999786376953</v>
          </cell>
          <cell r="L460">
            <v>0.10673999786376953</v>
          </cell>
          <cell r="M460">
            <v>0.10673999786376953</v>
          </cell>
          <cell r="N460">
            <v>0.10673999786376953</v>
          </cell>
          <cell r="O460">
            <v>0.10673999786376953</v>
          </cell>
          <cell r="P460">
            <v>0.10673999786376953</v>
          </cell>
          <cell r="Q460">
            <v>0.10673999786376953</v>
          </cell>
          <cell r="R460">
            <v>0.10673999786376953</v>
          </cell>
          <cell r="S460">
            <v>0.10673999786376953</v>
          </cell>
          <cell r="T460">
            <v>0.10673999786376953</v>
          </cell>
          <cell r="U460">
            <v>0.10673999786376953</v>
          </cell>
          <cell r="V460">
            <v>0.10673999786376953</v>
          </cell>
        </row>
        <row r="461">
          <cell r="E461">
            <v>0.10673999786376953</v>
          </cell>
          <cell r="F461">
            <v>0.10673999786376953</v>
          </cell>
          <cell r="G461">
            <v>0.10673999786376953</v>
          </cell>
          <cell r="H461">
            <v>0.10673999786376953</v>
          </cell>
          <cell r="I461">
            <v>0.10673999786376953</v>
          </cell>
          <cell r="J461">
            <v>0.10673999786376953</v>
          </cell>
          <cell r="K461">
            <v>0.10673999786376953</v>
          </cell>
          <cell r="L461">
            <v>0.10673999786376953</v>
          </cell>
          <cell r="M461">
            <v>0.10673999786376953</v>
          </cell>
          <cell r="N461">
            <v>0.10673999786376953</v>
          </cell>
          <cell r="O461">
            <v>0.10673999786376953</v>
          </cell>
          <cell r="P461">
            <v>0.10673999786376953</v>
          </cell>
          <cell r="Q461">
            <v>0.10673999786376953</v>
          </cell>
          <cell r="R461">
            <v>0.10673999786376953</v>
          </cell>
          <cell r="S461">
            <v>0.10673999786376953</v>
          </cell>
          <cell r="T461">
            <v>0.10673999786376953</v>
          </cell>
          <cell r="U461">
            <v>0.10673999786376953</v>
          </cell>
          <cell r="V461">
            <v>0.10673999786376953</v>
          </cell>
        </row>
        <row r="462">
          <cell r="E462">
            <v>0.10673999786376953</v>
          </cell>
          <cell r="F462">
            <v>0.10673999786376953</v>
          </cell>
          <cell r="G462">
            <v>0.10673999786376953</v>
          </cell>
          <cell r="H462">
            <v>0.10673999786376953</v>
          </cell>
          <cell r="I462">
            <v>0.10673999786376953</v>
          </cell>
          <cell r="J462">
            <v>0.10673999786376953</v>
          </cell>
          <cell r="K462">
            <v>0.10673999786376953</v>
          </cell>
          <cell r="L462">
            <v>0.10673999786376953</v>
          </cell>
          <cell r="M462">
            <v>0.10673999786376953</v>
          </cell>
          <cell r="N462">
            <v>0.10673999786376953</v>
          </cell>
          <cell r="O462">
            <v>0.10673999786376953</v>
          </cell>
          <cell r="P462">
            <v>0.10673999786376953</v>
          </cell>
          <cell r="Q462">
            <v>0.10673999786376953</v>
          </cell>
          <cell r="R462">
            <v>0.10673999786376953</v>
          </cell>
          <cell r="S462">
            <v>0.10673999786376953</v>
          </cell>
          <cell r="T462">
            <v>0.10673999786376953</v>
          </cell>
          <cell r="U462">
            <v>0.10673999786376953</v>
          </cell>
          <cell r="V462">
            <v>0.10673999786376953</v>
          </cell>
        </row>
        <row r="463">
          <cell r="E463">
            <v>0.10673999786376953</v>
          </cell>
          <cell r="F463">
            <v>0.10673999786376953</v>
          </cell>
          <cell r="G463">
            <v>0.10673999786376953</v>
          </cell>
          <cell r="H463">
            <v>0.10673999786376953</v>
          </cell>
          <cell r="I463">
            <v>0.10673999786376953</v>
          </cell>
          <cell r="J463">
            <v>0.10673999786376953</v>
          </cell>
          <cell r="K463">
            <v>0.10673999786376953</v>
          </cell>
          <cell r="L463">
            <v>0.10673999786376953</v>
          </cell>
          <cell r="M463">
            <v>0.10673999786376953</v>
          </cell>
          <cell r="N463">
            <v>0.10673999786376953</v>
          </cell>
          <cell r="O463">
            <v>0.10673999786376953</v>
          </cell>
          <cell r="P463">
            <v>0.10673999786376953</v>
          </cell>
          <cell r="Q463">
            <v>0.10673999786376953</v>
          </cell>
          <cell r="R463">
            <v>0.10673999786376953</v>
          </cell>
          <cell r="S463">
            <v>0.10673999786376953</v>
          </cell>
          <cell r="T463">
            <v>0.10673999786376953</v>
          </cell>
          <cell r="U463">
            <v>0.10673999786376953</v>
          </cell>
          <cell r="V463">
            <v>0.10673999786376953</v>
          </cell>
        </row>
        <row r="464">
          <cell r="E464">
            <v>0.10673999786376953</v>
          </cell>
          <cell r="F464">
            <v>0.10673999786376953</v>
          </cell>
          <cell r="G464">
            <v>0.10673999786376953</v>
          </cell>
          <cell r="H464">
            <v>0.10673999786376953</v>
          </cell>
          <cell r="I464">
            <v>0.10673999786376953</v>
          </cell>
          <cell r="J464">
            <v>0.10673999786376953</v>
          </cell>
          <cell r="K464">
            <v>0.10673999786376953</v>
          </cell>
          <cell r="L464">
            <v>0.10673999786376953</v>
          </cell>
          <cell r="M464">
            <v>0.10673999786376953</v>
          </cell>
          <cell r="N464">
            <v>0.10673999786376953</v>
          </cell>
          <cell r="O464">
            <v>0.10673999786376953</v>
          </cell>
          <cell r="P464">
            <v>0.10673999786376953</v>
          </cell>
          <cell r="Q464">
            <v>0.10673999786376953</v>
          </cell>
          <cell r="R464">
            <v>0.10673999786376953</v>
          </cell>
          <cell r="S464">
            <v>0.10673999786376953</v>
          </cell>
          <cell r="T464">
            <v>0.10673999786376953</v>
          </cell>
          <cell r="U464">
            <v>0.10673999786376953</v>
          </cell>
          <cell r="V464">
            <v>0.10673999786376953</v>
          </cell>
        </row>
        <row r="465">
          <cell r="E465">
            <v>0.10673999786376953</v>
          </cell>
          <cell r="F465">
            <v>0.10673999786376953</v>
          </cell>
          <cell r="G465">
            <v>0.10673999786376953</v>
          </cell>
          <cell r="H465">
            <v>0.10673999786376953</v>
          </cell>
          <cell r="I465">
            <v>0.10673999786376953</v>
          </cell>
          <cell r="J465">
            <v>0.10673999786376953</v>
          </cell>
          <cell r="K465">
            <v>0.10673999786376953</v>
          </cell>
          <cell r="L465">
            <v>0.10673999786376953</v>
          </cell>
          <cell r="M465">
            <v>0.10673999786376953</v>
          </cell>
          <cell r="N465">
            <v>0.10673999786376953</v>
          </cell>
          <cell r="O465">
            <v>0.10673999786376953</v>
          </cell>
          <cell r="P465">
            <v>0.10673999786376953</v>
          </cell>
          <cell r="Q465">
            <v>0.10673999786376953</v>
          </cell>
          <cell r="R465">
            <v>0.10673999786376953</v>
          </cell>
          <cell r="S465">
            <v>0.10673999786376953</v>
          </cell>
          <cell r="T465">
            <v>0.10673999786376953</v>
          </cell>
          <cell r="U465">
            <v>0.10673999786376953</v>
          </cell>
          <cell r="V465">
            <v>0.10673999786376953</v>
          </cell>
        </row>
        <row r="466">
          <cell r="E466">
            <v>0.10673999786376953</v>
          </cell>
          <cell r="F466">
            <v>0.10673999786376953</v>
          </cell>
          <cell r="G466">
            <v>0.10673999786376953</v>
          </cell>
          <cell r="H466">
            <v>0.10673999786376953</v>
          </cell>
          <cell r="I466">
            <v>0.10673999786376953</v>
          </cell>
          <cell r="J466">
            <v>0.10673999786376953</v>
          </cell>
          <cell r="K466">
            <v>0.10673999786376953</v>
          </cell>
          <cell r="L466">
            <v>0.10673999786376953</v>
          </cell>
          <cell r="M466">
            <v>0.10673999786376953</v>
          </cell>
          <cell r="N466">
            <v>0.10673999786376953</v>
          </cell>
          <cell r="O466">
            <v>0.10673999786376953</v>
          </cell>
          <cell r="P466">
            <v>0.10673999786376953</v>
          </cell>
          <cell r="Q466">
            <v>0.10673999786376953</v>
          </cell>
          <cell r="R466">
            <v>0.10673999786376953</v>
          </cell>
          <cell r="S466">
            <v>0.10673999786376953</v>
          </cell>
          <cell r="T466">
            <v>0.10673999786376953</v>
          </cell>
          <cell r="U466">
            <v>0.10673999786376953</v>
          </cell>
          <cell r="V466">
            <v>0.10673999786376953</v>
          </cell>
        </row>
        <row r="467">
          <cell r="E467">
            <v>0.10673999786376953</v>
          </cell>
          <cell r="F467">
            <v>0.10673999786376953</v>
          </cell>
          <cell r="G467">
            <v>0.10673999786376953</v>
          </cell>
          <cell r="H467">
            <v>0.10673999786376953</v>
          </cell>
          <cell r="I467">
            <v>0.10673999786376953</v>
          </cell>
          <cell r="J467">
            <v>0.10673999786376953</v>
          </cell>
          <cell r="K467">
            <v>0.10673999786376953</v>
          </cell>
          <cell r="L467">
            <v>0.10673999786376953</v>
          </cell>
          <cell r="M467">
            <v>0.10673999786376953</v>
          </cell>
          <cell r="N467">
            <v>0.10673999786376953</v>
          </cell>
          <cell r="O467">
            <v>0.10673999786376953</v>
          </cell>
          <cell r="P467">
            <v>0.10673999786376953</v>
          </cell>
          <cell r="Q467">
            <v>0.10673999786376953</v>
          </cell>
          <cell r="R467">
            <v>0.10673999786376953</v>
          </cell>
          <cell r="S467">
            <v>0.10673999786376953</v>
          </cell>
          <cell r="T467">
            <v>0.10673999786376953</v>
          </cell>
          <cell r="U467">
            <v>0.10673999786376953</v>
          </cell>
          <cell r="V467">
            <v>0.10673999786376953</v>
          </cell>
        </row>
        <row r="468">
          <cell r="E468">
            <v>0.10673999786376953</v>
          </cell>
          <cell r="F468">
            <v>0.10673999786376953</v>
          </cell>
          <cell r="G468">
            <v>0.10673999786376953</v>
          </cell>
          <cell r="H468">
            <v>0.10673999786376953</v>
          </cell>
          <cell r="I468">
            <v>0.10673999786376953</v>
          </cell>
          <cell r="J468">
            <v>0.10673999786376953</v>
          </cell>
          <cell r="K468">
            <v>0.10673999786376953</v>
          </cell>
          <cell r="L468">
            <v>0.10673999786376953</v>
          </cell>
          <cell r="M468">
            <v>0.10673999786376953</v>
          </cell>
          <cell r="N468">
            <v>0.10673999786376953</v>
          </cell>
          <cell r="O468">
            <v>0.10673999786376953</v>
          </cell>
          <cell r="P468">
            <v>0.10673999786376953</v>
          </cell>
          <cell r="Q468">
            <v>0.10673999786376953</v>
          </cell>
          <cell r="R468">
            <v>0.10673999786376953</v>
          </cell>
          <cell r="S468">
            <v>0.10673999786376953</v>
          </cell>
          <cell r="T468">
            <v>0.10673999786376953</v>
          </cell>
          <cell r="U468">
            <v>0.10673999786376953</v>
          </cell>
          <cell r="V468">
            <v>0.10673999786376953</v>
          </cell>
        </row>
        <row r="469">
          <cell r="E469">
            <v>0.10673999786376953</v>
          </cell>
          <cell r="F469">
            <v>0.10673999786376953</v>
          </cell>
          <cell r="G469">
            <v>0.10673999786376953</v>
          </cell>
          <cell r="H469">
            <v>0.10673999786376953</v>
          </cell>
          <cell r="I469">
            <v>0.10673999786376953</v>
          </cell>
          <cell r="J469">
            <v>0.10673999786376953</v>
          </cell>
          <cell r="K469">
            <v>0.10673999786376953</v>
          </cell>
          <cell r="L469">
            <v>0.10673999786376953</v>
          </cell>
          <cell r="M469">
            <v>0.10673999786376953</v>
          </cell>
          <cell r="N469">
            <v>0.10673999786376953</v>
          </cell>
          <cell r="O469">
            <v>0.10673999786376953</v>
          </cell>
          <cell r="P469">
            <v>0.10673999786376953</v>
          </cell>
          <cell r="Q469">
            <v>0.10673999786376953</v>
          </cell>
          <cell r="R469">
            <v>0.10673999786376953</v>
          </cell>
          <cell r="S469">
            <v>0.10673999786376953</v>
          </cell>
          <cell r="T469">
            <v>0.10673999786376953</v>
          </cell>
          <cell r="U469">
            <v>0.10673999786376953</v>
          </cell>
          <cell r="V469">
            <v>0.10673999786376953</v>
          </cell>
        </row>
        <row r="470">
          <cell r="E470">
            <v>0.10673999786376953</v>
          </cell>
          <cell r="F470">
            <v>0.10673999786376953</v>
          </cell>
          <cell r="G470">
            <v>0.10673999786376953</v>
          </cell>
          <cell r="H470">
            <v>0.10673999786376953</v>
          </cell>
          <cell r="I470">
            <v>0.10673999786376953</v>
          </cell>
          <cell r="J470">
            <v>0.10673999786376953</v>
          </cell>
          <cell r="K470">
            <v>0.10673999786376953</v>
          </cell>
          <cell r="L470">
            <v>0.10673999786376953</v>
          </cell>
          <cell r="M470">
            <v>0.10673999786376953</v>
          </cell>
          <cell r="N470">
            <v>0.10673999786376953</v>
          </cell>
          <cell r="O470">
            <v>0.10673999786376953</v>
          </cell>
          <cell r="P470">
            <v>0.10673999786376953</v>
          </cell>
          <cell r="Q470">
            <v>0.10673999786376953</v>
          </cell>
          <cell r="R470">
            <v>0.10673999786376953</v>
          </cell>
          <cell r="S470">
            <v>0.10673999786376953</v>
          </cell>
          <cell r="T470">
            <v>0.10673999786376953</v>
          </cell>
          <cell r="U470">
            <v>0.10673999786376953</v>
          </cell>
          <cell r="V470">
            <v>0.10673999786376953</v>
          </cell>
        </row>
        <row r="471">
          <cell r="E471">
            <v>0.10673999786376953</v>
          </cell>
          <cell r="F471">
            <v>0.10673999786376953</v>
          </cell>
          <cell r="G471">
            <v>0.10673999786376953</v>
          </cell>
          <cell r="H471">
            <v>0.10673999786376953</v>
          </cell>
          <cell r="I471">
            <v>0.10673999786376953</v>
          </cell>
          <cell r="J471">
            <v>0.10673999786376953</v>
          </cell>
          <cell r="K471">
            <v>0.10673999786376953</v>
          </cell>
          <cell r="L471">
            <v>0.10673999786376953</v>
          </cell>
          <cell r="M471">
            <v>0.10673999786376953</v>
          </cell>
          <cell r="N471">
            <v>0.10673999786376953</v>
          </cell>
          <cell r="O471">
            <v>0.10673999786376953</v>
          </cell>
          <cell r="P471">
            <v>0.10673999786376953</v>
          </cell>
          <cell r="Q471">
            <v>0.10673999786376953</v>
          </cell>
          <cell r="R471">
            <v>0.10673999786376953</v>
          </cell>
          <cell r="S471">
            <v>0.10673999786376953</v>
          </cell>
          <cell r="T471">
            <v>0.10673999786376953</v>
          </cell>
          <cell r="U471">
            <v>0.10673999786376953</v>
          </cell>
          <cell r="V471">
            <v>0.10673999786376953</v>
          </cell>
        </row>
        <row r="472">
          <cell r="E472">
            <v>0.10673999786376953</v>
          </cell>
          <cell r="F472">
            <v>0.10673999786376953</v>
          </cell>
          <cell r="G472">
            <v>0.10673999786376953</v>
          </cell>
          <cell r="H472">
            <v>0.10673999786376953</v>
          </cell>
          <cell r="I472">
            <v>0.10673999786376953</v>
          </cell>
          <cell r="J472">
            <v>0.10673999786376953</v>
          </cell>
          <cell r="K472">
            <v>0.10673999786376953</v>
          </cell>
          <cell r="L472">
            <v>0.10673999786376953</v>
          </cell>
          <cell r="M472">
            <v>0.10673999786376953</v>
          </cell>
          <cell r="N472">
            <v>0.10673999786376953</v>
          </cell>
          <cell r="O472">
            <v>0.10673999786376953</v>
          </cell>
          <cell r="P472">
            <v>0.10673999786376953</v>
          </cell>
          <cell r="Q472">
            <v>0.10673999786376953</v>
          </cell>
          <cell r="R472">
            <v>0.10673999786376953</v>
          </cell>
          <cell r="S472">
            <v>0.10673999786376953</v>
          </cell>
          <cell r="T472">
            <v>0.10673999786376953</v>
          </cell>
          <cell r="U472">
            <v>0.10673999786376953</v>
          </cell>
          <cell r="V472">
            <v>0.10673999786376953</v>
          </cell>
        </row>
        <row r="473">
          <cell r="E473">
            <v>0.10673999786376953</v>
          </cell>
          <cell r="F473">
            <v>0.10673999786376953</v>
          </cell>
          <cell r="G473">
            <v>0.10673999786376953</v>
          </cell>
          <cell r="H473">
            <v>0.10673999786376953</v>
          </cell>
          <cell r="I473">
            <v>0.10673999786376953</v>
          </cell>
          <cell r="J473">
            <v>0.10673999786376953</v>
          </cell>
          <cell r="K473">
            <v>0.10673999786376953</v>
          </cell>
          <cell r="L473">
            <v>0.10673999786376953</v>
          </cell>
          <cell r="M473">
            <v>0.10673999786376953</v>
          </cell>
          <cell r="N473">
            <v>0.10673999786376953</v>
          </cell>
          <cell r="O473">
            <v>0.10673999786376953</v>
          </cell>
          <cell r="P473">
            <v>0.10673999786376953</v>
          </cell>
          <cell r="Q473">
            <v>0.10673999786376953</v>
          </cell>
          <cell r="R473">
            <v>0.10673999786376953</v>
          </cell>
          <cell r="S473">
            <v>0.10673999786376953</v>
          </cell>
          <cell r="T473">
            <v>0.10673999786376953</v>
          </cell>
          <cell r="U473">
            <v>0.10673999786376953</v>
          </cell>
          <cell r="V473">
            <v>0.10673999786376953</v>
          </cell>
        </row>
        <row r="474">
          <cell r="E474">
            <v>0.10673999786376953</v>
          </cell>
          <cell r="F474">
            <v>0.10673999786376953</v>
          </cell>
          <cell r="G474">
            <v>0.10673999786376953</v>
          </cell>
          <cell r="H474">
            <v>0.10673999786376953</v>
          </cell>
          <cell r="I474">
            <v>0.10673999786376953</v>
          </cell>
          <cell r="J474">
            <v>0.10673999786376953</v>
          </cell>
          <cell r="K474">
            <v>0.10673999786376953</v>
          </cell>
          <cell r="L474">
            <v>0.10673999786376953</v>
          </cell>
          <cell r="M474">
            <v>0.10673999786376953</v>
          </cell>
          <cell r="N474">
            <v>0.10673999786376953</v>
          </cell>
          <cell r="O474">
            <v>0.10673999786376953</v>
          </cell>
          <cell r="P474">
            <v>0.10673999786376953</v>
          </cell>
          <cell r="Q474">
            <v>0.10673999786376953</v>
          </cell>
          <cell r="R474">
            <v>0.10673999786376953</v>
          </cell>
          <cell r="S474">
            <v>0.10673999786376953</v>
          </cell>
          <cell r="T474">
            <v>0.10673999786376953</v>
          </cell>
          <cell r="U474">
            <v>0.10673999786376953</v>
          </cell>
          <cell r="V474">
            <v>0.10673999786376953</v>
          </cell>
        </row>
        <row r="475">
          <cell r="E475">
            <v>0.10673999786376953</v>
          </cell>
          <cell r="F475">
            <v>0.10673999786376953</v>
          </cell>
          <cell r="G475">
            <v>0.10673999786376953</v>
          </cell>
          <cell r="H475">
            <v>0.10673999786376953</v>
          </cell>
          <cell r="I475">
            <v>0.10673999786376953</v>
          </cell>
          <cell r="J475">
            <v>0.10673999786376953</v>
          </cell>
          <cell r="K475">
            <v>0.10673999786376953</v>
          </cell>
          <cell r="L475">
            <v>0.10673999786376953</v>
          </cell>
          <cell r="M475">
            <v>0.10673999786376953</v>
          </cell>
          <cell r="N475">
            <v>0.10673999786376953</v>
          </cell>
          <cell r="O475">
            <v>0.10673999786376953</v>
          </cell>
          <cell r="P475">
            <v>0.10673999786376953</v>
          </cell>
          <cell r="Q475">
            <v>0.10673999786376953</v>
          </cell>
          <cell r="R475">
            <v>0.10673999786376953</v>
          </cell>
          <cell r="S475">
            <v>0.10673999786376953</v>
          </cell>
          <cell r="T475">
            <v>0.10673999786376953</v>
          </cell>
          <cell r="U475">
            <v>0.10673999786376953</v>
          </cell>
          <cell r="V475">
            <v>0.10673999786376953</v>
          </cell>
        </row>
        <row r="476">
          <cell r="E476">
            <v>0.10673999786376953</v>
          </cell>
          <cell r="F476">
            <v>0.10673999786376953</v>
          </cell>
          <cell r="G476">
            <v>0.10673999786376953</v>
          </cell>
          <cell r="H476">
            <v>0.10673999786376953</v>
          </cell>
          <cell r="I476">
            <v>0.10673999786376953</v>
          </cell>
          <cell r="J476">
            <v>0.10673999786376953</v>
          </cell>
          <cell r="K476">
            <v>0.10673999786376953</v>
          </cell>
          <cell r="L476">
            <v>0.10673999786376953</v>
          </cell>
          <cell r="M476">
            <v>0.10673999786376953</v>
          </cell>
          <cell r="N476">
            <v>0.10673999786376953</v>
          </cell>
          <cell r="O476">
            <v>0.10673999786376953</v>
          </cell>
          <cell r="P476">
            <v>0.10673999786376953</v>
          </cell>
          <cell r="Q476">
            <v>0.10673999786376953</v>
          </cell>
          <cell r="R476">
            <v>0.10673999786376953</v>
          </cell>
          <cell r="S476">
            <v>0.10673999786376953</v>
          </cell>
          <cell r="T476">
            <v>0.10673999786376953</v>
          </cell>
          <cell r="U476">
            <v>0.10673999786376953</v>
          </cell>
          <cell r="V476">
            <v>0.10673999786376953</v>
          </cell>
        </row>
        <row r="477">
          <cell r="E477">
            <v>0.10673999786376953</v>
          </cell>
          <cell r="F477">
            <v>0.10673999786376953</v>
          </cell>
          <cell r="G477">
            <v>0.10673999786376953</v>
          </cell>
          <cell r="H477">
            <v>0.10673999786376953</v>
          </cell>
          <cell r="I477">
            <v>0.10673999786376953</v>
          </cell>
          <cell r="J477">
            <v>0.10673999786376953</v>
          </cell>
          <cell r="K477">
            <v>0.10673999786376953</v>
          </cell>
          <cell r="L477">
            <v>0.10673999786376953</v>
          </cell>
          <cell r="M477">
            <v>0.10673999786376953</v>
          </cell>
          <cell r="N477">
            <v>0.10673999786376953</v>
          </cell>
          <cell r="O477">
            <v>0.10673999786376953</v>
          </cell>
          <cell r="P477">
            <v>0.10673999786376953</v>
          </cell>
          <cell r="Q477">
            <v>0.10673999786376953</v>
          </cell>
          <cell r="R477">
            <v>0.10673999786376953</v>
          </cell>
          <cell r="S477">
            <v>0.10673999786376953</v>
          </cell>
          <cell r="T477">
            <v>0.10673999786376953</v>
          </cell>
          <cell r="U477">
            <v>0.10673999786376953</v>
          </cell>
          <cell r="V477">
            <v>0.10673999786376953</v>
          </cell>
        </row>
        <row r="478">
          <cell r="E478">
            <v>0.10673999786376953</v>
          </cell>
          <cell r="F478">
            <v>0.10673999786376953</v>
          </cell>
          <cell r="G478">
            <v>0.10673999786376953</v>
          </cell>
          <cell r="H478">
            <v>0.10673999786376953</v>
          </cell>
          <cell r="I478">
            <v>0.10673999786376953</v>
          </cell>
          <cell r="J478">
            <v>0.10673999786376953</v>
          </cell>
          <cell r="K478">
            <v>0.10673999786376953</v>
          </cell>
          <cell r="L478">
            <v>0.10673999786376953</v>
          </cell>
          <cell r="M478">
            <v>0.10673999786376953</v>
          </cell>
          <cell r="N478">
            <v>0.10673999786376953</v>
          </cell>
          <cell r="O478">
            <v>0.10673999786376953</v>
          </cell>
          <cell r="P478">
            <v>0.10673999786376953</v>
          </cell>
          <cell r="Q478">
            <v>0.10673999786376953</v>
          </cell>
          <cell r="R478">
            <v>0.10673999786376953</v>
          </cell>
          <cell r="S478">
            <v>0.10673999786376953</v>
          </cell>
          <cell r="T478">
            <v>0.10673999786376953</v>
          </cell>
          <cell r="U478">
            <v>0.10673999786376953</v>
          </cell>
          <cell r="V478">
            <v>0.10673999786376953</v>
          </cell>
        </row>
        <row r="479">
          <cell r="E479">
            <v>0.10673999786376953</v>
          </cell>
          <cell r="F479">
            <v>0.10673999786376953</v>
          </cell>
          <cell r="G479">
            <v>0.10673999786376953</v>
          </cell>
          <cell r="H479">
            <v>0.10673999786376953</v>
          </cell>
          <cell r="I479">
            <v>0.10673999786376953</v>
          </cell>
          <cell r="J479">
            <v>0.10673999786376953</v>
          </cell>
          <cell r="K479">
            <v>0.10673999786376953</v>
          </cell>
          <cell r="L479">
            <v>0.10673999786376953</v>
          </cell>
          <cell r="M479">
            <v>0.10673999786376953</v>
          </cell>
          <cell r="N479">
            <v>0.10673999786376953</v>
          </cell>
          <cell r="O479">
            <v>0.10673999786376953</v>
          </cell>
          <cell r="P479">
            <v>0.10673999786376953</v>
          </cell>
          <cell r="Q479">
            <v>0.10673999786376953</v>
          </cell>
          <cell r="R479">
            <v>0.10673999786376953</v>
          </cell>
          <cell r="S479">
            <v>0.10673999786376953</v>
          </cell>
          <cell r="T479">
            <v>0.10673999786376953</v>
          </cell>
          <cell r="U479">
            <v>0.10673999786376953</v>
          </cell>
          <cell r="V479">
            <v>0.10673999786376953</v>
          </cell>
        </row>
        <row r="480">
          <cell r="E480">
            <v>0.10673999786376953</v>
          </cell>
          <cell r="F480">
            <v>0.10673999786376953</v>
          </cell>
          <cell r="G480">
            <v>0.10673999786376953</v>
          </cell>
          <cell r="H480">
            <v>0.10673999786376953</v>
          </cell>
          <cell r="I480">
            <v>0.10673999786376953</v>
          </cell>
          <cell r="J480">
            <v>0.10673999786376953</v>
          </cell>
          <cell r="K480">
            <v>0.10673999786376953</v>
          </cell>
          <cell r="L480">
            <v>0.10673999786376953</v>
          </cell>
          <cell r="M480">
            <v>0.10673999786376953</v>
          </cell>
          <cell r="N480">
            <v>0.10673999786376953</v>
          </cell>
          <cell r="O480">
            <v>0.10673999786376953</v>
          </cell>
          <cell r="P480">
            <v>0.10673999786376953</v>
          </cell>
          <cell r="Q480">
            <v>0.10673999786376953</v>
          </cell>
          <cell r="R480">
            <v>0.10673999786376953</v>
          </cell>
          <cell r="S480">
            <v>0.10673999786376953</v>
          </cell>
          <cell r="T480">
            <v>0.10673999786376953</v>
          </cell>
          <cell r="U480">
            <v>0.10673999786376953</v>
          </cell>
          <cell r="V480">
            <v>0.10673999786376953</v>
          </cell>
        </row>
        <row r="481">
          <cell r="E481">
            <v>0.10673999786376953</v>
          </cell>
          <cell r="F481">
            <v>0.10673999786376953</v>
          </cell>
          <cell r="G481">
            <v>0.10673999786376953</v>
          </cell>
          <cell r="H481">
            <v>0.10673999786376953</v>
          </cell>
          <cell r="I481">
            <v>0.10673999786376953</v>
          </cell>
          <cell r="J481">
            <v>0.10673999786376953</v>
          </cell>
          <cell r="K481">
            <v>0.10673999786376953</v>
          </cell>
          <cell r="L481">
            <v>0.10673999786376953</v>
          </cell>
          <cell r="M481">
            <v>0.10673999786376953</v>
          </cell>
          <cell r="N481">
            <v>0.10673999786376953</v>
          </cell>
          <cell r="O481">
            <v>0.10673999786376953</v>
          </cell>
          <cell r="P481">
            <v>0.10673999786376953</v>
          </cell>
          <cell r="Q481">
            <v>0.10673999786376953</v>
          </cell>
          <cell r="R481">
            <v>0.10673999786376953</v>
          </cell>
          <cell r="S481">
            <v>0.10673999786376953</v>
          </cell>
          <cell r="T481">
            <v>0.10673999786376953</v>
          </cell>
          <cell r="U481">
            <v>0.10673999786376953</v>
          </cell>
          <cell r="V481">
            <v>0.10673999786376953</v>
          </cell>
        </row>
        <row r="482">
          <cell r="E482">
            <v>0.10673999786376953</v>
          </cell>
          <cell r="F482">
            <v>0.10673999786376953</v>
          </cell>
          <cell r="G482">
            <v>0.10673999786376953</v>
          </cell>
          <cell r="H482">
            <v>0.10673999786376953</v>
          </cell>
          <cell r="I482">
            <v>0.10673999786376953</v>
          </cell>
          <cell r="J482">
            <v>0.10673999786376953</v>
          </cell>
          <cell r="K482">
            <v>0.10673999786376953</v>
          </cell>
          <cell r="L482">
            <v>0.10673999786376953</v>
          </cell>
          <cell r="M482">
            <v>0.10673999786376953</v>
          </cell>
          <cell r="N482">
            <v>0.10673999786376953</v>
          </cell>
          <cell r="O482">
            <v>0.10673999786376953</v>
          </cell>
          <cell r="P482">
            <v>0.10673999786376953</v>
          </cell>
          <cell r="Q482">
            <v>0.10673999786376953</v>
          </cell>
          <cell r="R482">
            <v>0.10673999786376953</v>
          </cell>
          <cell r="S482">
            <v>0.10673999786376953</v>
          </cell>
          <cell r="T482">
            <v>0.10673999786376953</v>
          </cell>
          <cell r="U482">
            <v>0.10673999786376953</v>
          </cell>
          <cell r="V482">
            <v>0.10673999786376953</v>
          </cell>
        </row>
        <row r="483">
          <cell r="E483">
            <v>0.10673999786376953</v>
          </cell>
          <cell r="F483">
            <v>0.10673999786376953</v>
          </cell>
          <cell r="G483">
            <v>0.10673999786376953</v>
          </cell>
          <cell r="H483">
            <v>0.10673999786376953</v>
          </cell>
          <cell r="I483">
            <v>0.10673999786376953</v>
          </cell>
          <cell r="J483">
            <v>0.10673999786376953</v>
          </cell>
          <cell r="K483">
            <v>0.10673999786376953</v>
          </cell>
          <cell r="L483">
            <v>0.10673999786376953</v>
          </cell>
          <cell r="M483">
            <v>0.10673999786376953</v>
          </cell>
          <cell r="N483">
            <v>0.10673999786376953</v>
          </cell>
          <cell r="O483">
            <v>0.10673999786376953</v>
          </cell>
          <cell r="P483">
            <v>0.10673999786376953</v>
          </cell>
          <cell r="Q483">
            <v>0.10673999786376953</v>
          </cell>
          <cell r="R483">
            <v>0.10673999786376953</v>
          </cell>
          <cell r="S483">
            <v>0.10673999786376953</v>
          </cell>
          <cell r="T483">
            <v>0.10673999786376953</v>
          </cell>
          <cell r="U483">
            <v>0.10673999786376953</v>
          </cell>
          <cell r="V483">
            <v>0.10673999786376953</v>
          </cell>
        </row>
        <row r="484">
          <cell r="E484">
            <v>0.10673999786376953</v>
          </cell>
          <cell r="F484">
            <v>0.10673999786376953</v>
          </cell>
          <cell r="G484">
            <v>0.10673999786376953</v>
          </cell>
          <cell r="H484">
            <v>0.10673999786376953</v>
          </cell>
          <cell r="I484">
            <v>0.10673999786376953</v>
          </cell>
          <cell r="J484">
            <v>0.10673999786376953</v>
          </cell>
          <cell r="K484">
            <v>0.10673999786376953</v>
          </cell>
          <cell r="L484">
            <v>0.10673999786376953</v>
          </cell>
          <cell r="M484">
            <v>0.10673999786376953</v>
          </cell>
          <cell r="N484">
            <v>0.10673999786376953</v>
          </cell>
          <cell r="O484">
            <v>0.10673999786376953</v>
          </cell>
          <cell r="P484">
            <v>0.10673999786376953</v>
          </cell>
          <cell r="Q484">
            <v>0.10673999786376953</v>
          </cell>
          <cell r="R484">
            <v>0.10673999786376953</v>
          </cell>
          <cell r="S484">
            <v>0.10673999786376953</v>
          </cell>
          <cell r="T484">
            <v>0.10673999786376953</v>
          </cell>
          <cell r="U484">
            <v>0.10673999786376953</v>
          </cell>
          <cell r="V484">
            <v>0.10673999786376953</v>
          </cell>
        </row>
        <row r="485">
          <cell r="E485">
            <v>0.10673999786376953</v>
          </cell>
          <cell r="F485">
            <v>0.10673999786376953</v>
          </cell>
          <cell r="G485">
            <v>0.10673999786376953</v>
          </cell>
          <cell r="H485">
            <v>0.10673999786376953</v>
          </cell>
          <cell r="I485">
            <v>0.10673999786376953</v>
          </cell>
          <cell r="J485">
            <v>0.10673999786376953</v>
          </cell>
          <cell r="K485">
            <v>0.10673999786376953</v>
          </cell>
          <cell r="L485">
            <v>0.10673999786376953</v>
          </cell>
          <cell r="M485">
            <v>0.10673999786376953</v>
          </cell>
          <cell r="N485">
            <v>0.10673999786376953</v>
          </cell>
          <cell r="O485">
            <v>0.10673999786376953</v>
          </cell>
          <cell r="P485">
            <v>0.10673999786376953</v>
          </cell>
          <cell r="Q485">
            <v>0.10673999786376953</v>
          </cell>
          <cell r="R485">
            <v>0.10673999786376953</v>
          </cell>
          <cell r="S485">
            <v>0.10673999786376953</v>
          </cell>
          <cell r="T485">
            <v>0.10673999786376953</v>
          </cell>
          <cell r="U485">
            <v>0.10673999786376953</v>
          </cell>
          <cell r="V485">
            <v>0.10673999786376953</v>
          </cell>
        </row>
        <row r="486">
          <cell r="E486">
            <v>0.10673999786376953</v>
          </cell>
          <cell r="F486">
            <v>0.10673999786376953</v>
          </cell>
          <cell r="G486">
            <v>0.10673999786376953</v>
          </cell>
          <cell r="H486">
            <v>0.10673999786376953</v>
          </cell>
          <cell r="I486">
            <v>0.10673999786376953</v>
          </cell>
          <cell r="J486">
            <v>0.10673999786376953</v>
          </cell>
          <cell r="K486">
            <v>0.10673999786376953</v>
          </cell>
          <cell r="L486">
            <v>0.10673999786376953</v>
          </cell>
          <cell r="M486">
            <v>0.10673999786376953</v>
          </cell>
          <cell r="N486">
            <v>0.10673999786376953</v>
          </cell>
          <cell r="O486">
            <v>0.10673999786376953</v>
          </cell>
          <cell r="P486">
            <v>0.10673999786376953</v>
          </cell>
          <cell r="Q486">
            <v>0.10673999786376953</v>
          </cell>
          <cell r="R486">
            <v>0.10673999786376953</v>
          </cell>
          <cell r="S486">
            <v>0.10673999786376953</v>
          </cell>
          <cell r="T486">
            <v>0.10673999786376953</v>
          </cell>
          <cell r="U486">
            <v>0.10673999786376953</v>
          </cell>
          <cell r="V486">
            <v>0.10673999786376953</v>
          </cell>
        </row>
        <row r="487">
          <cell r="E487">
            <v>0.10673999786376953</v>
          </cell>
          <cell r="F487">
            <v>0.10673999786376953</v>
          </cell>
          <cell r="G487">
            <v>0.10673999786376953</v>
          </cell>
          <cell r="H487">
            <v>0.10673999786376953</v>
          </cell>
          <cell r="I487">
            <v>0.10673999786376953</v>
          </cell>
          <cell r="J487">
            <v>0.10673999786376953</v>
          </cell>
          <cell r="K487">
            <v>0.10673999786376953</v>
          </cell>
          <cell r="L487">
            <v>0.10673999786376953</v>
          </cell>
          <cell r="M487">
            <v>0.10673999786376953</v>
          </cell>
          <cell r="N487">
            <v>0.10673999786376953</v>
          </cell>
          <cell r="O487">
            <v>0.10673999786376953</v>
          </cell>
          <cell r="P487">
            <v>0.10673999786376953</v>
          </cell>
          <cell r="Q487">
            <v>0.10673999786376953</v>
          </cell>
          <cell r="R487">
            <v>0.10673999786376953</v>
          </cell>
          <cell r="S487">
            <v>0.10673999786376953</v>
          </cell>
          <cell r="T487">
            <v>0.10673999786376953</v>
          </cell>
          <cell r="U487">
            <v>0.10673999786376953</v>
          </cell>
          <cell r="V487">
            <v>0.10673999786376953</v>
          </cell>
        </row>
        <row r="488">
          <cell r="E488">
            <v>0.10673999786376953</v>
          </cell>
          <cell r="F488">
            <v>0.10673999786376953</v>
          </cell>
          <cell r="G488">
            <v>0.10673999786376953</v>
          </cell>
          <cell r="H488">
            <v>0.10673999786376953</v>
          </cell>
          <cell r="I488">
            <v>0.10673999786376953</v>
          </cell>
          <cell r="J488">
            <v>0.10673999786376953</v>
          </cell>
          <cell r="K488">
            <v>0.10673999786376953</v>
          </cell>
          <cell r="L488">
            <v>0.10673999786376953</v>
          </cell>
          <cell r="M488">
            <v>0.10673999786376953</v>
          </cell>
          <cell r="N488">
            <v>0.10673999786376953</v>
          </cell>
          <cell r="O488">
            <v>0.10673999786376953</v>
          </cell>
          <cell r="P488">
            <v>0.10673999786376953</v>
          </cell>
          <cell r="Q488">
            <v>0.10673999786376953</v>
          </cell>
          <cell r="R488">
            <v>0.10673999786376953</v>
          </cell>
          <cell r="S488">
            <v>0.10673999786376953</v>
          </cell>
          <cell r="T488">
            <v>0.10673999786376953</v>
          </cell>
          <cell r="U488">
            <v>0.10673999786376953</v>
          </cell>
          <cell r="V488">
            <v>0.10673999786376953</v>
          </cell>
        </row>
        <row r="489">
          <cell r="E489">
            <v>0.10673999786376953</v>
          </cell>
          <cell r="F489">
            <v>0.10673999786376953</v>
          </cell>
          <cell r="G489">
            <v>0.10673999786376953</v>
          </cell>
          <cell r="H489">
            <v>0.10673999786376953</v>
          </cell>
          <cell r="I489">
            <v>0.10673999786376953</v>
          </cell>
          <cell r="J489">
            <v>0.10673999786376953</v>
          </cell>
          <cell r="K489">
            <v>0.10673999786376953</v>
          </cell>
          <cell r="L489">
            <v>0.10673999786376953</v>
          </cell>
          <cell r="M489">
            <v>0.10673999786376953</v>
          </cell>
          <cell r="N489">
            <v>0.10673999786376953</v>
          </cell>
          <cell r="O489">
            <v>0.10673999786376953</v>
          </cell>
          <cell r="P489">
            <v>0.10673999786376953</v>
          </cell>
          <cell r="Q489">
            <v>0.10673999786376953</v>
          </cell>
          <cell r="R489">
            <v>0.10673999786376953</v>
          </cell>
          <cell r="S489">
            <v>0.10673999786376953</v>
          </cell>
          <cell r="T489">
            <v>0.10673999786376953</v>
          </cell>
          <cell r="U489">
            <v>0.10673999786376953</v>
          </cell>
          <cell r="V489">
            <v>0.10673999786376953</v>
          </cell>
        </row>
        <row r="490">
          <cell r="E490">
            <v>0.10673999786376953</v>
          </cell>
          <cell r="F490">
            <v>0.10673999786376953</v>
          </cell>
          <cell r="G490">
            <v>0.10673999786376953</v>
          </cell>
          <cell r="H490">
            <v>0.10673999786376953</v>
          </cell>
          <cell r="I490">
            <v>0.10673999786376953</v>
          </cell>
          <cell r="J490">
            <v>0.10673999786376953</v>
          </cell>
          <cell r="K490">
            <v>0.10673999786376953</v>
          </cell>
          <cell r="L490">
            <v>0.10673999786376953</v>
          </cell>
          <cell r="M490">
            <v>0.10673999786376953</v>
          </cell>
          <cell r="N490">
            <v>0.10673999786376953</v>
          </cell>
          <cell r="O490">
            <v>0.10673999786376953</v>
          </cell>
          <cell r="P490">
            <v>0.10673999786376953</v>
          </cell>
          <cell r="Q490">
            <v>0.10673999786376953</v>
          </cell>
          <cell r="R490">
            <v>0.10673999786376953</v>
          </cell>
          <cell r="S490">
            <v>0.10673999786376953</v>
          </cell>
          <cell r="T490">
            <v>0.10673999786376953</v>
          </cell>
          <cell r="U490">
            <v>0.10673999786376953</v>
          </cell>
          <cell r="V490">
            <v>0.10673999786376953</v>
          </cell>
        </row>
        <row r="491">
          <cell r="E491">
            <v>0.10673999786376953</v>
          </cell>
          <cell r="F491">
            <v>0.10673999786376953</v>
          </cell>
          <cell r="G491">
            <v>0.10673999786376953</v>
          </cell>
          <cell r="H491">
            <v>0.10673999786376953</v>
          </cell>
          <cell r="I491">
            <v>0.10673999786376953</v>
          </cell>
          <cell r="J491">
            <v>0.10673999786376953</v>
          </cell>
          <cell r="K491">
            <v>0.10673999786376953</v>
          </cell>
          <cell r="L491">
            <v>0.10673999786376953</v>
          </cell>
          <cell r="M491">
            <v>0.10673999786376953</v>
          </cell>
          <cell r="N491">
            <v>0.10673999786376953</v>
          </cell>
          <cell r="O491">
            <v>0.10673999786376953</v>
          </cell>
          <cell r="P491">
            <v>0.10673999786376953</v>
          </cell>
          <cell r="Q491">
            <v>0.10673999786376953</v>
          </cell>
          <cell r="R491">
            <v>0.10673999786376953</v>
          </cell>
          <cell r="S491">
            <v>0.10673999786376953</v>
          </cell>
          <cell r="T491">
            <v>0.10673999786376953</v>
          </cell>
          <cell r="U491">
            <v>0.10673999786376953</v>
          </cell>
          <cell r="V491">
            <v>0.10673999786376953</v>
          </cell>
        </row>
        <row r="492">
          <cell r="E492">
            <v>0.10673999786376953</v>
          </cell>
          <cell r="F492">
            <v>0.10673999786376953</v>
          </cell>
          <cell r="G492">
            <v>0.10673999786376953</v>
          </cell>
          <cell r="H492">
            <v>0.10673999786376953</v>
          </cell>
          <cell r="I492">
            <v>0.10673999786376953</v>
          </cell>
          <cell r="J492">
            <v>0.10673999786376953</v>
          </cell>
          <cell r="K492">
            <v>0.10673999786376953</v>
          </cell>
          <cell r="L492">
            <v>0.10673999786376953</v>
          </cell>
          <cell r="M492">
            <v>0.10673999786376953</v>
          </cell>
          <cell r="N492">
            <v>0.10673999786376953</v>
          </cell>
          <cell r="O492">
            <v>0.10673999786376953</v>
          </cell>
          <cell r="P492">
            <v>0.10673999786376953</v>
          </cell>
          <cell r="Q492">
            <v>0.10673999786376953</v>
          </cell>
          <cell r="R492">
            <v>0.10673999786376953</v>
          </cell>
          <cell r="S492">
            <v>0.10673999786376953</v>
          </cell>
          <cell r="T492">
            <v>0.10673999786376953</v>
          </cell>
          <cell r="U492">
            <v>0.10673999786376953</v>
          </cell>
          <cell r="V492">
            <v>0.10673999786376953</v>
          </cell>
        </row>
        <row r="493">
          <cell r="E493">
            <v>0.10673999786376953</v>
          </cell>
          <cell r="F493">
            <v>0.10673999786376953</v>
          </cell>
          <cell r="G493">
            <v>0.10673999786376953</v>
          </cell>
          <cell r="H493">
            <v>0.10673999786376953</v>
          </cell>
          <cell r="I493">
            <v>0.10673999786376953</v>
          </cell>
          <cell r="J493">
            <v>0.10673999786376953</v>
          </cell>
          <cell r="K493">
            <v>0.10673999786376953</v>
          </cell>
          <cell r="L493">
            <v>0.10673999786376953</v>
          </cell>
          <cell r="M493">
            <v>0.10673999786376953</v>
          </cell>
          <cell r="N493">
            <v>0.10673999786376953</v>
          </cell>
          <cell r="O493">
            <v>0.10673999786376953</v>
          </cell>
          <cell r="P493">
            <v>0.10673999786376953</v>
          </cell>
          <cell r="Q493">
            <v>0.10673999786376953</v>
          </cell>
          <cell r="R493">
            <v>0.10673999786376953</v>
          </cell>
          <cell r="S493">
            <v>0.10673999786376953</v>
          </cell>
          <cell r="T493">
            <v>0.10673999786376953</v>
          </cell>
          <cell r="U493">
            <v>0.10673999786376953</v>
          </cell>
          <cell r="V493">
            <v>0.10673999786376953</v>
          </cell>
        </row>
        <row r="494">
          <cell r="E494">
            <v>0.10673999786376953</v>
          </cell>
          <cell r="F494">
            <v>0.10673999786376953</v>
          </cell>
          <cell r="G494">
            <v>0.10673999786376953</v>
          </cell>
          <cell r="H494">
            <v>0.10673999786376953</v>
          </cell>
          <cell r="I494">
            <v>0.10673999786376953</v>
          </cell>
          <cell r="J494">
            <v>0.10673999786376953</v>
          </cell>
          <cell r="K494">
            <v>0.10673999786376953</v>
          </cell>
          <cell r="L494">
            <v>0.10673999786376953</v>
          </cell>
          <cell r="M494">
            <v>0.10673999786376953</v>
          </cell>
          <cell r="N494">
            <v>0.10673999786376953</v>
          </cell>
          <cell r="O494">
            <v>0.10673999786376953</v>
          </cell>
          <cell r="P494">
            <v>0.10673999786376953</v>
          </cell>
          <cell r="Q494">
            <v>0.10673999786376953</v>
          </cell>
          <cell r="R494">
            <v>0.10673999786376953</v>
          </cell>
          <cell r="S494">
            <v>0.10673999786376953</v>
          </cell>
          <cell r="T494">
            <v>0.10673999786376953</v>
          </cell>
          <cell r="U494">
            <v>0.10673999786376953</v>
          </cell>
          <cell r="V494">
            <v>0.10673999786376953</v>
          </cell>
        </row>
        <row r="495">
          <cell r="E495">
            <v>0.10673999786376953</v>
          </cell>
          <cell r="F495">
            <v>0.10673999786376953</v>
          </cell>
          <cell r="G495">
            <v>0.10673999786376953</v>
          </cell>
          <cell r="H495">
            <v>0.10673999786376953</v>
          </cell>
          <cell r="I495">
            <v>0.10673999786376953</v>
          </cell>
          <cell r="J495">
            <v>0.10673999786376953</v>
          </cell>
          <cell r="K495">
            <v>0.10673999786376953</v>
          </cell>
          <cell r="L495">
            <v>0.10673999786376953</v>
          </cell>
          <cell r="M495">
            <v>0.10673999786376953</v>
          </cell>
          <cell r="N495">
            <v>0.10673999786376953</v>
          </cell>
          <cell r="O495">
            <v>0.10673999786376953</v>
          </cell>
          <cell r="P495">
            <v>0.10673999786376953</v>
          </cell>
          <cell r="Q495">
            <v>0.10673999786376953</v>
          </cell>
          <cell r="R495">
            <v>0.10673999786376953</v>
          </cell>
          <cell r="S495">
            <v>0.10673999786376953</v>
          </cell>
          <cell r="T495">
            <v>0.10673999786376953</v>
          </cell>
          <cell r="U495">
            <v>0.10673999786376953</v>
          </cell>
          <cell r="V495">
            <v>0.10673999786376953</v>
          </cell>
        </row>
        <row r="496">
          <cell r="E496">
            <v>0.10673999786376953</v>
          </cell>
          <cell r="F496">
            <v>0.10673999786376953</v>
          </cell>
          <cell r="G496">
            <v>0.10673999786376953</v>
          </cell>
          <cell r="H496">
            <v>0.10673999786376953</v>
          </cell>
          <cell r="I496">
            <v>0.10673999786376953</v>
          </cell>
          <cell r="J496">
            <v>0.10673999786376953</v>
          </cell>
          <cell r="K496">
            <v>0.10673999786376953</v>
          </cell>
          <cell r="L496">
            <v>0.10673999786376953</v>
          </cell>
          <cell r="M496">
            <v>0.10673999786376953</v>
          </cell>
          <cell r="N496">
            <v>0.10673999786376953</v>
          </cell>
          <cell r="O496">
            <v>0.10673999786376953</v>
          </cell>
          <cell r="P496">
            <v>0.10673999786376953</v>
          </cell>
          <cell r="Q496">
            <v>0.10673999786376953</v>
          </cell>
          <cell r="R496">
            <v>0.10673999786376953</v>
          </cell>
          <cell r="S496">
            <v>0.10673999786376953</v>
          </cell>
          <cell r="T496">
            <v>0.10673999786376953</v>
          </cell>
          <cell r="U496">
            <v>0.10673999786376953</v>
          </cell>
          <cell r="V496">
            <v>0.10673999786376953</v>
          </cell>
        </row>
        <row r="497">
          <cell r="E497">
            <v>0.10673999786376953</v>
          </cell>
          <cell r="F497">
            <v>0.10673999786376953</v>
          </cell>
          <cell r="G497">
            <v>0.10673999786376953</v>
          </cell>
          <cell r="H497">
            <v>0.10673999786376953</v>
          </cell>
          <cell r="I497">
            <v>0.10673999786376953</v>
          </cell>
          <cell r="J497">
            <v>0.10673999786376953</v>
          </cell>
          <cell r="K497">
            <v>0.10673999786376953</v>
          </cell>
          <cell r="L497">
            <v>0.10673999786376953</v>
          </cell>
          <cell r="M497">
            <v>0.10673999786376953</v>
          </cell>
          <cell r="N497">
            <v>0.10673999786376953</v>
          </cell>
          <cell r="O497">
            <v>0.10673999786376953</v>
          </cell>
          <cell r="P497">
            <v>0.10673999786376953</v>
          </cell>
          <cell r="Q497">
            <v>0.10673999786376953</v>
          </cell>
          <cell r="R497">
            <v>0.10673999786376953</v>
          </cell>
          <cell r="S497">
            <v>0.10673999786376953</v>
          </cell>
          <cell r="T497">
            <v>0.10673999786376953</v>
          </cell>
          <cell r="U497">
            <v>0.10673999786376953</v>
          </cell>
          <cell r="V497">
            <v>0.10673999786376953</v>
          </cell>
        </row>
        <row r="498">
          <cell r="E498">
            <v>0.10673999786376953</v>
          </cell>
          <cell r="F498">
            <v>0.10673999786376953</v>
          </cell>
          <cell r="G498">
            <v>0.10673999786376953</v>
          </cell>
          <cell r="H498">
            <v>0.10673999786376953</v>
          </cell>
          <cell r="I498">
            <v>0.10673999786376953</v>
          </cell>
          <cell r="J498">
            <v>0.10673999786376953</v>
          </cell>
          <cell r="K498">
            <v>0.10673999786376953</v>
          </cell>
          <cell r="L498">
            <v>0.10673999786376953</v>
          </cell>
          <cell r="M498">
            <v>0.10673999786376953</v>
          </cell>
          <cell r="N498">
            <v>0.10673999786376953</v>
          </cell>
          <cell r="O498">
            <v>0.10673999786376953</v>
          </cell>
          <cell r="P498">
            <v>0.10673999786376953</v>
          </cell>
          <cell r="Q498">
            <v>0.10673999786376953</v>
          </cell>
          <cell r="R498">
            <v>0.10673999786376953</v>
          </cell>
          <cell r="S498">
            <v>0.10673999786376953</v>
          </cell>
          <cell r="T498">
            <v>0.10673999786376953</v>
          </cell>
          <cell r="U498">
            <v>0.10673999786376953</v>
          </cell>
          <cell r="V498">
            <v>0.10673999786376953</v>
          </cell>
        </row>
        <row r="499">
          <cell r="E499">
            <v>0.10673999786376953</v>
          </cell>
          <cell r="F499">
            <v>0.10673999786376953</v>
          </cell>
          <cell r="G499">
            <v>0.10673999786376953</v>
          </cell>
          <cell r="H499">
            <v>0.10673999786376953</v>
          </cell>
          <cell r="I499">
            <v>0.10673999786376953</v>
          </cell>
          <cell r="J499">
            <v>0.10673999786376953</v>
          </cell>
          <cell r="K499">
            <v>0.10673999786376953</v>
          </cell>
          <cell r="L499">
            <v>0.10673999786376953</v>
          </cell>
          <cell r="M499">
            <v>0.10673999786376953</v>
          </cell>
          <cell r="N499">
            <v>0.10673999786376953</v>
          </cell>
          <cell r="O499">
            <v>0.10673999786376953</v>
          </cell>
          <cell r="P499">
            <v>0.10673999786376953</v>
          </cell>
          <cell r="Q499">
            <v>0.10673999786376953</v>
          </cell>
          <cell r="R499">
            <v>0.10673999786376953</v>
          </cell>
          <cell r="S499">
            <v>0.10673999786376953</v>
          </cell>
          <cell r="T499">
            <v>0.10673999786376953</v>
          </cell>
          <cell r="U499">
            <v>0.10673999786376953</v>
          </cell>
          <cell r="V499">
            <v>0.10673999786376953</v>
          </cell>
        </row>
        <row r="500">
          <cell r="E500">
            <v>0.10673999786376953</v>
          </cell>
          <cell r="F500">
            <v>0.10673999786376953</v>
          </cell>
          <cell r="G500">
            <v>0.10673999786376953</v>
          </cell>
          <cell r="H500">
            <v>0.10673999786376953</v>
          </cell>
          <cell r="I500">
            <v>0.10673999786376953</v>
          </cell>
          <cell r="J500">
            <v>0.10673999786376953</v>
          </cell>
          <cell r="K500">
            <v>0.10673999786376953</v>
          </cell>
          <cell r="L500">
            <v>0.10673999786376953</v>
          </cell>
          <cell r="M500">
            <v>0.10673999786376953</v>
          </cell>
          <cell r="N500">
            <v>0.10673999786376953</v>
          </cell>
          <cell r="O500">
            <v>0.10673999786376953</v>
          </cell>
          <cell r="P500">
            <v>0.10673999786376953</v>
          </cell>
          <cell r="Q500">
            <v>0.10673999786376953</v>
          </cell>
          <cell r="R500">
            <v>0.10673999786376953</v>
          </cell>
          <cell r="S500">
            <v>0.10673999786376953</v>
          </cell>
          <cell r="T500">
            <v>0.10673999786376953</v>
          </cell>
          <cell r="U500">
            <v>0.10673999786376953</v>
          </cell>
          <cell r="V500">
            <v>0.10673999786376953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MH Detail"/>
      <sheetName val="UMH STPvsACT"/>
      <sheetName val="UMH Detail for Jan-26 -- 202601"/>
    </sheetNames>
    <sheetDataSet>
      <sheetData sheetId="0">
        <row r="4">
          <cell r="E4">
            <v>0</v>
          </cell>
          <cell r="F4">
            <v>0</v>
          </cell>
          <cell r="G4">
            <v>0</v>
          </cell>
        </row>
        <row r="5">
          <cell r="E5">
            <v>0</v>
          </cell>
          <cell r="F5">
            <v>0</v>
          </cell>
          <cell r="G5">
            <v>0</v>
          </cell>
        </row>
        <row r="6">
          <cell r="E6" t="str">
            <v>ASSY./PARTNUMBER(GCT)</v>
          </cell>
          <cell r="F6" t="str">
            <v>CU WEIGHT</v>
          </cell>
          <cell r="G6" t="str">
            <v>AL WEIGHT</v>
          </cell>
          <cell r="H6" t="str">
            <v>PROC_10</v>
          </cell>
          <cell r="I6" t="str">
            <v>PROC_20</v>
          </cell>
          <cell r="J6" t="str">
            <v>PROC_30</v>
          </cell>
          <cell r="K6" t="str">
            <v>PROC_40</v>
          </cell>
          <cell r="L6" t="str">
            <v>PROC_50</v>
          </cell>
          <cell r="M6" t="str">
            <v>PROC_60</v>
          </cell>
          <cell r="N6" t="str">
            <v>PROC_70</v>
          </cell>
          <cell r="O6" t="str">
            <v>PROC_80</v>
          </cell>
          <cell r="P6" t="str">
            <v>PROC_90</v>
          </cell>
          <cell r="Q6" t="str">
            <v>PROC_PA</v>
          </cell>
          <cell r="R6" t="str">
            <v>PROC_FA</v>
          </cell>
          <cell r="S6" t="str">
            <v>PROC_AB</v>
          </cell>
          <cell r="T6" t="str">
            <v>PROC_BC</v>
          </cell>
          <cell r="U6" t="str">
            <v>PROC_EV</v>
          </cell>
          <cell r="V6" t="str">
            <v>PROC_TOT</v>
          </cell>
        </row>
        <row r="7">
          <cell r="E7" t="str">
            <v>73755168</v>
          </cell>
          <cell r="F7">
            <v>9.8521999999999998</v>
          </cell>
          <cell r="G7">
            <v>0</v>
          </cell>
          <cell r="H7">
            <v>3.3449999999999999E-3</v>
          </cell>
          <cell r="I7">
            <v>2.2983333333333335E-2</v>
          </cell>
          <cell r="J7">
            <v>0</v>
          </cell>
          <cell r="K7">
            <v>1.65E-3</v>
          </cell>
          <cell r="L7">
            <v>1.5529999999999999E-2</v>
          </cell>
          <cell r="M7">
            <v>0</v>
          </cell>
          <cell r="N7">
            <v>1.3196666666666666E-2</v>
          </cell>
          <cell r="O7">
            <v>6.4216666666666667E-3</v>
          </cell>
          <cell r="P7">
            <v>3.1650000000000003E-3</v>
          </cell>
          <cell r="Q7">
            <v>2.6328333333333336E-2</v>
          </cell>
          <cell r="R7">
            <v>3.996333333333333E-2</v>
          </cell>
          <cell r="S7">
            <v>0</v>
          </cell>
          <cell r="T7">
            <v>0</v>
          </cell>
          <cell r="U7">
            <v>0</v>
          </cell>
          <cell r="V7">
            <v>6.6291666666666665E-2</v>
          </cell>
        </row>
        <row r="8">
          <cell r="E8" t="str">
            <v>73755169</v>
          </cell>
          <cell r="F8">
            <v>4.8666999999999998</v>
          </cell>
          <cell r="G8">
            <v>0</v>
          </cell>
          <cell r="H8">
            <v>3.0499999999999998E-3</v>
          </cell>
          <cell r="I8">
            <v>2.2983333333333335E-2</v>
          </cell>
          <cell r="J8">
            <v>0</v>
          </cell>
          <cell r="K8">
            <v>1.65E-3</v>
          </cell>
          <cell r="L8">
            <v>1.504E-2</v>
          </cell>
          <cell r="M8">
            <v>0</v>
          </cell>
          <cell r="N8">
            <v>1.3153333333333333E-2</v>
          </cell>
          <cell r="O8">
            <v>5.3449999999999999E-3</v>
          </cell>
          <cell r="P8">
            <v>2.4233333333333333E-3</v>
          </cell>
          <cell r="Q8">
            <v>2.6033333333333335E-2</v>
          </cell>
          <cell r="R8">
            <v>3.7611666666666668E-2</v>
          </cell>
          <cell r="S8">
            <v>0</v>
          </cell>
          <cell r="T8">
            <v>0</v>
          </cell>
          <cell r="U8">
            <v>0</v>
          </cell>
          <cell r="V8">
            <v>6.3645000000000007E-2</v>
          </cell>
        </row>
        <row r="9">
          <cell r="E9" t="str">
            <v>73755171</v>
          </cell>
          <cell r="F9">
            <v>9.8521999999999998</v>
          </cell>
          <cell r="G9">
            <v>0</v>
          </cell>
          <cell r="H9">
            <v>3.3449999999999999E-3</v>
          </cell>
          <cell r="I9">
            <v>2.2983333333333335E-2</v>
          </cell>
          <cell r="J9">
            <v>0</v>
          </cell>
          <cell r="K9">
            <v>1.65E-3</v>
          </cell>
          <cell r="L9">
            <v>1.5529999999999999E-2</v>
          </cell>
          <cell r="M9">
            <v>0</v>
          </cell>
          <cell r="N9">
            <v>1.3196666666666666E-2</v>
          </cell>
          <cell r="O9">
            <v>6.4216666666666667E-3</v>
          </cell>
          <cell r="P9">
            <v>3.1650000000000003E-3</v>
          </cell>
          <cell r="Q9">
            <v>2.6328333333333336E-2</v>
          </cell>
          <cell r="R9">
            <v>3.996333333333333E-2</v>
          </cell>
          <cell r="S9">
            <v>0</v>
          </cell>
          <cell r="T9">
            <v>0</v>
          </cell>
          <cell r="U9">
            <v>0</v>
          </cell>
          <cell r="V9">
            <v>6.6291666666666665E-2</v>
          </cell>
        </row>
        <row r="10">
          <cell r="E10" t="str">
            <v>74750039</v>
          </cell>
          <cell r="F10">
            <v>10.186500000000001</v>
          </cell>
          <cell r="G10">
            <v>0</v>
          </cell>
          <cell r="H10">
            <v>3.3649999999999999E-3</v>
          </cell>
          <cell r="I10">
            <v>2.2983333333333335E-2</v>
          </cell>
          <cell r="J10">
            <v>0</v>
          </cell>
          <cell r="K10">
            <v>1.65E-3</v>
          </cell>
          <cell r="L10">
            <v>1.5563333333333334E-2</v>
          </cell>
          <cell r="M10">
            <v>0</v>
          </cell>
          <cell r="N10">
            <v>1.32E-2</v>
          </cell>
          <cell r="O10">
            <v>6.4933333333333336E-3</v>
          </cell>
          <cell r="P10">
            <v>3.2133333333333332E-3</v>
          </cell>
          <cell r="Q10">
            <v>2.6348333333333335E-2</v>
          </cell>
          <cell r="R10">
            <v>4.0120000000000003E-2</v>
          </cell>
          <cell r="S10">
            <v>0</v>
          </cell>
          <cell r="T10">
            <v>0</v>
          </cell>
          <cell r="U10">
            <v>0</v>
          </cell>
          <cell r="V10">
            <v>6.6468333333333338E-2</v>
          </cell>
        </row>
        <row r="11">
          <cell r="E11" t="str">
            <v>74750040</v>
          </cell>
          <cell r="F11">
            <v>13.4557</v>
          </cell>
          <cell r="G11">
            <v>0</v>
          </cell>
          <cell r="H11">
            <v>3.5583333333333331E-3</v>
          </cell>
          <cell r="I11">
            <v>2.2983333333333335E-2</v>
          </cell>
          <cell r="J11">
            <v>0</v>
          </cell>
          <cell r="K11">
            <v>1.65E-3</v>
          </cell>
          <cell r="L11">
            <v>1.5885E-2</v>
          </cell>
          <cell r="M11">
            <v>0</v>
          </cell>
          <cell r="N11">
            <v>1.3229999999999999E-2</v>
          </cell>
          <cell r="O11">
            <v>7.2033333333333333E-3</v>
          </cell>
          <cell r="P11">
            <v>3.7000000000000002E-3</v>
          </cell>
          <cell r="Q11">
            <v>2.6541666666666668E-2</v>
          </cell>
          <cell r="R11">
            <v>4.1668333333333335E-2</v>
          </cell>
          <cell r="S11">
            <v>0</v>
          </cell>
          <cell r="T11">
            <v>0</v>
          </cell>
          <cell r="U11">
            <v>0</v>
          </cell>
          <cell r="V11">
            <v>6.8210000000000007E-2</v>
          </cell>
        </row>
        <row r="12">
          <cell r="E12" t="str">
            <v>74750041</v>
          </cell>
          <cell r="F12">
            <v>10.1494</v>
          </cell>
          <cell r="G12">
            <v>0</v>
          </cell>
          <cell r="H12">
            <v>3.3633333333333336E-3</v>
          </cell>
          <cell r="I12">
            <v>2.2983333333333335E-2</v>
          </cell>
          <cell r="J12">
            <v>0</v>
          </cell>
          <cell r="K12">
            <v>1.65E-3</v>
          </cell>
          <cell r="L12">
            <v>1.5558333333333334E-2</v>
          </cell>
          <cell r="M12">
            <v>0</v>
          </cell>
          <cell r="N12">
            <v>1.32E-2</v>
          </cell>
          <cell r="O12">
            <v>6.4883333333333329E-3</v>
          </cell>
          <cell r="P12">
            <v>3.2099999999999997E-3</v>
          </cell>
          <cell r="Q12">
            <v>2.6346666666666668E-2</v>
          </cell>
          <cell r="R12">
            <v>4.0106666666666665E-2</v>
          </cell>
          <cell r="S12">
            <v>0</v>
          </cell>
          <cell r="T12">
            <v>0</v>
          </cell>
          <cell r="U12">
            <v>0</v>
          </cell>
          <cell r="V12">
            <v>6.6453333333333336E-2</v>
          </cell>
        </row>
        <row r="13">
          <cell r="E13" t="str">
            <v>74750042</v>
          </cell>
          <cell r="F13">
            <v>5.1712999999999996</v>
          </cell>
          <cell r="G13">
            <v>0</v>
          </cell>
          <cell r="H13">
            <v>3.0683333333333335E-3</v>
          </cell>
          <cell r="I13">
            <v>2.2983333333333335E-2</v>
          </cell>
          <cell r="J13">
            <v>0</v>
          </cell>
          <cell r="K13">
            <v>1.65E-3</v>
          </cell>
          <cell r="L13">
            <v>1.507E-2</v>
          </cell>
          <cell r="M13">
            <v>0</v>
          </cell>
          <cell r="N13">
            <v>1.3155E-2</v>
          </cell>
          <cell r="O13">
            <v>5.4099999999999999E-3</v>
          </cell>
          <cell r="P13">
            <v>2.47E-3</v>
          </cell>
          <cell r="Q13">
            <v>2.6051666666666667E-2</v>
          </cell>
          <cell r="R13">
            <v>3.7754999999999997E-2</v>
          </cell>
          <cell r="S13">
            <v>0</v>
          </cell>
          <cell r="T13">
            <v>0</v>
          </cell>
          <cell r="U13">
            <v>0</v>
          </cell>
          <cell r="V13">
            <v>6.3806666666666664E-2</v>
          </cell>
        </row>
        <row r="14">
          <cell r="E14" t="str">
            <v>74750043</v>
          </cell>
          <cell r="F14">
            <v>9.4657999999999998</v>
          </cell>
          <cell r="G14">
            <v>0</v>
          </cell>
          <cell r="H14">
            <v>3.3216666666666668E-3</v>
          </cell>
          <cell r="I14">
            <v>2.2983333333333335E-2</v>
          </cell>
          <cell r="J14">
            <v>0</v>
          </cell>
          <cell r="K14">
            <v>1.65E-3</v>
          </cell>
          <cell r="L14">
            <v>1.5491666666666666E-2</v>
          </cell>
          <cell r="M14">
            <v>0</v>
          </cell>
          <cell r="N14">
            <v>1.3193333333333333E-2</v>
          </cell>
          <cell r="O14">
            <v>6.3383333333333338E-3</v>
          </cell>
          <cell r="P14">
            <v>3.1083333333333332E-3</v>
          </cell>
          <cell r="Q14">
            <v>2.6305000000000002E-2</v>
          </cell>
          <cell r="R14">
            <v>3.9781666666666667E-2</v>
          </cell>
          <cell r="S14">
            <v>0</v>
          </cell>
          <cell r="T14">
            <v>0</v>
          </cell>
          <cell r="U14">
            <v>0</v>
          </cell>
          <cell r="V14">
            <v>6.6086666666666669E-2</v>
          </cell>
        </row>
        <row r="15">
          <cell r="E15" t="str">
            <v>74757416</v>
          </cell>
          <cell r="F15">
            <v>24.727</v>
          </cell>
          <cell r="G15">
            <v>0</v>
          </cell>
          <cell r="H15">
            <v>9.75E-3</v>
          </cell>
          <cell r="I15">
            <v>7.911E-2</v>
          </cell>
          <cell r="J15">
            <v>0</v>
          </cell>
          <cell r="K15">
            <v>1.694E-2</v>
          </cell>
          <cell r="L15">
            <v>1.4043333333333333E-2</v>
          </cell>
          <cell r="M15">
            <v>0</v>
          </cell>
          <cell r="N15">
            <v>1.2263333333333333E-2</v>
          </cell>
          <cell r="O15">
            <v>9.4833333333333332E-3</v>
          </cell>
          <cell r="P15">
            <v>5.4516666666666663E-3</v>
          </cell>
          <cell r="Q15">
            <v>8.8859999999999995E-2</v>
          </cell>
          <cell r="R15">
            <v>5.8181666666666666E-2</v>
          </cell>
          <cell r="S15">
            <v>0</v>
          </cell>
          <cell r="T15">
            <v>0</v>
          </cell>
          <cell r="U15">
            <v>0</v>
          </cell>
          <cell r="V15">
            <v>0.14704166666666665</v>
          </cell>
        </row>
        <row r="16">
          <cell r="E16" t="str">
            <v>74757417</v>
          </cell>
          <cell r="F16">
            <v>16.1751</v>
          </cell>
          <cell r="G16">
            <v>0</v>
          </cell>
          <cell r="H16">
            <v>6.4816666666666668E-3</v>
          </cell>
          <cell r="I16">
            <v>5.2740000000000002E-2</v>
          </cell>
          <cell r="J16">
            <v>0</v>
          </cell>
          <cell r="K16">
            <v>1.1293333333333332E-2</v>
          </cell>
          <cell r="L16">
            <v>1.0943333333333333E-2</v>
          </cell>
          <cell r="M16">
            <v>0</v>
          </cell>
          <cell r="N16">
            <v>1.1456666666666667E-2</v>
          </cell>
          <cell r="O16">
            <v>7.4900000000000001E-3</v>
          </cell>
          <cell r="P16">
            <v>4.0833333333333329E-3</v>
          </cell>
          <cell r="Q16">
            <v>5.9221666666666672E-2</v>
          </cell>
          <cell r="R16">
            <v>4.526666666666667E-2</v>
          </cell>
          <cell r="S16">
            <v>0</v>
          </cell>
          <cell r="T16">
            <v>0</v>
          </cell>
          <cell r="U16">
            <v>0</v>
          </cell>
          <cell r="V16">
            <v>0.10448833333333335</v>
          </cell>
        </row>
        <row r="17">
          <cell r="E17" t="str">
            <v>74757567</v>
          </cell>
          <cell r="F17">
            <v>25.5443</v>
          </cell>
          <cell r="G17">
            <v>0</v>
          </cell>
          <cell r="H17">
            <v>9.7983333333333325E-3</v>
          </cell>
          <cell r="I17">
            <v>7.911E-2</v>
          </cell>
          <cell r="J17">
            <v>0</v>
          </cell>
          <cell r="K17">
            <v>1.694E-2</v>
          </cell>
          <cell r="L17">
            <v>1.5664999999999998E-2</v>
          </cell>
          <cell r="M17">
            <v>0</v>
          </cell>
          <cell r="N17">
            <v>1.2271666666666665E-2</v>
          </cell>
          <cell r="O17">
            <v>9.6616666666666674E-3</v>
          </cell>
          <cell r="P17">
            <v>5.5733333333333329E-3</v>
          </cell>
          <cell r="Q17">
            <v>8.8908333333333339E-2</v>
          </cell>
          <cell r="R17">
            <v>6.011166666666666E-2</v>
          </cell>
          <cell r="S17">
            <v>0</v>
          </cell>
          <cell r="T17">
            <v>0</v>
          </cell>
          <cell r="U17">
            <v>0</v>
          </cell>
          <cell r="V17">
            <v>0.14901999999999999</v>
          </cell>
        </row>
        <row r="18">
          <cell r="E18" t="str">
            <v>74757568</v>
          </cell>
          <cell r="F18">
            <v>17.5199</v>
          </cell>
          <cell r="G18">
            <v>0</v>
          </cell>
          <cell r="H18">
            <v>6.5599999999999999E-3</v>
          </cell>
          <cell r="I18">
            <v>5.2740000000000002E-2</v>
          </cell>
          <cell r="J18">
            <v>0</v>
          </cell>
          <cell r="K18">
            <v>1.1293333333333332E-2</v>
          </cell>
          <cell r="L18">
            <v>1.2614999999999999E-2</v>
          </cell>
          <cell r="M18">
            <v>0</v>
          </cell>
          <cell r="N18">
            <v>1.1468333333333334E-2</v>
          </cell>
          <cell r="O18">
            <v>7.7799999999999996E-3</v>
          </cell>
          <cell r="P18">
            <v>4.2833333333333334E-3</v>
          </cell>
          <cell r="Q18">
            <v>5.9300000000000005E-2</v>
          </cell>
          <cell r="R18">
            <v>4.7440000000000003E-2</v>
          </cell>
          <cell r="S18">
            <v>0</v>
          </cell>
          <cell r="T18">
            <v>0</v>
          </cell>
          <cell r="U18">
            <v>0</v>
          </cell>
          <cell r="V18">
            <v>0.10674</v>
          </cell>
        </row>
        <row r="19">
          <cell r="E19" t="str">
            <v>8211376170</v>
          </cell>
          <cell r="F19">
            <v>47.161000000000001</v>
          </cell>
          <cell r="G19">
            <v>0</v>
          </cell>
          <cell r="H19">
            <v>1.9398333333333333E-2</v>
          </cell>
          <cell r="I19">
            <v>3.1591666666666664E-2</v>
          </cell>
          <cell r="J19">
            <v>0</v>
          </cell>
          <cell r="K19">
            <v>4.7904999999999996E-2</v>
          </cell>
          <cell r="L19">
            <v>0.21232333333333334</v>
          </cell>
          <cell r="M19">
            <v>0</v>
          </cell>
          <cell r="N19">
            <v>2.0334999999999999E-2</v>
          </cell>
          <cell r="O19">
            <v>1.3406666666666667E-2</v>
          </cell>
          <cell r="P19">
            <v>4.6049999999999997E-3</v>
          </cell>
          <cell r="Q19">
            <v>5.0989999999999994E-2</v>
          </cell>
          <cell r="R19">
            <v>0.29857500000000003</v>
          </cell>
          <cell r="S19">
            <v>0</v>
          </cell>
          <cell r="T19">
            <v>0</v>
          </cell>
          <cell r="U19">
            <v>0</v>
          </cell>
          <cell r="V19">
            <v>0.34956500000000001</v>
          </cell>
        </row>
        <row r="20">
          <cell r="E20" t="str">
            <v>8211376180</v>
          </cell>
          <cell r="F20">
            <v>47.161000000000001</v>
          </cell>
          <cell r="G20">
            <v>0</v>
          </cell>
          <cell r="H20">
            <v>1.9816666666666666E-2</v>
          </cell>
          <cell r="I20">
            <v>3.1591666666666664E-2</v>
          </cell>
          <cell r="J20">
            <v>0</v>
          </cell>
          <cell r="K20">
            <v>4.7904999999999996E-2</v>
          </cell>
          <cell r="L20">
            <v>0.246005</v>
          </cell>
          <cell r="M20">
            <v>0</v>
          </cell>
          <cell r="N20">
            <v>2.0083333333333335E-2</v>
          </cell>
          <cell r="O20">
            <v>1.4525000000000001E-2</v>
          </cell>
          <cell r="P20">
            <v>5.3699999999999998E-3</v>
          </cell>
          <cell r="Q20">
            <v>5.1408333333333334E-2</v>
          </cell>
          <cell r="R20">
            <v>0.33388833333333334</v>
          </cell>
          <cell r="S20">
            <v>0</v>
          </cell>
          <cell r="T20">
            <v>0</v>
          </cell>
          <cell r="U20">
            <v>0</v>
          </cell>
          <cell r="V20">
            <v>0.38529666666666668</v>
          </cell>
        </row>
        <row r="21">
          <cell r="E21" t="str">
            <v>8211376190</v>
          </cell>
          <cell r="F21">
            <v>28.8535</v>
          </cell>
          <cell r="G21">
            <v>0</v>
          </cell>
          <cell r="H21">
            <v>7.9316666666666667E-3</v>
          </cell>
          <cell r="I21">
            <v>1.6673333333333332E-2</v>
          </cell>
          <cell r="J21">
            <v>0</v>
          </cell>
          <cell r="K21">
            <v>2.3704999999999997E-2</v>
          </cell>
          <cell r="L21">
            <v>7.011666666666666E-2</v>
          </cell>
          <cell r="M21">
            <v>0</v>
          </cell>
          <cell r="N21">
            <v>1.5224999999999999E-2</v>
          </cell>
          <cell r="O21">
            <v>9.6666666666666654E-3</v>
          </cell>
          <cell r="P21">
            <v>3.065E-3</v>
          </cell>
          <cell r="Q21">
            <v>2.4604999999999998E-2</v>
          </cell>
          <cell r="R21">
            <v>0.12177833333333334</v>
          </cell>
          <cell r="S21">
            <v>0</v>
          </cell>
          <cell r="T21">
            <v>0</v>
          </cell>
          <cell r="U21">
            <v>0</v>
          </cell>
          <cell r="V21">
            <v>0.14638333333333334</v>
          </cell>
        </row>
        <row r="22">
          <cell r="E22" t="str">
            <v>8211376210</v>
          </cell>
          <cell r="F22">
            <v>47.764699999999998</v>
          </cell>
          <cell r="G22">
            <v>0</v>
          </cell>
          <cell r="H22">
            <v>1.9431666666666667E-2</v>
          </cell>
          <cell r="I22">
            <v>3.168166666666667E-2</v>
          </cell>
          <cell r="J22">
            <v>0</v>
          </cell>
          <cell r="K22">
            <v>4.7904999999999996E-2</v>
          </cell>
          <cell r="L22">
            <v>0.21291333333333334</v>
          </cell>
          <cell r="M22">
            <v>0</v>
          </cell>
          <cell r="N22">
            <v>2.0338333333333333E-2</v>
          </cell>
          <cell r="O22">
            <v>1.3476666666666666E-2</v>
          </cell>
          <cell r="P22">
            <v>4.6533333333333331E-3</v>
          </cell>
          <cell r="Q22">
            <v>5.1113333333333337E-2</v>
          </cell>
          <cell r="R22">
            <v>0.2992866666666667</v>
          </cell>
          <cell r="S22">
            <v>0</v>
          </cell>
          <cell r="T22">
            <v>0</v>
          </cell>
          <cell r="U22">
            <v>0</v>
          </cell>
          <cell r="V22">
            <v>0.35040000000000004</v>
          </cell>
        </row>
        <row r="23">
          <cell r="E23" t="str">
            <v>8211376220</v>
          </cell>
          <cell r="F23">
            <v>47.764699999999998</v>
          </cell>
          <cell r="G23">
            <v>0</v>
          </cell>
          <cell r="H23">
            <v>1.985E-2</v>
          </cell>
          <cell r="I23">
            <v>3.168166666666667E-2</v>
          </cell>
          <cell r="J23">
            <v>0</v>
          </cell>
          <cell r="K23">
            <v>4.7904999999999996E-2</v>
          </cell>
          <cell r="L23">
            <v>0.24659666666666666</v>
          </cell>
          <cell r="M23">
            <v>0</v>
          </cell>
          <cell r="N23">
            <v>2.0086666666666666E-2</v>
          </cell>
          <cell r="O23">
            <v>1.4595E-2</v>
          </cell>
          <cell r="P23">
            <v>5.4166666666666669E-3</v>
          </cell>
          <cell r="Q23">
            <v>5.153166666666667E-2</v>
          </cell>
          <cell r="R23">
            <v>0.33460000000000001</v>
          </cell>
          <cell r="S23">
            <v>0</v>
          </cell>
          <cell r="T23">
            <v>0</v>
          </cell>
          <cell r="U23">
            <v>0</v>
          </cell>
          <cell r="V23">
            <v>0.38613166666666665</v>
          </cell>
        </row>
        <row r="24">
          <cell r="E24" t="str">
            <v>8211576020</v>
          </cell>
          <cell r="F24">
            <v>4284.1365999999998</v>
          </cell>
          <cell r="G24">
            <v>27.536999999999999</v>
          </cell>
          <cell r="H24">
            <v>0.27890666666666669</v>
          </cell>
          <cell r="I24">
            <v>0.51476</v>
          </cell>
          <cell r="J24">
            <v>0.25136833333333336</v>
          </cell>
          <cell r="K24">
            <v>0.79970833333333335</v>
          </cell>
          <cell r="L24">
            <v>1.8754899999999999</v>
          </cell>
          <cell r="M24">
            <v>8.1386666666666677E-2</v>
          </cell>
          <cell r="N24">
            <v>0.22015999999999999</v>
          </cell>
          <cell r="O24">
            <v>0.16966333333333333</v>
          </cell>
          <cell r="P24">
            <v>8.1506666666666672E-2</v>
          </cell>
          <cell r="Q24">
            <v>1.0450350000000002</v>
          </cell>
          <cell r="R24">
            <v>3.2279149999999999</v>
          </cell>
          <cell r="S24">
            <v>3.9266666666666665E-2</v>
          </cell>
          <cell r="T24">
            <v>1.5238333333333333E-2</v>
          </cell>
          <cell r="U24">
            <v>0</v>
          </cell>
          <cell r="V24">
            <v>4.3274549999999996</v>
          </cell>
        </row>
        <row r="25">
          <cell r="E25" t="str">
            <v>8211576030</v>
          </cell>
          <cell r="F25">
            <v>4601.6247000000003</v>
          </cell>
          <cell r="G25">
            <v>20.572600000000001</v>
          </cell>
          <cell r="H25">
            <v>0.298205</v>
          </cell>
          <cell r="I25">
            <v>0.53080166666666662</v>
          </cell>
          <cell r="J25">
            <v>0.25692166666666666</v>
          </cell>
          <cell r="K25">
            <v>0.87941166666666659</v>
          </cell>
          <cell r="L25">
            <v>1.9565266666666665</v>
          </cell>
          <cell r="M25">
            <v>8.3023333333333324E-2</v>
          </cell>
          <cell r="N25">
            <v>0.22662833333333332</v>
          </cell>
          <cell r="O25">
            <v>0.17280666666666666</v>
          </cell>
          <cell r="P25">
            <v>8.1826666666666659E-2</v>
          </cell>
          <cell r="Q25">
            <v>1.0859283333333334</v>
          </cell>
          <cell r="R25">
            <v>3.4002233333333329</v>
          </cell>
          <cell r="S25">
            <v>3.9266666666666665E-2</v>
          </cell>
          <cell r="T25">
            <v>1.5238333333333333E-2</v>
          </cell>
          <cell r="U25">
            <v>0</v>
          </cell>
          <cell r="V25">
            <v>4.5406566666666661</v>
          </cell>
        </row>
        <row r="26">
          <cell r="E26" t="str">
            <v>8211576040</v>
          </cell>
          <cell r="F26">
            <v>4578.6535999999996</v>
          </cell>
          <cell r="G26">
            <v>20.572600000000001</v>
          </cell>
          <cell r="H26">
            <v>0.29448999999999997</v>
          </cell>
          <cell r="I26">
            <v>0.52669833333333338</v>
          </cell>
          <cell r="J26">
            <v>0.25692166666666666</v>
          </cell>
          <cell r="K26">
            <v>0.87137333333333333</v>
          </cell>
          <cell r="L26">
            <v>1.9251483333333332</v>
          </cell>
          <cell r="M26">
            <v>8.2928333333333326E-2</v>
          </cell>
          <cell r="N26">
            <v>0.22404666666666667</v>
          </cell>
          <cell r="O26">
            <v>0.17199666666666669</v>
          </cell>
          <cell r="P26">
            <v>8.1466666666666659E-2</v>
          </cell>
          <cell r="Q26">
            <v>1.0781100000000001</v>
          </cell>
          <cell r="R26">
            <v>3.3569599999999999</v>
          </cell>
          <cell r="S26">
            <v>3.9266666666666665E-2</v>
          </cell>
          <cell r="T26">
            <v>1.5238333333333333E-2</v>
          </cell>
          <cell r="U26">
            <v>0</v>
          </cell>
          <cell r="V26">
            <v>4.4895749999999994</v>
          </cell>
        </row>
        <row r="27">
          <cell r="E27" t="str">
            <v>8211576050</v>
          </cell>
          <cell r="F27">
            <v>4559.5558000000001</v>
          </cell>
          <cell r="G27">
            <v>20.572600000000001</v>
          </cell>
          <cell r="H27">
            <v>0.29837999999999998</v>
          </cell>
          <cell r="I27">
            <v>0.48004833333333335</v>
          </cell>
          <cell r="J27">
            <v>0.24274999999999999</v>
          </cell>
          <cell r="K27">
            <v>0.8629216666666667</v>
          </cell>
          <cell r="L27">
            <v>1.9771933333333334</v>
          </cell>
          <cell r="M27">
            <v>8.3896666666666675E-2</v>
          </cell>
          <cell r="N27">
            <v>0.22725833333333334</v>
          </cell>
          <cell r="O27">
            <v>0.17846666666666666</v>
          </cell>
          <cell r="P27">
            <v>8.2608333333333311E-2</v>
          </cell>
          <cell r="Q27">
            <v>1.0211783333333333</v>
          </cell>
          <cell r="R27">
            <v>3.4123449999999997</v>
          </cell>
          <cell r="S27">
            <v>3.9266666666666665E-2</v>
          </cell>
          <cell r="T27">
            <v>1.5238333333333333E-2</v>
          </cell>
          <cell r="U27">
            <v>0</v>
          </cell>
          <cell r="V27">
            <v>4.4880283333333333</v>
          </cell>
        </row>
        <row r="28">
          <cell r="E28" t="str">
            <v>8211576060</v>
          </cell>
          <cell r="F28">
            <v>4585.3680999999997</v>
          </cell>
          <cell r="G28">
            <v>20.572600000000001</v>
          </cell>
          <cell r="H28">
            <v>0.29385166666666668</v>
          </cell>
          <cell r="I28">
            <v>0.52736833333333333</v>
          </cell>
          <cell r="J28">
            <v>0.25692166666666666</v>
          </cell>
          <cell r="K28">
            <v>0.85805833333333337</v>
          </cell>
          <cell r="L28">
            <v>1.9642466666666667</v>
          </cell>
          <cell r="M28">
            <v>8.3896666666666675E-2</v>
          </cell>
          <cell r="N28">
            <v>0.22837166666666667</v>
          </cell>
          <cell r="O28">
            <v>0.17873666666666665</v>
          </cell>
          <cell r="P28">
            <v>8.2608333333333325E-2</v>
          </cell>
          <cell r="Q28">
            <v>1.0781416666666668</v>
          </cell>
          <cell r="R28">
            <v>3.3959183333333334</v>
          </cell>
          <cell r="S28">
            <v>3.9266666666666665E-2</v>
          </cell>
          <cell r="T28">
            <v>1.5238333333333333E-2</v>
          </cell>
          <cell r="U28">
            <v>0</v>
          </cell>
          <cell r="V28">
            <v>4.5285649999999995</v>
          </cell>
        </row>
        <row r="29">
          <cell r="E29" t="str">
            <v>8212512660</v>
          </cell>
          <cell r="F29">
            <v>19.306999999999999</v>
          </cell>
          <cell r="G29">
            <v>0</v>
          </cell>
          <cell r="H29">
            <v>1.0141666666666667E-2</v>
          </cell>
          <cell r="I29">
            <v>0</v>
          </cell>
          <cell r="J29">
            <v>1.302E-2</v>
          </cell>
          <cell r="K29">
            <v>2.6033333333333335E-2</v>
          </cell>
          <cell r="L29">
            <v>9.7705E-2</v>
          </cell>
          <cell r="M29">
            <v>1.0450000000000001E-3</v>
          </cell>
          <cell r="N29">
            <v>1.3483333333333335E-2</v>
          </cell>
          <cell r="O29">
            <v>8.4883333333333321E-3</v>
          </cell>
          <cell r="P29">
            <v>3.7383333333333335E-3</v>
          </cell>
          <cell r="Q29">
            <v>2.3161666666666667E-2</v>
          </cell>
          <cell r="R29">
            <v>0.15049333333333334</v>
          </cell>
          <cell r="S29">
            <v>0</v>
          </cell>
          <cell r="T29">
            <v>0</v>
          </cell>
          <cell r="U29">
            <v>0</v>
          </cell>
          <cell r="V29">
            <v>0.173655</v>
          </cell>
        </row>
        <row r="30">
          <cell r="E30" t="str">
            <v>8212533180</v>
          </cell>
          <cell r="F30">
            <v>13.433299999999999</v>
          </cell>
          <cell r="G30">
            <v>0</v>
          </cell>
          <cell r="H30">
            <v>1.0136666666666665E-2</v>
          </cell>
          <cell r="I30">
            <v>0</v>
          </cell>
          <cell r="J30">
            <v>1.302E-2</v>
          </cell>
          <cell r="K30">
            <v>2.0313333333333336E-2</v>
          </cell>
          <cell r="L30">
            <v>9.212833333333334E-2</v>
          </cell>
          <cell r="M30">
            <v>1.0450000000000001E-3</v>
          </cell>
          <cell r="N30">
            <v>1.3481666666666666E-2</v>
          </cell>
          <cell r="O30">
            <v>7.906666666666666E-3</v>
          </cell>
          <cell r="P30">
            <v>3.7099999999999998E-3</v>
          </cell>
          <cell r="Q30">
            <v>2.3156666666666666E-2</v>
          </cell>
          <cell r="R30">
            <v>0.13858500000000001</v>
          </cell>
          <cell r="S30">
            <v>0</v>
          </cell>
          <cell r="T30">
            <v>0</v>
          </cell>
          <cell r="U30">
            <v>0</v>
          </cell>
          <cell r="V30">
            <v>0.16174166666666667</v>
          </cell>
        </row>
        <row r="31">
          <cell r="E31" t="str">
            <v>8212552190</v>
          </cell>
          <cell r="F31">
            <v>7.0766000000000009</v>
          </cell>
          <cell r="G31">
            <v>0</v>
          </cell>
          <cell r="H31">
            <v>5.678333333333333E-3</v>
          </cell>
          <cell r="I31">
            <v>0</v>
          </cell>
          <cell r="J31">
            <v>1.1991666666666668E-2</v>
          </cell>
          <cell r="K31">
            <v>1.6023333333333334E-2</v>
          </cell>
          <cell r="L31">
            <v>6.617166666666667E-2</v>
          </cell>
          <cell r="M31">
            <v>1.0450000000000001E-3</v>
          </cell>
          <cell r="N31">
            <v>1.1741666666666668E-2</v>
          </cell>
          <cell r="O31">
            <v>6.7133333333333333E-3</v>
          </cell>
          <cell r="P31">
            <v>2.895E-3</v>
          </cell>
          <cell r="Q31">
            <v>1.7670000000000002E-2</v>
          </cell>
          <cell r="R31">
            <v>0.10459</v>
          </cell>
          <cell r="S31">
            <v>0</v>
          </cell>
          <cell r="T31">
            <v>0</v>
          </cell>
          <cell r="U31">
            <v>0</v>
          </cell>
          <cell r="V31">
            <v>0.12226000000000001</v>
          </cell>
        </row>
        <row r="32">
          <cell r="E32" t="str">
            <v>8212612010</v>
          </cell>
          <cell r="F32">
            <v>27.472000000000001</v>
          </cell>
          <cell r="G32">
            <v>0</v>
          </cell>
          <cell r="H32">
            <v>7.7033333333333337E-3</v>
          </cell>
          <cell r="I32">
            <v>1.4534999999999999E-2</v>
          </cell>
          <cell r="J32">
            <v>0</v>
          </cell>
          <cell r="K32">
            <v>1.54E-2</v>
          </cell>
          <cell r="L32">
            <v>7.0035E-2</v>
          </cell>
          <cell r="M32">
            <v>0</v>
          </cell>
          <cell r="N32">
            <v>1.2110000000000001E-2</v>
          </cell>
          <cell r="O32">
            <v>7.6483333333333325E-3</v>
          </cell>
          <cell r="P32">
            <v>3.0733333333333333E-3</v>
          </cell>
          <cell r="Q32">
            <v>2.2238333333333332E-2</v>
          </cell>
          <cell r="R32">
            <v>0.10826666666666665</v>
          </cell>
          <cell r="S32">
            <v>0</v>
          </cell>
          <cell r="T32">
            <v>0</v>
          </cell>
          <cell r="U32">
            <v>0</v>
          </cell>
          <cell r="V32">
            <v>0.13050499999999998</v>
          </cell>
        </row>
        <row r="33">
          <cell r="E33" t="str">
            <v>8212633050</v>
          </cell>
          <cell r="F33">
            <v>39.090400000000002</v>
          </cell>
          <cell r="G33">
            <v>0</v>
          </cell>
          <cell r="H33">
            <v>7.711666666666667E-3</v>
          </cell>
          <cell r="I33">
            <v>8.2633333333333343E-3</v>
          </cell>
          <cell r="J33">
            <v>0</v>
          </cell>
          <cell r="K33">
            <v>1.54E-2</v>
          </cell>
          <cell r="L33">
            <v>6.5471666666666664E-2</v>
          </cell>
          <cell r="M33">
            <v>0</v>
          </cell>
          <cell r="N33">
            <v>1.2116666666666666E-2</v>
          </cell>
          <cell r="O33">
            <v>7.8200000000000006E-3</v>
          </cell>
          <cell r="P33">
            <v>3.1916666666666669E-3</v>
          </cell>
          <cell r="Q33">
            <v>1.5975000000000003E-2</v>
          </cell>
          <cell r="R33">
            <v>0.104</v>
          </cell>
          <cell r="S33">
            <v>0</v>
          </cell>
          <cell r="T33">
            <v>0</v>
          </cell>
          <cell r="U33">
            <v>0</v>
          </cell>
          <cell r="V33">
            <v>0.119975</v>
          </cell>
        </row>
        <row r="34">
          <cell r="E34" t="str">
            <v>8221912140</v>
          </cell>
          <cell r="F34">
            <v>13.566400000000002</v>
          </cell>
          <cell r="G34">
            <v>0</v>
          </cell>
          <cell r="H34">
            <v>9.4366666666666679E-3</v>
          </cell>
          <cell r="I34">
            <v>7.1383333333333333E-3</v>
          </cell>
          <cell r="J34">
            <v>0</v>
          </cell>
          <cell r="K34">
            <v>2.7298333333333331E-2</v>
          </cell>
          <cell r="L34">
            <v>0.10087666666666667</v>
          </cell>
          <cell r="M34">
            <v>0</v>
          </cell>
          <cell r="N34">
            <v>1.4631666666666666E-2</v>
          </cell>
          <cell r="O34">
            <v>8.2716666666666668E-3</v>
          </cell>
          <cell r="P34">
            <v>3.3149999999999998E-3</v>
          </cell>
          <cell r="Q34">
            <v>1.6574999999999999E-2</v>
          </cell>
          <cell r="R34">
            <v>0.15439333333333335</v>
          </cell>
          <cell r="S34">
            <v>0</v>
          </cell>
          <cell r="T34">
            <v>0</v>
          </cell>
          <cell r="U34">
            <v>0</v>
          </cell>
          <cell r="V34">
            <v>0.17096833333333336</v>
          </cell>
        </row>
        <row r="35">
          <cell r="E35" t="str">
            <v>8221933140</v>
          </cell>
          <cell r="F35">
            <v>17.4328</v>
          </cell>
          <cell r="G35">
            <v>0</v>
          </cell>
          <cell r="H35">
            <v>1.1250000000000001E-2</v>
          </cell>
          <cell r="I35">
            <v>5.0054999999999995E-2</v>
          </cell>
          <cell r="J35">
            <v>7.4199999999999995E-3</v>
          </cell>
          <cell r="K35">
            <v>2.2421666666666666E-2</v>
          </cell>
          <cell r="L35">
            <v>0.10713166666666667</v>
          </cell>
          <cell r="M35">
            <v>0</v>
          </cell>
          <cell r="N35">
            <v>1.4713333333333333E-2</v>
          </cell>
          <cell r="O35">
            <v>8.331666666666666E-3</v>
          </cell>
          <cell r="P35">
            <v>3.3566666666666667E-3</v>
          </cell>
          <cell r="Q35">
            <v>6.8724999999999994E-2</v>
          </cell>
          <cell r="R35">
            <v>0.15595499999999998</v>
          </cell>
          <cell r="S35">
            <v>0</v>
          </cell>
          <cell r="T35">
            <v>0</v>
          </cell>
          <cell r="U35">
            <v>0</v>
          </cell>
          <cell r="V35">
            <v>0.22467999999999999</v>
          </cell>
        </row>
        <row r="36">
          <cell r="E36" t="str">
            <v>8221933141</v>
          </cell>
          <cell r="F36">
            <v>15.3857</v>
          </cell>
          <cell r="G36">
            <v>0</v>
          </cell>
          <cell r="H36">
            <v>9.3883333333333336E-3</v>
          </cell>
          <cell r="I36">
            <v>4.9259999999999998E-2</v>
          </cell>
          <cell r="J36">
            <v>7.4199999999999995E-3</v>
          </cell>
          <cell r="K36">
            <v>2.0735E-2</v>
          </cell>
          <cell r="L36">
            <v>9.7028333333333328E-2</v>
          </cell>
          <cell r="M36">
            <v>0</v>
          </cell>
          <cell r="N36">
            <v>1.3890000000000001E-2</v>
          </cell>
          <cell r="O36">
            <v>7.7383333333333332E-3</v>
          </cell>
          <cell r="P36">
            <v>3.0433333333333337E-3</v>
          </cell>
          <cell r="Q36">
            <v>6.6068333333333326E-2</v>
          </cell>
          <cell r="R36">
            <v>0.14243500000000003</v>
          </cell>
          <cell r="S36">
            <v>0</v>
          </cell>
          <cell r="T36">
            <v>0</v>
          </cell>
          <cell r="U36">
            <v>0</v>
          </cell>
          <cell r="V36">
            <v>0.20850333333333337</v>
          </cell>
        </row>
        <row r="37">
          <cell r="E37" t="str">
            <v>8221976020</v>
          </cell>
          <cell r="F37">
            <v>10.9034</v>
          </cell>
          <cell r="G37">
            <v>0</v>
          </cell>
          <cell r="H37">
            <v>7.5733333333333338E-3</v>
          </cell>
          <cell r="I37">
            <v>4.0066666666666671E-3</v>
          </cell>
          <cell r="J37">
            <v>0</v>
          </cell>
          <cell r="K37">
            <v>2.5611666666666665E-2</v>
          </cell>
          <cell r="L37">
            <v>9.1294999999999987E-2</v>
          </cell>
          <cell r="M37">
            <v>0</v>
          </cell>
          <cell r="N37">
            <v>1.3806666666666667E-2</v>
          </cell>
          <cell r="O37">
            <v>7.6666666666666671E-3</v>
          </cell>
          <cell r="P37">
            <v>2.9949999999999998E-3</v>
          </cell>
          <cell r="Q37">
            <v>1.158E-2</v>
          </cell>
          <cell r="R37">
            <v>0.14137499999999997</v>
          </cell>
          <cell r="S37">
            <v>0</v>
          </cell>
          <cell r="T37">
            <v>0</v>
          </cell>
          <cell r="U37">
            <v>0</v>
          </cell>
          <cell r="V37">
            <v>0.15295499999999998</v>
          </cell>
        </row>
        <row r="38">
          <cell r="E38" t="str">
            <v>821111HS00</v>
          </cell>
          <cell r="F38">
            <v>3157.0001000000002</v>
          </cell>
          <cell r="G38">
            <v>0</v>
          </cell>
          <cell r="H38">
            <v>0.18822</v>
          </cell>
          <cell r="I38">
            <v>0.18331500000000001</v>
          </cell>
          <cell r="J38">
            <v>0.15852666666666665</v>
          </cell>
          <cell r="K38">
            <v>0.54795666666666665</v>
          </cell>
          <cell r="L38">
            <v>1.3936750000000002</v>
          </cell>
          <cell r="M38">
            <v>6.2530000000000002E-2</v>
          </cell>
          <cell r="N38">
            <v>0.156495</v>
          </cell>
          <cell r="O38">
            <v>0.13254833333333332</v>
          </cell>
          <cell r="P38">
            <v>9.9633333333333324E-2</v>
          </cell>
          <cell r="Q38">
            <v>0.53006166666666665</v>
          </cell>
          <cell r="R38">
            <v>2.3928383333333336</v>
          </cell>
          <cell r="S38">
            <v>2.7458333333333335E-2</v>
          </cell>
          <cell r="T38">
            <v>4.2031666666666669E-2</v>
          </cell>
          <cell r="U38">
            <v>0</v>
          </cell>
          <cell r="V38">
            <v>2.9923899999999999</v>
          </cell>
        </row>
        <row r="39">
          <cell r="E39" t="str">
            <v>821111HX90</v>
          </cell>
          <cell r="F39">
            <v>3232.6237999999998</v>
          </cell>
          <cell r="G39">
            <v>0</v>
          </cell>
          <cell r="H39">
            <v>0.19661000000000001</v>
          </cell>
          <cell r="I39">
            <v>0.21136666666666667</v>
          </cell>
          <cell r="J39">
            <v>0.15852666666666665</v>
          </cell>
          <cell r="K39">
            <v>0.56643666666666659</v>
          </cell>
          <cell r="L39">
            <v>1.421235</v>
          </cell>
          <cell r="M39">
            <v>6.263500000000001E-2</v>
          </cell>
          <cell r="N39">
            <v>0.15764500000000001</v>
          </cell>
          <cell r="O39">
            <v>0.13317333333333334</v>
          </cell>
          <cell r="P39">
            <v>0.10004833333333335</v>
          </cell>
          <cell r="Q39">
            <v>0.56650333333333336</v>
          </cell>
          <cell r="R39">
            <v>2.4411733333333334</v>
          </cell>
          <cell r="S39">
            <v>2.7458333333333335E-2</v>
          </cell>
          <cell r="T39">
            <v>4.2031666666666669E-2</v>
          </cell>
          <cell r="U39">
            <v>0</v>
          </cell>
          <cell r="V39">
            <v>3.0771666666666664</v>
          </cell>
        </row>
        <row r="40">
          <cell r="E40" t="str">
            <v>821111HY00</v>
          </cell>
          <cell r="F40">
            <v>3125.7188999999998</v>
          </cell>
          <cell r="G40">
            <v>0</v>
          </cell>
          <cell r="H40">
            <v>0.18498500000000001</v>
          </cell>
          <cell r="I40">
            <v>0.20726333333333333</v>
          </cell>
          <cell r="J40">
            <v>0.15647</v>
          </cell>
          <cell r="K40">
            <v>0.53601166666666666</v>
          </cell>
          <cell r="L40">
            <v>1.3374183333333332</v>
          </cell>
          <cell r="M40">
            <v>6.0838333333333335E-2</v>
          </cell>
          <cell r="N40">
            <v>0.15041333333333334</v>
          </cell>
          <cell r="O40">
            <v>0.12800833333333334</v>
          </cell>
          <cell r="P40">
            <v>9.8506666666666687E-2</v>
          </cell>
          <cell r="Q40">
            <v>0.54871833333333331</v>
          </cell>
          <cell r="R40">
            <v>2.3111966666666666</v>
          </cell>
          <cell r="S40">
            <v>2.7458333333333335E-2</v>
          </cell>
          <cell r="T40">
            <v>4.2031666666666669E-2</v>
          </cell>
          <cell r="U40">
            <v>0</v>
          </cell>
          <cell r="V40">
            <v>2.9294049999999996</v>
          </cell>
        </row>
        <row r="41">
          <cell r="E41" t="str">
            <v>821111KQ51</v>
          </cell>
          <cell r="F41">
            <v>3312.0854000000004</v>
          </cell>
          <cell r="G41">
            <v>0</v>
          </cell>
          <cell r="H41">
            <v>0.19965833333333333</v>
          </cell>
          <cell r="I41">
            <v>0.20711000000000002</v>
          </cell>
          <cell r="J41">
            <v>0.19985166666666665</v>
          </cell>
          <cell r="K41">
            <v>0.57214500000000001</v>
          </cell>
          <cell r="L41">
            <v>1.4270883333333333</v>
          </cell>
          <cell r="M41">
            <v>6.6711666666666669E-2</v>
          </cell>
          <cell r="N41">
            <v>0.16921166666666665</v>
          </cell>
          <cell r="O41">
            <v>0.13324333333333332</v>
          </cell>
          <cell r="P41">
            <v>7.7143333333333314E-2</v>
          </cell>
          <cell r="Q41">
            <v>0.60661999999999994</v>
          </cell>
          <cell r="R41">
            <v>2.4455433333333327</v>
          </cell>
          <cell r="S41">
            <v>2.7458333333333335E-2</v>
          </cell>
          <cell r="T41">
            <v>4.2031666666666669E-2</v>
          </cell>
          <cell r="U41">
            <v>0</v>
          </cell>
          <cell r="V41">
            <v>3.1216533333333323</v>
          </cell>
        </row>
        <row r="42">
          <cell r="E42" t="str">
            <v>821111LA71</v>
          </cell>
          <cell r="F42">
            <v>3128.3801000000003</v>
          </cell>
          <cell r="G42">
            <v>0</v>
          </cell>
          <cell r="H42">
            <v>0.18823333333333334</v>
          </cell>
          <cell r="I42">
            <v>0.20292833333333335</v>
          </cell>
          <cell r="J42">
            <v>0.15852666666666665</v>
          </cell>
          <cell r="K42">
            <v>0.54781333333333337</v>
          </cell>
          <cell r="L42">
            <v>1.3643916666666667</v>
          </cell>
          <cell r="M42">
            <v>5.9353333333333334E-2</v>
          </cell>
          <cell r="N42">
            <v>0.15250666666666665</v>
          </cell>
          <cell r="O42">
            <v>0.13600333333333334</v>
          </cell>
          <cell r="P42">
            <v>0.10380666666666669</v>
          </cell>
          <cell r="Q42">
            <v>0.54968833333333333</v>
          </cell>
          <cell r="R42">
            <v>2.3638750000000006</v>
          </cell>
          <cell r="S42">
            <v>2.7458333333333335E-2</v>
          </cell>
          <cell r="T42">
            <v>4.2031666666666669E-2</v>
          </cell>
          <cell r="U42">
            <v>0</v>
          </cell>
          <cell r="V42">
            <v>2.9830533333333338</v>
          </cell>
        </row>
        <row r="43">
          <cell r="E43" t="str">
            <v>821111LA80</v>
          </cell>
          <cell r="F43">
            <v>3091.3829999999998</v>
          </cell>
          <cell r="G43">
            <v>0</v>
          </cell>
          <cell r="H43">
            <v>0.18045499999999998</v>
          </cell>
          <cell r="I43">
            <v>0.198825</v>
          </cell>
          <cell r="J43">
            <v>0.15852666666666665</v>
          </cell>
          <cell r="K43">
            <v>0.51789166666666664</v>
          </cell>
          <cell r="L43">
            <v>1.33104</v>
          </cell>
          <cell r="M43">
            <v>5.9248333333333333E-2</v>
          </cell>
          <cell r="N43">
            <v>0.15032166666666666</v>
          </cell>
          <cell r="O43">
            <v>0.13566666666666669</v>
          </cell>
          <cell r="P43">
            <v>0.10357833333333336</v>
          </cell>
          <cell r="Q43">
            <v>0.53780666666666654</v>
          </cell>
          <cell r="R43">
            <v>2.2977466666666668</v>
          </cell>
          <cell r="S43">
            <v>2.7458333333333335E-2</v>
          </cell>
          <cell r="T43">
            <v>4.2031666666666669E-2</v>
          </cell>
          <cell r="U43">
            <v>0</v>
          </cell>
          <cell r="V43">
            <v>2.905043333333333</v>
          </cell>
        </row>
        <row r="44">
          <cell r="E44" t="str">
            <v>821111LA90</v>
          </cell>
          <cell r="F44">
            <v>3208.9495999999999</v>
          </cell>
          <cell r="G44">
            <v>0</v>
          </cell>
          <cell r="H44">
            <v>0.18839166666666665</v>
          </cell>
          <cell r="I44">
            <v>0.198825</v>
          </cell>
          <cell r="J44">
            <v>0.16949</v>
          </cell>
          <cell r="K44">
            <v>0.5500733333333333</v>
          </cell>
          <cell r="L44">
            <v>1.3804716666666665</v>
          </cell>
          <cell r="M44">
            <v>5.9408333333333327E-2</v>
          </cell>
          <cell r="N44">
            <v>0.16344666666666668</v>
          </cell>
          <cell r="O44">
            <v>0.13684833333333335</v>
          </cell>
          <cell r="P44">
            <v>0.10409666666666667</v>
          </cell>
          <cell r="Q44">
            <v>0.55670666666666668</v>
          </cell>
          <cell r="R44">
            <v>2.3943449999999999</v>
          </cell>
          <cell r="S44">
            <v>2.7458333333333335E-2</v>
          </cell>
          <cell r="T44">
            <v>4.2031666666666669E-2</v>
          </cell>
          <cell r="U44">
            <v>0</v>
          </cell>
          <cell r="V44">
            <v>3.020541666666666</v>
          </cell>
        </row>
        <row r="45">
          <cell r="E45" t="str">
            <v>821111LB00</v>
          </cell>
          <cell r="F45">
            <v>3191.4137999999998</v>
          </cell>
          <cell r="G45">
            <v>0</v>
          </cell>
          <cell r="H45">
            <v>0.18613333333333332</v>
          </cell>
          <cell r="I45">
            <v>0.19895500000000002</v>
          </cell>
          <cell r="J45">
            <v>0.16852499999999998</v>
          </cell>
          <cell r="K45">
            <v>0.54700333333333329</v>
          </cell>
          <cell r="L45">
            <v>1.3564166666666668</v>
          </cell>
          <cell r="M45">
            <v>6.3875000000000001E-2</v>
          </cell>
          <cell r="N45">
            <v>0.15245</v>
          </cell>
          <cell r="O45">
            <v>0.14025166666666669</v>
          </cell>
          <cell r="P45">
            <v>9.2835000000000001E-2</v>
          </cell>
          <cell r="Q45">
            <v>0.55361333333333329</v>
          </cell>
          <cell r="R45">
            <v>2.3528316666666669</v>
          </cell>
          <cell r="S45">
            <v>2.7458333333333335E-2</v>
          </cell>
          <cell r="T45">
            <v>4.2031666666666669E-2</v>
          </cell>
          <cell r="U45">
            <v>0</v>
          </cell>
          <cell r="V45">
            <v>2.9759349999999998</v>
          </cell>
        </row>
        <row r="46">
          <cell r="E46" t="str">
            <v>821111LB01</v>
          </cell>
          <cell r="F46">
            <v>3150.3006</v>
          </cell>
          <cell r="G46">
            <v>0</v>
          </cell>
          <cell r="H46">
            <v>0.18490999999999999</v>
          </cell>
          <cell r="I46">
            <v>0.19879833333333333</v>
          </cell>
          <cell r="J46">
            <v>0.16852499999999998</v>
          </cell>
          <cell r="K46">
            <v>0.54440833333333327</v>
          </cell>
          <cell r="L46">
            <v>1.353675</v>
          </cell>
          <cell r="M46">
            <v>6.5964999999999996E-2</v>
          </cell>
          <cell r="N46">
            <v>0.15145333333333333</v>
          </cell>
          <cell r="O46">
            <v>0.1401</v>
          </cell>
          <cell r="P46">
            <v>3.6229999999999998E-2</v>
          </cell>
          <cell r="Q46">
            <v>0.55223333333333335</v>
          </cell>
          <cell r="R46">
            <v>2.2918316666666665</v>
          </cell>
          <cell r="S46">
            <v>2.7458333333333335E-2</v>
          </cell>
          <cell r="T46">
            <v>4.2031666666666669E-2</v>
          </cell>
          <cell r="U46">
            <v>0</v>
          </cell>
          <cell r="V46">
            <v>2.9135549999999992</v>
          </cell>
        </row>
        <row r="47">
          <cell r="E47" t="str">
            <v>821111LB10</v>
          </cell>
          <cell r="F47">
            <v>3324.4794000000002</v>
          </cell>
          <cell r="G47">
            <v>0</v>
          </cell>
          <cell r="H47">
            <v>0.19652166666666665</v>
          </cell>
          <cell r="I47">
            <v>0.19895500000000002</v>
          </cell>
          <cell r="J47">
            <v>0.20915333333333336</v>
          </cell>
          <cell r="K47">
            <v>0.56129166666666674</v>
          </cell>
          <cell r="L47">
            <v>1.454415</v>
          </cell>
          <cell r="M47">
            <v>6.4395000000000008E-2</v>
          </cell>
          <cell r="N47">
            <v>0.16995333333333335</v>
          </cell>
          <cell r="O47">
            <v>0.14867833333333333</v>
          </cell>
          <cell r="P47">
            <v>9.482666666666667E-2</v>
          </cell>
          <cell r="Q47">
            <v>0.60463</v>
          </cell>
          <cell r="R47">
            <v>2.49356</v>
          </cell>
          <cell r="S47">
            <v>2.7458333333333335E-2</v>
          </cell>
          <cell r="T47">
            <v>4.2031666666666669E-2</v>
          </cell>
          <cell r="U47">
            <v>0</v>
          </cell>
          <cell r="V47">
            <v>3.1676799999999994</v>
          </cell>
        </row>
        <row r="48">
          <cell r="E48" t="str">
            <v>821111LB21</v>
          </cell>
          <cell r="F48">
            <v>3105.2273999999998</v>
          </cell>
          <cell r="G48">
            <v>0</v>
          </cell>
          <cell r="H48">
            <v>0.18482833333333334</v>
          </cell>
          <cell r="I48">
            <v>0.20292833333333335</v>
          </cell>
          <cell r="J48">
            <v>0.15852666666666665</v>
          </cell>
          <cell r="K48">
            <v>0.53873666666666664</v>
          </cell>
          <cell r="L48">
            <v>1.358055</v>
          </cell>
          <cell r="M48">
            <v>5.9353333333333334E-2</v>
          </cell>
          <cell r="N48">
            <v>0.15210666666666667</v>
          </cell>
          <cell r="O48">
            <v>0.13600333333333334</v>
          </cell>
          <cell r="P48">
            <v>0.10380666666666669</v>
          </cell>
          <cell r="Q48">
            <v>0.54628333333333334</v>
          </cell>
          <cell r="R48">
            <v>2.3480616666666672</v>
          </cell>
          <cell r="S48">
            <v>2.7458333333333335E-2</v>
          </cell>
          <cell r="T48">
            <v>4.2031666666666669E-2</v>
          </cell>
          <cell r="U48">
            <v>0</v>
          </cell>
          <cell r="V48">
            <v>2.963835</v>
          </cell>
        </row>
        <row r="49">
          <cell r="E49" t="str">
            <v>821114DL51</v>
          </cell>
          <cell r="F49">
            <v>4207.1136999999999</v>
          </cell>
          <cell r="G49">
            <v>499.34839999999997</v>
          </cell>
          <cell r="H49">
            <v>0.31540666666666667</v>
          </cell>
          <cell r="I49">
            <v>0.51601333333333332</v>
          </cell>
          <cell r="J49">
            <v>0.13108333333333333</v>
          </cell>
          <cell r="K49">
            <v>0.913995</v>
          </cell>
          <cell r="L49">
            <v>2.2471683333333332</v>
          </cell>
          <cell r="M49">
            <v>6.5091666666666673E-2</v>
          </cell>
          <cell r="N49">
            <v>0.24773666666666666</v>
          </cell>
          <cell r="O49">
            <v>0.31413166666666664</v>
          </cell>
          <cell r="P49">
            <v>9.5324999999999993E-2</v>
          </cell>
          <cell r="Q49">
            <v>0.96250333333333338</v>
          </cell>
          <cell r="R49">
            <v>3.8834483333333325</v>
          </cell>
          <cell r="S49">
            <v>0</v>
          </cell>
          <cell r="T49">
            <v>4.7293333333333333E-2</v>
          </cell>
          <cell r="U49">
            <v>0.47769</v>
          </cell>
          <cell r="V49">
            <v>5.3709349999999993</v>
          </cell>
        </row>
        <row r="50">
          <cell r="E50" t="str">
            <v>821114DL71</v>
          </cell>
          <cell r="F50">
            <v>3664.2198999999996</v>
          </cell>
          <cell r="G50">
            <v>452.36669999999998</v>
          </cell>
          <cell r="H50">
            <v>0.27123833333333336</v>
          </cell>
          <cell r="I50">
            <v>0.42968333333333331</v>
          </cell>
          <cell r="J50">
            <v>0.10049666666666666</v>
          </cell>
          <cell r="K50">
            <v>0.77810333333333337</v>
          </cell>
          <cell r="L50">
            <v>2.1319766666666666</v>
          </cell>
          <cell r="M50">
            <v>6.1561666666666667E-2</v>
          </cell>
          <cell r="N50">
            <v>0.23660833333333334</v>
          </cell>
          <cell r="O50">
            <v>0.2970133333333333</v>
          </cell>
          <cell r="P50">
            <v>9.4016666666666665E-2</v>
          </cell>
          <cell r="Q50">
            <v>0.80141833333333334</v>
          </cell>
          <cell r="R50">
            <v>3.5992799999999994</v>
          </cell>
          <cell r="S50">
            <v>0</v>
          </cell>
          <cell r="T50">
            <v>4.7293333333333333E-2</v>
          </cell>
          <cell r="U50">
            <v>0.45492833333333332</v>
          </cell>
          <cell r="V50">
            <v>4.9029199999999991</v>
          </cell>
        </row>
        <row r="51">
          <cell r="E51" t="str">
            <v>821114DM31</v>
          </cell>
          <cell r="F51">
            <v>5159.4599999999991</v>
          </cell>
          <cell r="G51">
            <v>502.57409999999999</v>
          </cell>
          <cell r="H51">
            <v>0.43010166666666666</v>
          </cell>
          <cell r="I51">
            <v>0.88388499999999992</v>
          </cell>
          <cell r="J51">
            <v>0.25437166666666666</v>
          </cell>
          <cell r="K51">
            <v>1.18981</v>
          </cell>
          <cell r="L51">
            <v>2.7537733333333336</v>
          </cell>
          <cell r="M51">
            <v>7.345666666666667E-2</v>
          </cell>
          <cell r="N51">
            <v>0.28783500000000001</v>
          </cell>
          <cell r="O51">
            <v>0.35625499999999999</v>
          </cell>
          <cell r="P51">
            <v>0.10439833333333332</v>
          </cell>
          <cell r="Q51">
            <v>1.5683583333333333</v>
          </cell>
          <cell r="R51">
            <v>4.765528333333334</v>
          </cell>
          <cell r="S51">
            <v>0</v>
          </cell>
          <cell r="T51">
            <v>3.8100000000000002E-2</v>
          </cell>
          <cell r="U51">
            <v>0.57308999999999999</v>
          </cell>
          <cell r="V51">
            <v>6.945076666666667</v>
          </cell>
        </row>
        <row r="52">
          <cell r="E52" t="str">
            <v>821114DM41</v>
          </cell>
          <cell r="F52">
            <v>5136.3137000000006</v>
          </cell>
          <cell r="G52">
            <v>508.4615</v>
          </cell>
          <cell r="H52">
            <v>0.43027500000000002</v>
          </cell>
          <cell r="I52">
            <v>0.87478666666666671</v>
          </cell>
          <cell r="J52">
            <v>0.25437166666666666</v>
          </cell>
          <cell r="K52">
            <v>1.18892</v>
          </cell>
          <cell r="L52">
            <v>2.7828133333333329</v>
          </cell>
          <cell r="M52">
            <v>7.3681666666666659E-2</v>
          </cell>
          <cell r="N52">
            <v>0.28922333333333333</v>
          </cell>
          <cell r="O52">
            <v>0.35810166666666665</v>
          </cell>
          <cell r="P52">
            <v>0.10545500000000002</v>
          </cell>
          <cell r="Q52">
            <v>1.5594333333333334</v>
          </cell>
          <cell r="R52">
            <v>4.7981949999999989</v>
          </cell>
          <cell r="S52">
            <v>0</v>
          </cell>
          <cell r="T52">
            <v>3.8100000000000002E-2</v>
          </cell>
          <cell r="U52">
            <v>0.57971500000000009</v>
          </cell>
          <cell r="V52">
            <v>6.9754433333333328</v>
          </cell>
        </row>
        <row r="53">
          <cell r="E53" t="str">
            <v>821114DM51</v>
          </cell>
          <cell r="F53">
            <v>4404.3370999999997</v>
          </cell>
          <cell r="G53">
            <v>514.88249999999994</v>
          </cell>
          <cell r="H53">
            <v>0.37290666666666666</v>
          </cell>
          <cell r="I53">
            <v>0.73700166666666667</v>
          </cell>
          <cell r="J53">
            <v>0.19677</v>
          </cell>
          <cell r="K53">
            <v>1.0523633333333333</v>
          </cell>
          <cell r="L53">
            <v>2.357226666666667</v>
          </cell>
          <cell r="M53">
            <v>6.9816666666666666E-2</v>
          </cell>
          <cell r="N53">
            <v>0.28019833333333338</v>
          </cell>
          <cell r="O53">
            <v>0.33684833333333331</v>
          </cell>
          <cell r="P53">
            <v>9.846000000000002E-2</v>
          </cell>
          <cell r="Q53">
            <v>1.3066783333333332</v>
          </cell>
          <cell r="R53">
            <v>4.1949133333333339</v>
          </cell>
          <cell r="S53">
            <v>0</v>
          </cell>
          <cell r="T53">
            <v>5.0180000000000002E-2</v>
          </cell>
          <cell r="U53">
            <v>0.5508249999999999</v>
          </cell>
          <cell r="V53">
            <v>6.1025966666666669</v>
          </cell>
        </row>
        <row r="54">
          <cell r="E54" t="str">
            <v>821114DM61</v>
          </cell>
          <cell r="F54">
            <v>4286.6034</v>
          </cell>
          <cell r="G54">
            <v>511.24189999999999</v>
          </cell>
          <cell r="H54">
            <v>0.3695816666666667</v>
          </cell>
          <cell r="I54">
            <v>0.74926999999999999</v>
          </cell>
          <cell r="J54">
            <v>0.19543166666666664</v>
          </cell>
          <cell r="K54">
            <v>1.0424899999999999</v>
          </cell>
          <cell r="L54">
            <v>2.309766666666667</v>
          </cell>
          <cell r="M54">
            <v>6.8301666666666663E-2</v>
          </cell>
          <cell r="N54">
            <v>0.27582499999999999</v>
          </cell>
          <cell r="O54">
            <v>0.33451166666666665</v>
          </cell>
          <cell r="P54">
            <v>9.6540000000000015E-2</v>
          </cell>
          <cell r="Q54">
            <v>1.3142833333333332</v>
          </cell>
          <cell r="R54">
            <v>4.1274350000000002</v>
          </cell>
          <cell r="S54">
            <v>0</v>
          </cell>
          <cell r="T54">
            <v>5.0180000000000002E-2</v>
          </cell>
          <cell r="U54">
            <v>0.5314549999999999</v>
          </cell>
          <cell r="V54">
            <v>6.0233533333333336</v>
          </cell>
        </row>
        <row r="55">
          <cell r="E55" t="str">
            <v>821114DN61</v>
          </cell>
          <cell r="F55">
            <v>4483.9896999999992</v>
          </cell>
          <cell r="G55">
            <v>521.4325</v>
          </cell>
          <cell r="H55">
            <v>0.36428166666666667</v>
          </cell>
          <cell r="I55">
            <v>0.71434500000000001</v>
          </cell>
          <cell r="J55">
            <v>0.20508000000000001</v>
          </cell>
          <cell r="K55">
            <v>1.0247166666666667</v>
          </cell>
          <cell r="L55">
            <v>2.2648766666666664</v>
          </cell>
          <cell r="M55">
            <v>5.9404999999999999E-2</v>
          </cell>
          <cell r="N55">
            <v>0.27615166666666663</v>
          </cell>
          <cell r="O55">
            <v>0.35030166666666668</v>
          </cell>
          <cell r="P55">
            <v>8.4423333333333336E-2</v>
          </cell>
          <cell r="Q55">
            <v>1.2837066666666666</v>
          </cell>
          <cell r="R55">
            <v>4.0598749999999999</v>
          </cell>
          <cell r="S55">
            <v>0</v>
          </cell>
          <cell r="T55">
            <v>5.018333333333333E-2</v>
          </cell>
          <cell r="U55">
            <v>0.52799166666666664</v>
          </cell>
          <cell r="V55">
            <v>5.9217566666666661</v>
          </cell>
        </row>
        <row r="56">
          <cell r="E56" t="str">
            <v>821114DQ01</v>
          </cell>
          <cell r="F56">
            <v>4273.2716</v>
          </cell>
          <cell r="G56">
            <v>554.30330000000004</v>
          </cell>
          <cell r="H56">
            <v>0.32711666666666667</v>
          </cell>
          <cell r="I56">
            <v>0.53058833333333333</v>
          </cell>
          <cell r="J56">
            <v>0.13108333333333333</v>
          </cell>
          <cell r="K56">
            <v>0.94496166666666659</v>
          </cell>
          <cell r="L56">
            <v>2.2988383333333333</v>
          </cell>
          <cell r="M56">
            <v>6.528666666666666E-2</v>
          </cell>
          <cell r="N56">
            <v>0.25210500000000002</v>
          </cell>
          <cell r="O56">
            <v>0.33335500000000001</v>
          </cell>
          <cell r="P56">
            <v>9.6040000000000014E-2</v>
          </cell>
          <cell r="Q56">
            <v>0.98878833333333327</v>
          </cell>
          <cell r="R56">
            <v>3.9905866666666667</v>
          </cell>
          <cell r="S56">
            <v>0</v>
          </cell>
          <cell r="T56">
            <v>4.7293333333333333E-2</v>
          </cell>
          <cell r="U56">
            <v>0.47769</v>
          </cell>
          <cell r="V56">
            <v>5.5043583333333332</v>
          </cell>
        </row>
        <row r="57">
          <cell r="E57" t="str">
            <v>821114DR50</v>
          </cell>
          <cell r="F57">
            <v>5269.2547000000004</v>
          </cell>
          <cell r="G57">
            <v>480.15539999999999</v>
          </cell>
          <cell r="H57">
            <v>0.42402333333333336</v>
          </cell>
          <cell r="I57">
            <v>0.85448833333333341</v>
          </cell>
          <cell r="J57">
            <v>0.25437166666666666</v>
          </cell>
          <cell r="K57">
            <v>1.1760666666666666</v>
          </cell>
          <cell r="L57">
            <v>2.7712833333333333</v>
          </cell>
          <cell r="M57">
            <v>7.3656666666666676E-2</v>
          </cell>
          <cell r="N57">
            <v>0.28809666666666661</v>
          </cell>
          <cell r="O57">
            <v>0.34467666666666663</v>
          </cell>
          <cell r="P57">
            <v>0.10533000000000001</v>
          </cell>
          <cell r="Q57">
            <v>1.5328833333333334</v>
          </cell>
          <cell r="R57">
            <v>4.7591099999999997</v>
          </cell>
          <cell r="S57">
            <v>0</v>
          </cell>
          <cell r="T57">
            <v>3.8100000000000002E-2</v>
          </cell>
          <cell r="U57">
            <v>0.55321500000000001</v>
          </cell>
          <cell r="V57">
            <v>6.8833083333333329</v>
          </cell>
        </row>
        <row r="58">
          <cell r="E58" t="str">
            <v>821114DT30</v>
          </cell>
          <cell r="F58">
            <v>4066.6856000000002</v>
          </cell>
          <cell r="G58">
            <v>439.10609999999997</v>
          </cell>
          <cell r="H58">
            <v>0.33466000000000001</v>
          </cell>
          <cell r="I58">
            <v>0.70290999999999992</v>
          </cell>
          <cell r="J58">
            <v>0.20016999999999999</v>
          </cell>
          <cell r="K58">
            <v>0.95805166666666663</v>
          </cell>
          <cell r="L58">
            <v>2.27881</v>
          </cell>
          <cell r="M58">
            <v>6.3491666666666668E-2</v>
          </cell>
          <cell r="N58">
            <v>0.257415</v>
          </cell>
          <cell r="O58">
            <v>0.30915499999999996</v>
          </cell>
          <cell r="P58">
            <v>9.4656666666666694E-2</v>
          </cell>
          <cell r="Q58">
            <v>1.2377399999999998</v>
          </cell>
          <cell r="R58">
            <v>3.9615800000000001</v>
          </cell>
          <cell r="S58">
            <v>0</v>
          </cell>
          <cell r="T58">
            <v>3.520333333333333E-2</v>
          </cell>
          <cell r="U58">
            <v>0.46271666666666661</v>
          </cell>
          <cell r="V58">
            <v>5.6972399999999999</v>
          </cell>
        </row>
        <row r="59">
          <cell r="E59" t="str">
            <v>821114DT40</v>
          </cell>
          <cell r="F59">
            <v>4739.3649999999998</v>
          </cell>
          <cell r="G59">
            <v>475.48070000000001</v>
          </cell>
          <cell r="H59">
            <v>0.39407999999999999</v>
          </cell>
          <cell r="I59">
            <v>0.85980166666666658</v>
          </cell>
          <cell r="J59">
            <v>0.25047666666666668</v>
          </cell>
          <cell r="K59">
            <v>1.084805</v>
          </cell>
          <cell r="L59">
            <v>2.6264750000000001</v>
          </cell>
          <cell r="M59">
            <v>7.2126666666666672E-2</v>
          </cell>
          <cell r="N59">
            <v>0.28004333333333337</v>
          </cell>
          <cell r="O59">
            <v>0.34109166666666663</v>
          </cell>
          <cell r="P59">
            <v>0.10333333333333336</v>
          </cell>
          <cell r="Q59">
            <v>1.5043583333333332</v>
          </cell>
          <cell r="R59">
            <v>4.5078750000000003</v>
          </cell>
          <cell r="S59">
            <v>0</v>
          </cell>
          <cell r="T59">
            <v>3.8100000000000002E-2</v>
          </cell>
          <cell r="U59">
            <v>0.58633999999999997</v>
          </cell>
          <cell r="V59">
            <v>6.6366733333333334</v>
          </cell>
        </row>
        <row r="60">
          <cell r="E60" t="str">
            <v>821114DT50</v>
          </cell>
          <cell r="F60">
            <v>4716.2188000000006</v>
          </cell>
          <cell r="G60">
            <v>475.48070000000001</v>
          </cell>
          <cell r="H60">
            <v>0.39213166666666666</v>
          </cell>
          <cell r="I60">
            <v>0.85070333333333337</v>
          </cell>
          <cell r="J60">
            <v>0.25047666666666668</v>
          </cell>
          <cell r="K60">
            <v>1.0928849999999999</v>
          </cell>
          <cell r="L60">
            <v>2.6240283333333334</v>
          </cell>
          <cell r="M60">
            <v>7.2126666666666672E-2</v>
          </cell>
          <cell r="N60">
            <v>0.27996333333333329</v>
          </cell>
          <cell r="O60">
            <v>0.34109166666666663</v>
          </cell>
          <cell r="P60">
            <v>0.10333333333333336</v>
          </cell>
          <cell r="Q60">
            <v>1.4933116666666666</v>
          </cell>
          <cell r="R60">
            <v>4.5134283333333327</v>
          </cell>
          <cell r="S60">
            <v>0</v>
          </cell>
          <cell r="T60">
            <v>3.8100000000000002E-2</v>
          </cell>
          <cell r="U60">
            <v>0.58633999999999997</v>
          </cell>
          <cell r="V60">
            <v>6.6311799999999987</v>
          </cell>
        </row>
        <row r="61">
          <cell r="E61" t="str">
            <v>821114DT60</v>
          </cell>
          <cell r="F61">
            <v>4089.9935999999998</v>
          </cell>
          <cell r="G61">
            <v>501.44279999999998</v>
          </cell>
          <cell r="H61">
            <v>0.31600166666666668</v>
          </cell>
          <cell r="I61">
            <v>0.52087499999999998</v>
          </cell>
          <cell r="J61">
            <v>0.129745</v>
          </cell>
          <cell r="K61">
            <v>0.91769333333333336</v>
          </cell>
          <cell r="L61">
            <v>2.22987</v>
          </cell>
          <cell r="M61">
            <v>6.492666666666666E-2</v>
          </cell>
          <cell r="N61">
            <v>0.24589333333333335</v>
          </cell>
          <cell r="O61">
            <v>0.31642333333333333</v>
          </cell>
          <cell r="P61">
            <v>9.4766666666666666E-2</v>
          </cell>
          <cell r="Q61">
            <v>0.96662166666666671</v>
          </cell>
          <cell r="R61">
            <v>3.8695733333333333</v>
          </cell>
          <cell r="S61">
            <v>0</v>
          </cell>
          <cell r="T61">
            <v>4.7293333333333333E-2</v>
          </cell>
          <cell r="U61">
            <v>0.46817833333333331</v>
          </cell>
          <cell r="V61">
            <v>5.3516666666666666</v>
          </cell>
        </row>
        <row r="62">
          <cell r="E62" t="str">
            <v>821114DT70</v>
          </cell>
          <cell r="F62">
            <v>4334.9775</v>
          </cell>
          <cell r="G62">
            <v>455.88709999999998</v>
          </cell>
          <cell r="H62">
            <v>0.35936166666666663</v>
          </cell>
          <cell r="I62">
            <v>0.7374883333333333</v>
          </cell>
          <cell r="J62">
            <v>0.20964833333333335</v>
          </cell>
          <cell r="K62">
            <v>1.0220033333333334</v>
          </cell>
          <cell r="L62">
            <v>2.416841666666667</v>
          </cell>
          <cell r="M62">
            <v>6.6436666666666672E-2</v>
          </cell>
          <cell r="N62">
            <v>0.27016166666666669</v>
          </cell>
          <cell r="O62">
            <v>0.33274999999999999</v>
          </cell>
          <cell r="P62">
            <v>9.7966666666666674E-2</v>
          </cell>
          <cell r="Q62">
            <v>1.3064983333333333</v>
          </cell>
          <cell r="R62">
            <v>4.2061600000000006</v>
          </cell>
          <cell r="S62">
            <v>0</v>
          </cell>
          <cell r="T62">
            <v>3.520333333333333E-2</v>
          </cell>
          <cell r="U62">
            <v>0.48547833333333329</v>
          </cell>
          <cell r="V62">
            <v>6.0333400000000008</v>
          </cell>
        </row>
        <row r="63">
          <cell r="E63" t="str">
            <v>821114DT80</v>
          </cell>
          <cell r="F63">
            <v>4217.2436000000007</v>
          </cell>
          <cell r="G63">
            <v>452.24799999999999</v>
          </cell>
          <cell r="H63">
            <v>0.35603666666666667</v>
          </cell>
          <cell r="I63">
            <v>0.74971500000000002</v>
          </cell>
          <cell r="J63">
            <v>0.20831</v>
          </cell>
          <cell r="K63">
            <v>1.0169166666666667</v>
          </cell>
          <cell r="L63">
            <v>2.364878333333333</v>
          </cell>
          <cell r="M63">
            <v>6.604666666666667E-2</v>
          </cell>
          <cell r="N63">
            <v>0.26645000000000002</v>
          </cell>
          <cell r="O63">
            <v>0.33319500000000002</v>
          </cell>
          <cell r="P63">
            <v>9.6351666666666669E-2</v>
          </cell>
          <cell r="Q63">
            <v>1.3140616666666667</v>
          </cell>
          <cell r="R63">
            <v>4.1438383333333331</v>
          </cell>
          <cell r="S63">
            <v>0</v>
          </cell>
          <cell r="T63">
            <v>3.520333333333333E-2</v>
          </cell>
          <cell r="U63">
            <v>0.46934166666666666</v>
          </cell>
          <cell r="V63">
            <v>5.9624449999999998</v>
          </cell>
        </row>
        <row r="64">
          <cell r="E64" t="str">
            <v>821114DT90</v>
          </cell>
          <cell r="F64">
            <v>4202.9185000000007</v>
          </cell>
          <cell r="G64">
            <v>458.13549999999998</v>
          </cell>
          <cell r="H64">
            <v>0.35697166666666663</v>
          </cell>
          <cell r="I64">
            <v>0.74061666666666659</v>
          </cell>
          <cell r="J64">
            <v>0.20831</v>
          </cell>
          <cell r="K64">
            <v>1.01786</v>
          </cell>
          <cell r="L64">
            <v>2.3958583333333334</v>
          </cell>
          <cell r="M64">
            <v>6.6271666666666673E-2</v>
          </cell>
          <cell r="N64">
            <v>0.26791833333333331</v>
          </cell>
          <cell r="O64">
            <v>0.33504166666666663</v>
          </cell>
          <cell r="P64">
            <v>9.7408333333333347E-2</v>
          </cell>
          <cell r="Q64">
            <v>1.3058983333333332</v>
          </cell>
          <cell r="R64">
            <v>4.1803583333333334</v>
          </cell>
          <cell r="S64">
            <v>0</v>
          </cell>
          <cell r="T64">
            <v>3.520333333333333E-2</v>
          </cell>
          <cell r="U64">
            <v>0.47596666666666665</v>
          </cell>
          <cell r="V64">
            <v>5.9974266666666667</v>
          </cell>
        </row>
        <row r="65">
          <cell r="E65" t="str">
            <v>821114DU00</v>
          </cell>
          <cell r="F65">
            <v>4166.9156000000003</v>
          </cell>
          <cell r="G65">
            <v>454.74079999999998</v>
          </cell>
          <cell r="H65">
            <v>0.35456833333333332</v>
          </cell>
          <cell r="I65">
            <v>0.75842500000000002</v>
          </cell>
          <cell r="J65">
            <v>0.21735000000000002</v>
          </cell>
          <cell r="K65">
            <v>1.0089433333333333</v>
          </cell>
          <cell r="L65">
            <v>2.3531083333333331</v>
          </cell>
          <cell r="M65">
            <v>6.5956666666666663E-2</v>
          </cell>
          <cell r="N65">
            <v>0.262795</v>
          </cell>
          <cell r="O65">
            <v>0.32052333333333333</v>
          </cell>
          <cell r="P65">
            <v>9.6020000000000022E-2</v>
          </cell>
          <cell r="Q65">
            <v>1.3303433333333332</v>
          </cell>
          <cell r="R65">
            <v>4.1073466666666665</v>
          </cell>
          <cell r="S65">
            <v>0</v>
          </cell>
          <cell r="T65">
            <v>3.520333333333333E-2</v>
          </cell>
          <cell r="U65">
            <v>0.48921666666666669</v>
          </cell>
          <cell r="V65">
            <v>5.96211</v>
          </cell>
        </row>
        <row r="66">
          <cell r="E66" t="str">
            <v>821114DU10</v>
          </cell>
          <cell r="F66">
            <v>4098.9821000000002</v>
          </cell>
          <cell r="G66">
            <v>454.74079999999998</v>
          </cell>
          <cell r="H66">
            <v>0.34501333333333334</v>
          </cell>
          <cell r="I66">
            <v>0.72787499999999994</v>
          </cell>
          <cell r="J66">
            <v>0.21735000000000002</v>
          </cell>
          <cell r="K66">
            <v>0.99372666666666676</v>
          </cell>
          <cell r="L66">
            <v>2.3394016666666668</v>
          </cell>
          <cell r="M66">
            <v>6.5956666666666663E-2</v>
          </cell>
          <cell r="N66">
            <v>0.262235</v>
          </cell>
          <cell r="O66">
            <v>0.32052333333333333</v>
          </cell>
          <cell r="P66">
            <v>9.6020000000000022E-2</v>
          </cell>
          <cell r="Q66">
            <v>1.2902383333333332</v>
          </cell>
          <cell r="R66">
            <v>4.0778633333333341</v>
          </cell>
          <cell r="S66">
            <v>0</v>
          </cell>
          <cell r="T66">
            <v>3.520333333333333E-2</v>
          </cell>
          <cell r="U66">
            <v>0.48921666666666669</v>
          </cell>
          <cell r="V66">
            <v>5.8925216666666671</v>
          </cell>
        </row>
        <row r="67">
          <cell r="E67" t="str">
            <v>821114DU20</v>
          </cell>
          <cell r="F67">
            <v>4272.2815000000001</v>
          </cell>
          <cell r="G67">
            <v>517.1309</v>
          </cell>
          <cell r="H67">
            <v>0.37051833333333334</v>
          </cell>
          <cell r="I67">
            <v>0.74017333333333335</v>
          </cell>
          <cell r="J67">
            <v>0.19543166666666664</v>
          </cell>
          <cell r="K67">
            <v>1.0512466666666667</v>
          </cell>
          <cell r="L67">
            <v>2.3404150000000001</v>
          </cell>
          <cell r="M67">
            <v>6.8521666666666661E-2</v>
          </cell>
          <cell r="N67">
            <v>0.27729166666666666</v>
          </cell>
          <cell r="O67">
            <v>0.33635166666666666</v>
          </cell>
          <cell r="P67">
            <v>9.7596666666666665E-2</v>
          </cell>
          <cell r="Q67">
            <v>1.3061233333333333</v>
          </cell>
          <cell r="R67">
            <v>4.1714233333333341</v>
          </cell>
          <cell r="S67">
            <v>0</v>
          </cell>
          <cell r="T67">
            <v>5.1096666666666672E-2</v>
          </cell>
          <cell r="U67">
            <v>0.53807999999999989</v>
          </cell>
          <cell r="V67">
            <v>6.0667233333333339</v>
          </cell>
        </row>
        <row r="68">
          <cell r="E68" t="str">
            <v>821114DU30</v>
          </cell>
          <cell r="F68">
            <v>4311.4314999999997</v>
          </cell>
          <cell r="G68">
            <v>517.64789999999994</v>
          </cell>
          <cell r="H68">
            <v>0.37457833333333329</v>
          </cell>
          <cell r="I68">
            <v>0.75497333333333339</v>
          </cell>
          <cell r="J68">
            <v>0.20260999999999998</v>
          </cell>
          <cell r="K68">
            <v>1.0480333333333334</v>
          </cell>
          <cell r="L68">
            <v>2.3464216666666666</v>
          </cell>
          <cell r="M68">
            <v>6.857166666666667E-2</v>
          </cell>
          <cell r="N68">
            <v>0.27543000000000001</v>
          </cell>
          <cell r="O68">
            <v>0.33616666666666667</v>
          </cell>
          <cell r="P68">
            <v>9.7516666666666668E-2</v>
          </cell>
          <cell r="Q68">
            <v>1.3321616666666667</v>
          </cell>
          <cell r="R68">
            <v>4.1721399999999997</v>
          </cell>
          <cell r="S68">
            <v>0</v>
          </cell>
          <cell r="T68">
            <v>5.1096666666666672E-2</v>
          </cell>
          <cell r="U68">
            <v>0.55710333333333328</v>
          </cell>
          <cell r="V68">
            <v>6.1125016666666667</v>
          </cell>
        </row>
        <row r="69">
          <cell r="E69" t="str">
            <v>821114DU40</v>
          </cell>
          <cell r="F69">
            <v>4433.3502999999992</v>
          </cell>
          <cell r="G69">
            <v>523.53690000000006</v>
          </cell>
          <cell r="H69">
            <v>0.37800166666666668</v>
          </cell>
          <cell r="I69">
            <v>0.7530216666666667</v>
          </cell>
          <cell r="J69">
            <v>0.20260999999999998</v>
          </cell>
          <cell r="K69">
            <v>1.061995</v>
          </cell>
          <cell r="L69">
            <v>2.3817149999999998</v>
          </cell>
          <cell r="M69">
            <v>6.8791666666666668E-2</v>
          </cell>
          <cell r="N69">
            <v>0.28088333333333337</v>
          </cell>
          <cell r="O69">
            <v>0.33854666666666666</v>
          </cell>
          <cell r="P69">
            <v>9.8571666666666669E-2</v>
          </cell>
          <cell r="Q69">
            <v>1.3336333333333332</v>
          </cell>
          <cell r="R69">
            <v>4.2305033333333331</v>
          </cell>
          <cell r="S69">
            <v>0</v>
          </cell>
          <cell r="T69">
            <v>5.1096666666666672E-2</v>
          </cell>
          <cell r="U69">
            <v>0.56372833333333328</v>
          </cell>
          <cell r="V69">
            <v>6.1789616666666669</v>
          </cell>
        </row>
        <row r="70">
          <cell r="E70" t="str">
            <v>821114DU60</v>
          </cell>
          <cell r="F70">
            <v>4429.7227999999996</v>
          </cell>
          <cell r="G70">
            <v>461.86090000000002</v>
          </cell>
          <cell r="H70">
            <v>0.35436166666666669</v>
          </cell>
          <cell r="I70">
            <v>0.72872999999999999</v>
          </cell>
          <cell r="J70">
            <v>0.20979500000000001</v>
          </cell>
          <cell r="K70">
            <v>1.0090699999999999</v>
          </cell>
          <cell r="L70">
            <v>2.3306933333333335</v>
          </cell>
          <cell r="M70">
            <v>5.9490000000000001E-2</v>
          </cell>
          <cell r="N70">
            <v>0.26429166666666665</v>
          </cell>
          <cell r="O70">
            <v>0.35850833333333332</v>
          </cell>
          <cell r="P70">
            <v>8.5073333333333348E-2</v>
          </cell>
          <cell r="Q70">
            <v>1.2928866666666667</v>
          </cell>
          <cell r="R70">
            <v>4.1071266666666668</v>
          </cell>
          <cell r="S70">
            <v>0</v>
          </cell>
          <cell r="T70">
            <v>3.5206666666666664E-2</v>
          </cell>
          <cell r="U70">
            <v>0.46911166666666665</v>
          </cell>
          <cell r="V70">
            <v>5.9043316666666668</v>
          </cell>
        </row>
        <row r="71">
          <cell r="E71" t="str">
            <v>821114DU70</v>
          </cell>
          <cell r="F71">
            <v>5140.6729999999998</v>
          </cell>
          <cell r="G71">
            <v>484.24849999999998</v>
          </cell>
          <cell r="H71">
            <v>0.41385166666666667</v>
          </cell>
          <cell r="I71">
            <v>0.82877166666666668</v>
          </cell>
          <cell r="J71">
            <v>0.24079833333333334</v>
          </cell>
          <cell r="K71">
            <v>1.1574766666666667</v>
          </cell>
          <cell r="L71">
            <v>2.6906633333333332</v>
          </cell>
          <cell r="M71">
            <v>6.6814999999999999E-2</v>
          </cell>
          <cell r="N71">
            <v>0.278665</v>
          </cell>
          <cell r="O71">
            <v>0.38264500000000001</v>
          </cell>
          <cell r="P71">
            <v>9.3003333333333368E-2</v>
          </cell>
          <cell r="Q71">
            <v>1.4834216666666666</v>
          </cell>
          <cell r="R71">
            <v>4.669268333333334</v>
          </cell>
          <cell r="S71">
            <v>0</v>
          </cell>
          <cell r="T71">
            <v>3.8103333333333336E-2</v>
          </cell>
          <cell r="U71">
            <v>0.5074616666666667</v>
          </cell>
          <cell r="V71">
            <v>6.6982550000000005</v>
          </cell>
        </row>
        <row r="72">
          <cell r="E72" t="str">
            <v>821114DU80</v>
          </cell>
          <cell r="F72">
            <v>5029.7195999999994</v>
          </cell>
          <cell r="G72">
            <v>491.38670000000002</v>
          </cell>
          <cell r="H72">
            <v>0.403115</v>
          </cell>
          <cell r="I72">
            <v>0.80843333333333334</v>
          </cell>
          <cell r="J72">
            <v>0.23707333333333333</v>
          </cell>
          <cell r="K72">
            <v>1.13327</v>
          </cell>
          <cell r="L72">
            <v>2.6523033333333337</v>
          </cell>
          <cell r="M72">
            <v>6.6665000000000002E-2</v>
          </cell>
          <cell r="N72">
            <v>0.27419666666666664</v>
          </cell>
          <cell r="O72">
            <v>0.37816666666666671</v>
          </cell>
          <cell r="P72">
            <v>9.2516666666666678E-2</v>
          </cell>
          <cell r="Q72">
            <v>1.4486216666666667</v>
          </cell>
          <cell r="R72">
            <v>4.5971183333333343</v>
          </cell>
          <cell r="S72">
            <v>0</v>
          </cell>
          <cell r="T72">
            <v>3.8103333333333336E-2</v>
          </cell>
          <cell r="U72">
            <v>0.51408666666666658</v>
          </cell>
          <cell r="V72">
            <v>6.5979300000000007</v>
          </cell>
        </row>
        <row r="73">
          <cell r="E73" t="str">
            <v>821114DU90</v>
          </cell>
          <cell r="F73">
            <v>4244.8507999999993</v>
          </cell>
          <cell r="G73">
            <v>528.56150000000002</v>
          </cell>
          <cell r="H73">
            <v>0.35142999999999996</v>
          </cell>
          <cell r="I73">
            <v>0.6897133333333334</v>
          </cell>
          <cell r="J73">
            <v>0.19761666666666666</v>
          </cell>
          <cell r="K73">
            <v>0.98771999999999993</v>
          </cell>
          <cell r="L73">
            <v>2.2141916666666663</v>
          </cell>
          <cell r="M73">
            <v>5.9254999999999995E-2</v>
          </cell>
          <cell r="N73">
            <v>0.26861333333333337</v>
          </cell>
          <cell r="O73">
            <v>0.34225333333333335</v>
          </cell>
          <cell r="P73">
            <v>8.3936666666666673E-2</v>
          </cell>
          <cell r="Q73">
            <v>1.2387600000000001</v>
          </cell>
          <cell r="R73">
            <v>3.9559699999999998</v>
          </cell>
          <cell r="S73">
            <v>0</v>
          </cell>
          <cell r="T73">
            <v>5.018333333333333E-2</v>
          </cell>
          <cell r="U73">
            <v>0.53461666666666663</v>
          </cell>
          <cell r="V73">
            <v>5.7795299999999994</v>
          </cell>
        </row>
        <row r="74">
          <cell r="E74" t="str">
            <v>821114DV00</v>
          </cell>
          <cell r="F74">
            <v>4156.1517000000003</v>
          </cell>
          <cell r="G74">
            <v>556.40539999999999</v>
          </cell>
          <cell r="H74">
            <v>0.32771500000000003</v>
          </cell>
          <cell r="I74">
            <v>0.53545000000000009</v>
          </cell>
          <cell r="J74">
            <v>0.129745</v>
          </cell>
          <cell r="K74">
            <v>0.94475333333333333</v>
          </cell>
          <cell r="L74">
            <v>2.281543333333333</v>
          </cell>
          <cell r="M74">
            <v>6.5121666666666675E-2</v>
          </cell>
          <cell r="N74">
            <v>0.25026166666666666</v>
          </cell>
          <cell r="O74">
            <v>0.33564500000000003</v>
          </cell>
          <cell r="P74">
            <v>9.5481666666666687E-2</v>
          </cell>
          <cell r="Q74">
            <v>0.99291000000000018</v>
          </cell>
          <cell r="R74">
            <v>3.9728066666666666</v>
          </cell>
          <cell r="S74">
            <v>0</v>
          </cell>
          <cell r="T74">
            <v>4.7293333333333333E-2</v>
          </cell>
          <cell r="U74">
            <v>0.46817833333333331</v>
          </cell>
          <cell r="V74">
            <v>5.4811883333333338</v>
          </cell>
        </row>
        <row r="75">
          <cell r="E75" t="str">
            <v>821114DV10</v>
          </cell>
          <cell r="F75">
            <v>4302.1108000000004</v>
          </cell>
          <cell r="G75">
            <v>445.4579</v>
          </cell>
          <cell r="H75">
            <v>0.34923000000000004</v>
          </cell>
          <cell r="I75">
            <v>0.73276666666666668</v>
          </cell>
          <cell r="J75">
            <v>0.19563333333333333</v>
          </cell>
          <cell r="K75">
            <v>0.99194166666666672</v>
          </cell>
          <cell r="L75">
            <v>2.3138999999999998</v>
          </cell>
          <cell r="M75">
            <v>6.3681666666666664E-2</v>
          </cell>
          <cell r="N75">
            <v>0.26401333333333332</v>
          </cell>
          <cell r="O75">
            <v>0.32252333333333338</v>
          </cell>
          <cell r="P75">
            <v>9.5340000000000008E-2</v>
          </cell>
          <cell r="Q75">
            <v>1.27763</v>
          </cell>
          <cell r="R75">
            <v>4.0514000000000001</v>
          </cell>
          <cell r="S75">
            <v>0</v>
          </cell>
          <cell r="T75">
            <v>3.520333333333333E-2</v>
          </cell>
          <cell r="U75">
            <v>0.45609166666666667</v>
          </cell>
          <cell r="V75">
            <v>5.8203250000000004</v>
          </cell>
        </row>
        <row r="76">
          <cell r="E76" t="str">
            <v>821114DV30</v>
          </cell>
          <cell r="F76">
            <v>4187.3804999999993</v>
          </cell>
          <cell r="G76">
            <v>468.99599999999998</v>
          </cell>
          <cell r="H76">
            <v>0.340225</v>
          </cell>
          <cell r="I76">
            <v>0.69834166666666664</v>
          </cell>
          <cell r="J76">
            <v>0.20232999999999998</v>
          </cell>
          <cell r="K76">
            <v>0.97621999999999998</v>
          </cell>
          <cell r="L76">
            <v>2.2866466666666669</v>
          </cell>
          <cell r="M76">
            <v>5.9339999999999997E-2</v>
          </cell>
          <cell r="N76">
            <v>0.25667333333333331</v>
          </cell>
          <cell r="O76">
            <v>0.35045999999999999</v>
          </cell>
          <cell r="P76">
            <v>8.4586666666666685E-2</v>
          </cell>
          <cell r="Q76">
            <v>1.2408966666666665</v>
          </cell>
          <cell r="R76">
            <v>4.0139266666666673</v>
          </cell>
          <cell r="S76">
            <v>0</v>
          </cell>
          <cell r="T76">
            <v>3.5206666666666664E-2</v>
          </cell>
          <cell r="U76">
            <v>0.47573666666666664</v>
          </cell>
          <cell r="V76">
            <v>5.7657666666666669</v>
          </cell>
        </row>
        <row r="77">
          <cell r="E77" t="str">
            <v>821114DV80</v>
          </cell>
          <cell r="F77">
            <v>4207.1136999999999</v>
          </cell>
          <cell r="G77">
            <v>496.69689999999997</v>
          </cell>
          <cell r="H77">
            <v>0.31473666666666666</v>
          </cell>
          <cell r="I77">
            <v>0.51601333333333332</v>
          </cell>
          <cell r="J77">
            <v>0.13108333333333333</v>
          </cell>
          <cell r="K77">
            <v>0.9083</v>
          </cell>
          <cell r="L77">
            <v>2.2449616666666667</v>
          </cell>
          <cell r="M77">
            <v>6.5091666666666673E-2</v>
          </cell>
          <cell r="N77">
            <v>0.24765666666666669</v>
          </cell>
          <cell r="O77">
            <v>0.31413166666666664</v>
          </cell>
          <cell r="P77">
            <v>9.5324999999999993E-2</v>
          </cell>
          <cell r="Q77">
            <v>0.96183333333333332</v>
          </cell>
          <cell r="R77">
            <v>3.8754666666666666</v>
          </cell>
          <cell r="S77">
            <v>0</v>
          </cell>
          <cell r="T77">
            <v>4.2983333333333332E-2</v>
          </cell>
          <cell r="U77">
            <v>0.47769</v>
          </cell>
          <cell r="V77">
            <v>5.3579733333333328</v>
          </cell>
        </row>
        <row r="78">
          <cell r="E78" t="str">
            <v>821114DV90</v>
          </cell>
          <cell r="F78">
            <v>3664.2198999999996</v>
          </cell>
          <cell r="G78">
            <v>449.71519999999998</v>
          </cell>
          <cell r="H78">
            <v>0.27057000000000003</v>
          </cell>
          <cell r="I78">
            <v>0.42968333333333331</v>
          </cell>
          <cell r="J78">
            <v>0.10049666666666666</v>
          </cell>
          <cell r="K78">
            <v>0.78217500000000006</v>
          </cell>
          <cell r="L78">
            <v>2.1297600000000001</v>
          </cell>
          <cell r="M78">
            <v>6.1561666666666667E-2</v>
          </cell>
          <cell r="N78">
            <v>0.23652833333333334</v>
          </cell>
          <cell r="O78">
            <v>0.2970133333333333</v>
          </cell>
          <cell r="P78">
            <v>9.4016666666666665E-2</v>
          </cell>
          <cell r="Q78">
            <v>0.80075000000000007</v>
          </cell>
          <cell r="R78">
            <v>3.6010549999999997</v>
          </cell>
          <cell r="S78">
            <v>0</v>
          </cell>
          <cell r="T78">
            <v>4.2983333333333332E-2</v>
          </cell>
          <cell r="U78">
            <v>0.45492833333333332</v>
          </cell>
          <cell r="V78">
            <v>4.8997166666666656</v>
          </cell>
        </row>
        <row r="79">
          <cell r="E79" t="str">
            <v>821114DW00</v>
          </cell>
          <cell r="F79">
            <v>5159.4776000000002</v>
          </cell>
          <cell r="G79">
            <v>502.57409999999999</v>
          </cell>
          <cell r="H79">
            <v>0.43010166666666666</v>
          </cell>
          <cell r="I79">
            <v>0.88287833333333343</v>
          </cell>
          <cell r="J79">
            <v>0.25437166666666666</v>
          </cell>
          <cell r="K79">
            <v>1.1995766666666665</v>
          </cell>
          <cell r="L79">
            <v>2.7482099999999998</v>
          </cell>
          <cell r="M79">
            <v>7.3101666666666662E-2</v>
          </cell>
          <cell r="N79">
            <v>0.28652500000000003</v>
          </cell>
          <cell r="O79">
            <v>0.35479500000000003</v>
          </cell>
          <cell r="P79">
            <v>0.10312499999999999</v>
          </cell>
          <cell r="Q79">
            <v>1.5673516666666667</v>
          </cell>
          <cell r="R79">
            <v>4.7653333333333343</v>
          </cell>
          <cell r="S79">
            <v>0</v>
          </cell>
          <cell r="T79">
            <v>3.3790000000000001E-2</v>
          </cell>
          <cell r="U79">
            <v>0.57308999999999999</v>
          </cell>
          <cell r="V79">
            <v>6.9395650000000009</v>
          </cell>
        </row>
        <row r="80">
          <cell r="E80" t="str">
            <v>821114DW10</v>
          </cell>
          <cell r="F80">
            <v>5136.3312999999998</v>
          </cell>
          <cell r="G80">
            <v>508.4615</v>
          </cell>
          <cell r="H80">
            <v>0.43027500000000002</v>
          </cell>
          <cell r="I80">
            <v>0.87378</v>
          </cell>
          <cell r="J80">
            <v>0.25437166666666666</v>
          </cell>
          <cell r="K80">
            <v>1.1928266666666665</v>
          </cell>
          <cell r="L80">
            <v>2.7772483333333331</v>
          </cell>
          <cell r="M80">
            <v>7.3321666666666674E-2</v>
          </cell>
          <cell r="N80">
            <v>0.28791166666666668</v>
          </cell>
          <cell r="O80">
            <v>0.3566333333333333</v>
          </cell>
          <cell r="P80">
            <v>0.10417999999999999</v>
          </cell>
          <cell r="Q80">
            <v>1.5584266666666666</v>
          </cell>
          <cell r="R80">
            <v>4.7921216666666666</v>
          </cell>
          <cell r="S80">
            <v>0</v>
          </cell>
          <cell r="T80">
            <v>3.3790000000000001E-2</v>
          </cell>
          <cell r="U80">
            <v>0.57971500000000009</v>
          </cell>
          <cell r="V80">
            <v>6.9640533333333332</v>
          </cell>
        </row>
        <row r="81">
          <cell r="E81" t="str">
            <v>821114DW20</v>
          </cell>
          <cell r="F81">
            <v>4273.2716</v>
          </cell>
          <cell r="G81">
            <v>551.65179999999998</v>
          </cell>
          <cell r="H81">
            <v>0.32644833333333334</v>
          </cell>
          <cell r="I81">
            <v>0.53058833333333333</v>
          </cell>
          <cell r="J81">
            <v>0.13108333333333333</v>
          </cell>
          <cell r="K81">
            <v>0.93340666666666661</v>
          </cell>
          <cell r="L81">
            <v>2.2966316666666668</v>
          </cell>
          <cell r="M81">
            <v>6.528666666666666E-2</v>
          </cell>
          <cell r="N81">
            <v>0.252025</v>
          </cell>
          <cell r="O81">
            <v>0.33335500000000001</v>
          </cell>
          <cell r="P81">
            <v>9.6040000000000014E-2</v>
          </cell>
          <cell r="Q81">
            <v>0.98812</v>
          </cell>
          <cell r="R81">
            <v>3.9767450000000002</v>
          </cell>
          <cell r="S81">
            <v>0</v>
          </cell>
          <cell r="T81">
            <v>4.2983333333333332E-2</v>
          </cell>
          <cell r="U81">
            <v>0.47769</v>
          </cell>
          <cell r="V81">
            <v>5.4855383333333334</v>
          </cell>
        </row>
        <row r="82">
          <cell r="E82" t="str">
            <v>821114DW30</v>
          </cell>
          <cell r="F82">
            <v>5269.2722999999996</v>
          </cell>
          <cell r="G82">
            <v>480.15539999999999</v>
          </cell>
          <cell r="H82">
            <v>0.42402333333333336</v>
          </cell>
          <cell r="I82">
            <v>0.85348166666666669</v>
          </cell>
          <cell r="J82">
            <v>0.25437166666666666</v>
          </cell>
          <cell r="K82">
            <v>1.1760666666666666</v>
          </cell>
          <cell r="L82">
            <v>2.7657216666666664</v>
          </cell>
          <cell r="M82">
            <v>7.3301666666666668E-2</v>
          </cell>
          <cell r="N82">
            <v>0.28678666666666669</v>
          </cell>
          <cell r="O82">
            <v>0.34321499999999999</v>
          </cell>
          <cell r="P82">
            <v>0.10405666666666669</v>
          </cell>
          <cell r="Q82">
            <v>1.5318766666666668</v>
          </cell>
          <cell r="R82">
            <v>4.7491483333333333</v>
          </cell>
          <cell r="S82">
            <v>0</v>
          </cell>
          <cell r="T82">
            <v>3.3790000000000001E-2</v>
          </cell>
          <cell r="U82">
            <v>0.55321500000000001</v>
          </cell>
          <cell r="V82">
            <v>6.8680299999999992</v>
          </cell>
        </row>
        <row r="83">
          <cell r="E83" t="str">
            <v>821114DW50</v>
          </cell>
          <cell r="F83">
            <v>4066.7031999999999</v>
          </cell>
          <cell r="G83">
            <v>439.10609999999997</v>
          </cell>
          <cell r="H83">
            <v>0.33466000000000001</v>
          </cell>
          <cell r="I83">
            <v>0.70446500000000001</v>
          </cell>
          <cell r="J83">
            <v>0.20016999999999999</v>
          </cell>
          <cell r="K83">
            <v>0.95219166666666666</v>
          </cell>
          <cell r="L83">
            <v>2.2815050000000001</v>
          </cell>
          <cell r="M83">
            <v>6.3491666666666668E-2</v>
          </cell>
          <cell r="N83">
            <v>0.257415</v>
          </cell>
          <cell r="O83">
            <v>0.30915499999999996</v>
          </cell>
          <cell r="P83">
            <v>9.4656666666666694E-2</v>
          </cell>
          <cell r="Q83">
            <v>1.239295</v>
          </cell>
          <cell r="R83">
            <v>3.9584150000000005</v>
          </cell>
          <cell r="S83">
            <v>0</v>
          </cell>
          <cell r="T83">
            <v>3.0893333333333328E-2</v>
          </cell>
          <cell r="U83">
            <v>0.46271666666666661</v>
          </cell>
          <cell r="V83">
            <v>5.6913200000000002</v>
          </cell>
        </row>
        <row r="84">
          <cell r="E84" t="str">
            <v>821114DW60</v>
          </cell>
          <cell r="F84">
            <v>4759.0774000000001</v>
          </cell>
          <cell r="G84">
            <v>475.48070000000001</v>
          </cell>
          <cell r="H84">
            <v>0.39537666666666665</v>
          </cell>
          <cell r="I84">
            <v>0.85879500000000009</v>
          </cell>
          <cell r="J84">
            <v>0.25047666666666668</v>
          </cell>
          <cell r="K84">
            <v>1.0950283333333333</v>
          </cell>
          <cell r="L84">
            <v>2.6232666666666664</v>
          </cell>
          <cell r="M84">
            <v>7.1766666666666673E-2</v>
          </cell>
          <cell r="N84">
            <v>0.280725</v>
          </cell>
          <cell r="O84">
            <v>0.339895</v>
          </cell>
          <cell r="P84">
            <v>0.10205999999999998</v>
          </cell>
          <cell r="Q84">
            <v>1.5046483333333334</v>
          </cell>
          <cell r="R84">
            <v>4.512741666666666</v>
          </cell>
          <cell r="S84">
            <v>0</v>
          </cell>
          <cell r="T84">
            <v>3.3790000000000001E-2</v>
          </cell>
          <cell r="U84">
            <v>0.58633999999999997</v>
          </cell>
          <cell r="V84">
            <v>6.6375199999999985</v>
          </cell>
        </row>
        <row r="85">
          <cell r="E85" t="str">
            <v>821114DW70</v>
          </cell>
          <cell r="F85">
            <v>4735.9312</v>
          </cell>
          <cell r="G85">
            <v>475.48070000000001</v>
          </cell>
          <cell r="H85">
            <v>0.39342833333333332</v>
          </cell>
          <cell r="I85">
            <v>0.84969666666666666</v>
          </cell>
          <cell r="J85">
            <v>0.25047666666666668</v>
          </cell>
          <cell r="K85">
            <v>1.0952949999999999</v>
          </cell>
          <cell r="L85">
            <v>2.6208200000000001</v>
          </cell>
          <cell r="M85">
            <v>7.1766666666666673E-2</v>
          </cell>
          <cell r="N85">
            <v>0.28064499999999998</v>
          </cell>
          <cell r="O85">
            <v>0.339895</v>
          </cell>
          <cell r="P85">
            <v>0.10205999999999998</v>
          </cell>
          <cell r="Q85">
            <v>1.4936016666666667</v>
          </cell>
          <cell r="R85">
            <v>4.5104816666666672</v>
          </cell>
          <cell r="S85">
            <v>0</v>
          </cell>
          <cell r="T85">
            <v>3.3790000000000001E-2</v>
          </cell>
          <cell r="U85">
            <v>0.58633999999999997</v>
          </cell>
          <cell r="V85">
            <v>6.6242133333333335</v>
          </cell>
        </row>
        <row r="86">
          <cell r="E86" t="str">
            <v>821114DW80</v>
          </cell>
          <cell r="F86">
            <v>4090.0439999999999</v>
          </cell>
          <cell r="G86">
            <v>498.93759999999997</v>
          </cell>
          <cell r="H86">
            <v>0.31534000000000001</v>
          </cell>
          <cell r="I86">
            <v>0.52087499999999998</v>
          </cell>
          <cell r="J86">
            <v>0.129745</v>
          </cell>
          <cell r="K86">
            <v>0.90832000000000002</v>
          </cell>
          <cell r="L86">
            <v>2.2283466666666665</v>
          </cell>
          <cell r="M86">
            <v>6.492666666666666E-2</v>
          </cell>
          <cell r="N86">
            <v>0.24581333333333333</v>
          </cell>
          <cell r="O86">
            <v>0.31642333333333333</v>
          </cell>
          <cell r="P86">
            <v>9.4766666666666666E-2</v>
          </cell>
          <cell r="Q86">
            <v>0.96595999999999993</v>
          </cell>
          <cell r="R86">
            <v>3.8585966666666667</v>
          </cell>
          <cell r="S86">
            <v>0</v>
          </cell>
          <cell r="T86">
            <v>4.2983333333333332E-2</v>
          </cell>
          <cell r="U86">
            <v>0.46817833333333331</v>
          </cell>
          <cell r="V86">
            <v>5.3357183333333325</v>
          </cell>
        </row>
        <row r="87">
          <cell r="E87" t="str">
            <v>821114DW90</v>
          </cell>
          <cell r="F87">
            <v>4334.9951000000001</v>
          </cell>
          <cell r="G87">
            <v>455.88709999999998</v>
          </cell>
          <cell r="H87">
            <v>0.35936166666666663</v>
          </cell>
          <cell r="I87">
            <v>0.73906833333333333</v>
          </cell>
          <cell r="J87">
            <v>0.20964833333333335</v>
          </cell>
          <cell r="K87">
            <v>1.0200500000000001</v>
          </cell>
          <cell r="L87">
            <v>2.4171400000000003</v>
          </cell>
          <cell r="M87">
            <v>6.6436666666666672E-2</v>
          </cell>
          <cell r="N87">
            <v>0.27016166666666669</v>
          </cell>
          <cell r="O87">
            <v>0.33274999999999999</v>
          </cell>
          <cell r="P87">
            <v>9.7966666666666674E-2</v>
          </cell>
          <cell r="Q87">
            <v>1.3080783333333335</v>
          </cell>
          <cell r="R87">
            <v>4.2045050000000002</v>
          </cell>
          <cell r="S87">
            <v>0</v>
          </cell>
          <cell r="T87">
            <v>3.0893333333333328E-2</v>
          </cell>
          <cell r="U87">
            <v>0.48547833333333329</v>
          </cell>
          <cell r="V87">
            <v>6.0289549999999998</v>
          </cell>
        </row>
        <row r="88">
          <cell r="E88" t="str">
            <v>821114DX00</v>
          </cell>
          <cell r="F88">
            <v>4217.2611999999999</v>
          </cell>
          <cell r="G88">
            <v>452.24799999999999</v>
          </cell>
          <cell r="H88">
            <v>0.35603666666666667</v>
          </cell>
          <cell r="I88">
            <v>0.75129500000000005</v>
          </cell>
          <cell r="J88">
            <v>0.20831</v>
          </cell>
          <cell r="K88">
            <v>1.0149633333333332</v>
          </cell>
          <cell r="L88">
            <v>2.3651750000000002</v>
          </cell>
          <cell r="M88">
            <v>6.604666666666667E-2</v>
          </cell>
          <cell r="N88">
            <v>0.26645000000000002</v>
          </cell>
          <cell r="O88">
            <v>0.33319500000000002</v>
          </cell>
          <cell r="P88">
            <v>9.6351666666666669E-2</v>
          </cell>
          <cell r="Q88">
            <v>1.3156416666666666</v>
          </cell>
          <cell r="R88">
            <v>4.1421816666666675</v>
          </cell>
          <cell r="S88">
            <v>0</v>
          </cell>
          <cell r="T88">
            <v>3.0893333333333328E-2</v>
          </cell>
          <cell r="U88">
            <v>0.46934166666666666</v>
          </cell>
          <cell r="V88">
            <v>5.9580583333333337</v>
          </cell>
        </row>
        <row r="89">
          <cell r="E89" t="str">
            <v>821114DX10</v>
          </cell>
          <cell r="F89">
            <v>4202.9360999999999</v>
          </cell>
          <cell r="G89">
            <v>458.13549999999998</v>
          </cell>
          <cell r="H89">
            <v>0.35697166666666663</v>
          </cell>
          <cell r="I89">
            <v>0.74219666666666662</v>
          </cell>
          <cell r="J89">
            <v>0.20831</v>
          </cell>
          <cell r="K89">
            <v>1.0198133333333332</v>
          </cell>
          <cell r="L89">
            <v>2.3961566666666667</v>
          </cell>
          <cell r="M89">
            <v>6.6271666666666673E-2</v>
          </cell>
          <cell r="N89">
            <v>0.26791833333333331</v>
          </cell>
          <cell r="O89">
            <v>0.33504166666666663</v>
          </cell>
          <cell r="P89">
            <v>9.7408333333333347E-2</v>
          </cell>
          <cell r="Q89">
            <v>1.3074783333333333</v>
          </cell>
          <cell r="R89">
            <v>4.1826099999999995</v>
          </cell>
          <cell r="S89">
            <v>0</v>
          </cell>
          <cell r="T89">
            <v>3.0893333333333328E-2</v>
          </cell>
          <cell r="U89">
            <v>0.47596666666666665</v>
          </cell>
          <cell r="V89">
            <v>5.9969483333333322</v>
          </cell>
        </row>
        <row r="90">
          <cell r="E90" t="str">
            <v>821114DX20</v>
          </cell>
          <cell r="F90">
            <v>4166.9332000000004</v>
          </cell>
          <cell r="G90">
            <v>454.74079999999998</v>
          </cell>
          <cell r="H90">
            <v>0.35456833333333332</v>
          </cell>
          <cell r="I90">
            <v>0.76000499999999993</v>
          </cell>
          <cell r="J90">
            <v>0.21735000000000002</v>
          </cell>
          <cell r="K90">
            <v>1.0148033333333333</v>
          </cell>
          <cell r="L90">
            <v>2.3558166666666667</v>
          </cell>
          <cell r="M90">
            <v>6.5956666666666663E-2</v>
          </cell>
          <cell r="N90">
            <v>0.262795</v>
          </cell>
          <cell r="O90">
            <v>0.32052333333333333</v>
          </cell>
          <cell r="P90">
            <v>9.6020000000000022E-2</v>
          </cell>
          <cell r="Q90">
            <v>1.3319233333333331</v>
          </cell>
          <cell r="R90">
            <v>4.1159150000000002</v>
          </cell>
          <cell r="S90">
            <v>0</v>
          </cell>
          <cell r="T90">
            <v>3.0893333333333328E-2</v>
          </cell>
          <cell r="U90">
            <v>0.48921666666666669</v>
          </cell>
          <cell r="V90">
            <v>5.9679483333333332</v>
          </cell>
        </row>
        <row r="91">
          <cell r="E91" t="str">
            <v>821114DX30</v>
          </cell>
          <cell r="F91">
            <v>4098.9997000000003</v>
          </cell>
          <cell r="G91">
            <v>454.74079999999998</v>
          </cell>
          <cell r="H91">
            <v>0.34501333333333334</v>
          </cell>
          <cell r="I91">
            <v>0.7294533333333334</v>
          </cell>
          <cell r="J91">
            <v>0.21735000000000002</v>
          </cell>
          <cell r="K91">
            <v>0.99568000000000001</v>
          </cell>
          <cell r="L91">
            <v>2.3421099999999999</v>
          </cell>
          <cell r="M91">
            <v>6.5956666666666663E-2</v>
          </cell>
          <cell r="N91">
            <v>0.262235</v>
          </cell>
          <cell r="O91">
            <v>0.32052333333333333</v>
          </cell>
          <cell r="P91">
            <v>9.6020000000000022E-2</v>
          </cell>
          <cell r="Q91">
            <v>1.2918166666666666</v>
          </cell>
          <cell r="R91">
            <v>4.0825250000000004</v>
          </cell>
          <cell r="S91">
            <v>0</v>
          </cell>
          <cell r="T91">
            <v>3.0893333333333328E-2</v>
          </cell>
          <cell r="U91">
            <v>0.48921666666666669</v>
          </cell>
          <cell r="V91">
            <v>5.8944516666666669</v>
          </cell>
        </row>
        <row r="92">
          <cell r="E92" t="str">
            <v>821114DX50</v>
          </cell>
          <cell r="F92">
            <v>4419.1071000000002</v>
          </cell>
          <cell r="G92">
            <v>461.8546</v>
          </cell>
          <cell r="H92">
            <v>0.35401333333333335</v>
          </cell>
          <cell r="I92">
            <v>0.73027666666666669</v>
          </cell>
          <cell r="J92">
            <v>0.19915166666666667</v>
          </cell>
          <cell r="K92">
            <v>1.0071166666666667</v>
          </cell>
          <cell r="L92">
            <v>2.3155416666666668</v>
          </cell>
          <cell r="M92">
            <v>5.9490000000000001E-2</v>
          </cell>
          <cell r="N92">
            <v>0.26429166666666665</v>
          </cell>
          <cell r="O92">
            <v>0.35850833333333332</v>
          </cell>
          <cell r="P92">
            <v>8.5073333333333348E-2</v>
          </cell>
          <cell r="Q92">
            <v>1.2834416666666666</v>
          </cell>
          <cell r="R92">
            <v>4.0900216666666669</v>
          </cell>
          <cell r="S92">
            <v>0</v>
          </cell>
          <cell r="T92">
            <v>3.829833333333333E-2</v>
          </cell>
          <cell r="U92">
            <v>0.46911166666666665</v>
          </cell>
          <cell r="V92">
            <v>5.8808733333333336</v>
          </cell>
        </row>
        <row r="93">
          <cell r="E93" t="str">
            <v>821114DX60</v>
          </cell>
          <cell r="F93">
            <v>5124.0821999999998</v>
          </cell>
          <cell r="G93">
            <v>484.22609999999997</v>
          </cell>
          <cell r="H93">
            <v>0.413325</v>
          </cell>
          <cell r="I93">
            <v>0.83288833333333334</v>
          </cell>
          <cell r="J93">
            <v>0.23216999999999999</v>
          </cell>
          <cell r="K93">
            <v>1.1574766666666667</v>
          </cell>
          <cell r="L93">
            <v>2.67625</v>
          </cell>
          <cell r="M93">
            <v>6.6475000000000006E-2</v>
          </cell>
          <cell r="N93">
            <v>0.27840500000000001</v>
          </cell>
          <cell r="O93">
            <v>0.37440333333333337</v>
          </cell>
          <cell r="P93">
            <v>9.1823333333333354E-2</v>
          </cell>
          <cell r="Q93">
            <v>1.4783833333333334</v>
          </cell>
          <cell r="R93">
            <v>4.6448333333333336</v>
          </cell>
          <cell r="S93">
            <v>0</v>
          </cell>
          <cell r="T93">
            <v>4.1195000000000002E-2</v>
          </cell>
          <cell r="U93">
            <v>0.5074616666666667</v>
          </cell>
          <cell r="V93">
            <v>6.671873333333334</v>
          </cell>
        </row>
        <row r="94">
          <cell r="E94" t="str">
            <v>821114DX70</v>
          </cell>
          <cell r="F94">
            <v>5013.1287999999995</v>
          </cell>
          <cell r="G94">
            <v>491.36430000000001</v>
          </cell>
          <cell r="H94">
            <v>0.40258833333333333</v>
          </cell>
          <cell r="I94">
            <v>0.80966666666666665</v>
          </cell>
          <cell r="J94">
            <v>0.22844499999999998</v>
          </cell>
          <cell r="K94">
            <v>1.1293633333333333</v>
          </cell>
          <cell r="L94">
            <v>2.6378900000000001</v>
          </cell>
          <cell r="M94">
            <v>6.6324999999999995E-2</v>
          </cell>
          <cell r="N94">
            <v>0.27393666666666666</v>
          </cell>
          <cell r="O94">
            <v>0.36662499999999998</v>
          </cell>
          <cell r="P94">
            <v>9.1336666666666663E-2</v>
          </cell>
          <cell r="Q94">
            <v>1.4406999999999999</v>
          </cell>
          <cell r="R94">
            <v>4.5654766666666671</v>
          </cell>
          <cell r="S94">
            <v>0</v>
          </cell>
          <cell r="T94">
            <v>4.1195000000000002E-2</v>
          </cell>
          <cell r="U94">
            <v>0.51408666666666658</v>
          </cell>
          <cell r="V94">
            <v>6.5614583333333334</v>
          </cell>
        </row>
        <row r="95">
          <cell r="E95" t="str">
            <v>821114DX80</v>
          </cell>
          <cell r="F95">
            <v>4156.2020999999995</v>
          </cell>
          <cell r="G95">
            <v>553.90020000000004</v>
          </cell>
          <cell r="H95">
            <v>0.32705166666666668</v>
          </cell>
          <cell r="I95">
            <v>0.53545000000000009</v>
          </cell>
          <cell r="J95">
            <v>0.129745</v>
          </cell>
          <cell r="K95">
            <v>0.94514666666666658</v>
          </cell>
          <cell r="L95">
            <v>2.2801150000000003</v>
          </cell>
          <cell r="M95">
            <v>6.5121666666666675E-2</v>
          </cell>
          <cell r="N95">
            <v>0.25018166666666664</v>
          </cell>
          <cell r="O95">
            <v>0.33564500000000003</v>
          </cell>
          <cell r="P95">
            <v>9.5481666666666687E-2</v>
          </cell>
          <cell r="Q95">
            <v>0.99224666666666672</v>
          </cell>
          <cell r="R95">
            <v>3.9716916666666671</v>
          </cell>
          <cell r="S95">
            <v>0</v>
          </cell>
          <cell r="T95">
            <v>4.2983333333333332E-2</v>
          </cell>
          <cell r="U95">
            <v>0.46817833333333331</v>
          </cell>
          <cell r="V95">
            <v>5.4751000000000003</v>
          </cell>
        </row>
        <row r="96">
          <cell r="E96" t="str">
            <v>821114DX90</v>
          </cell>
          <cell r="F96">
            <v>4302.1284000000005</v>
          </cell>
          <cell r="G96">
            <v>445.4579</v>
          </cell>
          <cell r="H96">
            <v>0.34923000000000004</v>
          </cell>
          <cell r="I96">
            <v>0.73434499999999991</v>
          </cell>
          <cell r="J96">
            <v>0.19563333333333333</v>
          </cell>
          <cell r="K96">
            <v>0.988035</v>
          </cell>
          <cell r="L96">
            <v>2.3141850000000002</v>
          </cell>
          <cell r="M96">
            <v>6.3681666666666664E-2</v>
          </cell>
          <cell r="N96">
            <v>0.26401333333333332</v>
          </cell>
          <cell r="O96">
            <v>0.32252333333333338</v>
          </cell>
          <cell r="P96">
            <v>9.5340000000000008E-2</v>
          </cell>
          <cell r="Q96">
            <v>1.2792083333333333</v>
          </cell>
          <cell r="R96">
            <v>4.0477783333333335</v>
          </cell>
          <cell r="S96">
            <v>0</v>
          </cell>
          <cell r="T96">
            <v>3.0893333333333328E-2</v>
          </cell>
          <cell r="U96">
            <v>0.45609166666666667</v>
          </cell>
          <cell r="V96">
            <v>5.8139716666666663</v>
          </cell>
        </row>
        <row r="97">
          <cell r="E97" t="str">
            <v>821114DY10</v>
          </cell>
          <cell r="F97">
            <v>4176.7648000000008</v>
          </cell>
          <cell r="G97">
            <v>468.98969999999997</v>
          </cell>
          <cell r="H97">
            <v>0.33987666666666672</v>
          </cell>
          <cell r="I97">
            <v>0.69992333333333323</v>
          </cell>
          <cell r="J97">
            <v>0.19168666666666667</v>
          </cell>
          <cell r="K97">
            <v>0.96840666666666664</v>
          </cell>
          <cell r="L97">
            <v>2.2714966666666667</v>
          </cell>
          <cell r="M97">
            <v>5.9339999999999997E-2</v>
          </cell>
          <cell r="N97">
            <v>0.25667333333333331</v>
          </cell>
          <cell r="O97">
            <v>0.35045999999999999</v>
          </cell>
          <cell r="P97">
            <v>8.4586666666666685E-2</v>
          </cell>
          <cell r="Q97">
            <v>1.2314866666666666</v>
          </cell>
          <cell r="R97">
            <v>3.9909633333333332</v>
          </cell>
          <cell r="S97">
            <v>0</v>
          </cell>
          <cell r="T97">
            <v>3.829833333333333E-2</v>
          </cell>
          <cell r="U97">
            <v>0.47573666666666664</v>
          </cell>
          <cell r="V97">
            <v>5.7364850000000001</v>
          </cell>
        </row>
        <row r="98">
          <cell r="E98" t="str">
            <v>82111715D5</v>
          </cell>
          <cell r="F98">
            <v>4291.4949999999999</v>
          </cell>
          <cell r="G98">
            <v>514.64619999999991</v>
          </cell>
          <cell r="H98">
            <v>0.37130666666666667</v>
          </cell>
          <cell r="I98">
            <v>0.73776833333333336</v>
          </cell>
          <cell r="J98">
            <v>0.19543166666666664</v>
          </cell>
          <cell r="K98">
            <v>1.0548016666666666</v>
          </cell>
          <cell r="L98">
            <v>2.3129066666666671</v>
          </cell>
          <cell r="M98">
            <v>6.8521666666666661E-2</v>
          </cell>
          <cell r="N98">
            <v>0.27836833333333338</v>
          </cell>
          <cell r="O98">
            <v>0.33648666666666666</v>
          </cell>
          <cell r="P98">
            <v>9.7596666666666651E-2</v>
          </cell>
          <cell r="Q98">
            <v>1.3045066666666667</v>
          </cell>
          <cell r="R98">
            <v>4.1486816666666675</v>
          </cell>
          <cell r="S98">
            <v>0</v>
          </cell>
          <cell r="T98">
            <v>4.5869999999999994E-2</v>
          </cell>
          <cell r="U98">
            <v>0.53807999999999989</v>
          </cell>
          <cell r="V98">
            <v>6.0371383333333339</v>
          </cell>
        </row>
        <row r="99">
          <cell r="E99" t="str">
            <v>82111715D8</v>
          </cell>
          <cell r="F99">
            <v>4452.5667999999996</v>
          </cell>
          <cell r="G99">
            <v>521.05219999999997</v>
          </cell>
          <cell r="H99">
            <v>0.37879000000000002</v>
          </cell>
          <cell r="I99">
            <v>0.7506166666666666</v>
          </cell>
          <cell r="J99">
            <v>0.20260999999999998</v>
          </cell>
          <cell r="K99">
            <v>1.0733633333333332</v>
          </cell>
          <cell r="L99">
            <v>2.3542066666666668</v>
          </cell>
          <cell r="M99">
            <v>6.8791666666666668E-2</v>
          </cell>
          <cell r="N99">
            <v>0.28195999999999999</v>
          </cell>
          <cell r="O99">
            <v>0.33868166666666671</v>
          </cell>
          <cell r="P99">
            <v>9.8571666666666655E-2</v>
          </cell>
          <cell r="Q99">
            <v>1.3320166666666666</v>
          </cell>
          <cell r="R99">
            <v>4.2155750000000003</v>
          </cell>
          <cell r="S99">
            <v>0</v>
          </cell>
          <cell r="T99">
            <v>4.5869999999999994E-2</v>
          </cell>
          <cell r="U99">
            <v>0.56372833333333328</v>
          </cell>
          <cell r="V99">
            <v>6.1571900000000008</v>
          </cell>
        </row>
        <row r="100">
          <cell r="E100" t="str">
            <v>82111715D9</v>
          </cell>
          <cell r="F100">
            <v>4342.8301000000001</v>
          </cell>
          <cell r="G100">
            <v>517.51919999999996</v>
          </cell>
          <cell r="H100">
            <v>0.37184166666666668</v>
          </cell>
          <cell r="I100">
            <v>0.75511666666666666</v>
          </cell>
          <cell r="J100">
            <v>0.23283333333333334</v>
          </cell>
          <cell r="K100">
            <v>1.0620050000000001</v>
          </cell>
          <cell r="L100">
            <v>2.4028433333333337</v>
          </cell>
          <cell r="M100">
            <v>6.6356666666666661E-2</v>
          </cell>
          <cell r="N100">
            <v>0.27340999999999999</v>
          </cell>
          <cell r="O100">
            <v>0.33936833333333338</v>
          </cell>
          <cell r="P100">
            <v>9.7720000000000015E-2</v>
          </cell>
          <cell r="Q100">
            <v>1.3597916666666667</v>
          </cell>
          <cell r="R100">
            <v>4.2417033333333336</v>
          </cell>
          <cell r="S100">
            <v>0</v>
          </cell>
          <cell r="T100">
            <v>3.0893333333333328E-2</v>
          </cell>
          <cell r="U100">
            <v>0.49872833333333338</v>
          </cell>
          <cell r="V100">
            <v>6.1311166666666663</v>
          </cell>
        </row>
        <row r="101">
          <cell r="E101" t="str">
            <v>82111715DA</v>
          </cell>
          <cell r="F101">
            <v>4313.5504999999994</v>
          </cell>
          <cell r="G101">
            <v>526.44389999999999</v>
          </cell>
          <cell r="H101">
            <v>0.35152833333333333</v>
          </cell>
          <cell r="I101">
            <v>0.70621833333333339</v>
          </cell>
          <cell r="J101">
            <v>0.22685999999999998</v>
          </cell>
          <cell r="K101">
            <v>0.99683333333333335</v>
          </cell>
          <cell r="L101">
            <v>2.2857933333333333</v>
          </cell>
          <cell r="M101">
            <v>5.9429999999999997E-2</v>
          </cell>
          <cell r="N101">
            <v>0.26168666666666668</v>
          </cell>
          <cell r="O101">
            <v>0.35314333333333336</v>
          </cell>
          <cell r="P101">
            <v>8.4898333333333367E-2</v>
          </cell>
          <cell r="Q101">
            <v>1.2846066666666667</v>
          </cell>
          <cell r="R101">
            <v>4.041785</v>
          </cell>
          <cell r="S101">
            <v>0</v>
          </cell>
          <cell r="T101">
            <v>3.0896666666666663E-2</v>
          </cell>
          <cell r="U101">
            <v>0.49187333333333327</v>
          </cell>
          <cell r="V101">
            <v>5.8491616666666673</v>
          </cell>
        </row>
        <row r="102">
          <cell r="E102" t="str">
            <v>82111715DB</v>
          </cell>
          <cell r="F102">
            <v>4286.6207999999997</v>
          </cell>
          <cell r="G102">
            <v>495.97800000000001</v>
          </cell>
          <cell r="H102">
            <v>0.36082500000000001</v>
          </cell>
          <cell r="I102">
            <v>0.74875499999999995</v>
          </cell>
          <cell r="J102">
            <v>0.22833333333333333</v>
          </cell>
          <cell r="K102">
            <v>1.0397933333333333</v>
          </cell>
          <cell r="L102">
            <v>2.3537833333333333</v>
          </cell>
          <cell r="M102">
            <v>6.6136666666666663E-2</v>
          </cell>
          <cell r="N102">
            <v>0.27082333333333336</v>
          </cell>
          <cell r="O102">
            <v>0.33422833333333329</v>
          </cell>
          <cell r="P102">
            <v>9.6663333333333337E-2</v>
          </cell>
          <cell r="Q102">
            <v>1.3379133333333333</v>
          </cell>
          <cell r="R102">
            <v>4.1614283333333333</v>
          </cell>
          <cell r="S102">
            <v>0</v>
          </cell>
          <cell r="T102">
            <v>3.0893333333333328E-2</v>
          </cell>
          <cell r="U102">
            <v>0.4788533333333333</v>
          </cell>
          <cell r="V102">
            <v>6.0090883333333327</v>
          </cell>
        </row>
        <row r="103">
          <cell r="E103" t="str">
            <v>82111715DC</v>
          </cell>
          <cell r="F103">
            <v>4504.2372999999998</v>
          </cell>
          <cell r="G103">
            <v>506.08209999999997</v>
          </cell>
          <cell r="H103">
            <v>0.35929500000000003</v>
          </cell>
          <cell r="I103">
            <v>0.72804333333333338</v>
          </cell>
          <cell r="J103">
            <v>0.229825</v>
          </cell>
          <cell r="K103">
            <v>1.0280400000000001</v>
          </cell>
          <cell r="L103">
            <v>2.3202866666666666</v>
          </cell>
          <cell r="M103">
            <v>5.9580000000000001E-2</v>
          </cell>
          <cell r="N103">
            <v>0.26866500000000004</v>
          </cell>
          <cell r="O103">
            <v>0.36284166666666662</v>
          </cell>
          <cell r="P103">
            <v>8.538500000000003E-2</v>
          </cell>
          <cell r="Q103">
            <v>1.3171633333333332</v>
          </cell>
          <cell r="R103">
            <v>4.1247983333333327</v>
          </cell>
          <cell r="S103">
            <v>0</v>
          </cell>
          <cell r="T103">
            <v>3.0896666666666663E-2</v>
          </cell>
          <cell r="U103">
            <v>0.47862333333333329</v>
          </cell>
          <cell r="V103">
            <v>5.9514816666666661</v>
          </cell>
        </row>
        <row r="104">
          <cell r="E104" t="str">
            <v>82111715DD</v>
          </cell>
          <cell r="F104">
            <v>4150.1406000000006</v>
          </cell>
          <cell r="G104">
            <v>480.7568</v>
          </cell>
          <cell r="H104">
            <v>0.339505</v>
          </cell>
          <cell r="I104">
            <v>0.70450833333333329</v>
          </cell>
          <cell r="J104">
            <v>0.22017666666666666</v>
          </cell>
          <cell r="K104">
            <v>0.97897500000000004</v>
          </cell>
          <cell r="L104">
            <v>2.2699566666666664</v>
          </cell>
          <cell r="M104">
            <v>6.3581666666666675E-2</v>
          </cell>
          <cell r="N104">
            <v>0.26178833333333335</v>
          </cell>
          <cell r="O104">
            <v>0.31018833333333334</v>
          </cell>
          <cell r="P104">
            <v>9.4968333333333335E-2</v>
          </cell>
          <cell r="Q104">
            <v>1.2641899999999999</v>
          </cell>
          <cell r="R104">
            <v>3.979458333333334</v>
          </cell>
          <cell r="S104">
            <v>0</v>
          </cell>
          <cell r="T104">
            <v>3.0893333333333328E-2</v>
          </cell>
          <cell r="U104">
            <v>0.47222833333333331</v>
          </cell>
          <cell r="V104">
            <v>5.7467700000000006</v>
          </cell>
        </row>
        <row r="105">
          <cell r="E105" t="str">
            <v>82111715DE</v>
          </cell>
          <cell r="F105">
            <v>5214.5591999999997</v>
          </cell>
          <cell r="G105">
            <v>550.12310000000002</v>
          </cell>
          <cell r="H105">
            <v>0.43499166666666667</v>
          </cell>
          <cell r="I105">
            <v>0.86837833333333336</v>
          </cell>
          <cell r="J105">
            <v>0.27439333333333332</v>
          </cell>
          <cell r="K105">
            <v>1.2176566666666666</v>
          </cell>
          <cell r="L105">
            <v>2.7712016666666668</v>
          </cell>
          <cell r="M105">
            <v>7.3766666666666675E-2</v>
          </cell>
          <cell r="N105">
            <v>0.29255000000000003</v>
          </cell>
          <cell r="O105">
            <v>0.3558283333333333</v>
          </cell>
          <cell r="P105">
            <v>0.10576666666666666</v>
          </cell>
          <cell r="Q105">
            <v>1.5777633333333334</v>
          </cell>
          <cell r="R105">
            <v>4.81677</v>
          </cell>
          <cell r="S105">
            <v>0</v>
          </cell>
          <cell r="T105">
            <v>3.3790000000000001E-2</v>
          </cell>
          <cell r="U105">
            <v>0.58922666666666668</v>
          </cell>
          <cell r="V105">
            <v>7.01755</v>
          </cell>
        </row>
        <row r="106">
          <cell r="E106" t="str">
            <v>82111715DF</v>
          </cell>
          <cell r="F106">
            <v>5238.2987000000003</v>
          </cell>
          <cell r="G106">
            <v>544.23559999999998</v>
          </cell>
          <cell r="H106">
            <v>0.43482000000000004</v>
          </cell>
          <cell r="I106">
            <v>0.8829216666666666</v>
          </cell>
          <cell r="J106">
            <v>0.27439333333333332</v>
          </cell>
          <cell r="K106">
            <v>1.2244066666666666</v>
          </cell>
          <cell r="L106">
            <v>2.7368816666666667</v>
          </cell>
          <cell r="M106">
            <v>7.3186666666666678E-2</v>
          </cell>
          <cell r="N106">
            <v>0.29089666666666669</v>
          </cell>
          <cell r="O106">
            <v>0.35582166666666665</v>
          </cell>
          <cell r="P106">
            <v>0.10343666666666666</v>
          </cell>
          <cell r="Q106">
            <v>1.5921349999999999</v>
          </cell>
          <cell r="R106">
            <v>4.7846299999999999</v>
          </cell>
          <cell r="S106">
            <v>0</v>
          </cell>
          <cell r="T106">
            <v>3.3790000000000001E-2</v>
          </cell>
          <cell r="U106">
            <v>0.58260166666666668</v>
          </cell>
          <cell r="V106">
            <v>6.9931566666666658</v>
          </cell>
        </row>
        <row r="107">
          <cell r="E107" t="str">
            <v>82111715DG</v>
          </cell>
          <cell r="F107">
            <v>3744.0785999999998</v>
          </cell>
          <cell r="G107">
            <v>455.27350000000001</v>
          </cell>
          <cell r="H107">
            <v>0.27889166666666665</v>
          </cell>
          <cell r="I107">
            <v>0.45847833333333338</v>
          </cell>
          <cell r="J107">
            <v>0.10049666666666666</v>
          </cell>
          <cell r="K107">
            <v>0.79907833333333333</v>
          </cell>
          <cell r="L107">
            <v>2.0944983333333331</v>
          </cell>
          <cell r="M107">
            <v>6.0376666666666662E-2</v>
          </cell>
          <cell r="N107">
            <v>0.23819166666666666</v>
          </cell>
          <cell r="O107">
            <v>0.29586833333333329</v>
          </cell>
          <cell r="P107">
            <v>9.2536666666666656E-2</v>
          </cell>
          <cell r="Q107">
            <v>0.83786666666666676</v>
          </cell>
          <cell r="R107">
            <v>3.5805499999999997</v>
          </cell>
          <cell r="S107">
            <v>0</v>
          </cell>
          <cell r="T107">
            <v>4.2983333333333332E-2</v>
          </cell>
          <cell r="U107">
            <v>0.45591999999999999</v>
          </cell>
          <cell r="V107">
            <v>4.9173199999999992</v>
          </cell>
        </row>
        <row r="108">
          <cell r="E108" t="str">
            <v>82111715DH</v>
          </cell>
          <cell r="F108">
            <v>4383.6917999999996</v>
          </cell>
          <cell r="G108">
            <v>512.62290000000007</v>
          </cell>
          <cell r="H108">
            <v>0.37597333333333333</v>
          </cell>
          <cell r="I108">
            <v>0.75451666666666672</v>
          </cell>
          <cell r="J108">
            <v>0.19992833333333332</v>
          </cell>
          <cell r="K108">
            <v>1.0704666666666667</v>
          </cell>
          <cell r="L108">
            <v>2.3116033333333332</v>
          </cell>
          <cell r="M108">
            <v>6.8231666666666663E-2</v>
          </cell>
          <cell r="N108">
            <v>0.27360166666666669</v>
          </cell>
          <cell r="O108">
            <v>0.33496666666666663</v>
          </cell>
          <cell r="P108">
            <v>9.5473333333333341E-2</v>
          </cell>
          <cell r="Q108">
            <v>1.3304183333333333</v>
          </cell>
          <cell r="R108">
            <v>4.1543433333333333</v>
          </cell>
          <cell r="S108">
            <v>0</v>
          </cell>
          <cell r="T108">
            <v>4.5869999999999994E-2</v>
          </cell>
          <cell r="U108">
            <v>0.53802666666666665</v>
          </cell>
          <cell r="V108">
            <v>6.0686583333333335</v>
          </cell>
        </row>
        <row r="109">
          <cell r="E109" t="str">
            <v>82111715DJ</v>
          </cell>
          <cell r="F109">
            <v>4101.646999999999</v>
          </cell>
          <cell r="G109">
            <v>494.57369999999997</v>
          </cell>
          <cell r="H109">
            <v>0.36140166666666668</v>
          </cell>
          <cell r="I109">
            <v>0.7242183333333333</v>
          </cell>
          <cell r="J109">
            <v>0.19871166666666668</v>
          </cell>
          <cell r="K109">
            <v>1.0140916666666666</v>
          </cell>
          <cell r="L109">
            <v>2.2926766666666665</v>
          </cell>
          <cell r="M109">
            <v>6.7456666666666665E-2</v>
          </cell>
          <cell r="N109">
            <v>0.27292166666666667</v>
          </cell>
          <cell r="O109">
            <v>0.33786166666666667</v>
          </cell>
          <cell r="P109">
            <v>9.6446666666666667E-2</v>
          </cell>
          <cell r="Q109">
            <v>1.2843316666666666</v>
          </cell>
          <cell r="R109">
            <v>4.0814550000000001</v>
          </cell>
          <cell r="S109">
            <v>0</v>
          </cell>
          <cell r="T109">
            <v>4.5869999999999994E-2</v>
          </cell>
          <cell r="U109">
            <v>0.57030000000000003</v>
          </cell>
          <cell r="V109">
            <v>5.981956666666667</v>
          </cell>
        </row>
        <row r="110">
          <cell r="E110" t="str">
            <v>82111715DK</v>
          </cell>
          <cell r="F110">
            <v>4290.4768000000004</v>
          </cell>
          <cell r="G110">
            <v>513.68209999999999</v>
          </cell>
          <cell r="H110">
            <v>0.35975499999999999</v>
          </cell>
          <cell r="I110">
            <v>0.76522333333333337</v>
          </cell>
          <cell r="J110">
            <v>0.23124</v>
          </cell>
          <cell r="K110">
            <v>1.0494416666666668</v>
          </cell>
          <cell r="L110">
            <v>2.3265316666666669</v>
          </cell>
          <cell r="M110">
            <v>6.5706666666666663E-2</v>
          </cell>
          <cell r="N110">
            <v>0.26518000000000003</v>
          </cell>
          <cell r="O110">
            <v>0.32695833333333335</v>
          </cell>
          <cell r="P110">
            <v>9.4289999999999999E-2</v>
          </cell>
          <cell r="Q110">
            <v>1.3562183333333335</v>
          </cell>
          <cell r="R110">
            <v>4.1281083333333335</v>
          </cell>
          <cell r="S110">
            <v>0</v>
          </cell>
          <cell r="T110">
            <v>3.0893333333333328E-2</v>
          </cell>
          <cell r="U110">
            <v>0.47965166666666664</v>
          </cell>
          <cell r="V110">
            <v>5.9948716666666666</v>
          </cell>
        </row>
        <row r="111">
          <cell r="E111" t="str">
            <v>8211176Z11</v>
          </cell>
          <cell r="F111">
            <v>4284.1365999999998</v>
          </cell>
          <cell r="G111">
            <v>27.536999999999999</v>
          </cell>
          <cell r="H111">
            <v>0.27890666666666669</v>
          </cell>
          <cell r="I111">
            <v>0.51476</v>
          </cell>
          <cell r="J111">
            <v>0.25136833333333336</v>
          </cell>
          <cell r="K111">
            <v>0.79775499999999999</v>
          </cell>
          <cell r="L111">
            <v>1.8736583333333334</v>
          </cell>
          <cell r="M111">
            <v>8.0321666666666666E-2</v>
          </cell>
          <cell r="N111">
            <v>0.22015333333333331</v>
          </cell>
          <cell r="O111">
            <v>0.16947499999999999</v>
          </cell>
          <cell r="P111">
            <v>8.1393333333333318E-2</v>
          </cell>
          <cell r="Q111">
            <v>1.0450350000000002</v>
          </cell>
          <cell r="R111">
            <v>3.2227566666666667</v>
          </cell>
          <cell r="S111">
            <v>3.9266666666666665E-2</v>
          </cell>
          <cell r="T111">
            <v>1.5238333333333333E-2</v>
          </cell>
          <cell r="U111">
            <v>0</v>
          </cell>
          <cell r="V111">
            <v>4.3222966666666665</v>
          </cell>
        </row>
        <row r="112">
          <cell r="E112" t="str">
            <v>8211176Z21</v>
          </cell>
          <cell r="F112">
            <v>4601.6247000000003</v>
          </cell>
          <cell r="G112">
            <v>20.572600000000001</v>
          </cell>
          <cell r="H112">
            <v>0.298205</v>
          </cell>
          <cell r="I112">
            <v>0.53080166666666662</v>
          </cell>
          <cell r="J112">
            <v>0.25692166666666666</v>
          </cell>
          <cell r="K112">
            <v>0.87941166666666659</v>
          </cell>
          <cell r="L112">
            <v>1.9546950000000001</v>
          </cell>
          <cell r="M112">
            <v>8.1958333333333341E-2</v>
          </cell>
          <cell r="N112">
            <v>0.22662166666666667</v>
          </cell>
          <cell r="O112">
            <v>0.17261833333333335</v>
          </cell>
          <cell r="P112">
            <v>8.1713333333333332E-2</v>
          </cell>
          <cell r="Q112">
            <v>1.0859283333333334</v>
          </cell>
          <cell r="R112">
            <v>3.397018333333333</v>
          </cell>
          <cell r="S112">
            <v>3.9266666666666665E-2</v>
          </cell>
          <cell r="T112">
            <v>1.5238333333333333E-2</v>
          </cell>
          <cell r="U112">
            <v>0</v>
          </cell>
          <cell r="V112">
            <v>4.5374516666666667</v>
          </cell>
        </row>
        <row r="113">
          <cell r="E113" t="str">
            <v>8211176Z31</v>
          </cell>
          <cell r="F113">
            <v>4578.6535999999996</v>
          </cell>
          <cell r="G113">
            <v>20.572600000000001</v>
          </cell>
          <cell r="H113">
            <v>0.29448999999999997</v>
          </cell>
          <cell r="I113">
            <v>0.52669833333333338</v>
          </cell>
          <cell r="J113">
            <v>0.25692166666666666</v>
          </cell>
          <cell r="K113">
            <v>0.86941999999999997</v>
          </cell>
          <cell r="L113">
            <v>1.9233166666666668</v>
          </cell>
          <cell r="M113">
            <v>8.1863333333333344E-2</v>
          </cell>
          <cell r="N113">
            <v>0.22403999999999999</v>
          </cell>
          <cell r="O113">
            <v>0.17180833333333334</v>
          </cell>
          <cell r="P113">
            <v>8.1353333333333333E-2</v>
          </cell>
          <cell r="Q113">
            <v>1.0781100000000001</v>
          </cell>
          <cell r="R113">
            <v>3.3518016666666668</v>
          </cell>
          <cell r="S113">
            <v>3.9266666666666665E-2</v>
          </cell>
          <cell r="T113">
            <v>1.5238333333333333E-2</v>
          </cell>
          <cell r="U113">
            <v>0</v>
          </cell>
          <cell r="V113">
            <v>4.4844166666666672</v>
          </cell>
        </row>
        <row r="114">
          <cell r="E114" t="str">
            <v>8211176Z41</v>
          </cell>
          <cell r="F114">
            <v>4625.9130999999998</v>
          </cell>
          <cell r="G114">
            <v>20.572600000000001</v>
          </cell>
          <cell r="H114">
            <v>0.30274000000000001</v>
          </cell>
          <cell r="I114">
            <v>0.53506166666666677</v>
          </cell>
          <cell r="J114">
            <v>0.25795000000000001</v>
          </cell>
          <cell r="K114">
            <v>0.87990666666666673</v>
          </cell>
          <cell r="L114">
            <v>1.9792099999999999</v>
          </cell>
          <cell r="M114">
            <v>8.2831666666666665E-2</v>
          </cell>
          <cell r="N114">
            <v>0.22741166666666668</v>
          </cell>
          <cell r="O114">
            <v>0.17827833333333334</v>
          </cell>
          <cell r="P114">
            <v>8.2496666666666663E-2</v>
          </cell>
          <cell r="Q114">
            <v>1.0957516666666667</v>
          </cell>
          <cell r="R114">
            <v>3.4301350000000004</v>
          </cell>
          <cell r="S114">
            <v>3.9266666666666665E-2</v>
          </cell>
          <cell r="T114">
            <v>1.5238333333333333E-2</v>
          </cell>
          <cell r="U114">
            <v>0</v>
          </cell>
          <cell r="V114">
            <v>4.5803916666666664</v>
          </cell>
        </row>
        <row r="115">
          <cell r="E115" t="str">
            <v>8211176Z51</v>
          </cell>
          <cell r="F115">
            <v>4585.3680999999997</v>
          </cell>
          <cell r="G115">
            <v>20.572600000000001</v>
          </cell>
          <cell r="H115">
            <v>0.29385166666666668</v>
          </cell>
          <cell r="I115">
            <v>0.52736833333333333</v>
          </cell>
          <cell r="J115">
            <v>0.25692166666666666</v>
          </cell>
          <cell r="K115">
            <v>0.85805833333333337</v>
          </cell>
          <cell r="L115">
            <v>1.9623950000000001</v>
          </cell>
          <cell r="M115">
            <v>8.2831666666666665E-2</v>
          </cell>
          <cell r="N115">
            <v>0.22836500000000001</v>
          </cell>
          <cell r="O115">
            <v>0.17854833333333334</v>
          </cell>
          <cell r="P115">
            <v>8.2496666666666663E-2</v>
          </cell>
          <cell r="Q115">
            <v>1.0781416666666668</v>
          </cell>
          <cell r="R115">
            <v>3.3926950000000007</v>
          </cell>
          <cell r="S115">
            <v>3.9266666666666665E-2</v>
          </cell>
          <cell r="T115">
            <v>1.5238333333333333E-2</v>
          </cell>
          <cell r="U115">
            <v>0</v>
          </cell>
          <cell r="V115">
            <v>4.5253416666666668</v>
          </cell>
        </row>
        <row r="116">
          <cell r="E116" t="str">
            <v>8211176Z81</v>
          </cell>
          <cell r="F116">
            <v>4226.2078000000001</v>
          </cell>
          <cell r="G116">
            <v>17.264500000000002</v>
          </cell>
          <cell r="H116">
            <v>0.28601333333333329</v>
          </cell>
          <cell r="I116">
            <v>0.53188333333333337</v>
          </cell>
          <cell r="J116">
            <v>0.24140333333333333</v>
          </cell>
          <cell r="K116">
            <v>0.84096000000000004</v>
          </cell>
          <cell r="L116">
            <v>1.9059516666666667</v>
          </cell>
          <cell r="M116">
            <v>8.1736666666666666E-2</v>
          </cell>
          <cell r="N116">
            <v>0.22460166666666667</v>
          </cell>
          <cell r="O116">
            <v>0.18220833333333333</v>
          </cell>
          <cell r="P116">
            <v>8.1551666666666633E-2</v>
          </cell>
          <cell r="Q116">
            <v>1.0593000000000001</v>
          </cell>
          <cell r="R116">
            <v>3.3170099999999998</v>
          </cell>
          <cell r="S116">
            <v>3.9289999999999999E-2</v>
          </cell>
          <cell r="T116">
            <v>1.5138333333333335E-2</v>
          </cell>
          <cell r="U116">
            <v>0</v>
          </cell>
          <cell r="V116">
            <v>4.4307383333333341</v>
          </cell>
        </row>
        <row r="117">
          <cell r="E117" t="str">
            <v>8211176Z91</v>
          </cell>
          <cell r="F117">
            <v>4584.8407000000007</v>
          </cell>
          <cell r="G117">
            <v>17.264500000000002</v>
          </cell>
          <cell r="H117">
            <v>0.29608000000000001</v>
          </cell>
          <cell r="I117">
            <v>0.53416166666666665</v>
          </cell>
          <cell r="J117">
            <v>0.25118333333333331</v>
          </cell>
          <cell r="K117">
            <v>0.87904000000000004</v>
          </cell>
          <cell r="L117">
            <v>1.9437549999999999</v>
          </cell>
          <cell r="M117">
            <v>8.3228333333333321E-2</v>
          </cell>
          <cell r="N117">
            <v>0.23042666666666667</v>
          </cell>
          <cell r="O117">
            <v>0.18126499999999998</v>
          </cell>
          <cell r="P117">
            <v>8.2099999999999979E-2</v>
          </cell>
          <cell r="Q117">
            <v>1.0814249999999999</v>
          </cell>
          <cell r="R117">
            <v>3.3998150000000003</v>
          </cell>
          <cell r="S117">
            <v>3.9289999999999999E-2</v>
          </cell>
          <cell r="T117">
            <v>1.5138333333333335E-2</v>
          </cell>
          <cell r="U117">
            <v>0</v>
          </cell>
          <cell r="V117">
            <v>4.5356683333333336</v>
          </cell>
        </row>
        <row r="118">
          <cell r="E118" t="str">
            <v>82115715D0</v>
          </cell>
          <cell r="F118">
            <v>4008.6416999999997</v>
          </cell>
          <cell r="G118">
            <v>495.5326</v>
          </cell>
          <cell r="H118">
            <v>0.34518166666666666</v>
          </cell>
          <cell r="I118">
            <v>0.73492500000000005</v>
          </cell>
          <cell r="J118">
            <v>0.23002333333333333</v>
          </cell>
          <cell r="K118">
            <v>0.98525333333333331</v>
          </cell>
          <cell r="L118">
            <v>2.3075066666666668</v>
          </cell>
          <cell r="M118">
            <v>6.4931666666666665E-2</v>
          </cell>
          <cell r="N118">
            <v>0.26450000000000001</v>
          </cell>
          <cell r="O118">
            <v>0.32985333333333333</v>
          </cell>
          <cell r="P118">
            <v>9.5261666666666675E-2</v>
          </cell>
          <cell r="Q118">
            <v>1.31013</v>
          </cell>
          <cell r="R118">
            <v>4.0473066666666675</v>
          </cell>
          <cell r="S118">
            <v>0</v>
          </cell>
          <cell r="T118">
            <v>3.0893333333333328E-2</v>
          </cell>
          <cell r="U118">
            <v>0.51192499999999996</v>
          </cell>
          <cell r="V118">
            <v>5.9002550000000005</v>
          </cell>
        </row>
        <row r="119">
          <cell r="E119" t="str">
            <v>82126K0040</v>
          </cell>
          <cell r="F119">
            <v>9.9452999999999996</v>
          </cell>
          <cell r="G119">
            <v>0</v>
          </cell>
          <cell r="H119">
            <v>5.7350000000000005E-3</v>
          </cell>
          <cell r="I119">
            <v>5.8666666666666667E-3</v>
          </cell>
          <cell r="J119">
            <v>0</v>
          </cell>
          <cell r="K119">
            <v>1.155E-2</v>
          </cell>
          <cell r="L119">
            <v>6.8783333333333335E-2</v>
          </cell>
          <cell r="M119">
            <v>0</v>
          </cell>
          <cell r="N119">
            <v>1.1361666666666666E-2</v>
          </cell>
          <cell r="O119">
            <v>8.8699999999999994E-3</v>
          </cell>
          <cell r="P119">
            <v>2.7000000000000001E-3</v>
          </cell>
          <cell r="Q119">
            <v>1.1601666666666666E-2</v>
          </cell>
          <cell r="R119">
            <v>0.103265</v>
          </cell>
          <cell r="S119">
            <v>0</v>
          </cell>
          <cell r="T119">
            <v>0</v>
          </cell>
          <cell r="U119">
            <v>0</v>
          </cell>
          <cell r="V119">
            <v>0.11486666666666666</v>
          </cell>
        </row>
        <row r="120">
          <cell r="E120" t="str">
            <v>82219K0050</v>
          </cell>
          <cell r="F120">
            <v>12.550699999999999</v>
          </cell>
          <cell r="G120">
            <v>0</v>
          </cell>
          <cell r="H120">
            <v>9.1733333333333337E-3</v>
          </cell>
          <cell r="I120">
            <v>8.1583333333333334E-3</v>
          </cell>
          <cell r="J120">
            <v>0</v>
          </cell>
          <cell r="K120">
            <v>2.2494999999999998E-2</v>
          </cell>
          <cell r="L120">
            <v>9.8680000000000004E-2</v>
          </cell>
          <cell r="M120">
            <v>0</v>
          </cell>
          <cell r="N120">
            <v>1.3265000000000001E-2</v>
          </cell>
          <cell r="O120">
            <v>7.083333333333333E-3</v>
          </cell>
          <cell r="P120">
            <v>3.1483333333333337E-3</v>
          </cell>
          <cell r="Q120">
            <v>1.7331666666666669E-2</v>
          </cell>
          <cell r="R120">
            <v>0.14467166666666667</v>
          </cell>
          <cell r="S120">
            <v>0</v>
          </cell>
          <cell r="T120">
            <v>0</v>
          </cell>
          <cell r="U120">
            <v>0</v>
          </cell>
          <cell r="V120">
            <v>0.16200333333333333</v>
          </cell>
        </row>
        <row r="121">
          <cell r="E121" t="str">
            <v>82219K0060</v>
          </cell>
          <cell r="F121">
            <v>5.4432</v>
          </cell>
          <cell r="G121">
            <v>0</v>
          </cell>
          <cell r="H121">
            <v>4.7549999999999997E-3</v>
          </cell>
          <cell r="I121">
            <v>3.8533333333333332E-3</v>
          </cell>
          <cell r="J121">
            <v>0</v>
          </cell>
          <cell r="K121">
            <v>1.2869999999999999E-2</v>
          </cell>
          <cell r="L121">
            <v>7.1153333333333332E-2</v>
          </cell>
          <cell r="M121">
            <v>0</v>
          </cell>
          <cell r="N121">
            <v>1.1091666666666666E-2</v>
          </cell>
          <cell r="O121">
            <v>5.901666666666667E-3</v>
          </cell>
          <cell r="P121">
            <v>2.4350000000000001E-3</v>
          </cell>
          <cell r="Q121">
            <v>8.6083333333333324E-3</v>
          </cell>
          <cell r="R121">
            <v>0.10345166666666668</v>
          </cell>
          <cell r="S121">
            <v>0</v>
          </cell>
          <cell r="T121">
            <v>0</v>
          </cell>
          <cell r="U121">
            <v>0</v>
          </cell>
          <cell r="V121">
            <v>0.11206000000000001</v>
          </cell>
        </row>
        <row r="122">
          <cell r="E122" t="str">
            <v>K0V867030</v>
          </cell>
          <cell r="F122">
            <v>1816.8019999999999</v>
          </cell>
          <cell r="G122">
            <v>33.107799999999997</v>
          </cell>
          <cell r="H122">
            <v>0.23423666666666668</v>
          </cell>
          <cell r="I122">
            <v>0.34717999999999999</v>
          </cell>
          <cell r="J122">
            <v>0.10551166666666667</v>
          </cell>
          <cell r="K122">
            <v>0.59792000000000001</v>
          </cell>
          <cell r="L122">
            <v>1.3618966666666668</v>
          </cell>
          <cell r="M122">
            <v>1.5675000000000001E-2</v>
          </cell>
          <cell r="N122">
            <v>0.12717333333333333</v>
          </cell>
          <cell r="O122">
            <v>9.3143333333333328E-2</v>
          </cell>
          <cell r="P122">
            <v>0.10519333333333333</v>
          </cell>
          <cell r="Q122">
            <v>0.68692833333333336</v>
          </cell>
          <cell r="R122">
            <v>2.3010016666666666</v>
          </cell>
          <cell r="S122">
            <v>2.5163333333333329E-2</v>
          </cell>
          <cell r="T122">
            <v>0</v>
          </cell>
          <cell r="U122">
            <v>0</v>
          </cell>
          <cell r="V122">
            <v>3.0130933333333334</v>
          </cell>
        </row>
        <row r="123">
          <cell r="E123" t="str">
            <v>K1A367030</v>
          </cell>
          <cell r="F123">
            <v>1816.8019999999999</v>
          </cell>
          <cell r="G123">
            <v>33.107799999999997</v>
          </cell>
          <cell r="H123">
            <v>0.23451666666666665</v>
          </cell>
          <cell r="I123">
            <v>0.34717999999999999</v>
          </cell>
          <cell r="J123">
            <v>0.10551166666666667</v>
          </cell>
          <cell r="K123">
            <v>0.59792000000000001</v>
          </cell>
          <cell r="L123">
            <v>1.376115</v>
          </cell>
          <cell r="M123">
            <v>1.5675000000000001E-2</v>
          </cell>
          <cell r="N123">
            <v>0.12789</v>
          </cell>
          <cell r="O123">
            <v>9.3701666666666655E-2</v>
          </cell>
          <cell r="P123">
            <v>0.10558333333333333</v>
          </cell>
          <cell r="Q123">
            <v>0.68720833333333331</v>
          </cell>
          <cell r="R123">
            <v>2.3168849999999996</v>
          </cell>
          <cell r="S123">
            <v>2.5163333333333329E-2</v>
          </cell>
          <cell r="T123">
            <v>0</v>
          </cell>
          <cell r="U123">
            <v>0</v>
          </cell>
          <cell r="V123">
            <v>3.0292566666666665</v>
          </cell>
        </row>
        <row r="124">
          <cell r="E124" t="str">
            <v>K1B167030</v>
          </cell>
          <cell r="F124">
            <v>1942.5703999999998</v>
          </cell>
          <cell r="G124">
            <v>33.107799999999997</v>
          </cell>
          <cell r="H124">
            <v>0.24352166666666666</v>
          </cell>
          <cell r="I124">
            <v>0.36186333333333331</v>
          </cell>
          <cell r="J124">
            <v>0.13475500000000001</v>
          </cell>
          <cell r="K124">
            <v>0.61524500000000004</v>
          </cell>
          <cell r="L124">
            <v>1.4292450000000001</v>
          </cell>
          <cell r="M124">
            <v>1.5675000000000001E-2</v>
          </cell>
          <cell r="N124">
            <v>0.13334833333333332</v>
          </cell>
          <cell r="O124">
            <v>9.8394999999999996E-2</v>
          </cell>
          <cell r="P124">
            <v>0.11286333333333333</v>
          </cell>
          <cell r="Q124">
            <v>0.74014000000000002</v>
          </cell>
          <cell r="R124">
            <v>2.4047716666666665</v>
          </cell>
          <cell r="S124">
            <v>2.5163333333333329E-2</v>
          </cell>
          <cell r="T124">
            <v>0</v>
          </cell>
          <cell r="U124">
            <v>0</v>
          </cell>
          <cell r="V124">
            <v>3.1700749999999998</v>
          </cell>
        </row>
        <row r="125">
          <cell r="E125" t="str">
            <v>K1B367030</v>
          </cell>
          <cell r="F125">
            <v>2003.2007999999998</v>
          </cell>
          <cell r="G125">
            <v>33.107799999999997</v>
          </cell>
          <cell r="H125">
            <v>0.24949333333333332</v>
          </cell>
          <cell r="I125">
            <v>0.39425833333333332</v>
          </cell>
          <cell r="J125">
            <v>0.14122166666666666</v>
          </cell>
          <cell r="K125">
            <v>0.62885333333333338</v>
          </cell>
          <cell r="L125">
            <v>1.4379016666666666</v>
          </cell>
          <cell r="M125">
            <v>1.5675000000000001E-2</v>
          </cell>
          <cell r="N125">
            <v>0.134265</v>
          </cell>
          <cell r="O125">
            <v>9.9213333333333334E-2</v>
          </cell>
          <cell r="P125">
            <v>0.11336833333333333</v>
          </cell>
          <cell r="Q125">
            <v>0.7849733333333333</v>
          </cell>
          <cell r="R125">
            <v>2.4292766666666665</v>
          </cell>
          <cell r="S125">
            <v>2.5163333333333329E-2</v>
          </cell>
          <cell r="T125">
            <v>0</v>
          </cell>
          <cell r="U125">
            <v>0</v>
          </cell>
          <cell r="V125">
            <v>3.2394133333333333</v>
          </cell>
        </row>
        <row r="126">
          <cell r="E126" t="str">
            <v>K1B467030</v>
          </cell>
          <cell r="F126">
            <v>2009.6834999999999</v>
          </cell>
          <cell r="G126">
            <v>33.107799999999997</v>
          </cell>
          <cell r="H126">
            <v>0.2506133333333333</v>
          </cell>
          <cell r="I126">
            <v>0.396675</v>
          </cell>
          <cell r="J126">
            <v>0.14122166666666666</v>
          </cell>
          <cell r="K126">
            <v>0.63141999999999998</v>
          </cell>
          <cell r="L126">
            <v>1.44062</v>
          </cell>
          <cell r="M126">
            <v>1.5675000000000001E-2</v>
          </cell>
          <cell r="N126">
            <v>0.13508333333333333</v>
          </cell>
          <cell r="O126">
            <v>9.9568333333333328E-2</v>
          </cell>
          <cell r="P126">
            <v>0.11356833333333333</v>
          </cell>
          <cell r="Q126">
            <v>0.78850999999999993</v>
          </cell>
          <cell r="R126">
            <v>2.4359349999999997</v>
          </cell>
          <cell r="S126">
            <v>2.5163333333333329E-2</v>
          </cell>
          <cell r="T126">
            <v>0</v>
          </cell>
          <cell r="U126">
            <v>0</v>
          </cell>
          <cell r="V126">
            <v>3.2496083333333332</v>
          </cell>
        </row>
        <row r="127">
          <cell r="E127" t="str">
            <v>K1D567030</v>
          </cell>
          <cell r="F127">
            <v>1087.1855</v>
          </cell>
          <cell r="G127">
            <v>27.688400000000001</v>
          </cell>
          <cell r="H127">
            <v>0.15064166666666667</v>
          </cell>
          <cell r="I127">
            <v>0.18152166666666666</v>
          </cell>
          <cell r="J127">
            <v>1.8835000000000001E-2</v>
          </cell>
          <cell r="K127">
            <v>0.44329333333333332</v>
          </cell>
          <cell r="L127">
            <v>1.1856216666666666</v>
          </cell>
          <cell r="M127">
            <v>8.3600000000000011E-3</v>
          </cell>
          <cell r="N127">
            <v>9.3496666666666658E-2</v>
          </cell>
          <cell r="O127">
            <v>6.7726666666666671E-2</v>
          </cell>
          <cell r="P127">
            <v>9.8506666666666673E-2</v>
          </cell>
          <cell r="Q127">
            <v>0.35099833333333336</v>
          </cell>
          <cell r="R127">
            <v>1.8970049999999998</v>
          </cell>
          <cell r="S127">
            <v>0</v>
          </cell>
          <cell r="T127">
            <v>0</v>
          </cell>
          <cell r="U127">
            <v>0</v>
          </cell>
          <cell r="V127">
            <v>2.2480033333333331</v>
          </cell>
        </row>
        <row r="128">
          <cell r="E128" t="str">
            <v>K1D767030</v>
          </cell>
          <cell r="F128">
            <v>1107.0608</v>
          </cell>
          <cell r="G128">
            <v>27.688400000000001</v>
          </cell>
          <cell r="H128">
            <v>0.15432833333333335</v>
          </cell>
          <cell r="I128">
            <v>0.19780333333333333</v>
          </cell>
          <cell r="J128">
            <v>1.8835000000000001E-2</v>
          </cell>
          <cell r="K128">
            <v>0.45429333333333333</v>
          </cell>
          <cell r="L128">
            <v>1.1884033333333333</v>
          </cell>
          <cell r="M128">
            <v>8.3600000000000011E-3</v>
          </cell>
          <cell r="N128">
            <v>9.3736666666666663E-2</v>
          </cell>
          <cell r="O128">
            <v>6.7726666666666671E-2</v>
          </cell>
          <cell r="P128">
            <v>9.8506666666666673E-2</v>
          </cell>
          <cell r="Q128">
            <v>0.37096666666666667</v>
          </cell>
          <cell r="R128">
            <v>1.9110266666666667</v>
          </cell>
          <cell r="S128">
            <v>0</v>
          </cell>
          <cell r="T128">
            <v>0</v>
          </cell>
          <cell r="U128">
            <v>0</v>
          </cell>
          <cell r="V128">
            <v>2.2819933333333333</v>
          </cell>
        </row>
        <row r="129">
          <cell r="E129" t="str">
            <v>K1R167030</v>
          </cell>
          <cell r="F129">
            <v>1078.3273999999999</v>
          </cell>
          <cell r="G129">
            <v>27.688400000000001</v>
          </cell>
          <cell r="H129">
            <v>0.14898166666666668</v>
          </cell>
          <cell r="I129">
            <v>0.17559833333333333</v>
          </cell>
          <cell r="J129">
            <v>1.8835000000000001E-2</v>
          </cell>
          <cell r="K129">
            <v>0.43980999999999998</v>
          </cell>
          <cell r="L129">
            <v>1.1452966666666666</v>
          </cell>
          <cell r="M129">
            <v>8.3600000000000011E-3</v>
          </cell>
          <cell r="N129">
            <v>9.0843333333333331E-2</v>
          </cell>
          <cell r="O129">
            <v>6.6493333333333335E-2</v>
          </cell>
          <cell r="P129">
            <v>9.5866666666666669E-2</v>
          </cell>
          <cell r="Q129">
            <v>0.34341499999999997</v>
          </cell>
          <cell r="R129">
            <v>1.84667</v>
          </cell>
          <cell r="S129">
            <v>0</v>
          </cell>
          <cell r="T129">
            <v>0</v>
          </cell>
          <cell r="U129">
            <v>0</v>
          </cell>
          <cell r="V129">
            <v>2.1900849999999998</v>
          </cell>
        </row>
        <row r="130">
          <cell r="E130" t="str">
            <v>K1R267030</v>
          </cell>
          <cell r="F130">
            <v>1024.9305999999999</v>
          </cell>
          <cell r="G130">
            <v>27.688400000000001</v>
          </cell>
          <cell r="H130">
            <v>0.14412333333333333</v>
          </cell>
          <cell r="I130">
            <v>0.17559833333333333</v>
          </cell>
          <cell r="J130">
            <v>1.8835000000000001E-2</v>
          </cell>
          <cell r="K130">
            <v>0.42936000000000002</v>
          </cell>
          <cell r="L130">
            <v>1.1088233333333333</v>
          </cell>
          <cell r="M130">
            <v>8.3600000000000011E-3</v>
          </cell>
          <cell r="N130">
            <v>8.903833333333333E-2</v>
          </cell>
          <cell r="O130">
            <v>6.5526666666666664E-2</v>
          </cell>
          <cell r="P130">
            <v>9.1259999999999994E-2</v>
          </cell>
          <cell r="Q130">
            <v>0.33855666666666667</v>
          </cell>
          <cell r="R130">
            <v>1.7923683333333331</v>
          </cell>
          <cell r="S130">
            <v>0</v>
          </cell>
          <cell r="T130">
            <v>0</v>
          </cell>
          <cell r="U130">
            <v>0</v>
          </cell>
          <cell r="V130">
            <v>2.130925</v>
          </cell>
        </row>
        <row r="131">
          <cell r="E131" t="str">
            <v>K61667120</v>
          </cell>
          <cell r="F131">
            <v>29.682600000000001</v>
          </cell>
          <cell r="G131">
            <v>0</v>
          </cell>
          <cell r="H131">
            <v>1.0560000000000002E-2</v>
          </cell>
          <cell r="I131">
            <v>5.2800000000000008E-3</v>
          </cell>
          <cell r="J131">
            <v>0</v>
          </cell>
          <cell r="K131">
            <v>1.6500000000000001E-2</v>
          </cell>
          <cell r="L131">
            <v>0.24406333333333335</v>
          </cell>
          <cell r="M131">
            <v>1.0450000000000001E-3</v>
          </cell>
          <cell r="N131">
            <v>2.1149999999999999E-2</v>
          </cell>
          <cell r="O131">
            <v>1.2648333333333334E-2</v>
          </cell>
          <cell r="P131">
            <v>6.4083333333333336E-3</v>
          </cell>
          <cell r="Q131">
            <v>1.5840000000000003E-2</v>
          </cell>
          <cell r="R131">
            <v>0.30181500000000006</v>
          </cell>
          <cell r="S131">
            <v>0</v>
          </cell>
          <cell r="T131">
            <v>0</v>
          </cell>
          <cell r="U131">
            <v>0</v>
          </cell>
          <cell r="V131">
            <v>0.31765500000000008</v>
          </cell>
        </row>
        <row r="132">
          <cell r="E132" t="str">
            <v>K61667SJ0</v>
          </cell>
          <cell r="F132">
            <v>98.915999999999997</v>
          </cell>
          <cell r="G132">
            <v>0</v>
          </cell>
          <cell r="H132">
            <v>2.6025000000000003E-2</v>
          </cell>
          <cell r="I132">
            <v>0.11806</v>
          </cell>
          <cell r="J132">
            <v>2.5866666666666666E-2</v>
          </cell>
          <cell r="K132">
            <v>6.4111666666666664E-2</v>
          </cell>
          <cell r="L132">
            <v>7.4486666666666659E-2</v>
          </cell>
          <cell r="M132">
            <v>0</v>
          </cell>
          <cell r="N132">
            <v>2.0355000000000002E-2</v>
          </cell>
          <cell r="O132">
            <v>7.3750000000000005E-3</v>
          </cell>
          <cell r="P132">
            <v>3.8983333333333331E-3</v>
          </cell>
          <cell r="Q132">
            <v>0.16995166666666667</v>
          </cell>
          <cell r="R132">
            <v>0.17022666666666667</v>
          </cell>
          <cell r="S132">
            <v>0</v>
          </cell>
          <cell r="T132">
            <v>0</v>
          </cell>
          <cell r="U132">
            <v>0</v>
          </cell>
          <cell r="V132">
            <v>0.34017833333333336</v>
          </cell>
        </row>
        <row r="133">
          <cell r="E133" t="str">
            <v>K63K67120</v>
          </cell>
          <cell r="F133">
            <v>29.682600000000001</v>
          </cell>
          <cell r="G133">
            <v>0</v>
          </cell>
          <cell r="H133">
            <v>1.1253333333333334E-2</v>
          </cell>
          <cell r="I133">
            <v>5.2800000000000008E-3</v>
          </cell>
          <cell r="J133">
            <v>0</v>
          </cell>
          <cell r="K133">
            <v>1.6500000000000001E-2</v>
          </cell>
          <cell r="L133">
            <v>0.26657166666666671</v>
          </cell>
          <cell r="M133">
            <v>1.0450000000000001E-3</v>
          </cell>
          <cell r="N133">
            <v>2.1871666666666668E-2</v>
          </cell>
          <cell r="O133">
            <v>1.3238333333333333E-2</v>
          </cell>
          <cell r="P133">
            <v>6.9033333333333334E-3</v>
          </cell>
          <cell r="Q133">
            <v>1.6533333333333334E-2</v>
          </cell>
          <cell r="R133">
            <v>0.32613000000000009</v>
          </cell>
          <cell r="S133">
            <v>0</v>
          </cell>
          <cell r="T133">
            <v>0</v>
          </cell>
          <cell r="U133">
            <v>0</v>
          </cell>
          <cell r="V133">
            <v>0.34266333333333343</v>
          </cell>
        </row>
        <row r="134">
          <cell r="E134" t="str">
            <v>K63K67240</v>
          </cell>
          <cell r="F134">
            <v>77.136899999999997</v>
          </cell>
          <cell r="G134">
            <v>0</v>
          </cell>
          <cell r="H134">
            <v>1.4193333333333334E-2</v>
          </cell>
          <cell r="I134">
            <v>0</v>
          </cell>
          <cell r="J134">
            <v>0</v>
          </cell>
          <cell r="K134">
            <v>3.5108333333333332E-2</v>
          </cell>
          <cell r="L134">
            <v>0.16990833333333333</v>
          </cell>
          <cell r="M134">
            <v>2.0900000000000003E-3</v>
          </cell>
          <cell r="N134">
            <v>2.3890000000000002E-2</v>
          </cell>
          <cell r="O134">
            <v>1.3721666666666667E-2</v>
          </cell>
          <cell r="P134">
            <v>5.3699999999999998E-3</v>
          </cell>
          <cell r="Q134">
            <v>1.4193333333333334E-2</v>
          </cell>
          <cell r="R134">
            <v>0.2500883333333333</v>
          </cell>
          <cell r="S134">
            <v>0</v>
          </cell>
          <cell r="T134">
            <v>0</v>
          </cell>
          <cell r="U134">
            <v>0</v>
          </cell>
          <cell r="V134">
            <v>0.26428166666666664</v>
          </cell>
        </row>
        <row r="135">
          <cell r="E135" t="str">
            <v>K63L67240</v>
          </cell>
          <cell r="F135">
            <v>73.080100000000002</v>
          </cell>
          <cell r="G135">
            <v>0</v>
          </cell>
          <cell r="H135">
            <v>1.3161666666666665E-2</v>
          </cell>
          <cell r="I135">
            <v>0</v>
          </cell>
          <cell r="J135">
            <v>0</v>
          </cell>
          <cell r="K135">
            <v>3.3366666666666663E-2</v>
          </cell>
          <cell r="L135">
            <v>0.16112333333333334</v>
          </cell>
          <cell r="M135">
            <v>2.0900000000000003E-3</v>
          </cell>
          <cell r="N135">
            <v>2.3198333333333331E-2</v>
          </cell>
          <cell r="O135">
            <v>1.3278333333333333E-2</v>
          </cell>
          <cell r="P135">
            <v>5.1599999999999997E-3</v>
          </cell>
          <cell r="Q135">
            <v>1.3161666666666665E-2</v>
          </cell>
          <cell r="R135">
            <v>0.23821666666666666</v>
          </cell>
          <cell r="S135">
            <v>0</v>
          </cell>
          <cell r="T135">
            <v>0</v>
          </cell>
          <cell r="U135">
            <v>0</v>
          </cell>
          <cell r="V135">
            <v>0.25137833333333331</v>
          </cell>
        </row>
        <row r="136">
          <cell r="E136" t="str">
            <v>K63M67240</v>
          </cell>
          <cell r="F136">
            <v>84.027100000000004</v>
          </cell>
          <cell r="G136">
            <v>0</v>
          </cell>
          <cell r="H136">
            <v>1.5394999999999999E-2</v>
          </cell>
          <cell r="I136">
            <v>0</v>
          </cell>
          <cell r="J136">
            <v>0</v>
          </cell>
          <cell r="K136">
            <v>3.859166666666667E-2</v>
          </cell>
          <cell r="L136">
            <v>0.17672166666666669</v>
          </cell>
          <cell r="M136">
            <v>2.0900000000000003E-3</v>
          </cell>
          <cell r="N136">
            <v>2.4704999999999998E-2</v>
          </cell>
          <cell r="O136">
            <v>1.3981666666666667E-2</v>
          </cell>
          <cell r="P136">
            <v>5.5483333333333331E-3</v>
          </cell>
          <cell r="Q136">
            <v>1.5394999999999999E-2</v>
          </cell>
          <cell r="R136">
            <v>0.26163833333333336</v>
          </cell>
          <cell r="S136">
            <v>0</v>
          </cell>
          <cell r="T136">
            <v>0</v>
          </cell>
          <cell r="U136">
            <v>0</v>
          </cell>
          <cell r="V136">
            <v>0.27703333333333335</v>
          </cell>
        </row>
        <row r="137">
          <cell r="E137" t="str">
            <v>K63N67120</v>
          </cell>
          <cell r="F137">
            <v>47.585700000000003</v>
          </cell>
          <cell r="G137">
            <v>0</v>
          </cell>
          <cell r="H137">
            <v>1.3921666666666667E-2</v>
          </cell>
          <cell r="I137">
            <v>1.0534999999999999E-2</v>
          </cell>
          <cell r="J137">
            <v>0</v>
          </cell>
          <cell r="K137">
            <v>2.7445000000000001E-2</v>
          </cell>
          <cell r="L137">
            <v>0.26970833333333333</v>
          </cell>
          <cell r="M137">
            <v>1.0450000000000001E-3</v>
          </cell>
          <cell r="N137">
            <v>2.3405000000000002E-2</v>
          </cell>
          <cell r="O137">
            <v>1.3888333333333334E-2</v>
          </cell>
          <cell r="P137">
            <v>7.1633333333333332E-3</v>
          </cell>
          <cell r="Q137">
            <v>2.4456666666666668E-2</v>
          </cell>
          <cell r="R137">
            <v>0.34265500000000004</v>
          </cell>
          <cell r="S137">
            <v>0</v>
          </cell>
          <cell r="T137">
            <v>0</v>
          </cell>
          <cell r="U137">
            <v>0</v>
          </cell>
          <cell r="V137">
            <v>0.36711166666666672</v>
          </cell>
        </row>
        <row r="138">
          <cell r="E138" t="str">
            <v>K63N67240</v>
          </cell>
          <cell r="F138">
            <v>81.880499999999998</v>
          </cell>
          <cell r="G138">
            <v>0</v>
          </cell>
          <cell r="H138">
            <v>1.4633333333333333E-2</v>
          </cell>
          <cell r="I138">
            <v>0</v>
          </cell>
          <cell r="J138">
            <v>0</v>
          </cell>
          <cell r="K138">
            <v>3.7033333333333335E-2</v>
          </cell>
          <cell r="L138">
            <v>0.16532666666666668</v>
          </cell>
          <cell r="M138">
            <v>2.0900000000000003E-3</v>
          </cell>
          <cell r="N138">
            <v>2.4018333333333333E-2</v>
          </cell>
          <cell r="O138">
            <v>1.363E-2</v>
          </cell>
          <cell r="P138">
            <v>5.398333333333334E-3</v>
          </cell>
          <cell r="Q138">
            <v>1.4633333333333333E-2</v>
          </cell>
          <cell r="R138">
            <v>0.2474966666666667</v>
          </cell>
          <cell r="S138">
            <v>0</v>
          </cell>
          <cell r="T138">
            <v>0</v>
          </cell>
          <cell r="U138">
            <v>0</v>
          </cell>
          <cell r="V138">
            <v>0.26213000000000003</v>
          </cell>
        </row>
        <row r="139">
          <cell r="E139" t="str">
            <v>K63P67120</v>
          </cell>
          <cell r="F139">
            <v>81.146600000000007</v>
          </cell>
          <cell r="G139">
            <v>0</v>
          </cell>
          <cell r="H139">
            <v>2.0453333333333334E-2</v>
          </cell>
          <cell r="I139">
            <v>2.2588333333333332E-2</v>
          </cell>
          <cell r="J139">
            <v>0</v>
          </cell>
          <cell r="K139">
            <v>4.1928333333333331E-2</v>
          </cell>
          <cell r="L139">
            <v>0.32599833333333333</v>
          </cell>
          <cell r="M139">
            <v>1.0450000000000001E-3</v>
          </cell>
          <cell r="N139">
            <v>2.6536666666666667E-2</v>
          </cell>
          <cell r="O139">
            <v>1.5608333333333333E-2</v>
          </cell>
          <cell r="P139">
            <v>8.3366666666666658E-3</v>
          </cell>
          <cell r="Q139">
            <v>4.3041666666666666E-2</v>
          </cell>
          <cell r="R139">
            <v>0.41945333333333334</v>
          </cell>
          <cell r="S139">
            <v>0</v>
          </cell>
          <cell r="T139">
            <v>0</v>
          </cell>
          <cell r="U139">
            <v>0</v>
          </cell>
          <cell r="V139">
            <v>0.46249499999999999</v>
          </cell>
        </row>
        <row r="140">
          <cell r="E140" t="str">
            <v>K63P67240</v>
          </cell>
          <cell r="F140">
            <v>92.827500000000001</v>
          </cell>
          <cell r="G140">
            <v>0</v>
          </cell>
          <cell r="H140">
            <v>1.6866666666666665E-2</v>
          </cell>
          <cell r="I140">
            <v>0</v>
          </cell>
          <cell r="J140">
            <v>0</v>
          </cell>
          <cell r="K140">
            <v>4.2258333333333328E-2</v>
          </cell>
          <cell r="L140">
            <v>0.18092499999999997</v>
          </cell>
          <cell r="M140">
            <v>2.0900000000000003E-3</v>
          </cell>
          <cell r="N140">
            <v>2.5525000000000003E-2</v>
          </cell>
          <cell r="O140">
            <v>1.4333333333333333E-2</v>
          </cell>
          <cell r="P140">
            <v>5.7883333333333337E-3</v>
          </cell>
          <cell r="Q140">
            <v>1.6866666666666665E-2</v>
          </cell>
          <cell r="R140">
            <v>0.27091999999999994</v>
          </cell>
          <cell r="S140">
            <v>0</v>
          </cell>
          <cell r="T140">
            <v>0</v>
          </cell>
          <cell r="U140">
            <v>0</v>
          </cell>
          <cell r="V140">
            <v>0.28778666666666658</v>
          </cell>
        </row>
        <row r="141">
          <cell r="E141" t="str">
            <v>K63R67120</v>
          </cell>
          <cell r="F141">
            <v>47.585700000000003</v>
          </cell>
          <cell r="G141">
            <v>0</v>
          </cell>
          <cell r="H141">
            <v>1.4615E-2</v>
          </cell>
          <cell r="I141">
            <v>1.0534999999999999E-2</v>
          </cell>
          <cell r="J141">
            <v>0</v>
          </cell>
          <cell r="K141">
            <v>2.7445000000000001E-2</v>
          </cell>
          <cell r="L141">
            <v>0.29221666666666668</v>
          </cell>
          <cell r="M141">
            <v>1.0450000000000001E-3</v>
          </cell>
          <cell r="N141">
            <v>2.4126666666666668E-2</v>
          </cell>
          <cell r="O141">
            <v>1.448E-2</v>
          </cell>
          <cell r="P141">
            <v>7.6583333333333338E-3</v>
          </cell>
          <cell r="Q141">
            <v>2.5149999999999999E-2</v>
          </cell>
          <cell r="R141">
            <v>0.3669716666666667</v>
          </cell>
          <cell r="S141">
            <v>0</v>
          </cell>
          <cell r="T141">
            <v>0</v>
          </cell>
          <cell r="U141">
            <v>0</v>
          </cell>
          <cell r="V141">
            <v>0.3921216666666667</v>
          </cell>
        </row>
        <row r="142">
          <cell r="E142" t="str">
            <v>K63S67120</v>
          </cell>
          <cell r="F142">
            <v>81.146600000000007</v>
          </cell>
          <cell r="G142">
            <v>0</v>
          </cell>
          <cell r="H142">
            <v>2.1145000000000001E-2</v>
          </cell>
          <cell r="I142">
            <v>2.2588333333333332E-2</v>
          </cell>
          <cell r="J142">
            <v>0</v>
          </cell>
          <cell r="K142">
            <v>4.1928333333333331E-2</v>
          </cell>
          <cell r="L142">
            <v>0.34898000000000001</v>
          </cell>
          <cell r="M142">
            <v>1.0450000000000001E-3</v>
          </cell>
          <cell r="N142">
            <v>2.726E-2</v>
          </cell>
          <cell r="O142">
            <v>1.6199999999999999E-2</v>
          </cell>
          <cell r="P142">
            <v>8.8316666666666665E-3</v>
          </cell>
          <cell r="Q142">
            <v>4.3733333333333332E-2</v>
          </cell>
          <cell r="R142">
            <v>0.44424500000000006</v>
          </cell>
          <cell r="S142">
            <v>0</v>
          </cell>
          <cell r="T142">
            <v>0</v>
          </cell>
          <cell r="U142">
            <v>0</v>
          </cell>
          <cell r="V142">
            <v>0.4879783333333334</v>
          </cell>
        </row>
        <row r="143">
          <cell r="E143" t="str">
            <v>K64B67120</v>
          </cell>
          <cell r="F143">
            <v>52.119399999999999</v>
          </cell>
          <cell r="G143">
            <v>0</v>
          </cell>
          <cell r="H143">
            <v>1.5386666666666667E-2</v>
          </cell>
          <cell r="I143">
            <v>1.0534999999999999E-2</v>
          </cell>
          <cell r="J143">
            <v>0</v>
          </cell>
          <cell r="K143">
            <v>3.0928333333333332E-2</v>
          </cell>
          <cell r="L143">
            <v>0.288935</v>
          </cell>
          <cell r="M143">
            <v>1.0450000000000001E-3</v>
          </cell>
          <cell r="N143">
            <v>2.4838333333333334E-2</v>
          </cell>
          <cell r="O143">
            <v>1.4738333333333332E-2</v>
          </cell>
          <cell r="P143">
            <v>7.6516666666666669E-3</v>
          </cell>
          <cell r="Q143">
            <v>2.5921666666666666E-2</v>
          </cell>
          <cell r="R143">
            <v>0.36813666666666672</v>
          </cell>
          <cell r="S143">
            <v>0</v>
          </cell>
          <cell r="T143">
            <v>0</v>
          </cell>
          <cell r="U143">
            <v>0</v>
          </cell>
          <cell r="V143">
            <v>0.3940583333333334</v>
          </cell>
        </row>
        <row r="144">
          <cell r="E144" t="str">
            <v>K64C67120</v>
          </cell>
          <cell r="F144">
            <v>85.680300000000003</v>
          </cell>
          <cell r="G144">
            <v>0</v>
          </cell>
          <cell r="H144">
            <v>2.1916666666666664E-2</v>
          </cell>
          <cell r="I144">
            <v>2.2588333333333332E-2</v>
          </cell>
          <cell r="J144">
            <v>0</v>
          </cell>
          <cell r="K144">
            <v>4.5411666666666663E-2</v>
          </cell>
          <cell r="L144">
            <v>0.345225</v>
          </cell>
          <cell r="M144">
            <v>1.0450000000000001E-3</v>
          </cell>
          <cell r="N144">
            <v>2.7969999999999998E-2</v>
          </cell>
          <cell r="O144">
            <v>1.6456666666666668E-2</v>
          </cell>
          <cell r="P144">
            <v>8.8249999999999995E-3</v>
          </cell>
          <cell r="Q144">
            <v>4.4504999999999996E-2</v>
          </cell>
          <cell r="R144">
            <v>0.4449333333333334</v>
          </cell>
          <cell r="S144">
            <v>0</v>
          </cell>
          <cell r="T144">
            <v>0</v>
          </cell>
          <cell r="U144">
            <v>0</v>
          </cell>
          <cell r="V144">
            <v>0.48943833333333342</v>
          </cell>
        </row>
        <row r="145">
          <cell r="E145" t="str">
            <v>K64E67120</v>
          </cell>
          <cell r="F145">
            <v>85.680300000000003</v>
          </cell>
          <cell r="G145">
            <v>0</v>
          </cell>
          <cell r="H145">
            <v>2.2608333333333334E-2</v>
          </cell>
          <cell r="I145">
            <v>2.2588333333333332E-2</v>
          </cell>
          <cell r="J145">
            <v>0</v>
          </cell>
          <cell r="K145">
            <v>4.5411666666666663E-2</v>
          </cell>
          <cell r="L145">
            <v>0.36820666666666668</v>
          </cell>
          <cell r="M145">
            <v>1.0450000000000001E-3</v>
          </cell>
          <cell r="N145">
            <v>2.8693333333333335E-2</v>
          </cell>
          <cell r="O145">
            <v>1.7049999999999999E-2</v>
          </cell>
          <cell r="P145">
            <v>9.3200000000000002E-3</v>
          </cell>
          <cell r="Q145">
            <v>4.5196666666666663E-2</v>
          </cell>
          <cell r="R145">
            <v>0.46972666666666674</v>
          </cell>
          <cell r="S145">
            <v>0</v>
          </cell>
          <cell r="T145">
            <v>0</v>
          </cell>
          <cell r="U145">
            <v>0</v>
          </cell>
          <cell r="V145">
            <v>0.5149233333333334</v>
          </cell>
        </row>
        <row r="146">
          <cell r="E146" t="str">
            <v>K64K67120</v>
          </cell>
          <cell r="F146">
            <v>59.928699999999999</v>
          </cell>
          <cell r="G146">
            <v>0</v>
          </cell>
          <cell r="H146">
            <v>1.6446666666666668E-2</v>
          </cell>
          <cell r="I146">
            <v>1.0534999999999999E-2</v>
          </cell>
          <cell r="J146">
            <v>0</v>
          </cell>
          <cell r="K146">
            <v>3.2761666666666668E-2</v>
          </cell>
          <cell r="L146">
            <v>0.29822333333333334</v>
          </cell>
          <cell r="M146">
            <v>2.0900000000000003E-3</v>
          </cell>
          <cell r="N146">
            <v>2.7375E-2</v>
          </cell>
          <cell r="O146">
            <v>1.7845E-2</v>
          </cell>
          <cell r="P146">
            <v>7.9183333333333345E-3</v>
          </cell>
          <cell r="Q146">
            <v>2.6981666666666668E-2</v>
          </cell>
          <cell r="R146">
            <v>0.38621333333333335</v>
          </cell>
          <cell r="S146">
            <v>0</v>
          </cell>
          <cell r="T146">
            <v>0</v>
          </cell>
          <cell r="U146">
            <v>0</v>
          </cell>
          <cell r="V146">
            <v>0.41319500000000003</v>
          </cell>
        </row>
        <row r="147">
          <cell r="E147" t="str">
            <v>K64S67030</v>
          </cell>
          <cell r="F147">
            <v>1204.7034000000001</v>
          </cell>
          <cell r="G147">
            <v>0</v>
          </cell>
          <cell r="H147">
            <v>0.19718333333333332</v>
          </cell>
          <cell r="I147">
            <v>0.32570833333333332</v>
          </cell>
          <cell r="J147">
            <v>9.5468333333333336E-2</v>
          </cell>
          <cell r="K147">
            <v>0.48070666666666667</v>
          </cell>
          <cell r="L147">
            <v>1.1118433333333333</v>
          </cell>
          <cell r="M147">
            <v>9.4050000000000002E-3</v>
          </cell>
          <cell r="N147">
            <v>0.10555166666666667</v>
          </cell>
          <cell r="O147">
            <v>6.1403333333333338E-2</v>
          </cell>
          <cell r="P147">
            <v>7.6395000000000005E-2</v>
          </cell>
          <cell r="Q147">
            <v>0.61836000000000002</v>
          </cell>
          <cell r="R147">
            <v>1.845305</v>
          </cell>
          <cell r="S147">
            <v>0</v>
          </cell>
          <cell r="T147">
            <v>0</v>
          </cell>
          <cell r="U147">
            <v>0</v>
          </cell>
          <cell r="V147">
            <v>2.4636649999999998</v>
          </cell>
        </row>
        <row r="148">
          <cell r="E148" t="str">
            <v>K64V67120</v>
          </cell>
          <cell r="F148">
            <v>64.462500000000006</v>
          </cell>
          <cell r="G148">
            <v>0</v>
          </cell>
          <cell r="H148">
            <v>1.7911666666666666E-2</v>
          </cell>
          <cell r="I148">
            <v>1.0534999999999999E-2</v>
          </cell>
          <cell r="J148">
            <v>0</v>
          </cell>
          <cell r="K148">
            <v>3.6244999999999999E-2</v>
          </cell>
          <cell r="L148">
            <v>0.31745000000000001</v>
          </cell>
          <cell r="M148">
            <v>2.0900000000000003E-3</v>
          </cell>
          <cell r="N148">
            <v>2.8808333333333332E-2</v>
          </cell>
          <cell r="O148">
            <v>1.8695E-2</v>
          </cell>
          <cell r="P148">
            <v>8.4066666666666665E-3</v>
          </cell>
          <cell r="Q148">
            <v>2.8446666666666665E-2</v>
          </cell>
          <cell r="R148">
            <v>0.41169499999999998</v>
          </cell>
          <cell r="S148">
            <v>0</v>
          </cell>
          <cell r="T148">
            <v>0</v>
          </cell>
          <cell r="U148">
            <v>0</v>
          </cell>
          <cell r="V148">
            <v>0.44014166666666665</v>
          </cell>
        </row>
        <row r="149">
          <cell r="E149" t="str">
            <v>K64W67120</v>
          </cell>
          <cell r="F149">
            <v>98.023399999999995</v>
          </cell>
          <cell r="G149">
            <v>0</v>
          </cell>
          <cell r="H149">
            <v>2.444E-2</v>
          </cell>
          <cell r="I149">
            <v>2.2588333333333332E-2</v>
          </cell>
          <cell r="J149">
            <v>0</v>
          </cell>
          <cell r="K149">
            <v>5.0728333333333334E-2</v>
          </cell>
          <cell r="L149">
            <v>0.37373999999999996</v>
          </cell>
          <cell r="M149">
            <v>2.0900000000000003E-3</v>
          </cell>
          <cell r="N149">
            <v>3.1940000000000003E-2</v>
          </cell>
          <cell r="O149">
            <v>2.0413333333333335E-2</v>
          </cell>
          <cell r="P149">
            <v>9.58E-3</v>
          </cell>
          <cell r="Q149">
            <v>4.7028333333333332E-2</v>
          </cell>
          <cell r="R149">
            <v>0.4884916666666666</v>
          </cell>
          <cell r="S149">
            <v>0</v>
          </cell>
          <cell r="T149">
            <v>0</v>
          </cell>
          <cell r="U149">
            <v>0</v>
          </cell>
          <cell r="V149">
            <v>0.53551999999999988</v>
          </cell>
        </row>
        <row r="150">
          <cell r="E150" t="str">
            <v>K65D67030</v>
          </cell>
          <cell r="F150">
            <v>1260.9752000000001</v>
          </cell>
          <cell r="G150">
            <v>0</v>
          </cell>
          <cell r="H150">
            <v>0.20473833333333333</v>
          </cell>
          <cell r="I150">
            <v>0.34689166666666671</v>
          </cell>
          <cell r="J150">
            <v>0.10168333333333333</v>
          </cell>
          <cell r="K150">
            <v>0.49995666666666666</v>
          </cell>
          <cell r="L150">
            <v>1.1308333333333331</v>
          </cell>
          <cell r="M150">
            <v>9.4050000000000002E-3</v>
          </cell>
          <cell r="N150">
            <v>0.10685666666666667</v>
          </cell>
          <cell r="O150">
            <v>6.1919999999999996E-2</v>
          </cell>
          <cell r="P150">
            <v>7.8716666666666671E-2</v>
          </cell>
          <cell r="Q150">
            <v>0.65331333333333341</v>
          </cell>
          <cell r="R150">
            <v>1.8876883333333332</v>
          </cell>
          <cell r="S150">
            <v>0</v>
          </cell>
          <cell r="T150">
            <v>0</v>
          </cell>
          <cell r="U150">
            <v>0</v>
          </cell>
          <cell r="V150">
            <v>2.5410016666666664</v>
          </cell>
        </row>
        <row r="151">
          <cell r="E151" t="str">
            <v>K65F67030</v>
          </cell>
          <cell r="F151">
            <v>1315.3468000000003</v>
          </cell>
          <cell r="G151">
            <v>0</v>
          </cell>
          <cell r="H151">
            <v>0.20988166666666666</v>
          </cell>
          <cell r="I151">
            <v>0.37914500000000001</v>
          </cell>
          <cell r="J151">
            <v>0.10815</v>
          </cell>
          <cell r="K151">
            <v>0.50894000000000006</v>
          </cell>
          <cell r="L151">
            <v>1.1450416666666667</v>
          </cell>
          <cell r="M151">
            <v>9.4050000000000002E-3</v>
          </cell>
          <cell r="N151">
            <v>0.10767499999999999</v>
          </cell>
          <cell r="O151">
            <v>6.2298333333333331E-2</v>
          </cell>
          <cell r="P151">
            <v>7.8933333333333328E-2</v>
          </cell>
          <cell r="Q151">
            <v>0.69717666666666667</v>
          </cell>
          <cell r="R151">
            <v>1.9122933333333334</v>
          </cell>
          <cell r="S151">
            <v>0</v>
          </cell>
          <cell r="T151">
            <v>0</v>
          </cell>
          <cell r="U151">
            <v>0</v>
          </cell>
          <cell r="V151">
            <v>2.60947</v>
          </cell>
        </row>
        <row r="152">
          <cell r="E152" t="str">
            <v>K65H67030</v>
          </cell>
          <cell r="F152">
            <v>1220.0541000000001</v>
          </cell>
          <cell r="G152">
            <v>0</v>
          </cell>
          <cell r="H152">
            <v>0.20074666666666668</v>
          </cell>
          <cell r="I152">
            <v>0.34098499999999998</v>
          </cell>
          <cell r="J152">
            <v>9.5468333333333336E-2</v>
          </cell>
          <cell r="K152">
            <v>0.49170666666666668</v>
          </cell>
          <cell r="L152">
            <v>1.1142116666666666</v>
          </cell>
          <cell r="M152">
            <v>9.4050000000000002E-3</v>
          </cell>
          <cell r="N152">
            <v>0.10579166666666667</v>
          </cell>
          <cell r="O152">
            <v>6.1403333333333338E-2</v>
          </cell>
          <cell r="P152">
            <v>7.6395000000000005E-2</v>
          </cell>
          <cell r="Q152">
            <v>0.6372000000000001</v>
          </cell>
          <cell r="R152">
            <v>1.8589133333333334</v>
          </cell>
          <cell r="S152">
            <v>0</v>
          </cell>
          <cell r="T152">
            <v>0</v>
          </cell>
          <cell r="U152">
            <v>0</v>
          </cell>
          <cell r="V152">
            <v>2.4961133333333336</v>
          </cell>
        </row>
        <row r="153">
          <cell r="E153" t="str">
            <v>K65J67030</v>
          </cell>
          <cell r="F153">
            <v>1149.4662000000001</v>
          </cell>
          <cell r="G153">
            <v>0</v>
          </cell>
          <cell r="H153">
            <v>0.18537999999999999</v>
          </cell>
          <cell r="I153">
            <v>0.26119166666666666</v>
          </cell>
          <cell r="J153">
            <v>7.6859999999999998E-2</v>
          </cell>
          <cell r="K153">
            <v>0.46328999999999998</v>
          </cell>
          <cell r="L153">
            <v>1.0708333333333333</v>
          </cell>
          <cell r="M153">
            <v>9.4050000000000002E-3</v>
          </cell>
          <cell r="N153">
            <v>0.10353666666666667</v>
          </cell>
          <cell r="O153">
            <v>5.9728333333333335E-2</v>
          </cell>
          <cell r="P153">
            <v>7.1209999999999996E-2</v>
          </cell>
          <cell r="Q153">
            <v>0.52343166666666663</v>
          </cell>
          <cell r="R153">
            <v>1.7780033333333334</v>
          </cell>
          <cell r="S153">
            <v>0</v>
          </cell>
          <cell r="T153">
            <v>0</v>
          </cell>
          <cell r="U153">
            <v>0</v>
          </cell>
          <cell r="V153">
            <v>2.3014350000000001</v>
          </cell>
        </row>
        <row r="154">
          <cell r="E154" t="str">
            <v>K65K67030</v>
          </cell>
          <cell r="F154">
            <v>1203.8378</v>
          </cell>
          <cell r="G154">
            <v>0</v>
          </cell>
          <cell r="H154">
            <v>0.19052333333333332</v>
          </cell>
          <cell r="I154">
            <v>0.29344500000000001</v>
          </cell>
          <cell r="J154">
            <v>8.3326666666666674E-2</v>
          </cell>
          <cell r="K154">
            <v>0.47227333333333338</v>
          </cell>
          <cell r="L154">
            <v>1.0850416666666667</v>
          </cell>
          <cell r="M154">
            <v>9.4050000000000002E-3</v>
          </cell>
          <cell r="N154">
            <v>0.10435666666666667</v>
          </cell>
          <cell r="O154">
            <v>6.0109999999999997E-2</v>
          </cell>
          <cell r="P154">
            <v>7.1428333333333344E-2</v>
          </cell>
          <cell r="Q154">
            <v>0.56729499999999999</v>
          </cell>
          <cell r="R154">
            <v>1.8026150000000003</v>
          </cell>
          <cell r="S154">
            <v>0</v>
          </cell>
          <cell r="T154">
            <v>0</v>
          </cell>
          <cell r="U154">
            <v>0</v>
          </cell>
          <cell r="V154">
            <v>2.3699100000000004</v>
          </cell>
        </row>
        <row r="155">
          <cell r="E155" t="str">
            <v>K65S67120</v>
          </cell>
          <cell r="F155">
            <v>214.00980000000001</v>
          </cell>
          <cell r="G155">
            <v>0</v>
          </cell>
          <cell r="H155">
            <v>3.8954999999999997E-2</v>
          </cell>
          <cell r="I155">
            <v>2.2588333333333332E-2</v>
          </cell>
          <cell r="J155">
            <v>0</v>
          </cell>
          <cell r="K155">
            <v>8.9724999999999999E-2</v>
          </cell>
          <cell r="L155">
            <v>0.47255333333333333</v>
          </cell>
          <cell r="M155">
            <v>2.0900000000000003E-3</v>
          </cell>
          <cell r="N155">
            <v>3.7865000000000003E-2</v>
          </cell>
          <cell r="O155">
            <v>2.0431666666666667E-2</v>
          </cell>
          <cell r="P155">
            <v>1.6338333333333333E-2</v>
          </cell>
          <cell r="Q155">
            <v>6.1543333333333325E-2</v>
          </cell>
          <cell r="R155">
            <v>0.63900333333333337</v>
          </cell>
          <cell r="S155">
            <v>0</v>
          </cell>
          <cell r="T155">
            <v>0</v>
          </cell>
          <cell r="U155">
            <v>0</v>
          </cell>
          <cell r="V155">
            <v>0.70054666666666665</v>
          </cell>
        </row>
        <row r="156">
          <cell r="E156" t="str">
            <v>K65V67120</v>
          </cell>
          <cell r="F156">
            <v>214.00980000000001</v>
          </cell>
          <cell r="G156">
            <v>0</v>
          </cell>
          <cell r="H156">
            <v>3.964666666666667E-2</v>
          </cell>
          <cell r="I156">
            <v>2.2588333333333332E-2</v>
          </cell>
          <cell r="J156">
            <v>0</v>
          </cell>
          <cell r="K156">
            <v>8.9724999999999999E-2</v>
          </cell>
          <cell r="L156">
            <v>0.495535</v>
          </cell>
          <cell r="M156">
            <v>2.0900000000000003E-3</v>
          </cell>
          <cell r="N156">
            <v>3.8586666666666665E-2</v>
          </cell>
          <cell r="O156">
            <v>2.1023333333333335E-2</v>
          </cell>
          <cell r="P156">
            <v>1.6833333333333332E-2</v>
          </cell>
          <cell r="Q156">
            <v>6.2234999999999999E-2</v>
          </cell>
          <cell r="R156">
            <v>0.66379333333333335</v>
          </cell>
          <cell r="S156">
            <v>0</v>
          </cell>
          <cell r="T156">
            <v>0</v>
          </cell>
          <cell r="U156">
            <v>0</v>
          </cell>
          <cell r="V156">
            <v>0.72602833333333339</v>
          </cell>
        </row>
        <row r="157">
          <cell r="E157" t="str">
            <v>K66M67120</v>
          </cell>
          <cell r="F157">
            <v>190.4376</v>
          </cell>
          <cell r="G157">
            <v>0</v>
          </cell>
          <cell r="H157">
            <v>3.4380000000000001E-2</v>
          </cell>
          <cell r="I157">
            <v>1.0534999999999999E-2</v>
          </cell>
          <cell r="J157">
            <v>0</v>
          </cell>
          <cell r="K157">
            <v>7.8724999999999989E-2</v>
          </cell>
          <cell r="L157">
            <v>0.43885666666666662</v>
          </cell>
          <cell r="M157">
            <v>2.0900000000000003E-3</v>
          </cell>
          <cell r="N157">
            <v>3.6768333333333333E-2</v>
          </cell>
          <cell r="O157">
            <v>2.2143333333333334E-2</v>
          </cell>
          <cell r="P157">
            <v>1.5748333333333333E-2</v>
          </cell>
          <cell r="Q157">
            <v>4.4914999999999997E-2</v>
          </cell>
          <cell r="R157">
            <v>0.59433166666666659</v>
          </cell>
          <cell r="S157">
            <v>0</v>
          </cell>
          <cell r="T157">
            <v>0</v>
          </cell>
          <cell r="U157">
            <v>0</v>
          </cell>
          <cell r="V157">
            <v>0.63924666666666663</v>
          </cell>
        </row>
        <row r="158">
          <cell r="E158" t="str">
            <v>K66N67120</v>
          </cell>
          <cell r="F158">
            <v>224.0016</v>
          </cell>
          <cell r="G158">
            <v>0</v>
          </cell>
          <cell r="H158">
            <v>4.0910000000000002E-2</v>
          </cell>
          <cell r="I158">
            <v>2.2588333333333332E-2</v>
          </cell>
          <cell r="J158">
            <v>0</v>
          </cell>
          <cell r="K158">
            <v>9.3208333333333337E-2</v>
          </cell>
          <cell r="L158">
            <v>0.495145</v>
          </cell>
          <cell r="M158">
            <v>2.0900000000000003E-3</v>
          </cell>
          <cell r="N158">
            <v>3.9901666666666662E-2</v>
          </cell>
          <cell r="O158">
            <v>2.3863333333333334E-2</v>
          </cell>
          <cell r="P158">
            <v>1.6921666666666668E-2</v>
          </cell>
          <cell r="Q158">
            <v>6.3498333333333337E-2</v>
          </cell>
          <cell r="R158">
            <v>0.67113</v>
          </cell>
          <cell r="S158">
            <v>0</v>
          </cell>
          <cell r="T158">
            <v>0</v>
          </cell>
          <cell r="U158">
            <v>0</v>
          </cell>
          <cell r="V158">
            <v>0.73462833333333333</v>
          </cell>
        </row>
        <row r="159">
          <cell r="E159" t="str">
            <v>K66R67120</v>
          </cell>
          <cell r="F159">
            <v>224.0016</v>
          </cell>
          <cell r="G159">
            <v>0</v>
          </cell>
          <cell r="H159">
            <v>4.1603333333333332E-2</v>
          </cell>
          <cell r="I159">
            <v>2.2588333333333332E-2</v>
          </cell>
          <cell r="J159">
            <v>0</v>
          </cell>
          <cell r="K159">
            <v>9.3208333333333337E-2</v>
          </cell>
          <cell r="L159">
            <v>0.51812666666666662</v>
          </cell>
          <cell r="M159">
            <v>2.0900000000000003E-3</v>
          </cell>
          <cell r="N159">
            <v>4.0625000000000001E-2</v>
          </cell>
          <cell r="O159">
            <v>2.4455000000000001E-2</v>
          </cell>
          <cell r="P159">
            <v>1.7416666666666667E-2</v>
          </cell>
          <cell r="Q159">
            <v>6.4191666666666661E-2</v>
          </cell>
          <cell r="R159">
            <v>0.69592166666666666</v>
          </cell>
          <cell r="S159">
            <v>0</v>
          </cell>
          <cell r="T159">
            <v>0</v>
          </cell>
          <cell r="U159">
            <v>0</v>
          </cell>
          <cell r="V159">
            <v>0.76011333333333331</v>
          </cell>
        </row>
        <row r="160">
          <cell r="E160" t="str">
            <v>KCLL67030</v>
          </cell>
          <cell r="F160">
            <v>1222.1309000000001</v>
          </cell>
          <cell r="G160">
            <v>0</v>
          </cell>
          <cell r="H160">
            <v>0.19441833333333333</v>
          </cell>
          <cell r="I160">
            <v>0.31677833333333333</v>
          </cell>
          <cell r="J160">
            <v>9.6530000000000005E-2</v>
          </cell>
          <cell r="K160">
            <v>0.47635166666666667</v>
          </cell>
          <cell r="L160">
            <v>1.0322416666666667</v>
          </cell>
          <cell r="M160">
            <v>9.4050000000000002E-3</v>
          </cell>
          <cell r="N160">
            <v>0.10077666666666667</v>
          </cell>
          <cell r="O160">
            <v>5.3995000000000001E-2</v>
          </cell>
          <cell r="P160">
            <v>7.2770000000000001E-2</v>
          </cell>
          <cell r="Q160">
            <v>0.60772666666666664</v>
          </cell>
          <cell r="R160">
            <v>1.7455400000000003</v>
          </cell>
          <cell r="S160">
            <v>0</v>
          </cell>
          <cell r="T160">
            <v>0</v>
          </cell>
          <cell r="U160">
            <v>0</v>
          </cell>
          <cell r="V160">
            <v>2.3532666666666668</v>
          </cell>
        </row>
        <row r="161">
          <cell r="E161" t="str">
            <v>KCLL67120</v>
          </cell>
          <cell r="F161">
            <v>57.306699999999999</v>
          </cell>
          <cell r="G161">
            <v>0</v>
          </cell>
          <cell r="H161">
            <v>1.6691666666666667E-2</v>
          </cell>
          <cell r="I161">
            <v>1.788E-2</v>
          </cell>
          <cell r="J161">
            <v>0</v>
          </cell>
          <cell r="K161">
            <v>3.2761666666666668E-2</v>
          </cell>
          <cell r="L161">
            <v>0.30521333333333334</v>
          </cell>
          <cell r="M161">
            <v>1.0450000000000001E-3</v>
          </cell>
          <cell r="N161">
            <v>2.4931666666666668E-2</v>
          </cell>
          <cell r="O161">
            <v>1.4443333333333334E-2</v>
          </cell>
          <cell r="P161">
            <v>7.6299999999999996E-3</v>
          </cell>
          <cell r="Q161">
            <v>3.4571666666666667E-2</v>
          </cell>
          <cell r="R161">
            <v>0.38602500000000006</v>
          </cell>
          <cell r="S161">
            <v>0</v>
          </cell>
          <cell r="T161">
            <v>0</v>
          </cell>
          <cell r="U161">
            <v>0</v>
          </cell>
          <cell r="V161">
            <v>0.42059666666666673</v>
          </cell>
        </row>
        <row r="162">
          <cell r="E162" t="str">
            <v>KCLL67240</v>
          </cell>
          <cell r="F162">
            <v>73.865099999999998</v>
          </cell>
          <cell r="G162">
            <v>0</v>
          </cell>
          <cell r="H162">
            <v>1.7303333333333334E-2</v>
          </cell>
          <cell r="I162">
            <v>0</v>
          </cell>
          <cell r="J162">
            <v>0</v>
          </cell>
          <cell r="K162">
            <v>4.4274999999999995E-2</v>
          </cell>
          <cell r="L162">
            <v>0.17913666666666667</v>
          </cell>
          <cell r="M162">
            <v>2.0900000000000003E-3</v>
          </cell>
          <cell r="N162">
            <v>2.5601666666666668E-2</v>
          </cell>
          <cell r="O162">
            <v>1.4245000000000001E-2</v>
          </cell>
          <cell r="P162">
            <v>5.7266666666666672E-3</v>
          </cell>
          <cell r="Q162">
            <v>1.7303333333333334E-2</v>
          </cell>
          <cell r="R162">
            <v>0.27107500000000001</v>
          </cell>
          <cell r="S162">
            <v>0</v>
          </cell>
          <cell r="T162">
            <v>0</v>
          </cell>
          <cell r="U162">
            <v>0</v>
          </cell>
          <cell r="V162">
            <v>0.28837833333333335</v>
          </cell>
        </row>
        <row r="163">
          <cell r="E163" t="str">
            <v>KCLL67SJ0</v>
          </cell>
          <cell r="F163">
            <v>86.278199999999998</v>
          </cell>
          <cell r="G163">
            <v>0</v>
          </cell>
          <cell r="H163">
            <v>2.5619999999999997E-2</v>
          </cell>
          <cell r="I163">
            <v>0.12197666666666666</v>
          </cell>
          <cell r="J163">
            <v>2.5866666666666666E-2</v>
          </cell>
          <cell r="K163">
            <v>6.4111666666666664E-2</v>
          </cell>
          <cell r="L163">
            <v>6.3646666666666671E-2</v>
          </cell>
          <cell r="M163">
            <v>0</v>
          </cell>
          <cell r="N163">
            <v>1.9564999999999999E-2</v>
          </cell>
          <cell r="O163">
            <v>6.4316666666666671E-3</v>
          </cell>
          <cell r="P163">
            <v>3.0733333333333333E-3</v>
          </cell>
          <cell r="Q163">
            <v>0.17346333333333333</v>
          </cell>
          <cell r="R163">
            <v>0.15682833333333335</v>
          </cell>
          <cell r="S163">
            <v>0</v>
          </cell>
          <cell r="T163">
            <v>0</v>
          </cell>
          <cell r="U163">
            <v>0</v>
          </cell>
          <cell r="V163">
            <v>0.33029166666666665</v>
          </cell>
        </row>
        <row r="164">
          <cell r="E164" t="str">
            <v>KCLM67030</v>
          </cell>
          <cell r="F164">
            <v>1261.0479</v>
          </cell>
          <cell r="G164">
            <v>0</v>
          </cell>
          <cell r="H164">
            <v>0.19714166666666666</v>
          </cell>
          <cell r="I164">
            <v>0.32258999999999999</v>
          </cell>
          <cell r="J164">
            <v>9.6530000000000005E-2</v>
          </cell>
          <cell r="K164">
            <v>0.48551833333333333</v>
          </cell>
          <cell r="L164">
            <v>1.0206983333333333</v>
          </cell>
          <cell r="M164">
            <v>9.4050000000000002E-3</v>
          </cell>
          <cell r="N164">
            <v>0.10102999999999999</v>
          </cell>
          <cell r="O164">
            <v>5.3591666666666669E-2</v>
          </cell>
          <cell r="P164">
            <v>7.2448333333333323E-2</v>
          </cell>
          <cell r="Q164">
            <v>0.61626166666666671</v>
          </cell>
          <cell r="R164">
            <v>1.7426916666666665</v>
          </cell>
          <cell r="S164">
            <v>0</v>
          </cell>
          <cell r="T164">
            <v>0</v>
          </cell>
          <cell r="U164">
            <v>0</v>
          </cell>
          <cell r="V164">
            <v>2.358953333333333</v>
          </cell>
        </row>
        <row r="165">
          <cell r="E165" t="str">
            <v>KCLM67120</v>
          </cell>
          <cell r="F165">
            <v>48.678600000000003</v>
          </cell>
          <cell r="G165">
            <v>0</v>
          </cell>
          <cell r="H165">
            <v>1.357E-2</v>
          </cell>
          <cell r="I165">
            <v>1.1195E-2</v>
          </cell>
          <cell r="J165">
            <v>0</v>
          </cell>
          <cell r="K165">
            <v>2.7445000000000001E-2</v>
          </cell>
          <cell r="L165">
            <v>0.25542333333333334</v>
          </cell>
          <cell r="M165">
            <v>1.0450000000000001E-3</v>
          </cell>
          <cell r="N165">
            <v>2.2786666666666667E-2</v>
          </cell>
          <cell r="O165">
            <v>1.3300000000000001E-2</v>
          </cell>
          <cell r="P165">
            <v>6.8516666666666674E-3</v>
          </cell>
          <cell r="Q165">
            <v>2.4765000000000002E-2</v>
          </cell>
          <cell r="R165">
            <v>0.32685166666666665</v>
          </cell>
          <cell r="S165">
            <v>0</v>
          </cell>
          <cell r="T165">
            <v>0</v>
          </cell>
          <cell r="U165">
            <v>0</v>
          </cell>
          <cell r="V165">
            <v>0.35161666666666663</v>
          </cell>
        </row>
        <row r="166">
          <cell r="E166" t="str">
            <v>KCLM67240</v>
          </cell>
          <cell r="F166">
            <v>91.980699999999999</v>
          </cell>
          <cell r="G166">
            <v>0</v>
          </cell>
          <cell r="H166">
            <v>1.7600000000000001E-2</v>
          </cell>
          <cell r="I166">
            <v>0</v>
          </cell>
          <cell r="J166">
            <v>0</v>
          </cell>
          <cell r="K166">
            <v>4.4274999999999995E-2</v>
          </cell>
          <cell r="L166">
            <v>0.18613833333333335</v>
          </cell>
          <cell r="M166">
            <v>2.0900000000000003E-3</v>
          </cell>
          <cell r="N166">
            <v>2.5608333333333334E-2</v>
          </cell>
          <cell r="O166">
            <v>1.4413333333333334E-2</v>
          </cell>
          <cell r="P166">
            <v>5.8433333333333341E-3</v>
          </cell>
          <cell r="Q166">
            <v>1.7600000000000001E-2</v>
          </cell>
          <cell r="R166">
            <v>0.27836833333333333</v>
          </cell>
          <cell r="S166">
            <v>0</v>
          </cell>
          <cell r="T166">
            <v>0</v>
          </cell>
          <cell r="U166">
            <v>0</v>
          </cell>
          <cell r="V166">
            <v>0.29596833333333333</v>
          </cell>
        </row>
        <row r="167">
          <cell r="E167" t="str">
            <v>KCLM67SJ0</v>
          </cell>
          <cell r="F167">
            <v>86.278199999999998</v>
          </cell>
          <cell r="G167">
            <v>0</v>
          </cell>
          <cell r="H167">
            <v>2.5619999999999997E-2</v>
          </cell>
          <cell r="I167">
            <v>0.12197666666666666</v>
          </cell>
          <cell r="J167">
            <v>2.5866666666666666E-2</v>
          </cell>
          <cell r="K167">
            <v>6.4111666666666664E-2</v>
          </cell>
          <cell r="L167">
            <v>6.7496666666666677E-2</v>
          </cell>
          <cell r="M167">
            <v>0</v>
          </cell>
          <cell r="N167">
            <v>2.0343333333333331E-2</v>
          </cell>
          <cell r="O167">
            <v>7.0800000000000004E-3</v>
          </cell>
          <cell r="P167">
            <v>3.6966666666666667E-3</v>
          </cell>
          <cell r="Q167">
            <v>0.17346333333333333</v>
          </cell>
          <cell r="R167">
            <v>0.16272833333333331</v>
          </cell>
          <cell r="S167">
            <v>0</v>
          </cell>
          <cell r="T167">
            <v>0</v>
          </cell>
          <cell r="U167">
            <v>0</v>
          </cell>
          <cell r="V167">
            <v>0.33619166666666667</v>
          </cell>
        </row>
        <row r="168">
          <cell r="E168" t="str">
            <v>KCLN67120</v>
          </cell>
          <cell r="F168">
            <v>75.353999999999999</v>
          </cell>
          <cell r="G168">
            <v>0</v>
          </cell>
          <cell r="H168">
            <v>2.0058333333333334E-2</v>
          </cell>
          <cell r="I168">
            <v>2.3141666666666668E-2</v>
          </cell>
          <cell r="J168">
            <v>0</v>
          </cell>
          <cell r="K168">
            <v>4.1928333333333331E-2</v>
          </cell>
          <cell r="L168">
            <v>0.32589499999999999</v>
          </cell>
          <cell r="M168">
            <v>1.0450000000000001E-3</v>
          </cell>
          <cell r="N168">
            <v>2.6528333333333331E-2</v>
          </cell>
          <cell r="O168">
            <v>1.5405E-2</v>
          </cell>
          <cell r="P168">
            <v>8.1966666666666663E-3</v>
          </cell>
          <cell r="Q168">
            <v>4.3200000000000002E-2</v>
          </cell>
          <cell r="R168">
            <v>0.41899833333333336</v>
          </cell>
          <cell r="S168">
            <v>0</v>
          </cell>
          <cell r="T168">
            <v>0</v>
          </cell>
          <cell r="U168">
            <v>0</v>
          </cell>
          <cell r="V168">
            <v>0.46219833333333338</v>
          </cell>
        </row>
        <row r="169">
          <cell r="E169" t="str">
            <v>KCLN67240</v>
          </cell>
          <cell r="F169">
            <v>64.7607</v>
          </cell>
          <cell r="G169">
            <v>0</v>
          </cell>
          <cell r="H169">
            <v>1.423E-2</v>
          </cell>
          <cell r="I169">
            <v>0</v>
          </cell>
          <cell r="J169">
            <v>0</v>
          </cell>
          <cell r="K169">
            <v>3.5108333333333332E-2</v>
          </cell>
          <cell r="L169">
            <v>0.17061500000000002</v>
          </cell>
          <cell r="M169">
            <v>2.0900000000000003E-3</v>
          </cell>
          <cell r="N169">
            <v>2.3885E-2</v>
          </cell>
          <cell r="O169">
            <v>1.3608333333333333E-2</v>
          </cell>
          <cell r="P169">
            <v>5.2933333333333331E-3</v>
          </cell>
          <cell r="Q169">
            <v>1.423E-2</v>
          </cell>
          <cell r="R169">
            <v>0.25059999999999999</v>
          </cell>
          <cell r="S169">
            <v>0</v>
          </cell>
          <cell r="T169">
            <v>0</v>
          </cell>
          <cell r="U169">
            <v>0</v>
          </cell>
          <cell r="V169">
            <v>0.26483000000000001</v>
          </cell>
        </row>
        <row r="170">
          <cell r="E170" t="str">
            <v>KCLP67120</v>
          </cell>
          <cell r="F170">
            <v>35.017299999999999</v>
          </cell>
          <cell r="G170">
            <v>0</v>
          </cell>
          <cell r="H170">
            <v>1.1644999999999999E-2</v>
          </cell>
          <cell r="I170">
            <v>5.933333333333333E-3</v>
          </cell>
          <cell r="J170">
            <v>0</v>
          </cell>
          <cell r="K170">
            <v>2.1761666666666669E-2</v>
          </cell>
          <cell r="L170">
            <v>0.25337833333333332</v>
          </cell>
          <cell r="M170">
            <v>1.0450000000000001E-3</v>
          </cell>
          <cell r="N170">
            <v>2.2619999999999998E-2</v>
          </cell>
          <cell r="O170">
            <v>1.3123333333333332E-2</v>
          </cell>
          <cell r="P170">
            <v>6.7299999999999999E-3</v>
          </cell>
          <cell r="Q170">
            <v>1.7578333333333331E-2</v>
          </cell>
          <cell r="R170">
            <v>0.31865833333333332</v>
          </cell>
          <cell r="S170">
            <v>0</v>
          </cell>
          <cell r="T170">
            <v>0</v>
          </cell>
          <cell r="U170">
            <v>0</v>
          </cell>
          <cell r="V170">
            <v>0.33623666666666663</v>
          </cell>
        </row>
        <row r="171">
          <cell r="E171" t="str">
            <v>KCLP67240</v>
          </cell>
          <cell r="F171">
            <v>67.299700000000001</v>
          </cell>
          <cell r="G171">
            <v>0</v>
          </cell>
          <cell r="H171">
            <v>1.4628333333333333E-2</v>
          </cell>
          <cell r="I171">
            <v>0</v>
          </cell>
          <cell r="J171">
            <v>0</v>
          </cell>
          <cell r="K171">
            <v>3.7033333333333335E-2</v>
          </cell>
          <cell r="L171">
            <v>0.17109833333333332</v>
          </cell>
          <cell r="M171">
            <v>2.0900000000000003E-3</v>
          </cell>
          <cell r="N171">
            <v>2.402E-2</v>
          </cell>
          <cell r="O171">
            <v>1.3678333333333332E-2</v>
          </cell>
          <cell r="P171">
            <v>5.4316666666666671E-3</v>
          </cell>
          <cell r="Q171">
            <v>1.4628333333333333E-2</v>
          </cell>
          <cell r="R171">
            <v>0.25335166666666664</v>
          </cell>
          <cell r="S171">
            <v>0</v>
          </cell>
          <cell r="T171">
            <v>0</v>
          </cell>
          <cell r="U171">
            <v>0</v>
          </cell>
          <cell r="V171">
            <v>0.26798</v>
          </cell>
        </row>
        <row r="172">
          <cell r="E172" t="str">
            <v>KCLR67240</v>
          </cell>
          <cell r="F172">
            <v>78.242199999999997</v>
          </cell>
          <cell r="G172">
            <v>0</v>
          </cell>
          <cell r="H172">
            <v>1.687E-2</v>
          </cell>
          <cell r="I172">
            <v>0</v>
          </cell>
          <cell r="J172">
            <v>0</v>
          </cell>
          <cell r="K172">
            <v>4.2258333333333328E-2</v>
          </cell>
          <cell r="L172">
            <v>0.18671499999999999</v>
          </cell>
          <cell r="M172">
            <v>2.0900000000000003E-3</v>
          </cell>
          <cell r="N172">
            <v>2.5528333333333333E-2</v>
          </cell>
          <cell r="O172">
            <v>1.4383333333333333E-2</v>
          </cell>
          <cell r="P172">
            <v>5.8216666666666668E-3</v>
          </cell>
          <cell r="Q172">
            <v>1.687E-2</v>
          </cell>
          <cell r="R172">
            <v>0.27679666666666669</v>
          </cell>
          <cell r="S172">
            <v>0</v>
          </cell>
          <cell r="T172">
            <v>0</v>
          </cell>
          <cell r="U172">
            <v>0</v>
          </cell>
          <cell r="V172">
            <v>0.29366666666666669</v>
          </cell>
        </row>
        <row r="173">
          <cell r="E173" t="str">
            <v>KCLS67120</v>
          </cell>
          <cell r="F173">
            <v>53.064500000000002</v>
          </cell>
          <cell r="G173">
            <v>0</v>
          </cell>
          <cell r="H173">
            <v>1.5015000000000001E-2</v>
          </cell>
          <cell r="I173">
            <v>1.1195E-2</v>
          </cell>
          <cell r="J173">
            <v>0</v>
          </cell>
          <cell r="K173">
            <v>3.0928333333333332E-2</v>
          </cell>
          <cell r="L173">
            <v>0.27405833333333335</v>
          </cell>
          <cell r="M173">
            <v>1.0450000000000001E-3</v>
          </cell>
          <cell r="N173">
            <v>2.4218333333333335E-2</v>
          </cell>
          <cell r="O173">
            <v>1.4084999999999999E-2</v>
          </cell>
          <cell r="P173">
            <v>7.2966666666666674E-3</v>
          </cell>
          <cell r="Q173">
            <v>2.6210000000000001E-2</v>
          </cell>
          <cell r="R173">
            <v>0.35163166666666673</v>
          </cell>
          <cell r="S173">
            <v>0</v>
          </cell>
          <cell r="T173">
            <v>0</v>
          </cell>
          <cell r="U173">
            <v>0</v>
          </cell>
          <cell r="V173">
            <v>0.37784166666666674</v>
          </cell>
        </row>
        <row r="174">
          <cell r="E174" t="str">
            <v>KCLS67240</v>
          </cell>
          <cell r="F174">
            <v>85.937299999999993</v>
          </cell>
          <cell r="G174">
            <v>0</v>
          </cell>
          <cell r="H174">
            <v>1.5666666666666666E-2</v>
          </cell>
          <cell r="I174">
            <v>0</v>
          </cell>
          <cell r="J174">
            <v>0</v>
          </cell>
          <cell r="K174">
            <v>3.8774999999999997E-2</v>
          </cell>
          <cell r="L174">
            <v>0.17411166666666666</v>
          </cell>
          <cell r="M174">
            <v>2.0900000000000003E-3</v>
          </cell>
          <cell r="N174">
            <v>2.4709999999999999E-2</v>
          </cell>
          <cell r="O174">
            <v>1.4071666666666668E-2</v>
          </cell>
          <cell r="P174">
            <v>5.6100000000000004E-3</v>
          </cell>
          <cell r="Q174">
            <v>1.5666666666666666E-2</v>
          </cell>
          <cell r="R174">
            <v>0.25936833333333337</v>
          </cell>
          <cell r="S174">
            <v>0</v>
          </cell>
          <cell r="T174">
            <v>0</v>
          </cell>
          <cell r="U174">
            <v>0</v>
          </cell>
          <cell r="V174">
            <v>0.27503500000000003</v>
          </cell>
        </row>
        <row r="175">
          <cell r="E175" t="str">
            <v>KCLT67030</v>
          </cell>
          <cell r="F175">
            <v>1316.0183000000002</v>
          </cell>
          <cell r="G175">
            <v>0</v>
          </cell>
          <cell r="H175">
            <v>0.20311166666666666</v>
          </cell>
          <cell r="I175">
            <v>0.35474833333333333</v>
          </cell>
          <cell r="J175">
            <v>0.10299666666666667</v>
          </cell>
          <cell r="K175">
            <v>0.49450166666666667</v>
          </cell>
          <cell r="L175">
            <v>1.0623466666666668</v>
          </cell>
          <cell r="M175">
            <v>9.4050000000000002E-3</v>
          </cell>
          <cell r="N175">
            <v>0.10257833333333334</v>
          </cell>
          <cell r="O175">
            <v>5.4856666666666665E-2</v>
          </cell>
          <cell r="P175">
            <v>7.5286666666666668E-2</v>
          </cell>
          <cell r="Q175">
            <v>0.66085666666666665</v>
          </cell>
          <cell r="R175">
            <v>1.7989750000000002</v>
          </cell>
          <cell r="S175">
            <v>0</v>
          </cell>
          <cell r="T175">
            <v>0</v>
          </cell>
          <cell r="U175">
            <v>0</v>
          </cell>
          <cell r="V175">
            <v>2.4598316666666671</v>
          </cell>
        </row>
        <row r="176">
          <cell r="E176" t="str">
            <v>KCLT67120</v>
          </cell>
          <cell r="F176">
            <v>79.736900000000006</v>
          </cell>
          <cell r="G176">
            <v>0</v>
          </cell>
          <cell r="H176">
            <v>2.1503333333333333E-2</v>
          </cell>
          <cell r="I176">
            <v>2.3141666666666668E-2</v>
          </cell>
          <cell r="J176">
            <v>0</v>
          </cell>
          <cell r="K176">
            <v>4.5411666666666663E-2</v>
          </cell>
          <cell r="L176">
            <v>0.3445266666666667</v>
          </cell>
          <cell r="M176">
            <v>1.0450000000000001E-3</v>
          </cell>
          <cell r="N176">
            <v>2.7959999999999999E-2</v>
          </cell>
          <cell r="O176">
            <v>1.619E-2</v>
          </cell>
          <cell r="P176">
            <v>8.6400000000000001E-3</v>
          </cell>
          <cell r="Q176">
            <v>4.4645000000000004E-2</v>
          </cell>
          <cell r="R176">
            <v>0.44377333333333335</v>
          </cell>
          <cell r="S176">
            <v>0</v>
          </cell>
          <cell r="T176">
            <v>0</v>
          </cell>
          <cell r="U176">
            <v>0</v>
          </cell>
          <cell r="V176">
            <v>0.48841833333333334</v>
          </cell>
        </row>
        <row r="177">
          <cell r="E177" t="str">
            <v>KCLT67240</v>
          </cell>
          <cell r="F177">
            <v>70.464299999999994</v>
          </cell>
          <cell r="G177">
            <v>0</v>
          </cell>
          <cell r="H177">
            <v>1.5650000000000001E-2</v>
          </cell>
          <cell r="I177">
            <v>0</v>
          </cell>
          <cell r="J177">
            <v>0</v>
          </cell>
          <cell r="K177">
            <v>3.8774999999999997E-2</v>
          </cell>
          <cell r="L177">
            <v>0.17445833333333333</v>
          </cell>
          <cell r="M177">
            <v>2.0900000000000003E-3</v>
          </cell>
          <cell r="N177">
            <v>2.4704999999999998E-2</v>
          </cell>
          <cell r="O177">
            <v>1.3958333333333333E-2</v>
          </cell>
          <cell r="P177">
            <v>5.5316666666666665E-3</v>
          </cell>
          <cell r="Q177">
            <v>1.5650000000000001E-2</v>
          </cell>
          <cell r="R177">
            <v>0.25951833333333335</v>
          </cell>
          <cell r="S177">
            <v>0</v>
          </cell>
          <cell r="T177">
            <v>0</v>
          </cell>
          <cell r="U177">
            <v>0</v>
          </cell>
          <cell r="V177">
            <v>0.27516833333333335</v>
          </cell>
        </row>
        <row r="178">
          <cell r="E178" t="str">
            <v>KCLV67240</v>
          </cell>
          <cell r="F178">
            <v>62.922600000000003</v>
          </cell>
          <cell r="G178">
            <v>0</v>
          </cell>
          <cell r="H178">
            <v>1.5061666666666666E-2</v>
          </cell>
          <cell r="I178">
            <v>0</v>
          </cell>
          <cell r="J178">
            <v>0</v>
          </cell>
          <cell r="K178">
            <v>3.9050000000000001E-2</v>
          </cell>
          <cell r="L178">
            <v>0.16837833333333335</v>
          </cell>
          <cell r="M178">
            <v>2.0900000000000003E-3</v>
          </cell>
          <cell r="N178">
            <v>2.4094999999999998E-2</v>
          </cell>
          <cell r="O178">
            <v>1.3541666666666667E-2</v>
          </cell>
          <cell r="P178">
            <v>5.338333333333333E-3</v>
          </cell>
          <cell r="Q178">
            <v>1.5061666666666666E-2</v>
          </cell>
          <cell r="R178">
            <v>0.25249333333333335</v>
          </cell>
          <cell r="S178">
            <v>0</v>
          </cell>
          <cell r="T178">
            <v>0</v>
          </cell>
          <cell r="U178">
            <v>0</v>
          </cell>
          <cell r="V178">
            <v>0.26755499999999999</v>
          </cell>
        </row>
        <row r="179">
          <cell r="E179" t="str">
            <v>KCLW67030</v>
          </cell>
          <cell r="F179">
            <v>1243.3213000000001</v>
          </cell>
          <cell r="G179">
            <v>0</v>
          </cell>
          <cell r="H179">
            <v>0.19814000000000001</v>
          </cell>
          <cell r="I179">
            <v>0.33335166666666666</v>
          </cell>
          <cell r="J179">
            <v>9.6530000000000005E-2</v>
          </cell>
          <cell r="K179">
            <v>0.48735166666666668</v>
          </cell>
          <cell r="L179">
            <v>1.035145</v>
          </cell>
          <cell r="M179">
            <v>9.4050000000000002E-3</v>
          </cell>
          <cell r="N179">
            <v>0.10101666666666667</v>
          </cell>
          <cell r="O179">
            <v>5.3995000000000001E-2</v>
          </cell>
          <cell r="P179">
            <v>7.2770000000000001E-2</v>
          </cell>
          <cell r="Q179">
            <v>0.6280216666666667</v>
          </cell>
          <cell r="R179">
            <v>1.7596833333333335</v>
          </cell>
          <cell r="S179">
            <v>0</v>
          </cell>
          <cell r="T179">
            <v>0</v>
          </cell>
          <cell r="U179">
            <v>0</v>
          </cell>
          <cell r="V179">
            <v>2.3877050000000004</v>
          </cell>
        </row>
        <row r="180">
          <cell r="E180" t="str">
            <v>KCMA67030</v>
          </cell>
          <cell r="F180">
            <v>1282.2383</v>
          </cell>
          <cell r="G180">
            <v>0</v>
          </cell>
          <cell r="H180">
            <v>0.20086333333333334</v>
          </cell>
          <cell r="I180">
            <v>0.33916333333333332</v>
          </cell>
          <cell r="J180">
            <v>9.6530000000000005E-2</v>
          </cell>
          <cell r="K180">
            <v>0.49651833333333334</v>
          </cell>
          <cell r="L180">
            <v>1.0236016666666667</v>
          </cell>
          <cell r="M180">
            <v>9.4050000000000002E-3</v>
          </cell>
          <cell r="N180">
            <v>0.10127</v>
          </cell>
          <cell r="O180">
            <v>5.3591666666666669E-2</v>
          </cell>
          <cell r="P180">
            <v>7.2448333333333323E-2</v>
          </cell>
          <cell r="Q180">
            <v>0.63655666666666666</v>
          </cell>
          <cell r="R180">
            <v>1.7568350000000001</v>
          </cell>
          <cell r="S180">
            <v>0</v>
          </cell>
          <cell r="T180">
            <v>0</v>
          </cell>
          <cell r="U180">
            <v>0</v>
          </cell>
          <cell r="V180">
            <v>2.393391666666667</v>
          </cell>
        </row>
        <row r="181">
          <cell r="E181" t="str">
            <v>KCMC67120</v>
          </cell>
          <cell r="F181">
            <v>46.963799999999999</v>
          </cell>
          <cell r="G181">
            <v>0</v>
          </cell>
          <cell r="H181">
            <v>1.4075000000000001E-2</v>
          </cell>
          <cell r="I181">
            <v>5.933333333333333E-3</v>
          </cell>
          <cell r="J181">
            <v>0</v>
          </cell>
          <cell r="K181">
            <v>2.7078333333333333E-2</v>
          </cell>
          <cell r="L181">
            <v>0.27979666666666669</v>
          </cell>
          <cell r="M181">
            <v>2.0900000000000003E-3</v>
          </cell>
          <cell r="N181">
            <v>2.6591666666666666E-2</v>
          </cell>
          <cell r="O181">
            <v>1.7103333333333335E-2</v>
          </cell>
          <cell r="P181">
            <v>7.5016666666666669E-3</v>
          </cell>
          <cell r="Q181">
            <v>2.0008333333333333E-2</v>
          </cell>
          <cell r="R181">
            <v>0.36016166666666671</v>
          </cell>
          <cell r="S181">
            <v>0</v>
          </cell>
          <cell r="T181">
            <v>0</v>
          </cell>
          <cell r="U181">
            <v>0</v>
          </cell>
          <cell r="V181">
            <v>0.38017000000000006</v>
          </cell>
        </row>
        <row r="182">
          <cell r="E182" t="str">
            <v>KCMD67120</v>
          </cell>
          <cell r="F182">
            <v>73.636099999999999</v>
          </cell>
          <cell r="G182">
            <v>0</v>
          </cell>
          <cell r="H182">
            <v>2.0568333333333334E-2</v>
          </cell>
          <cell r="I182">
            <v>1.788E-2</v>
          </cell>
          <cell r="J182">
            <v>0</v>
          </cell>
          <cell r="K182">
            <v>4.156166666666667E-2</v>
          </cell>
          <cell r="L182">
            <v>0.35026666666666662</v>
          </cell>
          <cell r="M182">
            <v>2.0900000000000003E-3</v>
          </cell>
          <cell r="N182">
            <v>3.0333333333333334E-2</v>
          </cell>
          <cell r="O182">
            <v>1.9208333333333334E-2</v>
          </cell>
          <cell r="P182">
            <v>8.8466666666666676E-3</v>
          </cell>
          <cell r="Q182">
            <v>3.8448333333333334E-2</v>
          </cell>
          <cell r="R182">
            <v>0.45230666666666658</v>
          </cell>
          <cell r="S182">
            <v>0</v>
          </cell>
          <cell r="T182">
            <v>0</v>
          </cell>
          <cell r="U182">
            <v>0</v>
          </cell>
          <cell r="V182">
            <v>0.49075499999999994</v>
          </cell>
        </row>
        <row r="183">
          <cell r="E183" t="str">
            <v>KCME67030</v>
          </cell>
          <cell r="F183">
            <v>1337.2087000000001</v>
          </cell>
          <cell r="G183">
            <v>0</v>
          </cell>
          <cell r="H183">
            <v>0.20613333333333334</v>
          </cell>
          <cell r="I183">
            <v>0.37132166666666666</v>
          </cell>
          <cell r="J183">
            <v>0.10299666666666667</v>
          </cell>
          <cell r="K183">
            <v>0.50550166666666674</v>
          </cell>
          <cell r="L183">
            <v>1.0356283333333334</v>
          </cell>
          <cell r="M183">
            <v>9.4050000000000002E-3</v>
          </cell>
          <cell r="N183">
            <v>0.10209166666666666</v>
          </cell>
          <cell r="O183">
            <v>5.4054999999999999E-2</v>
          </cell>
          <cell r="P183">
            <v>7.2719999999999993E-2</v>
          </cell>
          <cell r="Q183">
            <v>0.68045166666666668</v>
          </cell>
          <cell r="R183">
            <v>1.7794016666666668</v>
          </cell>
          <cell r="S183">
            <v>0</v>
          </cell>
          <cell r="T183">
            <v>0</v>
          </cell>
          <cell r="U183">
            <v>0</v>
          </cell>
          <cell r="V183">
            <v>2.4598533333333332</v>
          </cell>
        </row>
        <row r="184">
          <cell r="E184" t="str">
            <v>KCME67120</v>
          </cell>
          <cell r="F184">
            <v>65.010999999999996</v>
          </cell>
          <cell r="G184">
            <v>0</v>
          </cell>
          <cell r="H184">
            <v>1.7444999999999999E-2</v>
          </cell>
          <cell r="I184">
            <v>1.1195E-2</v>
          </cell>
          <cell r="J184">
            <v>0</v>
          </cell>
          <cell r="K184">
            <v>3.6244999999999999E-2</v>
          </cell>
          <cell r="L184">
            <v>0.30047666666666667</v>
          </cell>
          <cell r="M184">
            <v>2.0900000000000003E-3</v>
          </cell>
          <cell r="N184">
            <v>2.8188333333333333E-2</v>
          </cell>
          <cell r="O184">
            <v>1.8065000000000001E-2</v>
          </cell>
          <cell r="P184">
            <v>8.0683333333333336E-3</v>
          </cell>
          <cell r="Q184">
            <v>2.8639999999999999E-2</v>
          </cell>
          <cell r="R184">
            <v>0.39313333333333333</v>
          </cell>
          <cell r="S184">
            <v>0</v>
          </cell>
          <cell r="T184">
            <v>0</v>
          </cell>
          <cell r="U184">
            <v>0</v>
          </cell>
          <cell r="V184">
            <v>0.42177333333333333</v>
          </cell>
        </row>
        <row r="185">
          <cell r="E185" t="str">
            <v>KCMF67030</v>
          </cell>
          <cell r="F185">
            <v>1337.2087000000001</v>
          </cell>
          <cell r="G185">
            <v>0</v>
          </cell>
          <cell r="H185">
            <v>0.20683333333333334</v>
          </cell>
          <cell r="I185">
            <v>0.37132166666666666</v>
          </cell>
          <cell r="J185">
            <v>0.10299666666666667</v>
          </cell>
          <cell r="K185">
            <v>0.50550166666666674</v>
          </cell>
          <cell r="L185">
            <v>1.06525</v>
          </cell>
          <cell r="M185">
            <v>9.4050000000000002E-3</v>
          </cell>
          <cell r="N185">
            <v>0.10281833333333333</v>
          </cell>
          <cell r="O185">
            <v>5.4856666666666665E-2</v>
          </cell>
          <cell r="P185">
            <v>7.5286666666666668E-2</v>
          </cell>
          <cell r="Q185">
            <v>0.6811516666666666</v>
          </cell>
          <cell r="R185">
            <v>1.8131183333333334</v>
          </cell>
          <cell r="S185">
            <v>0</v>
          </cell>
          <cell r="T185">
            <v>0</v>
          </cell>
          <cell r="U185">
            <v>0</v>
          </cell>
          <cell r="V185">
            <v>2.4942700000000002</v>
          </cell>
        </row>
        <row r="186">
          <cell r="E186" t="str">
            <v>KCMF67120</v>
          </cell>
          <cell r="F186">
            <v>91.683300000000003</v>
          </cell>
          <cell r="G186">
            <v>0</v>
          </cell>
          <cell r="H186">
            <v>2.3938333333333332E-2</v>
          </cell>
          <cell r="I186">
            <v>2.3141666666666668E-2</v>
          </cell>
          <cell r="J186">
            <v>0</v>
          </cell>
          <cell r="K186">
            <v>5.0728333333333334E-2</v>
          </cell>
          <cell r="L186">
            <v>0.37094666666666665</v>
          </cell>
          <cell r="M186">
            <v>2.0900000000000003E-3</v>
          </cell>
          <cell r="N186">
            <v>3.193E-2</v>
          </cell>
          <cell r="O186">
            <v>2.017E-2</v>
          </cell>
          <cell r="P186">
            <v>9.4133333333333326E-3</v>
          </cell>
          <cell r="Q186">
            <v>4.7079999999999997E-2</v>
          </cell>
          <cell r="R186">
            <v>0.48527833333333331</v>
          </cell>
          <cell r="S186">
            <v>0</v>
          </cell>
          <cell r="T186">
            <v>0</v>
          </cell>
          <cell r="U186">
            <v>0</v>
          </cell>
          <cell r="V186">
            <v>0.53235833333333327</v>
          </cell>
        </row>
        <row r="187">
          <cell r="E187" t="str">
            <v>KCMG67030</v>
          </cell>
          <cell r="F187">
            <v>1136.4231</v>
          </cell>
          <cell r="G187">
            <v>0</v>
          </cell>
          <cell r="H187">
            <v>0.18074666666666667</v>
          </cell>
          <cell r="I187">
            <v>0.24591499999999999</v>
          </cell>
          <cell r="J187">
            <v>7.2929999999999995E-2</v>
          </cell>
          <cell r="K187">
            <v>0.45439833333333335</v>
          </cell>
          <cell r="L187">
            <v>1.00095</v>
          </cell>
          <cell r="M187">
            <v>9.4050000000000002E-3</v>
          </cell>
          <cell r="N187">
            <v>9.9341666666666661E-2</v>
          </cell>
          <cell r="O187">
            <v>5.1984999999999996E-2</v>
          </cell>
          <cell r="P187">
            <v>6.5259999999999999E-2</v>
          </cell>
          <cell r="Q187">
            <v>0.49959166666666666</v>
          </cell>
          <cell r="R187">
            <v>1.6813400000000001</v>
          </cell>
          <cell r="S187">
            <v>0</v>
          </cell>
          <cell r="T187">
            <v>0</v>
          </cell>
          <cell r="U187">
            <v>0</v>
          </cell>
          <cell r="V187">
            <v>2.1809316666666669</v>
          </cell>
        </row>
        <row r="188">
          <cell r="E188" t="str">
            <v>KCMG67120</v>
          </cell>
          <cell r="F188">
            <v>30.631399999999999</v>
          </cell>
          <cell r="G188">
            <v>0</v>
          </cell>
          <cell r="H188">
            <v>9.9466666666666662E-3</v>
          </cell>
          <cell r="I188">
            <v>5.933333333333333E-3</v>
          </cell>
          <cell r="J188">
            <v>0</v>
          </cell>
          <cell r="K188">
            <v>1.6500000000000001E-2</v>
          </cell>
          <cell r="L188">
            <v>0.20559333333333332</v>
          </cell>
          <cell r="M188">
            <v>1.0450000000000001E-3</v>
          </cell>
          <cell r="N188">
            <v>1.8705000000000003E-2</v>
          </cell>
          <cell r="O188">
            <v>1.0863333333333334E-2</v>
          </cell>
          <cell r="P188">
            <v>5.5533333333333329E-3</v>
          </cell>
          <cell r="Q188">
            <v>1.5879999999999998E-2</v>
          </cell>
          <cell r="R188">
            <v>0.25825999999999999</v>
          </cell>
          <cell r="S188">
            <v>0</v>
          </cell>
          <cell r="T188">
            <v>0</v>
          </cell>
          <cell r="U188">
            <v>0</v>
          </cell>
          <cell r="V188">
            <v>0.27413999999999999</v>
          </cell>
        </row>
        <row r="189">
          <cell r="E189" t="str">
            <v>KCMJ67030</v>
          </cell>
          <cell r="F189">
            <v>1190.7946999999999</v>
          </cell>
          <cell r="G189">
            <v>0</v>
          </cell>
          <cell r="H189">
            <v>0.18612333333333334</v>
          </cell>
          <cell r="I189">
            <v>0.27816833333333335</v>
          </cell>
          <cell r="J189">
            <v>7.9396666666666657E-2</v>
          </cell>
          <cell r="K189">
            <v>0.46338166666666669</v>
          </cell>
          <cell r="L189">
            <v>1.0277350000000001</v>
          </cell>
          <cell r="M189">
            <v>9.4050000000000002E-3</v>
          </cell>
          <cell r="N189">
            <v>0.10077</v>
          </cell>
          <cell r="O189">
            <v>5.2814999999999994E-2</v>
          </cell>
          <cell r="P189">
            <v>6.5686666666666657E-2</v>
          </cell>
          <cell r="Q189">
            <v>0.54368833333333333</v>
          </cell>
          <cell r="R189">
            <v>1.7197933333333335</v>
          </cell>
          <cell r="S189">
            <v>0</v>
          </cell>
          <cell r="T189">
            <v>0</v>
          </cell>
          <cell r="U189">
            <v>0</v>
          </cell>
          <cell r="V189">
            <v>2.2634816666666668</v>
          </cell>
        </row>
        <row r="190">
          <cell r="E190" t="str">
            <v>KCMJ67120</v>
          </cell>
          <cell r="F190">
            <v>48.678600000000003</v>
          </cell>
          <cell r="G190">
            <v>0</v>
          </cell>
          <cell r="H190">
            <v>1.357E-2</v>
          </cell>
          <cell r="I190">
            <v>1.1195E-2</v>
          </cell>
          <cell r="J190">
            <v>0</v>
          </cell>
          <cell r="K190">
            <v>2.7445000000000001E-2</v>
          </cell>
          <cell r="L190">
            <v>0.25137833333333337</v>
          </cell>
          <cell r="M190">
            <v>1.0450000000000001E-3</v>
          </cell>
          <cell r="N190">
            <v>2.2786666666666667E-2</v>
          </cell>
          <cell r="O190">
            <v>1.3300000000000001E-2</v>
          </cell>
          <cell r="P190">
            <v>6.8516666666666674E-3</v>
          </cell>
          <cell r="Q190">
            <v>2.4765000000000002E-2</v>
          </cell>
          <cell r="R190">
            <v>0.32280666666666669</v>
          </cell>
          <cell r="S190">
            <v>0</v>
          </cell>
          <cell r="T190">
            <v>0</v>
          </cell>
          <cell r="U190">
            <v>0</v>
          </cell>
          <cell r="V190">
            <v>0.34757166666666667</v>
          </cell>
        </row>
        <row r="191">
          <cell r="E191" t="str">
            <v>KCML67030</v>
          </cell>
          <cell r="F191">
            <v>1151.7738999999999</v>
          </cell>
          <cell r="G191">
            <v>0</v>
          </cell>
          <cell r="H191">
            <v>0.18431166666666668</v>
          </cell>
          <cell r="I191">
            <v>0.26119166666666666</v>
          </cell>
          <cell r="J191">
            <v>7.2929999999999995E-2</v>
          </cell>
          <cell r="K191">
            <v>0.4653983333333333</v>
          </cell>
          <cell r="L191">
            <v>1.0033166666666666</v>
          </cell>
          <cell r="M191">
            <v>9.4050000000000002E-3</v>
          </cell>
          <cell r="N191">
            <v>9.9581666666666666E-2</v>
          </cell>
          <cell r="O191">
            <v>5.1984999999999996E-2</v>
          </cell>
          <cell r="P191">
            <v>6.5259999999999999E-2</v>
          </cell>
          <cell r="Q191">
            <v>0.5184333333333333</v>
          </cell>
          <cell r="R191">
            <v>1.6949466666666668</v>
          </cell>
          <cell r="S191">
            <v>0</v>
          </cell>
          <cell r="T191">
            <v>0</v>
          </cell>
          <cell r="U191">
            <v>0</v>
          </cell>
          <cell r="V191">
            <v>2.2133799999999999</v>
          </cell>
        </row>
        <row r="192">
          <cell r="E192" t="str">
            <v>KCML67120</v>
          </cell>
          <cell r="F192">
            <v>35.017299999999999</v>
          </cell>
          <cell r="G192">
            <v>0</v>
          </cell>
          <cell r="H192">
            <v>1.1644999999999999E-2</v>
          </cell>
          <cell r="I192">
            <v>5.933333333333333E-3</v>
          </cell>
          <cell r="J192">
            <v>0</v>
          </cell>
          <cell r="K192">
            <v>2.1761666666666669E-2</v>
          </cell>
          <cell r="L192">
            <v>0.24933333333333335</v>
          </cell>
          <cell r="M192">
            <v>1.0450000000000001E-3</v>
          </cell>
          <cell r="N192">
            <v>2.2619999999999998E-2</v>
          </cell>
          <cell r="O192">
            <v>1.3123333333333332E-2</v>
          </cell>
          <cell r="P192">
            <v>6.7299999999999999E-3</v>
          </cell>
          <cell r="Q192">
            <v>1.7578333333333331E-2</v>
          </cell>
          <cell r="R192">
            <v>0.31461333333333336</v>
          </cell>
          <cell r="S192">
            <v>0</v>
          </cell>
          <cell r="T192">
            <v>0</v>
          </cell>
          <cell r="U192">
            <v>0</v>
          </cell>
          <cell r="V192">
            <v>0.33219166666666666</v>
          </cell>
        </row>
        <row r="193">
          <cell r="E193" t="str">
            <v>KCMM67030</v>
          </cell>
          <cell r="F193">
            <v>1162.9788000000001</v>
          </cell>
          <cell r="G193">
            <v>0</v>
          </cell>
          <cell r="H193">
            <v>0.18610000000000002</v>
          </cell>
          <cell r="I193">
            <v>0.28753833333333334</v>
          </cell>
          <cell r="J193">
            <v>7.9396666666666657E-2</v>
          </cell>
          <cell r="K193">
            <v>0.46521499999999999</v>
          </cell>
          <cell r="L193">
            <v>1.0133783333333333</v>
          </cell>
          <cell r="M193">
            <v>9.4050000000000002E-3</v>
          </cell>
          <cell r="N193">
            <v>0.10002666666666667</v>
          </cell>
          <cell r="O193">
            <v>5.2303333333333334E-2</v>
          </cell>
          <cell r="P193">
            <v>6.3364999999999991E-2</v>
          </cell>
          <cell r="Q193">
            <v>0.55303500000000005</v>
          </cell>
          <cell r="R193">
            <v>1.7036933333333333</v>
          </cell>
          <cell r="S193">
            <v>0</v>
          </cell>
          <cell r="T193">
            <v>0</v>
          </cell>
          <cell r="U193">
            <v>0</v>
          </cell>
          <cell r="V193">
            <v>2.2567283333333332</v>
          </cell>
        </row>
        <row r="194">
          <cell r="E194" t="str">
            <v>KCMN67030</v>
          </cell>
          <cell r="F194">
            <v>1206.1455000000001</v>
          </cell>
          <cell r="G194">
            <v>0</v>
          </cell>
          <cell r="H194">
            <v>0.18968666666666667</v>
          </cell>
          <cell r="I194">
            <v>0.29344500000000001</v>
          </cell>
          <cell r="J194">
            <v>7.9396666666666657E-2</v>
          </cell>
          <cell r="K194">
            <v>0.4743816666666667</v>
          </cell>
          <cell r="L194">
            <v>1.0301016666666667</v>
          </cell>
          <cell r="M194">
            <v>9.4050000000000002E-3</v>
          </cell>
          <cell r="N194">
            <v>0.10101</v>
          </cell>
          <cell r="O194">
            <v>5.2814999999999994E-2</v>
          </cell>
          <cell r="P194">
            <v>6.5686666666666657E-2</v>
          </cell>
          <cell r="Q194">
            <v>0.5625283333333333</v>
          </cell>
          <cell r="R194">
            <v>1.7334000000000003</v>
          </cell>
          <cell r="S194">
            <v>0</v>
          </cell>
          <cell r="T194">
            <v>0</v>
          </cell>
          <cell r="U194">
            <v>0</v>
          </cell>
          <cell r="V194">
            <v>2.2959283333333333</v>
          </cell>
        </row>
        <row r="195">
          <cell r="E195" t="str">
            <v>KCMN67120</v>
          </cell>
          <cell r="F195">
            <v>53.064500000000002</v>
          </cell>
          <cell r="G195">
            <v>0</v>
          </cell>
          <cell r="H195">
            <v>1.5015000000000001E-2</v>
          </cell>
          <cell r="I195">
            <v>1.1195E-2</v>
          </cell>
          <cell r="J195">
            <v>0</v>
          </cell>
          <cell r="K195">
            <v>3.0928333333333332E-2</v>
          </cell>
          <cell r="L195">
            <v>0.27001333333333333</v>
          </cell>
          <cell r="M195">
            <v>1.0450000000000001E-3</v>
          </cell>
          <cell r="N195">
            <v>2.4218333333333335E-2</v>
          </cell>
          <cell r="O195">
            <v>1.4084999999999999E-2</v>
          </cell>
          <cell r="P195">
            <v>7.2966666666666674E-3</v>
          </cell>
          <cell r="Q195">
            <v>2.6210000000000001E-2</v>
          </cell>
          <cell r="R195">
            <v>0.34758666666666671</v>
          </cell>
          <cell r="S195">
            <v>0</v>
          </cell>
          <cell r="T195">
            <v>0</v>
          </cell>
          <cell r="U195">
            <v>0</v>
          </cell>
          <cell r="V195">
            <v>0.37379666666666672</v>
          </cell>
        </row>
        <row r="196">
          <cell r="E196" t="str">
            <v>KCMP67030</v>
          </cell>
          <cell r="F196">
            <v>1249.6673000000001</v>
          </cell>
          <cell r="G196">
            <v>0</v>
          </cell>
          <cell r="H196">
            <v>0.20067833333333332</v>
          </cell>
          <cell r="I196">
            <v>0.33161666666666662</v>
          </cell>
          <cell r="J196">
            <v>9.7753333333333331E-2</v>
          </cell>
          <cell r="K196">
            <v>0.49289833333333333</v>
          </cell>
          <cell r="L196">
            <v>1.0607633333333333</v>
          </cell>
          <cell r="M196">
            <v>9.4050000000000002E-3</v>
          </cell>
          <cell r="N196">
            <v>0.10274</v>
          </cell>
          <cell r="O196">
            <v>5.417333333333333E-2</v>
          </cell>
          <cell r="P196">
            <v>7.2764999999999996E-2</v>
          </cell>
          <cell r="Q196">
            <v>0.63004833333333332</v>
          </cell>
          <cell r="R196">
            <v>1.7927450000000003</v>
          </cell>
          <cell r="S196">
            <v>0</v>
          </cell>
          <cell r="T196">
            <v>0</v>
          </cell>
          <cell r="U196">
            <v>0</v>
          </cell>
          <cell r="V196">
            <v>2.4227933333333338</v>
          </cell>
        </row>
        <row r="197">
          <cell r="E197" t="str">
            <v>KCMP67120</v>
          </cell>
          <cell r="F197">
            <v>79.736900000000006</v>
          </cell>
          <cell r="G197">
            <v>0</v>
          </cell>
          <cell r="H197">
            <v>2.1503333333333333E-2</v>
          </cell>
          <cell r="I197">
            <v>2.3141666666666668E-2</v>
          </cell>
          <cell r="J197">
            <v>0</v>
          </cell>
          <cell r="K197">
            <v>4.5411666666666663E-2</v>
          </cell>
          <cell r="L197">
            <v>0.34048166666666663</v>
          </cell>
          <cell r="M197">
            <v>1.0450000000000001E-3</v>
          </cell>
          <cell r="N197">
            <v>2.7959999999999999E-2</v>
          </cell>
          <cell r="O197">
            <v>1.619E-2</v>
          </cell>
          <cell r="P197">
            <v>8.6400000000000001E-3</v>
          </cell>
          <cell r="Q197">
            <v>4.4645000000000004E-2</v>
          </cell>
          <cell r="R197">
            <v>0.43972833333333328</v>
          </cell>
          <cell r="S197">
            <v>0</v>
          </cell>
          <cell r="T197">
            <v>0</v>
          </cell>
          <cell r="U197">
            <v>0</v>
          </cell>
          <cell r="V197">
            <v>0.48437333333333327</v>
          </cell>
        </row>
        <row r="198">
          <cell r="E198" t="str">
            <v>KCMR67030</v>
          </cell>
          <cell r="F198">
            <v>1260.8722000000002</v>
          </cell>
          <cell r="G198">
            <v>0</v>
          </cell>
          <cell r="H198">
            <v>0.20246666666666666</v>
          </cell>
          <cell r="I198">
            <v>0.35796166666666662</v>
          </cell>
          <cell r="J198">
            <v>0.10421999999999999</v>
          </cell>
          <cell r="K198">
            <v>0.49271499999999996</v>
          </cell>
          <cell r="L198">
            <v>1.0716516666666667</v>
          </cell>
          <cell r="M198">
            <v>9.4050000000000002E-3</v>
          </cell>
          <cell r="N198">
            <v>0.103185</v>
          </cell>
          <cell r="O198">
            <v>5.4491666666666667E-2</v>
          </cell>
          <cell r="P198">
            <v>7.0871666666666666E-2</v>
          </cell>
          <cell r="Q198">
            <v>0.66464833333333329</v>
          </cell>
          <cell r="R198">
            <v>1.8023200000000001</v>
          </cell>
          <cell r="S198">
            <v>0</v>
          </cell>
          <cell r="T198">
            <v>0</v>
          </cell>
          <cell r="U198">
            <v>0</v>
          </cell>
          <cell r="V198">
            <v>2.4669683333333334</v>
          </cell>
        </row>
        <row r="199">
          <cell r="E199" t="str">
            <v>KCMS67030</v>
          </cell>
          <cell r="F199">
            <v>1304.0389000000002</v>
          </cell>
          <cell r="G199">
            <v>0</v>
          </cell>
          <cell r="H199">
            <v>0.20605333333333334</v>
          </cell>
          <cell r="I199">
            <v>0.36387000000000003</v>
          </cell>
          <cell r="J199">
            <v>0.10421999999999999</v>
          </cell>
          <cell r="K199">
            <v>0.50188166666666667</v>
          </cell>
          <cell r="L199">
            <v>1.0883733333333334</v>
          </cell>
          <cell r="M199">
            <v>9.4050000000000002E-3</v>
          </cell>
          <cell r="N199">
            <v>0.10417000000000001</v>
          </cell>
          <cell r="O199">
            <v>5.5008333333333333E-2</v>
          </cell>
          <cell r="P199">
            <v>7.3193333333333346E-2</v>
          </cell>
          <cell r="Q199">
            <v>0.67414333333333332</v>
          </cell>
          <cell r="R199">
            <v>1.8320316666666669</v>
          </cell>
          <cell r="S199">
            <v>0</v>
          </cell>
          <cell r="T199">
            <v>0</v>
          </cell>
          <cell r="U199">
            <v>0</v>
          </cell>
          <cell r="V199">
            <v>2.5061750000000003</v>
          </cell>
        </row>
        <row r="200">
          <cell r="E200" t="str">
            <v>KCMV67030</v>
          </cell>
          <cell r="F200">
            <v>1265.0181000000002</v>
          </cell>
          <cell r="G200">
            <v>0</v>
          </cell>
          <cell r="H200">
            <v>0.20424166666666668</v>
          </cell>
          <cell r="I200">
            <v>0.34689166666666671</v>
          </cell>
          <cell r="J200">
            <v>9.7753333333333331E-2</v>
          </cell>
          <cell r="K200">
            <v>0.50389833333333334</v>
          </cell>
          <cell r="L200">
            <v>1.0631299999999999</v>
          </cell>
          <cell r="M200">
            <v>9.4050000000000002E-3</v>
          </cell>
          <cell r="N200">
            <v>0.10298</v>
          </cell>
          <cell r="O200">
            <v>5.417333333333333E-2</v>
          </cell>
          <cell r="P200">
            <v>7.2764999999999996E-2</v>
          </cell>
          <cell r="Q200">
            <v>0.64888666666666672</v>
          </cell>
          <cell r="R200">
            <v>1.8063516666666668</v>
          </cell>
          <cell r="S200">
            <v>0</v>
          </cell>
          <cell r="T200">
            <v>0</v>
          </cell>
          <cell r="U200">
            <v>0</v>
          </cell>
          <cell r="V200">
            <v>2.4552383333333334</v>
          </cell>
        </row>
        <row r="201">
          <cell r="E201" t="str">
            <v>KCMW67120</v>
          </cell>
          <cell r="F201">
            <v>46.963799999999999</v>
          </cell>
          <cell r="G201">
            <v>0</v>
          </cell>
          <cell r="H201">
            <v>1.4075000000000001E-2</v>
          </cell>
          <cell r="I201">
            <v>5.933333333333333E-3</v>
          </cell>
          <cell r="J201">
            <v>0</v>
          </cell>
          <cell r="K201">
            <v>2.7078333333333333E-2</v>
          </cell>
          <cell r="L201">
            <v>0.27575166666666667</v>
          </cell>
          <cell r="M201">
            <v>2.0900000000000003E-3</v>
          </cell>
          <cell r="N201">
            <v>2.6591666666666666E-2</v>
          </cell>
          <cell r="O201">
            <v>1.7103333333333335E-2</v>
          </cell>
          <cell r="P201">
            <v>7.5016666666666669E-3</v>
          </cell>
          <cell r="Q201">
            <v>2.0008333333333333E-2</v>
          </cell>
          <cell r="R201">
            <v>0.35611666666666669</v>
          </cell>
          <cell r="S201">
            <v>0</v>
          </cell>
          <cell r="T201">
            <v>0</v>
          </cell>
          <cell r="U201">
            <v>0</v>
          </cell>
          <cell r="V201">
            <v>0.37612500000000004</v>
          </cell>
        </row>
        <row r="202">
          <cell r="E202" t="str">
            <v>KCNA67030</v>
          </cell>
          <cell r="F202">
            <v>1319.3897000000002</v>
          </cell>
          <cell r="G202">
            <v>0</v>
          </cell>
          <cell r="H202">
            <v>0.20961666666666667</v>
          </cell>
          <cell r="I202">
            <v>0.37914500000000001</v>
          </cell>
          <cell r="J202">
            <v>0.10421999999999999</v>
          </cell>
          <cell r="K202">
            <v>0.51288166666666668</v>
          </cell>
          <cell r="L202">
            <v>1.09074</v>
          </cell>
          <cell r="M202">
            <v>9.4050000000000002E-3</v>
          </cell>
          <cell r="N202">
            <v>0.10440999999999999</v>
          </cell>
          <cell r="O202">
            <v>5.5008333333333333E-2</v>
          </cell>
          <cell r="P202">
            <v>7.3193333333333346E-2</v>
          </cell>
          <cell r="Q202">
            <v>0.69298166666666661</v>
          </cell>
          <cell r="R202">
            <v>1.8456383333333335</v>
          </cell>
          <cell r="S202">
            <v>0</v>
          </cell>
          <cell r="T202">
            <v>0</v>
          </cell>
          <cell r="U202">
            <v>0</v>
          </cell>
          <cell r="V202">
            <v>2.5386199999999999</v>
          </cell>
        </row>
        <row r="203">
          <cell r="E203" t="str">
            <v>KCNB67030</v>
          </cell>
          <cell r="F203">
            <v>1153.5244</v>
          </cell>
          <cell r="G203">
            <v>0</v>
          </cell>
          <cell r="H203">
            <v>0.17558166666666666</v>
          </cell>
          <cell r="I203">
            <v>0.22769166666666668</v>
          </cell>
          <cell r="J203">
            <v>7.5503333333333325E-2</v>
          </cell>
          <cell r="K203">
            <v>0.43785166666666669</v>
          </cell>
          <cell r="L203">
            <v>0.99000666666666659</v>
          </cell>
          <cell r="M203">
            <v>9.4050000000000002E-3</v>
          </cell>
          <cell r="N203">
            <v>9.8121666666666663E-2</v>
          </cell>
          <cell r="O203">
            <v>5.2335E-2</v>
          </cell>
          <cell r="P203">
            <v>6.7596666666666666E-2</v>
          </cell>
          <cell r="Q203">
            <v>0.47877666666666668</v>
          </cell>
          <cell r="R203">
            <v>1.6553166666666668</v>
          </cell>
          <cell r="S203">
            <v>0</v>
          </cell>
          <cell r="T203">
            <v>0</v>
          </cell>
          <cell r="U203">
            <v>0</v>
          </cell>
          <cell r="V203">
            <v>2.1340933333333334</v>
          </cell>
        </row>
        <row r="204">
          <cell r="E204" t="str">
            <v>KCNB67120</v>
          </cell>
          <cell r="F204">
            <v>65.010999999999996</v>
          </cell>
          <cell r="G204">
            <v>0</v>
          </cell>
          <cell r="H204">
            <v>1.7444999999999999E-2</v>
          </cell>
          <cell r="I204">
            <v>1.1195E-2</v>
          </cell>
          <cell r="J204">
            <v>0</v>
          </cell>
          <cell r="K204">
            <v>3.6244999999999999E-2</v>
          </cell>
          <cell r="L204">
            <v>0.2964316666666667</v>
          </cell>
          <cell r="M204">
            <v>2.0900000000000003E-3</v>
          </cell>
          <cell r="N204">
            <v>2.8188333333333333E-2</v>
          </cell>
          <cell r="O204">
            <v>1.8065000000000001E-2</v>
          </cell>
          <cell r="P204">
            <v>8.0683333333333336E-3</v>
          </cell>
          <cell r="Q204">
            <v>2.8639999999999999E-2</v>
          </cell>
          <cell r="R204">
            <v>0.38908833333333337</v>
          </cell>
          <cell r="S204">
            <v>0</v>
          </cell>
          <cell r="T204">
            <v>0</v>
          </cell>
          <cell r="U204">
            <v>0</v>
          </cell>
          <cell r="V204">
            <v>0.41772833333333337</v>
          </cell>
        </row>
        <row r="205">
          <cell r="E205" t="str">
            <v>KCNC67120</v>
          </cell>
          <cell r="F205">
            <v>91.683300000000003</v>
          </cell>
          <cell r="G205">
            <v>0</v>
          </cell>
          <cell r="H205">
            <v>2.3938333333333332E-2</v>
          </cell>
          <cell r="I205">
            <v>2.3141666666666668E-2</v>
          </cell>
          <cell r="J205">
            <v>0</v>
          </cell>
          <cell r="K205">
            <v>5.0728333333333334E-2</v>
          </cell>
          <cell r="L205">
            <v>0.36690166666666663</v>
          </cell>
          <cell r="M205">
            <v>2.0900000000000003E-3</v>
          </cell>
          <cell r="N205">
            <v>3.193E-2</v>
          </cell>
          <cell r="O205">
            <v>2.017E-2</v>
          </cell>
          <cell r="P205">
            <v>9.4133333333333326E-3</v>
          </cell>
          <cell r="Q205">
            <v>4.7079999999999997E-2</v>
          </cell>
          <cell r="R205">
            <v>0.48123333333333329</v>
          </cell>
          <cell r="S205">
            <v>0</v>
          </cell>
          <cell r="T205">
            <v>0</v>
          </cell>
          <cell r="U205">
            <v>0</v>
          </cell>
          <cell r="V205">
            <v>0.5283133333333333</v>
          </cell>
        </row>
        <row r="206">
          <cell r="E206" t="str">
            <v>KCND67030</v>
          </cell>
          <cell r="F206">
            <v>1208.4947999999997</v>
          </cell>
          <cell r="G206">
            <v>0</v>
          </cell>
          <cell r="H206">
            <v>0.18085500000000002</v>
          </cell>
          <cell r="I206">
            <v>0.25984999999999997</v>
          </cell>
          <cell r="J206">
            <v>8.1970000000000001E-2</v>
          </cell>
          <cell r="K206">
            <v>0.44683499999999998</v>
          </cell>
          <cell r="L206">
            <v>1.0020316666666667</v>
          </cell>
          <cell r="M206">
            <v>9.4050000000000002E-3</v>
          </cell>
          <cell r="N206">
            <v>9.8943333333333341E-2</v>
          </cell>
          <cell r="O206">
            <v>5.2798333333333329E-2</v>
          </cell>
          <cell r="P206">
            <v>6.787E-2</v>
          </cell>
          <cell r="Q206">
            <v>0.522675</v>
          </cell>
          <cell r="R206">
            <v>1.6778833333333334</v>
          </cell>
          <cell r="S206">
            <v>0</v>
          </cell>
          <cell r="T206">
            <v>0</v>
          </cell>
          <cell r="U206">
            <v>0</v>
          </cell>
          <cell r="V206">
            <v>2.2005583333333334</v>
          </cell>
        </row>
        <row r="207">
          <cell r="E207" t="str">
            <v>KCNE67030</v>
          </cell>
          <cell r="F207">
            <v>1127.0069999999998</v>
          </cell>
          <cell r="G207">
            <v>0</v>
          </cell>
          <cell r="H207">
            <v>0.175625</v>
          </cell>
          <cell r="I207">
            <v>0.23168166666666667</v>
          </cell>
          <cell r="J207">
            <v>7.5503333333333325E-2</v>
          </cell>
          <cell r="K207">
            <v>0.43968499999999999</v>
          </cell>
          <cell r="L207">
            <v>0.97761666666666658</v>
          </cell>
          <cell r="M207">
            <v>9.4050000000000002E-3</v>
          </cell>
          <cell r="N207">
            <v>9.7463333333333332E-2</v>
          </cell>
          <cell r="O207">
            <v>5.1941666666666664E-2</v>
          </cell>
          <cell r="P207">
            <v>6.5353333333333333E-2</v>
          </cell>
          <cell r="Q207">
            <v>0.48281000000000002</v>
          </cell>
          <cell r="R207">
            <v>1.6414649999999997</v>
          </cell>
          <cell r="S207">
            <v>0</v>
          </cell>
          <cell r="T207">
            <v>0</v>
          </cell>
          <cell r="U207">
            <v>0</v>
          </cell>
          <cell r="V207">
            <v>2.1242749999999999</v>
          </cell>
        </row>
        <row r="208">
          <cell r="E208" t="str">
            <v>KCNF67030</v>
          </cell>
          <cell r="F208">
            <v>1165.9209000000001</v>
          </cell>
          <cell r="G208">
            <v>0</v>
          </cell>
          <cell r="H208">
            <v>0.17904499999999998</v>
          </cell>
          <cell r="I208">
            <v>0.23749333333333331</v>
          </cell>
          <cell r="J208">
            <v>7.5503333333333325E-2</v>
          </cell>
          <cell r="K208">
            <v>0.4488516666666667</v>
          </cell>
          <cell r="L208">
            <v>0.99263166666666658</v>
          </cell>
          <cell r="M208">
            <v>9.4050000000000002E-3</v>
          </cell>
          <cell r="N208">
            <v>9.8441666666666677E-2</v>
          </cell>
          <cell r="O208">
            <v>5.2335E-2</v>
          </cell>
          <cell r="P208">
            <v>6.7596666666666666E-2</v>
          </cell>
          <cell r="Q208">
            <v>0.4920416666666666</v>
          </cell>
          <cell r="R208">
            <v>1.6692616666666669</v>
          </cell>
          <cell r="S208">
            <v>0</v>
          </cell>
          <cell r="T208">
            <v>0</v>
          </cell>
          <cell r="U208">
            <v>0</v>
          </cell>
          <cell r="V208">
            <v>2.1613033333333336</v>
          </cell>
        </row>
        <row r="209">
          <cell r="E209" t="str">
            <v>KCNH67030</v>
          </cell>
          <cell r="F209">
            <v>1220.8912999999998</v>
          </cell>
          <cell r="G209">
            <v>0</v>
          </cell>
          <cell r="H209">
            <v>0.18431833333333333</v>
          </cell>
          <cell r="I209">
            <v>0.26965166666666662</v>
          </cell>
          <cell r="J209">
            <v>8.1970000000000001E-2</v>
          </cell>
          <cell r="K209">
            <v>0.45783499999999999</v>
          </cell>
          <cell r="L209">
            <v>1.0046566666666668</v>
          </cell>
          <cell r="M209">
            <v>9.4050000000000002E-3</v>
          </cell>
          <cell r="N209">
            <v>9.9263333333333328E-2</v>
          </cell>
          <cell r="O209">
            <v>5.2798333333333329E-2</v>
          </cell>
          <cell r="P209">
            <v>6.787E-2</v>
          </cell>
          <cell r="Q209">
            <v>0.53593999999999997</v>
          </cell>
          <cell r="R209">
            <v>1.6918283333333335</v>
          </cell>
          <cell r="S209">
            <v>0</v>
          </cell>
          <cell r="T209">
            <v>0</v>
          </cell>
          <cell r="U209">
            <v>0</v>
          </cell>
          <cell r="V209">
            <v>2.2277683333333336</v>
          </cell>
        </row>
        <row r="210">
          <cell r="E210" t="str">
            <v>KCNK67030</v>
          </cell>
          <cell r="F210">
            <v>1187.1113</v>
          </cell>
          <cell r="G210">
            <v>0</v>
          </cell>
          <cell r="H210">
            <v>0.18276499999999998</v>
          </cell>
          <cell r="I210">
            <v>0.25406833333333334</v>
          </cell>
          <cell r="J210">
            <v>7.5503333333333325E-2</v>
          </cell>
          <cell r="K210">
            <v>0.45985166666666666</v>
          </cell>
          <cell r="L210">
            <v>0.99553500000000006</v>
          </cell>
          <cell r="M210">
            <v>9.4050000000000002E-3</v>
          </cell>
          <cell r="N210">
            <v>9.8681666666666654E-2</v>
          </cell>
          <cell r="O210">
            <v>5.2335E-2</v>
          </cell>
          <cell r="P210">
            <v>6.7596666666666666E-2</v>
          </cell>
          <cell r="Q210">
            <v>0.51233666666666666</v>
          </cell>
          <cell r="R210">
            <v>1.683405</v>
          </cell>
          <cell r="S210">
            <v>0</v>
          </cell>
          <cell r="T210">
            <v>0</v>
          </cell>
          <cell r="U210">
            <v>0</v>
          </cell>
          <cell r="V210">
            <v>2.1957416666666667</v>
          </cell>
        </row>
        <row r="211">
          <cell r="E211" t="str">
            <v>KCNL67030</v>
          </cell>
          <cell r="F211">
            <v>1203.1677999999997</v>
          </cell>
          <cell r="G211">
            <v>0</v>
          </cell>
          <cell r="H211">
            <v>0.18461666666666668</v>
          </cell>
          <cell r="I211">
            <v>0.28041499999999997</v>
          </cell>
          <cell r="J211">
            <v>8.1970000000000001E-2</v>
          </cell>
          <cell r="K211">
            <v>0.45966833333333335</v>
          </cell>
          <cell r="L211">
            <v>0.99254666666666658</v>
          </cell>
          <cell r="M211">
            <v>9.4050000000000002E-3</v>
          </cell>
          <cell r="N211">
            <v>9.8525000000000001E-2</v>
          </cell>
          <cell r="O211">
            <v>5.2403333333333336E-2</v>
          </cell>
          <cell r="P211">
            <v>6.5625000000000003E-2</v>
          </cell>
          <cell r="Q211">
            <v>0.54700166666666661</v>
          </cell>
          <cell r="R211">
            <v>1.6781733333333333</v>
          </cell>
          <cell r="S211">
            <v>0</v>
          </cell>
          <cell r="T211">
            <v>0</v>
          </cell>
          <cell r="U211">
            <v>0</v>
          </cell>
          <cell r="V211">
            <v>2.2251750000000001</v>
          </cell>
        </row>
        <row r="212">
          <cell r="E212" t="str">
            <v>KCNM67030</v>
          </cell>
          <cell r="F212">
            <v>1242.0816999999997</v>
          </cell>
          <cell r="G212">
            <v>0</v>
          </cell>
          <cell r="H212">
            <v>0.18804000000000001</v>
          </cell>
          <cell r="I212">
            <v>0.28622666666666668</v>
          </cell>
          <cell r="J212">
            <v>8.1970000000000001E-2</v>
          </cell>
          <cell r="K212">
            <v>0.468835</v>
          </cell>
          <cell r="L212">
            <v>1.0075616666666667</v>
          </cell>
          <cell r="M212">
            <v>9.4050000000000002E-3</v>
          </cell>
          <cell r="N212">
            <v>9.9503333333333333E-2</v>
          </cell>
          <cell r="O212">
            <v>5.2798333333333329E-2</v>
          </cell>
          <cell r="P212">
            <v>6.787E-2</v>
          </cell>
          <cell r="Q212">
            <v>0.55623666666666671</v>
          </cell>
          <cell r="R212">
            <v>1.7059733333333333</v>
          </cell>
          <cell r="S212">
            <v>0</v>
          </cell>
          <cell r="T212">
            <v>0</v>
          </cell>
          <cell r="U212">
            <v>0</v>
          </cell>
          <cell r="V212">
            <v>2.2622100000000001</v>
          </cell>
        </row>
        <row r="213">
          <cell r="E213" t="str">
            <v>KCNV67120</v>
          </cell>
          <cell r="F213">
            <v>184.8057</v>
          </cell>
          <cell r="G213">
            <v>0</v>
          </cell>
          <cell r="H213">
            <v>3.3698333333333337E-2</v>
          </cell>
          <cell r="I213">
            <v>1.1195E-2</v>
          </cell>
          <cell r="J213">
            <v>0</v>
          </cell>
          <cell r="K213">
            <v>7.8724999999999989E-2</v>
          </cell>
          <cell r="L213">
            <v>0.4131266666666667</v>
          </cell>
          <cell r="M213">
            <v>2.0900000000000003E-3</v>
          </cell>
          <cell r="N213">
            <v>3.6150000000000002E-2</v>
          </cell>
          <cell r="O213">
            <v>2.1498333333333335E-2</v>
          </cell>
          <cell r="P213">
            <v>1.5398333333333335E-2</v>
          </cell>
          <cell r="Q213">
            <v>4.4893333333333341E-2</v>
          </cell>
          <cell r="R213">
            <v>0.56698833333333321</v>
          </cell>
          <cell r="S213">
            <v>0</v>
          </cell>
          <cell r="T213">
            <v>0</v>
          </cell>
          <cell r="U213">
            <v>0</v>
          </cell>
          <cell r="V213">
            <v>0.61188166666666655</v>
          </cell>
        </row>
        <row r="214">
          <cell r="E214" t="str">
            <v>KCNW67120</v>
          </cell>
          <cell r="F214">
            <v>211.4812</v>
          </cell>
          <cell r="G214">
            <v>0</v>
          </cell>
          <cell r="H214">
            <v>4.018833333333334E-2</v>
          </cell>
          <cell r="I214">
            <v>2.3141666666666668E-2</v>
          </cell>
          <cell r="J214">
            <v>0</v>
          </cell>
          <cell r="K214">
            <v>9.3208333333333337E-2</v>
          </cell>
          <cell r="L214">
            <v>0.4835983333333333</v>
          </cell>
          <cell r="M214">
            <v>2.0900000000000003E-3</v>
          </cell>
          <cell r="N214">
            <v>3.9891666666666666E-2</v>
          </cell>
          <cell r="O214">
            <v>2.360333333333333E-2</v>
          </cell>
          <cell r="P214">
            <v>1.6743333333333332E-2</v>
          </cell>
          <cell r="Q214">
            <v>6.3330000000000011E-2</v>
          </cell>
          <cell r="R214">
            <v>0.65913500000000003</v>
          </cell>
          <cell r="S214">
            <v>0</v>
          </cell>
          <cell r="T214">
            <v>0</v>
          </cell>
          <cell r="U214">
            <v>0</v>
          </cell>
          <cell r="V214">
            <v>0.72246500000000002</v>
          </cell>
        </row>
        <row r="215">
          <cell r="E215" t="str">
            <v>KCPH67120</v>
          </cell>
          <cell r="F215">
            <v>201.79650000000001</v>
          </cell>
          <cell r="G215">
            <v>0</v>
          </cell>
          <cell r="H215">
            <v>3.8323333333333334E-2</v>
          </cell>
          <cell r="I215">
            <v>2.3141666666666668E-2</v>
          </cell>
          <cell r="J215">
            <v>0</v>
          </cell>
          <cell r="K215">
            <v>8.9724999999999999E-2</v>
          </cell>
          <cell r="L215">
            <v>0.45904833333333334</v>
          </cell>
          <cell r="M215">
            <v>2.0900000000000003E-3</v>
          </cell>
          <cell r="N215">
            <v>3.7853333333333329E-2</v>
          </cell>
          <cell r="O215">
            <v>2.0171666666666664E-2</v>
          </cell>
          <cell r="P215">
            <v>1.6160000000000001E-2</v>
          </cell>
          <cell r="Q215">
            <v>6.1465000000000006E-2</v>
          </cell>
          <cell r="R215">
            <v>0.62504833333333332</v>
          </cell>
          <cell r="S215">
            <v>0</v>
          </cell>
          <cell r="T215">
            <v>0</v>
          </cell>
          <cell r="U215">
            <v>0</v>
          </cell>
          <cell r="V215">
            <v>0.68651333333333331</v>
          </cell>
        </row>
        <row r="216">
          <cell r="E216" t="str">
            <v>KCPM67120</v>
          </cell>
          <cell r="F216">
            <v>207.09530000000001</v>
          </cell>
          <cell r="G216">
            <v>0</v>
          </cell>
          <cell r="H216">
            <v>3.8745000000000002E-2</v>
          </cell>
          <cell r="I216">
            <v>2.3141666666666668E-2</v>
          </cell>
          <cell r="J216">
            <v>0</v>
          </cell>
          <cell r="K216">
            <v>8.9724999999999999E-2</v>
          </cell>
          <cell r="L216">
            <v>0.46091833333333337</v>
          </cell>
          <cell r="M216">
            <v>2.0900000000000003E-3</v>
          </cell>
          <cell r="N216">
            <v>3.8460000000000001E-2</v>
          </cell>
          <cell r="O216">
            <v>2.2818333333333333E-2</v>
          </cell>
          <cell r="P216">
            <v>1.6298333333333335E-2</v>
          </cell>
          <cell r="Q216">
            <v>6.1886666666666673E-2</v>
          </cell>
          <cell r="R216">
            <v>0.63031000000000015</v>
          </cell>
          <cell r="S216">
            <v>0</v>
          </cell>
          <cell r="T216">
            <v>0</v>
          </cell>
          <cell r="U216">
            <v>0</v>
          </cell>
          <cell r="V216">
            <v>0.69219666666666679</v>
          </cell>
        </row>
        <row r="217">
          <cell r="E217" t="str">
            <v>KCPS67120</v>
          </cell>
          <cell r="F217">
            <v>211.4812</v>
          </cell>
          <cell r="G217">
            <v>0</v>
          </cell>
          <cell r="H217">
            <v>4.018833333333334E-2</v>
          </cell>
          <cell r="I217">
            <v>2.3141666666666668E-2</v>
          </cell>
          <cell r="J217">
            <v>0</v>
          </cell>
          <cell r="K217">
            <v>9.3208333333333337E-2</v>
          </cell>
          <cell r="L217">
            <v>0.47955333333333333</v>
          </cell>
          <cell r="M217">
            <v>2.0900000000000003E-3</v>
          </cell>
          <cell r="N217">
            <v>3.9891666666666666E-2</v>
          </cell>
          <cell r="O217">
            <v>2.360333333333333E-2</v>
          </cell>
          <cell r="P217">
            <v>1.6743333333333332E-2</v>
          </cell>
          <cell r="Q217">
            <v>6.3330000000000011E-2</v>
          </cell>
          <cell r="R217">
            <v>0.65508999999999995</v>
          </cell>
          <cell r="S217">
            <v>0</v>
          </cell>
          <cell r="T217">
            <v>0</v>
          </cell>
          <cell r="U217">
            <v>0</v>
          </cell>
          <cell r="V217">
            <v>0.71841999999999995</v>
          </cell>
        </row>
        <row r="218">
          <cell r="E218" t="str">
            <v>KCPT67120</v>
          </cell>
          <cell r="F218">
            <v>30.631399999999999</v>
          </cell>
          <cell r="G218">
            <v>0</v>
          </cell>
          <cell r="H218">
            <v>9.025E-3</v>
          </cell>
          <cell r="I218">
            <v>5.933333333333333E-3</v>
          </cell>
          <cell r="J218">
            <v>0</v>
          </cell>
          <cell r="K218">
            <v>1.6500000000000001E-2</v>
          </cell>
          <cell r="L218">
            <v>0.179065</v>
          </cell>
          <cell r="M218">
            <v>1.0450000000000001E-3</v>
          </cell>
          <cell r="N218">
            <v>1.7979999999999999E-2</v>
          </cell>
          <cell r="O218">
            <v>1.0215E-2</v>
          </cell>
          <cell r="P218">
            <v>5.0200000000000002E-3</v>
          </cell>
          <cell r="Q218">
            <v>1.4958333333333334E-2</v>
          </cell>
          <cell r="R218">
            <v>0.22982499999999997</v>
          </cell>
          <cell r="S218">
            <v>0</v>
          </cell>
          <cell r="T218">
            <v>0</v>
          </cell>
          <cell r="U218">
            <v>0</v>
          </cell>
          <cell r="V218">
            <v>0.2447833333333333</v>
          </cell>
        </row>
        <row r="219">
          <cell r="E219" t="str">
            <v>KCPV67030</v>
          </cell>
          <cell r="F219">
            <v>1125.5342000000001</v>
          </cell>
          <cell r="G219">
            <v>0</v>
          </cell>
          <cell r="H219">
            <v>0.17784666666666665</v>
          </cell>
          <cell r="I219">
            <v>0.23607833333333333</v>
          </cell>
          <cell r="J219">
            <v>7.2929999999999995E-2</v>
          </cell>
          <cell r="K219">
            <v>0.44523166666666664</v>
          </cell>
          <cell r="L219">
            <v>0.99891666666666667</v>
          </cell>
          <cell r="M219">
            <v>9.4050000000000002E-3</v>
          </cell>
          <cell r="N219">
            <v>9.9101666666666671E-2</v>
          </cell>
          <cell r="O219">
            <v>5.1984999999999996E-2</v>
          </cell>
          <cell r="P219">
            <v>6.5259999999999999E-2</v>
          </cell>
          <cell r="Q219">
            <v>0.48685499999999998</v>
          </cell>
          <cell r="R219">
            <v>1.6699000000000002</v>
          </cell>
          <cell r="S219">
            <v>0</v>
          </cell>
          <cell r="T219">
            <v>0</v>
          </cell>
          <cell r="U219">
            <v>0</v>
          </cell>
          <cell r="V219">
            <v>2.156755</v>
          </cell>
        </row>
        <row r="220">
          <cell r="E220" t="str">
            <v>KCRA67030</v>
          </cell>
          <cell r="F220">
            <v>1179.9058</v>
          </cell>
          <cell r="G220">
            <v>0</v>
          </cell>
          <cell r="H220">
            <v>0.18322333333333332</v>
          </cell>
          <cell r="I220">
            <v>0.26833166666666669</v>
          </cell>
          <cell r="J220">
            <v>7.9396666666666657E-2</v>
          </cell>
          <cell r="K220">
            <v>0.45421499999999998</v>
          </cell>
          <cell r="L220">
            <v>1.0257016666666667</v>
          </cell>
          <cell r="M220">
            <v>9.4050000000000002E-3</v>
          </cell>
          <cell r="N220">
            <v>0.10052999999999999</v>
          </cell>
          <cell r="O220">
            <v>5.2814999999999994E-2</v>
          </cell>
          <cell r="P220">
            <v>6.5686666666666657E-2</v>
          </cell>
          <cell r="Q220">
            <v>0.53095166666666671</v>
          </cell>
          <cell r="R220">
            <v>1.7083533333333336</v>
          </cell>
          <cell r="S220">
            <v>0</v>
          </cell>
          <cell r="T220">
            <v>0</v>
          </cell>
          <cell r="U220">
            <v>0</v>
          </cell>
          <cell r="V220">
            <v>2.2393050000000003</v>
          </cell>
        </row>
        <row r="221">
          <cell r="E221" t="str">
            <v>KCSP67030</v>
          </cell>
          <cell r="F221">
            <v>1189.4744000000001</v>
          </cell>
          <cell r="G221">
            <v>0</v>
          </cell>
          <cell r="H221">
            <v>0.18038166666666669</v>
          </cell>
          <cell r="I221">
            <v>0.250025</v>
          </cell>
          <cell r="J221">
            <v>7.5503333333333325E-2</v>
          </cell>
          <cell r="K221">
            <v>0.45395666666666667</v>
          </cell>
          <cell r="L221">
            <v>0.98518166666666673</v>
          </cell>
          <cell r="M221">
            <v>9.4050000000000002E-3</v>
          </cell>
          <cell r="N221">
            <v>9.8443333333333341E-2</v>
          </cell>
          <cell r="O221">
            <v>5.2488333333333338E-2</v>
          </cell>
          <cell r="P221">
            <v>6.5591666666666673E-2</v>
          </cell>
          <cell r="Q221">
            <v>0.50591000000000008</v>
          </cell>
          <cell r="R221">
            <v>1.6650666666666669</v>
          </cell>
          <cell r="S221">
            <v>0</v>
          </cell>
          <cell r="T221">
            <v>0</v>
          </cell>
          <cell r="U221">
            <v>0</v>
          </cell>
          <cell r="V221">
            <v>2.1709766666666672</v>
          </cell>
        </row>
        <row r="222">
          <cell r="E222" t="str">
            <v>KCSR67030</v>
          </cell>
          <cell r="F222">
            <v>1220.7785000000001</v>
          </cell>
          <cell r="G222">
            <v>0</v>
          </cell>
          <cell r="H222">
            <v>0.18653333333333333</v>
          </cell>
          <cell r="I222">
            <v>0.25569999999999998</v>
          </cell>
          <cell r="J222">
            <v>8.3775000000000002E-2</v>
          </cell>
          <cell r="K222">
            <v>0.46587333333333336</v>
          </cell>
          <cell r="L222">
            <v>1.03372</v>
          </cell>
          <cell r="M222">
            <v>9.4050000000000002E-3</v>
          </cell>
          <cell r="N222">
            <v>0.10119666666666666</v>
          </cell>
          <cell r="O222">
            <v>5.4543333333333339E-2</v>
          </cell>
          <cell r="P222">
            <v>7.3010000000000005E-2</v>
          </cell>
          <cell r="Q222">
            <v>0.5260083333333333</v>
          </cell>
          <cell r="R222">
            <v>1.7377483333333335</v>
          </cell>
          <cell r="S222">
            <v>0</v>
          </cell>
          <cell r="T222">
            <v>0</v>
          </cell>
          <cell r="U222">
            <v>0</v>
          </cell>
          <cell r="V222">
            <v>2.2637566666666666</v>
          </cell>
        </row>
        <row r="223">
          <cell r="E223" t="str">
            <v>KEFW67030</v>
          </cell>
          <cell r="F223">
            <v>1228.3942999999999</v>
          </cell>
          <cell r="G223">
            <v>0</v>
          </cell>
          <cell r="H223">
            <v>0.18380333333333335</v>
          </cell>
          <cell r="I223">
            <v>0.25583666666666666</v>
          </cell>
          <cell r="J223">
            <v>7.5503333333333325E-2</v>
          </cell>
          <cell r="K223">
            <v>0.46312333333333339</v>
          </cell>
          <cell r="L223">
            <v>1.0001966666666666</v>
          </cell>
          <cell r="M223">
            <v>9.4050000000000002E-3</v>
          </cell>
          <cell r="N223">
            <v>9.9421666666666672E-2</v>
          </cell>
          <cell r="O223">
            <v>5.2883333333333331E-2</v>
          </cell>
          <cell r="P223">
            <v>6.783666666666667E-2</v>
          </cell>
          <cell r="Q223">
            <v>0.5151433333333334</v>
          </cell>
          <cell r="R223">
            <v>1.692866666666667</v>
          </cell>
          <cell r="S223">
            <v>0</v>
          </cell>
          <cell r="T223">
            <v>0</v>
          </cell>
          <cell r="U223">
            <v>0</v>
          </cell>
          <cell r="V223">
            <v>2.2080100000000003</v>
          </cell>
        </row>
        <row r="224">
          <cell r="E224" t="str">
            <v>KEGA67030</v>
          </cell>
          <cell r="F224">
            <v>1259.6984000000002</v>
          </cell>
          <cell r="G224">
            <v>0</v>
          </cell>
          <cell r="H224">
            <v>0.18995499999999998</v>
          </cell>
          <cell r="I224">
            <v>0.26151166666666664</v>
          </cell>
          <cell r="J224">
            <v>8.3775000000000002E-2</v>
          </cell>
          <cell r="K224">
            <v>0.47504000000000002</v>
          </cell>
          <cell r="L224">
            <v>1.048735</v>
          </cell>
          <cell r="M224">
            <v>9.4050000000000002E-3</v>
          </cell>
          <cell r="N224">
            <v>0.10217499999999999</v>
          </cell>
          <cell r="O224">
            <v>5.4938333333333332E-2</v>
          </cell>
          <cell r="P224">
            <v>7.5255000000000002E-2</v>
          </cell>
          <cell r="Q224">
            <v>0.53524166666666662</v>
          </cell>
          <cell r="R224">
            <v>1.7655483333333335</v>
          </cell>
          <cell r="S224">
            <v>0</v>
          </cell>
          <cell r="T224">
            <v>0</v>
          </cell>
          <cell r="U224">
            <v>0</v>
          </cell>
          <cell r="V224">
            <v>2.3007900000000001</v>
          </cell>
        </row>
        <row r="225">
          <cell r="E225" t="str">
            <v>KEGD67030</v>
          </cell>
          <cell r="F225">
            <v>1283.3646999999999</v>
          </cell>
          <cell r="G225">
            <v>0</v>
          </cell>
          <cell r="H225">
            <v>0.18907499999999999</v>
          </cell>
          <cell r="I225">
            <v>0.28799499999999995</v>
          </cell>
          <cell r="J225">
            <v>8.1970000000000001E-2</v>
          </cell>
          <cell r="K225">
            <v>0.47210666666666667</v>
          </cell>
          <cell r="L225">
            <v>1.0122216666666666</v>
          </cell>
          <cell r="M225">
            <v>9.4050000000000002E-3</v>
          </cell>
          <cell r="N225">
            <v>0.10024333333333332</v>
          </cell>
          <cell r="O225">
            <v>5.3344999999999997E-2</v>
          </cell>
          <cell r="P225">
            <v>6.810833333333334E-2</v>
          </cell>
          <cell r="Q225">
            <v>0.55903999999999998</v>
          </cell>
          <cell r="R225">
            <v>1.71543</v>
          </cell>
          <cell r="S225">
            <v>0</v>
          </cell>
          <cell r="T225">
            <v>0</v>
          </cell>
          <cell r="U225">
            <v>0</v>
          </cell>
          <cell r="V225">
            <v>2.27447</v>
          </cell>
        </row>
        <row r="226">
          <cell r="E226" t="str">
            <v>KEGE67030</v>
          </cell>
          <cell r="F226">
            <v>1314.6687999999999</v>
          </cell>
          <cell r="G226">
            <v>0</v>
          </cell>
          <cell r="H226">
            <v>0.19522666666666666</v>
          </cell>
          <cell r="I226">
            <v>0.29366999999999999</v>
          </cell>
          <cell r="J226">
            <v>9.0241666666666678E-2</v>
          </cell>
          <cell r="K226">
            <v>0.48402333333333331</v>
          </cell>
          <cell r="L226">
            <v>1.063825</v>
          </cell>
          <cell r="M226">
            <v>9.4050000000000002E-3</v>
          </cell>
          <cell r="N226">
            <v>0.10299833333333333</v>
          </cell>
          <cell r="O226">
            <v>5.5403333333333332E-2</v>
          </cell>
          <cell r="P226">
            <v>7.5526666666666673E-2</v>
          </cell>
          <cell r="Q226">
            <v>0.57913833333333331</v>
          </cell>
          <cell r="R226">
            <v>1.7911816666666667</v>
          </cell>
          <cell r="S226">
            <v>0</v>
          </cell>
          <cell r="T226">
            <v>0</v>
          </cell>
          <cell r="U226">
            <v>0</v>
          </cell>
          <cell r="V226">
            <v>2.37032</v>
          </cell>
        </row>
        <row r="227">
          <cell r="E227" t="str">
            <v>KEGK67120</v>
          </cell>
          <cell r="F227">
            <v>29.682600000000001</v>
          </cell>
          <cell r="G227">
            <v>0</v>
          </cell>
          <cell r="H227">
            <v>9.5499999999999995E-3</v>
          </cell>
          <cell r="I227">
            <v>5.2800000000000008E-3</v>
          </cell>
          <cell r="J227">
            <v>0</v>
          </cell>
          <cell r="K227">
            <v>1.6500000000000001E-2</v>
          </cell>
          <cell r="L227">
            <v>0.20400333333333334</v>
          </cell>
          <cell r="M227">
            <v>1.0450000000000001E-3</v>
          </cell>
          <cell r="N227">
            <v>1.8710000000000001E-2</v>
          </cell>
          <cell r="O227">
            <v>1.0985E-2</v>
          </cell>
          <cell r="P227">
            <v>5.6366666666666666E-3</v>
          </cell>
          <cell r="Q227">
            <v>1.4829999999999999E-2</v>
          </cell>
          <cell r="R227">
            <v>0.25688</v>
          </cell>
          <cell r="S227">
            <v>0</v>
          </cell>
          <cell r="T227">
            <v>0</v>
          </cell>
          <cell r="U227">
            <v>0</v>
          </cell>
          <cell r="V227">
            <v>0.27171000000000001</v>
          </cell>
        </row>
        <row r="228">
          <cell r="E228" t="str">
            <v>KEGL67120</v>
          </cell>
          <cell r="F228">
            <v>63.243499999999997</v>
          </cell>
          <cell r="G228">
            <v>0</v>
          </cell>
          <cell r="H228">
            <v>1.7076666666666667E-2</v>
          </cell>
          <cell r="I228">
            <v>1.7335E-2</v>
          </cell>
          <cell r="J228">
            <v>0</v>
          </cell>
          <cell r="K228">
            <v>3.2761666666666668E-2</v>
          </cell>
          <cell r="L228">
            <v>0.30341000000000001</v>
          </cell>
          <cell r="M228">
            <v>1.0450000000000001E-3</v>
          </cell>
          <cell r="N228">
            <v>2.4938333333333333E-2</v>
          </cell>
          <cell r="O228">
            <v>1.4636666666666666E-2</v>
          </cell>
          <cell r="P228">
            <v>7.7649999999999993E-3</v>
          </cell>
          <cell r="Q228">
            <v>3.4411666666666667E-2</v>
          </cell>
          <cell r="R228">
            <v>0.38455666666666677</v>
          </cell>
          <cell r="S228">
            <v>0</v>
          </cell>
          <cell r="T228">
            <v>0</v>
          </cell>
          <cell r="U228">
            <v>0</v>
          </cell>
          <cell r="V228">
            <v>0.41896833333333344</v>
          </cell>
        </row>
        <row r="229">
          <cell r="E229" t="str">
            <v>KEGP67120</v>
          </cell>
          <cell r="F229">
            <v>34.216299999999997</v>
          </cell>
          <cell r="G229">
            <v>0</v>
          </cell>
          <cell r="H229">
            <v>1.1015E-2</v>
          </cell>
          <cell r="I229">
            <v>5.2800000000000008E-3</v>
          </cell>
          <cell r="J229">
            <v>0</v>
          </cell>
          <cell r="K229">
            <v>2.1761666666666669E-2</v>
          </cell>
          <cell r="L229">
            <v>0.22830166666666668</v>
          </cell>
          <cell r="M229">
            <v>1.0450000000000001E-3</v>
          </cell>
          <cell r="N229">
            <v>2.0799999999999999E-2</v>
          </cell>
          <cell r="O229">
            <v>1.2119999999999999E-2</v>
          </cell>
          <cell r="P229">
            <v>6.3200000000000001E-3</v>
          </cell>
          <cell r="Q229">
            <v>1.6295E-2</v>
          </cell>
          <cell r="R229">
            <v>0.29034833333333337</v>
          </cell>
          <cell r="S229">
            <v>0</v>
          </cell>
          <cell r="T229">
            <v>0</v>
          </cell>
          <cell r="U229">
            <v>0</v>
          </cell>
          <cell r="V229">
            <v>0.30664333333333338</v>
          </cell>
        </row>
        <row r="230">
          <cell r="E230" t="str">
            <v>KEGS67120</v>
          </cell>
          <cell r="F230">
            <v>52.119399999999999</v>
          </cell>
          <cell r="G230">
            <v>0</v>
          </cell>
          <cell r="H230">
            <v>1.4376666666666668E-2</v>
          </cell>
          <cell r="I230">
            <v>1.0534999999999999E-2</v>
          </cell>
          <cell r="J230">
            <v>0</v>
          </cell>
          <cell r="K230">
            <v>3.0928333333333332E-2</v>
          </cell>
          <cell r="L230">
            <v>0.25001166666666669</v>
          </cell>
          <cell r="M230">
            <v>1.0450000000000001E-3</v>
          </cell>
          <cell r="N230">
            <v>2.2398333333333336E-2</v>
          </cell>
          <cell r="O230">
            <v>1.3075E-2</v>
          </cell>
          <cell r="P230">
            <v>6.8799999999999998E-3</v>
          </cell>
          <cell r="Q230">
            <v>2.4911666666666665E-2</v>
          </cell>
          <cell r="R230">
            <v>0.3243383333333334</v>
          </cell>
          <cell r="S230">
            <v>0</v>
          </cell>
          <cell r="T230">
            <v>0</v>
          </cell>
          <cell r="U230">
            <v>0</v>
          </cell>
          <cell r="V230">
            <v>0.34925000000000006</v>
          </cell>
        </row>
        <row r="231">
          <cell r="E231" t="str">
            <v>KEHD67030</v>
          </cell>
          <cell r="F231">
            <v>1224.9784999999997</v>
          </cell>
          <cell r="G231">
            <v>0</v>
          </cell>
          <cell r="H231">
            <v>0.18256666666666668</v>
          </cell>
          <cell r="I231">
            <v>0.26528499999999999</v>
          </cell>
          <cell r="J231">
            <v>8.1970000000000001E-2</v>
          </cell>
          <cell r="K231">
            <v>0.45233499999999999</v>
          </cell>
          <cell r="L231">
            <v>0.99583500000000003</v>
          </cell>
          <cell r="M231">
            <v>9.4050000000000002E-3</v>
          </cell>
          <cell r="N231">
            <v>9.8443333333333341E-2</v>
          </cell>
          <cell r="O231">
            <v>5.006E-2</v>
          </cell>
          <cell r="P231">
            <v>6.762E-2</v>
          </cell>
          <cell r="Q231">
            <v>0.52982166666666664</v>
          </cell>
          <cell r="R231">
            <v>1.6736983333333335</v>
          </cell>
          <cell r="S231">
            <v>0</v>
          </cell>
          <cell r="T231">
            <v>0</v>
          </cell>
          <cell r="U231">
            <v>0</v>
          </cell>
          <cell r="V231">
            <v>2.2035200000000001</v>
          </cell>
        </row>
        <row r="232">
          <cell r="E232" t="str">
            <v>KEHE67120</v>
          </cell>
          <cell r="F232">
            <v>64.462500000000006</v>
          </cell>
          <cell r="G232">
            <v>0</v>
          </cell>
          <cell r="H232">
            <v>1.6898333333333335E-2</v>
          </cell>
          <cell r="I232">
            <v>1.0534999999999999E-2</v>
          </cell>
          <cell r="J232">
            <v>0</v>
          </cell>
          <cell r="K232">
            <v>3.6244999999999999E-2</v>
          </cell>
          <cell r="L232">
            <v>0.27852833333333332</v>
          </cell>
          <cell r="M232">
            <v>2.0900000000000003E-3</v>
          </cell>
          <cell r="N232">
            <v>2.6368333333333334E-2</v>
          </cell>
          <cell r="O232">
            <v>1.7031666666666667E-2</v>
          </cell>
          <cell r="P232">
            <v>7.6366666666666666E-3</v>
          </cell>
          <cell r="Q232">
            <v>2.7433333333333334E-2</v>
          </cell>
          <cell r="R232">
            <v>0.3679</v>
          </cell>
          <cell r="S232">
            <v>0</v>
          </cell>
          <cell r="T232">
            <v>0</v>
          </cell>
          <cell r="U232">
            <v>0</v>
          </cell>
          <cell r="V232">
            <v>0.39533333333333331</v>
          </cell>
        </row>
        <row r="233">
          <cell r="E233" t="str">
            <v>KEHF67120</v>
          </cell>
          <cell r="F233">
            <v>98.023399999999995</v>
          </cell>
          <cell r="G233">
            <v>0</v>
          </cell>
          <cell r="H233">
            <v>2.4426666666666666E-2</v>
          </cell>
          <cell r="I233">
            <v>2.2588333333333332E-2</v>
          </cell>
          <cell r="J233">
            <v>0</v>
          </cell>
          <cell r="K233">
            <v>5.0728333333333334E-2</v>
          </cell>
          <cell r="L233">
            <v>0.37172666666666665</v>
          </cell>
          <cell r="M233">
            <v>2.0900000000000003E-3</v>
          </cell>
          <cell r="N233">
            <v>3.1940000000000003E-2</v>
          </cell>
          <cell r="O233">
            <v>2.0396666666666667E-2</v>
          </cell>
          <cell r="P233">
            <v>9.5683333333333349E-3</v>
          </cell>
          <cell r="Q233">
            <v>4.7015000000000001E-2</v>
          </cell>
          <cell r="R233">
            <v>0.48644999999999999</v>
          </cell>
          <cell r="S233">
            <v>0</v>
          </cell>
          <cell r="T233">
            <v>0</v>
          </cell>
          <cell r="U233">
            <v>0</v>
          </cell>
          <cell r="V233">
            <v>0.53346499999999997</v>
          </cell>
        </row>
        <row r="234">
          <cell r="E234" t="str">
            <v>KEHG67030</v>
          </cell>
          <cell r="F234">
            <v>1233.5347999999999</v>
          </cell>
          <cell r="G234">
            <v>0</v>
          </cell>
          <cell r="H234">
            <v>0.18685333333333334</v>
          </cell>
          <cell r="I234">
            <v>0.26020333333333334</v>
          </cell>
          <cell r="J234">
            <v>7.5503333333333325E-2</v>
          </cell>
          <cell r="K234">
            <v>0.47228999999999999</v>
          </cell>
          <cell r="L234">
            <v>1.0113533333333333</v>
          </cell>
          <cell r="M234">
            <v>9.4050000000000002E-3</v>
          </cell>
          <cell r="N234">
            <v>0.10040333333333334</v>
          </cell>
          <cell r="O234">
            <v>5.5625000000000001E-2</v>
          </cell>
          <cell r="P234">
            <v>6.808666666666667E-2</v>
          </cell>
          <cell r="Q234">
            <v>0.52256000000000002</v>
          </cell>
          <cell r="R234">
            <v>1.7171633333333334</v>
          </cell>
          <cell r="S234">
            <v>0</v>
          </cell>
          <cell r="T234">
            <v>0</v>
          </cell>
          <cell r="U234">
            <v>0</v>
          </cell>
          <cell r="V234">
            <v>2.2397233333333335</v>
          </cell>
        </row>
        <row r="235">
          <cell r="E235" t="str">
            <v>KEHH67030</v>
          </cell>
          <cell r="F235">
            <v>1288.5051999999998</v>
          </cell>
          <cell r="G235">
            <v>0</v>
          </cell>
          <cell r="H235">
            <v>0.19212666666666667</v>
          </cell>
          <cell r="I235">
            <v>0.29236166666666663</v>
          </cell>
          <cell r="J235">
            <v>8.1970000000000001E-2</v>
          </cell>
          <cell r="K235">
            <v>0.48127333333333333</v>
          </cell>
          <cell r="L235">
            <v>1.02338</v>
          </cell>
          <cell r="M235">
            <v>9.4050000000000002E-3</v>
          </cell>
          <cell r="N235">
            <v>0.101225</v>
          </cell>
          <cell r="O235">
            <v>5.608833333333333E-2</v>
          </cell>
          <cell r="P235">
            <v>6.8360000000000004E-2</v>
          </cell>
          <cell r="Q235">
            <v>0.56645833333333329</v>
          </cell>
          <cell r="R235">
            <v>1.7397316666666665</v>
          </cell>
          <cell r="S235">
            <v>0</v>
          </cell>
          <cell r="T235">
            <v>0</v>
          </cell>
          <cell r="U235">
            <v>0</v>
          </cell>
          <cell r="V235">
            <v>2.30619</v>
          </cell>
        </row>
        <row r="236">
          <cell r="E236" t="str">
            <v>KEJB67030</v>
          </cell>
          <cell r="F236">
            <v>1284.5968</v>
          </cell>
          <cell r="G236">
            <v>0</v>
          </cell>
          <cell r="H236">
            <v>0.19917833333333332</v>
          </cell>
          <cell r="I236">
            <v>0.33512166666666665</v>
          </cell>
          <cell r="J236">
            <v>9.6530000000000005E-2</v>
          </cell>
          <cell r="K236">
            <v>0.49062333333333336</v>
          </cell>
          <cell r="L236">
            <v>1.0398066666666665</v>
          </cell>
          <cell r="M236">
            <v>9.4050000000000002E-3</v>
          </cell>
          <cell r="N236">
            <v>0.10175666666666668</v>
          </cell>
          <cell r="O236">
            <v>5.4543333333333339E-2</v>
          </cell>
          <cell r="P236">
            <v>7.3010000000000005E-2</v>
          </cell>
          <cell r="Q236">
            <v>0.63083</v>
          </cell>
          <cell r="R236">
            <v>1.7691450000000002</v>
          </cell>
          <cell r="S236">
            <v>0</v>
          </cell>
          <cell r="T236">
            <v>0</v>
          </cell>
          <cell r="U236">
            <v>0</v>
          </cell>
          <cell r="V236">
            <v>2.3999750000000004</v>
          </cell>
        </row>
        <row r="237">
          <cell r="E237" t="str">
            <v>KEJD67030</v>
          </cell>
          <cell r="F237">
            <v>1323.5168000000001</v>
          </cell>
          <cell r="G237">
            <v>0</v>
          </cell>
          <cell r="H237">
            <v>0.20259833333333335</v>
          </cell>
          <cell r="I237">
            <v>0.34093333333333331</v>
          </cell>
          <cell r="J237">
            <v>9.6530000000000005E-2</v>
          </cell>
          <cell r="K237">
            <v>0.49979000000000001</v>
          </cell>
          <cell r="L237">
            <v>1.0548216666666665</v>
          </cell>
          <cell r="M237">
            <v>9.4050000000000002E-3</v>
          </cell>
          <cell r="N237">
            <v>0.10273500000000001</v>
          </cell>
          <cell r="O237">
            <v>5.4938333333333332E-2</v>
          </cell>
          <cell r="P237">
            <v>7.5255000000000002E-2</v>
          </cell>
          <cell r="Q237">
            <v>0.64006166666666664</v>
          </cell>
          <cell r="R237">
            <v>1.796945</v>
          </cell>
          <cell r="S237">
            <v>0</v>
          </cell>
          <cell r="T237">
            <v>0</v>
          </cell>
          <cell r="U237">
            <v>0</v>
          </cell>
          <cell r="V237">
            <v>2.4370066666666665</v>
          </cell>
        </row>
        <row r="238">
          <cell r="E238" t="str">
            <v>KEJE67030</v>
          </cell>
          <cell r="F238">
            <v>1378.4872000000003</v>
          </cell>
          <cell r="G238">
            <v>0</v>
          </cell>
          <cell r="H238">
            <v>0.20787166666666668</v>
          </cell>
          <cell r="I238">
            <v>0.37309166666666665</v>
          </cell>
          <cell r="J238">
            <v>0.10299666666666667</v>
          </cell>
          <cell r="K238">
            <v>0.5087733333333333</v>
          </cell>
          <cell r="L238">
            <v>1.0699116666666666</v>
          </cell>
          <cell r="M238">
            <v>9.4050000000000002E-3</v>
          </cell>
          <cell r="N238">
            <v>0.10355833333333334</v>
          </cell>
          <cell r="O238">
            <v>5.5403333333333332E-2</v>
          </cell>
          <cell r="P238">
            <v>7.5526666666666673E-2</v>
          </cell>
          <cell r="Q238">
            <v>0.6839599999999999</v>
          </cell>
          <cell r="R238">
            <v>1.8225783333333334</v>
          </cell>
          <cell r="S238">
            <v>0</v>
          </cell>
          <cell r="T238">
            <v>0</v>
          </cell>
          <cell r="U238">
            <v>0</v>
          </cell>
          <cell r="V238">
            <v>2.5065383333333333</v>
          </cell>
        </row>
        <row r="239">
          <cell r="E239" t="str">
            <v>KEJV67120</v>
          </cell>
          <cell r="F239">
            <v>190.4376</v>
          </cell>
          <cell r="G239">
            <v>0</v>
          </cell>
          <cell r="H239">
            <v>3.3370000000000004E-2</v>
          </cell>
          <cell r="I239">
            <v>1.0534999999999999E-2</v>
          </cell>
          <cell r="J239">
            <v>0</v>
          </cell>
          <cell r="K239">
            <v>7.8724999999999989E-2</v>
          </cell>
          <cell r="L239">
            <v>0.39993333333333331</v>
          </cell>
          <cell r="M239">
            <v>2.0900000000000003E-3</v>
          </cell>
          <cell r="N239">
            <v>3.4328333333333329E-2</v>
          </cell>
          <cell r="O239">
            <v>2.0479999999999998E-2</v>
          </cell>
          <cell r="P239">
            <v>1.4976666666666666E-2</v>
          </cell>
          <cell r="Q239">
            <v>4.3905E-2</v>
          </cell>
          <cell r="R239">
            <v>0.55053333333333332</v>
          </cell>
          <cell r="S239">
            <v>0</v>
          </cell>
          <cell r="T239">
            <v>0</v>
          </cell>
          <cell r="U239">
            <v>0</v>
          </cell>
          <cell r="V239">
            <v>0.59443833333333329</v>
          </cell>
        </row>
        <row r="240">
          <cell r="E240" t="str">
            <v>KEJW67120</v>
          </cell>
          <cell r="F240">
            <v>224.0016</v>
          </cell>
          <cell r="G240">
            <v>0</v>
          </cell>
          <cell r="H240">
            <v>4.0896666666666671E-2</v>
          </cell>
          <cell r="I240">
            <v>2.2588333333333332E-2</v>
          </cell>
          <cell r="J240">
            <v>0</v>
          </cell>
          <cell r="K240">
            <v>9.3208333333333337E-2</v>
          </cell>
          <cell r="L240">
            <v>0.49313166666666669</v>
          </cell>
          <cell r="M240">
            <v>2.0900000000000003E-3</v>
          </cell>
          <cell r="N240">
            <v>3.9901666666666662E-2</v>
          </cell>
          <cell r="O240">
            <v>2.3848333333333336E-2</v>
          </cell>
          <cell r="P240">
            <v>1.6909999999999998E-2</v>
          </cell>
          <cell r="Q240">
            <v>6.3485E-2</v>
          </cell>
          <cell r="R240">
            <v>0.66909000000000007</v>
          </cell>
          <cell r="S240">
            <v>0</v>
          </cell>
          <cell r="T240">
            <v>0</v>
          </cell>
          <cell r="U240">
            <v>0</v>
          </cell>
          <cell r="V240">
            <v>0.73257500000000009</v>
          </cell>
        </row>
        <row r="241">
          <cell r="E241" t="str">
            <v>KGTR67030</v>
          </cell>
          <cell r="F241">
            <v>1593.6692</v>
          </cell>
          <cell r="G241">
            <v>36.046199999999999</v>
          </cell>
          <cell r="H241">
            <v>0.20582500000000001</v>
          </cell>
          <cell r="I241">
            <v>0.26295333333333332</v>
          </cell>
          <cell r="J241">
            <v>7.2251666666666658E-2</v>
          </cell>
          <cell r="K241">
            <v>0.54710833333333342</v>
          </cell>
          <cell r="L241">
            <v>1.21665</v>
          </cell>
          <cell r="M241">
            <v>1.4630000000000001E-2</v>
          </cell>
          <cell r="N241">
            <v>0.11817166666666666</v>
          </cell>
          <cell r="O241">
            <v>7.9081666666666675E-2</v>
          </cell>
          <cell r="P241">
            <v>9.3045000000000003E-2</v>
          </cell>
          <cell r="Q241">
            <v>0.5410299999999999</v>
          </cell>
          <cell r="R241">
            <v>2.0686866666666668</v>
          </cell>
          <cell r="S241">
            <v>2.5163333333333329E-2</v>
          </cell>
          <cell r="T241">
            <v>0</v>
          </cell>
          <cell r="U241">
            <v>0</v>
          </cell>
          <cell r="V241">
            <v>2.6348799999999999</v>
          </cell>
        </row>
        <row r="242">
          <cell r="E242" t="str">
            <v>KGVD67030</v>
          </cell>
          <cell r="F242">
            <v>1650.0626000000002</v>
          </cell>
          <cell r="G242">
            <v>36.046199999999999</v>
          </cell>
          <cell r="H242">
            <v>0.21178333333333335</v>
          </cell>
          <cell r="I242">
            <v>0.29504666666666668</v>
          </cell>
          <cell r="J242">
            <v>7.8718333333333321E-2</v>
          </cell>
          <cell r="K242">
            <v>0.56071666666666664</v>
          </cell>
          <cell r="L242">
            <v>1.2252733333333334</v>
          </cell>
          <cell r="M242">
            <v>1.4630000000000001E-2</v>
          </cell>
          <cell r="N242">
            <v>0.11908833333333332</v>
          </cell>
          <cell r="O242">
            <v>7.9899999999999999E-2</v>
          </cell>
          <cell r="P242">
            <v>9.3550000000000008E-2</v>
          </cell>
          <cell r="Q242">
            <v>0.58554833333333334</v>
          </cell>
          <cell r="R242">
            <v>2.0931583333333332</v>
          </cell>
          <cell r="S242">
            <v>2.5163333333333329E-2</v>
          </cell>
          <cell r="T242">
            <v>0</v>
          </cell>
          <cell r="U242">
            <v>0</v>
          </cell>
          <cell r="V242">
            <v>2.7038700000000002</v>
          </cell>
        </row>
        <row r="243">
          <cell r="E243" t="str">
            <v>KGVF67030</v>
          </cell>
          <cell r="F243">
            <v>1732.2496999999998</v>
          </cell>
          <cell r="G243">
            <v>36.046199999999999</v>
          </cell>
          <cell r="H243">
            <v>0.21758833333333336</v>
          </cell>
          <cell r="I243">
            <v>0.30847833333333335</v>
          </cell>
          <cell r="J243">
            <v>8.8888333333333333E-2</v>
          </cell>
          <cell r="K243">
            <v>0.57300000000000006</v>
          </cell>
          <cell r="L243">
            <v>1.2496733333333334</v>
          </cell>
          <cell r="M243">
            <v>1.4630000000000001E-2</v>
          </cell>
          <cell r="N243">
            <v>0.12222</v>
          </cell>
          <cell r="O243">
            <v>8.3423333333333335E-2</v>
          </cell>
          <cell r="P243">
            <v>9.6180000000000002E-2</v>
          </cell>
          <cell r="Q243">
            <v>0.61495500000000003</v>
          </cell>
          <cell r="R243">
            <v>2.1391266666666664</v>
          </cell>
          <cell r="S243">
            <v>2.5163333333333329E-2</v>
          </cell>
          <cell r="T243">
            <v>0</v>
          </cell>
          <cell r="U243">
            <v>0</v>
          </cell>
          <cell r="V243">
            <v>2.779245</v>
          </cell>
        </row>
        <row r="244">
          <cell r="E244" t="str">
            <v>KGVH67030</v>
          </cell>
          <cell r="F244">
            <v>1479.5014000000001</v>
          </cell>
          <cell r="G244">
            <v>33.107799999999997</v>
          </cell>
          <cell r="H244">
            <v>0.18590000000000001</v>
          </cell>
          <cell r="I244">
            <v>0.20237000000000002</v>
          </cell>
          <cell r="J244">
            <v>5.7833333333333334E-2</v>
          </cell>
          <cell r="K244">
            <v>0.48264833333333335</v>
          </cell>
          <cell r="L244">
            <v>1.191235</v>
          </cell>
          <cell r="M244">
            <v>1.3585000000000002E-2</v>
          </cell>
          <cell r="N244">
            <v>0.11306666666666666</v>
          </cell>
          <cell r="O244">
            <v>7.5573333333333326E-2</v>
          </cell>
          <cell r="P244">
            <v>9.1906666666666664E-2</v>
          </cell>
          <cell r="Q244">
            <v>0.44610333333333335</v>
          </cell>
          <cell r="R244">
            <v>1.9680149999999998</v>
          </cell>
          <cell r="S244">
            <v>2.5163333333333329E-2</v>
          </cell>
          <cell r="T244">
            <v>0</v>
          </cell>
          <cell r="U244">
            <v>0</v>
          </cell>
          <cell r="V244">
            <v>2.4392816666666666</v>
          </cell>
        </row>
        <row r="245">
          <cell r="E245" t="str">
            <v>KGVK67030</v>
          </cell>
          <cell r="F245">
            <v>1571.6649</v>
          </cell>
          <cell r="G245">
            <v>33.107799999999997</v>
          </cell>
          <cell r="H245">
            <v>0.19177666666666668</v>
          </cell>
          <cell r="I245">
            <v>0.21599333333333334</v>
          </cell>
          <cell r="J245">
            <v>7.2098333333333334E-2</v>
          </cell>
          <cell r="K245">
            <v>0.49493166666666671</v>
          </cell>
          <cell r="L245">
            <v>1.2175483333333332</v>
          </cell>
          <cell r="M245">
            <v>1.3585000000000002E-2</v>
          </cell>
          <cell r="N245">
            <v>0.11619833333333333</v>
          </cell>
          <cell r="O245">
            <v>7.9096666666666662E-2</v>
          </cell>
          <cell r="P245">
            <v>9.4536666666666672E-2</v>
          </cell>
          <cell r="Q245">
            <v>0.47986833333333334</v>
          </cell>
          <cell r="R245">
            <v>2.0158966666666664</v>
          </cell>
          <cell r="S245">
            <v>2.5163333333333329E-2</v>
          </cell>
          <cell r="T245">
            <v>0</v>
          </cell>
          <cell r="U245">
            <v>0</v>
          </cell>
          <cell r="V245">
            <v>2.520928333333333</v>
          </cell>
        </row>
        <row r="246">
          <cell r="E246" t="str">
            <v>KGVP67030</v>
          </cell>
          <cell r="F246">
            <v>1502.9059</v>
          </cell>
          <cell r="G246">
            <v>36.046199999999999</v>
          </cell>
          <cell r="H246">
            <v>0.19507666666666665</v>
          </cell>
          <cell r="I246">
            <v>0.21379833333333334</v>
          </cell>
          <cell r="J246">
            <v>9.0896666666666667E-2</v>
          </cell>
          <cell r="K246">
            <v>0.51153999999999999</v>
          </cell>
          <cell r="L246">
            <v>1.1946099999999999</v>
          </cell>
          <cell r="M246">
            <v>1.3585000000000002E-2</v>
          </cell>
          <cell r="N246">
            <v>0.11573666666666667</v>
          </cell>
          <cell r="O246">
            <v>7.7836666666666679E-2</v>
          </cell>
          <cell r="P246">
            <v>9.0161666666666668E-2</v>
          </cell>
          <cell r="Q246">
            <v>0.49977166666666667</v>
          </cell>
          <cell r="R246">
            <v>2.0034700000000001</v>
          </cell>
          <cell r="S246">
            <v>4.2664999999999995E-2</v>
          </cell>
          <cell r="T246">
            <v>0</v>
          </cell>
          <cell r="U246">
            <v>0</v>
          </cell>
          <cell r="V246">
            <v>2.5459066666666668</v>
          </cell>
        </row>
        <row r="247">
          <cell r="E247" t="str">
            <v>KGVR67030</v>
          </cell>
          <cell r="F247">
            <v>1569.1039000000001</v>
          </cell>
          <cell r="G247">
            <v>36.244700000000002</v>
          </cell>
          <cell r="H247">
            <v>0.20119000000000001</v>
          </cell>
          <cell r="I247">
            <v>0.24704499999999999</v>
          </cell>
          <cell r="J247">
            <v>9.7383333333333336E-2</v>
          </cell>
          <cell r="K247">
            <v>0.52514666666666665</v>
          </cell>
          <cell r="L247">
            <v>1.2042116666666667</v>
          </cell>
          <cell r="M247">
            <v>1.3585000000000002E-2</v>
          </cell>
          <cell r="N247">
            <v>0.11665166666666667</v>
          </cell>
          <cell r="O247">
            <v>7.8651666666666661E-2</v>
          </cell>
          <cell r="P247">
            <v>9.0666666666666673E-2</v>
          </cell>
          <cell r="Q247">
            <v>0.54561833333333332</v>
          </cell>
          <cell r="R247">
            <v>2.0289133333333331</v>
          </cell>
          <cell r="S247">
            <v>4.5964999999999999E-2</v>
          </cell>
          <cell r="T247">
            <v>0</v>
          </cell>
          <cell r="U247">
            <v>0</v>
          </cell>
          <cell r="V247">
            <v>2.620496666666666</v>
          </cell>
        </row>
        <row r="248">
          <cell r="E248" t="str">
            <v>KGWD67030</v>
          </cell>
          <cell r="F248">
            <v>1453.1187</v>
          </cell>
          <cell r="G248">
            <v>33.732599999999998</v>
          </cell>
          <cell r="H248">
            <v>0.18422833333333333</v>
          </cell>
          <cell r="I248">
            <v>0.20626833333333333</v>
          </cell>
          <cell r="J248">
            <v>8.7575E-2</v>
          </cell>
          <cell r="K248">
            <v>0.47798833333333335</v>
          </cell>
          <cell r="L248">
            <v>1.1410483333333334</v>
          </cell>
          <cell r="M248">
            <v>1.3585000000000002E-2</v>
          </cell>
          <cell r="N248">
            <v>0.10885333333333333</v>
          </cell>
          <cell r="O248">
            <v>7.3491666666666677E-2</v>
          </cell>
          <cell r="P248">
            <v>8.7818333333333332E-2</v>
          </cell>
          <cell r="Q248">
            <v>0.47807166666666667</v>
          </cell>
          <cell r="R248">
            <v>1.9027849999999999</v>
          </cell>
          <cell r="S248">
            <v>4.5964999999999999E-2</v>
          </cell>
          <cell r="T248">
            <v>0</v>
          </cell>
          <cell r="U248">
            <v>0</v>
          </cell>
          <cell r="V248">
            <v>2.4268216666666662</v>
          </cell>
        </row>
        <row r="249">
          <cell r="E249" t="str">
            <v>KHFE67030</v>
          </cell>
          <cell r="F249">
            <v>1498.4063000000001</v>
          </cell>
          <cell r="G249">
            <v>33.732599999999998</v>
          </cell>
          <cell r="H249">
            <v>0.19049166666666667</v>
          </cell>
          <cell r="I249">
            <v>0.21837666666666669</v>
          </cell>
          <cell r="J249">
            <v>8.7575E-2</v>
          </cell>
          <cell r="K249">
            <v>0.49258166666666664</v>
          </cell>
          <cell r="L249">
            <v>1.2023783333333333</v>
          </cell>
          <cell r="M249">
            <v>1.4630000000000001E-2</v>
          </cell>
          <cell r="N249">
            <v>0.11365333333333334</v>
          </cell>
          <cell r="O249">
            <v>7.9504999999999992E-2</v>
          </cell>
          <cell r="P249">
            <v>9.8296666666666671E-2</v>
          </cell>
          <cell r="Q249">
            <v>0.4964433333333334</v>
          </cell>
          <cell r="R249">
            <v>2.001045</v>
          </cell>
          <cell r="S249">
            <v>4.5964999999999999E-2</v>
          </cell>
          <cell r="T249">
            <v>0</v>
          </cell>
          <cell r="U249">
            <v>0</v>
          </cell>
          <cell r="V249">
            <v>2.5434533333333333</v>
          </cell>
        </row>
        <row r="250">
          <cell r="E250" t="str">
            <v>KHFG67030</v>
          </cell>
          <cell r="F250">
            <v>1557.998</v>
          </cell>
          <cell r="G250">
            <v>36.244700000000002</v>
          </cell>
          <cell r="H250">
            <v>0.20149333333333336</v>
          </cell>
          <cell r="I250">
            <v>0.22705999999999998</v>
          </cell>
          <cell r="J250">
            <v>9.0916666666666673E-2</v>
          </cell>
          <cell r="K250">
            <v>0.52613333333333334</v>
          </cell>
          <cell r="L250">
            <v>1.2568966666666666</v>
          </cell>
          <cell r="M250">
            <v>1.4630000000000001E-2</v>
          </cell>
          <cell r="N250">
            <v>0.12053666666666667</v>
          </cell>
          <cell r="O250">
            <v>8.3849999999999994E-2</v>
          </cell>
          <cell r="P250">
            <v>0.10064000000000001</v>
          </cell>
          <cell r="Q250">
            <v>0.51946999999999999</v>
          </cell>
          <cell r="R250">
            <v>2.1026866666666666</v>
          </cell>
          <cell r="S250">
            <v>4.5964999999999999E-2</v>
          </cell>
          <cell r="T250">
            <v>0</v>
          </cell>
          <cell r="U250">
            <v>0</v>
          </cell>
          <cell r="V250">
            <v>2.6681216666666665</v>
          </cell>
        </row>
        <row r="251">
          <cell r="E251" t="str">
            <v>KHFH67030</v>
          </cell>
          <cell r="F251">
            <v>1614.3914</v>
          </cell>
          <cell r="G251">
            <v>36.244700000000002</v>
          </cell>
          <cell r="H251">
            <v>0.20745333333333335</v>
          </cell>
          <cell r="I251">
            <v>0.25915333333333335</v>
          </cell>
          <cell r="J251">
            <v>9.7383333333333336E-2</v>
          </cell>
          <cell r="K251">
            <v>0.53974</v>
          </cell>
          <cell r="L251">
            <v>1.2655233333333333</v>
          </cell>
          <cell r="M251">
            <v>1.4630000000000001E-2</v>
          </cell>
          <cell r="N251">
            <v>0.12145166666666667</v>
          </cell>
          <cell r="O251">
            <v>8.4665000000000004E-2</v>
          </cell>
          <cell r="P251">
            <v>0.101145</v>
          </cell>
          <cell r="Q251">
            <v>0.5639900000000001</v>
          </cell>
          <cell r="R251">
            <v>2.1271550000000001</v>
          </cell>
          <cell r="S251">
            <v>4.5964999999999999E-2</v>
          </cell>
          <cell r="T251">
            <v>0</v>
          </cell>
          <cell r="U251">
            <v>0</v>
          </cell>
          <cell r="V251">
            <v>2.7371099999999999</v>
          </cell>
        </row>
        <row r="252">
          <cell r="E252" t="str">
            <v>KHFS67030</v>
          </cell>
          <cell r="F252">
            <v>1630.4218999999998</v>
          </cell>
          <cell r="G252">
            <v>36.046199999999999</v>
          </cell>
          <cell r="H252">
            <v>0.20714833333333335</v>
          </cell>
          <cell r="I252">
            <v>0.24034333333333333</v>
          </cell>
          <cell r="J252">
            <v>0.10106666666666667</v>
          </cell>
          <cell r="K252">
            <v>0.53841666666666665</v>
          </cell>
          <cell r="L252">
            <v>1.2803266666666666</v>
          </cell>
          <cell r="M252">
            <v>1.4630000000000001E-2</v>
          </cell>
          <cell r="N252">
            <v>0.12366833333333332</v>
          </cell>
          <cell r="O252">
            <v>8.7374999999999994E-2</v>
          </cell>
          <cell r="P252">
            <v>0.10326833333333334</v>
          </cell>
          <cell r="Q252">
            <v>0.54855833333333337</v>
          </cell>
          <cell r="R252">
            <v>2.1476850000000001</v>
          </cell>
          <cell r="S252">
            <v>4.2664999999999995E-2</v>
          </cell>
          <cell r="T252">
            <v>0</v>
          </cell>
          <cell r="U252">
            <v>0</v>
          </cell>
          <cell r="V252">
            <v>2.7389083333333333</v>
          </cell>
        </row>
        <row r="253">
          <cell r="E253" t="str">
            <v>KHFT67030</v>
          </cell>
          <cell r="F253">
            <v>1641.5356999999999</v>
          </cell>
          <cell r="G253">
            <v>36.046199999999999</v>
          </cell>
          <cell r="H253">
            <v>0.20684166666666667</v>
          </cell>
          <cell r="I253">
            <v>0.26032666666666665</v>
          </cell>
          <cell r="J253">
            <v>0.10753333333333333</v>
          </cell>
          <cell r="K253">
            <v>0.53743000000000007</v>
          </cell>
          <cell r="L253">
            <v>1.2276416666666667</v>
          </cell>
          <cell r="M253">
            <v>1.3585000000000002E-2</v>
          </cell>
          <cell r="N253">
            <v>0.11978333333333334</v>
          </cell>
          <cell r="O253">
            <v>8.2175000000000012E-2</v>
          </cell>
          <cell r="P253">
            <v>9.3294999999999989E-2</v>
          </cell>
          <cell r="Q253">
            <v>0.57470166666666667</v>
          </cell>
          <cell r="R253">
            <v>2.0739100000000001</v>
          </cell>
          <cell r="S253">
            <v>4.2664999999999995E-2</v>
          </cell>
          <cell r="T253">
            <v>0</v>
          </cell>
          <cell r="U253">
            <v>0</v>
          </cell>
          <cell r="V253">
            <v>2.6912766666666665</v>
          </cell>
        </row>
        <row r="254">
          <cell r="E254" t="str">
            <v>KHFV67030</v>
          </cell>
          <cell r="F254">
            <v>1686.8152999999998</v>
          </cell>
          <cell r="G254">
            <v>36.046199999999999</v>
          </cell>
          <cell r="H254">
            <v>0.21310666666666667</v>
          </cell>
          <cell r="I254">
            <v>0.27243499999999998</v>
          </cell>
          <cell r="J254">
            <v>0.10753333333333333</v>
          </cell>
          <cell r="K254">
            <v>0.55202333333333331</v>
          </cell>
          <cell r="L254">
            <v>1.2889533333333332</v>
          </cell>
          <cell r="M254">
            <v>1.4630000000000001E-2</v>
          </cell>
          <cell r="N254">
            <v>0.124585</v>
          </cell>
          <cell r="O254">
            <v>8.8191666666666668E-2</v>
          </cell>
          <cell r="P254">
            <v>0.10377333333333333</v>
          </cell>
          <cell r="Q254">
            <v>0.59307500000000002</v>
          </cell>
          <cell r="R254">
            <v>2.1721566666666665</v>
          </cell>
          <cell r="S254">
            <v>4.2664999999999995E-2</v>
          </cell>
          <cell r="T254">
            <v>0</v>
          </cell>
          <cell r="U254">
            <v>0</v>
          </cell>
          <cell r="V254">
            <v>2.8078966666666667</v>
          </cell>
        </row>
        <row r="255">
          <cell r="E255" t="str">
            <v>KHGD67030</v>
          </cell>
          <cell r="F255">
            <v>1790.9124999999999</v>
          </cell>
          <cell r="G255">
            <v>36.046199999999999</v>
          </cell>
          <cell r="H255">
            <v>0.22449</v>
          </cell>
          <cell r="I255">
            <v>0.31989333333333331</v>
          </cell>
          <cell r="J255">
            <v>0.10753333333333333</v>
          </cell>
          <cell r="K255">
            <v>0.58638333333333337</v>
          </cell>
          <cell r="L255">
            <v>1.2590216666666667</v>
          </cell>
          <cell r="M255">
            <v>1.4630000000000001E-2</v>
          </cell>
          <cell r="N255">
            <v>0.12378666666666667</v>
          </cell>
          <cell r="O255">
            <v>8.3909999999999998E-2</v>
          </cell>
          <cell r="P255">
            <v>9.632333333333333E-2</v>
          </cell>
          <cell r="Q255">
            <v>0.6519166666666667</v>
          </cell>
          <cell r="R255">
            <v>2.1640549999999998</v>
          </cell>
          <cell r="S255">
            <v>4.2664999999999995E-2</v>
          </cell>
          <cell r="T255">
            <v>0</v>
          </cell>
          <cell r="U255">
            <v>0</v>
          </cell>
          <cell r="V255">
            <v>2.8586366666666665</v>
          </cell>
        </row>
        <row r="256">
          <cell r="E256" t="str">
            <v>KHGE67030</v>
          </cell>
          <cell r="F256">
            <v>1836.1923999999999</v>
          </cell>
          <cell r="G256">
            <v>36.046199999999999</v>
          </cell>
          <cell r="H256">
            <v>0.23075499999999999</v>
          </cell>
          <cell r="I256">
            <v>0.33200166666666669</v>
          </cell>
          <cell r="J256">
            <v>0.10753333333333333</v>
          </cell>
          <cell r="K256">
            <v>0.6009766666666666</v>
          </cell>
          <cell r="L256">
            <v>1.3203333333333334</v>
          </cell>
          <cell r="M256">
            <v>1.5675000000000001E-2</v>
          </cell>
          <cell r="N256">
            <v>0.12858833333333333</v>
          </cell>
          <cell r="O256">
            <v>8.9928333333333332E-2</v>
          </cell>
          <cell r="P256">
            <v>0.10680166666666667</v>
          </cell>
          <cell r="Q256">
            <v>0.67029000000000005</v>
          </cell>
          <cell r="R256">
            <v>2.2623033333333336</v>
          </cell>
          <cell r="S256">
            <v>4.2664999999999995E-2</v>
          </cell>
          <cell r="T256">
            <v>0</v>
          </cell>
          <cell r="U256">
            <v>0</v>
          </cell>
          <cell r="V256">
            <v>2.9752583333333336</v>
          </cell>
        </row>
        <row r="257">
          <cell r="E257" t="str">
            <v>KHGF67030</v>
          </cell>
          <cell r="F257">
            <v>1829.7420999999999</v>
          </cell>
          <cell r="G257">
            <v>36.046199999999999</v>
          </cell>
          <cell r="H257">
            <v>0.22875166666666666</v>
          </cell>
          <cell r="I257">
            <v>0.32230999999999999</v>
          </cell>
          <cell r="J257">
            <v>0.12302166666666667</v>
          </cell>
          <cell r="K257">
            <v>0.59481666666666666</v>
          </cell>
          <cell r="L257">
            <v>1.2900133333333335</v>
          </cell>
          <cell r="M257">
            <v>1.4630000000000001E-2</v>
          </cell>
          <cell r="N257">
            <v>0.12693166666666666</v>
          </cell>
          <cell r="O257">
            <v>8.5436666666666661E-2</v>
          </cell>
          <cell r="P257">
            <v>0.101175</v>
          </cell>
          <cell r="Q257">
            <v>0.67408333333333337</v>
          </cell>
          <cell r="R257">
            <v>2.2130033333333334</v>
          </cell>
          <cell r="S257">
            <v>4.2664999999999995E-2</v>
          </cell>
          <cell r="T257">
            <v>0</v>
          </cell>
          <cell r="U257">
            <v>0</v>
          </cell>
          <cell r="V257">
            <v>2.9297516666666668</v>
          </cell>
        </row>
        <row r="258">
          <cell r="E258" t="str">
            <v>KHGG67030</v>
          </cell>
          <cell r="F258">
            <v>1875.0219999999999</v>
          </cell>
          <cell r="G258">
            <v>36.046199999999999</v>
          </cell>
          <cell r="H258">
            <v>0.23501666666666668</v>
          </cell>
          <cell r="I258">
            <v>0.33441833333333337</v>
          </cell>
          <cell r="J258">
            <v>0.12302166666666667</v>
          </cell>
          <cell r="K258">
            <v>0.60941000000000001</v>
          </cell>
          <cell r="L258">
            <v>1.3513266666666666</v>
          </cell>
          <cell r="M258">
            <v>1.5675000000000001E-2</v>
          </cell>
          <cell r="N258">
            <v>0.13173166666666666</v>
          </cell>
          <cell r="O258">
            <v>9.1451666666666667E-2</v>
          </cell>
          <cell r="P258">
            <v>0.11165333333333334</v>
          </cell>
          <cell r="Q258">
            <v>0.69245666666666672</v>
          </cell>
          <cell r="R258">
            <v>2.3112483333333333</v>
          </cell>
          <cell r="S258">
            <v>4.2664999999999995E-2</v>
          </cell>
          <cell r="T258">
            <v>0</v>
          </cell>
          <cell r="U258">
            <v>0</v>
          </cell>
          <cell r="V258">
            <v>3.04637</v>
          </cell>
        </row>
        <row r="259">
          <cell r="E259" t="str">
            <v>KHJE67030</v>
          </cell>
          <cell r="F259">
            <v>1444.2863</v>
          </cell>
          <cell r="G259">
            <v>36.046199999999999</v>
          </cell>
          <cell r="H259">
            <v>0.18817666666666666</v>
          </cell>
          <cell r="I259">
            <v>0.20338833333333334</v>
          </cell>
          <cell r="J259">
            <v>7.2251666666666658E-2</v>
          </cell>
          <cell r="K259">
            <v>0.49815666666666664</v>
          </cell>
          <cell r="L259">
            <v>1.1852683333333334</v>
          </cell>
          <cell r="M259">
            <v>1.3585000000000002E-2</v>
          </cell>
          <cell r="N259">
            <v>0.11416833333333334</v>
          </cell>
          <cell r="O259">
            <v>7.7344999999999997E-2</v>
          </cell>
          <cell r="P259">
            <v>9.0016666666666662E-2</v>
          </cell>
          <cell r="Q259">
            <v>0.46381666666666665</v>
          </cell>
          <cell r="R259">
            <v>1.97854</v>
          </cell>
          <cell r="S259">
            <v>2.5163333333333329E-2</v>
          </cell>
          <cell r="T259">
            <v>0</v>
          </cell>
          <cell r="U259">
            <v>0</v>
          </cell>
          <cell r="V259">
            <v>2.4675199999999999</v>
          </cell>
        </row>
        <row r="260">
          <cell r="E260" t="str">
            <v>KHJF67030</v>
          </cell>
          <cell r="F260">
            <v>1675.8562999999999</v>
          </cell>
          <cell r="G260">
            <v>36.046199999999999</v>
          </cell>
          <cell r="H260">
            <v>0.21162833333333333</v>
          </cell>
          <cell r="I260">
            <v>0.27638500000000005</v>
          </cell>
          <cell r="J260">
            <v>8.2421666666666657E-2</v>
          </cell>
          <cell r="K260">
            <v>0.55939166666666662</v>
          </cell>
          <cell r="L260">
            <v>1.2410466666666666</v>
          </cell>
          <cell r="M260">
            <v>1.4630000000000001E-2</v>
          </cell>
          <cell r="N260">
            <v>0.121305</v>
          </cell>
          <cell r="O260">
            <v>8.2608333333333339E-2</v>
          </cell>
          <cell r="P260">
            <v>9.5674999999999996E-2</v>
          </cell>
          <cell r="Q260">
            <v>0.57043500000000003</v>
          </cell>
          <cell r="R260">
            <v>2.1146566666666664</v>
          </cell>
          <cell r="S260">
            <v>2.5163333333333329E-2</v>
          </cell>
          <cell r="T260">
            <v>0</v>
          </cell>
          <cell r="U260">
            <v>0</v>
          </cell>
          <cell r="V260">
            <v>2.7102550000000001</v>
          </cell>
        </row>
        <row r="261">
          <cell r="E261" t="str">
            <v>KHVM67030</v>
          </cell>
          <cell r="F261">
            <v>1771.0842000000002</v>
          </cell>
          <cell r="G261">
            <v>36.046199999999999</v>
          </cell>
          <cell r="H261">
            <v>0.22184999999999999</v>
          </cell>
          <cell r="I261">
            <v>0.31089500000000003</v>
          </cell>
          <cell r="J261">
            <v>0.10437666666666666</v>
          </cell>
          <cell r="K261">
            <v>0.58143333333333336</v>
          </cell>
          <cell r="L261">
            <v>1.2806633333333333</v>
          </cell>
          <cell r="M261">
            <v>1.4630000000000001E-2</v>
          </cell>
          <cell r="N261">
            <v>0.125365</v>
          </cell>
          <cell r="O261">
            <v>8.4950000000000012E-2</v>
          </cell>
          <cell r="P261">
            <v>0.10102999999999999</v>
          </cell>
          <cell r="Q261">
            <v>0.6371216666666667</v>
          </cell>
          <cell r="R261">
            <v>2.1880716666666666</v>
          </cell>
          <cell r="S261">
            <v>2.5163333333333329E-2</v>
          </cell>
          <cell r="T261">
            <v>0</v>
          </cell>
          <cell r="U261">
            <v>0</v>
          </cell>
          <cell r="V261">
            <v>2.8503566666666669</v>
          </cell>
        </row>
        <row r="262">
          <cell r="E262" t="str">
            <v>KHVP67030</v>
          </cell>
          <cell r="F262">
            <v>1526.5442</v>
          </cell>
          <cell r="G262">
            <v>33.534100000000002</v>
          </cell>
          <cell r="H262">
            <v>0.19552666666666668</v>
          </cell>
          <cell r="I262">
            <v>0.26289166666666669</v>
          </cell>
          <cell r="J262">
            <v>6.8909999999999999E-2</v>
          </cell>
          <cell r="K262">
            <v>0.51483833333333329</v>
          </cell>
          <cell r="L262">
            <v>1.1788583333333333</v>
          </cell>
          <cell r="M262">
            <v>1.4630000000000001E-2</v>
          </cell>
          <cell r="N262">
            <v>0.11251499999999999</v>
          </cell>
          <cell r="O262">
            <v>7.5715000000000005E-2</v>
          </cell>
          <cell r="P262">
            <v>8.9151666666666671E-2</v>
          </cell>
          <cell r="Q262">
            <v>0.5273283333333334</v>
          </cell>
          <cell r="R262">
            <v>1.9857083333333332</v>
          </cell>
          <cell r="S262">
            <v>2.5163333333333329E-2</v>
          </cell>
          <cell r="T262">
            <v>0</v>
          </cell>
          <cell r="U262">
            <v>0</v>
          </cell>
          <cell r="V262">
            <v>2.5381999999999998</v>
          </cell>
        </row>
        <row r="263">
          <cell r="E263" t="str">
            <v>KHVS67030</v>
          </cell>
          <cell r="F263">
            <v>1573.5855000000001</v>
          </cell>
          <cell r="G263">
            <v>36.046199999999999</v>
          </cell>
          <cell r="H263">
            <v>0.20410166666666668</v>
          </cell>
          <cell r="I263">
            <v>0.26295333333333332</v>
          </cell>
          <cell r="J263">
            <v>7.2251666666666658E-2</v>
          </cell>
          <cell r="K263">
            <v>0.54124000000000005</v>
          </cell>
          <cell r="L263">
            <v>1.2114883333333333</v>
          </cell>
          <cell r="M263">
            <v>1.4630000000000001E-2</v>
          </cell>
          <cell r="N263">
            <v>0.117345</v>
          </cell>
          <cell r="O263">
            <v>7.8493333333333332E-2</v>
          </cell>
          <cell r="P263">
            <v>9.0673333333333342E-2</v>
          </cell>
          <cell r="Q263">
            <v>0.5393066666666666</v>
          </cell>
          <cell r="R263">
            <v>2.0538699999999999</v>
          </cell>
          <cell r="S263">
            <v>2.5163333333333329E-2</v>
          </cell>
          <cell r="T263">
            <v>0</v>
          </cell>
          <cell r="U263">
            <v>0</v>
          </cell>
          <cell r="V263">
            <v>2.6183399999999999</v>
          </cell>
        </row>
        <row r="264">
          <cell r="E264" t="str">
            <v>KJVF67030</v>
          </cell>
          <cell r="F264">
            <v>1560.7476999999999</v>
          </cell>
          <cell r="G264">
            <v>33.107799999999997</v>
          </cell>
          <cell r="H264">
            <v>0.20162333333333335</v>
          </cell>
          <cell r="I264">
            <v>0.24712666666666666</v>
          </cell>
          <cell r="J264">
            <v>5.7833333333333334E-2</v>
          </cell>
          <cell r="K264">
            <v>0.53003999999999996</v>
          </cell>
          <cell r="L264">
            <v>1.2158033333333333</v>
          </cell>
          <cell r="M264">
            <v>1.4630000000000001E-2</v>
          </cell>
          <cell r="N264">
            <v>0.11706833333333333</v>
          </cell>
          <cell r="O264">
            <v>7.7260000000000009E-2</v>
          </cell>
          <cell r="P264">
            <v>9.490333333333334E-2</v>
          </cell>
          <cell r="Q264">
            <v>0.50658333333333327</v>
          </cell>
          <cell r="R264">
            <v>2.0497049999999999</v>
          </cell>
          <cell r="S264">
            <v>2.5163333333333329E-2</v>
          </cell>
          <cell r="T264">
            <v>0</v>
          </cell>
          <cell r="U264">
            <v>0</v>
          </cell>
          <cell r="V264">
            <v>2.5814516666666667</v>
          </cell>
        </row>
        <row r="265">
          <cell r="E265" t="str">
            <v>KJVH67030</v>
          </cell>
          <cell r="F265">
            <v>1652.4342999999999</v>
          </cell>
          <cell r="G265">
            <v>33.107799999999997</v>
          </cell>
          <cell r="H265">
            <v>0.207535</v>
          </cell>
          <cell r="I265">
            <v>0.26074999999999998</v>
          </cell>
          <cell r="J265">
            <v>7.2098333333333334E-2</v>
          </cell>
          <cell r="K265">
            <v>0.54232333333333338</v>
          </cell>
          <cell r="L265">
            <v>1.2423550000000001</v>
          </cell>
          <cell r="M265">
            <v>1.4630000000000001E-2</v>
          </cell>
          <cell r="N265">
            <v>0.1202</v>
          </cell>
          <cell r="O265">
            <v>8.0783333333333346E-2</v>
          </cell>
          <cell r="P265">
            <v>9.7531666666666655E-2</v>
          </cell>
          <cell r="Q265">
            <v>0.54038333333333333</v>
          </cell>
          <cell r="R265">
            <v>2.0978233333333334</v>
          </cell>
          <cell r="S265">
            <v>2.5163333333333329E-2</v>
          </cell>
          <cell r="T265">
            <v>0</v>
          </cell>
          <cell r="U265">
            <v>0</v>
          </cell>
          <cell r="V265">
            <v>2.66337</v>
          </cell>
        </row>
        <row r="266">
          <cell r="E266" t="str">
            <v>KJVP67030</v>
          </cell>
          <cell r="F266">
            <v>1713.0646999999999</v>
          </cell>
          <cell r="G266">
            <v>33.107799999999997</v>
          </cell>
          <cell r="H266">
            <v>0.21350833333333333</v>
          </cell>
          <cell r="I266">
            <v>0.29314333333333331</v>
          </cell>
          <cell r="J266">
            <v>7.8564999999999996E-2</v>
          </cell>
          <cell r="K266">
            <v>0.5559316666666666</v>
          </cell>
          <cell r="L266">
            <v>1.2510133333333333</v>
          </cell>
          <cell r="M266">
            <v>1.4630000000000001E-2</v>
          </cell>
          <cell r="N266">
            <v>0.12111666666666668</v>
          </cell>
          <cell r="O266">
            <v>8.1599999999999992E-2</v>
          </cell>
          <cell r="P266">
            <v>9.8036666666666675E-2</v>
          </cell>
          <cell r="Q266">
            <v>0.58521666666666661</v>
          </cell>
          <cell r="R266">
            <v>2.1223283333333334</v>
          </cell>
          <cell r="S266">
            <v>2.5163333333333329E-2</v>
          </cell>
          <cell r="T266">
            <v>0</v>
          </cell>
          <cell r="U266">
            <v>0</v>
          </cell>
          <cell r="V266">
            <v>2.7327083333333335</v>
          </cell>
        </row>
        <row r="267">
          <cell r="E267" t="str">
            <v>KJVR67030</v>
          </cell>
          <cell r="F267">
            <v>1713.5445999999999</v>
          </cell>
          <cell r="G267">
            <v>33.107799999999997</v>
          </cell>
          <cell r="H267">
            <v>0.21347333333333335</v>
          </cell>
          <cell r="I267">
            <v>0.29314333333333331</v>
          </cell>
          <cell r="J267">
            <v>7.8564999999999996E-2</v>
          </cell>
          <cell r="K267">
            <v>0.5559316666666666</v>
          </cell>
          <cell r="L267">
            <v>1.250775</v>
          </cell>
          <cell r="M267">
            <v>1.4630000000000001E-2</v>
          </cell>
          <cell r="N267">
            <v>0.12111666666666668</v>
          </cell>
          <cell r="O267">
            <v>8.1599999999999992E-2</v>
          </cell>
          <cell r="P267">
            <v>9.8036666666666675E-2</v>
          </cell>
          <cell r="Q267">
            <v>0.58518166666666671</v>
          </cell>
          <cell r="R267">
            <v>2.12209</v>
          </cell>
          <cell r="S267">
            <v>2.5163333333333329E-2</v>
          </cell>
          <cell r="T267">
            <v>0</v>
          </cell>
          <cell r="U267">
            <v>0</v>
          </cell>
          <cell r="V267">
            <v>2.7324350000000002</v>
          </cell>
        </row>
        <row r="268">
          <cell r="E268" t="str">
            <v>KJWC67030</v>
          </cell>
          <cell r="F268">
            <v>1540.8590999999999</v>
          </cell>
          <cell r="G268">
            <v>33.107799999999997</v>
          </cell>
          <cell r="H268">
            <v>0.20024666666666666</v>
          </cell>
          <cell r="I268">
            <v>0.24712666666666666</v>
          </cell>
          <cell r="J268">
            <v>5.7833333333333334E-2</v>
          </cell>
          <cell r="K268">
            <v>0.52655666666666667</v>
          </cell>
          <cell r="L268">
            <v>1.2109699999999999</v>
          </cell>
          <cell r="M268">
            <v>1.4630000000000001E-2</v>
          </cell>
          <cell r="N268">
            <v>0.11624333333333332</v>
          </cell>
          <cell r="O268">
            <v>7.6719999999999997E-2</v>
          </cell>
          <cell r="P268">
            <v>9.2563333333333331E-2</v>
          </cell>
          <cell r="Q268">
            <v>0.50520666666666658</v>
          </cell>
          <cell r="R268">
            <v>2.0376833333333328</v>
          </cell>
          <cell r="S268">
            <v>2.5163333333333329E-2</v>
          </cell>
          <cell r="T268">
            <v>0</v>
          </cell>
          <cell r="U268">
            <v>0</v>
          </cell>
          <cell r="V268">
            <v>2.5680533333333329</v>
          </cell>
        </row>
        <row r="269">
          <cell r="E269" t="str">
            <v>KKLA67030</v>
          </cell>
          <cell r="F269">
            <v>1523.2946000000002</v>
          </cell>
          <cell r="G269">
            <v>30.978000000000002</v>
          </cell>
          <cell r="H269">
            <v>0.19336666666666666</v>
          </cell>
          <cell r="I269">
            <v>0.21681833333333334</v>
          </cell>
          <cell r="J269">
            <v>9.4851666666666654E-2</v>
          </cell>
          <cell r="K269">
            <v>0.50493999999999994</v>
          </cell>
          <cell r="L269">
            <v>1.2074516666666668</v>
          </cell>
          <cell r="M269">
            <v>1.3585000000000002E-2</v>
          </cell>
          <cell r="N269">
            <v>0.11730166666666667</v>
          </cell>
          <cell r="O269">
            <v>8.0873333333333339E-2</v>
          </cell>
          <cell r="P269">
            <v>9.2645000000000005E-2</v>
          </cell>
          <cell r="Q269">
            <v>0.50503666666666669</v>
          </cell>
          <cell r="R269">
            <v>2.0167966666666666</v>
          </cell>
          <cell r="S269">
            <v>2.5163333333333329E-2</v>
          </cell>
          <cell r="T269">
            <v>0</v>
          </cell>
          <cell r="U269">
            <v>0</v>
          </cell>
          <cell r="V269">
            <v>2.5469966666666668</v>
          </cell>
        </row>
        <row r="270">
          <cell r="E270" t="str">
            <v>KKLB67030</v>
          </cell>
          <cell r="F270">
            <v>1579.6880000000001</v>
          </cell>
          <cell r="G270">
            <v>30.978000000000002</v>
          </cell>
          <cell r="H270">
            <v>0.199325</v>
          </cell>
          <cell r="I270">
            <v>0.24891166666666667</v>
          </cell>
          <cell r="J270">
            <v>0.10131833333333334</v>
          </cell>
          <cell r="K270">
            <v>0.51854666666666671</v>
          </cell>
          <cell r="L270">
            <v>1.2160766666666667</v>
          </cell>
          <cell r="M270">
            <v>1.3585000000000002E-2</v>
          </cell>
          <cell r="N270">
            <v>0.11821666666666666</v>
          </cell>
          <cell r="O270">
            <v>8.1686666666666671E-2</v>
          </cell>
          <cell r="P270">
            <v>9.3150000000000011E-2</v>
          </cell>
          <cell r="Q270">
            <v>0.54955500000000002</v>
          </cell>
          <cell r="R270">
            <v>2.0412616666666668</v>
          </cell>
          <cell r="S270">
            <v>2.5163333333333329E-2</v>
          </cell>
          <cell r="T270">
            <v>0</v>
          </cell>
          <cell r="U270">
            <v>0</v>
          </cell>
          <cell r="V270">
            <v>2.6159800000000004</v>
          </cell>
        </row>
        <row r="271">
          <cell r="E271" t="str">
            <v>KKLD67030</v>
          </cell>
          <cell r="F271">
            <v>1729.0601999999999</v>
          </cell>
          <cell r="G271">
            <v>30.978000000000002</v>
          </cell>
          <cell r="H271">
            <v>0.21697333333333332</v>
          </cell>
          <cell r="I271">
            <v>0.30847833333333335</v>
          </cell>
          <cell r="J271">
            <v>0.10131833333333334</v>
          </cell>
          <cell r="K271">
            <v>0.5675</v>
          </cell>
          <cell r="L271">
            <v>1.2474583333333333</v>
          </cell>
          <cell r="M271">
            <v>1.4630000000000001E-2</v>
          </cell>
          <cell r="N271">
            <v>0.12222</v>
          </cell>
          <cell r="O271">
            <v>8.3423333333333335E-2</v>
          </cell>
          <cell r="P271">
            <v>9.6180000000000002E-2</v>
          </cell>
          <cell r="Q271">
            <v>0.62677000000000005</v>
          </cell>
          <cell r="R271">
            <v>2.1314116666666663</v>
          </cell>
          <cell r="S271">
            <v>2.5163333333333329E-2</v>
          </cell>
          <cell r="T271">
            <v>0</v>
          </cell>
          <cell r="U271">
            <v>0</v>
          </cell>
          <cell r="V271">
            <v>2.7833449999999997</v>
          </cell>
        </row>
        <row r="272">
          <cell r="E272" t="str">
            <v>KKTH67240</v>
          </cell>
          <cell r="F272">
            <v>21.587800000000001</v>
          </cell>
          <cell r="G272">
            <v>0</v>
          </cell>
          <cell r="H272">
            <v>1.2624999999999999E-2</v>
          </cell>
          <cell r="I272">
            <v>0</v>
          </cell>
          <cell r="J272">
            <v>0</v>
          </cell>
          <cell r="K272">
            <v>3.4031666666666668E-2</v>
          </cell>
          <cell r="L272">
            <v>0.14403833333333335</v>
          </cell>
          <cell r="M272">
            <v>1.0450000000000001E-3</v>
          </cell>
          <cell r="N272">
            <v>1.8095000000000003E-2</v>
          </cell>
          <cell r="O272">
            <v>8.6383333333333329E-3</v>
          </cell>
          <cell r="P272">
            <v>4.1200000000000004E-3</v>
          </cell>
          <cell r="Q272">
            <v>1.2624999999999999E-2</v>
          </cell>
          <cell r="R272">
            <v>0.20996833333333334</v>
          </cell>
          <cell r="S272">
            <v>0</v>
          </cell>
          <cell r="T272">
            <v>0</v>
          </cell>
          <cell r="U272">
            <v>0</v>
          </cell>
          <cell r="V272">
            <v>0.22259333333333334</v>
          </cell>
        </row>
        <row r="273">
          <cell r="E273" t="str">
            <v>KLAS67030</v>
          </cell>
          <cell r="F273">
            <v>964.71900000000005</v>
          </cell>
          <cell r="G273">
            <v>28.940300000000001</v>
          </cell>
          <cell r="H273">
            <v>0.14108000000000001</v>
          </cell>
          <cell r="I273">
            <v>0.16437333333333332</v>
          </cell>
          <cell r="J273">
            <v>1.4756666666666666E-2</v>
          </cell>
          <cell r="K273">
            <v>0.41879666666666665</v>
          </cell>
          <cell r="L273">
            <v>1.1201650000000001</v>
          </cell>
          <cell r="M273">
            <v>8.3600000000000011E-3</v>
          </cell>
          <cell r="N273">
            <v>9.0800000000000006E-2</v>
          </cell>
          <cell r="O273">
            <v>6.3738333333333327E-2</v>
          </cell>
          <cell r="P273">
            <v>9.4091666666666671E-2</v>
          </cell>
          <cell r="Q273">
            <v>0.32020999999999999</v>
          </cell>
          <cell r="R273">
            <v>1.7959516666666666</v>
          </cell>
          <cell r="S273">
            <v>0</v>
          </cell>
          <cell r="T273">
            <v>0</v>
          </cell>
          <cell r="U273">
            <v>0</v>
          </cell>
          <cell r="V273">
            <v>2.1161616666666667</v>
          </cell>
        </row>
        <row r="274">
          <cell r="E274" t="str">
            <v>KLBA67030</v>
          </cell>
          <cell r="F274">
            <v>1010.1691000000001</v>
          </cell>
          <cell r="G274">
            <v>28.940300000000001</v>
          </cell>
          <cell r="H274">
            <v>0.14716666666666667</v>
          </cell>
          <cell r="I274">
            <v>0.18387500000000001</v>
          </cell>
          <cell r="J274">
            <v>1.4756666666666666E-2</v>
          </cell>
          <cell r="K274">
            <v>0.43632500000000002</v>
          </cell>
          <cell r="L274">
            <v>1.1397033333333333</v>
          </cell>
          <cell r="M274">
            <v>8.3600000000000011E-3</v>
          </cell>
          <cell r="N274">
            <v>9.3196666666666664E-2</v>
          </cell>
          <cell r="O274">
            <v>6.4785000000000009E-2</v>
          </cell>
          <cell r="P274">
            <v>9.6553333333333324E-2</v>
          </cell>
          <cell r="Q274">
            <v>0.34579833333333332</v>
          </cell>
          <cell r="R274">
            <v>1.8389233333333332</v>
          </cell>
          <cell r="S274">
            <v>0</v>
          </cell>
          <cell r="T274">
            <v>0</v>
          </cell>
          <cell r="U274">
            <v>0</v>
          </cell>
          <cell r="V274">
            <v>2.1847216666666665</v>
          </cell>
        </row>
        <row r="275">
          <cell r="E275" t="str">
            <v>KLBC67240</v>
          </cell>
          <cell r="F275">
            <v>32.4634</v>
          </cell>
          <cell r="G275">
            <v>0</v>
          </cell>
          <cell r="H275">
            <v>1.4918333333333334E-2</v>
          </cell>
          <cell r="I275">
            <v>0</v>
          </cell>
          <cell r="J275">
            <v>0</v>
          </cell>
          <cell r="K275">
            <v>4.2220000000000001E-2</v>
          </cell>
          <cell r="L275">
            <v>0.15747666666666668</v>
          </cell>
          <cell r="M275">
            <v>1.0450000000000001E-3</v>
          </cell>
          <cell r="N275">
            <v>1.9610000000000002E-2</v>
          </cell>
          <cell r="O275">
            <v>9.5250000000000005E-3</v>
          </cell>
          <cell r="P275">
            <v>4.6333333333333339E-3</v>
          </cell>
          <cell r="Q275">
            <v>1.4918333333333334E-2</v>
          </cell>
          <cell r="R275">
            <v>0.23451</v>
          </cell>
          <cell r="S275">
            <v>0</v>
          </cell>
          <cell r="T275">
            <v>0</v>
          </cell>
          <cell r="U275">
            <v>0</v>
          </cell>
          <cell r="V275">
            <v>0.24942833333333334</v>
          </cell>
        </row>
        <row r="276">
          <cell r="E276" t="str">
            <v>KLBE67030</v>
          </cell>
          <cell r="F276">
            <v>949.24420000000009</v>
          </cell>
          <cell r="G276">
            <v>38.2637</v>
          </cell>
          <cell r="H276">
            <v>0.14615333333333333</v>
          </cell>
          <cell r="I276">
            <v>0.17269833333333334</v>
          </cell>
          <cell r="J276">
            <v>2.1440000000000001E-2</v>
          </cell>
          <cell r="K276">
            <v>0.43478166666666668</v>
          </cell>
          <cell r="L276">
            <v>1.1051049999999998</v>
          </cell>
          <cell r="M276">
            <v>8.3600000000000011E-3</v>
          </cell>
          <cell r="N276">
            <v>9.1963333333333341E-2</v>
          </cell>
          <cell r="O276">
            <v>6.3968333333333335E-2</v>
          </cell>
          <cell r="P276">
            <v>9.2136666666666672E-2</v>
          </cell>
          <cell r="Q276">
            <v>0.34029166666666666</v>
          </cell>
          <cell r="R276">
            <v>1.7963149999999999</v>
          </cell>
          <cell r="S276">
            <v>0</v>
          </cell>
          <cell r="T276">
            <v>0</v>
          </cell>
          <cell r="U276">
            <v>0</v>
          </cell>
          <cell r="V276">
            <v>2.1366066666666663</v>
          </cell>
        </row>
        <row r="277">
          <cell r="E277" t="str">
            <v>KLBG67030</v>
          </cell>
          <cell r="F277">
            <v>999.99790000000007</v>
          </cell>
          <cell r="G277">
            <v>38.2637</v>
          </cell>
          <cell r="H277">
            <v>0.15095833333333333</v>
          </cell>
          <cell r="I277">
            <v>0.17269833333333334</v>
          </cell>
          <cell r="J277">
            <v>2.1440000000000001E-2</v>
          </cell>
          <cell r="K277">
            <v>0.44523166666666664</v>
          </cell>
          <cell r="L277">
            <v>1.1412033333333333</v>
          </cell>
          <cell r="M277">
            <v>8.3600000000000011E-3</v>
          </cell>
          <cell r="N277">
            <v>9.3768333333333329E-2</v>
          </cell>
          <cell r="O277">
            <v>6.493666666666667E-2</v>
          </cell>
          <cell r="P277">
            <v>9.6743333333333334E-2</v>
          </cell>
          <cell r="Q277">
            <v>0.34509666666666672</v>
          </cell>
          <cell r="R277">
            <v>1.8502433333333332</v>
          </cell>
          <cell r="S277">
            <v>0</v>
          </cell>
          <cell r="T277">
            <v>0</v>
          </cell>
          <cell r="U277">
            <v>0</v>
          </cell>
          <cell r="V277">
            <v>2.1953399999999998</v>
          </cell>
        </row>
        <row r="278">
          <cell r="E278" t="str">
            <v>KLBK67030</v>
          </cell>
          <cell r="F278">
            <v>982.4701</v>
          </cell>
          <cell r="G278">
            <v>29.602799999999998</v>
          </cell>
          <cell r="H278">
            <v>0.14399333333333333</v>
          </cell>
          <cell r="I278">
            <v>0.17874500000000001</v>
          </cell>
          <cell r="J278">
            <v>1.7268333333333333E-2</v>
          </cell>
          <cell r="K278">
            <v>0.42630499999999999</v>
          </cell>
          <cell r="L278">
            <v>1.1270116666666667</v>
          </cell>
          <cell r="M278">
            <v>8.3600000000000011E-3</v>
          </cell>
          <cell r="N278">
            <v>9.0804999999999997E-2</v>
          </cell>
          <cell r="O278">
            <v>6.5941666666666662E-2</v>
          </cell>
          <cell r="P278">
            <v>9.3339999999999992E-2</v>
          </cell>
          <cell r="Q278">
            <v>0.34000666666666668</v>
          </cell>
          <cell r="R278">
            <v>1.8117633333333332</v>
          </cell>
          <cell r="S278">
            <v>0</v>
          </cell>
          <cell r="T278">
            <v>0</v>
          </cell>
          <cell r="U278">
            <v>0</v>
          </cell>
          <cell r="V278">
            <v>2.15177</v>
          </cell>
        </row>
        <row r="279">
          <cell r="E279" t="str">
            <v>KLBK67240</v>
          </cell>
          <cell r="F279">
            <v>18.9358</v>
          </cell>
          <cell r="G279">
            <v>0</v>
          </cell>
          <cell r="H279">
            <v>1.2095E-2</v>
          </cell>
          <cell r="I279">
            <v>0</v>
          </cell>
          <cell r="J279">
            <v>0</v>
          </cell>
          <cell r="K279">
            <v>3.3845E-2</v>
          </cell>
          <cell r="L279">
            <v>0.11545166666666667</v>
          </cell>
          <cell r="M279">
            <v>1.0450000000000001E-3</v>
          </cell>
          <cell r="N279">
            <v>1.8086666666666664E-2</v>
          </cell>
          <cell r="O279">
            <v>8.4333333333333326E-3</v>
          </cell>
          <cell r="P279">
            <v>3.9783333333333329E-3</v>
          </cell>
          <cell r="Q279">
            <v>1.2095E-2</v>
          </cell>
          <cell r="R279">
            <v>0.18084</v>
          </cell>
          <cell r="S279">
            <v>0</v>
          </cell>
          <cell r="T279">
            <v>0</v>
          </cell>
          <cell r="U279">
            <v>0</v>
          </cell>
          <cell r="V279">
            <v>0.192935</v>
          </cell>
        </row>
        <row r="280">
          <cell r="E280" t="str">
            <v>KLBM67030</v>
          </cell>
          <cell r="F280">
            <v>1037.5927999999999</v>
          </cell>
          <cell r="G280">
            <v>29.602799999999998</v>
          </cell>
          <cell r="H280">
            <v>0.14743166666666668</v>
          </cell>
          <cell r="I280">
            <v>0.18495500000000001</v>
          </cell>
          <cell r="J280">
            <v>2.551833333333333E-2</v>
          </cell>
          <cell r="K280">
            <v>0.43272166666666667</v>
          </cell>
          <cell r="L280">
            <v>1.1402700000000001</v>
          </cell>
          <cell r="M280">
            <v>8.3600000000000011E-3</v>
          </cell>
          <cell r="N280">
            <v>9.1789999999999997E-2</v>
          </cell>
          <cell r="O280">
            <v>6.6496666666666662E-2</v>
          </cell>
          <cell r="P280">
            <v>9.5689999999999997E-2</v>
          </cell>
          <cell r="Q280">
            <v>0.35790500000000003</v>
          </cell>
          <cell r="R280">
            <v>1.8353283333333335</v>
          </cell>
          <cell r="S280">
            <v>0</v>
          </cell>
          <cell r="T280">
            <v>0</v>
          </cell>
          <cell r="U280">
            <v>0</v>
          </cell>
          <cell r="V280">
            <v>2.1932333333333336</v>
          </cell>
        </row>
        <row r="281">
          <cell r="E281" t="str">
            <v>KLBM67240</v>
          </cell>
          <cell r="F281">
            <v>28.046500000000002</v>
          </cell>
          <cell r="G281">
            <v>0</v>
          </cell>
          <cell r="H281">
            <v>1.3916666666666666E-2</v>
          </cell>
          <cell r="I281">
            <v>0</v>
          </cell>
          <cell r="J281">
            <v>0</v>
          </cell>
          <cell r="K281">
            <v>3.9070000000000001E-2</v>
          </cell>
          <cell r="L281">
            <v>0.14339499999999999</v>
          </cell>
          <cell r="M281">
            <v>1.0450000000000001E-3</v>
          </cell>
          <cell r="N281">
            <v>1.960333333333333E-2</v>
          </cell>
          <cell r="O281">
            <v>9.3699999999999999E-3</v>
          </cell>
          <cell r="P281">
            <v>4.5266666666666667E-3</v>
          </cell>
          <cell r="Q281">
            <v>1.3916666666666666E-2</v>
          </cell>
          <cell r="R281">
            <v>0.21700999999999998</v>
          </cell>
          <cell r="S281">
            <v>0</v>
          </cell>
          <cell r="T281">
            <v>0</v>
          </cell>
          <cell r="U281">
            <v>0</v>
          </cell>
          <cell r="V281">
            <v>0.23092666666666664</v>
          </cell>
        </row>
        <row r="282">
          <cell r="E282" t="str">
            <v>KLBP67030</v>
          </cell>
          <cell r="F282">
            <v>1098.5068999999999</v>
          </cell>
          <cell r="G282">
            <v>31.4253</v>
          </cell>
          <cell r="H282">
            <v>0.15512666666666669</v>
          </cell>
          <cell r="I282">
            <v>0.18495500000000001</v>
          </cell>
          <cell r="J282">
            <v>2.551833333333333E-2</v>
          </cell>
          <cell r="K282">
            <v>0.45250166666666664</v>
          </cell>
          <cell r="L282">
            <v>1.1923133333333333</v>
          </cell>
          <cell r="M282">
            <v>8.3600000000000011E-3</v>
          </cell>
          <cell r="N282">
            <v>9.4634999999999997E-2</v>
          </cell>
          <cell r="O282">
            <v>6.8088333333333334E-2</v>
          </cell>
          <cell r="P282">
            <v>0.10072833333333334</v>
          </cell>
          <cell r="Q282">
            <v>0.36560000000000004</v>
          </cell>
          <cell r="R282">
            <v>1.9166266666666665</v>
          </cell>
          <cell r="S282">
            <v>0</v>
          </cell>
          <cell r="T282">
            <v>0</v>
          </cell>
          <cell r="U282">
            <v>0</v>
          </cell>
          <cell r="V282">
            <v>2.2822266666666664</v>
          </cell>
        </row>
        <row r="283">
          <cell r="E283" t="str">
            <v>KLBS67030</v>
          </cell>
          <cell r="F283">
            <v>1118.3789999999999</v>
          </cell>
          <cell r="G283">
            <v>31.4253</v>
          </cell>
          <cell r="H283">
            <v>0.15881333333333333</v>
          </cell>
          <cell r="I283">
            <v>0.20123666666666665</v>
          </cell>
          <cell r="J283">
            <v>2.551833333333333E-2</v>
          </cell>
          <cell r="K283">
            <v>0.46350166666666665</v>
          </cell>
          <cell r="L283">
            <v>1.1950966666666667</v>
          </cell>
          <cell r="M283">
            <v>8.3600000000000011E-3</v>
          </cell>
          <cell r="N283">
            <v>9.4875000000000001E-2</v>
          </cell>
          <cell r="O283">
            <v>6.8088333333333334E-2</v>
          </cell>
          <cell r="P283">
            <v>0.10072833333333334</v>
          </cell>
          <cell r="Q283">
            <v>0.38556833333333329</v>
          </cell>
          <cell r="R283">
            <v>1.93065</v>
          </cell>
          <cell r="S283">
            <v>0</v>
          </cell>
          <cell r="T283">
            <v>0</v>
          </cell>
          <cell r="U283">
            <v>0</v>
          </cell>
          <cell r="V283">
            <v>2.3162183333333335</v>
          </cell>
        </row>
        <row r="284">
          <cell r="E284" t="str">
            <v>KLCW67030</v>
          </cell>
          <cell r="F284">
            <v>988.44869999999992</v>
          </cell>
          <cell r="G284">
            <v>28.982099999999999</v>
          </cell>
          <cell r="H284">
            <v>0.14626833333333333</v>
          </cell>
          <cell r="I284">
            <v>0.18487333333333333</v>
          </cell>
          <cell r="J284">
            <v>1.4756666666666666E-2</v>
          </cell>
          <cell r="K284">
            <v>0.43606666666666671</v>
          </cell>
          <cell r="L284">
            <v>1.1305316666666667</v>
          </cell>
          <cell r="M284">
            <v>8.3600000000000011E-3</v>
          </cell>
          <cell r="N284">
            <v>9.239E-2</v>
          </cell>
          <cell r="O284">
            <v>6.457333333333333E-2</v>
          </cell>
          <cell r="P284">
            <v>9.4519999999999993E-2</v>
          </cell>
          <cell r="Q284">
            <v>0.34589833333333331</v>
          </cell>
          <cell r="R284">
            <v>1.8264416666666665</v>
          </cell>
          <cell r="S284">
            <v>0</v>
          </cell>
          <cell r="T284">
            <v>0</v>
          </cell>
          <cell r="U284">
            <v>0</v>
          </cell>
          <cell r="V284">
            <v>2.1723399999999997</v>
          </cell>
        </row>
        <row r="285">
          <cell r="E285" t="str">
            <v>KLEE67030</v>
          </cell>
          <cell r="F285">
            <v>1036.7792999999999</v>
          </cell>
          <cell r="G285">
            <v>28.940300000000001</v>
          </cell>
          <cell r="H285">
            <v>0.15154500000000001</v>
          </cell>
          <cell r="I285">
            <v>0.19016333333333335</v>
          </cell>
          <cell r="J285">
            <v>1.4756666666666666E-2</v>
          </cell>
          <cell r="K285">
            <v>0.44911333333333331</v>
          </cell>
          <cell r="L285">
            <v>1.1454483333333334</v>
          </cell>
          <cell r="M285">
            <v>8.3600000000000011E-3</v>
          </cell>
          <cell r="N285">
            <v>9.3676666666666658E-2</v>
          </cell>
          <cell r="O285">
            <v>6.4785000000000009E-2</v>
          </cell>
          <cell r="P285">
            <v>9.6553333333333324E-2</v>
          </cell>
          <cell r="Q285">
            <v>0.35646500000000003</v>
          </cell>
          <cell r="R285">
            <v>1.8579366666666666</v>
          </cell>
          <cell r="S285">
            <v>0</v>
          </cell>
          <cell r="T285">
            <v>0</v>
          </cell>
          <cell r="U285">
            <v>0</v>
          </cell>
          <cell r="V285">
            <v>2.2144016666666664</v>
          </cell>
        </row>
        <row r="286">
          <cell r="E286" t="str">
            <v>KLEJ67030</v>
          </cell>
          <cell r="F286">
            <v>831.63760000000002</v>
          </cell>
          <cell r="G286">
            <v>26.990300000000001</v>
          </cell>
          <cell r="H286">
            <v>0.126385</v>
          </cell>
          <cell r="I286">
            <v>0.15106333333333336</v>
          </cell>
          <cell r="J286">
            <v>1.0585000000000001E-2</v>
          </cell>
          <cell r="K286">
            <v>0.38361666666666666</v>
          </cell>
          <cell r="L286">
            <v>1.0096866666666666</v>
          </cell>
          <cell r="M286">
            <v>8.3600000000000011E-3</v>
          </cell>
          <cell r="N286">
            <v>8.4078333333333324E-2</v>
          </cell>
          <cell r="O286">
            <v>6.0361666666666668E-2</v>
          </cell>
          <cell r="P286">
            <v>8.4061666666666673E-2</v>
          </cell>
          <cell r="Q286">
            <v>0.28803333333333336</v>
          </cell>
          <cell r="R286">
            <v>1.6301649999999999</v>
          </cell>
          <cell r="S286">
            <v>0</v>
          </cell>
          <cell r="T286">
            <v>0</v>
          </cell>
          <cell r="U286">
            <v>0</v>
          </cell>
          <cell r="V286">
            <v>1.9181983333333332</v>
          </cell>
        </row>
        <row r="287">
          <cell r="E287" t="str">
            <v>KLFL67030</v>
          </cell>
          <cell r="F287">
            <v>1608.4394000000002</v>
          </cell>
          <cell r="G287">
            <v>36.046199999999999</v>
          </cell>
          <cell r="H287">
            <v>0.20772666666666667</v>
          </cell>
          <cell r="I287">
            <v>0.26295333333333332</v>
          </cell>
          <cell r="J287">
            <v>7.2251666666666658E-2</v>
          </cell>
          <cell r="K287">
            <v>0.55233333333333334</v>
          </cell>
          <cell r="L287">
            <v>1.2183250000000001</v>
          </cell>
          <cell r="M287">
            <v>1.4630000000000001E-2</v>
          </cell>
          <cell r="N287">
            <v>0.11841166666666667</v>
          </cell>
          <cell r="O287">
            <v>7.445333333333333E-2</v>
          </cell>
          <cell r="P287">
            <v>9.3039999999999998E-2</v>
          </cell>
          <cell r="Q287">
            <v>0.54293166666666659</v>
          </cell>
          <cell r="R287">
            <v>2.071193333333333</v>
          </cell>
          <cell r="S287">
            <v>2.5163333333333329E-2</v>
          </cell>
          <cell r="T287">
            <v>0</v>
          </cell>
          <cell r="U287">
            <v>0</v>
          </cell>
          <cell r="V287">
            <v>2.639288333333333</v>
          </cell>
        </row>
        <row r="288">
          <cell r="E288" t="str">
            <v>KLFN67030</v>
          </cell>
          <cell r="F288">
            <v>1690.6309999999999</v>
          </cell>
          <cell r="G288">
            <v>36.046199999999999</v>
          </cell>
          <cell r="H288">
            <v>0.21353</v>
          </cell>
          <cell r="I288">
            <v>0.27638500000000005</v>
          </cell>
          <cell r="J288">
            <v>8.2421666666666657E-2</v>
          </cell>
          <cell r="K288">
            <v>0.56461666666666666</v>
          </cell>
          <cell r="L288">
            <v>1.2427233333333334</v>
          </cell>
          <cell r="M288">
            <v>1.4630000000000001E-2</v>
          </cell>
          <cell r="N288">
            <v>0.12154333333333334</v>
          </cell>
          <cell r="O288">
            <v>7.797833333333333E-2</v>
          </cell>
          <cell r="P288">
            <v>9.5668333333333327E-2</v>
          </cell>
          <cell r="Q288">
            <v>0.57233666666666672</v>
          </cell>
          <cell r="R288">
            <v>2.1171599999999997</v>
          </cell>
          <cell r="S288">
            <v>2.5163333333333329E-2</v>
          </cell>
          <cell r="T288">
            <v>0</v>
          </cell>
          <cell r="U288">
            <v>0</v>
          </cell>
          <cell r="V288">
            <v>2.7146599999999999</v>
          </cell>
        </row>
        <row r="289">
          <cell r="E289" t="str">
            <v>KLFT67030</v>
          </cell>
          <cell r="F289">
            <v>1747.0244000000002</v>
          </cell>
          <cell r="G289">
            <v>36.046199999999999</v>
          </cell>
          <cell r="H289">
            <v>0.21948999999999999</v>
          </cell>
          <cell r="I289">
            <v>0.30847833333333335</v>
          </cell>
          <cell r="J289">
            <v>8.8888333333333333E-2</v>
          </cell>
          <cell r="K289">
            <v>0.57822499999999999</v>
          </cell>
          <cell r="L289">
            <v>1.25135</v>
          </cell>
          <cell r="M289">
            <v>1.4630000000000001E-2</v>
          </cell>
          <cell r="N289">
            <v>0.12246</v>
          </cell>
          <cell r="O289">
            <v>7.879499999999999E-2</v>
          </cell>
          <cell r="P289">
            <v>9.6173333333333347E-2</v>
          </cell>
          <cell r="Q289">
            <v>0.61685666666666672</v>
          </cell>
          <cell r="R289">
            <v>2.1416333333333331</v>
          </cell>
          <cell r="S289">
            <v>2.5163333333333329E-2</v>
          </cell>
          <cell r="T289">
            <v>0</v>
          </cell>
          <cell r="U289">
            <v>0</v>
          </cell>
          <cell r="V289">
            <v>2.7836533333333331</v>
          </cell>
        </row>
        <row r="290">
          <cell r="E290" t="str">
            <v>KLFW67030</v>
          </cell>
          <cell r="F290">
            <v>1779.3321000000001</v>
          </cell>
          <cell r="G290">
            <v>36.046199999999999</v>
          </cell>
          <cell r="H290">
            <v>0.22258999999999998</v>
          </cell>
          <cell r="I290">
            <v>0.31089500000000003</v>
          </cell>
          <cell r="J290">
            <v>0.10437666666666666</v>
          </cell>
          <cell r="K290">
            <v>0.58326666666666671</v>
          </cell>
          <cell r="L290">
            <v>1.2796166666666666</v>
          </cell>
          <cell r="M290">
            <v>1.4630000000000001E-2</v>
          </cell>
          <cell r="N290">
            <v>0.12478666666666666</v>
          </cell>
          <cell r="O290">
            <v>7.9966666666666672E-2</v>
          </cell>
          <cell r="P290">
            <v>0.100825</v>
          </cell>
          <cell r="Q290">
            <v>0.63786166666666666</v>
          </cell>
          <cell r="R290">
            <v>2.1830916666666664</v>
          </cell>
          <cell r="S290">
            <v>2.5163333333333329E-2</v>
          </cell>
          <cell r="T290">
            <v>0</v>
          </cell>
          <cell r="U290">
            <v>0</v>
          </cell>
          <cell r="V290">
            <v>2.8461166666666666</v>
          </cell>
        </row>
        <row r="291">
          <cell r="E291" t="str">
            <v>KLJM67030</v>
          </cell>
          <cell r="F291">
            <v>1746.5001000000002</v>
          </cell>
          <cell r="G291">
            <v>36.046199999999999</v>
          </cell>
          <cell r="H291">
            <v>0.21890333333333334</v>
          </cell>
          <cell r="I291">
            <v>0.31371166666666667</v>
          </cell>
          <cell r="J291">
            <v>8.8888333333333333E-2</v>
          </cell>
          <cell r="K291">
            <v>0.57648333333333335</v>
          </cell>
          <cell r="L291">
            <v>1.2508950000000001</v>
          </cell>
          <cell r="M291">
            <v>1.4630000000000001E-2</v>
          </cell>
          <cell r="N291">
            <v>0.12230000000000001</v>
          </cell>
          <cell r="O291">
            <v>8.3423333333333335E-2</v>
          </cell>
          <cell r="P291">
            <v>9.6180000000000002E-2</v>
          </cell>
          <cell r="Q291">
            <v>0.62150333333333341</v>
          </cell>
          <cell r="R291">
            <v>2.1439116666666664</v>
          </cell>
          <cell r="S291">
            <v>2.5163333333333329E-2</v>
          </cell>
          <cell r="T291">
            <v>0</v>
          </cell>
          <cell r="U291">
            <v>0</v>
          </cell>
          <cell r="V291">
            <v>2.7905783333333334</v>
          </cell>
        </row>
        <row r="292">
          <cell r="E292" t="str">
            <v>KLJP67030</v>
          </cell>
          <cell r="F292">
            <v>1785.3346000000001</v>
          </cell>
          <cell r="G292">
            <v>36.046199999999999</v>
          </cell>
          <cell r="H292">
            <v>0.223165</v>
          </cell>
          <cell r="I292">
            <v>0.31612833333333334</v>
          </cell>
          <cell r="J292">
            <v>0.10437666666666666</v>
          </cell>
          <cell r="K292">
            <v>0.58491666666666664</v>
          </cell>
          <cell r="L292">
            <v>1.2818849999999999</v>
          </cell>
          <cell r="M292">
            <v>1.4630000000000001E-2</v>
          </cell>
          <cell r="N292">
            <v>0.125445</v>
          </cell>
          <cell r="O292">
            <v>8.4950000000000012E-2</v>
          </cell>
          <cell r="P292">
            <v>0.10102999999999999</v>
          </cell>
          <cell r="Q292">
            <v>0.64367000000000008</v>
          </cell>
          <cell r="R292">
            <v>2.1928566666666667</v>
          </cell>
          <cell r="S292">
            <v>2.5163333333333329E-2</v>
          </cell>
          <cell r="T292">
            <v>0</v>
          </cell>
          <cell r="U292">
            <v>0</v>
          </cell>
          <cell r="V292">
            <v>2.8616900000000003</v>
          </cell>
        </row>
        <row r="293">
          <cell r="E293" t="str">
            <v>KMRM67030</v>
          </cell>
          <cell r="F293">
            <v>905.99720000000002</v>
          </cell>
          <cell r="G293">
            <v>28.982099999999999</v>
          </cell>
          <cell r="H293">
            <v>0.13603833333333334</v>
          </cell>
          <cell r="I293">
            <v>0.16200000000000001</v>
          </cell>
          <cell r="J293">
            <v>1.4756666666666666E-2</v>
          </cell>
          <cell r="K293">
            <v>0.4111333333333333</v>
          </cell>
          <cell r="L293">
            <v>1.0504933333333333</v>
          </cell>
          <cell r="M293">
            <v>8.3600000000000011E-3</v>
          </cell>
          <cell r="N293">
            <v>8.7691666666666668E-2</v>
          </cell>
          <cell r="O293">
            <v>6.2373333333333329E-2</v>
          </cell>
          <cell r="P293">
            <v>8.7273333333333328E-2</v>
          </cell>
          <cell r="Q293">
            <v>0.31279499999999999</v>
          </cell>
          <cell r="R293">
            <v>1.707325</v>
          </cell>
          <cell r="S293">
            <v>0</v>
          </cell>
          <cell r="T293">
            <v>0</v>
          </cell>
          <cell r="U293">
            <v>0</v>
          </cell>
          <cell r="V293">
            <v>2.0201199999999999</v>
          </cell>
        </row>
        <row r="294">
          <cell r="E294" t="str">
            <v>KMRP67030</v>
          </cell>
          <cell r="F294">
            <v>1017.7048</v>
          </cell>
          <cell r="G294">
            <v>38.2637</v>
          </cell>
          <cell r="H294">
            <v>0.15458666666666668</v>
          </cell>
          <cell r="I294">
            <v>0.18849833333333335</v>
          </cell>
          <cell r="J294">
            <v>2.1440000000000001E-2</v>
          </cell>
          <cell r="K294">
            <v>0.45623166666666665</v>
          </cell>
          <cell r="L294">
            <v>1.1437866666666667</v>
          </cell>
          <cell r="M294">
            <v>8.3600000000000011E-3</v>
          </cell>
          <cell r="N294">
            <v>9.4008333333333333E-2</v>
          </cell>
          <cell r="O294">
            <v>6.493666666666667E-2</v>
          </cell>
          <cell r="P294">
            <v>9.6743333333333334E-2</v>
          </cell>
          <cell r="Q294">
            <v>0.36452500000000004</v>
          </cell>
          <cell r="R294">
            <v>1.8640666666666665</v>
          </cell>
          <cell r="S294">
            <v>0</v>
          </cell>
          <cell r="T294">
            <v>0</v>
          </cell>
          <cell r="U294">
            <v>0</v>
          </cell>
          <cell r="V294">
            <v>2.2285916666666665</v>
          </cell>
        </row>
        <row r="295">
          <cell r="E295" t="str">
            <v>KMRR67030</v>
          </cell>
          <cell r="F295">
            <v>916.38470000000007</v>
          </cell>
          <cell r="G295">
            <v>36.230200000000004</v>
          </cell>
          <cell r="H295">
            <v>0.14424999999999999</v>
          </cell>
          <cell r="I295">
            <v>0.17275166666666666</v>
          </cell>
          <cell r="J295">
            <v>1.7268333333333333E-2</v>
          </cell>
          <cell r="K295">
            <v>0.43182333333333334</v>
          </cell>
          <cell r="L295">
            <v>1.0803883333333333</v>
          </cell>
          <cell r="M295">
            <v>8.3600000000000011E-3</v>
          </cell>
          <cell r="N295">
            <v>9.0418333333333323E-2</v>
          </cell>
          <cell r="O295">
            <v>6.2788333333333335E-2</v>
          </cell>
          <cell r="P295">
            <v>8.935333333333334E-2</v>
          </cell>
          <cell r="Q295">
            <v>0.33426999999999996</v>
          </cell>
          <cell r="R295">
            <v>1.7631316666666663</v>
          </cell>
          <cell r="S295">
            <v>0</v>
          </cell>
          <cell r="T295">
            <v>0</v>
          </cell>
          <cell r="U295">
            <v>0</v>
          </cell>
          <cell r="V295">
            <v>2.0974016666666664</v>
          </cell>
        </row>
        <row r="296">
          <cell r="E296" t="str">
            <v>KMRS67030</v>
          </cell>
          <cell r="F296">
            <v>967.77809999999999</v>
          </cell>
          <cell r="G296">
            <v>36.230200000000004</v>
          </cell>
          <cell r="H296">
            <v>0.147675</v>
          </cell>
          <cell r="I296">
            <v>0.17898833333333333</v>
          </cell>
          <cell r="J296">
            <v>2.1440000000000001E-2</v>
          </cell>
          <cell r="K296">
            <v>0.43824000000000002</v>
          </cell>
          <cell r="L296">
            <v>1.0920266666666667</v>
          </cell>
          <cell r="M296">
            <v>8.3600000000000011E-3</v>
          </cell>
          <cell r="N296">
            <v>9.1403333333333336E-2</v>
          </cell>
          <cell r="O296">
            <v>6.3343333333333335E-2</v>
          </cell>
          <cell r="P296">
            <v>9.1703333333333331E-2</v>
          </cell>
          <cell r="Q296">
            <v>0.34810333333333332</v>
          </cell>
          <cell r="R296">
            <v>1.7850766666666664</v>
          </cell>
          <cell r="S296">
            <v>0</v>
          </cell>
          <cell r="T296">
            <v>0</v>
          </cell>
          <cell r="U296">
            <v>0</v>
          </cell>
          <cell r="V296">
            <v>2.1331799999999999</v>
          </cell>
        </row>
        <row r="297">
          <cell r="E297" t="str">
            <v>KMRT67030</v>
          </cell>
          <cell r="F297">
            <v>1026.6048000000001</v>
          </cell>
          <cell r="G297">
            <v>38.222000000000001</v>
          </cell>
          <cell r="H297">
            <v>0.15533666666666665</v>
          </cell>
          <cell r="I297">
            <v>0.17898833333333333</v>
          </cell>
          <cell r="J297">
            <v>2.1440000000000001E-2</v>
          </cell>
          <cell r="K297">
            <v>0.45802000000000004</v>
          </cell>
          <cell r="L297">
            <v>1.1469366666666665</v>
          </cell>
          <cell r="M297">
            <v>8.3600000000000011E-3</v>
          </cell>
          <cell r="N297">
            <v>9.4248333333333323E-2</v>
          </cell>
          <cell r="O297">
            <v>6.493666666666667E-2</v>
          </cell>
          <cell r="P297">
            <v>9.6743333333333334E-2</v>
          </cell>
          <cell r="Q297">
            <v>0.355765</v>
          </cell>
          <cell r="R297">
            <v>1.8692449999999998</v>
          </cell>
          <cell r="S297">
            <v>0</v>
          </cell>
          <cell r="T297">
            <v>0</v>
          </cell>
          <cell r="U297">
            <v>0</v>
          </cell>
          <cell r="V297">
            <v>2.2250099999999997</v>
          </cell>
        </row>
        <row r="298">
          <cell r="E298" t="str">
            <v>KMSA67030</v>
          </cell>
          <cell r="F298">
            <v>1044.3117</v>
          </cell>
          <cell r="G298">
            <v>38.222000000000001</v>
          </cell>
          <cell r="H298">
            <v>0.15896333333333335</v>
          </cell>
          <cell r="I298">
            <v>0.19478833333333334</v>
          </cell>
          <cell r="J298">
            <v>2.1440000000000001E-2</v>
          </cell>
          <cell r="K298">
            <v>0.46902000000000005</v>
          </cell>
          <cell r="L298">
            <v>1.1495199999999999</v>
          </cell>
          <cell r="M298">
            <v>8.3600000000000011E-3</v>
          </cell>
          <cell r="N298">
            <v>9.4488333333333327E-2</v>
          </cell>
          <cell r="O298">
            <v>6.493666666666667E-2</v>
          </cell>
          <cell r="P298">
            <v>9.6743333333333334E-2</v>
          </cell>
          <cell r="Q298">
            <v>0.3751916666666667</v>
          </cell>
          <cell r="R298">
            <v>1.8830683333333331</v>
          </cell>
          <cell r="S298">
            <v>0</v>
          </cell>
          <cell r="T298">
            <v>0</v>
          </cell>
          <cell r="U298">
            <v>0</v>
          </cell>
          <cell r="V298">
            <v>2.2582599999999999</v>
          </cell>
        </row>
        <row r="299">
          <cell r="E299" t="str">
            <v>KMSB67030</v>
          </cell>
          <cell r="F299">
            <v>975.85110000000009</v>
          </cell>
          <cell r="G299">
            <v>38.222000000000001</v>
          </cell>
          <cell r="H299">
            <v>0.15053166666666667</v>
          </cell>
          <cell r="I299">
            <v>0.17898833333333333</v>
          </cell>
          <cell r="J299">
            <v>2.1440000000000001E-2</v>
          </cell>
          <cell r="K299">
            <v>0.44756999999999997</v>
          </cell>
          <cell r="L299">
            <v>1.1108366666666667</v>
          </cell>
          <cell r="M299">
            <v>8.3600000000000011E-3</v>
          </cell>
          <cell r="N299">
            <v>9.2443333333333336E-2</v>
          </cell>
          <cell r="O299">
            <v>6.3968333333333335E-2</v>
          </cell>
          <cell r="P299">
            <v>9.2136666666666672E-2</v>
          </cell>
          <cell r="Q299">
            <v>0.35096000000000005</v>
          </cell>
          <cell r="R299">
            <v>1.8153150000000002</v>
          </cell>
          <cell r="S299">
            <v>0</v>
          </cell>
          <cell r="T299">
            <v>0</v>
          </cell>
          <cell r="U299">
            <v>0</v>
          </cell>
          <cell r="V299">
            <v>2.1662750000000002</v>
          </cell>
        </row>
        <row r="300">
          <cell r="E300" t="str">
            <v>KMTA67030</v>
          </cell>
          <cell r="F300">
            <v>1045.1069</v>
          </cell>
          <cell r="G300">
            <v>31.4253</v>
          </cell>
          <cell r="H300">
            <v>0.15026666666666666</v>
          </cell>
          <cell r="I300">
            <v>0.18495500000000001</v>
          </cell>
          <cell r="J300">
            <v>2.551833333333333E-2</v>
          </cell>
          <cell r="K300">
            <v>0.44205166666666668</v>
          </cell>
          <cell r="L300">
            <v>1.1558383333333333</v>
          </cell>
          <cell r="M300">
            <v>8.3600000000000011E-3</v>
          </cell>
          <cell r="N300">
            <v>9.2828333333333332E-2</v>
          </cell>
          <cell r="O300">
            <v>6.7118333333333335E-2</v>
          </cell>
          <cell r="P300">
            <v>9.6123333333333338E-2</v>
          </cell>
          <cell r="Q300">
            <v>0.36073999999999995</v>
          </cell>
          <cell r="R300">
            <v>1.86232</v>
          </cell>
          <cell r="S300">
            <v>0</v>
          </cell>
          <cell r="T300">
            <v>0</v>
          </cell>
          <cell r="U300">
            <v>0</v>
          </cell>
          <cell r="V300">
            <v>2.2230599999999998</v>
          </cell>
        </row>
        <row r="301">
          <cell r="E301" t="str">
            <v>KMV667240</v>
          </cell>
          <cell r="F301">
            <v>59.526200000000003</v>
          </cell>
          <cell r="G301">
            <v>0</v>
          </cell>
          <cell r="H301">
            <v>1.3408333333333333E-2</v>
          </cell>
          <cell r="I301">
            <v>0</v>
          </cell>
          <cell r="J301">
            <v>0</v>
          </cell>
          <cell r="K301">
            <v>3.3549999999999996E-2</v>
          </cell>
          <cell r="L301">
            <v>0.15884166666666666</v>
          </cell>
          <cell r="M301">
            <v>2.0900000000000003E-3</v>
          </cell>
          <cell r="N301">
            <v>2.3196666666666664E-2</v>
          </cell>
          <cell r="O301">
            <v>1.3253333333333334E-2</v>
          </cell>
          <cell r="P301">
            <v>5.1433333333333331E-3</v>
          </cell>
          <cell r="Q301">
            <v>1.3408333333333333E-2</v>
          </cell>
          <cell r="R301">
            <v>0.23607500000000001</v>
          </cell>
          <cell r="S301">
            <v>0</v>
          </cell>
          <cell r="T301">
            <v>0</v>
          </cell>
          <cell r="U301">
            <v>0</v>
          </cell>
          <cell r="V301">
            <v>0.24948333333333333</v>
          </cell>
        </row>
        <row r="302">
          <cell r="E302" t="str">
            <v>KMV667SJ0</v>
          </cell>
          <cell r="F302">
            <v>27.7746</v>
          </cell>
          <cell r="G302">
            <v>0</v>
          </cell>
          <cell r="H302">
            <v>7.4150000000000006E-3</v>
          </cell>
          <cell r="I302">
            <v>4.8700000000000002E-3</v>
          </cell>
          <cell r="J302">
            <v>0</v>
          </cell>
          <cell r="K302">
            <v>2.3778333333333335E-2</v>
          </cell>
          <cell r="L302">
            <v>5.7514999999999997E-2</v>
          </cell>
          <cell r="M302">
            <v>0</v>
          </cell>
          <cell r="N302">
            <v>1.9223333333333332E-2</v>
          </cell>
          <cell r="O302">
            <v>7.0800000000000004E-3</v>
          </cell>
          <cell r="P302">
            <v>3.6966666666666667E-3</v>
          </cell>
          <cell r="Q302">
            <v>1.2285000000000001E-2</v>
          </cell>
          <cell r="R302">
            <v>0.11129333333333333</v>
          </cell>
          <cell r="S302">
            <v>0</v>
          </cell>
          <cell r="T302">
            <v>0</v>
          </cell>
          <cell r="U302">
            <v>0</v>
          </cell>
          <cell r="V302">
            <v>0.12357833333333333</v>
          </cell>
        </row>
        <row r="303">
          <cell r="E303" t="str">
            <v>KMVA67030</v>
          </cell>
          <cell r="F303">
            <v>877.0847</v>
          </cell>
          <cell r="G303">
            <v>26.990300000000001</v>
          </cell>
          <cell r="H303">
            <v>0.13247333333333333</v>
          </cell>
          <cell r="I303">
            <v>0.17056499999999999</v>
          </cell>
          <cell r="J303">
            <v>1.0585000000000001E-2</v>
          </cell>
          <cell r="K303">
            <v>0.40114499999999997</v>
          </cell>
          <cell r="L303">
            <v>1.0292233333333334</v>
          </cell>
          <cell r="M303">
            <v>8.3600000000000011E-3</v>
          </cell>
          <cell r="N303">
            <v>8.6473333333333333E-2</v>
          </cell>
          <cell r="O303">
            <v>6.1405000000000001E-2</v>
          </cell>
          <cell r="P303">
            <v>8.6524999999999991E-2</v>
          </cell>
          <cell r="Q303">
            <v>0.31362333333333331</v>
          </cell>
          <cell r="R303">
            <v>1.6731316666666667</v>
          </cell>
          <cell r="S303">
            <v>0</v>
          </cell>
          <cell r="T303">
            <v>0</v>
          </cell>
          <cell r="U303">
            <v>0</v>
          </cell>
          <cell r="V303">
            <v>1.986755</v>
          </cell>
        </row>
        <row r="304">
          <cell r="E304" t="str">
            <v>KMVB67030</v>
          </cell>
          <cell r="F304">
            <v>903.6948000000001</v>
          </cell>
          <cell r="G304">
            <v>26.990300000000001</v>
          </cell>
          <cell r="H304">
            <v>0.13685166666666668</v>
          </cell>
          <cell r="I304">
            <v>0.17685333333333333</v>
          </cell>
          <cell r="J304">
            <v>1.0585000000000001E-2</v>
          </cell>
          <cell r="K304">
            <v>0.41393333333333332</v>
          </cell>
          <cell r="L304">
            <v>1.0349683333333333</v>
          </cell>
          <cell r="M304">
            <v>8.3600000000000011E-3</v>
          </cell>
          <cell r="N304">
            <v>8.6953333333333341E-2</v>
          </cell>
          <cell r="O304">
            <v>6.1405000000000001E-2</v>
          </cell>
          <cell r="P304">
            <v>8.6524999999999991E-2</v>
          </cell>
          <cell r="Q304">
            <v>0.32429000000000002</v>
          </cell>
          <cell r="R304">
            <v>1.6921449999999998</v>
          </cell>
          <cell r="S304">
            <v>0</v>
          </cell>
          <cell r="T304">
            <v>0</v>
          </cell>
          <cell r="U304">
            <v>0</v>
          </cell>
          <cell r="V304">
            <v>2.016435</v>
          </cell>
        </row>
        <row r="305">
          <cell r="E305" t="str">
            <v>KMVC67030</v>
          </cell>
          <cell r="F305">
            <v>883.03089999999997</v>
          </cell>
          <cell r="G305">
            <v>26.990300000000001</v>
          </cell>
          <cell r="H305">
            <v>0.12980833333333333</v>
          </cell>
          <cell r="I305">
            <v>0.15729833333333335</v>
          </cell>
          <cell r="J305">
            <v>1.4756666666666666E-2</v>
          </cell>
          <cell r="K305">
            <v>0.39003333333333334</v>
          </cell>
          <cell r="L305">
            <v>1.021325</v>
          </cell>
          <cell r="M305">
            <v>8.3600000000000011E-3</v>
          </cell>
          <cell r="N305">
            <v>8.5063333333333324E-2</v>
          </cell>
          <cell r="O305">
            <v>6.0916666666666661E-2</v>
          </cell>
          <cell r="P305">
            <v>8.6413333333333328E-2</v>
          </cell>
          <cell r="Q305">
            <v>0.30186333333333332</v>
          </cell>
          <cell r="R305">
            <v>1.6521116666666664</v>
          </cell>
          <cell r="S305">
            <v>0</v>
          </cell>
          <cell r="T305">
            <v>0</v>
          </cell>
          <cell r="U305">
            <v>0</v>
          </cell>
          <cell r="V305">
            <v>1.9539749999999998</v>
          </cell>
        </row>
        <row r="306">
          <cell r="E306" t="str">
            <v>KMVD67030</v>
          </cell>
          <cell r="F306">
            <v>928.47810000000004</v>
          </cell>
          <cell r="G306">
            <v>26.990300000000001</v>
          </cell>
          <cell r="H306">
            <v>0.13589500000000002</v>
          </cell>
          <cell r="I306">
            <v>0.17680000000000001</v>
          </cell>
          <cell r="J306">
            <v>1.4756666666666666E-2</v>
          </cell>
          <cell r="K306">
            <v>0.40756166666666671</v>
          </cell>
          <cell r="L306">
            <v>1.0408649999999999</v>
          </cell>
          <cell r="M306">
            <v>8.3600000000000011E-3</v>
          </cell>
          <cell r="N306">
            <v>8.746000000000001E-2</v>
          </cell>
          <cell r="O306">
            <v>6.1963333333333336E-2</v>
          </cell>
          <cell r="P306">
            <v>8.8874999999999996E-2</v>
          </cell>
          <cell r="Q306">
            <v>0.3274516666666667</v>
          </cell>
          <cell r="R306">
            <v>1.6950850000000002</v>
          </cell>
          <cell r="S306">
            <v>0</v>
          </cell>
          <cell r="T306">
            <v>0</v>
          </cell>
          <cell r="U306">
            <v>0</v>
          </cell>
          <cell r="V306">
            <v>2.0225366666666669</v>
          </cell>
        </row>
        <row r="307">
          <cell r="E307" t="str">
            <v>KMVE67030</v>
          </cell>
          <cell r="F307">
            <v>955.09130000000005</v>
          </cell>
          <cell r="G307">
            <v>26.990300000000001</v>
          </cell>
          <cell r="H307">
            <v>0.14027333333333333</v>
          </cell>
          <cell r="I307">
            <v>0.18309</v>
          </cell>
          <cell r="J307">
            <v>1.4756666666666666E-2</v>
          </cell>
          <cell r="K307">
            <v>0.42035</v>
          </cell>
          <cell r="L307">
            <v>1.0466083333333334</v>
          </cell>
          <cell r="M307">
            <v>8.3600000000000011E-3</v>
          </cell>
          <cell r="N307">
            <v>8.793999999999999E-2</v>
          </cell>
          <cell r="O307">
            <v>6.1963333333333336E-2</v>
          </cell>
          <cell r="P307">
            <v>8.8874999999999996E-2</v>
          </cell>
          <cell r="Q307">
            <v>0.33811999999999998</v>
          </cell>
          <cell r="R307">
            <v>1.7140966666666666</v>
          </cell>
          <cell r="S307">
            <v>0</v>
          </cell>
          <cell r="T307">
            <v>0</v>
          </cell>
          <cell r="U307">
            <v>0</v>
          </cell>
          <cell r="V307">
            <v>2.0522166666666664</v>
          </cell>
        </row>
        <row r="308">
          <cell r="E308" t="str">
            <v>KMVF67030</v>
          </cell>
          <cell r="F308">
            <v>950.68020000000001</v>
          </cell>
          <cell r="G308">
            <v>28.982099999999999</v>
          </cell>
          <cell r="H308">
            <v>0.13928166666666666</v>
          </cell>
          <cell r="I308">
            <v>0.15729833333333335</v>
          </cell>
          <cell r="J308">
            <v>1.4756666666666666E-2</v>
          </cell>
          <cell r="K308">
            <v>0.41531333333333337</v>
          </cell>
          <cell r="L308">
            <v>1.0788166666666668</v>
          </cell>
          <cell r="M308">
            <v>8.3600000000000011E-3</v>
          </cell>
          <cell r="N308">
            <v>8.8148333333333329E-2</v>
          </cell>
          <cell r="O308">
            <v>6.2509999999999996E-2</v>
          </cell>
          <cell r="P308">
            <v>9.1451666666666667E-2</v>
          </cell>
          <cell r="Q308">
            <v>0.31133666666666665</v>
          </cell>
          <cell r="R308">
            <v>1.7446000000000002</v>
          </cell>
          <cell r="S308">
            <v>0</v>
          </cell>
          <cell r="T308">
            <v>0</v>
          </cell>
          <cell r="U308">
            <v>0</v>
          </cell>
          <cell r="V308">
            <v>2.0559366666666667</v>
          </cell>
        </row>
        <row r="309">
          <cell r="E309" t="str">
            <v>KMVG67030</v>
          </cell>
          <cell r="F309">
            <v>996.13040000000001</v>
          </cell>
          <cell r="G309">
            <v>28.982099999999999</v>
          </cell>
          <cell r="H309">
            <v>0.14536833333333332</v>
          </cell>
          <cell r="I309">
            <v>0.17680000000000001</v>
          </cell>
          <cell r="J309">
            <v>1.4756666666666666E-2</v>
          </cell>
          <cell r="K309">
            <v>0.43284166666666668</v>
          </cell>
          <cell r="L309">
            <v>1.0983550000000002</v>
          </cell>
          <cell r="M309">
            <v>8.3600000000000011E-3</v>
          </cell>
          <cell r="N309">
            <v>9.0545E-2</v>
          </cell>
          <cell r="O309">
            <v>6.3556666666666664E-2</v>
          </cell>
          <cell r="P309">
            <v>9.3913333333333335E-2</v>
          </cell>
          <cell r="Q309">
            <v>0.33692499999999997</v>
          </cell>
          <cell r="R309">
            <v>1.7875716666666668</v>
          </cell>
          <cell r="S309">
            <v>0</v>
          </cell>
          <cell r="T309">
            <v>0</v>
          </cell>
          <cell r="U309">
            <v>0</v>
          </cell>
          <cell r="V309">
            <v>2.1244966666666669</v>
          </cell>
        </row>
        <row r="310">
          <cell r="E310" t="str">
            <v>KMVJ67030</v>
          </cell>
          <cell r="F310">
            <v>936.54649999999992</v>
          </cell>
          <cell r="G310">
            <v>28.982099999999999</v>
          </cell>
          <cell r="H310">
            <v>0.13875166666666669</v>
          </cell>
          <cell r="I310">
            <v>0.17680000000000001</v>
          </cell>
          <cell r="J310">
            <v>1.4756666666666666E-2</v>
          </cell>
          <cell r="K310">
            <v>0.41689166666666666</v>
          </cell>
          <cell r="L310">
            <v>1.0596766666666666</v>
          </cell>
          <cell r="M310">
            <v>8.3600000000000011E-3</v>
          </cell>
          <cell r="N310">
            <v>8.8498333333333332E-2</v>
          </cell>
          <cell r="O310">
            <v>6.2585000000000002E-2</v>
          </cell>
          <cell r="P310">
            <v>8.9308333333333337E-2</v>
          </cell>
          <cell r="Q310">
            <v>0.33030833333333331</v>
          </cell>
          <cell r="R310">
            <v>1.72532</v>
          </cell>
          <cell r="S310">
            <v>0</v>
          </cell>
          <cell r="T310">
            <v>0</v>
          </cell>
          <cell r="U310">
            <v>0</v>
          </cell>
          <cell r="V310">
            <v>2.0556283333333334</v>
          </cell>
        </row>
        <row r="311">
          <cell r="E311" t="str">
            <v>KMVK67030</v>
          </cell>
          <cell r="F311">
            <v>1022.7438</v>
          </cell>
          <cell r="G311">
            <v>28.982099999999999</v>
          </cell>
          <cell r="H311">
            <v>0.14974666666666667</v>
          </cell>
          <cell r="I311">
            <v>0.18309</v>
          </cell>
          <cell r="J311">
            <v>1.4756666666666666E-2</v>
          </cell>
          <cell r="K311">
            <v>0.44563000000000003</v>
          </cell>
          <cell r="L311">
            <v>1.1040999999999999</v>
          </cell>
          <cell r="M311">
            <v>8.3600000000000011E-3</v>
          </cell>
          <cell r="N311">
            <v>9.1024999999999995E-2</v>
          </cell>
          <cell r="O311">
            <v>6.3556666666666664E-2</v>
          </cell>
          <cell r="P311">
            <v>9.3913333333333335E-2</v>
          </cell>
          <cell r="Q311">
            <v>0.34759333333333331</v>
          </cell>
          <cell r="R311">
            <v>1.8065849999999997</v>
          </cell>
          <cell r="S311">
            <v>0</v>
          </cell>
          <cell r="T311">
            <v>0</v>
          </cell>
          <cell r="U311">
            <v>0</v>
          </cell>
          <cell r="V311">
            <v>2.1541783333333329</v>
          </cell>
        </row>
        <row r="312">
          <cell r="E312" t="str">
            <v>KMVL67030</v>
          </cell>
          <cell r="F312">
            <v>963.15969999999993</v>
          </cell>
          <cell r="G312">
            <v>28.982099999999999</v>
          </cell>
          <cell r="H312">
            <v>0.14313000000000001</v>
          </cell>
          <cell r="I312">
            <v>0.18309</v>
          </cell>
          <cell r="J312">
            <v>1.4756666666666666E-2</v>
          </cell>
          <cell r="K312">
            <v>0.42968000000000001</v>
          </cell>
          <cell r="L312">
            <v>1.0654216666666667</v>
          </cell>
          <cell r="M312">
            <v>8.3600000000000011E-3</v>
          </cell>
          <cell r="N312">
            <v>8.897833333333334E-2</v>
          </cell>
          <cell r="O312">
            <v>6.2585000000000002E-2</v>
          </cell>
          <cell r="P312">
            <v>8.9308333333333337E-2</v>
          </cell>
          <cell r="Q312">
            <v>0.34097666666666665</v>
          </cell>
          <cell r="R312">
            <v>1.7443333333333335</v>
          </cell>
          <cell r="S312">
            <v>0</v>
          </cell>
          <cell r="T312">
            <v>0</v>
          </cell>
          <cell r="U312">
            <v>0</v>
          </cell>
          <cell r="V312">
            <v>2.0853100000000002</v>
          </cell>
        </row>
        <row r="313">
          <cell r="E313" t="str">
            <v>KMWA67030</v>
          </cell>
          <cell r="F313">
            <v>1061.4301</v>
          </cell>
          <cell r="G313">
            <v>27.688400000000001</v>
          </cell>
          <cell r="H313">
            <v>0.14626166666666668</v>
          </cell>
          <cell r="I313">
            <v>0.18010833333333334</v>
          </cell>
          <cell r="J313">
            <v>1.8835000000000001E-2</v>
          </cell>
          <cell r="K313">
            <v>0.43054666666666663</v>
          </cell>
          <cell r="L313">
            <v>1.1806516666666667</v>
          </cell>
          <cell r="M313">
            <v>8.3600000000000011E-3</v>
          </cell>
          <cell r="N313">
            <v>9.3515000000000001E-2</v>
          </cell>
          <cell r="O313">
            <v>6.8088333333333334E-2</v>
          </cell>
          <cell r="P313">
            <v>0.10072833333333334</v>
          </cell>
          <cell r="Q313">
            <v>0.34520500000000004</v>
          </cell>
          <cell r="R313">
            <v>1.8818899999999998</v>
          </cell>
          <cell r="S313">
            <v>0</v>
          </cell>
          <cell r="T313">
            <v>0</v>
          </cell>
          <cell r="U313">
            <v>0</v>
          </cell>
          <cell r="V313">
            <v>2.2270949999999998</v>
          </cell>
        </row>
        <row r="314">
          <cell r="E314" t="str">
            <v>KNM267030</v>
          </cell>
          <cell r="F314">
            <v>1478.5984000000001</v>
          </cell>
          <cell r="G314">
            <v>30.919599999999999</v>
          </cell>
          <cell r="H314">
            <v>0.182445</v>
          </cell>
          <cell r="I314">
            <v>0.20916333333333331</v>
          </cell>
          <cell r="J314">
            <v>6.0716666666666662E-2</v>
          </cell>
          <cell r="K314">
            <v>0.47230666666666665</v>
          </cell>
          <cell r="L314">
            <v>1.1299366666666666</v>
          </cell>
          <cell r="M314">
            <v>1.3585000000000002E-2</v>
          </cell>
          <cell r="N314">
            <v>0.10703166666666666</v>
          </cell>
          <cell r="O314">
            <v>7.1893333333333337E-2</v>
          </cell>
          <cell r="P314">
            <v>8.6595000000000005E-2</v>
          </cell>
          <cell r="Q314">
            <v>0.45232499999999998</v>
          </cell>
          <cell r="R314">
            <v>1.8813483333333332</v>
          </cell>
          <cell r="S314">
            <v>2.5163333333333329E-2</v>
          </cell>
          <cell r="T314">
            <v>0</v>
          </cell>
          <cell r="U314">
            <v>0</v>
          </cell>
          <cell r="V314">
            <v>2.3588366666666665</v>
          </cell>
        </row>
        <row r="315">
          <cell r="E315" t="str">
            <v>KNM367030</v>
          </cell>
          <cell r="F315">
            <v>1618.2022999999999</v>
          </cell>
          <cell r="G315">
            <v>33.107799999999997</v>
          </cell>
          <cell r="H315">
            <v>0.20826166666666665</v>
          </cell>
          <cell r="I315">
            <v>0.25397333333333333</v>
          </cell>
          <cell r="J315">
            <v>6.7739999999999995E-2</v>
          </cell>
          <cell r="K315">
            <v>0.54703833333333329</v>
          </cell>
          <cell r="L315">
            <v>1.2316983333333333</v>
          </cell>
          <cell r="M315">
            <v>1.4630000000000001E-2</v>
          </cell>
          <cell r="N315">
            <v>0.11844666666666666</v>
          </cell>
          <cell r="O315">
            <v>7.7623333333333336E-2</v>
          </cell>
          <cell r="P315">
            <v>9.5108333333333336E-2</v>
          </cell>
          <cell r="Q315">
            <v>0.52997499999999997</v>
          </cell>
          <cell r="R315">
            <v>2.0845449999999999</v>
          </cell>
          <cell r="S315">
            <v>2.5163333333333329E-2</v>
          </cell>
          <cell r="T315">
            <v>0</v>
          </cell>
          <cell r="U315">
            <v>0</v>
          </cell>
          <cell r="V315">
            <v>2.6396833333333332</v>
          </cell>
        </row>
        <row r="316">
          <cell r="E316" t="str">
            <v>KNM467030</v>
          </cell>
          <cell r="F316">
            <v>1678.8326999999999</v>
          </cell>
          <cell r="G316">
            <v>33.107799999999997</v>
          </cell>
          <cell r="H316">
            <v>0.21423333333333333</v>
          </cell>
          <cell r="I316">
            <v>0.28636833333333328</v>
          </cell>
          <cell r="J316">
            <v>7.4206666666666671E-2</v>
          </cell>
          <cell r="K316">
            <v>0.56064666666666674</v>
          </cell>
          <cell r="L316">
            <v>1.2403550000000001</v>
          </cell>
          <cell r="M316">
            <v>1.4630000000000001E-2</v>
          </cell>
          <cell r="N316">
            <v>0.11936166666666666</v>
          </cell>
          <cell r="O316">
            <v>7.8436666666666668E-2</v>
          </cell>
          <cell r="P316">
            <v>9.5613333333333328E-2</v>
          </cell>
          <cell r="Q316">
            <v>0.57480833333333325</v>
          </cell>
          <cell r="R316">
            <v>2.1090433333333332</v>
          </cell>
          <cell r="S316">
            <v>2.5163333333333329E-2</v>
          </cell>
          <cell r="T316">
            <v>0</v>
          </cell>
          <cell r="U316">
            <v>0</v>
          </cell>
          <cell r="V316">
            <v>2.709015</v>
          </cell>
        </row>
        <row r="317">
          <cell r="E317" t="str">
            <v>KNM667030</v>
          </cell>
          <cell r="F317">
            <v>1718.8906999999999</v>
          </cell>
          <cell r="G317">
            <v>33.107799999999997</v>
          </cell>
          <cell r="H317">
            <v>0.2185</v>
          </cell>
          <cell r="I317">
            <v>0.28878500000000001</v>
          </cell>
          <cell r="J317">
            <v>8.9161666666666667E-2</v>
          </cell>
          <cell r="K317">
            <v>0.56907999999999992</v>
          </cell>
          <cell r="L317">
            <v>1.2698783333333334</v>
          </cell>
          <cell r="M317">
            <v>1.4630000000000001E-2</v>
          </cell>
          <cell r="N317">
            <v>0.12250666666666667</v>
          </cell>
          <cell r="O317">
            <v>7.9963333333333331E-2</v>
          </cell>
          <cell r="P317">
            <v>0.100465</v>
          </cell>
          <cell r="Q317">
            <v>0.59644666666666668</v>
          </cell>
          <cell r="R317">
            <v>2.1565233333333329</v>
          </cell>
          <cell r="S317">
            <v>2.5163333333333329E-2</v>
          </cell>
          <cell r="T317">
            <v>0</v>
          </cell>
          <cell r="U317">
            <v>0</v>
          </cell>
          <cell r="V317">
            <v>2.7781333333333329</v>
          </cell>
        </row>
        <row r="318">
          <cell r="E318" t="str">
            <v>KNM767030</v>
          </cell>
          <cell r="F318">
            <v>1544.5636999999999</v>
          </cell>
          <cell r="G318">
            <v>30.919599999999999</v>
          </cell>
          <cell r="H318">
            <v>0.19796666666666668</v>
          </cell>
          <cell r="I318">
            <v>0.2539183333333333</v>
          </cell>
          <cell r="J318">
            <v>6.0716666666666662E-2</v>
          </cell>
          <cell r="K318">
            <v>0.51988166666666669</v>
          </cell>
          <cell r="L318">
            <v>1.1511566666666666</v>
          </cell>
          <cell r="M318">
            <v>1.4630000000000001E-2</v>
          </cell>
          <cell r="N318">
            <v>0.11036833333333333</v>
          </cell>
          <cell r="O318">
            <v>7.3041666666666671E-2</v>
          </cell>
          <cell r="P318">
            <v>8.7251666666666672E-2</v>
          </cell>
          <cell r="Q318">
            <v>0.51260166666666662</v>
          </cell>
          <cell r="R318">
            <v>1.9563299999999999</v>
          </cell>
          <cell r="S318">
            <v>2.5163333333333329E-2</v>
          </cell>
          <cell r="T318">
            <v>0</v>
          </cell>
          <cell r="U318">
            <v>0</v>
          </cell>
          <cell r="V318">
            <v>2.4940949999999997</v>
          </cell>
        </row>
        <row r="319">
          <cell r="E319" t="str">
            <v>KNM867030</v>
          </cell>
          <cell r="F319">
            <v>1598.7936</v>
          </cell>
          <cell r="G319">
            <v>33.107799999999997</v>
          </cell>
          <cell r="H319">
            <v>0.20685166666666666</v>
          </cell>
          <cell r="I319">
            <v>0.25397333333333333</v>
          </cell>
          <cell r="J319">
            <v>6.7739999999999995E-2</v>
          </cell>
          <cell r="K319">
            <v>0.54355500000000001</v>
          </cell>
          <cell r="L319">
            <v>1.2266283333333334</v>
          </cell>
          <cell r="M319">
            <v>1.4630000000000001E-2</v>
          </cell>
          <cell r="N319">
            <v>0.11762166666666667</v>
          </cell>
          <cell r="O319">
            <v>7.7083333333333337E-2</v>
          </cell>
          <cell r="P319">
            <v>9.2770000000000005E-2</v>
          </cell>
          <cell r="Q319">
            <v>0.52856499999999995</v>
          </cell>
          <cell r="R319">
            <v>2.0722883333333333</v>
          </cell>
          <cell r="S319">
            <v>2.5163333333333329E-2</v>
          </cell>
          <cell r="T319">
            <v>0</v>
          </cell>
          <cell r="U319">
            <v>0</v>
          </cell>
          <cell r="V319">
            <v>2.6260166666666667</v>
          </cell>
        </row>
        <row r="320">
          <cell r="E320" t="str">
            <v>KR9P67030</v>
          </cell>
          <cell r="F320">
            <v>1222.1309000000001</v>
          </cell>
          <cell r="G320">
            <v>0</v>
          </cell>
          <cell r="H320">
            <v>0.19371833333333335</v>
          </cell>
          <cell r="I320">
            <v>0.31677833333333333</v>
          </cell>
          <cell r="J320">
            <v>9.6530000000000005E-2</v>
          </cell>
          <cell r="K320">
            <v>0.47635166666666667</v>
          </cell>
          <cell r="L320">
            <v>1.0056833333333333</v>
          </cell>
          <cell r="M320">
            <v>9.4050000000000002E-3</v>
          </cell>
          <cell r="N320">
            <v>0.10005</v>
          </cell>
          <cell r="O320">
            <v>5.3193333333333336E-2</v>
          </cell>
          <cell r="P320">
            <v>7.020333333333334E-2</v>
          </cell>
          <cell r="Q320">
            <v>0.60702666666666671</v>
          </cell>
          <cell r="R320">
            <v>1.7148866666666669</v>
          </cell>
          <cell r="S320">
            <v>0</v>
          </cell>
          <cell r="T320">
            <v>0</v>
          </cell>
          <cell r="U320">
            <v>0</v>
          </cell>
          <cell r="V320">
            <v>2.3219133333333337</v>
          </cell>
        </row>
        <row r="321">
          <cell r="E321" t="str">
            <v>KR9P67120</v>
          </cell>
          <cell r="F321">
            <v>30.631399999999999</v>
          </cell>
          <cell r="G321">
            <v>0</v>
          </cell>
          <cell r="H321">
            <v>9.9466666666666662E-3</v>
          </cell>
          <cell r="I321">
            <v>5.933333333333333E-3</v>
          </cell>
          <cell r="J321">
            <v>0</v>
          </cell>
          <cell r="K321">
            <v>1.6500000000000001E-2</v>
          </cell>
          <cell r="L321">
            <v>0.20963833333333334</v>
          </cell>
          <cell r="M321">
            <v>1.0450000000000001E-3</v>
          </cell>
          <cell r="N321">
            <v>1.8705000000000003E-2</v>
          </cell>
          <cell r="O321">
            <v>1.0863333333333334E-2</v>
          </cell>
          <cell r="P321">
            <v>5.5533333333333329E-3</v>
          </cell>
          <cell r="Q321">
            <v>1.5879999999999998E-2</v>
          </cell>
          <cell r="R321">
            <v>0.26230500000000001</v>
          </cell>
          <cell r="S321">
            <v>0</v>
          </cell>
          <cell r="T321">
            <v>0</v>
          </cell>
          <cell r="U321">
            <v>0</v>
          </cell>
          <cell r="V321">
            <v>0.27818500000000002</v>
          </cell>
        </row>
        <row r="322">
          <cell r="E322" t="str">
            <v>KR9P67240</v>
          </cell>
          <cell r="F322">
            <v>63.011800000000001</v>
          </cell>
          <cell r="G322">
            <v>0</v>
          </cell>
          <cell r="H322">
            <v>1.5063333333333335E-2</v>
          </cell>
          <cell r="I322">
            <v>0</v>
          </cell>
          <cell r="J322">
            <v>0</v>
          </cell>
          <cell r="K322">
            <v>3.9050000000000001E-2</v>
          </cell>
          <cell r="L322">
            <v>0.16353000000000001</v>
          </cell>
          <cell r="M322">
            <v>2.0900000000000003E-3</v>
          </cell>
          <cell r="N322">
            <v>2.4094999999999998E-2</v>
          </cell>
          <cell r="O322">
            <v>1.3541666666666667E-2</v>
          </cell>
          <cell r="P322">
            <v>5.338333333333333E-3</v>
          </cell>
          <cell r="Q322">
            <v>1.5063333333333335E-2</v>
          </cell>
          <cell r="R322">
            <v>0.24764500000000003</v>
          </cell>
          <cell r="S322">
            <v>0</v>
          </cell>
          <cell r="T322">
            <v>0</v>
          </cell>
          <cell r="U322">
            <v>0</v>
          </cell>
          <cell r="V322">
            <v>0.26270833333333338</v>
          </cell>
        </row>
        <row r="323">
          <cell r="E323" t="str">
            <v>KR9P67SJ0</v>
          </cell>
          <cell r="F323">
            <v>2.7875000000000001</v>
          </cell>
          <cell r="G323">
            <v>0</v>
          </cell>
          <cell r="H323">
            <v>3.0299999999999997E-3</v>
          </cell>
          <cell r="I323">
            <v>0</v>
          </cell>
          <cell r="J323">
            <v>0</v>
          </cell>
          <cell r="K323">
            <v>9.1666666666666667E-3</v>
          </cell>
          <cell r="L323">
            <v>2.2788333333333334E-2</v>
          </cell>
          <cell r="M323">
            <v>0</v>
          </cell>
          <cell r="N323">
            <v>1.0781666666666667E-2</v>
          </cell>
          <cell r="O323">
            <v>4.7249999999999992E-3</v>
          </cell>
          <cell r="P323">
            <v>1.9066666666666668E-3</v>
          </cell>
          <cell r="Q323">
            <v>3.0299999999999997E-3</v>
          </cell>
          <cell r="R323">
            <v>4.9368333333333334E-2</v>
          </cell>
          <cell r="S323">
            <v>0</v>
          </cell>
          <cell r="T323">
            <v>0</v>
          </cell>
          <cell r="U323">
            <v>0</v>
          </cell>
          <cell r="V323">
            <v>5.2398333333333331E-2</v>
          </cell>
        </row>
        <row r="324">
          <cell r="E324" t="str">
            <v>KS0G67030</v>
          </cell>
          <cell r="F324">
            <v>1206.5006000000001</v>
          </cell>
          <cell r="G324">
            <v>0</v>
          </cell>
          <cell r="H324">
            <v>0.19709166666666667</v>
          </cell>
          <cell r="I324">
            <v>0.32570833333333332</v>
          </cell>
          <cell r="J324">
            <v>9.7753333333333331E-2</v>
          </cell>
          <cell r="K324">
            <v>0.48373166666666667</v>
          </cell>
          <cell r="L324">
            <v>1.0440416666666665</v>
          </cell>
          <cell r="M324">
            <v>9.4050000000000002E-3</v>
          </cell>
          <cell r="N324">
            <v>0.10175666666666668</v>
          </cell>
          <cell r="O324">
            <v>5.366166666666667E-2</v>
          </cell>
          <cell r="P324">
            <v>7.0443333333333344E-2</v>
          </cell>
          <cell r="Q324">
            <v>0.62055333333333329</v>
          </cell>
          <cell r="R324">
            <v>1.7630400000000002</v>
          </cell>
          <cell r="S324">
            <v>0</v>
          </cell>
          <cell r="T324">
            <v>0</v>
          </cell>
          <cell r="U324">
            <v>0</v>
          </cell>
          <cell r="V324">
            <v>2.3835933333333337</v>
          </cell>
        </row>
        <row r="325">
          <cell r="E325" t="str">
            <v>KS0G67240</v>
          </cell>
          <cell r="F325">
            <v>81.033699999999996</v>
          </cell>
          <cell r="G325">
            <v>0</v>
          </cell>
          <cell r="H325">
            <v>1.5365E-2</v>
          </cell>
          <cell r="I325">
            <v>0</v>
          </cell>
          <cell r="J325">
            <v>0</v>
          </cell>
          <cell r="K325">
            <v>3.9050000000000001E-2</v>
          </cell>
          <cell r="L325">
            <v>0.17053833333333335</v>
          </cell>
          <cell r="M325">
            <v>2.0900000000000003E-3</v>
          </cell>
          <cell r="N325">
            <v>2.4101666666666667E-2</v>
          </cell>
          <cell r="O325">
            <v>1.371E-2</v>
          </cell>
          <cell r="P325">
            <v>5.4549999999999998E-3</v>
          </cell>
          <cell r="Q325">
            <v>1.5365E-2</v>
          </cell>
          <cell r="R325">
            <v>0.25494500000000003</v>
          </cell>
          <cell r="S325">
            <v>0</v>
          </cell>
          <cell r="T325">
            <v>0</v>
          </cell>
          <cell r="U325">
            <v>0</v>
          </cell>
          <cell r="V325">
            <v>0.27031000000000005</v>
          </cell>
        </row>
        <row r="326">
          <cell r="E326" t="str">
            <v>KS1A67030</v>
          </cell>
          <cell r="F326">
            <v>1093.2564</v>
          </cell>
          <cell r="G326">
            <v>0</v>
          </cell>
          <cell r="H326">
            <v>0.17716000000000001</v>
          </cell>
          <cell r="I326">
            <v>0.24000833333333332</v>
          </cell>
          <cell r="J326">
            <v>7.2929999999999995E-2</v>
          </cell>
          <cell r="K326">
            <v>0.44523166666666664</v>
          </cell>
          <cell r="L326">
            <v>0.98422833333333337</v>
          </cell>
          <cell r="M326">
            <v>9.4050000000000002E-3</v>
          </cell>
          <cell r="N326">
            <v>9.8356666666666662E-2</v>
          </cell>
          <cell r="O326">
            <v>5.1468333333333331E-2</v>
          </cell>
          <cell r="P326">
            <v>6.2936666666666669E-2</v>
          </cell>
          <cell r="Q326">
            <v>0.49009833333333336</v>
          </cell>
          <cell r="R326">
            <v>1.6516266666666666</v>
          </cell>
          <cell r="S326">
            <v>0</v>
          </cell>
          <cell r="T326">
            <v>0</v>
          </cell>
          <cell r="U326">
            <v>0</v>
          </cell>
          <cell r="V326">
            <v>2.1417250000000001</v>
          </cell>
        </row>
        <row r="327">
          <cell r="E327" t="str">
            <v>KS1A67120</v>
          </cell>
          <cell r="F327">
            <v>29.682600000000001</v>
          </cell>
          <cell r="G327">
            <v>0</v>
          </cell>
          <cell r="H327">
            <v>8.5516666666666675E-3</v>
          </cell>
          <cell r="I327">
            <v>5.2800000000000008E-3</v>
          </cell>
          <cell r="J327">
            <v>0</v>
          </cell>
          <cell r="K327">
            <v>1.6500000000000001E-2</v>
          </cell>
          <cell r="L327">
            <v>0.17221166666666668</v>
          </cell>
          <cell r="M327">
            <v>1.0450000000000001E-3</v>
          </cell>
          <cell r="N327">
            <v>1.7981666666666667E-2</v>
          </cell>
          <cell r="O327">
            <v>1.0263333333333334E-2</v>
          </cell>
          <cell r="P327">
            <v>5.0533333333333342E-3</v>
          </cell>
          <cell r="Q327">
            <v>1.3831666666666669E-2</v>
          </cell>
          <cell r="R327">
            <v>0.223055</v>
          </cell>
          <cell r="S327">
            <v>0</v>
          </cell>
          <cell r="T327">
            <v>0</v>
          </cell>
          <cell r="U327">
            <v>0</v>
          </cell>
          <cell r="V327">
            <v>0.23688666666666666</v>
          </cell>
        </row>
        <row r="328">
          <cell r="E328" t="str">
            <v>KS1A67240</v>
          </cell>
          <cell r="F328">
            <v>74.990300000000005</v>
          </cell>
          <cell r="G328">
            <v>0</v>
          </cell>
          <cell r="H328">
            <v>1.3433333333333334E-2</v>
          </cell>
          <cell r="I328">
            <v>0</v>
          </cell>
          <cell r="J328">
            <v>0</v>
          </cell>
          <cell r="K328">
            <v>3.3549999999999996E-2</v>
          </cell>
          <cell r="L328">
            <v>0.15851333333333334</v>
          </cell>
          <cell r="M328">
            <v>2.0900000000000003E-3</v>
          </cell>
          <cell r="N328">
            <v>2.3201666666666666E-2</v>
          </cell>
          <cell r="O328">
            <v>1.3366666666666667E-2</v>
          </cell>
          <cell r="P328">
            <v>5.2199999999999998E-3</v>
          </cell>
          <cell r="Q328">
            <v>1.3433333333333334E-2</v>
          </cell>
          <cell r="R328">
            <v>0.23594166666666669</v>
          </cell>
          <cell r="S328">
            <v>0</v>
          </cell>
          <cell r="T328">
            <v>0</v>
          </cell>
          <cell r="U328">
            <v>0</v>
          </cell>
          <cell r="V328">
            <v>0.24937500000000001</v>
          </cell>
        </row>
        <row r="329">
          <cell r="E329" t="str">
            <v>KSL267030</v>
          </cell>
          <cell r="F329">
            <v>1710.3687</v>
          </cell>
          <cell r="G329">
            <v>33.107799999999997</v>
          </cell>
          <cell r="H329">
            <v>0.21414</v>
          </cell>
          <cell r="I329">
            <v>0.26765166666666668</v>
          </cell>
          <cell r="J329">
            <v>8.2005000000000008E-2</v>
          </cell>
          <cell r="K329">
            <v>0.55932166666666672</v>
          </cell>
          <cell r="L329">
            <v>1.2580133333333334</v>
          </cell>
          <cell r="M329">
            <v>1.4630000000000001E-2</v>
          </cell>
          <cell r="N329">
            <v>0.12157833333333333</v>
          </cell>
          <cell r="O329">
            <v>8.1146666666666672E-2</v>
          </cell>
          <cell r="P329">
            <v>9.7736666666666666E-2</v>
          </cell>
          <cell r="Q329">
            <v>0.56379666666666672</v>
          </cell>
          <cell r="R329">
            <v>2.1324266666666665</v>
          </cell>
          <cell r="S329">
            <v>2.5163333333333329E-2</v>
          </cell>
          <cell r="T329">
            <v>0</v>
          </cell>
          <cell r="U329">
            <v>0</v>
          </cell>
          <cell r="V329">
            <v>2.7213866666666666</v>
          </cell>
        </row>
        <row r="330">
          <cell r="E330" t="str">
            <v>KSL467030</v>
          </cell>
          <cell r="F330">
            <v>1770.9991</v>
          </cell>
          <cell r="G330">
            <v>33.107799999999997</v>
          </cell>
          <cell r="H330">
            <v>0.22011166666666665</v>
          </cell>
          <cell r="I330">
            <v>0.30004666666666668</v>
          </cell>
          <cell r="J330">
            <v>8.8471666666666671E-2</v>
          </cell>
          <cell r="K330">
            <v>0.57292999999999994</v>
          </cell>
          <cell r="L330">
            <v>1.2666700000000002</v>
          </cell>
          <cell r="M330">
            <v>1.4630000000000001E-2</v>
          </cell>
          <cell r="N330">
            <v>0.12249333333333333</v>
          </cell>
          <cell r="O330">
            <v>8.1960000000000005E-2</v>
          </cell>
          <cell r="P330">
            <v>9.8243333333333321E-2</v>
          </cell>
          <cell r="Q330">
            <v>0.60863</v>
          </cell>
          <cell r="R330">
            <v>2.1569266666666667</v>
          </cell>
          <cell r="S330">
            <v>2.5163333333333329E-2</v>
          </cell>
          <cell r="T330">
            <v>0</v>
          </cell>
          <cell r="U330">
            <v>0</v>
          </cell>
          <cell r="V330">
            <v>2.7907200000000003</v>
          </cell>
        </row>
        <row r="331">
          <cell r="E331" t="str">
            <v>KSL667030</v>
          </cell>
          <cell r="F331">
            <v>1811.2040999999999</v>
          </cell>
          <cell r="G331">
            <v>33.107799999999997</v>
          </cell>
          <cell r="H331">
            <v>0.22438</v>
          </cell>
          <cell r="I331">
            <v>0.30246333333333336</v>
          </cell>
          <cell r="J331">
            <v>0.10345666666666667</v>
          </cell>
          <cell r="K331">
            <v>0.58136333333333334</v>
          </cell>
          <cell r="L331">
            <v>1.2962099999999999</v>
          </cell>
          <cell r="M331">
            <v>1.4630000000000001E-2</v>
          </cell>
          <cell r="N331">
            <v>0.12563833333333332</v>
          </cell>
          <cell r="O331">
            <v>8.3486666666666667E-2</v>
          </cell>
          <cell r="P331">
            <v>0.10309333333333333</v>
          </cell>
          <cell r="Q331">
            <v>0.63029999999999997</v>
          </cell>
          <cell r="R331">
            <v>2.2044216666666663</v>
          </cell>
          <cell r="S331">
            <v>2.5163333333333329E-2</v>
          </cell>
          <cell r="T331">
            <v>0</v>
          </cell>
          <cell r="U331">
            <v>0</v>
          </cell>
          <cell r="V331">
            <v>2.8598849999999998</v>
          </cell>
        </row>
        <row r="332">
          <cell r="E332" t="str">
            <v>KST567030</v>
          </cell>
          <cell r="F332">
            <v>1114.6105</v>
          </cell>
          <cell r="G332">
            <v>0</v>
          </cell>
          <cell r="H332">
            <v>0.17216166666666669</v>
          </cell>
          <cell r="I332">
            <v>0.22187999999999999</v>
          </cell>
          <cell r="J332">
            <v>7.5503333333333325E-2</v>
          </cell>
          <cell r="K332">
            <v>0.42868499999999998</v>
          </cell>
          <cell r="L332">
            <v>0.97499166666666659</v>
          </cell>
          <cell r="M332">
            <v>9.4050000000000002E-3</v>
          </cell>
          <cell r="N332">
            <v>9.7143333333333332E-2</v>
          </cell>
          <cell r="O332">
            <v>5.1941666666666664E-2</v>
          </cell>
          <cell r="P332">
            <v>6.5353333333333333E-2</v>
          </cell>
          <cell r="Q332">
            <v>0.46954499999999999</v>
          </cell>
          <cell r="R332">
            <v>1.6275200000000001</v>
          </cell>
          <cell r="S332">
            <v>0</v>
          </cell>
          <cell r="T332">
            <v>0</v>
          </cell>
          <cell r="U332">
            <v>0</v>
          </cell>
          <cell r="V332">
            <v>2.0970650000000002</v>
          </cell>
        </row>
        <row r="333">
          <cell r="E333" t="str">
            <v>KV0T67030</v>
          </cell>
          <cell r="F333">
            <v>1822.4417000000001</v>
          </cell>
          <cell r="G333">
            <v>35.5655</v>
          </cell>
          <cell r="H333">
            <v>0.23376833333333333</v>
          </cell>
          <cell r="I333">
            <v>0.36992333333333333</v>
          </cell>
          <cell r="J333">
            <v>9.9015000000000006E-2</v>
          </cell>
          <cell r="K333">
            <v>0.61877666666666675</v>
          </cell>
          <cell r="L333">
            <v>1.284775</v>
          </cell>
          <cell r="M333">
            <v>1.3585000000000002E-2</v>
          </cell>
          <cell r="N333">
            <v>0.12791666666666665</v>
          </cell>
          <cell r="O333">
            <v>8.2083333333333328E-2</v>
          </cell>
          <cell r="P333">
            <v>8.5320000000000007E-2</v>
          </cell>
          <cell r="Q333">
            <v>0.70270666666666659</v>
          </cell>
          <cell r="R333">
            <v>2.2124566666666663</v>
          </cell>
          <cell r="S333">
            <v>2.5163333333333329E-2</v>
          </cell>
          <cell r="T333">
            <v>0</v>
          </cell>
          <cell r="U333">
            <v>0</v>
          </cell>
          <cell r="V333">
            <v>2.9403266666666665</v>
          </cell>
        </row>
        <row r="334">
          <cell r="E334" t="str">
            <v>KV1G67030</v>
          </cell>
          <cell r="F334">
            <v>1902.8362</v>
          </cell>
          <cell r="G334">
            <v>35.5655</v>
          </cell>
          <cell r="H334">
            <v>0.23979166666666665</v>
          </cell>
          <cell r="I334">
            <v>0.37751499999999999</v>
          </cell>
          <cell r="J334">
            <v>0.12045666666666667</v>
          </cell>
          <cell r="K334">
            <v>0.6292266666666666</v>
          </cell>
          <cell r="L334">
            <v>1.3136033333333332</v>
          </cell>
          <cell r="M334">
            <v>1.3585000000000002E-2</v>
          </cell>
          <cell r="N334">
            <v>0.13173333333333334</v>
          </cell>
          <cell r="O334">
            <v>8.5903333333333345E-2</v>
          </cell>
          <cell r="P334">
            <v>8.8054999999999994E-2</v>
          </cell>
          <cell r="Q334">
            <v>0.73776333333333333</v>
          </cell>
          <cell r="R334">
            <v>2.2621066666666669</v>
          </cell>
          <cell r="S334">
            <v>2.5163333333333329E-2</v>
          </cell>
          <cell r="T334">
            <v>0</v>
          </cell>
          <cell r="U334">
            <v>0</v>
          </cell>
          <cell r="V334">
            <v>3.0250333333333339</v>
          </cell>
        </row>
        <row r="335">
          <cell r="E335" t="str">
            <v>KW0A67030</v>
          </cell>
          <cell r="F335">
            <v>1664.5992999999999</v>
          </cell>
          <cell r="G335">
            <v>35.910400000000003</v>
          </cell>
          <cell r="H335">
            <v>0.21811666666666665</v>
          </cell>
          <cell r="I335">
            <v>0.38517499999999999</v>
          </cell>
          <cell r="J335">
            <v>8.1425000000000011E-2</v>
          </cell>
          <cell r="K335">
            <v>0.58569333333333329</v>
          </cell>
          <cell r="L335">
            <v>1.1292766666666667</v>
          </cell>
          <cell r="M335">
            <v>1.4630000000000001E-2</v>
          </cell>
          <cell r="N335">
            <v>0.11643833333333334</v>
          </cell>
          <cell r="O335">
            <v>7.7066666666666658E-2</v>
          </cell>
          <cell r="P335">
            <v>8.7559999999999999E-2</v>
          </cell>
          <cell r="Q335">
            <v>0.68471666666666664</v>
          </cell>
          <cell r="R335">
            <v>2.0106649999999999</v>
          </cell>
          <cell r="S335">
            <v>2.5163333333333329E-2</v>
          </cell>
          <cell r="T335">
            <v>0</v>
          </cell>
          <cell r="U335">
            <v>0</v>
          </cell>
          <cell r="V335">
            <v>2.720545</v>
          </cell>
        </row>
        <row r="336">
          <cell r="E336" t="str">
            <v>KW0D67030</v>
          </cell>
          <cell r="F336">
            <v>1747.8915000000002</v>
          </cell>
          <cell r="G336">
            <v>35.910400000000003</v>
          </cell>
          <cell r="H336">
            <v>0.21847666666666665</v>
          </cell>
          <cell r="I336">
            <v>0.38988</v>
          </cell>
          <cell r="J336">
            <v>9.9824999999999997E-2</v>
          </cell>
          <cell r="K336">
            <v>0.57864000000000004</v>
          </cell>
          <cell r="L336">
            <v>1.1497083333333333</v>
          </cell>
          <cell r="M336">
            <v>1.4630000000000001E-2</v>
          </cell>
          <cell r="N336">
            <v>0.11890666666666667</v>
          </cell>
          <cell r="O336">
            <v>7.8953333333333334E-2</v>
          </cell>
          <cell r="P336">
            <v>8.8558333333333336E-2</v>
          </cell>
          <cell r="Q336">
            <v>0.70818166666666671</v>
          </cell>
          <cell r="R336">
            <v>2.029396666666667</v>
          </cell>
          <cell r="S336">
            <v>2.5163333333333329E-2</v>
          </cell>
          <cell r="T336">
            <v>0</v>
          </cell>
          <cell r="U336">
            <v>0</v>
          </cell>
          <cell r="V336">
            <v>2.7627416666666669</v>
          </cell>
        </row>
        <row r="337">
          <cell r="E337" t="str">
            <v>KW0E67030</v>
          </cell>
          <cell r="F337">
            <v>1786.5248000000001</v>
          </cell>
          <cell r="G337">
            <v>35.910400000000003</v>
          </cell>
          <cell r="H337">
            <v>0.22273500000000002</v>
          </cell>
          <cell r="I337">
            <v>0.39229666666666668</v>
          </cell>
          <cell r="J337">
            <v>0.115215</v>
          </cell>
          <cell r="K337">
            <v>0.58707333333333334</v>
          </cell>
          <cell r="L337">
            <v>1.1806750000000001</v>
          </cell>
          <cell r="M337">
            <v>1.4630000000000001E-2</v>
          </cell>
          <cell r="N337">
            <v>0.12205166666666667</v>
          </cell>
          <cell r="O337">
            <v>8.048000000000001E-2</v>
          </cell>
          <cell r="P337">
            <v>9.3409999999999993E-2</v>
          </cell>
          <cell r="Q337">
            <v>0.7302466666666666</v>
          </cell>
          <cell r="R337">
            <v>2.0783200000000002</v>
          </cell>
          <cell r="S337">
            <v>2.5163333333333329E-2</v>
          </cell>
          <cell r="T337">
            <v>0</v>
          </cell>
          <cell r="U337">
            <v>0</v>
          </cell>
          <cell r="V337">
            <v>2.8337300000000001</v>
          </cell>
        </row>
        <row r="338">
          <cell r="E338" t="str">
            <v>73751479</v>
          </cell>
          <cell r="F338">
            <v>6.3080999999999996</v>
          </cell>
          <cell r="G338">
            <v>0</v>
          </cell>
          <cell r="H338">
            <v>3.1349999999999998E-3</v>
          </cell>
          <cell r="I338">
            <v>2.2983333333333335E-2</v>
          </cell>
          <cell r="J338">
            <v>0</v>
          </cell>
          <cell r="K338">
            <v>1.65E-3</v>
          </cell>
          <cell r="L338">
            <v>1.3640000000000001E-2</v>
          </cell>
          <cell r="M338">
            <v>0</v>
          </cell>
          <cell r="N338">
            <v>1.3165000000000001E-2</v>
          </cell>
          <cell r="O338">
            <v>5.6549999999999994E-3</v>
          </cell>
          <cell r="P338">
            <v>2.6383333333333332E-3</v>
          </cell>
          <cell r="Q338">
            <v>2.6118333333333334E-2</v>
          </cell>
          <cell r="R338">
            <v>3.6748333333333334E-2</v>
          </cell>
          <cell r="S338">
            <v>0</v>
          </cell>
          <cell r="T338">
            <v>0</v>
          </cell>
          <cell r="U338">
            <v>0</v>
          </cell>
          <cell r="V338">
            <v>6.2866666666666668E-2</v>
          </cell>
        </row>
        <row r="339">
          <cell r="E339" t="str">
            <v>73751481</v>
          </cell>
          <cell r="F339">
            <v>7.1477000000000004</v>
          </cell>
          <cell r="G339">
            <v>0</v>
          </cell>
          <cell r="H339">
            <v>3.1849999999999999E-3</v>
          </cell>
          <cell r="I339">
            <v>2.2983333333333335E-2</v>
          </cell>
          <cell r="J339">
            <v>0</v>
          </cell>
          <cell r="K339">
            <v>1.65E-3</v>
          </cell>
          <cell r="L339">
            <v>1.6033333333333333E-2</v>
          </cell>
          <cell r="M339">
            <v>0</v>
          </cell>
          <cell r="N339">
            <v>1.3771666666666666E-2</v>
          </cell>
          <cell r="O339">
            <v>5.9733333333333331E-3</v>
          </cell>
          <cell r="P339">
            <v>2.7633333333333334E-3</v>
          </cell>
          <cell r="Q339">
            <v>2.6168333333333335E-2</v>
          </cell>
          <cell r="R339">
            <v>4.019166666666666E-2</v>
          </cell>
          <cell r="S339">
            <v>0</v>
          </cell>
          <cell r="T339">
            <v>0</v>
          </cell>
          <cell r="U339">
            <v>0</v>
          </cell>
          <cell r="V339">
            <v>6.6360000000000002E-2</v>
          </cell>
        </row>
        <row r="340">
          <cell r="E340" t="str">
            <v>73751482</v>
          </cell>
          <cell r="F340">
            <v>10.632300000000001</v>
          </cell>
          <cell r="G340">
            <v>0</v>
          </cell>
          <cell r="H340">
            <v>3.3899999999999998E-3</v>
          </cell>
          <cell r="I340">
            <v>2.2983333333333335E-2</v>
          </cell>
          <cell r="J340">
            <v>0</v>
          </cell>
          <cell r="K340">
            <v>1.65E-3</v>
          </cell>
          <cell r="L340">
            <v>1.4066666666666667E-2</v>
          </cell>
          <cell r="M340">
            <v>0</v>
          </cell>
          <cell r="N340">
            <v>1.3205E-2</v>
          </cell>
          <cell r="O340">
            <v>6.5916666666666667E-3</v>
          </cell>
          <cell r="P340">
            <v>3.2799999999999999E-3</v>
          </cell>
          <cell r="Q340">
            <v>2.6373333333333335E-2</v>
          </cell>
          <cell r="R340">
            <v>3.8793333333333332E-2</v>
          </cell>
          <cell r="S340">
            <v>0</v>
          </cell>
          <cell r="T340">
            <v>0</v>
          </cell>
          <cell r="U340">
            <v>0</v>
          </cell>
          <cell r="V340">
            <v>6.5166666666666664E-2</v>
          </cell>
        </row>
        <row r="341">
          <cell r="E341" t="str">
            <v>73751945</v>
          </cell>
          <cell r="F341">
            <v>10.015599999999999</v>
          </cell>
          <cell r="G341">
            <v>0</v>
          </cell>
          <cell r="H341">
            <v>3.3549999999999999E-3</v>
          </cell>
          <cell r="I341">
            <v>2.2983333333333335E-2</v>
          </cell>
          <cell r="J341">
            <v>0</v>
          </cell>
          <cell r="K341">
            <v>1.65E-3</v>
          </cell>
          <cell r="L341">
            <v>1.5545E-2</v>
          </cell>
          <cell r="M341">
            <v>0</v>
          </cell>
          <cell r="N341">
            <v>1.3198333333333334E-2</v>
          </cell>
          <cell r="O341">
            <v>6.4583333333333333E-3</v>
          </cell>
          <cell r="P341">
            <v>3.1899999999999997E-3</v>
          </cell>
          <cell r="Q341">
            <v>2.6338333333333335E-2</v>
          </cell>
          <cell r="R341">
            <v>4.004166666666667E-2</v>
          </cell>
          <cell r="S341">
            <v>0</v>
          </cell>
          <cell r="T341">
            <v>0</v>
          </cell>
          <cell r="U341">
            <v>0</v>
          </cell>
          <cell r="V341">
            <v>6.6380000000000008E-2</v>
          </cell>
        </row>
        <row r="342">
          <cell r="E342" t="str">
            <v>73751947</v>
          </cell>
          <cell r="F342">
            <v>6.6424000000000003</v>
          </cell>
          <cell r="G342">
            <v>0</v>
          </cell>
          <cell r="H342">
            <v>3.3999999999999998E-3</v>
          </cell>
          <cell r="I342">
            <v>2.2983333333333335E-2</v>
          </cell>
          <cell r="J342">
            <v>0</v>
          </cell>
          <cell r="K342">
            <v>3.7866666666666669E-3</v>
          </cell>
          <cell r="L342">
            <v>1.7689999999999997E-2</v>
          </cell>
          <cell r="M342">
            <v>0</v>
          </cell>
          <cell r="N342">
            <v>1.3168333333333334E-2</v>
          </cell>
          <cell r="O342">
            <v>5.7266666666666672E-3</v>
          </cell>
          <cell r="P342">
            <v>2.6883333333333334E-3</v>
          </cell>
          <cell r="Q342">
            <v>2.6383333333333335E-2</v>
          </cell>
          <cell r="R342">
            <v>4.3059999999999994E-2</v>
          </cell>
          <cell r="S342">
            <v>0</v>
          </cell>
          <cell r="T342">
            <v>0</v>
          </cell>
          <cell r="U342">
            <v>0</v>
          </cell>
          <cell r="V342">
            <v>6.9443333333333329E-2</v>
          </cell>
        </row>
        <row r="343">
          <cell r="E343" t="str">
            <v>73751948</v>
          </cell>
          <cell r="F343">
            <v>11.486800000000001</v>
          </cell>
          <cell r="G343">
            <v>0</v>
          </cell>
          <cell r="H343">
            <v>3.4416666666666667E-3</v>
          </cell>
          <cell r="I343">
            <v>2.2983333333333335E-2</v>
          </cell>
          <cell r="J343">
            <v>0</v>
          </cell>
          <cell r="K343">
            <v>1.65E-3</v>
          </cell>
          <cell r="L343">
            <v>1.5689999999999999E-2</v>
          </cell>
          <cell r="M343">
            <v>0</v>
          </cell>
          <cell r="N343">
            <v>1.3211666666666667E-2</v>
          </cell>
          <cell r="O343">
            <v>6.7766666666666669E-3</v>
          </cell>
          <cell r="P343">
            <v>3.4083333333333331E-3</v>
          </cell>
          <cell r="Q343">
            <v>2.6425000000000001E-2</v>
          </cell>
          <cell r="R343">
            <v>4.0736666666666664E-2</v>
          </cell>
          <cell r="S343">
            <v>0</v>
          </cell>
          <cell r="T343">
            <v>0</v>
          </cell>
          <cell r="U343">
            <v>0</v>
          </cell>
          <cell r="V343">
            <v>6.7161666666666661E-2</v>
          </cell>
        </row>
        <row r="344">
          <cell r="E344" t="str">
            <v>73751949</v>
          </cell>
          <cell r="F344">
            <v>7.5339999999999998</v>
          </cell>
          <cell r="G344">
            <v>0</v>
          </cell>
          <cell r="H344">
            <v>3.2083333333333334E-3</v>
          </cell>
          <cell r="I344">
            <v>2.2983333333333335E-2</v>
          </cell>
          <cell r="J344">
            <v>0</v>
          </cell>
          <cell r="K344">
            <v>1.65E-3</v>
          </cell>
          <cell r="L344">
            <v>1.3763333333333332E-2</v>
          </cell>
          <cell r="M344">
            <v>0</v>
          </cell>
          <cell r="N344">
            <v>1.3176666666666666E-2</v>
          </cell>
          <cell r="O344">
            <v>5.9216666666666671E-3</v>
          </cell>
          <cell r="P344">
            <v>2.82E-3</v>
          </cell>
          <cell r="Q344">
            <v>2.6191666666666669E-2</v>
          </cell>
          <cell r="R344">
            <v>3.7331666666666666E-2</v>
          </cell>
          <cell r="S344">
            <v>0</v>
          </cell>
          <cell r="T344">
            <v>0</v>
          </cell>
          <cell r="U344">
            <v>0</v>
          </cell>
          <cell r="V344">
            <v>6.3523333333333334E-2</v>
          </cell>
        </row>
        <row r="345">
          <cell r="E345" t="str">
            <v>73751950</v>
          </cell>
          <cell r="F345">
            <v>24.860800000000001</v>
          </cell>
          <cell r="G345">
            <v>0</v>
          </cell>
          <cell r="H345">
            <v>4.2300000000000003E-3</v>
          </cell>
          <cell r="I345">
            <v>2.2983333333333335E-2</v>
          </cell>
          <cell r="J345">
            <v>0</v>
          </cell>
          <cell r="K345">
            <v>1.65E-3</v>
          </cell>
          <cell r="L345">
            <v>1.5466666666666667E-2</v>
          </cell>
          <cell r="M345">
            <v>0</v>
          </cell>
          <cell r="N345">
            <v>1.3331666666666667E-2</v>
          </cell>
          <cell r="O345">
            <v>9.6700000000000015E-3</v>
          </cell>
          <cell r="P345">
            <v>5.3966666666666659E-3</v>
          </cell>
          <cell r="Q345">
            <v>2.7213333333333336E-2</v>
          </cell>
          <cell r="R345">
            <v>4.5515000000000007E-2</v>
          </cell>
          <cell r="S345">
            <v>0</v>
          </cell>
          <cell r="T345">
            <v>0</v>
          </cell>
          <cell r="U345">
            <v>0</v>
          </cell>
          <cell r="V345">
            <v>7.2728333333333339E-2</v>
          </cell>
        </row>
        <row r="346">
          <cell r="E346" t="str">
            <v>BC111-11730-3</v>
          </cell>
          <cell r="F346">
            <v>438.90910000000002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1.4606666666666665E-2</v>
          </cell>
          <cell r="U346">
            <v>0</v>
          </cell>
          <cell r="V346">
            <v>1.4606666666666665E-2</v>
          </cell>
        </row>
        <row r="347">
          <cell r="E347" t="str">
            <v>BC111-11810-3</v>
          </cell>
          <cell r="F347">
            <v>446.48099999999999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1.4674999999999999E-2</v>
          </cell>
          <cell r="U347">
            <v>0</v>
          </cell>
          <cell r="V347">
            <v>1.4674999999999999E-2</v>
          </cell>
        </row>
        <row r="348">
          <cell r="E348" t="str">
            <v>BC111-16A40-1</v>
          </cell>
          <cell r="F348">
            <v>145.75470000000001</v>
          </cell>
          <cell r="G348">
            <v>0</v>
          </cell>
          <cell r="H348">
            <v>1.7849999999999999E-3</v>
          </cell>
          <cell r="I348">
            <v>9.5300000000000003E-3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2.6150000000000001E-3</v>
          </cell>
          <cell r="Q348">
            <v>1.1315E-2</v>
          </cell>
          <cell r="R348">
            <v>2.6150000000000001E-3</v>
          </cell>
          <cell r="S348">
            <v>0</v>
          </cell>
          <cell r="T348">
            <v>0</v>
          </cell>
          <cell r="U348">
            <v>0</v>
          </cell>
          <cell r="V348">
            <v>1.3930000000000001E-2</v>
          </cell>
        </row>
        <row r="349">
          <cell r="E349" t="str">
            <v>BC111-16A40-2</v>
          </cell>
          <cell r="F349">
            <v>122.9375</v>
          </cell>
          <cell r="G349">
            <v>0</v>
          </cell>
          <cell r="H349">
            <v>1.6383333333333332E-3</v>
          </cell>
          <cell r="I349">
            <v>9.5300000000000003E-3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2.4866666666666665E-3</v>
          </cell>
          <cell r="Q349">
            <v>1.1168333333333334E-2</v>
          </cell>
          <cell r="R349">
            <v>2.4866666666666665E-3</v>
          </cell>
          <cell r="S349">
            <v>0</v>
          </cell>
          <cell r="T349">
            <v>0</v>
          </cell>
          <cell r="U349">
            <v>0</v>
          </cell>
          <cell r="V349">
            <v>1.3655E-2</v>
          </cell>
        </row>
        <row r="350">
          <cell r="E350" t="str">
            <v>BC111-16B41-1</v>
          </cell>
          <cell r="F350">
            <v>325.3306</v>
          </cell>
          <cell r="G350">
            <v>0</v>
          </cell>
          <cell r="H350">
            <v>2.7399999999999998E-3</v>
          </cell>
          <cell r="I350">
            <v>6.4333333333333334E-3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3.1716666666666668E-3</v>
          </cell>
          <cell r="Q350">
            <v>9.1733333333333337E-3</v>
          </cell>
          <cell r="R350">
            <v>3.1716666666666668E-3</v>
          </cell>
          <cell r="S350">
            <v>0</v>
          </cell>
          <cell r="T350">
            <v>0</v>
          </cell>
          <cell r="U350">
            <v>0</v>
          </cell>
          <cell r="V350">
            <v>1.2345E-2</v>
          </cell>
        </row>
        <row r="351">
          <cell r="E351" t="str">
            <v>BC111-16D11-1</v>
          </cell>
          <cell r="F351">
            <v>182.50890000000001</v>
          </cell>
          <cell r="G351">
            <v>0</v>
          </cell>
          <cell r="H351">
            <v>2.241666666666667E-3</v>
          </cell>
          <cell r="I351">
            <v>7.9816666666666664E-3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2.5683333333333331E-3</v>
          </cell>
          <cell r="Q351">
            <v>1.0223333333333334E-2</v>
          </cell>
          <cell r="R351">
            <v>2.5683333333333331E-3</v>
          </cell>
          <cell r="S351">
            <v>0</v>
          </cell>
          <cell r="T351">
            <v>0</v>
          </cell>
          <cell r="U351">
            <v>0</v>
          </cell>
          <cell r="V351">
            <v>1.2791666666666666E-2</v>
          </cell>
        </row>
        <row r="352">
          <cell r="E352" t="str">
            <v>BC111-16F01-1</v>
          </cell>
          <cell r="F352">
            <v>322.45850000000002</v>
          </cell>
          <cell r="G352">
            <v>0</v>
          </cell>
          <cell r="H352">
            <v>2.7533333333333338E-3</v>
          </cell>
          <cell r="I352">
            <v>6.4333333333333334E-3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3.16E-3</v>
          </cell>
          <cell r="Q352">
            <v>9.1866666666666676E-3</v>
          </cell>
          <cell r="R352">
            <v>3.16E-3</v>
          </cell>
          <cell r="S352">
            <v>0</v>
          </cell>
          <cell r="T352">
            <v>0</v>
          </cell>
          <cell r="U352">
            <v>0</v>
          </cell>
          <cell r="V352">
            <v>1.2346666666666667E-2</v>
          </cell>
        </row>
        <row r="353">
          <cell r="E353" t="str">
            <v>BC111-16J40-1</v>
          </cell>
          <cell r="F353">
            <v>182.50890000000001</v>
          </cell>
          <cell r="G353">
            <v>0</v>
          </cell>
          <cell r="H353">
            <v>2.241666666666667E-3</v>
          </cell>
          <cell r="I353">
            <v>7.9816666666666664E-3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2.5683333333333331E-3</v>
          </cell>
          <cell r="Q353">
            <v>1.0223333333333334E-2</v>
          </cell>
          <cell r="R353">
            <v>2.5683333333333331E-3</v>
          </cell>
          <cell r="S353">
            <v>0</v>
          </cell>
          <cell r="T353">
            <v>0</v>
          </cell>
          <cell r="U353">
            <v>0</v>
          </cell>
          <cell r="V353">
            <v>1.2791666666666666E-2</v>
          </cell>
        </row>
        <row r="354">
          <cell r="E354" t="str">
            <v>BC111-16P60-1</v>
          </cell>
          <cell r="F354">
            <v>323.50290000000001</v>
          </cell>
          <cell r="G354">
            <v>0</v>
          </cell>
          <cell r="H354">
            <v>2.7316666666666665E-3</v>
          </cell>
          <cell r="I354">
            <v>6.4333333333333334E-3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3.1650000000000003E-3</v>
          </cell>
          <cell r="Q354">
            <v>9.1649999999999995E-3</v>
          </cell>
          <cell r="R354">
            <v>3.1650000000000003E-3</v>
          </cell>
          <cell r="S354">
            <v>0</v>
          </cell>
          <cell r="T354">
            <v>0</v>
          </cell>
          <cell r="U354">
            <v>0</v>
          </cell>
          <cell r="V354">
            <v>1.2330000000000001E-2</v>
          </cell>
        </row>
        <row r="355">
          <cell r="E355" t="str">
            <v>BC111-16R30-1</v>
          </cell>
          <cell r="F355">
            <v>182.50890000000001</v>
          </cell>
          <cell r="G355">
            <v>0</v>
          </cell>
          <cell r="H355">
            <v>2.241666666666667E-3</v>
          </cell>
          <cell r="I355">
            <v>7.9816666666666664E-3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2.5683333333333331E-3</v>
          </cell>
          <cell r="Q355">
            <v>1.0223333333333334E-2</v>
          </cell>
          <cell r="R355">
            <v>2.5683333333333331E-3</v>
          </cell>
          <cell r="S355">
            <v>0</v>
          </cell>
          <cell r="T355">
            <v>0</v>
          </cell>
          <cell r="U355">
            <v>0</v>
          </cell>
          <cell r="V355">
            <v>1.2791666666666666E-2</v>
          </cell>
        </row>
        <row r="356">
          <cell r="E356" t="str">
            <v>BC111-16R90-1</v>
          </cell>
          <cell r="F356">
            <v>322.19740000000002</v>
          </cell>
          <cell r="G356">
            <v>0</v>
          </cell>
          <cell r="H356">
            <v>2.7516666666666666E-3</v>
          </cell>
          <cell r="I356">
            <v>6.4333333333333334E-3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3.1583333333333333E-3</v>
          </cell>
          <cell r="Q356">
            <v>9.1850000000000005E-3</v>
          </cell>
          <cell r="R356">
            <v>3.1583333333333333E-3</v>
          </cell>
          <cell r="S356">
            <v>0</v>
          </cell>
          <cell r="T356">
            <v>0</v>
          </cell>
          <cell r="U356">
            <v>0</v>
          </cell>
          <cell r="V356">
            <v>1.2343333333333335E-2</v>
          </cell>
        </row>
        <row r="357">
          <cell r="E357" t="str">
            <v>BC111-1HQ61-1</v>
          </cell>
          <cell r="F357">
            <v>182.50890000000001</v>
          </cell>
          <cell r="G357">
            <v>0</v>
          </cell>
          <cell r="H357">
            <v>2.241666666666667E-3</v>
          </cell>
          <cell r="I357">
            <v>7.9816666666666664E-3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2.5683333333333331E-3</v>
          </cell>
          <cell r="Q357">
            <v>1.0223333333333334E-2</v>
          </cell>
          <cell r="R357">
            <v>2.5683333333333331E-3</v>
          </cell>
          <cell r="S357">
            <v>0</v>
          </cell>
          <cell r="T357">
            <v>0</v>
          </cell>
          <cell r="U357">
            <v>0</v>
          </cell>
          <cell r="V357">
            <v>1.2791666666666666E-2</v>
          </cell>
        </row>
        <row r="358">
          <cell r="E358" t="str">
            <v>BC111-1HR01-1</v>
          </cell>
          <cell r="F358">
            <v>182.50890000000001</v>
          </cell>
          <cell r="G358">
            <v>0</v>
          </cell>
          <cell r="H358">
            <v>2.241666666666667E-3</v>
          </cell>
          <cell r="I358">
            <v>7.9816666666666664E-3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2.5683333333333331E-3</v>
          </cell>
          <cell r="Q358">
            <v>1.0223333333333334E-2</v>
          </cell>
          <cell r="R358">
            <v>2.5683333333333331E-3</v>
          </cell>
          <cell r="S358">
            <v>0</v>
          </cell>
          <cell r="T358">
            <v>0</v>
          </cell>
          <cell r="U358">
            <v>0</v>
          </cell>
          <cell r="V358">
            <v>1.2791666666666666E-2</v>
          </cell>
        </row>
        <row r="359">
          <cell r="E359" t="str">
            <v>BC111-1HY10-1</v>
          </cell>
          <cell r="F359">
            <v>143.98439999999999</v>
          </cell>
          <cell r="G359">
            <v>0</v>
          </cell>
          <cell r="H359">
            <v>1.7749999999999999E-3</v>
          </cell>
          <cell r="I359">
            <v>9.5300000000000003E-3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2.6050000000000001E-3</v>
          </cell>
          <cell r="Q359">
            <v>1.1305000000000001E-2</v>
          </cell>
          <cell r="R359">
            <v>2.6050000000000001E-3</v>
          </cell>
          <cell r="S359">
            <v>0</v>
          </cell>
          <cell r="T359">
            <v>0</v>
          </cell>
          <cell r="U359">
            <v>0</v>
          </cell>
          <cell r="V359">
            <v>1.391E-2</v>
          </cell>
        </row>
        <row r="360">
          <cell r="E360" t="str">
            <v>BC111-1HY10-2</v>
          </cell>
          <cell r="F360">
            <v>119.5936</v>
          </cell>
          <cell r="G360">
            <v>0</v>
          </cell>
          <cell r="H360">
            <v>1.6166666666666666E-3</v>
          </cell>
          <cell r="I360">
            <v>9.5300000000000003E-3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2.4666666666666665E-3</v>
          </cell>
          <cell r="Q360">
            <v>1.1146666666666668E-2</v>
          </cell>
          <cell r="R360">
            <v>2.4666666666666665E-3</v>
          </cell>
          <cell r="S360">
            <v>0</v>
          </cell>
          <cell r="T360">
            <v>0</v>
          </cell>
          <cell r="U360">
            <v>0</v>
          </cell>
          <cell r="V360">
            <v>1.3613333333333335E-2</v>
          </cell>
        </row>
        <row r="361">
          <cell r="E361" t="str">
            <v>BC111-1KU50-1</v>
          </cell>
          <cell r="F361">
            <v>142.2141</v>
          </cell>
          <cell r="G361">
            <v>0</v>
          </cell>
          <cell r="H361">
            <v>1.7633333333333333E-3</v>
          </cell>
          <cell r="I361">
            <v>9.5300000000000003E-3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2.5950000000000001E-3</v>
          </cell>
          <cell r="Q361">
            <v>1.1293333333333334E-2</v>
          </cell>
          <cell r="R361">
            <v>2.5950000000000001E-3</v>
          </cell>
          <cell r="S361">
            <v>0</v>
          </cell>
          <cell r="T361">
            <v>0</v>
          </cell>
          <cell r="U361">
            <v>0</v>
          </cell>
          <cell r="V361">
            <v>1.3888333333333334E-2</v>
          </cell>
        </row>
        <row r="362">
          <cell r="E362" t="str">
            <v>BC111-1KU50-2</v>
          </cell>
          <cell r="F362">
            <v>118.6101</v>
          </cell>
          <cell r="G362">
            <v>0</v>
          </cell>
          <cell r="H362">
            <v>1.6100000000000001E-3</v>
          </cell>
          <cell r="I362">
            <v>9.5300000000000003E-3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2.4616666666666667E-3</v>
          </cell>
          <cell r="Q362">
            <v>1.1140000000000001E-2</v>
          </cell>
          <cell r="R362">
            <v>2.4616666666666667E-3</v>
          </cell>
          <cell r="S362">
            <v>0</v>
          </cell>
          <cell r="T362">
            <v>0</v>
          </cell>
          <cell r="U362">
            <v>0</v>
          </cell>
          <cell r="V362">
            <v>1.3601666666666668E-2</v>
          </cell>
        </row>
        <row r="363">
          <cell r="E363" t="str">
            <v>BC111-2FE72-1</v>
          </cell>
          <cell r="F363">
            <v>100.1203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1.1176666666666666E-2</v>
          </cell>
          <cell r="U363">
            <v>0</v>
          </cell>
          <cell r="V363">
            <v>1.1176666666666666E-2</v>
          </cell>
        </row>
        <row r="364">
          <cell r="E364" t="str">
            <v>BC111-2FE72-2</v>
          </cell>
          <cell r="F364">
            <v>328.09559999999999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1.1361666666666666E-2</v>
          </cell>
          <cell r="U364">
            <v>0</v>
          </cell>
          <cell r="V364">
            <v>1.1361666666666666E-2</v>
          </cell>
        </row>
        <row r="365">
          <cell r="E365" t="str">
            <v>BC111-47V60-1</v>
          </cell>
          <cell r="F365">
            <v>182.50890000000001</v>
          </cell>
          <cell r="G365">
            <v>0</v>
          </cell>
          <cell r="H365">
            <v>2.2383333333333335E-3</v>
          </cell>
          <cell r="I365">
            <v>7.9816666666666664E-3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2.5683333333333331E-3</v>
          </cell>
          <cell r="Q365">
            <v>1.022E-2</v>
          </cell>
          <cell r="R365">
            <v>2.5683333333333331E-3</v>
          </cell>
          <cell r="S365">
            <v>0</v>
          </cell>
          <cell r="T365">
            <v>0</v>
          </cell>
          <cell r="U365">
            <v>0</v>
          </cell>
          <cell r="V365">
            <v>1.2788333333333332E-2</v>
          </cell>
        </row>
        <row r="366">
          <cell r="E366" t="str">
            <v>BC111-4EB50-1</v>
          </cell>
          <cell r="F366">
            <v>182.50890000000001</v>
          </cell>
          <cell r="G366">
            <v>0</v>
          </cell>
          <cell r="H366">
            <v>2.2383333333333335E-3</v>
          </cell>
          <cell r="I366">
            <v>7.9816666666666664E-3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2.5683333333333331E-3</v>
          </cell>
          <cell r="Q366">
            <v>1.022E-2</v>
          </cell>
          <cell r="R366">
            <v>2.5683333333333331E-3</v>
          </cell>
          <cell r="S366">
            <v>0</v>
          </cell>
          <cell r="T366">
            <v>0</v>
          </cell>
          <cell r="U366">
            <v>0</v>
          </cell>
          <cell r="V366">
            <v>1.2788333333333332E-2</v>
          </cell>
        </row>
        <row r="367">
          <cell r="E367" t="str">
            <v>BC111-4EE80-1</v>
          </cell>
          <cell r="F367">
            <v>323.24180000000001</v>
          </cell>
          <cell r="G367">
            <v>0</v>
          </cell>
          <cell r="H367">
            <v>2.7300000000000002E-3</v>
          </cell>
          <cell r="I367">
            <v>6.4333333333333334E-3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3.1633333333333331E-3</v>
          </cell>
          <cell r="Q367">
            <v>9.1633333333333341E-3</v>
          </cell>
          <cell r="R367">
            <v>3.1633333333333331E-3</v>
          </cell>
          <cell r="S367">
            <v>0</v>
          </cell>
          <cell r="T367">
            <v>0</v>
          </cell>
          <cell r="U367">
            <v>0</v>
          </cell>
          <cell r="V367">
            <v>1.2326666666666666E-2</v>
          </cell>
        </row>
        <row r="368">
          <cell r="E368" t="str">
            <v>BC111-4EW40-1</v>
          </cell>
          <cell r="F368">
            <v>321.15300000000002</v>
          </cell>
          <cell r="G368">
            <v>0</v>
          </cell>
          <cell r="H368">
            <v>2.7366666666666668E-3</v>
          </cell>
          <cell r="I368">
            <v>6.4333333333333334E-3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3.1549999999999998E-3</v>
          </cell>
          <cell r="Q368">
            <v>9.1700000000000011E-3</v>
          </cell>
          <cell r="R368">
            <v>3.1549999999999998E-3</v>
          </cell>
          <cell r="S368">
            <v>0</v>
          </cell>
          <cell r="T368">
            <v>0</v>
          </cell>
          <cell r="U368">
            <v>0</v>
          </cell>
          <cell r="V368">
            <v>1.2325000000000001E-2</v>
          </cell>
        </row>
        <row r="369">
          <cell r="E369" t="str">
            <v>BC111-5A841-2</v>
          </cell>
          <cell r="F369">
            <v>454.05290000000002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1.4745000000000001E-2</v>
          </cell>
          <cell r="U369">
            <v>0</v>
          </cell>
          <cell r="V369">
            <v>1.4745000000000001E-2</v>
          </cell>
        </row>
        <row r="370">
          <cell r="E370" t="str">
            <v>BC111-5A843-2</v>
          </cell>
          <cell r="F370">
            <v>454.05290000000002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1.6293333333333333E-2</v>
          </cell>
          <cell r="U370">
            <v>0</v>
          </cell>
          <cell r="V370">
            <v>1.6293333333333333E-2</v>
          </cell>
        </row>
        <row r="371">
          <cell r="E371" t="str">
            <v>BC111-5A852-2</v>
          </cell>
          <cell r="F371">
            <v>452.74740000000003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1.4731666666666667E-2</v>
          </cell>
          <cell r="U371">
            <v>0</v>
          </cell>
          <cell r="V371">
            <v>1.4731666666666667E-2</v>
          </cell>
        </row>
        <row r="372">
          <cell r="E372" t="str">
            <v>BC111-5A881-2</v>
          </cell>
          <cell r="F372">
            <v>454.05290000000002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1.4745000000000001E-2</v>
          </cell>
          <cell r="U372">
            <v>0</v>
          </cell>
          <cell r="V372">
            <v>1.4745000000000001E-2</v>
          </cell>
        </row>
        <row r="373">
          <cell r="E373" t="str">
            <v>BC111-5A883-2</v>
          </cell>
          <cell r="F373">
            <v>454.05290000000002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1.6293333333333333E-2</v>
          </cell>
          <cell r="U373">
            <v>0</v>
          </cell>
          <cell r="V373">
            <v>1.6293333333333333E-2</v>
          </cell>
        </row>
        <row r="374">
          <cell r="E374" t="str">
            <v>BC111-5AA02-2</v>
          </cell>
          <cell r="F374">
            <v>455.35840000000002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1.4756666666666666E-2</v>
          </cell>
          <cell r="U374">
            <v>0</v>
          </cell>
          <cell r="V374">
            <v>1.4756666666666666E-2</v>
          </cell>
        </row>
        <row r="375">
          <cell r="E375" t="str">
            <v>BC111-5AA03-2</v>
          </cell>
          <cell r="F375">
            <v>455.35840000000002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1.6305E-2</v>
          </cell>
          <cell r="U375">
            <v>0</v>
          </cell>
          <cell r="V375">
            <v>1.6305E-2</v>
          </cell>
        </row>
        <row r="376">
          <cell r="E376" t="str">
            <v>BC111-5AC33-2</v>
          </cell>
          <cell r="F376">
            <v>452.74740000000003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1.6279999999999999E-2</v>
          </cell>
          <cell r="U376">
            <v>0</v>
          </cell>
          <cell r="V376">
            <v>1.6279999999999999E-2</v>
          </cell>
        </row>
        <row r="377">
          <cell r="E377" t="str">
            <v>BC111-5DR50-1</v>
          </cell>
          <cell r="F377">
            <v>71.981800000000007</v>
          </cell>
          <cell r="G377">
            <v>0</v>
          </cell>
          <cell r="H377">
            <v>8.8666666666666657E-4</v>
          </cell>
          <cell r="I377">
            <v>9.5300000000000003E-3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2.4933333333333335E-3</v>
          </cell>
          <cell r="Q377">
            <v>1.0416666666666666E-2</v>
          </cell>
          <cell r="R377">
            <v>2.4933333333333335E-3</v>
          </cell>
          <cell r="S377">
            <v>0</v>
          </cell>
          <cell r="T377">
            <v>0</v>
          </cell>
          <cell r="U377">
            <v>0</v>
          </cell>
          <cell r="V377">
            <v>1.291E-2</v>
          </cell>
        </row>
        <row r="378">
          <cell r="E378" t="str">
            <v>BC111-5DR50-2</v>
          </cell>
          <cell r="F378">
            <v>106.4147</v>
          </cell>
          <cell r="G378">
            <v>0</v>
          </cell>
          <cell r="H378">
            <v>1.5316666666666666E-3</v>
          </cell>
          <cell r="I378">
            <v>9.5300000000000003E-3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2.4483333333333332E-3</v>
          </cell>
          <cell r="Q378">
            <v>1.1061666666666668E-2</v>
          </cell>
          <cell r="R378">
            <v>2.4483333333333332E-3</v>
          </cell>
          <cell r="S378">
            <v>0</v>
          </cell>
          <cell r="T378">
            <v>0</v>
          </cell>
          <cell r="U378">
            <v>0</v>
          </cell>
          <cell r="V378">
            <v>1.3510000000000001E-2</v>
          </cell>
        </row>
        <row r="379">
          <cell r="E379" t="str">
            <v>BC111-62062-2</v>
          </cell>
          <cell r="F379">
            <v>454.05290000000002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1.4745000000000001E-2</v>
          </cell>
          <cell r="U379">
            <v>0</v>
          </cell>
          <cell r="V379">
            <v>1.4745000000000001E-2</v>
          </cell>
        </row>
        <row r="380">
          <cell r="E380" t="str">
            <v>BC111-62064-2</v>
          </cell>
          <cell r="F380">
            <v>454.05290000000002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1.6293333333333333E-2</v>
          </cell>
          <cell r="U380">
            <v>0</v>
          </cell>
          <cell r="V380">
            <v>1.6293333333333333E-2</v>
          </cell>
        </row>
        <row r="381">
          <cell r="E381" t="str">
            <v>BC111-62092-2</v>
          </cell>
          <cell r="F381">
            <v>454.05290000000002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1.4745000000000001E-2</v>
          </cell>
          <cell r="U381">
            <v>0</v>
          </cell>
          <cell r="V381">
            <v>1.4745000000000001E-2</v>
          </cell>
        </row>
        <row r="382">
          <cell r="E382" t="str">
            <v>BC111-62215-2</v>
          </cell>
          <cell r="F382">
            <v>454.05290000000002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1.6293333333333333E-2</v>
          </cell>
          <cell r="U382">
            <v>0</v>
          </cell>
          <cell r="V382">
            <v>1.6293333333333333E-2</v>
          </cell>
        </row>
        <row r="383">
          <cell r="E383" t="str">
            <v>BC111-V1020-1</v>
          </cell>
          <cell r="F383">
            <v>128.20009999999999</v>
          </cell>
          <cell r="G383">
            <v>0</v>
          </cell>
          <cell r="H383">
            <v>1.4683333333333332E-3</v>
          </cell>
          <cell r="I383">
            <v>7.9816666666666664E-3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2.3366666666666666E-3</v>
          </cell>
          <cell r="Q383">
            <v>9.4500000000000001E-3</v>
          </cell>
          <cell r="R383">
            <v>2.3366666666666666E-3</v>
          </cell>
          <cell r="S383">
            <v>0</v>
          </cell>
          <cell r="T383">
            <v>0</v>
          </cell>
          <cell r="U383">
            <v>0</v>
          </cell>
          <cell r="V383">
            <v>1.1786666666666668E-2</v>
          </cell>
        </row>
        <row r="384">
          <cell r="E384" t="str">
            <v>BC111-V1100-1</v>
          </cell>
          <cell r="F384">
            <v>136.55529999999999</v>
          </cell>
          <cell r="G384">
            <v>0</v>
          </cell>
          <cell r="H384">
            <v>1.5083333333333333E-3</v>
          </cell>
          <cell r="I384">
            <v>7.9816666666666664E-3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2.3733333333333332E-3</v>
          </cell>
          <cell r="Q384">
            <v>9.4900000000000002E-3</v>
          </cell>
          <cell r="R384">
            <v>2.3733333333333332E-3</v>
          </cell>
          <cell r="S384">
            <v>0</v>
          </cell>
          <cell r="T384">
            <v>0</v>
          </cell>
          <cell r="U384">
            <v>0</v>
          </cell>
          <cell r="V384">
            <v>1.1863333333333333E-2</v>
          </cell>
        </row>
        <row r="385">
          <cell r="E385" t="str">
            <v>BC111-V3650-2</v>
          </cell>
          <cell r="F385">
            <v>343.63490000000002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1.1546666666666667E-2</v>
          </cell>
          <cell r="U385">
            <v>0</v>
          </cell>
          <cell r="V385">
            <v>1.1546666666666667E-2</v>
          </cell>
        </row>
        <row r="386">
          <cell r="E386" t="str">
            <v>BC111-V3881-1</v>
          </cell>
          <cell r="F386">
            <v>64.714299999999994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8.1883333333333339E-3</v>
          </cell>
          <cell r="U386">
            <v>0</v>
          </cell>
          <cell r="V386">
            <v>8.1883333333333339E-3</v>
          </cell>
        </row>
        <row r="387">
          <cell r="E387" t="str">
            <v>BC111-V3891-1</v>
          </cell>
          <cell r="F387">
            <v>144.5745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1.3916666666666666E-2</v>
          </cell>
          <cell r="U387">
            <v>0</v>
          </cell>
          <cell r="V387">
            <v>1.3916666666666666E-2</v>
          </cell>
        </row>
        <row r="388">
          <cell r="E388" t="str">
            <v>BC111-V3891-2</v>
          </cell>
          <cell r="F388">
            <v>164.523</v>
          </cell>
          <cell r="G388">
            <v>0</v>
          </cell>
          <cell r="H388">
            <v>1.2700000000000001E-3</v>
          </cell>
          <cell r="I388">
            <v>7.0400000000000003E-3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3.4266666666666668E-3</v>
          </cell>
          <cell r="Q388">
            <v>8.3099999999999997E-3</v>
          </cell>
          <cell r="R388">
            <v>3.4266666666666668E-3</v>
          </cell>
          <cell r="S388">
            <v>0</v>
          </cell>
          <cell r="T388">
            <v>0</v>
          </cell>
          <cell r="U388">
            <v>0</v>
          </cell>
          <cell r="V388">
            <v>1.1736666666666666E-2</v>
          </cell>
        </row>
        <row r="389">
          <cell r="E389" t="str">
            <v>BC111-V3891-6</v>
          </cell>
          <cell r="F389">
            <v>348.35570000000001</v>
          </cell>
          <cell r="G389">
            <v>0</v>
          </cell>
          <cell r="H389">
            <v>3.3933333333333333E-3</v>
          </cell>
          <cell r="I389">
            <v>7.0400000000000003E-3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3.7516666666666666E-3</v>
          </cell>
          <cell r="Q389">
            <v>1.0433333333333333E-2</v>
          </cell>
          <cell r="R389">
            <v>3.7516666666666666E-3</v>
          </cell>
          <cell r="S389">
            <v>0</v>
          </cell>
          <cell r="T389">
            <v>0</v>
          </cell>
          <cell r="U389">
            <v>0</v>
          </cell>
          <cell r="V389">
            <v>1.4185E-2</v>
          </cell>
        </row>
        <row r="390">
          <cell r="E390" t="str">
            <v>BC115-5CC80-1</v>
          </cell>
          <cell r="F390">
            <v>71.981800000000007</v>
          </cell>
          <cell r="G390">
            <v>0</v>
          </cell>
          <cell r="H390">
            <v>8.8666666666666657E-4</v>
          </cell>
          <cell r="I390">
            <v>9.5300000000000003E-3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2.4383333333333336E-3</v>
          </cell>
          <cell r="Q390">
            <v>1.0416666666666666E-2</v>
          </cell>
          <cell r="R390">
            <v>2.4383333333333336E-3</v>
          </cell>
          <cell r="S390">
            <v>0</v>
          </cell>
          <cell r="T390">
            <v>0</v>
          </cell>
          <cell r="U390">
            <v>0</v>
          </cell>
          <cell r="V390">
            <v>1.2855E-2</v>
          </cell>
        </row>
        <row r="391">
          <cell r="E391" t="str">
            <v>BC115-5CC80-2</v>
          </cell>
          <cell r="F391">
            <v>106.4147</v>
          </cell>
          <cell r="G391">
            <v>0</v>
          </cell>
          <cell r="H391">
            <v>1.5316666666666666E-3</v>
          </cell>
          <cell r="I391">
            <v>9.5300000000000003E-3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2.3933333333333333E-3</v>
          </cell>
          <cell r="Q391">
            <v>1.1061666666666668E-2</v>
          </cell>
          <cell r="R391">
            <v>2.3933333333333333E-3</v>
          </cell>
          <cell r="S391">
            <v>0</v>
          </cell>
          <cell r="T391">
            <v>0</v>
          </cell>
          <cell r="U391">
            <v>0</v>
          </cell>
          <cell r="V391">
            <v>1.3455000000000002E-2</v>
          </cell>
        </row>
        <row r="392">
          <cell r="E392" t="str">
            <v>BC121-35G70-1</v>
          </cell>
          <cell r="F392">
            <v>338.11799999999999</v>
          </cell>
          <cell r="G392">
            <v>0</v>
          </cell>
          <cell r="H392">
            <v>2.6133333333333334E-3</v>
          </cell>
          <cell r="I392">
            <v>9.5300000000000003E-3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3.1749999999999999E-3</v>
          </cell>
          <cell r="Q392">
            <v>1.2143333333333334E-2</v>
          </cell>
          <cell r="R392">
            <v>3.1749999999999999E-3</v>
          </cell>
          <cell r="S392">
            <v>0</v>
          </cell>
          <cell r="T392">
            <v>0</v>
          </cell>
          <cell r="U392">
            <v>0</v>
          </cell>
          <cell r="V392">
            <v>1.5318333333333333E-2</v>
          </cell>
        </row>
        <row r="393">
          <cell r="E393" t="str">
            <v>BC121-35G90-1</v>
          </cell>
          <cell r="F393">
            <v>452.70400000000001</v>
          </cell>
          <cell r="G393">
            <v>0</v>
          </cell>
          <cell r="H393">
            <v>2.6199999999999999E-3</v>
          </cell>
          <cell r="I393">
            <v>9.5300000000000003E-3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3.1816666666666664E-3</v>
          </cell>
          <cell r="Q393">
            <v>1.2150000000000001E-2</v>
          </cell>
          <cell r="R393">
            <v>3.1816666666666664E-3</v>
          </cell>
          <cell r="S393">
            <v>0</v>
          </cell>
          <cell r="T393">
            <v>0</v>
          </cell>
          <cell r="U393">
            <v>0</v>
          </cell>
          <cell r="V393">
            <v>1.5331666666666667E-2</v>
          </cell>
        </row>
        <row r="394">
          <cell r="E394" t="str">
            <v>BC121-35K80-1</v>
          </cell>
          <cell r="F394">
            <v>335.298</v>
          </cell>
          <cell r="G394">
            <v>0</v>
          </cell>
          <cell r="H394">
            <v>2.6016666666666666E-3</v>
          </cell>
          <cell r="I394">
            <v>9.5300000000000003E-3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3.1650000000000003E-3</v>
          </cell>
          <cell r="Q394">
            <v>1.2131666666666667E-2</v>
          </cell>
          <cell r="R394">
            <v>3.1650000000000003E-3</v>
          </cell>
          <cell r="S394">
            <v>0</v>
          </cell>
          <cell r="T394">
            <v>0</v>
          </cell>
          <cell r="U394">
            <v>0</v>
          </cell>
          <cell r="V394">
            <v>1.5296666666666667E-2</v>
          </cell>
        </row>
        <row r="395">
          <cell r="E395" t="str">
            <v>BC121-6AM60-1</v>
          </cell>
          <cell r="F395">
            <v>452.70400000000001</v>
          </cell>
          <cell r="G395">
            <v>0</v>
          </cell>
          <cell r="H395">
            <v>2.6199999999999999E-3</v>
          </cell>
          <cell r="I395">
            <v>9.5300000000000003E-3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3.1816666666666664E-3</v>
          </cell>
          <cell r="Q395">
            <v>1.2150000000000001E-2</v>
          </cell>
          <cell r="R395">
            <v>3.1816666666666664E-3</v>
          </cell>
          <cell r="S395">
            <v>0</v>
          </cell>
          <cell r="T395">
            <v>0</v>
          </cell>
          <cell r="U395">
            <v>0</v>
          </cell>
          <cell r="V395">
            <v>1.5331666666666667E-2</v>
          </cell>
        </row>
        <row r="396">
          <cell r="E396" t="str">
            <v>BC121-6B220-1</v>
          </cell>
          <cell r="F396">
            <v>124.31440000000001</v>
          </cell>
          <cell r="G396">
            <v>0</v>
          </cell>
          <cell r="H396">
            <v>1.6466666666666667E-3</v>
          </cell>
          <cell r="I396">
            <v>7.9816666666666664E-3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2.5483333333333334E-3</v>
          </cell>
          <cell r="Q396">
            <v>9.6283333333333325E-3</v>
          </cell>
          <cell r="R396">
            <v>2.5483333333333334E-3</v>
          </cell>
          <cell r="S396">
            <v>0</v>
          </cell>
          <cell r="T396">
            <v>0</v>
          </cell>
          <cell r="U396">
            <v>0</v>
          </cell>
          <cell r="V396">
            <v>1.2176666666666666E-2</v>
          </cell>
        </row>
        <row r="397">
          <cell r="E397" t="str">
            <v>BC121-6B260-1</v>
          </cell>
          <cell r="F397">
            <v>415.38600000000002</v>
          </cell>
          <cell r="G397">
            <v>0</v>
          </cell>
          <cell r="H397">
            <v>2.7099999999999997E-3</v>
          </cell>
          <cell r="I397">
            <v>9.5300000000000003E-3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3.4783333333333333E-3</v>
          </cell>
          <cell r="Q397">
            <v>1.2240000000000001E-2</v>
          </cell>
          <cell r="R397">
            <v>3.4783333333333333E-3</v>
          </cell>
          <cell r="S397">
            <v>0</v>
          </cell>
          <cell r="T397">
            <v>0</v>
          </cell>
          <cell r="U397">
            <v>0</v>
          </cell>
          <cell r="V397">
            <v>1.5718333333333334E-2</v>
          </cell>
        </row>
        <row r="398">
          <cell r="E398" t="str">
            <v>BC121-6B370-1</v>
          </cell>
          <cell r="F398">
            <v>287.77210000000002</v>
          </cell>
          <cell r="G398">
            <v>0</v>
          </cell>
          <cell r="H398">
            <v>2.698333333333333E-3</v>
          </cell>
          <cell r="I398">
            <v>9.5300000000000003E-3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3.4666666666666665E-3</v>
          </cell>
          <cell r="Q398">
            <v>1.2228333333333334E-2</v>
          </cell>
          <cell r="R398">
            <v>3.4666666666666665E-3</v>
          </cell>
          <cell r="S398">
            <v>0</v>
          </cell>
          <cell r="T398">
            <v>0</v>
          </cell>
          <cell r="U398">
            <v>0</v>
          </cell>
          <cell r="V398">
            <v>1.5695000000000001E-2</v>
          </cell>
        </row>
        <row r="399">
          <cell r="E399" t="str">
            <v>BC121-6B370-2</v>
          </cell>
          <cell r="F399">
            <v>292.09949999999998</v>
          </cell>
          <cell r="G399">
            <v>0</v>
          </cell>
          <cell r="H399">
            <v>2.725E-3</v>
          </cell>
          <cell r="I399">
            <v>9.5300000000000003E-3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3.4916666666666664E-3</v>
          </cell>
          <cell r="Q399">
            <v>1.2255E-2</v>
          </cell>
          <cell r="R399">
            <v>3.4916666666666664E-3</v>
          </cell>
          <cell r="S399">
            <v>0</v>
          </cell>
          <cell r="T399">
            <v>0</v>
          </cell>
          <cell r="U399">
            <v>0</v>
          </cell>
          <cell r="V399">
            <v>1.5746666666666666E-2</v>
          </cell>
        </row>
        <row r="400">
          <cell r="E400" t="str">
            <v>BC121-B1530-1</v>
          </cell>
          <cell r="F400">
            <v>186.47470000000001</v>
          </cell>
          <cell r="G400">
            <v>0</v>
          </cell>
          <cell r="H400">
            <v>2.2099999999999997E-3</v>
          </cell>
          <cell r="I400">
            <v>8.9750000000000003E-3</v>
          </cell>
          <cell r="J400">
            <v>2.0183333333333334E-3</v>
          </cell>
          <cell r="K400">
            <v>2.1516666666666667E-3</v>
          </cell>
          <cell r="L400">
            <v>4.3818333333333334E-2</v>
          </cell>
          <cell r="M400">
            <v>2.9483333333333332E-3</v>
          </cell>
          <cell r="N400">
            <v>0</v>
          </cell>
          <cell r="O400">
            <v>6.8783333333333335E-3</v>
          </cell>
          <cell r="P400">
            <v>3.3816666666666665E-3</v>
          </cell>
          <cell r="Q400">
            <v>1.3203333333333334E-2</v>
          </cell>
          <cell r="R400">
            <v>5.9178333333333333E-2</v>
          </cell>
          <cell r="S400">
            <v>0</v>
          </cell>
          <cell r="T400">
            <v>1.8568333333333333E-2</v>
          </cell>
          <cell r="U400">
            <v>0</v>
          </cell>
          <cell r="V400">
            <v>9.0950000000000003E-2</v>
          </cell>
        </row>
        <row r="401">
          <cell r="E401" t="str">
            <v>BC121-B1530-2</v>
          </cell>
          <cell r="F401">
            <v>236.10509999999999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3.5279999999999999E-2</v>
          </cell>
          <cell r="U401">
            <v>0</v>
          </cell>
          <cell r="V401">
            <v>3.5279999999999999E-2</v>
          </cell>
        </row>
        <row r="402">
          <cell r="E402" t="str">
            <v>BC121-B1550-1</v>
          </cell>
          <cell r="F402">
            <v>193.24360000000001</v>
          </cell>
          <cell r="G402">
            <v>0</v>
          </cell>
          <cell r="H402">
            <v>1.9449999999999999E-3</v>
          </cell>
          <cell r="I402">
            <v>8.9750000000000003E-3</v>
          </cell>
          <cell r="J402">
            <v>2.0183333333333334E-3</v>
          </cell>
          <cell r="K402">
            <v>2.1516666666666667E-3</v>
          </cell>
          <cell r="L402">
            <v>3.0823333333333331E-2</v>
          </cell>
          <cell r="M402">
            <v>2.9499999999999999E-3</v>
          </cell>
          <cell r="N402">
            <v>0</v>
          </cell>
          <cell r="O402">
            <v>6.9383333333333337E-3</v>
          </cell>
          <cell r="P402">
            <v>3.4233333333333333E-3</v>
          </cell>
          <cell r="Q402">
            <v>1.2938333333333335E-2</v>
          </cell>
          <cell r="R402">
            <v>4.6286666666666663E-2</v>
          </cell>
          <cell r="S402">
            <v>0</v>
          </cell>
          <cell r="T402">
            <v>1.8616666666666663E-2</v>
          </cell>
          <cell r="U402">
            <v>0</v>
          </cell>
          <cell r="V402">
            <v>7.784166666666667E-2</v>
          </cell>
        </row>
        <row r="403">
          <cell r="E403" t="str">
            <v>BC121-B1550-2</v>
          </cell>
          <cell r="F403">
            <v>121.3301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4.2756666666666665E-2</v>
          </cell>
          <cell r="U403">
            <v>0</v>
          </cell>
          <cell r="V403">
            <v>4.2756666666666665E-2</v>
          </cell>
        </row>
        <row r="404">
          <cell r="E404" t="str">
            <v>DC111-2FE72</v>
          </cell>
          <cell r="F404">
            <v>124.0292</v>
          </cell>
          <cell r="G404">
            <v>0</v>
          </cell>
          <cell r="H404">
            <v>2.0100000000000001E-3</v>
          </cell>
          <cell r="I404">
            <v>9.5300000000000003E-3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3.6949999999999999E-3</v>
          </cell>
          <cell r="Q404">
            <v>1.154E-2</v>
          </cell>
          <cell r="R404">
            <v>3.6949999999999999E-3</v>
          </cell>
          <cell r="S404">
            <v>0</v>
          </cell>
          <cell r="T404">
            <v>0</v>
          </cell>
          <cell r="U404">
            <v>0</v>
          </cell>
          <cell r="V404">
            <v>1.5235E-2</v>
          </cell>
        </row>
        <row r="405">
          <cell r="E405" t="str">
            <v>DC111-2FK53</v>
          </cell>
          <cell r="F405">
            <v>124.0292</v>
          </cell>
          <cell r="G405">
            <v>0</v>
          </cell>
          <cell r="H405">
            <v>2.0100000000000001E-3</v>
          </cell>
          <cell r="I405">
            <v>9.5300000000000003E-3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3.6949999999999999E-3</v>
          </cell>
          <cell r="Q405">
            <v>1.154E-2</v>
          </cell>
          <cell r="R405">
            <v>3.6949999999999999E-3</v>
          </cell>
          <cell r="S405">
            <v>0</v>
          </cell>
          <cell r="T405">
            <v>0</v>
          </cell>
          <cell r="U405">
            <v>0</v>
          </cell>
          <cell r="V405">
            <v>1.5235E-2</v>
          </cell>
        </row>
        <row r="406">
          <cell r="E406" t="str">
            <v>DC111-V3650</v>
          </cell>
          <cell r="F406">
            <v>142.05670000000001</v>
          </cell>
          <cell r="G406">
            <v>0</v>
          </cell>
          <cell r="H406">
            <v>2.1183333333333332E-3</v>
          </cell>
          <cell r="I406">
            <v>5.9316666666666667E-3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3.9716666666666667E-3</v>
          </cell>
          <cell r="Q406">
            <v>8.0499999999999999E-3</v>
          </cell>
          <cell r="R406">
            <v>3.9716666666666667E-3</v>
          </cell>
          <cell r="S406">
            <v>0</v>
          </cell>
          <cell r="T406">
            <v>0</v>
          </cell>
          <cell r="U406">
            <v>0</v>
          </cell>
          <cell r="V406">
            <v>1.2021666666666667E-2</v>
          </cell>
        </row>
        <row r="407">
          <cell r="E407" t="str">
            <v>DC111-V3881</v>
          </cell>
          <cell r="F407">
            <v>104.0547</v>
          </cell>
          <cell r="G407">
            <v>0</v>
          </cell>
          <cell r="H407">
            <v>1.8916666666666667E-3</v>
          </cell>
          <cell r="I407">
            <v>9.5300000000000003E-3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3.3899999999999998E-3</v>
          </cell>
          <cell r="Q407">
            <v>1.1421666666666667E-2</v>
          </cell>
          <cell r="R407">
            <v>3.3899999999999998E-3</v>
          </cell>
          <cell r="S407">
            <v>0</v>
          </cell>
          <cell r="T407">
            <v>0</v>
          </cell>
          <cell r="U407">
            <v>0</v>
          </cell>
          <cell r="V407">
            <v>1.4811666666666667E-2</v>
          </cell>
        </row>
        <row r="408">
          <cell r="E408" t="str">
            <v>DC111-V3891</v>
          </cell>
          <cell r="F408">
            <v>150.78200000000001</v>
          </cell>
          <cell r="G408">
            <v>0</v>
          </cell>
          <cell r="H408">
            <v>2.1700000000000001E-3</v>
          </cell>
          <cell r="I408">
            <v>9.5300000000000003E-3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4.1050000000000001E-3</v>
          </cell>
          <cell r="Q408">
            <v>1.17E-2</v>
          </cell>
          <cell r="R408">
            <v>4.1050000000000001E-3</v>
          </cell>
          <cell r="S408">
            <v>0</v>
          </cell>
          <cell r="T408">
            <v>0</v>
          </cell>
          <cell r="U408">
            <v>0</v>
          </cell>
          <cell r="V408">
            <v>1.5805E-2</v>
          </cell>
        </row>
        <row r="409">
          <cell r="E409" t="str">
            <v>DC111-V3A41</v>
          </cell>
          <cell r="F409">
            <v>117.46720000000001</v>
          </cell>
          <cell r="G409">
            <v>0</v>
          </cell>
          <cell r="H409">
            <v>1.9716666666666667E-3</v>
          </cell>
          <cell r="I409">
            <v>9.5300000000000003E-3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3.5950000000000001E-3</v>
          </cell>
          <cell r="Q409">
            <v>1.1501666666666667E-2</v>
          </cell>
          <cell r="R409">
            <v>3.5950000000000001E-3</v>
          </cell>
          <cell r="S409">
            <v>0</v>
          </cell>
          <cell r="T409">
            <v>0</v>
          </cell>
          <cell r="U409">
            <v>0</v>
          </cell>
          <cell r="V409">
            <v>1.5096666666666668E-2</v>
          </cell>
        </row>
        <row r="410">
          <cell r="E410" t="str">
            <v>DC111-V3C10</v>
          </cell>
          <cell r="F410">
            <v>121.8659</v>
          </cell>
          <cell r="G410">
            <v>0</v>
          </cell>
          <cell r="H410">
            <v>1.9966666666666666E-3</v>
          </cell>
          <cell r="I410">
            <v>9.5300000000000003E-3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3.6616666666666668E-3</v>
          </cell>
          <cell r="Q410">
            <v>1.1526666666666668E-2</v>
          </cell>
          <cell r="R410">
            <v>3.6616666666666668E-3</v>
          </cell>
          <cell r="S410">
            <v>0</v>
          </cell>
          <cell r="T410">
            <v>0</v>
          </cell>
          <cell r="U410">
            <v>0</v>
          </cell>
          <cell r="V410">
            <v>1.5188333333333335E-2</v>
          </cell>
        </row>
        <row r="411">
          <cell r="E411" t="str">
            <v>DC111-V3C50</v>
          </cell>
          <cell r="F411">
            <v>108.3813</v>
          </cell>
          <cell r="G411">
            <v>0</v>
          </cell>
          <cell r="H411">
            <v>1.9166666666666668E-3</v>
          </cell>
          <cell r="I411">
            <v>9.5300000000000003E-3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3.4550000000000002E-3</v>
          </cell>
          <cell r="Q411">
            <v>1.1446666666666667E-2</v>
          </cell>
          <cell r="R411">
            <v>3.4550000000000002E-3</v>
          </cell>
          <cell r="S411">
            <v>0</v>
          </cell>
          <cell r="T411">
            <v>0</v>
          </cell>
          <cell r="U411">
            <v>0</v>
          </cell>
          <cell r="V411">
            <v>1.4901666666666667E-2</v>
          </cell>
        </row>
        <row r="412">
          <cell r="E412" t="str">
            <v>DC111-V3G90</v>
          </cell>
          <cell r="F412">
            <v>155.1086</v>
          </cell>
          <cell r="G412">
            <v>0</v>
          </cell>
          <cell r="H412">
            <v>2.1950000000000003E-3</v>
          </cell>
          <cell r="I412">
            <v>9.5300000000000003E-3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4.1716666666666673E-3</v>
          </cell>
          <cell r="Q412">
            <v>1.1725000000000001E-2</v>
          </cell>
          <cell r="R412">
            <v>4.1716666666666673E-3</v>
          </cell>
          <cell r="S412">
            <v>0</v>
          </cell>
          <cell r="T412">
            <v>0</v>
          </cell>
          <cell r="U412">
            <v>0</v>
          </cell>
          <cell r="V412">
            <v>1.589666666666667E-2</v>
          </cell>
        </row>
        <row r="413">
          <cell r="E413" t="str">
            <v>JN111-62063-3</v>
          </cell>
          <cell r="F413">
            <v>0</v>
          </cell>
          <cell r="G413">
            <v>177.59549999999999</v>
          </cell>
          <cell r="H413">
            <v>4.6466666666666661E-3</v>
          </cell>
          <cell r="I413">
            <v>1.1551666666666667E-2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5.1699999999999992E-3</v>
          </cell>
          <cell r="Q413">
            <v>1.6198333333333332E-2</v>
          </cell>
          <cell r="R413">
            <v>5.1699999999999992E-3</v>
          </cell>
          <cell r="S413">
            <v>0</v>
          </cell>
          <cell r="T413">
            <v>0</v>
          </cell>
          <cell r="U413">
            <v>0</v>
          </cell>
          <cell r="V413">
            <v>2.1368333333333329E-2</v>
          </cell>
        </row>
        <row r="414">
          <cell r="E414" t="str">
            <v>JN111-62063-4</v>
          </cell>
          <cell r="F414">
            <v>0</v>
          </cell>
          <cell r="G414">
            <v>142.07640000000001</v>
          </cell>
          <cell r="H414">
            <v>3.8866666666666663E-3</v>
          </cell>
          <cell r="I414">
            <v>9.5300000000000003E-3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4.5066666666666666E-3</v>
          </cell>
          <cell r="Q414">
            <v>1.3416666666666667E-2</v>
          </cell>
          <cell r="R414">
            <v>4.5066666666666666E-3</v>
          </cell>
          <cell r="S414">
            <v>0</v>
          </cell>
          <cell r="T414">
            <v>0</v>
          </cell>
          <cell r="U414">
            <v>0</v>
          </cell>
          <cell r="V414">
            <v>1.7923333333333333E-2</v>
          </cell>
        </row>
        <row r="415">
          <cell r="E415" t="str">
            <v>JN111-62064-1</v>
          </cell>
          <cell r="F415">
            <v>0</v>
          </cell>
          <cell r="G415">
            <v>177.59549999999999</v>
          </cell>
          <cell r="H415">
            <v>4.6466666666666661E-3</v>
          </cell>
          <cell r="I415">
            <v>1.1551666666666667E-2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5.1149999999999998E-3</v>
          </cell>
          <cell r="Q415">
            <v>1.6198333333333332E-2</v>
          </cell>
          <cell r="R415">
            <v>5.1149999999999998E-3</v>
          </cell>
          <cell r="S415">
            <v>0</v>
          </cell>
          <cell r="T415">
            <v>0</v>
          </cell>
          <cell r="U415">
            <v>0</v>
          </cell>
          <cell r="V415">
            <v>2.131333333333333E-2</v>
          </cell>
        </row>
        <row r="416">
          <cell r="E416" t="str">
            <v>JN111-62064-3</v>
          </cell>
          <cell r="F416">
            <v>0</v>
          </cell>
          <cell r="G416">
            <v>142.07640000000001</v>
          </cell>
          <cell r="H416">
            <v>3.8866666666666663E-3</v>
          </cell>
          <cell r="I416">
            <v>9.5300000000000003E-3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4.4516666666666671E-3</v>
          </cell>
          <cell r="Q416">
            <v>1.3416666666666667E-2</v>
          </cell>
          <cell r="R416">
            <v>4.4516666666666671E-3</v>
          </cell>
          <cell r="S416">
            <v>0</v>
          </cell>
          <cell r="T416">
            <v>0</v>
          </cell>
          <cell r="U416">
            <v>0</v>
          </cell>
          <cell r="V416">
            <v>1.7868333333333333E-2</v>
          </cell>
        </row>
        <row r="417">
          <cell r="E417" t="str">
            <v>JN111-62215-1</v>
          </cell>
          <cell r="F417">
            <v>0</v>
          </cell>
          <cell r="G417">
            <v>114.5949</v>
          </cell>
          <cell r="H417">
            <v>3.3E-3</v>
          </cell>
          <cell r="I417">
            <v>1.1551666666666667E-2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3.9383333333333336E-3</v>
          </cell>
          <cell r="Q417">
            <v>1.4851666666666666E-2</v>
          </cell>
          <cell r="R417">
            <v>3.9383333333333336E-3</v>
          </cell>
          <cell r="S417">
            <v>0</v>
          </cell>
          <cell r="T417">
            <v>0</v>
          </cell>
          <cell r="U417">
            <v>0</v>
          </cell>
          <cell r="V417">
            <v>1.8790000000000001E-2</v>
          </cell>
        </row>
        <row r="418">
          <cell r="E418" t="str">
            <v>JN111-62215-3</v>
          </cell>
          <cell r="F418">
            <v>0</v>
          </cell>
          <cell r="G418">
            <v>79.075800000000001</v>
          </cell>
          <cell r="H418">
            <v>2.5400000000000002E-3</v>
          </cell>
          <cell r="I418">
            <v>9.5300000000000003E-3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3.2733333333333334E-3</v>
          </cell>
          <cell r="Q418">
            <v>1.2070000000000001E-2</v>
          </cell>
          <cell r="R418">
            <v>3.2733333333333334E-3</v>
          </cell>
          <cell r="S418">
            <v>0</v>
          </cell>
          <cell r="T418">
            <v>0</v>
          </cell>
          <cell r="U418">
            <v>0</v>
          </cell>
          <cell r="V418">
            <v>1.5343333333333334E-2</v>
          </cell>
        </row>
        <row r="419">
          <cell r="E419" t="str">
            <v>24011-7YA0A</v>
          </cell>
          <cell r="F419">
            <v>1559.4719</v>
          </cell>
          <cell r="G419">
            <v>70.552899999999994</v>
          </cell>
          <cell r="H419">
            <v>0.17609166666666667</v>
          </cell>
          <cell r="I419">
            <v>0.56513999999999998</v>
          </cell>
          <cell r="J419">
            <v>0.30648166666666665</v>
          </cell>
          <cell r="K419">
            <v>0.43395166666666662</v>
          </cell>
          <cell r="L419">
            <v>1.2072166666666668</v>
          </cell>
          <cell r="M419">
            <v>1.3466666666666667E-2</v>
          </cell>
          <cell r="N419">
            <v>9.515333333333334E-2</v>
          </cell>
          <cell r="O419">
            <v>9.4928333333333337E-2</v>
          </cell>
          <cell r="P419">
            <v>2.6538333333333334E-2</v>
          </cell>
          <cell r="Q419">
            <v>1.0477133333333333</v>
          </cell>
          <cell r="R419">
            <v>1.8712550000000001</v>
          </cell>
          <cell r="S419">
            <v>0</v>
          </cell>
          <cell r="T419">
            <v>0</v>
          </cell>
          <cell r="U419">
            <v>0</v>
          </cell>
          <cell r="V419">
            <v>2.9189683333333334</v>
          </cell>
        </row>
        <row r="420">
          <cell r="E420" t="str">
            <v>24012-6YZ0B</v>
          </cell>
          <cell r="F420">
            <v>2364.6034</v>
          </cell>
          <cell r="G420">
            <v>0</v>
          </cell>
          <cell r="H420">
            <v>0.15972166666666665</v>
          </cell>
          <cell r="I420">
            <v>0.29966999999999999</v>
          </cell>
          <cell r="J420">
            <v>0.12239</v>
          </cell>
          <cell r="K420">
            <v>0.44143000000000004</v>
          </cell>
          <cell r="L420">
            <v>0.89677333333333331</v>
          </cell>
          <cell r="M420">
            <v>5.8783333333333333E-2</v>
          </cell>
          <cell r="N420">
            <v>0.15522</v>
          </cell>
          <cell r="O420">
            <v>0.12727833333333333</v>
          </cell>
          <cell r="P420">
            <v>2.5043333333333331E-2</v>
          </cell>
          <cell r="Q420">
            <v>0.58178166666666664</v>
          </cell>
          <cell r="R420">
            <v>1.7045283333333334</v>
          </cell>
          <cell r="S420">
            <v>0</v>
          </cell>
          <cell r="T420">
            <v>0</v>
          </cell>
          <cell r="U420">
            <v>0</v>
          </cell>
          <cell r="V420">
            <v>2.2863100000000003</v>
          </cell>
        </row>
        <row r="421">
          <cell r="E421" t="str">
            <v>24012-6YZ1B</v>
          </cell>
          <cell r="F421">
            <v>2367.5515</v>
          </cell>
          <cell r="G421">
            <v>0</v>
          </cell>
          <cell r="H421">
            <v>0.15868166666666667</v>
          </cell>
          <cell r="I421">
            <v>0.2914983333333333</v>
          </cell>
          <cell r="J421">
            <v>0.10649500000000001</v>
          </cell>
          <cell r="K421">
            <v>0.43842333333333333</v>
          </cell>
          <cell r="L421">
            <v>0.89436166666666672</v>
          </cell>
          <cell r="M421">
            <v>5.8718333333333331E-2</v>
          </cell>
          <cell r="N421">
            <v>0.15627166666666667</v>
          </cell>
          <cell r="O421">
            <v>0.12480333333333334</v>
          </cell>
          <cell r="P421">
            <v>2.4843333333333332E-2</v>
          </cell>
          <cell r="Q421">
            <v>0.55667500000000003</v>
          </cell>
          <cell r="R421">
            <v>1.6974216666666668</v>
          </cell>
          <cell r="S421">
            <v>0</v>
          </cell>
          <cell r="T421">
            <v>0</v>
          </cell>
          <cell r="U421">
            <v>0</v>
          </cell>
          <cell r="V421">
            <v>2.2540966666666669</v>
          </cell>
        </row>
        <row r="422">
          <cell r="E422" t="str">
            <v>24012-6YZ2A</v>
          </cell>
          <cell r="F422">
            <v>2319.5509999999999</v>
          </cell>
          <cell r="G422">
            <v>0</v>
          </cell>
          <cell r="H422">
            <v>0.15246999999999999</v>
          </cell>
          <cell r="I422">
            <v>0.28432333333333332</v>
          </cell>
          <cell r="J422">
            <v>0.11023666666666668</v>
          </cell>
          <cell r="K422">
            <v>0.42438000000000003</v>
          </cell>
          <cell r="L422">
            <v>0.86578833333333327</v>
          </cell>
          <cell r="M422">
            <v>5.8701666666666666E-2</v>
          </cell>
          <cell r="N422">
            <v>0.14805833333333332</v>
          </cell>
          <cell r="O422">
            <v>0.12649000000000002</v>
          </cell>
          <cell r="P422">
            <v>2.4698333333333333E-2</v>
          </cell>
          <cell r="Q422">
            <v>0.54703000000000002</v>
          </cell>
          <cell r="R422">
            <v>1.6481166666666667</v>
          </cell>
          <cell r="S422">
            <v>0</v>
          </cell>
          <cell r="T422">
            <v>0</v>
          </cell>
          <cell r="U422">
            <v>0</v>
          </cell>
          <cell r="V422">
            <v>2.1951466666666666</v>
          </cell>
        </row>
        <row r="423">
          <cell r="E423" t="str">
            <v>24012-6YZ3A</v>
          </cell>
          <cell r="F423">
            <v>2322.4357</v>
          </cell>
          <cell r="G423">
            <v>0</v>
          </cell>
          <cell r="H423">
            <v>0.15181500000000001</v>
          </cell>
          <cell r="I423">
            <v>0.27615166666666663</v>
          </cell>
          <cell r="J423">
            <v>9.4341666666666671E-2</v>
          </cell>
          <cell r="K423">
            <v>0.42137333333333332</v>
          </cell>
          <cell r="L423">
            <v>0.8841699999999999</v>
          </cell>
          <cell r="M423">
            <v>5.8711666666666669E-2</v>
          </cell>
          <cell r="N423">
            <v>0.15375833333333333</v>
          </cell>
          <cell r="O423">
            <v>0.12459166666666667</v>
          </cell>
          <cell r="P423">
            <v>2.4793333333333334E-2</v>
          </cell>
          <cell r="Q423">
            <v>0.52230833333333326</v>
          </cell>
          <cell r="R423">
            <v>1.6673983333333333</v>
          </cell>
          <cell r="S423">
            <v>0</v>
          </cell>
          <cell r="T423">
            <v>0</v>
          </cell>
          <cell r="U423">
            <v>0</v>
          </cell>
          <cell r="V423">
            <v>2.1897066666666665</v>
          </cell>
        </row>
        <row r="424">
          <cell r="E424" t="str">
            <v>24012-7YA0A</v>
          </cell>
          <cell r="F424">
            <v>4250.8571999999995</v>
          </cell>
          <cell r="G424">
            <v>30.846399999999999</v>
          </cell>
          <cell r="H424">
            <v>0.28858500000000004</v>
          </cell>
          <cell r="I424">
            <v>0.53503666666666672</v>
          </cell>
          <cell r="J424">
            <v>0.56010499999999996</v>
          </cell>
          <cell r="K424">
            <v>0.83894666666666662</v>
          </cell>
          <cell r="L424">
            <v>2.195443333333333</v>
          </cell>
          <cell r="M424">
            <v>5.2585E-2</v>
          </cell>
          <cell r="N424">
            <v>0.22319666666666665</v>
          </cell>
          <cell r="O424">
            <v>0.23761333333333334</v>
          </cell>
          <cell r="P424">
            <v>6.0713333333333327E-2</v>
          </cell>
          <cell r="Q424">
            <v>1.3837266666666665</v>
          </cell>
          <cell r="R424">
            <v>3.6084983333333329</v>
          </cell>
          <cell r="S424">
            <v>0</v>
          </cell>
          <cell r="T424">
            <v>2.026E-2</v>
          </cell>
          <cell r="U424">
            <v>0</v>
          </cell>
          <cell r="V424">
            <v>5.0124849999999999</v>
          </cell>
        </row>
        <row r="425">
          <cell r="E425" t="str">
            <v>24012-7YA0B</v>
          </cell>
          <cell r="F425">
            <v>4337.5712999999996</v>
          </cell>
          <cell r="G425">
            <v>30.846399999999999</v>
          </cell>
          <cell r="H425">
            <v>0.29679500000000003</v>
          </cell>
          <cell r="I425">
            <v>0.53503666666666672</v>
          </cell>
          <cell r="J425">
            <v>0.59392333333333325</v>
          </cell>
          <cell r="K425">
            <v>0.85909833333333341</v>
          </cell>
          <cell r="L425">
            <v>2.2447433333333331</v>
          </cell>
          <cell r="M425">
            <v>5.3648333333333333E-2</v>
          </cell>
          <cell r="N425">
            <v>0.23029666666666668</v>
          </cell>
          <cell r="O425">
            <v>0.24165333333333333</v>
          </cell>
          <cell r="P425">
            <v>6.1531666666666665E-2</v>
          </cell>
          <cell r="Q425">
            <v>1.4257550000000001</v>
          </cell>
          <cell r="R425">
            <v>3.6909716666666665</v>
          </cell>
          <cell r="S425">
            <v>0</v>
          </cell>
          <cell r="T425">
            <v>2.026E-2</v>
          </cell>
          <cell r="U425">
            <v>0</v>
          </cell>
          <cell r="V425">
            <v>5.136986666666667</v>
          </cell>
        </row>
        <row r="426">
          <cell r="E426" t="str">
            <v>24012-7YA0E</v>
          </cell>
          <cell r="F426">
            <v>5034.0158000000001</v>
          </cell>
          <cell r="G426">
            <v>64.500299999999996</v>
          </cell>
          <cell r="H426">
            <v>0.33077000000000001</v>
          </cell>
          <cell r="I426">
            <v>0.66071000000000002</v>
          </cell>
          <cell r="J426">
            <v>0.61819500000000005</v>
          </cell>
          <cell r="K426">
            <v>0.96077000000000001</v>
          </cell>
          <cell r="L426">
            <v>2.454333333333333</v>
          </cell>
          <cell r="M426">
            <v>5.3845000000000004E-2</v>
          </cell>
          <cell r="N426">
            <v>0.24747</v>
          </cell>
          <cell r="O426">
            <v>0.26473333333333332</v>
          </cell>
          <cell r="P426">
            <v>6.6716666666666674E-2</v>
          </cell>
          <cell r="Q426">
            <v>1.6096750000000002</v>
          </cell>
          <cell r="R426">
            <v>4.0478683333333327</v>
          </cell>
          <cell r="S426">
            <v>0</v>
          </cell>
          <cell r="T426">
            <v>2.026E-2</v>
          </cell>
          <cell r="U426">
            <v>0</v>
          </cell>
          <cell r="V426">
            <v>5.6778033333333333</v>
          </cell>
        </row>
        <row r="427">
          <cell r="E427" t="str">
            <v>24012-7YA9B</v>
          </cell>
          <cell r="F427">
            <v>4330.7200999999995</v>
          </cell>
          <cell r="G427">
            <v>30.800599999999999</v>
          </cell>
          <cell r="H427">
            <v>0.29677000000000003</v>
          </cell>
          <cell r="I427">
            <v>0.53491333333333335</v>
          </cell>
          <cell r="J427">
            <v>0.59392333333333325</v>
          </cell>
          <cell r="K427">
            <v>0.85092999999999996</v>
          </cell>
          <cell r="L427">
            <v>2.2446933333333332</v>
          </cell>
          <cell r="M427">
            <v>5.3648333333333333E-2</v>
          </cell>
          <cell r="N427">
            <v>0.23029666666666668</v>
          </cell>
          <cell r="O427">
            <v>0.24165333333333333</v>
          </cell>
          <cell r="P427">
            <v>6.1531666666666665E-2</v>
          </cell>
          <cell r="Q427">
            <v>1.4256066666666665</v>
          </cell>
          <cell r="R427">
            <v>3.6827533333333333</v>
          </cell>
          <cell r="S427">
            <v>0</v>
          </cell>
          <cell r="T427">
            <v>2.026E-2</v>
          </cell>
          <cell r="U427">
            <v>0</v>
          </cell>
          <cell r="V427">
            <v>5.1286199999999997</v>
          </cell>
        </row>
        <row r="428">
          <cell r="E428" t="str">
            <v>24012-7YA9E</v>
          </cell>
          <cell r="F428">
            <v>5026.7494999999999</v>
          </cell>
          <cell r="G428">
            <v>64.454499999999996</v>
          </cell>
          <cell r="H428">
            <v>0.33074500000000001</v>
          </cell>
          <cell r="I428">
            <v>0.66058499999999998</v>
          </cell>
          <cell r="J428">
            <v>0.61817333333333335</v>
          </cell>
          <cell r="K428">
            <v>0.96490166666666666</v>
          </cell>
          <cell r="L428">
            <v>2.4543166666666663</v>
          </cell>
          <cell r="M428">
            <v>5.3845000000000004E-2</v>
          </cell>
          <cell r="N428">
            <v>0.24747</v>
          </cell>
          <cell r="O428">
            <v>0.26473333333333332</v>
          </cell>
          <cell r="P428">
            <v>6.6716666666666674E-2</v>
          </cell>
          <cell r="Q428">
            <v>1.6095033333333335</v>
          </cell>
          <cell r="R428">
            <v>4.0519833333333324</v>
          </cell>
          <cell r="S428">
            <v>0</v>
          </cell>
          <cell r="T428">
            <v>2.026E-2</v>
          </cell>
          <cell r="U428">
            <v>0</v>
          </cell>
          <cell r="V428">
            <v>5.6817466666666663</v>
          </cell>
        </row>
        <row r="429">
          <cell r="E429" t="str">
            <v>241285TT0C</v>
          </cell>
          <cell r="F429">
            <v>170.01650000000001</v>
          </cell>
          <cell r="G429">
            <v>0</v>
          </cell>
          <cell r="H429">
            <v>1.5241666666666666E-2</v>
          </cell>
          <cell r="I429">
            <v>1.0681666666666667E-2</v>
          </cell>
          <cell r="J429">
            <v>0</v>
          </cell>
          <cell r="K429">
            <v>4.1398333333333336E-2</v>
          </cell>
          <cell r="L429">
            <v>0.10231</v>
          </cell>
          <cell r="M429">
            <v>2.0900000000000003E-3</v>
          </cell>
          <cell r="N429">
            <v>1.9833333333333331E-2</v>
          </cell>
          <cell r="O429">
            <v>9.640000000000001E-3</v>
          </cell>
          <cell r="P429">
            <v>5.4783333333333333E-3</v>
          </cell>
          <cell r="Q429">
            <v>2.5923333333333333E-2</v>
          </cell>
          <cell r="R429">
            <v>0.18075000000000002</v>
          </cell>
          <cell r="S429">
            <v>0</v>
          </cell>
          <cell r="T429">
            <v>0</v>
          </cell>
          <cell r="U429">
            <v>0</v>
          </cell>
          <cell r="V429">
            <v>0.20667333333333335</v>
          </cell>
        </row>
        <row r="430">
          <cell r="E430" t="str">
            <v>241287DA0A</v>
          </cell>
          <cell r="F430">
            <v>97.304100000000005</v>
          </cell>
          <cell r="G430">
            <v>0</v>
          </cell>
          <cell r="H430">
            <v>1.1383333333333334E-2</v>
          </cell>
          <cell r="I430">
            <v>6.0283333333333335E-3</v>
          </cell>
          <cell r="J430">
            <v>0</v>
          </cell>
          <cell r="K430">
            <v>4.6894999999999999E-2</v>
          </cell>
          <cell r="L430">
            <v>0.10906166666666667</v>
          </cell>
          <cell r="M430">
            <v>2.0900000000000003E-3</v>
          </cell>
          <cell r="N430">
            <v>1.8899999999999997E-2</v>
          </cell>
          <cell r="O430">
            <v>9.2733333333333331E-3</v>
          </cell>
          <cell r="P430">
            <v>5.2266666666666668E-3</v>
          </cell>
          <cell r="Q430">
            <v>1.7411666666666666E-2</v>
          </cell>
          <cell r="R430">
            <v>0.19144666666666665</v>
          </cell>
          <cell r="S430">
            <v>0</v>
          </cell>
          <cell r="T430">
            <v>0</v>
          </cell>
          <cell r="U430">
            <v>0</v>
          </cell>
          <cell r="V430">
            <v>0.20885833333333331</v>
          </cell>
        </row>
        <row r="431">
          <cell r="E431" t="str">
            <v>241287DA0B</v>
          </cell>
          <cell r="F431">
            <v>132.98759999999999</v>
          </cell>
          <cell r="G431">
            <v>0</v>
          </cell>
          <cell r="H431">
            <v>1.737E-2</v>
          </cell>
          <cell r="I431">
            <v>1.0516666666666667E-2</v>
          </cell>
          <cell r="J431">
            <v>0</v>
          </cell>
          <cell r="K431">
            <v>5.3641666666666671E-2</v>
          </cell>
          <cell r="L431">
            <v>0.11542500000000001</v>
          </cell>
          <cell r="M431">
            <v>2.0900000000000003E-3</v>
          </cell>
          <cell r="N431">
            <v>1.9459999999999998E-2</v>
          </cell>
          <cell r="O431">
            <v>9.2733333333333331E-3</v>
          </cell>
          <cell r="P431">
            <v>5.2266666666666668E-3</v>
          </cell>
          <cell r="Q431">
            <v>2.7886666666666667E-2</v>
          </cell>
          <cell r="R431">
            <v>0.2051166666666667</v>
          </cell>
          <cell r="S431">
            <v>0</v>
          </cell>
          <cell r="T431">
            <v>0</v>
          </cell>
          <cell r="U431">
            <v>0</v>
          </cell>
          <cell r="V431">
            <v>0.23300333333333337</v>
          </cell>
        </row>
        <row r="432">
          <cell r="E432" t="str">
            <v>241287DA9E</v>
          </cell>
          <cell r="F432">
            <v>132.98759999999999</v>
          </cell>
          <cell r="G432">
            <v>0</v>
          </cell>
          <cell r="H432">
            <v>1.737E-2</v>
          </cell>
          <cell r="I432">
            <v>1.0516666666666667E-2</v>
          </cell>
          <cell r="J432">
            <v>0</v>
          </cell>
          <cell r="K432">
            <v>5.3641666666666671E-2</v>
          </cell>
          <cell r="L432">
            <v>0.11542500000000001</v>
          </cell>
          <cell r="M432">
            <v>2.0900000000000003E-3</v>
          </cell>
          <cell r="N432">
            <v>1.9459999999999998E-2</v>
          </cell>
          <cell r="O432">
            <v>9.2733333333333331E-3</v>
          </cell>
          <cell r="P432">
            <v>5.2266666666666668E-3</v>
          </cell>
          <cell r="Q432">
            <v>2.7886666666666667E-2</v>
          </cell>
          <cell r="R432">
            <v>0.2051166666666667</v>
          </cell>
          <cell r="S432">
            <v>0</v>
          </cell>
          <cell r="T432">
            <v>0</v>
          </cell>
          <cell r="U432">
            <v>0</v>
          </cell>
          <cell r="V432">
            <v>0.23300333333333337</v>
          </cell>
        </row>
        <row r="433">
          <cell r="E433" t="str">
            <v>24128-7YA0A</v>
          </cell>
          <cell r="F433">
            <v>168.20679999999999</v>
          </cell>
          <cell r="G433">
            <v>0</v>
          </cell>
          <cell r="H433">
            <v>1.5371666666666667E-2</v>
          </cell>
          <cell r="I433">
            <v>1.5901666666666665E-2</v>
          </cell>
          <cell r="J433">
            <v>0</v>
          </cell>
          <cell r="K433">
            <v>6.0251666666666669E-2</v>
          </cell>
          <cell r="L433">
            <v>0.12900666666666666</v>
          </cell>
          <cell r="M433">
            <v>2.0900000000000003E-3</v>
          </cell>
          <cell r="N433">
            <v>1.9241666666666667E-2</v>
          </cell>
          <cell r="O433">
            <v>9.5399999999999999E-3</v>
          </cell>
          <cell r="P433">
            <v>5.5966666666666665E-3</v>
          </cell>
          <cell r="Q433">
            <v>3.1273333333333334E-2</v>
          </cell>
          <cell r="R433">
            <v>0.22572666666666666</v>
          </cell>
          <cell r="S433">
            <v>0</v>
          </cell>
          <cell r="T433">
            <v>0</v>
          </cell>
          <cell r="U433">
            <v>0</v>
          </cell>
          <cell r="V433">
            <v>0.25700000000000001</v>
          </cell>
        </row>
        <row r="434">
          <cell r="E434" t="str">
            <v>24128-7YA0B</v>
          </cell>
          <cell r="F434">
            <v>194.78100000000001</v>
          </cell>
          <cell r="G434">
            <v>0</v>
          </cell>
          <cell r="H434">
            <v>1.9366666666666664E-2</v>
          </cell>
          <cell r="I434">
            <v>1.5901666666666665E-2</v>
          </cell>
          <cell r="J434">
            <v>0</v>
          </cell>
          <cell r="K434">
            <v>6.8611666666666668E-2</v>
          </cell>
          <cell r="L434">
            <v>0.15024833333333334</v>
          </cell>
          <cell r="M434">
            <v>2.0900000000000003E-3</v>
          </cell>
          <cell r="N434">
            <v>2.0301666666666666E-2</v>
          </cell>
          <cell r="O434">
            <v>9.8866666666666651E-3</v>
          </cell>
          <cell r="P434">
            <v>5.8316666666666664E-3</v>
          </cell>
          <cell r="Q434">
            <v>3.5268333333333332E-2</v>
          </cell>
          <cell r="R434">
            <v>0.25697000000000003</v>
          </cell>
          <cell r="S434">
            <v>0</v>
          </cell>
          <cell r="T434">
            <v>0</v>
          </cell>
          <cell r="U434">
            <v>0</v>
          </cell>
          <cell r="V434">
            <v>0.29223833333333338</v>
          </cell>
        </row>
        <row r="435">
          <cell r="E435" t="str">
            <v>241295TT0C</v>
          </cell>
          <cell r="F435">
            <v>170.76339999999999</v>
          </cell>
          <cell r="G435">
            <v>0</v>
          </cell>
          <cell r="H435">
            <v>1.5315E-2</v>
          </cell>
          <cell r="I435">
            <v>1.1006666666666666E-2</v>
          </cell>
          <cell r="J435">
            <v>0</v>
          </cell>
          <cell r="K435">
            <v>4.2388333333333333E-2</v>
          </cell>
          <cell r="L435">
            <v>0.12155000000000001</v>
          </cell>
          <cell r="M435">
            <v>2.0900000000000003E-3</v>
          </cell>
          <cell r="N435">
            <v>2.1033333333333334E-2</v>
          </cell>
          <cell r="O435">
            <v>9.9816666666666665E-3</v>
          </cell>
          <cell r="P435">
            <v>5.528333333333333E-3</v>
          </cell>
          <cell r="Q435">
            <v>2.6321666666666667E-2</v>
          </cell>
          <cell r="R435">
            <v>0.20257166666666668</v>
          </cell>
          <cell r="S435">
            <v>0</v>
          </cell>
          <cell r="T435">
            <v>0</v>
          </cell>
          <cell r="U435">
            <v>0</v>
          </cell>
          <cell r="V435">
            <v>0.22889333333333334</v>
          </cell>
        </row>
        <row r="436">
          <cell r="E436" t="str">
            <v>241297DA0A</v>
          </cell>
          <cell r="F436">
            <v>102.0864</v>
          </cell>
          <cell r="G436">
            <v>0</v>
          </cell>
          <cell r="H436">
            <v>1.0473333333333333E-2</v>
          </cell>
          <cell r="I436">
            <v>6.1500000000000001E-3</v>
          </cell>
          <cell r="J436">
            <v>0</v>
          </cell>
          <cell r="K436">
            <v>4.6385000000000003E-2</v>
          </cell>
          <cell r="L436">
            <v>0.10590000000000001</v>
          </cell>
          <cell r="M436">
            <v>2.0900000000000003E-3</v>
          </cell>
          <cell r="N436">
            <v>1.8165000000000001E-2</v>
          </cell>
          <cell r="O436">
            <v>9.0500000000000008E-3</v>
          </cell>
          <cell r="P436">
            <v>5.0749999999999997E-3</v>
          </cell>
          <cell r="Q436">
            <v>1.6623333333333334E-2</v>
          </cell>
          <cell r="R436">
            <v>0.18666500000000003</v>
          </cell>
          <cell r="S436">
            <v>0</v>
          </cell>
          <cell r="T436">
            <v>0</v>
          </cell>
          <cell r="U436">
            <v>0</v>
          </cell>
          <cell r="V436">
            <v>0.20328833333333335</v>
          </cell>
        </row>
        <row r="437">
          <cell r="E437" t="str">
            <v>241297DA0B</v>
          </cell>
          <cell r="F437">
            <v>136.50059999999999</v>
          </cell>
          <cell r="G437">
            <v>0</v>
          </cell>
          <cell r="H437">
            <v>1.6958333333333336E-2</v>
          </cell>
          <cell r="I437">
            <v>1.0465E-2</v>
          </cell>
          <cell r="J437">
            <v>0</v>
          </cell>
          <cell r="K437">
            <v>5.4928333333333336E-2</v>
          </cell>
          <cell r="L437">
            <v>0.11276</v>
          </cell>
          <cell r="M437">
            <v>2.0900000000000003E-3</v>
          </cell>
          <cell r="N437">
            <v>1.9465E-2</v>
          </cell>
          <cell r="O437">
            <v>9.385000000000001E-3</v>
          </cell>
          <cell r="P437">
            <v>5.3033333333333326E-3</v>
          </cell>
          <cell r="Q437">
            <v>2.7423333333333334E-2</v>
          </cell>
          <cell r="R437">
            <v>0.20393166666666668</v>
          </cell>
          <cell r="S437">
            <v>0</v>
          </cell>
          <cell r="T437">
            <v>0</v>
          </cell>
          <cell r="U437">
            <v>0</v>
          </cell>
          <cell r="V437">
            <v>0.23135500000000001</v>
          </cell>
        </row>
        <row r="438">
          <cell r="E438" t="str">
            <v>241297DA9E</v>
          </cell>
          <cell r="F438">
            <v>136.50059999999999</v>
          </cell>
          <cell r="G438">
            <v>0</v>
          </cell>
          <cell r="H438">
            <v>1.6958333333333336E-2</v>
          </cell>
          <cell r="I438">
            <v>1.0465E-2</v>
          </cell>
          <cell r="J438">
            <v>0</v>
          </cell>
          <cell r="K438">
            <v>5.4928333333333336E-2</v>
          </cell>
          <cell r="L438">
            <v>0.11276</v>
          </cell>
          <cell r="M438">
            <v>2.0900000000000003E-3</v>
          </cell>
          <cell r="N438">
            <v>1.9465E-2</v>
          </cell>
          <cell r="O438">
            <v>9.385000000000001E-3</v>
          </cell>
          <cell r="P438">
            <v>5.3033333333333326E-3</v>
          </cell>
          <cell r="Q438">
            <v>2.7423333333333334E-2</v>
          </cell>
          <cell r="R438">
            <v>0.20393166666666668</v>
          </cell>
          <cell r="S438">
            <v>0</v>
          </cell>
          <cell r="T438">
            <v>0</v>
          </cell>
          <cell r="U438">
            <v>0</v>
          </cell>
          <cell r="V438">
            <v>0.23135500000000001</v>
          </cell>
        </row>
        <row r="439">
          <cell r="E439" t="str">
            <v>24129-7YA0A</v>
          </cell>
          <cell r="F439">
            <v>173.28559999999999</v>
          </cell>
          <cell r="G439">
            <v>0</v>
          </cell>
          <cell r="H439">
            <v>1.5911666666666668E-2</v>
          </cell>
          <cell r="I439">
            <v>1.5768333333333336E-2</v>
          </cell>
          <cell r="J439">
            <v>0</v>
          </cell>
          <cell r="K439">
            <v>6.3138333333333338E-2</v>
          </cell>
          <cell r="L439">
            <v>0.11661333333333333</v>
          </cell>
          <cell r="M439">
            <v>2.0900000000000003E-3</v>
          </cell>
          <cell r="N439">
            <v>1.9318333333333333E-2</v>
          </cell>
          <cell r="O439">
            <v>9.4466666666666657E-3</v>
          </cell>
          <cell r="P439">
            <v>5.5316666666666665E-3</v>
          </cell>
          <cell r="Q439">
            <v>3.168E-2</v>
          </cell>
          <cell r="R439">
            <v>0.21613833333333332</v>
          </cell>
          <cell r="S439">
            <v>0</v>
          </cell>
          <cell r="T439">
            <v>0</v>
          </cell>
          <cell r="U439">
            <v>0</v>
          </cell>
          <cell r="V439">
            <v>0.24781833333333331</v>
          </cell>
        </row>
        <row r="440">
          <cell r="E440" t="str">
            <v>24129-7YA0B</v>
          </cell>
          <cell r="F440">
            <v>198.04060000000001</v>
          </cell>
          <cell r="G440">
            <v>0</v>
          </cell>
          <cell r="H440">
            <v>1.9678333333333336E-2</v>
          </cell>
          <cell r="I440">
            <v>1.5768333333333336E-2</v>
          </cell>
          <cell r="J440">
            <v>0</v>
          </cell>
          <cell r="K440">
            <v>7.3588333333333339E-2</v>
          </cell>
          <cell r="L440">
            <v>0.12779666666666667</v>
          </cell>
          <cell r="M440">
            <v>2.0900000000000003E-3</v>
          </cell>
          <cell r="N440">
            <v>2.0378333333333332E-2</v>
          </cell>
          <cell r="O440">
            <v>9.8133333333333336E-3</v>
          </cell>
          <cell r="P440">
            <v>5.7816666666666667E-3</v>
          </cell>
          <cell r="Q440">
            <v>3.5446666666666668E-2</v>
          </cell>
          <cell r="R440">
            <v>0.23944833333333335</v>
          </cell>
          <cell r="S440">
            <v>0</v>
          </cell>
          <cell r="T440">
            <v>0</v>
          </cell>
          <cell r="U440">
            <v>0</v>
          </cell>
          <cell r="V440">
            <v>0.274895</v>
          </cell>
        </row>
        <row r="441">
          <cell r="E441" t="str">
            <v>295J15570A</v>
          </cell>
          <cell r="F441">
            <v>149.078</v>
          </cell>
          <cell r="G441">
            <v>0</v>
          </cell>
          <cell r="H441">
            <v>6.5561666666666671E-2</v>
          </cell>
          <cell r="I441">
            <v>5.5965000000000001E-2</v>
          </cell>
          <cell r="J441">
            <v>8.0483333333333327E-3</v>
          </cell>
          <cell r="K441">
            <v>0.20201166666666664</v>
          </cell>
          <cell r="L441">
            <v>0.13773333333333332</v>
          </cell>
          <cell r="M441">
            <v>0</v>
          </cell>
          <cell r="N441">
            <v>2.6131666666666668E-2</v>
          </cell>
          <cell r="O441">
            <v>1.3415E-2</v>
          </cell>
          <cell r="P441">
            <v>4.4066666666666672E-3</v>
          </cell>
          <cell r="Q441">
            <v>0.129575</v>
          </cell>
          <cell r="R441">
            <v>0.38369833333333331</v>
          </cell>
          <cell r="S441">
            <v>0</v>
          </cell>
          <cell r="T441">
            <v>0</v>
          </cell>
          <cell r="U441">
            <v>0</v>
          </cell>
          <cell r="V441">
            <v>0.51327333333333325</v>
          </cell>
        </row>
        <row r="442">
          <cell r="E442" t="str">
            <v>295J16RA0A</v>
          </cell>
          <cell r="F442">
            <v>149.7766</v>
          </cell>
          <cell r="G442">
            <v>0</v>
          </cell>
          <cell r="H442">
            <v>6.5863333333333329E-2</v>
          </cell>
          <cell r="I442">
            <v>5.9441666666666663E-2</v>
          </cell>
          <cell r="J442">
            <v>8.0483333333333327E-3</v>
          </cell>
          <cell r="K442">
            <v>0.20201166666666664</v>
          </cell>
          <cell r="L442">
            <v>0.14968666666666666</v>
          </cell>
          <cell r="M442">
            <v>0</v>
          </cell>
          <cell r="N442">
            <v>2.6724999999999999E-2</v>
          </cell>
          <cell r="O442">
            <v>1.1094999999999999E-2</v>
          </cell>
          <cell r="P442">
            <v>4.306666666666667E-3</v>
          </cell>
          <cell r="Q442">
            <v>0.13335333333333332</v>
          </cell>
          <cell r="R442">
            <v>0.39382500000000004</v>
          </cell>
          <cell r="S442">
            <v>0</v>
          </cell>
          <cell r="T442">
            <v>0</v>
          </cell>
          <cell r="U442">
            <v>0</v>
          </cell>
          <cell r="V442">
            <v>0.5271783333333333</v>
          </cell>
        </row>
        <row r="443">
          <cell r="E443" t="str">
            <v>295J1-7YA0A</v>
          </cell>
          <cell r="F443">
            <v>149.078</v>
          </cell>
          <cell r="G443">
            <v>0</v>
          </cell>
          <cell r="H443">
            <v>6.5561666666666671E-2</v>
          </cell>
          <cell r="I443">
            <v>5.5965000000000001E-2</v>
          </cell>
          <cell r="J443">
            <v>8.0483333333333327E-3</v>
          </cell>
          <cell r="K443">
            <v>0.20201166666666664</v>
          </cell>
          <cell r="L443">
            <v>0.14135166666666665</v>
          </cell>
          <cell r="M443">
            <v>0</v>
          </cell>
          <cell r="N443">
            <v>2.6131666666666668E-2</v>
          </cell>
          <cell r="O443">
            <v>1.3415E-2</v>
          </cell>
          <cell r="P443">
            <v>4.4066666666666672E-3</v>
          </cell>
          <cell r="Q443">
            <v>0.129575</v>
          </cell>
          <cell r="R443">
            <v>0.38731666666666664</v>
          </cell>
          <cell r="S443">
            <v>0</v>
          </cell>
          <cell r="T443">
            <v>0</v>
          </cell>
          <cell r="U443">
            <v>0</v>
          </cell>
          <cell r="V443">
            <v>0.51689166666666664</v>
          </cell>
        </row>
        <row r="444">
          <cell r="E444" t="str">
            <v>295J26RA0A</v>
          </cell>
          <cell r="F444">
            <v>95.387</v>
          </cell>
          <cell r="G444">
            <v>0</v>
          </cell>
          <cell r="H444">
            <v>2.614E-2</v>
          </cell>
          <cell r="I444">
            <v>6.5881666666666672E-2</v>
          </cell>
          <cell r="J444">
            <v>1.6096666666666665E-2</v>
          </cell>
          <cell r="K444">
            <v>7.5781666666666664E-2</v>
          </cell>
          <cell r="L444">
            <v>0.14323</v>
          </cell>
          <cell r="M444">
            <v>0</v>
          </cell>
          <cell r="N444">
            <v>2.0351666666666667E-2</v>
          </cell>
          <cell r="O444">
            <v>1.2383333333333333E-2</v>
          </cell>
          <cell r="P444">
            <v>5.0116666666666669E-3</v>
          </cell>
          <cell r="Q444">
            <v>0.10811833333333333</v>
          </cell>
          <cell r="R444">
            <v>0.25675833333333337</v>
          </cell>
          <cell r="S444">
            <v>0</v>
          </cell>
          <cell r="T444">
            <v>0</v>
          </cell>
          <cell r="U444">
            <v>0</v>
          </cell>
          <cell r="V444">
            <v>0.36487666666666668</v>
          </cell>
        </row>
        <row r="445">
          <cell r="E445" t="str">
            <v>295J2-7YA0A</v>
          </cell>
          <cell r="F445">
            <v>96.243900000000011</v>
          </cell>
          <cell r="G445">
            <v>0</v>
          </cell>
          <cell r="H445">
            <v>2.7021666666666666E-2</v>
          </cell>
          <cell r="I445">
            <v>6.5875000000000003E-2</v>
          </cell>
          <cell r="J445">
            <v>1.7695000000000002E-2</v>
          </cell>
          <cell r="K445">
            <v>7.7643333333333328E-2</v>
          </cell>
          <cell r="L445">
            <v>0.15399333333333332</v>
          </cell>
          <cell r="M445">
            <v>0</v>
          </cell>
          <cell r="N445">
            <v>2.1035000000000002E-2</v>
          </cell>
          <cell r="O445">
            <v>1.2616666666666667E-2</v>
          </cell>
          <cell r="P445">
            <v>5.078333333333334E-3</v>
          </cell>
          <cell r="Q445">
            <v>0.11059166666666667</v>
          </cell>
          <cell r="R445">
            <v>0.2703666666666667</v>
          </cell>
          <cell r="S445">
            <v>0</v>
          </cell>
          <cell r="T445">
            <v>0</v>
          </cell>
          <cell r="U445">
            <v>0</v>
          </cell>
          <cell r="V445">
            <v>0.3809583333333334</v>
          </cell>
        </row>
        <row r="446">
          <cell r="E446" t="str">
            <v>295J2-7YA1A</v>
          </cell>
          <cell r="F446">
            <v>85.457599999999999</v>
          </cell>
          <cell r="G446">
            <v>0</v>
          </cell>
          <cell r="H446">
            <v>2.3286666666666667E-2</v>
          </cell>
          <cell r="I446">
            <v>4.3268333333333332E-2</v>
          </cell>
          <cell r="J446">
            <v>1.2880000000000001E-2</v>
          </cell>
          <cell r="K446">
            <v>7.4160000000000004E-2</v>
          </cell>
          <cell r="L446">
            <v>0.14658333333333334</v>
          </cell>
          <cell r="M446">
            <v>0</v>
          </cell>
          <cell r="N446">
            <v>2.0216666666666668E-2</v>
          </cell>
          <cell r="O446">
            <v>1.0013333333333334E-2</v>
          </cell>
          <cell r="P446">
            <v>4.8783333333333335E-3</v>
          </cell>
          <cell r="Q446">
            <v>7.9435000000000006E-2</v>
          </cell>
          <cell r="R446">
            <v>0.25585166666666664</v>
          </cell>
          <cell r="S446">
            <v>0</v>
          </cell>
          <cell r="T446">
            <v>0</v>
          </cell>
          <cell r="U446">
            <v>0</v>
          </cell>
          <cell r="V446">
            <v>0.33528666666666662</v>
          </cell>
        </row>
        <row r="447">
          <cell r="E447" t="str">
            <v>295J2-8290A</v>
          </cell>
          <cell r="F447">
            <v>85.859399999999994</v>
          </cell>
          <cell r="G447">
            <v>0</v>
          </cell>
          <cell r="H447">
            <v>2.2456666666666666E-2</v>
          </cell>
          <cell r="I447">
            <v>4.3274999999999994E-2</v>
          </cell>
          <cell r="J447">
            <v>1.1281666666666666E-2</v>
          </cell>
          <cell r="K447">
            <v>7.2298333333333339E-2</v>
          </cell>
          <cell r="L447">
            <v>0.13588333333333333</v>
          </cell>
          <cell r="M447">
            <v>0</v>
          </cell>
          <cell r="N447">
            <v>1.9535E-2</v>
          </cell>
          <cell r="O447">
            <v>9.7800000000000005E-3</v>
          </cell>
          <cell r="P447">
            <v>4.8116666666666672E-3</v>
          </cell>
          <cell r="Q447">
            <v>7.7013333333333323E-2</v>
          </cell>
          <cell r="R447">
            <v>0.24230833333333332</v>
          </cell>
          <cell r="S447">
            <v>0</v>
          </cell>
          <cell r="T447">
            <v>0</v>
          </cell>
          <cell r="U447">
            <v>0</v>
          </cell>
          <cell r="V447">
            <v>0.31932166666666661</v>
          </cell>
        </row>
        <row r="448">
          <cell r="E448" t="str">
            <v>82111F4L10</v>
          </cell>
          <cell r="F448">
            <v>2515.1705000000002</v>
          </cell>
          <cell r="G448">
            <v>0</v>
          </cell>
          <cell r="H448">
            <v>0.17911166666666667</v>
          </cell>
          <cell r="I448">
            <v>8.7393333333333337E-2</v>
          </cell>
          <cell r="J448">
            <v>0.12803</v>
          </cell>
          <cell r="K448">
            <v>0.50845499999999999</v>
          </cell>
          <cell r="L448">
            <v>1.4777916666666668</v>
          </cell>
          <cell r="M448">
            <v>6.2816666666666673E-2</v>
          </cell>
          <cell r="N448">
            <v>0.15845666666666666</v>
          </cell>
          <cell r="O448">
            <v>0.18387166666666666</v>
          </cell>
          <cell r="P448">
            <v>6.4603333333333332E-2</v>
          </cell>
          <cell r="Q448">
            <v>0.39453499999999997</v>
          </cell>
          <cell r="R448">
            <v>2.4559949999999997</v>
          </cell>
          <cell r="S448">
            <v>4.6934999999999998E-2</v>
          </cell>
          <cell r="T448">
            <v>4.0425000000000003E-2</v>
          </cell>
          <cell r="U448">
            <v>0</v>
          </cell>
          <cell r="V448">
            <v>2.9378899999999994</v>
          </cell>
        </row>
        <row r="449">
          <cell r="E449" t="str">
            <v>82111F4L20</v>
          </cell>
          <cell r="F449">
            <v>3705.6261999999997</v>
          </cell>
          <cell r="G449">
            <v>0</v>
          </cell>
          <cell r="H449">
            <v>0.21766833333333332</v>
          </cell>
          <cell r="I449">
            <v>0.31809666666666664</v>
          </cell>
          <cell r="J449">
            <v>0.28766666666666668</v>
          </cell>
          <cell r="K449">
            <v>0.58445333333333338</v>
          </cell>
          <cell r="L449">
            <v>1.642995</v>
          </cell>
          <cell r="M449">
            <v>6.8545000000000009E-2</v>
          </cell>
          <cell r="N449">
            <v>0.18079666666666666</v>
          </cell>
          <cell r="O449">
            <v>0.15011999999999998</v>
          </cell>
          <cell r="P449">
            <v>8.0033333333333331E-2</v>
          </cell>
          <cell r="Q449">
            <v>0.82343166666666656</v>
          </cell>
          <cell r="R449">
            <v>2.7069433333333328</v>
          </cell>
          <cell r="S449">
            <v>4.7993333333333332E-2</v>
          </cell>
          <cell r="T449">
            <v>3.7748333333333335E-2</v>
          </cell>
          <cell r="U449">
            <v>0</v>
          </cell>
          <cell r="V449">
            <v>3.6161166666666662</v>
          </cell>
        </row>
        <row r="450">
          <cell r="E450" t="str">
            <v>82111F4L30</v>
          </cell>
          <cell r="F450">
            <v>3735.3378999999995</v>
          </cell>
          <cell r="G450">
            <v>0</v>
          </cell>
          <cell r="H450">
            <v>0.22378499999999998</v>
          </cell>
          <cell r="I450">
            <v>0.33325500000000002</v>
          </cell>
          <cell r="J450">
            <v>0.28766666666666668</v>
          </cell>
          <cell r="K450">
            <v>0.59913000000000005</v>
          </cell>
          <cell r="L450">
            <v>1.6674816666666668</v>
          </cell>
          <cell r="M450">
            <v>6.8650000000000003E-2</v>
          </cell>
          <cell r="N450">
            <v>0.18178666666666665</v>
          </cell>
          <cell r="O450">
            <v>0.15303333333333333</v>
          </cell>
          <cell r="P450">
            <v>8.0433333333333329E-2</v>
          </cell>
          <cell r="Q450">
            <v>0.84470666666666672</v>
          </cell>
          <cell r="R450">
            <v>2.7505149999999996</v>
          </cell>
          <cell r="S450">
            <v>4.7993333333333332E-2</v>
          </cell>
          <cell r="T450">
            <v>3.7748333333333335E-2</v>
          </cell>
          <cell r="U450">
            <v>0</v>
          </cell>
          <cell r="V450">
            <v>3.6809633333333331</v>
          </cell>
        </row>
        <row r="451">
          <cell r="E451" t="str">
            <v>82111-F2131</v>
          </cell>
          <cell r="F451">
            <v>3239.6940999999997</v>
          </cell>
          <cell r="G451">
            <v>0</v>
          </cell>
          <cell r="H451">
            <v>0.23116499999999998</v>
          </cell>
          <cell r="I451">
            <v>0.27012166666666665</v>
          </cell>
          <cell r="J451">
            <v>0.29005666666666668</v>
          </cell>
          <cell r="K451">
            <v>0.60341333333333336</v>
          </cell>
          <cell r="L451">
            <v>1.7462599999999999</v>
          </cell>
          <cell r="M451">
            <v>6.9225000000000009E-2</v>
          </cell>
          <cell r="N451">
            <v>0.17413500000000001</v>
          </cell>
          <cell r="O451">
            <v>0.14865666666666666</v>
          </cell>
          <cell r="P451">
            <v>6.0520000000000004E-2</v>
          </cell>
          <cell r="Q451">
            <v>0.79134333333333329</v>
          </cell>
          <cell r="R451">
            <v>2.8022100000000001</v>
          </cell>
          <cell r="S451">
            <v>4.1920000000000006E-2</v>
          </cell>
          <cell r="T451">
            <v>3.7756666666666668E-2</v>
          </cell>
          <cell r="U451">
            <v>0</v>
          </cell>
          <cell r="V451">
            <v>3.6732300000000002</v>
          </cell>
        </row>
        <row r="452">
          <cell r="E452" t="str">
            <v>82111-F2132</v>
          </cell>
          <cell r="F452">
            <v>3259.0411999999997</v>
          </cell>
          <cell r="G452">
            <v>0</v>
          </cell>
          <cell r="H452">
            <v>0.23245333333333335</v>
          </cell>
          <cell r="I452">
            <v>0.27012166666666665</v>
          </cell>
          <cell r="J452">
            <v>0.30343999999999999</v>
          </cell>
          <cell r="K452">
            <v>0.60742833333333335</v>
          </cell>
          <cell r="L452">
            <v>1.7345666666666666</v>
          </cell>
          <cell r="M452">
            <v>6.9225000000000009E-2</v>
          </cell>
          <cell r="N452">
            <v>0.17521166666666668</v>
          </cell>
          <cell r="O452">
            <v>0.14879166666666668</v>
          </cell>
          <cell r="P452">
            <v>5.5844999999999999E-2</v>
          </cell>
          <cell r="Q452">
            <v>0.80601499999999993</v>
          </cell>
          <cell r="R452">
            <v>2.7910683333333335</v>
          </cell>
          <cell r="S452">
            <v>4.1920000000000006E-2</v>
          </cell>
          <cell r="T452">
            <v>3.7756666666666668E-2</v>
          </cell>
          <cell r="U452">
            <v>0</v>
          </cell>
          <cell r="V452">
            <v>3.6767600000000003</v>
          </cell>
        </row>
        <row r="453">
          <cell r="E453" t="str">
            <v>82111-F2211</v>
          </cell>
          <cell r="F453">
            <v>2960.5929999999998</v>
          </cell>
          <cell r="G453">
            <v>0</v>
          </cell>
          <cell r="H453">
            <v>0.17323333333333332</v>
          </cell>
          <cell r="I453">
            <v>0.11832333333333334</v>
          </cell>
          <cell r="J453">
            <v>0.18358333333333335</v>
          </cell>
          <cell r="K453">
            <v>0.50310166666666667</v>
          </cell>
          <cell r="L453">
            <v>1.4259016666666668</v>
          </cell>
          <cell r="M453">
            <v>6.3626666666666665E-2</v>
          </cell>
          <cell r="N453">
            <v>0.16283499999999998</v>
          </cell>
          <cell r="O453">
            <v>0.13167833333333331</v>
          </cell>
          <cell r="P453">
            <v>6.0350000000000001E-2</v>
          </cell>
          <cell r="Q453">
            <v>0.47514000000000001</v>
          </cell>
          <cell r="R453">
            <v>2.3474933333333339</v>
          </cell>
          <cell r="S453">
            <v>4.4470000000000003E-2</v>
          </cell>
          <cell r="T453">
            <v>4.6706666666666674E-2</v>
          </cell>
          <cell r="U453">
            <v>0</v>
          </cell>
          <cell r="V453">
            <v>2.9138100000000007</v>
          </cell>
        </row>
        <row r="454">
          <cell r="E454" t="str">
            <v>82111-F2L51</v>
          </cell>
          <cell r="F454">
            <v>2689.1540999999997</v>
          </cell>
          <cell r="G454">
            <v>0</v>
          </cell>
          <cell r="H454">
            <v>0.17239499999999999</v>
          </cell>
          <cell r="I454">
            <v>0.12714666666666666</v>
          </cell>
          <cell r="J454">
            <v>0.167735</v>
          </cell>
          <cell r="K454">
            <v>0.489035</v>
          </cell>
          <cell r="L454">
            <v>1.4729400000000001</v>
          </cell>
          <cell r="M454">
            <v>6.2545000000000003E-2</v>
          </cell>
          <cell r="N454">
            <v>0.15503</v>
          </cell>
          <cell r="O454">
            <v>0.13877166666666665</v>
          </cell>
          <cell r="P454">
            <v>4.9541666666666671E-2</v>
          </cell>
          <cell r="Q454">
            <v>0.46727666666666667</v>
          </cell>
          <cell r="R454">
            <v>2.3678633333333337</v>
          </cell>
          <cell r="S454">
            <v>4.1839999999999995E-2</v>
          </cell>
          <cell r="T454">
            <v>4.2001666666666673E-2</v>
          </cell>
          <cell r="U454">
            <v>0</v>
          </cell>
          <cell r="V454">
            <v>2.9189816666666673</v>
          </cell>
        </row>
        <row r="455">
          <cell r="E455" t="str">
            <v>82111-F2W02</v>
          </cell>
          <cell r="F455">
            <v>2688.2672000000002</v>
          </cell>
          <cell r="G455">
            <v>0</v>
          </cell>
          <cell r="H455">
            <v>0.17234166666666667</v>
          </cell>
          <cell r="I455">
            <v>0.12714666666666666</v>
          </cell>
          <cell r="J455">
            <v>0.16764666666666667</v>
          </cell>
          <cell r="K455">
            <v>0.48708166666666669</v>
          </cell>
          <cell r="L455">
            <v>1.469185</v>
          </cell>
          <cell r="M455">
            <v>6.2524999999999997E-2</v>
          </cell>
          <cell r="N455">
            <v>0.15502333333333332</v>
          </cell>
          <cell r="O455">
            <v>0.13861833333333334</v>
          </cell>
          <cell r="P455">
            <v>4.9443333333333332E-2</v>
          </cell>
          <cell r="Q455">
            <v>0.46713500000000002</v>
          </cell>
          <cell r="R455">
            <v>2.3618766666666668</v>
          </cell>
          <cell r="S455">
            <v>4.1839999999999995E-2</v>
          </cell>
          <cell r="T455">
            <v>4.2001666666666673E-2</v>
          </cell>
          <cell r="U455">
            <v>0</v>
          </cell>
          <cell r="V455">
            <v>2.9128533333333335</v>
          </cell>
        </row>
        <row r="456">
          <cell r="E456" t="str">
            <v>82111-F2W22</v>
          </cell>
          <cell r="F456">
            <v>2686.2175999999999</v>
          </cell>
          <cell r="G456">
            <v>0</v>
          </cell>
          <cell r="H456">
            <v>0.17287833333333333</v>
          </cell>
          <cell r="I456">
            <v>0.12714666666666666</v>
          </cell>
          <cell r="J456">
            <v>0.16768166666666667</v>
          </cell>
          <cell r="K456">
            <v>0.48022333333333334</v>
          </cell>
          <cell r="L456">
            <v>1.4961799999999998</v>
          </cell>
          <cell r="M456">
            <v>6.2560000000000004E-2</v>
          </cell>
          <cell r="N456">
            <v>0.15563333333333332</v>
          </cell>
          <cell r="O456">
            <v>0.13904333333333332</v>
          </cell>
          <cell r="P456">
            <v>4.9633333333333335E-2</v>
          </cell>
          <cell r="Q456">
            <v>0.46770666666666666</v>
          </cell>
          <cell r="R456">
            <v>2.3832733333333334</v>
          </cell>
          <cell r="S456">
            <v>4.1839999999999995E-2</v>
          </cell>
          <cell r="T456">
            <v>4.2001666666666673E-2</v>
          </cell>
          <cell r="U456">
            <v>0</v>
          </cell>
          <cell r="V456">
            <v>2.9348216666666667</v>
          </cell>
        </row>
        <row r="457">
          <cell r="E457" t="str">
            <v>82111-F2W23</v>
          </cell>
          <cell r="F457">
            <v>2688.6968999999999</v>
          </cell>
          <cell r="G457">
            <v>0</v>
          </cell>
          <cell r="H457">
            <v>0.17287833333333333</v>
          </cell>
          <cell r="I457">
            <v>0.12714666666666666</v>
          </cell>
          <cell r="J457">
            <v>0.16768166666666667</v>
          </cell>
          <cell r="K457">
            <v>0.48022333333333334</v>
          </cell>
          <cell r="L457">
            <v>1.4977200000000002</v>
          </cell>
          <cell r="M457">
            <v>6.2560000000000004E-2</v>
          </cell>
          <cell r="N457">
            <v>0.15563333333333332</v>
          </cell>
          <cell r="O457">
            <v>0.13904333333333332</v>
          </cell>
          <cell r="P457">
            <v>4.9633333333333335E-2</v>
          </cell>
          <cell r="Q457">
            <v>0.46770666666666666</v>
          </cell>
          <cell r="R457">
            <v>2.3848133333333337</v>
          </cell>
          <cell r="S457">
            <v>4.1839999999999995E-2</v>
          </cell>
          <cell r="T457">
            <v>4.2001666666666673E-2</v>
          </cell>
          <cell r="U457">
            <v>0</v>
          </cell>
          <cell r="V457">
            <v>2.936361666666667</v>
          </cell>
        </row>
        <row r="458">
          <cell r="E458" t="str">
            <v>82111-F2W92</v>
          </cell>
          <cell r="F458">
            <v>2983.4490999999998</v>
          </cell>
          <cell r="G458">
            <v>0</v>
          </cell>
          <cell r="H458">
            <v>0.173315</v>
          </cell>
          <cell r="I458">
            <v>0.11146666666666666</v>
          </cell>
          <cell r="J458">
            <v>0.18029833333333334</v>
          </cell>
          <cell r="K458">
            <v>0.50301833333333335</v>
          </cell>
          <cell r="L458">
            <v>1.4243716666666666</v>
          </cell>
          <cell r="M458">
            <v>6.3716666666666671E-2</v>
          </cell>
          <cell r="N458">
            <v>0.16377499999999998</v>
          </cell>
          <cell r="O458">
            <v>0.13201000000000002</v>
          </cell>
          <cell r="P458">
            <v>7.4116666666666664E-2</v>
          </cell>
          <cell r="Q458">
            <v>0.46507999999999999</v>
          </cell>
          <cell r="R458">
            <v>2.3610083333333334</v>
          </cell>
          <cell r="S458">
            <v>4.4470000000000003E-2</v>
          </cell>
          <cell r="T458">
            <v>4.6706666666666674E-2</v>
          </cell>
          <cell r="U458">
            <v>0</v>
          </cell>
          <cell r="V458">
            <v>2.917265</v>
          </cell>
        </row>
        <row r="459">
          <cell r="E459" t="str">
            <v>82111-FE150</v>
          </cell>
          <cell r="F459">
            <v>3251.1471999999999</v>
          </cell>
          <cell r="G459">
            <v>0</v>
          </cell>
          <cell r="H459">
            <v>0.23194999999999999</v>
          </cell>
          <cell r="I459">
            <v>0.28115999999999997</v>
          </cell>
          <cell r="J459">
            <v>0.30346166666666663</v>
          </cell>
          <cell r="K459">
            <v>0.61091166666666663</v>
          </cell>
          <cell r="L459">
            <v>1.7057399999999998</v>
          </cell>
          <cell r="M459">
            <v>6.9205000000000003E-2</v>
          </cell>
          <cell r="N459">
            <v>0.17460666666666666</v>
          </cell>
          <cell r="O459">
            <v>0.14848166666666665</v>
          </cell>
          <cell r="P459">
            <v>6.9186666666666674E-2</v>
          </cell>
          <cell r="Q459">
            <v>0.81657166666666658</v>
          </cell>
          <cell r="R459">
            <v>2.7781316666666664</v>
          </cell>
          <cell r="S459">
            <v>3.0056666666666669E-2</v>
          </cell>
          <cell r="T459">
            <v>3.7756666666666668E-2</v>
          </cell>
          <cell r="U459">
            <v>0</v>
          </cell>
          <cell r="V459">
            <v>3.6625166666666664</v>
          </cell>
        </row>
        <row r="460">
          <cell r="E460" t="str">
            <v>82111-FE200</v>
          </cell>
          <cell r="F460">
            <v>2626.7682999999997</v>
          </cell>
          <cell r="G460">
            <v>0</v>
          </cell>
          <cell r="H460">
            <v>0.16186999999999999</v>
          </cell>
          <cell r="I460">
            <v>0.12967166666666669</v>
          </cell>
          <cell r="J460">
            <v>0.15002833333333332</v>
          </cell>
          <cell r="K460">
            <v>0.4713</v>
          </cell>
          <cell r="L460">
            <v>1.3999950000000001</v>
          </cell>
          <cell r="M460">
            <v>6.2491666666666661E-2</v>
          </cell>
          <cell r="N460">
            <v>0.15697999999999998</v>
          </cell>
          <cell r="O460">
            <v>0.12628666666666669</v>
          </cell>
          <cell r="P460">
            <v>4.7841666666666664E-2</v>
          </cell>
          <cell r="Q460">
            <v>0.44157000000000002</v>
          </cell>
          <cell r="R460">
            <v>2.2648950000000001</v>
          </cell>
          <cell r="S460">
            <v>3.6031666666666663E-2</v>
          </cell>
          <cell r="T460">
            <v>4.2001666666666673E-2</v>
          </cell>
          <cell r="U460">
            <v>0</v>
          </cell>
          <cell r="V460">
            <v>2.7844983333333335</v>
          </cell>
        </row>
        <row r="461">
          <cell r="E461" t="str">
            <v>82111-FE210</v>
          </cell>
          <cell r="F461">
            <v>2677.5248000000001</v>
          </cell>
          <cell r="G461">
            <v>0</v>
          </cell>
          <cell r="H461">
            <v>0.17233833333333332</v>
          </cell>
          <cell r="I461">
            <v>0.13213166666666668</v>
          </cell>
          <cell r="J461">
            <v>0.17701500000000001</v>
          </cell>
          <cell r="K461">
            <v>0.48565833333333336</v>
          </cell>
          <cell r="L461">
            <v>1.4603983333333335</v>
          </cell>
          <cell r="M461">
            <v>6.2524999999999997E-2</v>
          </cell>
          <cell r="N461">
            <v>0.15502333333333332</v>
          </cell>
          <cell r="O461">
            <v>0.13861833333333334</v>
          </cell>
          <cell r="P461">
            <v>4.9443333333333332E-2</v>
          </cell>
          <cell r="Q461">
            <v>0.48148500000000005</v>
          </cell>
          <cell r="R461">
            <v>2.351666666666667</v>
          </cell>
          <cell r="S461">
            <v>3.6031666666666663E-2</v>
          </cell>
          <cell r="T461">
            <v>4.2001666666666673E-2</v>
          </cell>
          <cell r="U461">
            <v>0</v>
          </cell>
          <cell r="V461">
            <v>2.9111850000000006</v>
          </cell>
        </row>
        <row r="462">
          <cell r="E462" t="str">
            <v>82111-FE460</v>
          </cell>
          <cell r="F462">
            <v>2662.3555000000001</v>
          </cell>
          <cell r="G462">
            <v>0</v>
          </cell>
          <cell r="H462">
            <v>0.16463333333333333</v>
          </cell>
          <cell r="I462">
            <v>0.14230499999999999</v>
          </cell>
          <cell r="J462">
            <v>0.15429000000000001</v>
          </cell>
          <cell r="K462">
            <v>0.47933166666666666</v>
          </cell>
          <cell r="L462">
            <v>1.3992150000000001</v>
          </cell>
          <cell r="M462">
            <v>6.3601666666666667E-2</v>
          </cell>
          <cell r="N462">
            <v>0.15803666666666669</v>
          </cell>
          <cell r="O462">
            <v>0.12656999999999999</v>
          </cell>
          <cell r="P462">
            <v>4.8031666666666667E-2</v>
          </cell>
          <cell r="Q462">
            <v>0.46122833333333335</v>
          </cell>
          <cell r="R462">
            <v>2.274786666666667</v>
          </cell>
          <cell r="S462">
            <v>2.9931666666666669E-2</v>
          </cell>
          <cell r="T462">
            <v>4.2001666666666673E-2</v>
          </cell>
          <cell r="U462">
            <v>0</v>
          </cell>
          <cell r="V462">
            <v>2.8079483333333335</v>
          </cell>
        </row>
        <row r="463">
          <cell r="E463" t="str">
            <v>82111-FE470</v>
          </cell>
          <cell r="F463">
            <v>2713.2155000000002</v>
          </cell>
          <cell r="G463">
            <v>0</v>
          </cell>
          <cell r="H463">
            <v>0.17510499999999998</v>
          </cell>
          <cell r="I463">
            <v>0.144765</v>
          </cell>
          <cell r="J463">
            <v>0.18127666666666667</v>
          </cell>
          <cell r="K463">
            <v>0.49173666666666666</v>
          </cell>
          <cell r="L463">
            <v>1.4596383333333334</v>
          </cell>
          <cell r="M463">
            <v>6.3634999999999997E-2</v>
          </cell>
          <cell r="N463">
            <v>0.15608000000000002</v>
          </cell>
          <cell r="O463">
            <v>0.13890166666666665</v>
          </cell>
          <cell r="P463">
            <v>4.9633333333333335E-2</v>
          </cell>
          <cell r="Q463">
            <v>0.50114666666666663</v>
          </cell>
          <cell r="R463">
            <v>2.3596250000000003</v>
          </cell>
          <cell r="S463">
            <v>2.9931666666666669E-2</v>
          </cell>
          <cell r="T463">
            <v>4.2001666666666673E-2</v>
          </cell>
          <cell r="U463">
            <v>0</v>
          </cell>
          <cell r="V463">
            <v>2.9327050000000003</v>
          </cell>
        </row>
        <row r="464">
          <cell r="E464" t="str">
            <v>82111-FEQ60</v>
          </cell>
          <cell r="F464">
            <v>2946.7116000000001</v>
          </cell>
          <cell r="G464">
            <v>0</v>
          </cell>
          <cell r="H464">
            <v>0.16594666666666666</v>
          </cell>
          <cell r="I464">
            <v>0.110405</v>
          </cell>
          <cell r="J464">
            <v>0.19802666666666668</v>
          </cell>
          <cell r="K464">
            <v>0.48776499999999995</v>
          </cell>
          <cell r="L464">
            <v>1.4337766666666667</v>
          </cell>
          <cell r="M464">
            <v>6.3856666666666659E-2</v>
          </cell>
          <cell r="N464">
            <v>0.16166333333333333</v>
          </cell>
          <cell r="O464">
            <v>0.13036666666666666</v>
          </cell>
          <cell r="P464">
            <v>6.1281666666666665E-2</v>
          </cell>
          <cell r="Q464">
            <v>0.47437833333333335</v>
          </cell>
          <cell r="R464">
            <v>2.3387099999999998</v>
          </cell>
          <cell r="S464">
            <v>4.4470000000000003E-2</v>
          </cell>
          <cell r="T464">
            <v>4.6706666666666674E-2</v>
          </cell>
          <cell r="U464">
            <v>0</v>
          </cell>
          <cell r="V464">
            <v>2.9042649999999997</v>
          </cell>
        </row>
        <row r="465">
          <cell r="E465" t="str">
            <v>82111-FET00</v>
          </cell>
          <cell r="F465">
            <v>3248.4472000000001</v>
          </cell>
          <cell r="G465">
            <v>0</v>
          </cell>
          <cell r="H465">
            <v>0.23245166666666667</v>
          </cell>
          <cell r="I465">
            <v>0.28115999999999997</v>
          </cell>
          <cell r="J465">
            <v>0.30343999999999999</v>
          </cell>
          <cell r="K465">
            <v>0.60600500000000002</v>
          </cell>
          <cell r="L465">
            <v>1.7341883333333332</v>
          </cell>
          <cell r="M465">
            <v>6.9225000000000009E-2</v>
          </cell>
          <cell r="N465">
            <v>0.17521166666666668</v>
          </cell>
          <cell r="O465">
            <v>0.14879166666666668</v>
          </cell>
          <cell r="P465">
            <v>5.5844999999999999E-2</v>
          </cell>
          <cell r="Q465">
            <v>0.81705166666666651</v>
          </cell>
          <cell r="R465">
            <v>2.7892666666666668</v>
          </cell>
          <cell r="S465">
            <v>3.0056666666666669E-2</v>
          </cell>
          <cell r="T465">
            <v>3.7756666666666668E-2</v>
          </cell>
          <cell r="U465">
            <v>0</v>
          </cell>
          <cell r="V465">
            <v>3.6741316666666668</v>
          </cell>
        </row>
        <row r="466">
          <cell r="E466" t="str">
            <v>82111-FET10</v>
          </cell>
          <cell r="F466">
            <v>3155.0661</v>
          </cell>
          <cell r="G466">
            <v>0</v>
          </cell>
          <cell r="H466">
            <v>0.21795166666666665</v>
          </cell>
          <cell r="I466">
            <v>0.25292333333333333</v>
          </cell>
          <cell r="J466">
            <v>0.28882999999999998</v>
          </cell>
          <cell r="K466">
            <v>0.58646333333333334</v>
          </cell>
          <cell r="L466">
            <v>1.5965783333333334</v>
          </cell>
          <cell r="M466">
            <v>6.8699999999999997E-2</v>
          </cell>
          <cell r="N466">
            <v>0.16978499999999999</v>
          </cell>
          <cell r="O466">
            <v>0.14546000000000001</v>
          </cell>
          <cell r="P466">
            <v>6.7964999999999998E-2</v>
          </cell>
          <cell r="Q466">
            <v>0.75970499999999996</v>
          </cell>
          <cell r="R466">
            <v>2.6349516666666672</v>
          </cell>
          <cell r="S466">
            <v>3.0056666666666669E-2</v>
          </cell>
          <cell r="T466">
            <v>3.7756666666666668E-2</v>
          </cell>
          <cell r="U466">
            <v>0</v>
          </cell>
          <cell r="V466">
            <v>3.4624700000000006</v>
          </cell>
        </row>
        <row r="467">
          <cell r="E467" t="str">
            <v>82111-FET20</v>
          </cell>
          <cell r="F467">
            <v>2958.8568000000005</v>
          </cell>
          <cell r="G467">
            <v>0</v>
          </cell>
          <cell r="H467">
            <v>0.17452333333333331</v>
          </cell>
          <cell r="I467">
            <v>0.123445</v>
          </cell>
          <cell r="J467">
            <v>0.19562833333333335</v>
          </cell>
          <cell r="K467">
            <v>0.50569333333333333</v>
          </cell>
          <cell r="L467">
            <v>1.415205</v>
          </cell>
          <cell r="M467">
            <v>6.3626666666666665E-2</v>
          </cell>
          <cell r="N467">
            <v>0.16391166666666665</v>
          </cell>
          <cell r="O467">
            <v>0.13181333333333334</v>
          </cell>
          <cell r="P467">
            <v>4.8176666666666666E-2</v>
          </cell>
          <cell r="Q467">
            <v>0.49359666666666663</v>
          </cell>
          <cell r="R467">
            <v>2.3284266666666662</v>
          </cell>
          <cell r="S467">
            <v>3.8523333333333333E-2</v>
          </cell>
          <cell r="T467">
            <v>4.6706666666666674E-2</v>
          </cell>
          <cell r="U467">
            <v>0</v>
          </cell>
          <cell r="V467">
            <v>2.9072533333333328</v>
          </cell>
        </row>
        <row r="468">
          <cell r="E468" t="str">
            <v>82111-FET30</v>
          </cell>
          <cell r="F468">
            <v>2930.1306000000004</v>
          </cell>
          <cell r="G468">
            <v>0</v>
          </cell>
          <cell r="H468">
            <v>0.16789999999999999</v>
          </cell>
          <cell r="I468">
            <v>0.12238333333333333</v>
          </cell>
          <cell r="J468">
            <v>0.21335666666666667</v>
          </cell>
          <cell r="K468">
            <v>0.49222833333333332</v>
          </cell>
          <cell r="L468">
            <v>1.4248833333333333</v>
          </cell>
          <cell r="M468">
            <v>6.3771666666666657E-2</v>
          </cell>
          <cell r="N468">
            <v>0.16188166666666665</v>
          </cell>
          <cell r="O468">
            <v>0.13017333333333334</v>
          </cell>
          <cell r="P468">
            <v>4.8798333333333339E-2</v>
          </cell>
          <cell r="Q468">
            <v>0.50363999999999998</v>
          </cell>
          <cell r="R468">
            <v>2.3217366666666668</v>
          </cell>
          <cell r="S468">
            <v>3.8523333333333333E-2</v>
          </cell>
          <cell r="T468">
            <v>4.6706666666666674E-2</v>
          </cell>
          <cell r="U468">
            <v>0</v>
          </cell>
          <cell r="V468">
            <v>2.9106066666666668</v>
          </cell>
        </row>
        <row r="469">
          <cell r="E469" t="str">
            <v>82111-FET40</v>
          </cell>
          <cell r="F469">
            <v>2944.9754000000003</v>
          </cell>
          <cell r="G469">
            <v>0</v>
          </cell>
          <cell r="H469">
            <v>0.16723833333333332</v>
          </cell>
          <cell r="I469">
            <v>0.11552666666666668</v>
          </cell>
          <cell r="J469">
            <v>0.21007166666666668</v>
          </cell>
          <cell r="K469">
            <v>0.48840333333333336</v>
          </cell>
          <cell r="L469">
            <v>1.4261233333333334</v>
          </cell>
          <cell r="M469">
            <v>6.3856666666666659E-2</v>
          </cell>
          <cell r="N469">
            <v>0.16274</v>
          </cell>
          <cell r="O469">
            <v>0.13050166666666665</v>
          </cell>
          <cell r="P469">
            <v>4.910833333333333E-2</v>
          </cell>
          <cell r="Q469">
            <v>0.4928366666666667</v>
          </cell>
          <cell r="R469">
            <v>2.3207333333333331</v>
          </cell>
          <cell r="S469">
            <v>3.8523333333333333E-2</v>
          </cell>
          <cell r="T469">
            <v>4.6706666666666674E-2</v>
          </cell>
          <cell r="U469">
            <v>0</v>
          </cell>
          <cell r="V469">
            <v>2.8988</v>
          </cell>
        </row>
        <row r="470">
          <cell r="E470" t="str">
            <v>82111-KC012</v>
          </cell>
          <cell r="F470">
            <v>2726.4962</v>
          </cell>
          <cell r="G470">
            <v>0</v>
          </cell>
          <cell r="H470">
            <v>0.176205</v>
          </cell>
          <cell r="I470">
            <v>0.13445000000000001</v>
          </cell>
          <cell r="J470">
            <v>0.16764666666666667</v>
          </cell>
          <cell r="K470">
            <v>0.49694500000000003</v>
          </cell>
          <cell r="L470">
            <v>1.4886916666666667</v>
          </cell>
          <cell r="M470">
            <v>6.2604999999999994E-2</v>
          </cell>
          <cell r="N470">
            <v>0.15592499999999998</v>
          </cell>
          <cell r="O470">
            <v>0.14132</v>
          </cell>
          <cell r="P470">
            <v>4.9703333333333335E-2</v>
          </cell>
          <cell r="Q470">
            <v>0.47830166666666668</v>
          </cell>
          <cell r="R470">
            <v>2.3951899999999999</v>
          </cell>
          <cell r="S470">
            <v>4.1839999999999995E-2</v>
          </cell>
          <cell r="T470">
            <v>4.2001666666666673E-2</v>
          </cell>
          <cell r="U470">
            <v>0</v>
          </cell>
          <cell r="V470">
            <v>2.9573333333333336</v>
          </cell>
        </row>
        <row r="471">
          <cell r="E471" t="str">
            <v>82115-F2390</v>
          </cell>
          <cell r="F471">
            <v>3020.0383000000002</v>
          </cell>
          <cell r="G471">
            <v>0</v>
          </cell>
          <cell r="H471">
            <v>0.18954666666666667</v>
          </cell>
          <cell r="I471">
            <v>0.14792</v>
          </cell>
          <cell r="J471">
            <v>0.21547833333333333</v>
          </cell>
          <cell r="K471">
            <v>0.53073666666666663</v>
          </cell>
          <cell r="L471">
            <v>1.5286283333333333</v>
          </cell>
          <cell r="M471">
            <v>6.3924999999999996E-2</v>
          </cell>
          <cell r="N471">
            <v>0.17076166666666664</v>
          </cell>
          <cell r="O471">
            <v>0.14294999999999999</v>
          </cell>
          <cell r="P471">
            <v>6.4155000000000004E-2</v>
          </cell>
          <cell r="Q471">
            <v>0.55294500000000002</v>
          </cell>
          <cell r="R471">
            <v>2.5011566666666658</v>
          </cell>
          <cell r="S471">
            <v>3.2423333333333339E-2</v>
          </cell>
          <cell r="T471">
            <v>4.6706666666666674E-2</v>
          </cell>
          <cell r="U471">
            <v>0</v>
          </cell>
          <cell r="V471">
            <v>3.1332316666666662</v>
          </cell>
        </row>
        <row r="472">
          <cell r="E472" t="str">
            <v>82116-0ZW70</v>
          </cell>
          <cell r="F472">
            <v>3250.4782</v>
          </cell>
          <cell r="G472">
            <v>0</v>
          </cell>
          <cell r="H472">
            <v>0.23191166666666665</v>
          </cell>
          <cell r="I472">
            <v>0.28115999999999997</v>
          </cell>
          <cell r="J472">
            <v>0.30339833333333333</v>
          </cell>
          <cell r="K472">
            <v>0.61091166666666663</v>
          </cell>
          <cell r="L472">
            <v>1.7039883333333334</v>
          </cell>
          <cell r="M472">
            <v>6.9190000000000002E-2</v>
          </cell>
          <cell r="N472">
            <v>0.17460166666666668</v>
          </cell>
          <cell r="O472">
            <v>0.14836666666666665</v>
          </cell>
          <cell r="P472">
            <v>6.9808333333333333E-2</v>
          </cell>
          <cell r="Q472">
            <v>0.81646999999999992</v>
          </cell>
          <cell r="R472">
            <v>2.7768666666666668</v>
          </cell>
          <cell r="S472">
            <v>3.0056666666666669E-2</v>
          </cell>
          <cell r="T472">
            <v>3.7756666666666668E-2</v>
          </cell>
          <cell r="U472">
            <v>0</v>
          </cell>
          <cell r="V472">
            <v>3.6611500000000001</v>
          </cell>
        </row>
        <row r="473">
          <cell r="E473" t="str">
            <v>82116-0ZW80</v>
          </cell>
          <cell r="F473">
            <v>2675.4704000000002</v>
          </cell>
          <cell r="G473">
            <v>0</v>
          </cell>
          <cell r="H473">
            <v>0.172875</v>
          </cell>
          <cell r="I473">
            <v>0.13823166666666667</v>
          </cell>
          <cell r="J473">
            <v>0.17704999999999999</v>
          </cell>
          <cell r="K473">
            <v>0.48075333333333331</v>
          </cell>
          <cell r="L473">
            <v>1.4898683333333334</v>
          </cell>
          <cell r="M473">
            <v>6.2560000000000004E-2</v>
          </cell>
          <cell r="N473">
            <v>0.15563333333333332</v>
          </cell>
          <cell r="O473">
            <v>0.13904333333333332</v>
          </cell>
          <cell r="P473">
            <v>4.9633333333333335E-2</v>
          </cell>
          <cell r="Q473">
            <v>0.48815666666666663</v>
          </cell>
          <cell r="R473">
            <v>2.3774916666666668</v>
          </cell>
          <cell r="S473">
            <v>2.9931666666666669E-2</v>
          </cell>
          <cell r="T473">
            <v>4.2001666666666673E-2</v>
          </cell>
          <cell r="U473">
            <v>0</v>
          </cell>
          <cell r="V473">
            <v>2.937581666666667</v>
          </cell>
        </row>
        <row r="474">
          <cell r="E474" t="str">
            <v>82116-0ZW90</v>
          </cell>
          <cell r="F474">
            <v>2559.2388000000001</v>
          </cell>
          <cell r="G474">
            <v>0</v>
          </cell>
          <cell r="H474">
            <v>0.14669333333333334</v>
          </cell>
          <cell r="I474">
            <v>0.11465499999999999</v>
          </cell>
          <cell r="J474">
            <v>0.16080333333333333</v>
          </cell>
          <cell r="K474">
            <v>0.43890666666666667</v>
          </cell>
          <cell r="L474">
            <v>1.3828333333333334</v>
          </cell>
          <cell r="M474">
            <v>6.2431666666666663E-2</v>
          </cell>
          <cell r="N474">
            <v>0.15317500000000001</v>
          </cell>
          <cell r="O474">
            <v>0.12621000000000002</v>
          </cell>
          <cell r="P474">
            <v>4.787333333333333E-2</v>
          </cell>
          <cell r="Q474">
            <v>0.4221516666666667</v>
          </cell>
          <cell r="R474">
            <v>2.21143</v>
          </cell>
          <cell r="S474">
            <v>2.9931666666666669E-2</v>
          </cell>
          <cell r="T474">
            <v>4.2001666666666673E-2</v>
          </cell>
          <cell r="U474">
            <v>0</v>
          </cell>
          <cell r="V474">
            <v>2.7055150000000001</v>
          </cell>
        </row>
        <row r="475">
          <cell r="E475" t="str">
            <v>82116-0ZX70</v>
          </cell>
          <cell r="F475">
            <v>3004.6570999999999</v>
          </cell>
          <cell r="G475">
            <v>0</v>
          </cell>
          <cell r="H475">
            <v>0.18210000000000001</v>
          </cell>
          <cell r="I475">
            <v>0.12819</v>
          </cell>
          <cell r="J475">
            <v>0.22534833333333332</v>
          </cell>
          <cell r="K475">
            <v>0.51956333333333338</v>
          </cell>
          <cell r="L475">
            <v>1.4393666666666667</v>
          </cell>
          <cell r="M475">
            <v>6.3570000000000002E-2</v>
          </cell>
          <cell r="N475">
            <v>0.16638</v>
          </cell>
          <cell r="O475">
            <v>0.13751833333333333</v>
          </cell>
          <cell r="P475">
            <v>6.2534999999999993E-2</v>
          </cell>
          <cell r="Q475">
            <v>0.53563833333333333</v>
          </cell>
          <cell r="R475">
            <v>2.3889333333333336</v>
          </cell>
          <cell r="S475">
            <v>3.2423333333333339E-2</v>
          </cell>
          <cell r="T475">
            <v>4.6706666666666674E-2</v>
          </cell>
          <cell r="U475">
            <v>0</v>
          </cell>
          <cell r="V475">
            <v>3.0037016666666672</v>
          </cell>
        </row>
        <row r="476">
          <cell r="E476" t="str">
            <v>82116-0ZX80</v>
          </cell>
          <cell r="F476">
            <v>2624.7151999999996</v>
          </cell>
          <cell r="G476">
            <v>0</v>
          </cell>
          <cell r="H476">
            <v>0.16240833333333335</v>
          </cell>
          <cell r="I476">
            <v>0.13577166666666668</v>
          </cell>
          <cell r="J476">
            <v>0.15006333333333333</v>
          </cell>
          <cell r="K476">
            <v>0.466395</v>
          </cell>
          <cell r="L476">
            <v>1.4300333333333335</v>
          </cell>
          <cell r="M476">
            <v>6.2526666666666661E-2</v>
          </cell>
          <cell r="N476">
            <v>0.15758999999999998</v>
          </cell>
          <cell r="O476">
            <v>0.12671166666666667</v>
          </cell>
          <cell r="P476">
            <v>4.8031666666666667E-2</v>
          </cell>
          <cell r="Q476">
            <v>0.44824333333333333</v>
          </cell>
          <cell r="R476">
            <v>2.2912883333333336</v>
          </cell>
          <cell r="S476">
            <v>2.9931666666666669E-2</v>
          </cell>
          <cell r="T476">
            <v>4.2001666666666673E-2</v>
          </cell>
          <cell r="U476">
            <v>0</v>
          </cell>
          <cell r="V476">
            <v>2.8114650000000005</v>
          </cell>
        </row>
        <row r="477">
          <cell r="E477" t="str">
            <v>82116-0ZX90</v>
          </cell>
          <cell r="F477">
            <v>2595.0870999999997</v>
          </cell>
          <cell r="G477">
            <v>0</v>
          </cell>
          <cell r="H477">
            <v>0.15403500000000001</v>
          </cell>
          <cell r="I477">
            <v>0.11571666666666666</v>
          </cell>
          <cell r="J477">
            <v>0.14306833333333333</v>
          </cell>
          <cell r="K477">
            <v>0.45611333333333337</v>
          </cell>
          <cell r="L477">
            <v>1.3735133333333331</v>
          </cell>
          <cell r="M477">
            <v>6.2286666666666671E-2</v>
          </cell>
          <cell r="N477">
            <v>0.15528500000000001</v>
          </cell>
          <cell r="O477">
            <v>0.12784999999999999</v>
          </cell>
          <cell r="P477">
            <v>4.7251666666666671E-2</v>
          </cell>
          <cell r="Q477">
            <v>0.41281999999999996</v>
          </cell>
          <cell r="R477">
            <v>2.2222999999999997</v>
          </cell>
          <cell r="S477">
            <v>2.9931666666666669E-2</v>
          </cell>
          <cell r="T477">
            <v>4.2001666666666673E-2</v>
          </cell>
          <cell r="U477">
            <v>0</v>
          </cell>
          <cell r="V477">
            <v>2.7070533333333331</v>
          </cell>
        </row>
        <row r="478">
          <cell r="E478" t="str">
            <v>82116-0ZY00</v>
          </cell>
          <cell r="F478">
            <v>2981.7129</v>
          </cell>
          <cell r="G478">
            <v>0</v>
          </cell>
          <cell r="H478">
            <v>0.17460666666666666</v>
          </cell>
          <cell r="I478">
            <v>0.11658833333333334</v>
          </cell>
          <cell r="J478">
            <v>0.19234333333333334</v>
          </cell>
          <cell r="K478">
            <v>0.50365666666666664</v>
          </cell>
          <cell r="L478">
            <v>1.4167183333333333</v>
          </cell>
          <cell r="M478">
            <v>6.3716666666666671E-2</v>
          </cell>
          <cell r="N478">
            <v>0.16485166666666667</v>
          </cell>
          <cell r="O478">
            <v>0.13214500000000001</v>
          </cell>
          <cell r="P478">
            <v>6.1943333333333336E-2</v>
          </cell>
          <cell r="Q478">
            <v>0.48353833333333329</v>
          </cell>
          <cell r="R478">
            <v>2.3430316666666666</v>
          </cell>
          <cell r="S478">
            <v>3.8523333333333333E-2</v>
          </cell>
          <cell r="T478">
            <v>4.6706666666666674E-2</v>
          </cell>
          <cell r="U478">
            <v>0</v>
          </cell>
          <cell r="V478">
            <v>2.9117999999999999</v>
          </cell>
        </row>
        <row r="479">
          <cell r="E479" t="str">
            <v>82116-0ZY10</v>
          </cell>
          <cell r="F479">
            <v>3067.9875999999999</v>
          </cell>
          <cell r="G479">
            <v>0</v>
          </cell>
          <cell r="H479">
            <v>0.20702000000000001</v>
          </cell>
          <cell r="I479">
            <v>0.24881999999999999</v>
          </cell>
          <cell r="J479">
            <v>0.25528000000000001</v>
          </cell>
          <cell r="K479">
            <v>0.564975</v>
          </cell>
          <cell r="L479">
            <v>1.5745916666666666</v>
          </cell>
          <cell r="M479">
            <v>6.8475000000000008E-2</v>
          </cell>
          <cell r="N479">
            <v>0.16688500000000001</v>
          </cell>
          <cell r="O479">
            <v>0.13990166666666667</v>
          </cell>
          <cell r="P479">
            <v>6.7246666666666663E-2</v>
          </cell>
          <cell r="Q479">
            <v>0.71111999999999997</v>
          </cell>
          <cell r="R479">
            <v>2.5820750000000001</v>
          </cell>
          <cell r="S479">
            <v>3.0056666666666669E-2</v>
          </cell>
          <cell r="T479">
            <v>3.7756666666666668E-2</v>
          </cell>
          <cell r="U479">
            <v>0</v>
          </cell>
          <cell r="V479">
            <v>3.3610083333333334</v>
          </cell>
        </row>
        <row r="480">
          <cell r="E480" t="str">
            <v>821160E090</v>
          </cell>
          <cell r="F480">
            <v>4207.6019000000006</v>
          </cell>
          <cell r="G480">
            <v>472.03140000000002</v>
          </cell>
          <cell r="H480">
            <v>0.3549133333333333</v>
          </cell>
          <cell r="I480">
            <v>0.77903500000000003</v>
          </cell>
          <cell r="J480">
            <v>0.21127166666666666</v>
          </cell>
          <cell r="K480">
            <v>1.014845</v>
          </cell>
          <cell r="L480">
            <v>2.3377416666666666</v>
          </cell>
          <cell r="M480">
            <v>6.561666666666667E-2</v>
          </cell>
          <cell r="N480">
            <v>0.25882666666666665</v>
          </cell>
          <cell r="O480">
            <v>0.32592499999999996</v>
          </cell>
          <cell r="P480">
            <v>0.13295333333333334</v>
          </cell>
          <cell r="Q480">
            <v>1.3452200000000001</v>
          </cell>
          <cell r="R480">
            <v>4.1359083333333331</v>
          </cell>
          <cell r="S480">
            <v>0</v>
          </cell>
          <cell r="T480">
            <v>3.0893333333333328E-2</v>
          </cell>
          <cell r="U480">
            <v>0.47013999999999995</v>
          </cell>
          <cell r="V480">
            <v>5.9821616666666664</v>
          </cell>
        </row>
        <row r="481">
          <cell r="E481" t="str">
            <v>821160E100</v>
          </cell>
          <cell r="F481">
            <v>4184.4465</v>
          </cell>
          <cell r="G481">
            <v>472.03140000000002</v>
          </cell>
          <cell r="H481">
            <v>0.35296666666666671</v>
          </cell>
          <cell r="I481">
            <v>0.76993333333333325</v>
          </cell>
          <cell r="J481">
            <v>0.21127166666666666</v>
          </cell>
          <cell r="K481">
            <v>1.0131583333333334</v>
          </cell>
          <cell r="L481">
            <v>2.3352933333333334</v>
          </cell>
          <cell r="M481">
            <v>6.561666666666667E-2</v>
          </cell>
          <cell r="N481">
            <v>0.25874666666666668</v>
          </cell>
          <cell r="O481">
            <v>0.32592499999999996</v>
          </cell>
          <cell r="P481">
            <v>0.13295333333333334</v>
          </cell>
          <cell r="Q481">
            <v>1.3341716666666668</v>
          </cell>
          <cell r="R481">
            <v>4.1316933333333328</v>
          </cell>
          <cell r="S481">
            <v>0</v>
          </cell>
          <cell r="T481">
            <v>3.0893333333333328E-2</v>
          </cell>
          <cell r="U481">
            <v>0.47013999999999995</v>
          </cell>
          <cell r="V481">
            <v>5.9668983333333321</v>
          </cell>
        </row>
        <row r="482">
          <cell r="E482" t="str">
            <v>821160E110</v>
          </cell>
          <cell r="F482">
            <v>3946.357</v>
          </cell>
          <cell r="G482">
            <v>453.88189999999997</v>
          </cell>
          <cell r="H482">
            <v>0.34136833333333333</v>
          </cell>
          <cell r="I482">
            <v>0.75783833333333339</v>
          </cell>
          <cell r="J482">
            <v>0.21005500000000002</v>
          </cell>
          <cell r="K482">
            <v>0.96126666666666671</v>
          </cell>
          <cell r="L482">
            <v>2.3187866666666666</v>
          </cell>
          <cell r="M482">
            <v>6.4841666666666659E-2</v>
          </cell>
          <cell r="N482">
            <v>0.25814666666666664</v>
          </cell>
          <cell r="O482">
            <v>0.32882</v>
          </cell>
          <cell r="P482">
            <v>0.13392666666666667</v>
          </cell>
          <cell r="Q482">
            <v>1.3092616666666668</v>
          </cell>
          <cell r="R482">
            <v>4.0657883333333329</v>
          </cell>
          <cell r="S482">
            <v>0</v>
          </cell>
          <cell r="T482">
            <v>3.0893333333333328E-2</v>
          </cell>
          <cell r="U482">
            <v>0.50241333333333327</v>
          </cell>
          <cell r="V482">
            <v>5.9083566666666663</v>
          </cell>
        </row>
        <row r="483">
          <cell r="E483" t="str">
            <v>821160E120</v>
          </cell>
          <cell r="F483">
            <v>3923.2015999999999</v>
          </cell>
          <cell r="G483">
            <v>453.88189999999997</v>
          </cell>
          <cell r="H483">
            <v>0.33942166666666668</v>
          </cell>
          <cell r="I483">
            <v>0.74873666666666661</v>
          </cell>
          <cell r="J483">
            <v>0.21005500000000002</v>
          </cell>
          <cell r="K483">
            <v>0.9595800000000001</v>
          </cell>
          <cell r="L483">
            <v>2.3163383333333334</v>
          </cell>
          <cell r="M483">
            <v>6.4841666666666659E-2</v>
          </cell>
          <cell r="N483">
            <v>0.25806666666666667</v>
          </cell>
          <cell r="O483">
            <v>0.32882</v>
          </cell>
          <cell r="P483">
            <v>0.13392666666666667</v>
          </cell>
          <cell r="Q483">
            <v>1.2982133333333334</v>
          </cell>
          <cell r="R483">
            <v>4.0615733333333335</v>
          </cell>
          <cell r="S483">
            <v>0</v>
          </cell>
          <cell r="T483">
            <v>3.0893333333333328E-2</v>
          </cell>
          <cell r="U483">
            <v>0.50241333333333327</v>
          </cell>
          <cell r="V483">
            <v>5.8930933333333329</v>
          </cell>
        </row>
        <row r="484">
          <cell r="E484" t="str">
            <v>821150E221</v>
          </cell>
          <cell r="F484">
            <v>3698.7636999999995</v>
          </cell>
          <cell r="G484">
            <v>455.27350000000001</v>
          </cell>
          <cell r="H484">
            <v>0.275615</v>
          </cell>
          <cell r="I484">
            <v>0.45624333333333333</v>
          </cell>
          <cell r="J484">
            <v>0.10049666666666666</v>
          </cell>
          <cell r="K484">
            <v>0.78088000000000002</v>
          </cell>
          <cell r="L484">
            <v>2.1106433333333334</v>
          </cell>
          <cell r="M484">
            <v>6.030166666666667E-2</v>
          </cell>
          <cell r="N484">
            <v>0.23228666666666667</v>
          </cell>
          <cell r="O484">
            <v>0.29524166666666668</v>
          </cell>
          <cell r="P484">
            <v>0.13128500000000001</v>
          </cell>
          <cell r="Q484">
            <v>0.83235499999999996</v>
          </cell>
          <cell r="R484">
            <v>3.6106383333333336</v>
          </cell>
          <cell r="S484">
            <v>0</v>
          </cell>
          <cell r="T484">
            <v>4.7293333333333333E-2</v>
          </cell>
          <cell r="U484">
            <v>0.45591999999999999</v>
          </cell>
          <cell r="V484">
            <v>4.9462066666666669</v>
          </cell>
        </row>
        <row r="485">
          <cell r="E485" t="str">
            <v>82111-0EZ80</v>
          </cell>
          <cell r="F485">
            <v>3698.7636999999995</v>
          </cell>
          <cell r="G485">
            <v>452.6189</v>
          </cell>
          <cell r="H485">
            <v>0.27494666666666667</v>
          </cell>
          <cell r="I485">
            <v>0.45112000000000002</v>
          </cell>
          <cell r="J485">
            <v>0.10049666666666666</v>
          </cell>
          <cell r="K485">
            <v>0.7849516666666666</v>
          </cell>
          <cell r="L485">
            <v>2.10948</v>
          </cell>
          <cell r="M485">
            <v>6.030166666666667E-2</v>
          </cell>
          <cell r="N485">
            <v>0.23220666666666664</v>
          </cell>
          <cell r="O485">
            <v>0.29524166666666668</v>
          </cell>
          <cell r="P485">
            <v>0.13128500000000001</v>
          </cell>
          <cell r="Q485">
            <v>0.82656333333333332</v>
          </cell>
          <cell r="R485">
            <v>3.6134666666666666</v>
          </cell>
          <cell r="S485">
            <v>0</v>
          </cell>
          <cell r="T485">
            <v>4.2983333333333332E-2</v>
          </cell>
          <cell r="U485">
            <v>0.45591999999999999</v>
          </cell>
          <cell r="V485">
            <v>4.938933333333333</v>
          </cell>
        </row>
        <row r="486">
          <cell r="E486" t="str">
            <v>82115-0E310 B</v>
          </cell>
          <cell r="F486">
            <v>3758.4752999999996</v>
          </cell>
          <cell r="G486">
            <v>440.48450000000003</v>
          </cell>
          <cell r="H486">
            <v>0.27169666666666664</v>
          </cell>
          <cell r="I486">
            <v>0.42203166666666664</v>
          </cell>
          <cell r="J486">
            <v>9.5118333333333333E-2</v>
          </cell>
          <cell r="K486">
            <v>0.78482666666666667</v>
          </cell>
          <cell r="L486">
            <v>2.0061883333333332</v>
          </cell>
          <cell r="M486">
            <v>5.407E-2</v>
          </cell>
          <cell r="N486">
            <v>0.24104500000000001</v>
          </cell>
          <cell r="O486">
            <v>0.27606333333333333</v>
          </cell>
          <cell r="P486">
            <v>0.14019499999999999</v>
          </cell>
          <cell r="Q486">
            <v>0.78884666666666658</v>
          </cell>
          <cell r="R486">
            <v>3.5023883333333328</v>
          </cell>
          <cell r="S486">
            <v>0</v>
          </cell>
          <cell r="T486">
            <v>4.7335000000000002E-2</v>
          </cell>
          <cell r="U486">
            <v>0.4010016666666667</v>
          </cell>
          <cell r="V486">
            <v>4.7395716666666665</v>
          </cell>
        </row>
        <row r="487">
          <cell r="E487" t="str">
            <v>821150E391</v>
          </cell>
          <cell r="F487">
            <v>4082.4189999999999</v>
          </cell>
          <cell r="G487">
            <v>498.13220000000001</v>
          </cell>
          <cell r="H487">
            <v>0.30907999999999997</v>
          </cell>
          <cell r="I487">
            <v>0.52524833333333332</v>
          </cell>
          <cell r="J487">
            <v>0.12706500000000001</v>
          </cell>
          <cell r="K487">
            <v>0.90938000000000008</v>
          </cell>
          <cell r="L487">
            <v>2.2409166666666667</v>
          </cell>
          <cell r="M487">
            <v>6.362166666666666E-2</v>
          </cell>
          <cell r="N487">
            <v>0.24558666666666668</v>
          </cell>
          <cell r="O487">
            <v>0.311</v>
          </cell>
          <cell r="P487">
            <v>0.132135</v>
          </cell>
          <cell r="Q487">
            <v>0.96139333333333332</v>
          </cell>
          <cell r="R487">
            <v>3.9026399999999999</v>
          </cell>
          <cell r="S487">
            <v>0</v>
          </cell>
          <cell r="T487">
            <v>4.7293333333333333E-2</v>
          </cell>
          <cell r="U487">
            <v>0.45014666666666669</v>
          </cell>
          <cell r="V487">
            <v>5.3614733333333335</v>
          </cell>
        </row>
        <row r="488">
          <cell r="E488" t="str">
            <v>82115-0E440.</v>
          </cell>
          <cell r="F488">
            <v>3479.4100999999996</v>
          </cell>
          <cell r="G488">
            <v>370.84039999999999</v>
          </cell>
          <cell r="H488">
            <v>0.23877333333333334</v>
          </cell>
          <cell r="I488">
            <v>0.32644000000000001</v>
          </cell>
          <cell r="J488">
            <v>9.2078333333333331E-2</v>
          </cell>
          <cell r="K488">
            <v>0.67835333333333336</v>
          </cell>
          <cell r="L488">
            <v>1.9187283333333334</v>
          </cell>
          <cell r="M488">
            <v>5.3585000000000001E-2</v>
          </cell>
          <cell r="N488">
            <v>0.22206833333333334</v>
          </cell>
          <cell r="O488">
            <v>0.25699333333333335</v>
          </cell>
          <cell r="P488">
            <v>0.13700000000000001</v>
          </cell>
          <cell r="Q488">
            <v>0.65729166666666672</v>
          </cell>
          <cell r="R488">
            <v>3.2667283333333339</v>
          </cell>
          <cell r="S488">
            <v>0</v>
          </cell>
          <cell r="T488">
            <v>4.3024999999999994E-2</v>
          </cell>
          <cell r="U488">
            <v>0.41713833333333333</v>
          </cell>
          <cell r="V488">
            <v>4.3841833333333335</v>
          </cell>
        </row>
        <row r="489">
          <cell r="E489" t="str">
            <v>82115-0E450.</v>
          </cell>
          <cell r="F489">
            <v>3479.4100999999996</v>
          </cell>
          <cell r="G489">
            <v>370.84039999999999</v>
          </cell>
          <cell r="H489">
            <v>0.23877333333333334</v>
          </cell>
          <cell r="I489">
            <v>0.32644000000000001</v>
          </cell>
          <cell r="J489">
            <v>9.2078333333333331E-2</v>
          </cell>
          <cell r="K489">
            <v>0.67444666666666664</v>
          </cell>
          <cell r="L489">
            <v>1.9187283333333334</v>
          </cell>
          <cell r="M489">
            <v>5.3585000000000001E-2</v>
          </cell>
          <cell r="N489">
            <v>0.22206833333333334</v>
          </cell>
          <cell r="O489">
            <v>0.25699333333333335</v>
          </cell>
          <cell r="P489">
            <v>0.13700000000000001</v>
          </cell>
          <cell r="Q489">
            <v>0.65729166666666672</v>
          </cell>
          <cell r="R489">
            <v>3.262821666666667</v>
          </cell>
          <cell r="S489">
            <v>0</v>
          </cell>
          <cell r="T489">
            <v>4.3024999999999994E-2</v>
          </cell>
          <cell r="U489">
            <v>0.41713833333333333</v>
          </cell>
          <cell r="V489">
            <v>4.380276666666667</v>
          </cell>
        </row>
        <row r="490">
          <cell r="E490" t="str">
            <v>82115-0E460.</v>
          </cell>
          <cell r="F490">
            <v>3792.2071000000001</v>
          </cell>
          <cell r="G490">
            <v>371.93279999999999</v>
          </cell>
          <cell r="H490">
            <v>0.26194166666666668</v>
          </cell>
          <cell r="I490">
            <v>0.37051666666666672</v>
          </cell>
          <cell r="J490">
            <v>9.3776666666666661E-2</v>
          </cell>
          <cell r="K490">
            <v>0.75082166666666672</v>
          </cell>
          <cell r="L490">
            <v>1.965735</v>
          </cell>
          <cell r="M490">
            <v>5.4904999999999995E-2</v>
          </cell>
          <cell r="N490">
            <v>0.23415833333333333</v>
          </cell>
          <cell r="O490">
            <v>0.26127</v>
          </cell>
          <cell r="P490">
            <v>0.13784333333333335</v>
          </cell>
          <cell r="Q490">
            <v>0.72623499999999996</v>
          </cell>
          <cell r="R490">
            <v>3.4047333333333336</v>
          </cell>
          <cell r="S490">
            <v>0</v>
          </cell>
          <cell r="T490">
            <v>4.3024999999999994E-2</v>
          </cell>
          <cell r="U490">
            <v>0.40762666666666669</v>
          </cell>
          <cell r="V490">
            <v>4.58162</v>
          </cell>
        </row>
        <row r="491">
          <cell r="E491" t="str">
            <v>82115-0E490 J</v>
          </cell>
          <cell r="F491">
            <v>4136.0920999999998</v>
          </cell>
          <cell r="G491">
            <v>431.16309999999999</v>
          </cell>
          <cell r="H491">
            <v>0.31593666666666664</v>
          </cell>
          <cell r="I491">
            <v>0.61169833333333334</v>
          </cell>
          <cell r="J491">
            <v>0.21371833333333334</v>
          </cell>
          <cell r="K491">
            <v>0.88355666666666666</v>
          </cell>
          <cell r="L491">
            <v>2.0296766666666666</v>
          </cell>
          <cell r="M491">
            <v>6.1760000000000002E-2</v>
          </cell>
          <cell r="N491">
            <v>0.26568333333333333</v>
          </cell>
          <cell r="O491">
            <v>0.28845999999999999</v>
          </cell>
          <cell r="P491">
            <v>0.137045</v>
          </cell>
          <cell r="Q491">
            <v>1.1413533333333334</v>
          </cell>
          <cell r="R491">
            <v>3.6661816666666671</v>
          </cell>
          <cell r="S491">
            <v>0</v>
          </cell>
          <cell r="T491">
            <v>4.5909999999999992E-2</v>
          </cell>
          <cell r="U491">
            <v>0.48528666666666664</v>
          </cell>
          <cell r="V491">
            <v>5.3387316666666678</v>
          </cell>
        </row>
        <row r="492">
          <cell r="E492" t="str">
            <v>82115-0E491</v>
          </cell>
          <cell r="F492">
            <v>4136.0920999999998</v>
          </cell>
          <cell r="G492">
            <v>428.6952</v>
          </cell>
          <cell r="H492">
            <v>0.31500500000000003</v>
          </cell>
          <cell r="I492">
            <v>0.61169833333333334</v>
          </cell>
          <cell r="J492">
            <v>0.21371833333333334</v>
          </cell>
          <cell r="K492">
            <v>0.88175000000000003</v>
          </cell>
          <cell r="L492">
            <v>2.0284433333333332</v>
          </cell>
          <cell r="M492">
            <v>6.1760000000000002E-2</v>
          </cell>
          <cell r="N492">
            <v>0.2656033333333333</v>
          </cell>
          <cell r="O492">
            <v>0.28745166666666666</v>
          </cell>
          <cell r="P492">
            <v>0.137045</v>
          </cell>
          <cell r="Q492">
            <v>1.1404216666666667</v>
          </cell>
          <cell r="R492">
            <v>3.6620533333333332</v>
          </cell>
          <cell r="S492">
            <v>0</v>
          </cell>
          <cell r="T492">
            <v>4.5909999999999992E-2</v>
          </cell>
          <cell r="U492">
            <v>0.48528666666666664</v>
          </cell>
          <cell r="V492">
            <v>5.3336716666666657</v>
          </cell>
        </row>
        <row r="493">
          <cell r="E493" t="str">
            <v>82115-0E501 B</v>
          </cell>
          <cell r="F493">
            <v>3637.0594000000001</v>
          </cell>
          <cell r="G493">
            <v>418.25699999999995</v>
          </cell>
          <cell r="H493">
            <v>0.25735333333333332</v>
          </cell>
          <cell r="I493">
            <v>0.40625</v>
          </cell>
          <cell r="J493">
            <v>9.023500000000001E-2</v>
          </cell>
          <cell r="K493">
            <v>0.73140000000000005</v>
          </cell>
          <cell r="L493">
            <v>1.9498916666666666</v>
          </cell>
          <cell r="M493">
            <v>5.3629999999999997E-2</v>
          </cell>
          <cell r="N493">
            <v>0.23074666666666666</v>
          </cell>
          <cell r="O493">
            <v>0.27126333333333336</v>
          </cell>
          <cell r="P493">
            <v>0.13861833333333334</v>
          </cell>
          <cell r="Q493">
            <v>0.75383833333333339</v>
          </cell>
          <cell r="R493">
            <v>3.3755500000000001</v>
          </cell>
          <cell r="S493">
            <v>0</v>
          </cell>
          <cell r="T493">
            <v>4.7335000000000002E-2</v>
          </cell>
          <cell r="U493">
            <v>0.4010016666666667</v>
          </cell>
          <cell r="V493">
            <v>4.577725</v>
          </cell>
        </row>
        <row r="494">
          <cell r="E494" t="str">
            <v>82115-0E511 B</v>
          </cell>
          <cell r="F494">
            <v>3706.0201999999999</v>
          </cell>
          <cell r="G494">
            <v>418.25699999999995</v>
          </cell>
          <cell r="H494">
            <v>0.26230833333333331</v>
          </cell>
          <cell r="I494">
            <v>0.41749833333333336</v>
          </cell>
          <cell r="J494">
            <v>9.5118333333333333E-2</v>
          </cell>
          <cell r="K494">
            <v>0.75100833333333328</v>
          </cell>
          <cell r="L494">
            <v>1.9720283333333335</v>
          </cell>
          <cell r="M494">
            <v>5.3874999999999999E-2</v>
          </cell>
          <cell r="N494">
            <v>0.23671666666666666</v>
          </cell>
          <cell r="O494">
            <v>0.272845</v>
          </cell>
          <cell r="P494">
            <v>0.13945833333333332</v>
          </cell>
          <cell r="Q494">
            <v>0.77492499999999997</v>
          </cell>
          <cell r="R494">
            <v>3.4259316666666666</v>
          </cell>
          <cell r="S494">
            <v>0</v>
          </cell>
          <cell r="T494">
            <v>4.7335000000000002E-2</v>
          </cell>
          <cell r="U494">
            <v>0.4010016666666667</v>
          </cell>
          <cell r="V494">
            <v>4.6491933333333337</v>
          </cell>
        </row>
        <row r="495">
          <cell r="E495" t="str">
            <v>82115-0E521 B</v>
          </cell>
          <cell r="F495">
            <v>3732.6758</v>
          </cell>
          <cell r="G495">
            <v>432.73820000000001</v>
          </cell>
          <cell r="H495">
            <v>0.27192500000000003</v>
          </cell>
          <cell r="I495">
            <v>0.44123499999999999</v>
          </cell>
          <cell r="J495">
            <v>0.11198666666666666</v>
          </cell>
          <cell r="K495">
            <v>0.76719499999999996</v>
          </cell>
          <cell r="L495">
            <v>2.0220700000000003</v>
          </cell>
          <cell r="M495">
            <v>5.4100000000000002E-2</v>
          </cell>
          <cell r="N495">
            <v>0.23862166666666665</v>
          </cell>
          <cell r="O495">
            <v>0.27427666666666667</v>
          </cell>
          <cell r="P495">
            <v>0.14035833333333333</v>
          </cell>
          <cell r="Q495">
            <v>0.82514666666666669</v>
          </cell>
          <cell r="R495">
            <v>3.496621666666667</v>
          </cell>
          <cell r="S495">
            <v>0</v>
          </cell>
          <cell r="T495">
            <v>4.7335000000000002E-2</v>
          </cell>
          <cell r="U495">
            <v>0.42750166666666667</v>
          </cell>
          <cell r="V495">
            <v>4.7966050000000013</v>
          </cell>
        </row>
        <row r="496">
          <cell r="E496" t="str">
            <v>82115-0E531 B</v>
          </cell>
          <cell r="F496">
            <v>3921.9303</v>
          </cell>
          <cell r="G496">
            <v>432.73820000000001</v>
          </cell>
          <cell r="H496">
            <v>0.28389333333333333</v>
          </cell>
          <cell r="I496">
            <v>0.47818499999999997</v>
          </cell>
          <cell r="J496">
            <v>0.11198666666666666</v>
          </cell>
          <cell r="K496">
            <v>0.79365166666666676</v>
          </cell>
          <cell r="L496">
            <v>2.0425650000000002</v>
          </cell>
          <cell r="M496">
            <v>5.4100000000000002E-2</v>
          </cell>
          <cell r="N496">
            <v>0.23942166666666667</v>
          </cell>
          <cell r="O496">
            <v>0.27427666666666667</v>
          </cell>
          <cell r="P496">
            <v>0.14035833333333333</v>
          </cell>
          <cell r="Q496">
            <v>0.87406499999999998</v>
          </cell>
          <cell r="R496">
            <v>3.544373333333334</v>
          </cell>
          <cell r="S496">
            <v>0</v>
          </cell>
          <cell r="T496">
            <v>4.7335000000000002E-2</v>
          </cell>
          <cell r="U496">
            <v>0.42750166666666667</v>
          </cell>
          <cell r="V496">
            <v>4.8932750000000009</v>
          </cell>
        </row>
        <row r="497">
          <cell r="E497" t="str">
            <v>82115-0E541 B</v>
          </cell>
          <cell r="F497">
            <v>3913.4160999999999</v>
          </cell>
          <cell r="G497">
            <v>439.10900000000004</v>
          </cell>
          <cell r="H497">
            <v>0.2752</v>
          </cell>
          <cell r="I497">
            <v>0.44034999999999996</v>
          </cell>
          <cell r="J497">
            <v>0.10135999999999999</v>
          </cell>
          <cell r="K497">
            <v>0.82038166666666668</v>
          </cell>
          <cell r="L497">
            <v>2.0592350000000001</v>
          </cell>
          <cell r="M497">
            <v>5.4100000000000002E-2</v>
          </cell>
          <cell r="N497">
            <v>0.23942333333333332</v>
          </cell>
          <cell r="O497">
            <v>0.27206833333333336</v>
          </cell>
          <cell r="P497">
            <v>0.14053000000000002</v>
          </cell>
          <cell r="Q497">
            <v>0.81690999999999991</v>
          </cell>
          <cell r="R497">
            <v>3.5857383333333335</v>
          </cell>
          <cell r="S497">
            <v>0</v>
          </cell>
          <cell r="T497">
            <v>4.7335000000000002E-2</v>
          </cell>
          <cell r="U497">
            <v>0.37196166666666669</v>
          </cell>
          <cell r="V497">
            <v>4.8219450000000004</v>
          </cell>
        </row>
        <row r="498">
          <cell r="E498" t="str">
            <v>82115-0E551 B</v>
          </cell>
          <cell r="F498">
            <v>3940.0717000000004</v>
          </cell>
          <cell r="G498">
            <v>453.59019999999998</v>
          </cell>
          <cell r="H498">
            <v>0.28481499999999998</v>
          </cell>
          <cell r="I498">
            <v>0.46408666666666665</v>
          </cell>
          <cell r="J498">
            <v>0.11822833333333334</v>
          </cell>
          <cell r="K498">
            <v>0.84242833333333322</v>
          </cell>
          <cell r="L498">
            <v>2.1096066666666666</v>
          </cell>
          <cell r="M498">
            <v>5.4324999999999998E-2</v>
          </cell>
          <cell r="N498">
            <v>0.24132833333333331</v>
          </cell>
          <cell r="O498">
            <v>0.27350000000000002</v>
          </cell>
          <cell r="P498">
            <v>0.14143</v>
          </cell>
          <cell r="Q498">
            <v>0.86712999999999996</v>
          </cell>
          <cell r="R498">
            <v>3.6626183333333331</v>
          </cell>
          <cell r="S498">
            <v>0</v>
          </cell>
          <cell r="T498">
            <v>4.7335000000000002E-2</v>
          </cell>
          <cell r="U498">
            <v>0.39846166666666671</v>
          </cell>
          <cell r="V498">
            <v>4.9755450000000003</v>
          </cell>
        </row>
        <row r="499">
          <cell r="E499" t="str">
            <v>82115-0E561 B</v>
          </cell>
          <cell r="F499">
            <v>4129.3202000000001</v>
          </cell>
          <cell r="G499">
            <v>453.59019999999998</v>
          </cell>
          <cell r="H499">
            <v>0.29678333333333329</v>
          </cell>
          <cell r="I499">
            <v>0.50103666666666669</v>
          </cell>
          <cell r="J499">
            <v>0.11822833333333334</v>
          </cell>
          <cell r="K499">
            <v>0.85325833333333334</v>
          </cell>
          <cell r="L499">
            <v>2.1301033333333335</v>
          </cell>
          <cell r="M499">
            <v>5.4324999999999998E-2</v>
          </cell>
          <cell r="N499">
            <v>0.24212833333333333</v>
          </cell>
          <cell r="O499">
            <v>0.27350000000000002</v>
          </cell>
          <cell r="P499">
            <v>0.14143</v>
          </cell>
          <cell r="Q499">
            <v>0.91604833333333335</v>
          </cell>
          <cell r="R499">
            <v>3.6947450000000002</v>
          </cell>
          <cell r="S499">
            <v>0</v>
          </cell>
          <cell r="T499">
            <v>4.7335000000000002E-2</v>
          </cell>
          <cell r="U499">
            <v>0.39846166666666671</v>
          </cell>
          <cell r="V499">
            <v>5.0565900000000008</v>
          </cell>
        </row>
        <row r="500">
          <cell r="E500" t="str">
            <v>821150E671</v>
          </cell>
          <cell r="F500">
            <v>4148.4809999999998</v>
          </cell>
          <cell r="G500">
            <v>553.01780000000008</v>
          </cell>
          <cell r="H500">
            <v>0.32078999999999996</v>
          </cell>
          <cell r="I500">
            <v>0.54494666666666669</v>
          </cell>
          <cell r="J500">
            <v>0.12706500000000001</v>
          </cell>
          <cell r="K500">
            <v>0.93058000000000007</v>
          </cell>
          <cell r="L500">
            <v>2.2943100000000003</v>
          </cell>
          <cell r="M500">
            <v>6.3816666666666674E-2</v>
          </cell>
          <cell r="N500">
            <v>0.24995499999999998</v>
          </cell>
          <cell r="O500">
            <v>0.33022333333333337</v>
          </cell>
          <cell r="P500">
            <v>0.13285</v>
          </cell>
          <cell r="Q500">
            <v>0.99280166666666658</v>
          </cell>
          <cell r="R500">
            <v>4.0017350000000009</v>
          </cell>
          <cell r="S500">
            <v>0</v>
          </cell>
          <cell r="T500">
            <v>4.7293333333333333E-2</v>
          </cell>
          <cell r="U500">
            <v>0.45014666666666669</v>
          </cell>
          <cell r="V500">
            <v>5.4919766666666678</v>
          </cell>
        </row>
      </sheetData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">
          <cell r="E5" t="str">
            <v>82113-76120</v>
          </cell>
        </row>
        <row r="334">
          <cell r="E334" t="str">
            <v>BC111-62092-2</v>
          </cell>
          <cell r="F334">
            <v>454.3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2.5536666666666666E-2</v>
          </cell>
          <cell r="U334">
            <v>0</v>
          </cell>
          <cell r="V334">
            <v>2.5536666666666666E-2</v>
          </cell>
          <cell r="W334">
            <v>2.5536656379699707E-2</v>
          </cell>
          <cell r="X334">
            <v>2.5536666666666666E-2</v>
          </cell>
          <cell r="Y334">
            <v>0</v>
          </cell>
          <cell r="Z334">
            <v>0</v>
          </cell>
        </row>
        <row r="335">
          <cell r="E335" t="str">
            <v>BC111-62215-2</v>
          </cell>
          <cell r="F335">
            <v>454.31400000000002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2.5536666666666666E-2</v>
          </cell>
          <cell r="U335">
            <v>0</v>
          </cell>
          <cell r="V335">
            <v>2.5536666666666666E-2</v>
          </cell>
          <cell r="W335">
            <v>2.5536656379699707E-2</v>
          </cell>
          <cell r="X335">
            <v>2.5536666666666666E-2</v>
          </cell>
          <cell r="Y335">
            <v>0</v>
          </cell>
          <cell r="Z335">
            <v>0</v>
          </cell>
        </row>
        <row r="336">
          <cell r="E336" t="str">
            <v>BC111-V1020-1</v>
          </cell>
          <cell r="F336">
            <v>128.19999999999999</v>
          </cell>
          <cell r="G336">
            <v>0</v>
          </cell>
          <cell r="H336">
            <v>1.4683333333333332E-3</v>
          </cell>
          <cell r="I336">
            <v>9.5300000000000003E-3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4.3616666666666665E-3</v>
          </cell>
          <cell r="O336">
            <v>2.9566666666666669E-3</v>
          </cell>
          <cell r="P336">
            <v>2.3366666666666666E-3</v>
          </cell>
          <cell r="Q336">
            <v>1.0998333333333334E-2</v>
          </cell>
          <cell r="R336">
            <v>9.6550000000000004E-3</v>
          </cell>
          <cell r="S336">
            <v>0</v>
          </cell>
          <cell r="T336">
            <v>0</v>
          </cell>
          <cell r="U336">
            <v>0</v>
          </cell>
          <cell r="V336">
            <v>2.0653333333333336E-2</v>
          </cell>
          <cell r="W336">
            <v>2.0653322339057922E-2</v>
          </cell>
          <cell r="X336">
            <v>2.0653333333333336E-2</v>
          </cell>
          <cell r="Y336">
            <v>0</v>
          </cell>
          <cell r="Z336">
            <v>0</v>
          </cell>
        </row>
        <row r="337">
          <cell r="E337" t="str">
            <v>BC111-V1100-1</v>
          </cell>
          <cell r="F337">
            <v>136.6</v>
          </cell>
          <cell r="G337">
            <v>0</v>
          </cell>
          <cell r="H337">
            <v>1.5083333333333333E-3</v>
          </cell>
          <cell r="I337">
            <v>9.5300000000000003E-3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4.3616666666666665E-3</v>
          </cell>
          <cell r="O337">
            <v>3.0066666666666666E-3</v>
          </cell>
          <cell r="P337">
            <v>2.3733333333333332E-3</v>
          </cell>
          <cell r="Q337">
            <v>1.1038333333333334E-2</v>
          </cell>
          <cell r="R337">
            <v>9.7416666666666658E-3</v>
          </cell>
          <cell r="S337">
            <v>0</v>
          </cell>
          <cell r="T337">
            <v>0</v>
          </cell>
          <cell r="U337">
            <v>0</v>
          </cell>
          <cell r="V337">
            <v>2.078E-2</v>
          </cell>
          <cell r="W337">
            <v>2.0779997110366821E-2</v>
          </cell>
          <cell r="X337">
            <v>2.078E-2</v>
          </cell>
          <cell r="Y337">
            <v>0</v>
          </cell>
          <cell r="Z337">
            <v>0</v>
          </cell>
        </row>
        <row r="338">
          <cell r="E338" t="str">
            <v>BC111-V3650-2</v>
          </cell>
          <cell r="F338">
            <v>343.8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2.0068333333333334E-2</v>
          </cell>
          <cell r="U338">
            <v>0</v>
          </cell>
          <cell r="V338">
            <v>2.0068333333333334E-2</v>
          </cell>
          <cell r="W338">
            <v>2.0068332552909851E-2</v>
          </cell>
          <cell r="X338">
            <v>2.0068333333333334E-2</v>
          </cell>
          <cell r="Y338">
            <v>0</v>
          </cell>
          <cell r="Z338">
            <v>0</v>
          </cell>
        </row>
        <row r="339">
          <cell r="E339" t="str">
            <v>BC111-V3881-1</v>
          </cell>
          <cell r="F339">
            <v>64.7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1.4525E-2</v>
          </cell>
          <cell r="U339">
            <v>0</v>
          </cell>
          <cell r="V339">
            <v>1.4525E-2</v>
          </cell>
          <cell r="W339">
            <v>1.4524996280670166E-2</v>
          </cell>
          <cell r="X339">
            <v>1.4525E-2</v>
          </cell>
          <cell r="Y339">
            <v>0</v>
          </cell>
          <cell r="Z339">
            <v>0</v>
          </cell>
        </row>
        <row r="340">
          <cell r="E340" t="str">
            <v>BC111-V3891-1</v>
          </cell>
          <cell r="F340">
            <v>144.80000000000001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2.1613333333333335E-2</v>
          </cell>
          <cell r="U340">
            <v>0</v>
          </cell>
          <cell r="V340">
            <v>2.1613333333333335E-2</v>
          </cell>
          <cell r="W340">
            <v>2.1613329648971558E-2</v>
          </cell>
          <cell r="X340">
            <v>2.1613333333333335E-2</v>
          </cell>
          <cell r="Y340">
            <v>0</v>
          </cell>
          <cell r="Z340">
            <v>0</v>
          </cell>
        </row>
        <row r="341">
          <cell r="E341" t="str">
            <v>BC111-V3891-2</v>
          </cell>
          <cell r="F341">
            <v>164.6</v>
          </cell>
          <cell r="G341">
            <v>0</v>
          </cell>
          <cell r="H341">
            <v>1.2700000000000001E-3</v>
          </cell>
          <cell r="I341">
            <v>7.0400000000000003E-3</v>
          </cell>
          <cell r="J341">
            <v>0</v>
          </cell>
          <cell r="K341">
            <v>1.9033333333333333E-3</v>
          </cell>
          <cell r="L341">
            <v>0</v>
          </cell>
          <cell r="M341">
            <v>0</v>
          </cell>
          <cell r="N341">
            <v>3.7633333333333334E-3</v>
          </cell>
          <cell r="O341">
            <v>4.3416666666666664E-3</v>
          </cell>
          <cell r="P341">
            <v>3.4266666666666668E-3</v>
          </cell>
          <cell r="Q341">
            <v>8.3099999999999997E-3</v>
          </cell>
          <cell r="R341">
            <v>1.3435000000000001E-2</v>
          </cell>
          <cell r="S341">
            <v>0</v>
          </cell>
          <cell r="T341">
            <v>0</v>
          </cell>
          <cell r="U341">
            <v>0</v>
          </cell>
          <cell r="V341">
            <v>2.1745E-2</v>
          </cell>
          <cell r="W341">
            <v>2.1744996309280396E-2</v>
          </cell>
          <cell r="X341">
            <v>2.1745E-2</v>
          </cell>
          <cell r="Y341">
            <v>0</v>
          </cell>
          <cell r="Z341">
            <v>0</v>
          </cell>
        </row>
        <row r="342">
          <cell r="E342" t="str">
            <v>BC111-V3891-6</v>
          </cell>
          <cell r="F342">
            <v>348.6</v>
          </cell>
          <cell r="G342">
            <v>0</v>
          </cell>
          <cell r="H342">
            <v>3.3933333333333333E-3</v>
          </cell>
          <cell r="I342">
            <v>9.5300000000000003E-3</v>
          </cell>
          <cell r="J342">
            <v>0</v>
          </cell>
          <cell r="K342">
            <v>2.4166666666666664E-3</v>
          </cell>
          <cell r="L342">
            <v>1.9433333333333332E-3</v>
          </cell>
          <cell r="M342">
            <v>0</v>
          </cell>
          <cell r="N342">
            <v>4.3616666666666665E-3</v>
          </cell>
          <cell r="O342">
            <v>4.9300000000000004E-3</v>
          </cell>
          <cell r="P342">
            <v>3.7516666666666666E-3</v>
          </cell>
          <cell r="Q342">
            <v>1.2923333333333334E-2</v>
          </cell>
          <cell r="R342">
            <v>1.7403333333333333E-2</v>
          </cell>
          <cell r="S342">
            <v>0</v>
          </cell>
          <cell r="T342">
            <v>0</v>
          </cell>
          <cell r="U342">
            <v>0</v>
          </cell>
          <cell r="V342">
            <v>3.0326666666666668E-2</v>
          </cell>
          <cell r="W342">
            <v>3.0326664447784424E-2</v>
          </cell>
          <cell r="X342">
            <v>3.0326666666666668E-2</v>
          </cell>
          <cell r="Y342">
            <v>0</v>
          </cell>
          <cell r="Z342">
            <v>0</v>
          </cell>
        </row>
        <row r="343">
          <cell r="E343" t="str">
            <v>BC121-35G70-1</v>
          </cell>
          <cell r="F343">
            <v>338.4</v>
          </cell>
          <cell r="G343">
            <v>0</v>
          </cell>
          <cell r="H343">
            <v>2.6133333333333334E-3</v>
          </cell>
          <cell r="I343">
            <v>9.5300000000000003E-3</v>
          </cell>
          <cell r="J343">
            <v>0</v>
          </cell>
          <cell r="K343">
            <v>2.463333333333333E-3</v>
          </cell>
          <cell r="L343">
            <v>0</v>
          </cell>
          <cell r="M343">
            <v>0</v>
          </cell>
          <cell r="N343">
            <v>4.3616666666666665E-3</v>
          </cell>
          <cell r="O343">
            <v>4.0483333333333335E-3</v>
          </cell>
          <cell r="P343">
            <v>3.1199999999999999E-3</v>
          </cell>
          <cell r="Q343">
            <v>1.2143333333333334E-2</v>
          </cell>
          <cell r="R343">
            <v>1.3993333333333332E-2</v>
          </cell>
          <cell r="S343">
            <v>0</v>
          </cell>
          <cell r="T343">
            <v>0</v>
          </cell>
          <cell r="U343">
            <v>0</v>
          </cell>
          <cell r="V343">
            <v>2.6136666666666666E-2</v>
          </cell>
          <cell r="W343">
            <v>2.6136666536331177E-2</v>
          </cell>
          <cell r="X343">
            <v>2.6136666666666666E-2</v>
          </cell>
          <cell r="Y343">
            <v>0</v>
          </cell>
          <cell r="Z343">
            <v>0</v>
          </cell>
        </row>
        <row r="344">
          <cell r="E344" t="str">
            <v>BC121-35G90-1</v>
          </cell>
          <cell r="F344">
            <v>453.1</v>
          </cell>
          <cell r="G344">
            <v>0</v>
          </cell>
          <cell r="H344">
            <v>2.6199999999999999E-3</v>
          </cell>
          <cell r="I344">
            <v>9.5300000000000003E-3</v>
          </cell>
          <cell r="J344">
            <v>0</v>
          </cell>
          <cell r="K344">
            <v>2.463333333333333E-3</v>
          </cell>
          <cell r="L344">
            <v>0</v>
          </cell>
          <cell r="M344">
            <v>0</v>
          </cell>
          <cell r="N344">
            <v>4.3616666666666665E-3</v>
          </cell>
          <cell r="O344">
            <v>4.0566666666666668E-3</v>
          </cell>
          <cell r="P344">
            <v>3.1250000000000002E-3</v>
          </cell>
          <cell r="Q344">
            <v>1.2150000000000001E-2</v>
          </cell>
          <cell r="R344">
            <v>1.4006666666666667E-2</v>
          </cell>
          <cell r="S344">
            <v>0</v>
          </cell>
          <cell r="T344">
            <v>0</v>
          </cell>
          <cell r="U344">
            <v>0</v>
          </cell>
          <cell r="V344">
            <v>2.6156666666666668E-2</v>
          </cell>
          <cell r="W344">
            <v>2.615666389465332E-2</v>
          </cell>
          <cell r="X344">
            <v>2.6156666666666668E-2</v>
          </cell>
          <cell r="Y344">
            <v>0</v>
          </cell>
          <cell r="Z344">
            <v>0</v>
          </cell>
        </row>
        <row r="345">
          <cell r="E345" t="str">
            <v>BC121-35K80-1</v>
          </cell>
          <cell r="F345">
            <v>341.2</v>
          </cell>
          <cell r="G345">
            <v>0</v>
          </cell>
          <cell r="H345">
            <v>2.6266666666666665E-3</v>
          </cell>
          <cell r="I345">
            <v>9.5300000000000003E-3</v>
          </cell>
          <cell r="J345">
            <v>0</v>
          </cell>
          <cell r="K345">
            <v>2.463333333333333E-3</v>
          </cell>
          <cell r="L345">
            <v>0</v>
          </cell>
          <cell r="M345">
            <v>0</v>
          </cell>
          <cell r="N345">
            <v>4.3616666666666665E-3</v>
          </cell>
          <cell r="O345">
            <v>4.065E-3</v>
          </cell>
          <cell r="P345">
            <v>3.1316666666666667E-3</v>
          </cell>
          <cell r="Q345">
            <v>1.2156666666666666E-2</v>
          </cell>
          <cell r="R345">
            <v>1.4021666666666667E-2</v>
          </cell>
          <cell r="S345">
            <v>0</v>
          </cell>
          <cell r="T345">
            <v>0</v>
          </cell>
          <cell r="U345">
            <v>0</v>
          </cell>
          <cell r="V345">
            <v>2.6178333333333331E-2</v>
          </cell>
          <cell r="W345">
            <v>2.6178330183029175E-2</v>
          </cell>
          <cell r="X345">
            <v>2.6178333333333331E-2</v>
          </cell>
          <cell r="Y345">
            <v>0</v>
          </cell>
          <cell r="Z345">
            <v>0</v>
          </cell>
        </row>
        <row r="346">
          <cell r="E346" t="str">
            <v>BC121-6AM60-1</v>
          </cell>
          <cell r="F346">
            <v>376</v>
          </cell>
          <cell r="G346">
            <v>0</v>
          </cell>
          <cell r="H346">
            <v>2.5583333333333335E-3</v>
          </cell>
          <cell r="I346">
            <v>1.1366666666666667E-2</v>
          </cell>
          <cell r="J346">
            <v>0</v>
          </cell>
          <cell r="K346">
            <v>2.3699999999999997E-3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1.3925E-2</v>
          </cell>
          <cell r="R346">
            <v>2.3699999999999997E-3</v>
          </cell>
          <cell r="S346">
            <v>0</v>
          </cell>
          <cell r="T346">
            <v>0</v>
          </cell>
          <cell r="U346">
            <v>0</v>
          </cell>
          <cell r="V346">
            <v>1.6295E-2</v>
          </cell>
          <cell r="W346">
            <v>1.6294986009597778E-2</v>
          </cell>
          <cell r="X346">
            <v>1.6295E-2</v>
          </cell>
          <cell r="Y346">
            <v>0</v>
          </cell>
          <cell r="Z346">
            <v>0</v>
          </cell>
        </row>
        <row r="347">
          <cell r="E347" t="str">
            <v>BC121-6B220-1</v>
          </cell>
          <cell r="F347">
            <v>196.7</v>
          </cell>
          <cell r="G347">
            <v>0</v>
          </cell>
          <cell r="H347">
            <v>1.6566666666666667E-3</v>
          </cell>
          <cell r="I347">
            <v>8.946666666666667E-3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1.0603333333333334E-2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1.0603333333333334E-2</v>
          </cell>
          <cell r="W347">
            <v>1.0603331029415131E-2</v>
          </cell>
          <cell r="X347">
            <v>1.0603333333333334E-2</v>
          </cell>
          <cell r="Y347">
            <v>0</v>
          </cell>
          <cell r="Z347">
            <v>0</v>
          </cell>
        </row>
        <row r="348">
          <cell r="E348" t="str">
            <v>BC121-6B260-1</v>
          </cell>
          <cell r="F348">
            <v>282</v>
          </cell>
          <cell r="G348">
            <v>0</v>
          </cell>
          <cell r="H348">
            <v>2.7099999999999997E-3</v>
          </cell>
          <cell r="I348">
            <v>1.1366666666666666E-2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1.4076666666666664E-2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1.4076666666666664E-2</v>
          </cell>
          <cell r="W348">
            <v>1.4076665043830872E-2</v>
          </cell>
          <cell r="X348">
            <v>1.4076666666666664E-2</v>
          </cell>
          <cell r="Y348">
            <v>0</v>
          </cell>
          <cell r="Z348">
            <v>0</v>
          </cell>
        </row>
        <row r="349">
          <cell r="E349" t="str">
            <v>BC121-6B370-1</v>
          </cell>
          <cell r="F349">
            <v>196.7</v>
          </cell>
          <cell r="G349">
            <v>0</v>
          </cell>
          <cell r="H349">
            <v>2.725E-3</v>
          </cell>
          <cell r="I349">
            <v>8.9466666666666497E-3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1.167166666666665E-2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1.167166666666665E-2</v>
          </cell>
          <cell r="W349">
            <v>1.1671662330627441E-2</v>
          </cell>
          <cell r="X349">
            <v>1.167166666666665E-2</v>
          </cell>
          <cell r="Y349">
            <v>0</v>
          </cell>
          <cell r="Z349">
            <v>0</v>
          </cell>
        </row>
        <row r="350">
          <cell r="E350" t="str">
            <v>BC121-6B370-2</v>
          </cell>
          <cell r="F350">
            <v>196.7</v>
          </cell>
          <cell r="G350">
            <v>0</v>
          </cell>
          <cell r="H350">
            <v>2.725E-3</v>
          </cell>
          <cell r="I350">
            <v>8.9466666666666497E-3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1.167166666666665E-2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1.167166666666665E-2</v>
          </cell>
          <cell r="W350">
            <v>1.1671662330627441E-2</v>
          </cell>
          <cell r="X350">
            <v>1.167166666666665E-2</v>
          </cell>
          <cell r="Y350">
            <v>0</v>
          </cell>
          <cell r="Z350">
            <v>0</v>
          </cell>
        </row>
        <row r="351">
          <cell r="E351" t="str">
            <v>DC111-2FE72</v>
          </cell>
          <cell r="F351">
            <v>124.1</v>
          </cell>
          <cell r="G351">
            <v>0</v>
          </cell>
          <cell r="H351">
            <v>2.0100000000000001E-3</v>
          </cell>
          <cell r="I351">
            <v>9.5300000000000003E-3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4.4416666666666667E-3</v>
          </cell>
          <cell r="O351">
            <v>4.8516666666666673E-3</v>
          </cell>
          <cell r="P351">
            <v>3.6949999999999999E-3</v>
          </cell>
          <cell r="Q351">
            <v>1.154E-2</v>
          </cell>
          <cell r="R351">
            <v>1.2988333333333334E-2</v>
          </cell>
          <cell r="S351">
            <v>0</v>
          </cell>
          <cell r="T351">
            <v>0</v>
          </cell>
          <cell r="U351">
            <v>0</v>
          </cell>
          <cell r="V351">
            <v>2.4528333333333333E-2</v>
          </cell>
          <cell r="W351">
            <v>2.4528324604034424E-2</v>
          </cell>
          <cell r="X351">
            <v>2.4528333333333333E-2</v>
          </cell>
          <cell r="Y351">
            <v>0</v>
          </cell>
          <cell r="Z351">
            <v>0</v>
          </cell>
        </row>
        <row r="352">
          <cell r="E352" t="str">
            <v>DC111-2FK53</v>
          </cell>
          <cell r="F352">
            <v>124.1</v>
          </cell>
          <cell r="G352">
            <v>0</v>
          </cell>
          <cell r="H352">
            <v>2.0100000000000001E-3</v>
          </cell>
          <cell r="I352">
            <v>9.5300000000000003E-3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4.4416666666666667E-3</v>
          </cell>
          <cell r="O352">
            <v>4.8516666666666673E-3</v>
          </cell>
          <cell r="P352">
            <v>3.6949999999999999E-3</v>
          </cell>
          <cell r="Q352">
            <v>1.154E-2</v>
          </cell>
          <cell r="R352">
            <v>1.2988333333333334E-2</v>
          </cell>
          <cell r="S352">
            <v>0</v>
          </cell>
          <cell r="T352">
            <v>0</v>
          </cell>
          <cell r="U352">
            <v>0</v>
          </cell>
          <cell r="V352">
            <v>2.4528333333333333E-2</v>
          </cell>
          <cell r="W352">
            <v>2.4528324604034424E-2</v>
          </cell>
          <cell r="X352">
            <v>2.4528333333333333E-2</v>
          </cell>
          <cell r="Y352">
            <v>0</v>
          </cell>
          <cell r="Z352">
            <v>0</v>
          </cell>
        </row>
        <row r="353">
          <cell r="E353" t="str">
            <v>DC111-V3650</v>
          </cell>
          <cell r="F353">
            <v>142.1</v>
          </cell>
          <cell r="G353">
            <v>0</v>
          </cell>
          <cell r="H353">
            <v>2.1183333333333332E-3</v>
          </cell>
          <cell r="I353">
            <v>5.9316666666666667E-3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3.8433333333333332E-3</v>
          </cell>
          <cell r="O353">
            <v>5.1033333333333339E-3</v>
          </cell>
          <cell r="P353">
            <v>3.9716666666666667E-3</v>
          </cell>
          <cell r="Q353">
            <v>8.0499999999999999E-3</v>
          </cell>
          <cell r="R353">
            <v>1.2918333333333334E-2</v>
          </cell>
          <cell r="S353">
            <v>0</v>
          </cell>
          <cell r="T353">
            <v>0</v>
          </cell>
          <cell r="U353">
            <v>0</v>
          </cell>
          <cell r="V353">
            <v>2.0968333333333332E-2</v>
          </cell>
          <cell r="W353">
            <v>2.0968332886695862E-2</v>
          </cell>
          <cell r="X353">
            <v>2.0968333333333332E-2</v>
          </cell>
          <cell r="Y353">
            <v>0</v>
          </cell>
          <cell r="Z353">
            <v>0</v>
          </cell>
        </row>
        <row r="354">
          <cell r="E354" t="str">
            <v>DC111-V3881</v>
          </cell>
          <cell r="F354">
            <v>104.1</v>
          </cell>
          <cell r="G354">
            <v>0</v>
          </cell>
          <cell r="H354">
            <v>1.8916666666666667E-3</v>
          </cell>
          <cell r="I354">
            <v>9.5300000000000003E-3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4.4416666666666667E-3</v>
          </cell>
          <cell r="O354">
            <v>4.4250000000000001E-3</v>
          </cell>
          <cell r="P354">
            <v>3.3899999999999998E-3</v>
          </cell>
          <cell r="Q354">
            <v>1.1421666666666667E-2</v>
          </cell>
          <cell r="R354">
            <v>1.2256666666666666E-2</v>
          </cell>
          <cell r="S354">
            <v>0</v>
          </cell>
          <cell r="T354">
            <v>0</v>
          </cell>
          <cell r="U354">
            <v>0</v>
          </cell>
          <cell r="V354">
            <v>2.3678333333333332E-2</v>
          </cell>
          <cell r="W354">
            <v>2.3678332567214966E-2</v>
          </cell>
          <cell r="X354">
            <v>2.3678333333333332E-2</v>
          </cell>
          <cell r="Y354">
            <v>0</v>
          </cell>
          <cell r="Z354">
            <v>0</v>
          </cell>
        </row>
        <row r="355">
          <cell r="E355" t="str">
            <v>DC111-V3891</v>
          </cell>
          <cell r="F355">
            <v>150.9</v>
          </cell>
          <cell r="G355">
            <v>0</v>
          </cell>
          <cell r="H355">
            <v>2.1700000000000001E-3</v>
          </cell>
          <cell r="I355">
            <v>9.5300000000000003E-3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4.4416666666666667E-3</v>
          </cell>
          <cell r="O355">
            <v>5.4233333333333338E-3</v>
          </cell>
          <cell r="P355">
            <v>4.1050000000000001E-3</v>
          </cell>
          <cell r="Q355">
            <v>1.17E-2</v>
          </cell>
          <cell r="R355">
            <v>1.397E-2</v>
          </cell>
          <cell r="S355">
            <v>0</v>
          </cell>
          <cell r="T355">
            <v>0</v>
          </cell>
          <cell r="U355">
            <v>0</v>
          </cell>
          <cell r="V355">
            <v>2.5669999999999998E-2</v>
          </cell>
          <cell r="W355">
            <v>2.5669991970062256E-2</v>
          </cell>
          <cell r="X355">
            <v>2.5669999999999998E-2</v>
          </cell>
          <cell r="Y355">
            <v>0</v>
          </cell>
          <cell r="Z355">
            <v>0</v>
          </cell>
        </row>
        <row r="356">
          <cell r="E356" t="str">
            <v>DC111-V3A41</v>
          </cell>
          <cell r="F356">
            <v>117.5</v>
          </cell>
          <cell r="G356">
            <v>0</v>
          </cell>
          <cell r="H356">
            <v>1.9716666666666667E-3</v>
          </cell>
          <cell r="I356">
            <v>9.5300000000000003E-3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4.4416666666666667E-3</v>
          </cell>
          <cell r="O356">
            <v>4.711666666666667E-3</v>
          </cell>
          <cell r="P356">
            <v>3.5950000000000001E-3</v>
          </cell>
          <cell r="Q356">
            <v>1.1501666666666667E-2</v>
          </cell>
          <cell r="R356">
            <v>1.2748333333333334E-2</v>
          </cell>
          <cell r="S356">
            <v>0</v>
          </cell>
          <cell r="T356">
            <v>0</v>
          </cell>
          <cell r="U356">
            <v>0</v>
          </cell>
          <cell r="V356">
            <v>2.4250000000000001E-2</v>
          </cell>
          <cell r="W356">
            <v>2.4249985814094543E-2</v>
          </cell>
          <cell r="X356">
            <v>2.4250000000000001E-2</v>
          </cell>
          <cell r="Y356">
            <v>0</v>
          </cell>
          <cell r="Z356">
            <v>0</v>
          </cell>
        </row>
        <row r="357">
          <cell r="E357" t="str">
            <v>JN111-62063-3</v>
          </cell>
          <cell r="F357">
            <v>0</v>
          </cell>
          <cell r="G357">
            <v>59.1</v>
          </cell>
          <cell r="H357">
            <v>2.5700000000000002E-3</v>
          </cell>
          <cell r="I357">
            <v>1.1366666666666666E-2</v>
          </cell>
          <cell r="J357">
            <v>0</v>
          </cell>
          <cell r="K357">
            <v>2.3699999999999997E-3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1.3936666666666667E-2</v>
          </cell>
          <cell r="R357">
            <v>2.3699999999999997E-3</v>
          </cell>
          <cell r="S357">
            <v>0</v>
          </cell>
          <cell r="T357">
            <v>0</v>
          </cell>
          <cell r="U357">
            <v>0</v>
          </cell>
          <cell r="V357">
            <v>1.6306666666666667E-2</v>
          </cell>
          <cell r="W357">
            <v>1.6306653618812561E-2</v>
          </cell>
          <cell r="X357">
            <v>1.6306666666666667E-2</v>
          </cell>
          <cell r="Y357">
            <v>0</v>
          </cell>
          <cell r="Z357">
            <v>0</v>
          </cell>
        </row>
        <row r="358">
          <cell r="E358" t="str">
            <v>JN111-62063-4</v>
          </cell>
          <cell r="F358">
            <v>0</v>
          </cell>
          <cell r="G358">
            <v>59.1</v>
          </cell>
          <cell r="H358">
            <v>5.7999999999999996E-3</v>
          </cell>
          <cell r="I358">
            <v>1.43E-2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2.01E-2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2.01E-2</v>
          </cell>
          <cell r="W358">
            <v>2.0099997520446777E-2</v>
          </cell>
          <cell r="X358">
            <v>2.01E-2</v>
          </cell>
          <cell r="Y358">
            <v>0</v>
          </cell>
          <cell r="Z358">
            <v>0</v>
          </cell>
        </row>
        <row r="359">
          <cell r="E359" t="str">
            <v>JN111-62064-1</v>
          </cell>
          <cell r="F359">
            <v>0</v>
          </cell>
          <cell r="G359">
            <v>177.65459999999999</v>
          </cell>
          <cell r="H359">
            <v>4.6466666666666661E-3</v>
          </cell>
          <cell r="I359">
            <v>1.1551666666666667E-2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3.7633333333333334E-3</v>
          </cell>
          <cell r="O359">
            <v>6.698333333333333E-3</v>
          </cell>
          <cell r="P359">
            <v>5.1149999999999998E-3</v>
          </cell>
          <cell r="Q359">
            <v>1.6198333333333332E-2</v>
          </cell>
          <cell r="R359">
            <v>1.5576666666666666E-2</v>
          </cell>
          <cell r="S359">
            <v>0</v>
          </cell>
          <cell r="T359">
            <v>0</v>
          </cell>
          <cell r="U359">
            <v>0</v>
          </cell>
          <cell r="V359">
            <v>3.1774999999999998E-2</v>
          </cell>
          <cell r="W359">
            <v>3.1774997711181641E-2</v>
          </cell>
          <cell r="X359">
            <v>3.1774999999999998E-2</v>
          </cell>
          <cell r="Y359">
            <v>0</v>
          </cell>
          <cell r="Z359">
            <v>0</v>
          </cell>
        </row>
        <row r="360">
          <cell r="E360" t="str">
            <v>JN111-62064-3</v>
          </cell>
          <cell r="F360">
            <v>0</v>
          </cell>
          <cell r="G360">
            <v>142.13550000000001</v>
          </cell>
          <cell r="H360">
            <v>3.8866666666666663E-3</v>
          </cell>
          <cell r="I360">
            <v>9.5300000000000003E-3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4.3616666666666665E-3</v>
          </cell>
          <cell r="O360">
            <v>5.9066666666666668E-3</v>
          </cell>
          <cell r="P360">
            <v>4.4516666666666671E-3</v>
          </cell>
          <cell r="Q360">
            <v>1.3416666666666667E-2</v>
          </cell>
          <cell r="R360">
            <v>1.472E-2</v>
          </cell>
          <cell r="S360">
            <v>0</v>
          </cell>
          <cell r="T360">
            <v>0</v>
          </cell>
          <cell r="U360">
            <v>0</v>
          </cell>
          <cell r="V360">
            <v>2.8136666666666667E-2</v>
          </cell>
          <cell r="W360">
            <v>2.8136655688285828E-2</v>
          </cell>
          <cell r="X360">
            <v>2.8136666666666667E-2</v>
          </cell>
          <cell r="Y360">
            <v>0</v>
          </cell>
          <cell r="Z360">
            <v>0</v>
          </cell>
        </row>
        <row r="361">
          <cell r="E361" t="str">
            <v>JN111-62093-3</v>
          </cell>
          <cell r="F361">
            <v>0</v>
          </cell>
          <cell r="G361">
            <v>59.1</v>
          </cell>
          <cell r="H361">
            <v>2.5700000000000002E-3</v>
          </cell>
          <cell r="I361">
            <v>1.1366666666666666E-2</v>
          </cell>
          <cell r="J361">
            <v>0</v>
          </cell>
          <cell r="K361">
            <v>2.3699999999999997E-3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1.3936666666666667E-2</v>
          </cell>
          <cell r="R361">
            <v>2.3699999999999997E-3</v>
          </cell>
          <cell r="S361">
            <v>0</v>
          </cell>
          <cell r="T361">
            <v>0</v>
          </cell>
          <cell r="U361">
            <v>0</v>
          </cell>
          <cell r="V361">
            <v>1.6306666666666667E-2</v>
          </cell>
          <cell r="W361">
            <v>1.6306653618812561E-2</v>
          </cell>
          <cell r="X361">
            <v>1.6306666666666667E-2</v>
          </cell>
          <cell r="Y361">
            <v>0</v>
          </cell>
          <cell r="Z361">
            <v>0</v>
          </cell>
        </row>
        <row r="362">
          <cell r="E362" t="str">
            <v>JN111-62093-4</v>
          </cell>
          <cell r="F362">
            <v>0</v>
          </cell>
          <cell r="G362">
            <v>59.1</v>
          </cell>
          <cell r="H362">
            <v>4.45E-3</v>
          </cell>
          <cell r="I362">
            <v>1.43E-2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1.8749999999999999E-2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1.8749999999999999E-2</v>
          </cell>
          <cell r="W362">
            <v>1.8749997019767761E-2</v>
          </cell>
          <cell r="X362">
            <v>1.8749999999999999E-2</v>
          </cell>
          <cell r="Y362">
            <v>0</v>
          </cell>
          <cell r="Z362">
            <v>0</v>
          </cell>
        </row>
        <row r="363">
          <cell r="E363" t="str">
            <v>JN111-62215-1</v>
          </cell>
          <cell r="F363">
            <v>0</v>
          </cell>
          <cell r="G363">
            <v>114.654</v>
          </cell>
          <cell r="H363">
            <v>3.3E-3</v>
          </cell>
          <cell r="I363">
            <v>1.1551666666666667E-2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3.7633333333333334E-3</v>
          </cell>
          <cell r="O363">
            <v>5.0550000000000005E-3</v>
          </cell>
          <cell r="P363">
            <v>3.9383333333333336E-3</v>
          </cell>
          <cell r="Q363">
            <v>1.4851666666666666E-2</v>
          </cell>
          <cell r="R363">
            <v>1.2756666666666668E-2</v>
          </cell>
          <cell r="S363">
            <v>0</v>
          </cell>
          <cell r="T363">
            <v>0</v>
          </cell>
          <cell r="U363">
            <v>0</v>
          </cell>
          <cell r="V363">
            <v>2.7608333333333332E-2</v>
          </cell>
          <cell r="W363">
            <v>2.7608320116996765E-2</v>
          </cell>
          <cell r="X363">
            <v>2.7608333333333332E-2</v>
          </cell>
          <cell r="Y363">
            <v>0</v>
          </cell>
          <cell r="Z363">
            <v>0</v>
          </cell>
        </row>
        <row r="364">
          <cell r="E364" t="str">
            <v>JN111-62215-3</v>
          </cell>
          <cell r="F364">
            <v>0</v>
          </cell>
          <cell r="G364">
            <v>79.134900000000002</v>
          </cell>
          <cell r="H364">
            <v>2.5400000000000002E-3</v>
          </cell>
          <cell r="I364">
            <v>9.5300000000000003E-3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4.3616666666666665E-3</v>
          </cell>
          <cell r="O364">
            <v>4.2633333333333334E-3</v>
          </cell>
          <cell r="P364">
            <v>3.2733333333333334E-3</v>
          </cell>
          <cell r="Q364">
            <v>1.2070000000000001E-2</v>
          </cell>
          <cell r="R364">
            <v>1.1898333333333334E-2</v>
          </cell>
          <cell r="S364">
            <v>0</v>
          </cell>
          <cell r="T364">
            <v>0</v>
          </cell>
          <cell r="U364">
            <v>0</v>
          </cell>
          <cell r="V364">
            <v>2.3968333333333335E-2</v>
          </cell>
          <cell r="W364">
            <v>2.3968324065208435E-2</v>
          </cell>
          <cell r="X364">
            <v>2.3968333333333335E-2</v>
          </cell>
          <cell r="Y364">
            <v>0</v>
          </cell>
          <cell r="Z364">
            <v>0</v>
          </cell>
        </row>
        <row r="365">
          <cell r="E365" t="str">
            <v>24012-6YZ0B</v>
          </cell>
          <cell r="F365">
            <v>2364.1</v>
          </cell>
          <cell r="G365">
            <v>0</v>
          </cell>
          <cell r="H365">
            <v>0.14305166666666666</v>
          </cell>
          <cell r="I365">
            <v>0.30745166666666662</v>
          </cell>
          <cell r="J365">
            <v>9.6096666666666664E-2</v>
          </cell>
          <cell r="K365">
            <v>0.46244000000000002</v>
          </cell>
          <cell r="L365">
            <v>0.92434333333333329</v>
          </cell>
          <cell r="M365">
            <v>3.3479999999999996E-2</v>
          </cell>
          <cell r="N365">
            <v>0.16350666666666666</v>
          </cell>
          <cell r="O365">
            <v>0.12542333333333333</v>
          </cell>
          <cell r="P365">
            <v>1.4449999999999999E-2</v>
          </cell>
          <cell r="Q365">
            <v>0.54659999999999997</v>
          </cell>
          <cell r="R365">
            <v>1.7236433333333334</v>
          </cell>
          <cell r="S365">
            <v>0</v>
          </cell>
          <cell r="T365">
            <v>0</v>
          </cell>
          <cell r="U365">
            <v>0</v>
          </cell>
          <cell r="V365">
            <v>2.2702433333333332</v>
          </cell>
          <cell r="W365">
            <v>2.2702426910400391</v>
          </cell>
          <cell r="X365">
            <v>2.2702433333333332</v>
          </cell>
          <cell r="Y365">
            <v>0</v>
          </cell>
          <cell r="Z365">
            <v>0</v>
          </cell>
        </row>
        <row r="366">
          <cell r="E366" t="str">
            <v>24012-6YZ1B</v>
          </cell>
          <cell r="F366">
            <v>2367.1</v>
          </cell>
          <cell r="G366">
            <v>0</v>
          </cell>
          <cell r="H366">
            <v>0.14218500000000001</v>
          </cell>
          <cell r="I366">
            <v>0.29970166666666664</v>
          </cell>
          <cell r="J366">
            <v>8.1311666666666671E-2</v>
          </cell>
          <cell r="K366">
            <v>0.45793</v>
          </cell>
          <cell r="L366">
            <v>0.92336333333333331</v>
          </cell>
          <cell r="M366">
            <v>3.3479999999999996E-2</v>
          </cell>
          <cell r="N366">
            <v>0.16439166666666666</v>
          </cell>
          <cell r="O366">
            <v>0.122365</v>
          </cell>
          <cell r="P366">
            <v>1.4306666666666667E-2</v>
          </cell>
          <cell r="Q366">
            <v>0.52319833333333332</v>
          </cell>
          <cell r="R366">
            <v>1.7158366666666667</v>
          </cell>
          <cell r="S366">
            <v>0</v>
          </cell>
          <cell r="T366">
            <v>0</v>
          </cell>
          <cell r="U366">
            <v>0</v>
          </cell>
          <cell r="V366">
            <v>2.2390349999999999</v>
          </cell>
          <cell r="W366">
            <v>2.2390346527099609</v>
          </cell>
          <cell r="X366">
            <v>2.2390349999999999</v>
          </cell>
          <cell r="Y366">
            <v>0</v>
          </cell>
          <cell r="Z366">
            <v>0</v>
          </cell>
        </row>
        <row r="367">
          <cell r="E367" t="str">
            <v>24012-6YZ2A</v>
          </cell>
          <cell r="F367">
            <v>2319.1</v>
          </cell>
          <cell r="G367">
            <v>0</v>
          </cell>
          <cell r="H367">
            <v>0.13660333333333333</v>
          </cell>
          <cell r="I367">
            <v>0.29195166666666666</v>
          </cell>
          <cell r="J367">
            <v>8.3966666666666676E-2</v>
          </cell>
          <cell r="K367">
            <v>0.44539000000000001</v>
          </cell>
          <cell r="L367">
            <v>0.89066999999999996</v>
          </cell>
          <cell r="M367">
            <v>3.3479999999999996E-2</v>
          </cell>
          <cell r="N367">
            <v>0.15812333333333331</v>
          </cell>
          <cell r="O367">
            <v>0.12366166666666666</v>
          </cell>
          <cell r="P367">
            <v>1.4276666666666667E-2</v>
          </cell>
          <cell r="Q367">
            <v>0.51252166666666665</v>
          </cell>
          <cell r="R367">
            <v>1.6656016666666666</v>
          </cell>
          <cell r="S367">
            <v>0</v>
          </cell>
          <cell r="T367">
            <v>0</v>
          </cell>
          <cell r="U367">
            <v>0</v>
          </cell>
          <cell r="V367">
            <v>2.1781233333333332</v>
          </cell>
          <cell r="W367">
            <v>2.1781215667724609</v>
          </cell>
          <cell r="X367">
            <v>2.1781233333333332</v>
          </cell>
          <cell r="Y367">
            <v>0</v>
          </cell>
          <cell r="Z367">
            <v>0</v>
          </cell>
        </row>
        <row r="368">
          <cell r="E368" t="str">
            <v>24012-6YZ3A</v>
          </cell>
          <cell r="F368">
            <v>2322</v>
          </cell>
          <cell r="G368">
            <v>0</v>
          </cell>
          <cell r="H368">
            <v>0.13633000000000001</v>
          </cell>
          <cell r="I368">
            <v>0.28420166666666663</v>
          </cell>
          <cell r="J368">
            <v>6.9181666666666669E-2</v>
          </cell>
          <cell r="K368">
            <v>0.44087999999999999</v>
          </cell>
          <cell r="L368">
            <v>0.91357500000000003</v>
          </cell>
          <cell r="M368">
            <v>3.3479999999999996E-2</v>
          </cell>
          <cell r="N368">
            <v>0.16186833333333334</v>
          </cell>
          <cell r="O368">
            <v>0.12227666666666666</v>
          </cell>
          <cell r="P368">
            <v>1.4296666666666668E-2</v>
          </cell>
          <cell r="Q368">
            <v>0.48971333333333333</v>
          </cell>
          <cell r="R368">
            <v>1.6863766666666664</v>
          </cell>
          <cell r="S368">
            <v>0</v>
          </cell>
          <cell r="T368">
            <v>0</v>
          </cell>
          <cell r="U368">
            <v>0</v>
          </cell>
          <cell r="V368">
            <v>2.1760899999999999</v>
          </cell>
          <cell r="W368">
            <v>2.1760883331298828</v>
          </cell>
          <cell r="X368">
            <v>2.1760899999999999</v>
          </cell>
          <cell r="Y368">
            <v>0</v>
          </cell>
          <cell r="Z368">
            <v>0</v>
          </cell>
        </row>
        <row r="369">
          <cell r="E369" t="str">
            <v>24128-5TT0C</v>
          </cell>
          <cell r="F369">
            <v>171.42354</v>
          </cell>
          <cell r="G369">
            <v>0</v>
          </cell>
          <cell r="H369">
            <v>1.2766666666666667E-2</v>
          </cell>
          <cell r="I369">
            <v>2.1984999999999998E-2</v>
          </cell>
          <cell r="J369">
            <v>0</v>
          </cell>
          <cell r="K369">
            <v>4.1398333333333336E-2</v>
          </cell>
          <cell r="L369">
            <v>0.10776666666666666</v>
          </cell>
          <cell r="M369">
            <v>0</v>
          </cell>
          <cell r="N369">
            <v>1.9543333333333336E-2</v>
          </cell>
          <cell r="O369">
            <v>8.8966666666666673E-3</v>
          </cell>
          <cell r="P369">
            <v>5.1999999999999998E-3</v>
          </cell>
          <cell r="Q369">
            <v>3.4751666666666667E-2</v>
          </cell>
          <cell r="R369">
            <v>0.182805</v>
          </cell>
          <cell r="S369">
            <v>0</v>
          </cell>
          <cell r="T369">
            <v>0</v>
          </cell>
          <cell r="U369">
            <v>0</v>
          </cell>
          <cell r="V369">
            <v>0.21755666666666668</v>
          </cell>
          <cell r="W369">
            <v>0.21755659580230713</v>
          </cell>
          <cell r="X369">
            <v>0.21755666666666668</v>
          </cell>
          <cell r="Y369">
            <v>0</v>
          </cell>
          <cell r="Z369">
            <v>0</v>
          </cell>
        </row>
        <row r="370">
          <cell r="E370" t="str">
            <v>24128-7DA0A</v>
          </cell>
          <cell r="F370">
            <v>97.3</v>
          </cell>
          <cell r="G370">
            <v>0</v>
          </cell>
          <cell r="H370">
            <v>9.9716666666666669E-3</v>
          </cell>
          <cell r="I370">
            <v>7.3283333333333334E-3</v>
          </cell>
          <cell r="J370">
            <v>0</v>
          </cell>
          <cell r="K370">
            <v>4.6894999999999999E-2</v>
          </cell>
          <cell r="L370">
            <v>0.115485</v>
          </cell>
          <cell r="M370">
            <v>0</v>
          </cell>
          <cell r="N370">
            <v>1.8465000000000002E-2</v>
          </cell>
          <cell r="O370">
            <v>8.8083333333333329E-3</v>
          </cell>
          <cell r="P370">
            <v>5.0700000000000007E-3</v>
          </cell>
          <cell r="Q370">
            <v>1.7299999999999999E-2</v>
          </cell>
          <cell r="R370">
            <v>0.19472333333333333</v>
          </cell>
          <cell r="S370">
            <v>0</v>
          </cell>
          <cell r="T370">
            <v>0</v>
          </cell>
          <cell r="U370">
            <v>0</v>
          </cell>
          <cell r="V370">
            <v>0.21202333333333334</v>
          </cell>
          <cell r="W370">
            <v>0.21202325820922852</v>
          </cell>
          <cell r="X370">
            <v>0.21202333333333334</v>
          </cell>
          <cell r="Y370">
            <v>0</v>
          </cell>
          <cell r="Z370">
            <v>0</v>
          </cell>
        </row>
        <row r="371">
          <cell r="E371" t="str">
            <v>24128-7DA0B</v>
          </cell>
          <cell r="F371">
            <v>133</v>
          </cell>
          <cell r="G371">
            <v>0</v>
          </cell>
          <cell r="H371">
            <v>1.5051666666666666E-2</v>
          </cell>
          <cell r="I371">
            <v>1.4656666666666667E-2</v>
          </cell>
          <cell r="J371">
            <v>0</v>
          </cell>
          <cell r="K371">
            <v>5.3641666666666671E-2</v>
          </cell>
          <cell r="L371">
            <v>0.12175666666666667</v>
          </cell>
          <cell r="M371">
            <v>0</v>
          </cell>
          <cell r="N371">
            <v>1.9105E-2</v>
          </cell>
          <cell r="O371">
            <v>8.8083333333333329E-3</v>
          </cell>
          <cell r="P371">
            <v>5.0700000000000007E-3</v>
          </cell>
          <cell r="Q371">
            <v>2.9708333333333333E-2</v>
          </cell>
          <cell r="R371">
            <v>0.20838166666666666</v>
          </cell>
          <cell r="S371">
            <v>0</v>
          </cell>
          <cell r="T371">
            <v>0</v>
          </cell>
          <cell r="U371">
            <v>0</v>
          </cell>
          <cell r="V371">
            <v>0.23809</v>
          </cell>
          <cell r="W371">
            <v>0.238089919090271</v>
          </cell>
          <cell r="X371">
            <v>0.23809</v>
          </cell>
          <cell r="Y371">
            <v>0</v>
          </cell>
          <cell r="Z371">
            <v>0</v>
          </cell>
        </row>
        <row r="372">
          <cell r="E372" t="str">
            <v>24129-5TT0C</v>
          </cell>
          <cell r="F372">
            <v>172.13665</v>
          </cell>
          <cell r="G372">
            <v>0</v>
          </cell>
          <cell r="H372">
            <v>1.2926666666666666E-2</v>
          </cell>
          <cell r="I372">
            <v>2.1984999999999998E-2</v>
          </cell>
          <cell r="J372">
            <v>0</v>
          </cell>
          <cell r="K372">
            <v>4.2388333333333333E-2</v>
          </cell>
          <cell r="L372">
            <v>0.12859833333333334</v>
          </cell>
          <cell r="M372">
            <v>0</v>
          </cell>
          <cell r="N372">
            <v>2.0739999999999998E-2</v>
          </cell>
          <cell r="O372">
            <v>9.0733333333333326E-3</v>
          </cell>
          <cell r="P372">
            <v>5.2249999999999996E-3</v>
          </cell>
          <cell r="Q372">
            <v>3.491166666666666E-2</v>
          </cell>
          <cell r="R372">
            <v>0.20602500000000001</v>
          </cell>
          <cell r="S372">
            <v>0</v>
          </cell>
          <cell r="T372">
            <v>0</v>
          </cell>
          <cell r="U372">
            <v>0</v>
          </cell>
          <cell r="V372">
            <v>0.24093666666666669</v>
          </cell>
          <cell r="W372">
            <v>0.24093663692474365</v>
          </cell>
          <cell r="X372">
            <v>0.24093666666666669</v>
          </cell>
          <cell r="Y372">
            <v>0</v>
          </cell>
          <cell r="Z372">
            <v>0</v>
          </cell>
        </row>
        <row r="373">
          <cell r="E373" t="str">
            <v>24129-7DA0A</v>
          </cell>
          <cell r="F373">
            <v>102</v>
          </cell>
          <cell r="G373">
            <v>0</v>
          </cell>
          <cell r="H373">
            <v>9.1783333333333335E-3</v>
          </cell>
          <cell r="I373">
            <v>7.3283333333333334E-3</v>
          </cell>
          <cell r="J373">
            <v>0</v>
          </cell>
          <cell r="K373">
            <v>4.6385000000000003E-2</v>
          </cell>
          <cell r="L373">
            <v>0.11481833333333333</v>
          </cell>
          <cell r="M373">
            <v>0</v>
          </cell>
          <cell r="N373">
            <v>1.7786666666666666E-2</v>
          </cell>
          <cell r="O373">
            <v>7.9716666666666668E-3</v>
          </cell>
          <cell r="P373">
            <v>4.9300000000000004E-3</v>
          </cell>
          <cell r="Q373">
            <v>1.6506666666666666E-2</v>
          </cell>
          <cell r="R373">
            <v>0.19189166666666665</v>
          </cell>
          <cell r="S373">
            <v>0</v>
          </cell>
          <cell r="T373">
            <v>0</v>
          </cell>
          <cell r="U373">
            <v>0</v>
          </cell>
          <cell r="V373">
            <v>0.20839833333333332</v>
          </cell>
          <cell r="W373">
            <v>0.20839822292327881</v>
          </cell>
          <cell r="X373">
            <v>0.20839833333333332</v>
          </cell>
          <cell r="Y373">
            <v>0</v>
          </cell>
          <cell r="Z373">
            <v>0</v>
          </cell>
        </row>
        <row r="374">
          <cell r="E374" t="str">
            <v>24129-7DA0B</v>
          </cell>
          <cell r="F374">
            <v>136.4</v>
          </cell>
          <cell r="G374">
            <v>0</v>
          </cell>
          <cell r="H374">
            <v>1.4619999999999999E-2</v>
          </cell>
          <cell r="I374">
            <v>1.409E-2</v>
          </cell>
          <cell r="J374">
            <v>0</v>
          </cell>
          <cell r="K374">
            <v>5.4928333333333336E-2</v>
          </cell>
          <cell r="L374">
            <v>0.12148333333333333</v>
          </cell>
          <cell r="M374">
            <v>0</v>
          </cell>
          <cell r="N374">
            <v>1.9105E-2</v>
          </cell>
          <cell r="O374">
            <v>8.8083333333333329E-3</v>
          </cell>
          <cell r="P374">
            <v>5.11E-3</v>
          </cell>
          <cell r="Q374">
            <v>2.8709999999999999E-2</v>
          </cell>
          <cell r="R374">
            <v>0.20943500000000001</v>
          </cell>
          <cell r="S374">
            <v>0</v>
          </cell>
          <cell r="T374">
            <v>0</v>
          </cell>
          <cell r="U374">
            <v>0</v>
          </cell>
          <cell r="V374">
            <v>0.238145</v>
          </cell>
          <cell r="W374">
            <v>0.23814499378204346</v>
          </cell>
          <cell r="X374">
            <v>0.238145</v>
          </cell>
          <cell r="Y374">
            <v>0</v>
          </cell>
          <cell r="Z374">
            <v>0</v>
          </cell>
        </row>
        <row r="375">
          <cell r="E375" t="str">
            <v>295J1-6RA0A</v>
          </cell>
          <cell r="F375">
            <v>148.1</v>
          </cell>
          <cell r="G375">
            <v>0</v>
          </cell>
          <cell r="H375">
            <v>5.7494999999999997E-2</v>
          </cell>
          <cell r="I375">
            <v>5.4830000000000004E-2</v>
          </cell>
          <cell r="J375">
            <v>5.156666666666667E-3</v>
          </cell>
          <cell r="K375">
            <v>0.20190166666666667</v>
          </cell>
          <cell r="L375">
            <v>0.18391166666666667</v>
          </cell>
          <cell r="M375">
            <v>0</v>
          </cell>
          <cell r="N375">
            <v>2.5995000000000001E-2</v>
          </cell>
          <cell r="O375">
            <v>1.4111666666666666E-2</v>
          </cell>
          <cell r="P375">
            <v>4.1166666666666669E-3</v>
          </cell>
          <cell r="Q375">
            <v>0.11748166666666668</v>
          </cell>
          <cell r="R375">
            <v>0.43003666666666668</v>
          </cell>
          <cell r="S375">
            <v>0</v>
          </cell>
          <cell r="T375">
            <v>0</v>
          </cell>
          <cell r="U375">
            <v>0</v>
          </cell>
          <cell r="V375">
            <v>0.54751833333333333</v>
          </cell>
          <cell r="W375">
            <v>0.54751825332641602</v>
          </cell>
          <cell r="X375">
            <v>0.54751833333333333</v>
          </cell>
          <cell r="Y375">
            <v>0</v>
          </cell>
          <cell r="Z375">
            <v>0</v>
          </cell>
        </row>
        <row r="376">
          <cell r="E376" t="str">
            <v>295J1-6RA9A</v>
          </cell>
          <cell r="F376">
            <v>149.67613</v>
          </cell>
          <cell r="G376">
            <v>0</v>
          </cell>
          <cell r="H376">
            <v>6.5860000000000002E-2</v>
          </cell>
          <cell r="I376">
            <v>9.8341666666666674E-2</v>
          </cell>
          <cell r="J376">
            <v>8.0483333333333327E-3</v>
          </cell>
          <cell r="K376">
            <v>0.20201166666666664</v>
          </cell>
          <cell r="L376">
            <v>0.14966333333333331</v>
          </cell>
          <cell r="M376">
            <v>0</v>
          </cell>
          <cell r="N376">
            <v>2.6724999999999999E-2</v>
          </cell>
          <cell r="O376">
            <v>1.1094999999999999E-2</v>
          </cell>
          <cell r="P376">
            <v>4.306666666666667E-3</v>
          </cell>
          <cell r="Q376">
            <v>0.17225000000000001</v>
          </cell>
          <cell r="R376">
            <v>0.39380166666666666</v>
          </cell>
          <cell r="S376">
            <v>0</v>
          </cell>
          <cell r="T376">
            <v>0</v>
          </cell>
          <cell r="U376">
            <v>0</v>
          </cell>
          <cell r="V376">
            <v>0.56605166666666662</v>
          </cell>
          <cell r="W376">
            <v>0.56605148315429688</v>
          </cell>
          <cell r="X376">
            <v>0.56605166666666662</v>
          </cell>
          <cell r="Y376">
            <v>0</v>
          </cell>
          <cell r="Z376">
            <v>0</v>
          </cell>
        </row>
        <row r="377">
          <cell r="E377" t="str">
            <v>295J2-6RA0A</v>
          </cell>
          <cell r="F377">
            <v>97.5</v>
          </cell>
          <cell r="G377">
            <v>0</v>
          </cell>
          <cell r="H377">
            <v>2.2015E-2</v>
          </cell>
          <cell r="I377">
            <v>6.1956666666666667E-2</v>
          </cell>
          <cell r="J377">
            <v>1.0313333333333334E-2</v>
          </cell>
          <cell r="K377">
            <v>7.6624999999999999E-2</v>
          </cell>
          <cell r="L377">
            <v>0.17425499999999999</v>
          </cell>
          <cell r="M377">
            <v>0</v>
          </cell>
          <cell r="N377">
            <v>1.9994999999999999E-2</v>
          </cell>
          <cell r="O377">
            <v>1.4111666666666666E-2</v>
          </cell>
          <cell r="P377">
            <v>4.3083333333333333E-3</v>
          </cell>
          <cell r="Q377">
            <v>9.4285000000000008E-2</v>
          </cell>
          <cell r="R377">
            <v>0.28929500000000002</v>
          </cell>
          <cell r="S377">
            <v>0</v>
          </cell>
          <cell r="T377">
            <v>0</v>
          </cell>
          <cell r="U377">
            <v>0</v>
          </cell>
          <cell r="V377">
            <v>0.38358000000000003</v>
          </cell>
          <cell r="W377">
            <v>0.38357996940612793</v>
          </cell>
          <cell r="X377">
            <v>0.38358000000000003</v>
          </cell>
          <cell r="Y377">
            <v>0</v>
          </cell>
          <cell r="Z377">
            <v>0</v>
          </cell>
        </row>
        <row r="378">
          <cell r="E378" t="str">
            <v>295J2-6RA9B</v>
          </cell>
          <cell r="F378">
            <v>95.428089999999997</v>
          </cell>
          <cell r="G378">
            <v>0</v>
          </cell>
          <cell r="H378">
            <v>2.614E-2</v>
          </cell>
          <cell r="I378">
            <v>0.10244833333333332</v>
          </cell>
          <cell r="J378">
            <v>1.6096666666666665E-2</v>
          </cell>
          <cell r="K378">
            <v>7.5781666666666664E-2</v>
          </cell>
          <cell r="L378">
            <v>0.14363833333333334</v>
          </cell>
          <cell r="M378">
            <v>0</v>
          </cell>
          <cell r="N378">
            <v>2.0351666666666667E-2</v>
          </cell>
          <cell r="O378">
            <v>1.2383333333333333E-2</v>
          </cell>
          <cell r="P378">
            <v>5.0116666666666669E-3</v>
          </cell>
          <cell r="Q378">
            <v>0.14468500000000001</v>
          </cell>
          <cell r="R378">
            <v>0.25716666666666671</v>
          </cell>
          <cell r="S378">
            <v>0</v>
          </cell>
          <cell r="T378">
            <v>0</v>
          </cell>
          <cell r="U378">
            <v>0</v>
          </cell>
          <cell r="V378">
            <v>0.40185166666666672</v>
          </cell>
          <cell r="W378">
            <v>0.40185165405273438</v>
          </cell>
          <cell r="X378">
            <v>0.40185166666666672</v>
          </cell>
          <cell r="Y378">
            <v>0</v>
          </cell>
          <cell r="Z378">
            <v>0</v>
          </cell>
        </row>
        <row r="379">
          <cell r="E379" t="str">
            <v>82111-F4L30</v>
          </cell>
          <cell r="F379">
            <v>3727.3</v>
          </cell>
          <cell r="G379">
            <v>0</v>
          </cell>
          <cell r="H379">
            <v>0.18648166666666668</v>
          </cell>
          <cell r="I379">
            <v>0.37688833333333333</v>
          </cell>
          <cell r="J379">
            <v>0.19120833333333334</v>
          </cell>
          <cell r="K379">
            <v>0.62376833333333326</v>
          </cell>
          <cell r="L379">
            <v>1.7019200000000001</v>
          </cell>
          <cell r="M379">
            <v>4.2706666666666664E-2</v>
          </cell>
          <cell r="N379">
            <v>0.19393666666666667</v>
          </cell>
          <cell r="O379">
            <v>0.19117833333333334</v>
          </cell>
          <cell r="P379">
            <v>5.7836666666666668E-2</v>
          </cell>
          <cell r="Q379">
            <v>0.75457833333333335</v>
          </cell>
          <cell r="R379">
            <v>2.8113466666666667</v>
          </cell>
          <cell r="S379">
            <v>5.6606666666666673E-2</v>
          </cell>
          <cell r="T379">
            <v>4.3663333333333339E-2</v>
          </cell>
          <cell r="U379">
            <v>0</v>
          </cell>
          <cell r="V379">
            <v>3.6661950000000001</v>
          </cell>
          <cell r="W379">
            <v>3.6661949157714844</v>
          </cell>
          <cell r="X379">
            <v>3.6661950000000001</v>
          </cell>
          <cell r="Y379">
            <v>0</v>
          </cell>
          <cell r="Z379">
            <v>0</v>
          </cell>
        </row>
        <row r="380">
          <cell r="E380" t="str">
            <v>24012-9NJ7E</v>
          </cell>
          <cell r="F380">
            <v>1444.5</v>
          </cell>
          <cell r="G380">
            <v>0</v>
          </cell>
          <cell r="H380">
            <v>0.10846166666666666</v>
          </cell>
          <cell r="I380">
            <v>0.13947000000000001</v>
          </cell>
          <cell r="J380">
            <v>0.10349333333333334</v>
          </cell>
          <cell r="K380">
            <v>0.30764833333333336</v>
          </cell>
          <cell r="L380">
            <v>0.85356500000000002</v>
          </cell>
          <cell r="M380">
            <v>3.9093333333333334E-2</v>
          </cell>
          <cell r="N380">
            <v>0.10531833333333333</v>
          </cell>
          <cell r="O380">
            <v>0.10106333333333332</v>
          </cell>
          <cell r="P380">
            <v>2.1091666666666668E-2</v>
          </cell>
          <cell r="Q380">
            <v>0.35142499999999999</v>
          </cell>
          <cell r="R380">
            <v>1.4277800000000003</v>
          </cell>
          <cell r="S380">
            <v>0</v>
          </cell>
          <cell r="T380">
            <v>0</v>
          </cell>
          <cell r="U380">
            <v>0</v>
          </cell>
          <cell r="V380">
            <v>1.7792050000000001</v>
          </cell>
          <cell r="W380">
            <v>1.7792043685913086</v>
          </cell>
          <cell r="X380">
            <v>1.7792050000000001</v>
          </cell>
          <cell r="Y380">
            <v>0</v>
          </cell>
          <cell r="Z380">
            <v>0</v>
          </cell>
        </row>
        <row r="381">
          <cell r="E381" t="str">
            <v>82111-F2131</v>
          </cell>
          <cell r="F381">
            <v>3241.4</v>
          </cell>
          <cell r="G381">
            <v>0</v>
          </cell>
          <cell r="H381">
            <v>0.23120499999999999</v>
          </cell>
          <cell r="I381">
            <v>0.30151</v>
          </cell>
          <cell r="J381">
            <v>0.19049333333333335</v>
          </cell>
          <cell r="K381">
            <v>0.57001833333333329</v>
          </cell>
          <cell r="L381">
            <v>1.725255</v>
          </cell>
          <cell r="M381">
            <v>6.9225000000000009E-2</v>
          </cell>
          <cell r="N381">
            <v>0.17413500000000001</v>
          </cell>
          <cell r="O381">
            <v>0.14865666666666666</v>
          </cell>
          <cell r="P381">
            <v>6.0520000000000004E-2</v>
          </cell>
          <cell r="Q381">
            <v>0.72320833333333345</v>
          </cell>
          <cell r="R381">
            <v>2.7478099999999999</v>
          </cell>
          <cell r="S381">
            <v>4.2181666666666666E-2</v>
          </cell>
          <cell r="T381">
            <v>3.7756666666666668E-2</v>
          </cell>
          <cell r="U381">
            <v>0</v>
          </cell>
          <cell r="V381">
            <v>3.5509566666666665</v>
          </cell>
          <cell r="W381">
            <v>3.5509548187255859</v>
          </cell>
          <cell r="X381">
            <v>3.5509566666666665</v>
          </cell>
          <cell r="Y381">
            <v>0</v>
          </cell>
          <cell r="Z381">
            <v>0</v>
          </cell>
        </row>
        <row r="382">
          <cell r="E382" t="str">
            <v>82111-F2132</v>
          </cell>
          <cell r="F382">
            <v>3260.8</v>
          </cell>
          <cell r="G382">
            <v>0</v>
          </cell>
          <cell r="H382">
            <v>0.23249333333333333</v>
          </cell>
          <cell r="I382">
            <v>0.29373333333333329</v>
          </cell>
          <cell r="J382">
            <v>0.20387666666666665</v>
          </cell>
          <cell r="K382">
            <v>0.57276833333333343</v>
          </cell>
          <cell r="L382">
            <v>1.7135616666666666</v>
          </cell>
          <cell r="M382">
            <v>6.9225000000000009E-2</v>
          </cell>
          <cell r="N382">
            <v>0.17521166666666668</v>
          </cell>
          <cell r="O382">
            <v>0.14879166666666668</v>
          </cell>
          <cell r="P382">
            <v>5.5844999999999999E-2</v>
          </cell>
          <cell r="Q382">
            <v>0.73010333333333333</v>
          </cell>
          <cell r="R382">
            <v>2.7354033333333336</v>
          </cell>
          <cell r="S382">
            <v>4.2181666666666666E-2</v>
          </cell>
          <cell r="T382">
            <v>3.7756666666666668E-2</v>
          </cell>
          <cell r="U382">
            <v>0</v>
          </cell>
          <cell r="V382">
            <v>3.5454450000000004</v>
          </cell>
          <cell r="W382">
            <v>3.5454444885253906</v>
          </cell>
          <cell r="X382">
            <v>3.5454450000000004</v>
          </cell>
          <cell r="Y382">
            <v>0</v>
          </cell>
          <cell r="Z382">
            <v>0</v>
          </cell>
        </row>
        <row r="383">
          <cell r="E383" t="str">
            <v>82111-F2152</v>
          </cell>
          <cell r="F383">
            <v>3158.1</v>
          </cell>
          <cell r="G383">
            <v>0</v>
          </cell>
          <cell r="H383">
            <v>0.216695</v>
          </cell>
          <cell r="I383">
            <v>0.27327333333333331</v>
          </cell>
          <cell r="J383">
            <v>0.19734333333333334</v>
          </cell>
          <cell r="K383">
            <v>0.55987666666666658</v>
          </cell>
          <cell r="L383">
            <v>1.5765633333333333</v>
          </cell>
          <cell r="M383">
            <v>6.8699999999999997E-2</v>
          </cell>
          <cell r="N383">
            <v>0.16870833333333335</v>
          </cell>
          <cell r="O383">
            <v>0.14532500000000001</v>
          </cell>
          <cell r="P383">
            <v>6.7964999999999998E-2</v>
          </cell>
          <cell r="Q383">
            <v>0.68731166666666665</v>
          </cell>
          <cell r="R383">
            <v>2.5871383333333338</v>
          </cell>
          <cell r="S383">
            <v>4.2181666666666666E-2</v>
          </cell>
          <cell r="T383">
            <v>3.7756666666666668E-2</v>
          </cell>
          <cell r="U383">
            <v>0</v>
          </cell>
          <cell r="V383">
            <v>3.3543883333333335</v>
          </cell>
          <cell r="W383">
            <v>3.3543872833251953</v>
          </cell>
          <cell r="X383">
            <v>3.3543883333333335</v>
          </cell>
          <cell r="Y383">
            <v>0</v>
          </cell>
          <cell r="Z383">
            <v>0</v>
          </cell>
        </row>
        <row r="384">
          <cell r="E384" t="str">
            <v>82111-F2211</v>
          </cell>
          <cell r="F384">
            <v>2962.1</v>
          </cell>
          <cell r="G384">
            <v>0</v>
          </cell>
          <cell r="H384">
            <v>0.17327333333333333</v>
          </cell>
          <cell r="I384">
            <v>0.11392666666666668</v>
          </cell>
          <cell r="J384">
            <v>0.13485166666666668</v>
          </cell>
          <cell r="K384">
            <v>0.46979333333333334</v>
          </cell>
          <cell r="L384">
            <v>1.4206216666666667</v>
          </cell>
          <cell r="M384">
            <v>6.3626666666666665E-2</v>
          </cell>
          <cell r="N384">
            <v>0.16283499999999998</v>
          </cell>
          <cell r="O384">
            <v>0.13167833333333331</v>
          </cell>
          <cell r="P384">
            <v>6.0350000000000001E-2</v>
          </cell>
          <cell r="Q384">
            <v>0.42205166666666671</v>
          </cell>
          <cell r="R384">
            <v>2.3089050000000002</v>
          </cell>
          <cell r="S384">
            <v>4.4739999999999995E-2</v>
          </cell>
          <cell r="T384">
            <v>4.6706666666666674E-2</v>
          </cell>
          <cell r="U384">
            <v>0</v>
          </cell>
          <cell r="V384">
            <v>2.8224033333333334</v>
          </cell>
          <cell r="W384">
            <v>2.8224029541015625</v>
          </cell>
          <cell r="X384">
            <v>2.8224033333333334</v>
          </cell>
          <cell r="Y384">
            <v>0</v>
          </cell>
          <cell r="Z384">
            <v>0</v>
          </cell>
        </row>
        <row r="385">
          <cell r="E385" t="str">
            <v>82111-F2220 D</v>
          </cell>
          <cell r="F385">
            <v>2933.3</v>
          </cell>
          <cell r="G385">
            <v>0</v>
          </cell>
          <cell r="H385">
            <v>0.16666833333333334</v>
          </cell>
          <cell r="I385">
            <v>0.10982333333333334</v>
          </cell>
          <cell r="J385">
            <v>0.13382333333333335</v>
          </cell>
          <cell r="K385">
            <v>0.45817000000000002</v>
          </cell>
          <cell r="L385">
            <v>1.4264183333333333</v>
          </cell>
          <cell r="M385">
            <v>6.3771666666666657E-2</v>
          </cell>
          <cell r="N385">
            <v>0.160805</v>
          </cell>
          <cell r="O385">
            <v>0.13003833333333334</v>
          </cell>
          <cell r="P385">
            <v>6.0971666666666667E-2</v>
          </cell>
          <cell r="Q385">
            <v>0.41031500000000004</v>
          </cell>
          <cell r="R385">
            <v>2.3001749999999999</v>
          </cell>
          <cell r="S385">
            <v>4.4739999999999995E-2</v>
          </cell>
          <cell r="T385">
            <v>4.6706666666666674E-2</v>
          </cell>
          <cell r="U385">
            <v>0</v>
          </cell>
          <cell r="V385">
            <v>2.8019366666666667</v>
          </cell>
          <cell r="W385">
            <v>2.8019351959228516</v>
          </cell>
          <cell r="X385">
            <v>2.8019366666666667</v>
          </cell>
          <cell r="Y385">
            <v>0</v>
          </cell>
          <cell r="Z385">
            <v>0</v>
          </cell>
        </row>
        <row r="386">
          <cell r="E386" t="str">
            <v>82111-F2C10</v>
          </cell>
          <cell r="F386">
            <v>3244.3</v>
          </cell>
          <cell r="G386">
            <v>0</v>
          </cell>
          <cell r="H386">
            <v>0.23071999999999998</v>
          </cell>
          <cell r="I386">
            <v>0.30151</v>
          </cell>
          <cell r="J386">
            <v>0.19041499999999997</v>
          </cell>
          <cell r="K386">
            <v>0.58237166666666673</v>
          </cell>
          <cell r="L386">
            <v>1.6985466666666666</v>
          </cell>
          <cell r="M386">
            <v>6.9209999999999994E-2</v>
          </cell>
          <cell r="N386">
            <v>0.17353166666666667</v>
          </cell>
          <cell r="O386">
            <v>0.14838333333333334</v>
          </cell>
          <cell r="P386">
            <v>6.0429999999999998E-2</v>
          </cell>
          <cell r="Q386">
            <v>0.72264499999999998</v>
          </cell>
          <cell r="R386">
            <v>2.7324733333333335</v>
          </cell>
          <cell r="S386">
            <v>4.2181666666666666E-2</v>
          </cell>
          <cell r="T386">
            <v>3.7756666666666668E-2</v>
          </cell>
          <cell r="U386">
            <v>0</v>
          </cell>
          <cell r="V386">
            <v>3.5350566666666667</v>
          </cell>
          <cell r="W386">
            <v>3.5350551605224609</v>
          </cell>
          <cell r="X386">
            <v>3.5350566666666667</v>
          </cell>
          <cell r="Y386">
            <v>0</v>
          </cell>
          <cell r="Z386">
            <v>0</v>
          </cell>
        </row>
        <row r="387">
          <cell r="E387" t="str">
            <v>82111-F2C11</v>
          </cell>
          <cell r="F387">
            <v>3263.7</v>
          </cell>
          <cell r="G387">
            <v>0</v>
          </cell>
          <cell r="H387">
            <v>0.23200833333333334</v>
          </cell>
          <cell r="I387">
            <v>0.29373333333333329</v>
          </cell>
          <cell r="J387">
            <v>0.20379833333333333</v>
          </cell>
          <cell r="K387">
            <v>0.58512166666666665</v>
          </cell>
          <cell r="L387">
            <v>1.6868516666666666</v>
          </cell>
          <cell r="M387">
            <v>6.9209999999999994E-2</v>
          </cell>
          <cell r="N387">
            <v>0.17460833333333334</v>
          </cell>
          <cell r="O387">
            <v>0.14851833333333334</v>
          </cell>
          <cell r="P387">
            <v>5.5754999999999999E-2</v>
          </cell>
          <cell r="Q387">
            <v>0.72953999999999997</v>
          </cell>
          <cell r="R387">
            <v>2.7200650000000004</v>
          </cell>
          <cell r="S387">
            <v>4.2181666666666666E-2</v>
          </cell>
          <cell r="T387">
            <v>3.7756666666666668E-2</v>
          </cell>
          <cell r="U387">
            <v>0</v>
          </cell>
          <cell r="V387">
            <v>3.5295433333333337</v>
          </cell>
          <cell r="W387">
            <v>3.5295429229736328</v>
          </cell>
          <cell r="X387">
            <v>3.5295433333333337</v>
          </cell>
          <cell r="Y387">
            <v>0</v>
          </cell>
          <cell r="Z387">
            <v>0</v>
          </cell>
        </row>
        <row r="388">
          <cell r="E388" t="str">
            <v>82111-F2L51</v>
          </cell>
          <cell r="F388">
            <v>2648.5</v>
          </cell>
          <cell r="G388">
            <v>0</v>
          </cell>
          <cell r="H388">
            <v>0.153535</v>
          </cell>
          <cell r="I388">
            <v>0.14036333333333331</v>
          </cell>
          <cell r="J388">
            <v>0.11885166666666666</v>
          </cell>
          <cell r="K388">
            <v>0.51003666666666669</v>
          </cell>
          <cell r="L388">
            <v>1.4968883333333334</v>
          </cell>
          <cell r="M388">
            <v>4.0235E-2</v>
          </cell>
          <cell r="N388">
            <v>0.15836833333333333</v>
          </cell>
          <cell r="O388">
            <v>0.17400833333333335</v>
          </cell>
          <cell r="P388">
            <v>2.9693333333333335E-2</v>
          </cell>
          <cell r="Q388">
            <v>0.41274999999999995</v>
          </cell>
          <cell r="R388">
            <v>2.40923</v>
          </cell>
          <cell r="S388">
            <v>5.0381666666666665E-2</v>
          </cell>
          <cell r="T388">
            <v>4.2040000000000008E-2</v>
          </cell>
          <cell r="U388">
            <v>0</v>
          </cell>
          <cell r="V388">
            <v>2.9144016666666666</v>
          </cell>
          <cell r="W388">
            <v>2.9144001007080078</v>
          </cell>
          <cell r="X388">
            <v>2.9144016666666666</v>
          </cell>
          <cell r="Y388">
            <v>0</v>
          </cell>
          <cell r="Z388">
            <v>0</v>
          </cell>
        </row>
        <row r="389">
          <cell r="E389" t="str">
            <v>82111-F2W02</v>
          </cell>
          <cell r="F389">
            <v>2647.6</v>
          </cell>
          <cell r="G389">
            <v>0</v>
          </cell>
          <cell r="H389">
            <v>0.15348166666666666</v>
          </cell>
          <cell r="I389">
            <v>0.14036333333333331</v>
          </cell>
          <cell r="J389">
            <v>0.11885166666666666</v>
          </cell>
          <cell r="K389">
            <v>0.51003666666666669</v>
          </cell>
          <cell r="L389">
            <v>1.4966966666666666</v>
          </cell>
          <cell r="M389">
            <v>4.0235E-2</v>
          </cell>
          <cell r="N389">
            <v>0.15836833333333333</v>
          </cell>
          <cell r="O389">
            <v>0.17400833333333335</v>
          </cell>
          <cell r="P389">
            <v>2.9676666666666667E-2</v>
          </cell>
          <cell r="Q389">
            <v>0.4126966666666666</v>
          </cell>
          <cell r="R389">
            <v>2.4090216666666664</v>
          </cell>
          <cell r="S389">
            <v>5.0381666666666665E-2</v>
          </cell>
          <cell r="T389">
            <v>4.2040000000000008E-2</v>
          </cell>
          <cell r="U389">
            <v>0</v>
          </cell>
          <cell r="V389">
            <v>2.9141399999999997</v>
          </cell>
          <cell r="W389">
            <v>2.9141387939453125</v>
          </cell>
          <cell r="X389">
            <v>2.9141399999999997</v>
          </cell>
          <cell r="Y389">
            <v>0</v>
          </cell>
          <cell r="Z389">
            <v>0</v>
          </cell>
        </row>
        <row r="390">
          <cell r="E390" t="str">
            <v>82111-F2W22</v>
          </cell>
          <cell r="F390">
            <v>2644.3</v>
          </cell>
          <cell r="G390">
            <v>0</v>
          </cell>
          <cell r="H390">
            <v>0.15401499999999999</v>
          </cell>
          <cell r="I390">
            <v>0.14036333333333331</v>
          </cell>
          <cell r="J390">
            <v>0.11885166666666666</v>
          </cell>
          <cell r="K390">
            <v>0.49789999999999995</v>
          </cell>
          <cell r="L390">
            <v>1.5254249999999998</v>
          </cell>
          <cell r="M390">
            <v>4.0235E-2</v>
          </cell>
          <cell r="N390">
            <v>0.15896666666666667</v>
          </cell>
          <cell r="O390">
            <v>0.17409666666666668</v>
          </cell>
          <cell r="P390">
            <v>2.9708333333333333E-2</v>
          </cell>
          <cell r="Q390">
            <v>0.41322999999999999</v>
          </cell>
          <cell r="R390">
            <v>2.4263316666666666</v>
          </cell>
          <cell r="S390">
            <v>5.0381666666666665E-2</v>
          </cell>
          <cell r="T390">
            <v>4.2040000000000008E-2</v>
          </cell>
          <cell r="U390">
            <v>0</v>
          </cell>
          <cell r="V390">
            <v>2.9319833333333332</v>
          </cell>
          <cell r="W390">
            <v>2.9319820404052734</v>
          </cell>
          <cell r="X390">
            <v>2.9319833333333332</v>
          </cell>
          <cell r="Y390">
            <v>0</v>
          </cell>
          <cell r="Z390">
            <v>0</v>
          </cell>
        </row>
        <row r="391">
          <cell r="E391" t="str">
            <v>82111-F2W23</v>
          </cell>
          <cell r="F391">
            <v>2690.8</v>
          </cell>
          <cell r="G391">
            <v>0</v>
          </cell>
          <cell r="H391">
            <v>0.17291833333333334</v>
          </cell>
          <cell r="I391">
            <v>0.11864666666666666</v>
          </cell>
          <cell r="J391">
            <v>0.12134666666666667</v>
          </cell>
          <cell r="K391">
            <v>0.45324000000000003</v>
          </cell>
          <cell r="L391">
            <v>1.4942033333333333</v>
          </cell>
          <cell r="M391">
            <v>6.2560000000000004E-2</v>
          </cell>
          <cell r="N391">
            <v>0.15563333333333332</v>
          </cell>
          <cell r="O391">
            <v>0.13904333333333332</v>
          </cell>
          <cell r="P391">
            <v>4.9633333333333335E-2</v>
          </cell>
          <cell r="Q391">
            <v>0.41291166666666668</v>
          </cell>
          <cell r="R391">
            <v>2.3543133333333337</v>
          </cell>
          <cell r="S391">
            <v>4.2110000000000002E-2</v>
          </cell>
          <cell r="T391">
            <v>4.2001666666666673E-2</v>
          </cell>
          <cell r="U391">
            <v>0</v>
          </cell>
          <cell r="V391">
            <v>2.8513366666666671</v>
          </cell>
          <cell r="W391">
            <v>2.8513355255126953</v>
          </cell>
          <cell r="X391">
            <v>2.8513366666666671</v>
          </cell>
          <cell r="Y391">
            <v>0</v>
          </cell>
          <cell r="Z391">
            <v>0</v>
          </cell>
        </row>
        <row r="392">
          <cell r="E392" t="str">
            <v>82111-F2W34</v>
          </cell>
          <cell r="F392">
            <v>2524.6999999999998</v>
          </cell>
          <cell r="G392">
            <v>0</v>
          </cell>
          <cell r="H392">
            <v>0.14206666666666665</v>
          </cell>
          <cell r="I392">
            <v>9.6131666666666671E-2</v>
          </cell>
          <cell r="J392">
            <v>8.584E-2</v>
          </cell>
          <cell r="K392">
            <v>0.41341666666666665</v>
          </cell>
          <cell r="L392">
            <v>1.3258249999999998</v>
          </cell>
          <cell r="M392">
            <v>6.2011666666666666E-2</v>
          </cell>
          <cell r="N392">
            <v>0.14793833333333334</v>
          </cell>
          <cell r="O392">
            <v>0.11601499999999999</v>
          </cell>
          <cell r="P392">
            <v>4.6066666666666665E-2</v>
          </cell>
          <cell r="Q392">
            <v>0.32403833333333332</v>
          </cell>
          <cell r="R392">
            <v>2.1112733333333331</v>
          </cell>
          <cell r="S392">
            <v>4.2110000000000002E-2</v>
          </cell>
          <cell r="T392">
            <v>4.2001666666666673E-2</v>
          </cell>
          <cell r="U392">
            <v>0</v>
          </cell>
          <cell r="V392">
            <v>2.5194233333333331</v>
          </cell>
          <cell r="W392">
            <v>2.5194225311279297</v>
          </cell>
          <cell r="X392">
            <v>2.5194233333333331</v>
          </cell>
          <cell r="Y392">
            <v>0</v>
          </cell>
          <cell r="Z392">
            <v>0</v>
          </cell>
        </row>
        <row r="393">
          <cell r="E393" t="str">
            <v>82111-F2W42</v>
          </cell>
          <cell r="F393">
            <v>3017.1</v>
          </cell>
          <cell r="G393">
            <v>0</v>
          </cell>
          <cell r="H393">
            <v>0.18214499999999997</v>
          </cell>
          <cell r="I393">
            <v>0.11257166666666667</v>
          </cell>
          <cell r="J393">
            <v>0.14884833333333333</v>
          </cell>
          <cell r="K393">
            <v>0.49765500000000001</v>
          </cell>
          <cell r="L393">
            <v>1.4414333333333333</v>
          </cell>
          <cell r="M393">
            <v>6.3570000000000002E-2</v>
          </cell>
          <cell r="N393">
            <v>0.16638</v>
          </cell>
          <cell r="O393">
            <v>0.13751833333333333</v>
          </cell>
          <cell r="P393">
            <v>7.4708333333333335E-2</v>
          </cell>
          <cell r="Q393">
            <v>0.44356499999999999</v>
          </cell>
          <cell r="R393">
            <v>2.381265</v>
          </cell>
          <cell r="S393">
            <v>5.6204999999999998E-2</v>
          </cell>
          <cell r="T393">
            <v>4.6706666666666674E-2</v>
          </cell>
          <cell r="U393">
            <v>0</v>
          </cell>
          <cell r="V393">
            <v>2.9277416666666665</v>
          </cell>
          <cell r="W393">
            <v>2.9277400970458984</v>
          </cell>
          <cell r="X393">
            <v>2.9277416666666665</v>
          </cell>
          <cell r="Y393">
            <v>0</v>
          </cell>
          <cell r="Z393">
            <v>0</v>
          </cell>
        </row>
        <row r="394">
          <cell r="E394" t="str">
            <v>82111-F2W63</v>
          </cell>
          <cell r="F394">
            <v>2640.9</v>
          </cell>
          <cell r="G394">
            <v>0</v>
          </cell>
          <cell r="H394">
            <v>0.16247166666666668</v>
          </cell>
          <cell r="I394">
            <v>0.11314500000000001</v>
          </cell>
          <cell r="J394">
            <v>0.10481166666666668</v>
          </cell>
          <cell r="K394">
            <v>0.43894333333333335</v>
          </cell>
          <cell r="L394">
            <v>1.4365316666666668</v>
          </cell>
          <cell r="M394">
            <v>6.2526666666666661E-2</v>
          </cell>
          <cell r="N394">
            <v>0.15758999999999998</v>
          </cell>
          <cell r="O394">
            <v>0.12671166666666667</v>
          </cell>
          <cell r="P394">
            <v>4.8031666666666667E-2</v>
          </cell>
          <cell r="Q394">
            <v>0.38042833333333337</v>
          </cell>
          <cell r="R394">
            <v>2.2703350000000002</v>
          </cell>
          <cell r="S394">
            <v>4.2110000000000002E-2</v>
          </cell>
          <cell r="T394">
            <v>4.2001666666666673E-2</v>
          </cell>
          <cell r="U394">
            <v>0</v>
          </cell>
          <cell r="V394">
            <v>2.7348750000000006</v>
          </cell>
          <cell r="W394">
            <v>2.7348747253417969</v>
          </cell>
          <cell r="X394">
            <v>2.7348750000000006</v>
          </cell>
          <cell r="Y394">
            <v>0</v>
          </cell>
          <cell r="Z394">
            <v>0</v>
          </cell>
        </row>
        <row r="395">
          <cell r="E395" t="str">
            <v>82111-F2W83</v>
          </cell>
          <cell r="F395">
            <v>2610.5</v>
          </cell>
          <cell r="G395">
            <v>0</v>
          </cell>
          <cell r="H395">
            <v>0.15407833333333334</v>
          </cell>
          <cell r="I395">
            <v>0.100235</v>
          </cell>
          <cell r="J395">
            <v>9.8549999999999999E-2</v>
          </cell>
          <cell r="K395">
            <v>0.43239499999999997</v>
          </cell>
          <cell r="L395">
            <v>1.3825666666666665</v>
          </cell>
          <cell r="M395">
            <v>6.2286666666666671E-2</v>
          </cell>
          <cell r="N395">
            <v>0.15528500000000001</v>
          </cell>
          <cell r="O395">
            <v>0.12784999999999999</v>
          </cell>
          <cell r="P395">
            <v>4.7251666666666671E-2</v>
          </cell>
          <cell r="Q395">
            <v>0.35286333333333331</v>
          </cell>
          <cell r="R395">
            <v>2.2076349999999998</v>
          </cell>
          <cell r="S395">
            <v>4.2110000000000002E-2</v>
          </cell>
          <cell r="T395">
            <v>4.2001666666666673E-2</v>
          </cell>
          <cell r="U395">
            <v>0</v>
          </cell>
          <cell r="V395">
            <v>2.6446100000000001</v>
          </cell>
          <cell r="W395">
            <v>2.6446094512939453</v>
          </cell>
          <cell r="X395">
            <v>2.6446100000000001</v>
          </cell>
          <cell r="Y395">
            <v>0</v>
          </cell>
          <cell r="Z395">
            <v>0</v>
          </cell>
        </row>
        <row r="396">
          <cell r="E396" t="str">
            <v>82111-F2W92</v>
          </cell>
          <cell r="F396">
            <v>2985</v>
          </cell>
          <cell r="G396">
            <v>0</v>
          </cell>
          <cell r="H396">
            <v>0.17335500000000001</v>
          </cell>
          <cell r="I396">
            <v>0.10707</v>
          </cell>
          <cell r="J396">
            <v>0.12706999999999999</v>
          </cell>
          <cell r="K396">
            <v>0.47545833333333332</v>
          </cell>
          <cell r="L396">
            <v>1.4181083333333333</v>
          </cell>
          <cell r="M396">
            <v>6.3716666666666671E-2</v>
          </cell>
          <cell r="N396">
            <v>0.16377499999999998</v>
          </cell>
          <cell r="O396">
            <v>0.13201000000000002</v>
          </cell>
          <cell r="P396">
            <v>7.4116666666666664E-2</v>
          </cell>
          <cell r="Q396">
            <v>0.40749500000000005</v>
          </cell>
          <cell r="R396">
            <v>2.3271850000000001</v>
          </cell>
          <cell r="S396">
            <v>5.6204999999999998E-2</v>
          </cell>
          <cell r="T396">
            <v>4.6706666666666674E-2</v>
          </cell>
          <cell r="U396">
            <v>0</v>
          </cell>
          <cell r="V396">
            <v>2.8375916666666665</v>
          </cell>
          <cell r="W396">
            <v>2.8375911712646484</v>
          </cell>
          <cell r="X396">
            <v>2.8375916666666665</v>
          </cell>
          <cell r="Y396">
            <v>0</v>
          </cell>
          <cell r="Z396">
            <v>0</v>
          </cell>
        </row>
        <row r="397">
          <cell r="E397" t="str">
            <v>82111-F2X02</v>
          </cell>
          <cell r="F397">
            <v>3071</v>
          </cell>
          <cell r="G397">
            <v>0</v>
          </cell>
          <cell r="H397">
            <v>0.20576166666666668</v>
          </cell>
          <cell r="I397">
            <v>0.26917000000000002</v>
          </cell>
          <cell r="J397">
            <v>0.17809166666666665</v>
          </cell>
          <cell r="K397">
            <v>0.53025333333333335</v>
          </cell>
          <cell r="L397">
            <v>1.55602</v>
          </cell>
          <cell r="M397">
            <v>6.8475000000000008E-2</v>
          </cell>
          <cell r="N397">
            <v>0.16580833333333331</v>
          </cell>
          <cell r="O397">
            <v>0.13976666666666665</v>
          </cell>
          <cell r="P397">
            <v>6.7246666666666663E-2</v>
          </cell>
          <cell r="Q397">
            <v>0.65302333333333329</v>
          </cell>
          <cell r="R397">
            <v>2.5275699999999994</v>
          </cell>
          <cell r="S397">
            <v>4.2181666666666666E-2</v>
          </cell>
          <cell r="T397">
            <v>3.7756666666666668E-2</v>
          </cell>
          <cell r="U397">
            <v>0</v>
          </cell>
          <cell r="V397">
            <v>3.2605316666666657</v>
          </cell>
          <cell r="W397">
            <v>3.2605304718017578</v>
          </cell>
          <cell r="X397">
            <v>3.2605316666666657</v>
          </cell>
          <cell r="Y397">
            <v>0</v>
          </cell>
          <cell r="Z397">
            <v>0</v>
          </cell>
        </row>
        <row r="398">
          <cell r="E398" t="str">
            <v>82111-FEQ60</v>
          </cell>
          <cell r="F398">
            <v>2948.2</v>
          </cell>
          <cell r="G398">
            <v>0</v>
          </cell>
          <cell r="H398">
            <v>0.16600666666666666</v>
          </cell>
          <cell r="I398">
            <v>0.10296666666666666</v>
          </cell>
          <cell r="J398">
            <v>0.12604166666666666</v>
          </cell>
          <cell r="K398">
            <v>0.46204666666666666</v>
          </cell>
          <cell r="L398">
            <v>1.4231149999999999</v>
          </cell>
          <cell r="M398">
            <v>6.3856666666666659E-2</v>
          </cell>
          <cell r="N398">
            <v>0.16166333333333333</v>
          </cell>
          <cell r="O398">
            <v>0.13036666666666666</v>
          </cell>
          <cell r="P398">
            <v>6.1281666666666665E-2</v>
          </cell>
          <cell r="Q398">
            <v>0.39501500000000001</v>
          </cell>
          <cell r="R398">
            <v>2.30233</v>
          </cell>
          <cell r="S398">
            <v>5.6204999999999998E-2</v>
          </cell>
          <cell r="T398">
            <v>4.6706666666666674E-2</v>
          </cell>
          <cell r="U398">
            <v>0</v>
          </cell>
          <cell r="V398">
            <v>2.8002566666666664</v>
          </cell>
          <cell r="W398">
            <v>2.8002548217773438</v>
          </cell>
          <cell r="X398">
            <v>2.8002566666666664</v>
          </cell>
          <cell r="Y398">
            <v>0</v>
          </cell>
          <cell r="Z398">
            <v>0</v>
          </cell>
        </row>
        <row r="399">
          <cell r="E399" t="str">
            <v>82111-FET00</v>
          </cell>
          <cell r="F399">
            <v>3250.2</v>
          </cell>
          <cell r="G399">
            <v>0</v>
          </cell>
          <cell r="H399">
            <v>0.23249166666666668</v>
          </cell>
          <cell r="I399">
            <v>0.30477166666666666</v>
          </cell>
          <cell r="J399">
            <v>0.20387666666666665</v>
          </cell>
          <cell r="K399">
            <v>0.5787916666666667</v>
          </cell>
          <cell r="L399">
            <v>1.7131833333333333</v>
          </cell>
          <cell r="M399">
            <v>6.9225000000000009E-2</v>
          </cell>
          <cell r="N399">
            <v>0.17521166666666668</v>
          </cell>
          <cell r="O399">
            <v>0.14879166666666668</v>
          </cell>
          <cell r="P399">
            <v>5.5844999999999999E-2</v>
          </cell>
          <cell r="Q399">
            <v>0.74113999999999991</v>
          </cell>
          <cell r="R399">
            <v>2.7410483333333335</v>
          </cell>
          <cell r="S399">
            <v>3.0318333333333336E-2</v>
          </cell>
          <cell r="T399">
            <v>3.7756666666666668E-2</v>
          </cell>
          <cell r="U399">
            <v>0</v>
          </cell>
          <cell r="V399">
            <v>3.5502633333333331</v>
          </cell>
          <cell r="W399">
            <v>3.550262451171875</v>
          </cell>
          <cell r="X399">
            <v>3.5502633333333331</v>
          </cell>
          <cell r="Y399">
            <v>0</v>
          </cell>
          <cell r="Z399">
            <v>0</v>
          </cell>
        </row>
        <row r="400">
          <cell r="E400" t="str">
            <v>82111-FET10</v>
          </cell>
          <cell r="F400">
            <v>3156.7</v>
          </cell>
          <cell r="G400">
            <v>0</v>
          </cell>
          <cell r="H400">
            <v>0.21799166666666667</v>
          </cell>
          <cell r="I400">
            <v>0.27653499999999998</v>
          </cell>
          <cell r="J400">
            <v>0.19734333333333334</v>
          </cell>
          <cell r="K400">
            <v>0.56864999999999999</v>
          </cell>
          <cell r="L400">
            <v>1.5773866666666665</v>
          </cell>
          <cell r="M400">
            <v>6.8699999999999997E-2</v>
          </cell>
          <cell r="N400">
            <v>0.16978499999999999</v>
          </cell>
          <cell r="O400">
            <v>0.14546000000000001</v>
          </cell>
          <cell r="P400">
            <v>6.7964999999999998E-2</v>
          </cell>
          <cell r="Q400">
            <v>0.69186999999999999</v>
          </cell>
          <cell r="R400">
            <v>2.5979466666666666</v>
          </cell>
          <cell r="S400">
            <v>3.0318333333333336E-2</v>
          </cell>
          <cell r="T400">
            <v>3.7756666666666668E-2</v>
          </cell>
          <cell r="U400">
            <v>0</v>
          </cell>
          <cell r="V400">
            <v>3.3578916666666667</v>
          </cell>
          <cell r="W400">
            <v>3.3578910827636719</v>
          </cell>
          <cell r="X400">
            <v>3.3578916666666667</v>
          </cell>
          <cell r="Y400">
            <v>0</v>
          </cell>
          <cell r="Z400">
            <v>0</v>
          </cell>
        </row>
        <row r="401">
          <cell r="E401" t="str">
            <v>82111-FET20</v>
          </cell>
          <cell r="F401">
            <v>2960.3</v>
          </cell>
          <cell r="G401">
            <v>0</v>
          </cell>
          <cell r="H401">
            <v>0.17456333333333335</v>
          </cell>
          <cell r="I401">
            <v>0.12514833333333333</v>
          </cell>
          <cell r="J401">
            <v>0.14689666666666668</v>
          </cell>
          <cell r="K401">
            <v>0.47856666666666664</v>
          </cell>
          <cell r="L401">
            <v>1.4099250000000001</v>
          </cell>
          <cell r="M401">
            <v>6.3626666666666665E-2</v>
          </cell>
          <cell r="N401">
            <v>0.16391166666666665</v>
          </cell>
          <cell r="O401">
            <v>0.13181333333333334</v>
          </cell>
          <cell r="P401">
            <v>4.8176666666666666E-2</v>
          </cell>
          <cell r="Q401">
            <v>0.44660833333333338</v>
          </cell>
          <cell r="R401">
            <v>2.2960199999999995</v>
          </cell>
          <cell r="S401">
            <v>4.4159999999999998E-2</v>
          </cell>
          <cell r="T401">
            <v>4.6706666666666674E-2</v>
          </cell>
          <cell r="U401">
            <v>0</v>
          </cell>
          <cell r="V401">
            <v>2.8334949999999997</v>
          </cell>
          <cell r="W401">
            <v>2.8334941864013672</v>
          </cell>
          <cell r="X401">
            <v>2.8334949999999997</v>
          </cell>
          <cell r="Y401">
            <v>0</v>
          </cell>
          <cell r="Z401">
            <v>0</v>
          </cell>
        </row>
        <row r="402">
          <cell r="E402" t="str">
            <v>82111-FET30</v>
          </cell>
          <cell r="F402">
            <v>2931.6</v>
          </cell>
          <cell r="G402">
            <v>0</v>
          </cell>
          <cell r="H402">
            <v>0.16796</v>
          </cell>
          <cell r="I402">
            <v>0.121045</v>
          </cell>
          <cell r="J402">
            <v>0.14586833333333335</v>
          </cell>
          <cell r="K402">
            <v>0.46694333333333332</v>
          </cell>
          <cell r="L402">
            <v>1.415205</v>
          </cell>
          <cell r="M402">
            <v>6.3771666666666657E-2</v>
          </cell>
          <cell r="N402">
            <v>0.16188166666666665</v>
          </cell>
          <cell r="O402">
            <v>0.13017333333333334</v>
          </cell>
          <cell r="P402">
            <v>4.8798333333333339E-2</v>
          </cell>
          <cell r="Q402">
            <v>0.43487333333333333</v>
          </cell>
          <cell r="R402">
            <v>2.2867733333333335</v>
          </cell>
          <cell r="S402">
            <v>4.4159999999999998E-2</v>
          </cell>
          <cell r="T402">
            <v>4.6706666666666674E-2</v>
          </cell>
          <cell r="U402">
            <v>0</v>
          </cell>
          <cell r="V402">
            <v>2.8125133333333339</v>
          </cell>
          <cell r="W402">
            <v>2.8125114440917969</v>
          </cell>
          <cell r="X402">
            <v>2.8125133333333339</v>
          </cell>
          <cell r="Y402">
            <v>0</v>
          </cell>
          <cell r="Z402">
            <v>0</v>
          </cell>
        </row>
        <row r="403">
          <cell r="E403" t="str">
            <v>82111-FET40</v>
          </cell>
          <cell r="F403">
            <v>2946.5</v>
          </cell>
          <cell r="G403">
            <v>0</v>
          </cell>
          <cell r="H403">
            <v>0.16729833333333335</v>
          </cell>
          <cell r="I403">
            <v>0.11418833333333334</v>
          </cell>
          <cell r="J403">
            <v>0.13808666666666666</v>
          </cell>
          <cell r="K403">
            <v>0.47081999999999996</v>
          </cell>
          <cell r="L403">
            <v>1.4154616666666666</v>
          </cell>
          <cell r="M403">
            <v>6.3856666666666659E-2</v>
          </cell>
          <cell r="N403">
            <v>0.16274</v>
          </cell>
          <cell r="O403">
            <v>0.13050166666666665</v>
          </cell>
          <cell r="P403">
            <v>4.910833333333333E-2</v>
          </cell>
          <cell r="Q403">
            <v>0.41957333333333335</v>
          </cell>
          <cell r="R403">
            <v>2.292488333333333</v>
          </cell>
          <cell r="S403">
            <v>4.4159999999999998E-2</v>
          </cell>
          <cell r="T403">
            <v>4.6706666666666674E-2</v>
          </cell>
          <cell r="U403">
            <v>0</v>
          </cell>
          <cell r="V403">
            <v>2.802928333333333</v>
          </cell>
          <cell r="W403">
            <v>2.8029270172119141</v>
          </cell>
          <cell r="X403">
            <v>2.802928333333333</v>
          </cell>
          <cell r="Y403">
            <v>0</v>
          </cell>
          <cell r="Z403">
            <v>0</v>
          </cell>
        </row>
        <row r="404">
          <cell r="E404" t="str">
            <v>82111-KC021</v>
          </cell>
          <cell r="F404">
            <v>3281.8</v>
          </cell>
          <cell r="G404">
            <v>0</v>
          </cell>
          <cell r="H404">
            <v>0.23453166666666667</v>
          </cell>
          <cell r="I404">
            <v>0.30104833333333331</v>
          </cell>
          <cell r="J404">
            <v>0.19041499999999997</v>
          </cell>
          <cell r="K404">
            <v>0.59223500000000007</v>
          </cell>
          <cell r="L404">
            <v>1.7079466666666667</v>
          </cell>
          <cell r="M404">
            <v>6.9269999999999998E-2</v>
          </cell>
          <cell r="N404">
            <v>0.17382833333333333</v>
          </cell>
          <cell r="O404">
            <v>0.14848833333333333</v>
          </cell>
          <cell r="P404">
            <v>7.4745000000000006E-2</v>
          </cell>
          <cell r="Q404">
            <v>0.72599499999999995</v>
          </cell>
          <cell r="R404">
            <v>2.7665133333333336</v>
          </cell>
          <cell r="S404">
            <v>4.2181666666666666E-2</v>
          </cell>
          <cell r="T404">
            <v>3.7756666666666668E-2</v>
          </cell>
          <cell r="U404">
            <v>0</v>
          </cell>
          <cell r="V404">
            <v>3.5724466666666665</v>
          </cell>
          <cell r="W404">
            <v>3.5724449157714844</v>
          </cell>
          <cell r="X404">
            <v>3.5724466666666665</v>
          </cell>
          <cell r="Y404">
            <v>0</v>
          </cell>
          <cell r="Z404">
            <v>0</v>
          </cell>
        </row>
        <row r="405">
          <cell r="E405" t="str">
            <v>82115-F2390</v>
          </cell>
          <cell r="F405">
            <v>3021.6</v>
          </cell>
          <cell r="G405">
            <v>0</v>
          </cell>
          <cell r="H405">
            <v>0.18958666666666665</v>
          </cell>
          <cell r="I405">
            <v>0.14352333333333334</v>
          </cell>
          <cell r="J405">
            <v>0.15229666666666666</v>
          </cell>
          <cell r="K405">
            <v>0.51680499999999996</v>
          </cell>
          <cell r="L405">
            <v>1.5198849999999999</v>
          </cell>
          <cell r="M405">
            <v>6.3924999999999996E-2</v>
          </cell>
          <cell r="N405">
            <v>0.17076166666666664</v>
          </cell>
          <cell r="O405">
            <v>0.14294999999999999</v>
          </cell>
          <cell r="P405">
            <v>6.4155000000000004E-2</v>
          </cell>
          <cell r="Q405">
            <v>0.48540666666666665</v>
          </cell>
          <cell r="R405">
            <v>2.4784816666666662</v>
          </cell>
          <cell r="S405">
            <v>3.2693333333333338E-2</v>
          </cell>
          <cell r="T405">
            <v>4.6706666666666674E-2</v>
          </cell>
          <cell r="U405">
            <v>0</v>
          </cell>
          <cell r="V405">
            <v>3.0432883333333329</v>
          </cell>
          <cell r="W405">
            <v>3.0432872772216797</v>
          </cell>
          <cell r="X405">
            <v>3.0432883333333329</v>
          </cell>
          <cell r="Y405">
            <v>0</v>
          </cell>
          <cell r="Z405">
            <v>0</v>
          </cell>
        </row>
        <row r="406">
          <cell r="E406" t="str">
            <v>82115-F2Y40</v>
          </cell>
          <cell r="F406">
            <v>2709.3</v>
          </cell>
          <cell r="G406">
            <v>0</v>
          </cell>
          <cell r="H406">
            <v>0.17371666666666666</v>
          </cell>
          <cell r="I406">
            <v>0.11864666666666666</v>
          </cell>
          <cell r="J406">
            <v>0.12127166666666667</v>
          </cell>
          <cell r="K406">
            <v>0.46834166666666666</v>
          </cell>
          <cell r="L406">
            <v>1.4698466666666665</v>
          </cell>
          <cell r="M406">
            <v>6.2545000000000003E-2</v>
          </cell>
          <cell r="N406">
            <v>0.15610666666666667</v>
          </cell>
          <cell r="O406">
            <v>0.13890666666666668</v>
          </cell>
          <cell r="P406">
            <v>4.9541666666666671E-2</v>
          </cell>
          <cell r="Q406">
            <v>0.41363499999999997</v>
          </cell>
          <cell r="R406">
            <v>2.3452883333333334</v>
          </cell>
          <cell r="S406">
            <v>5.3340000000000005E-2</v>
          </cell>
          <cell r="T406">
            <v>4.2001666666666673E-2</v>
          </cell>
          <cell r="U406">
            <v>0</v>
          </cell>
          <cell r="V406">
            <v>2.8542650000000003</v>
          </cell>
          <cell r="W406">
            <v>2.8542633056640625</v>
          </cell>
          <cell r="X406">
            <v>2.8542650000000003</v>
          </cell>
          <cell r="Y406">
            <v>0</v>
          </cell>
          <cell r="Z406">
            <v>0</v>
          </cell>
        </row>
        <row r="407">
          <cell r="E407" t="str">
            <v>82116-0ZW70</v>
          </cell>
          <cell r="F407">
            <v>3252.2</v>
          </cell>
          <cell r="G407">
            <v>0</v>
          </cell>
          <cell r="H407">
            <v>0.23195166666666667</v>
          </cell>
          <cell r="I407">
            <v>0.30477166666666666</v>
          </cell>
          <cell r="J407">
            <v>0.20379833333333333</v>
          </cell>
          <cell r="K407">
            <v>0.59114499999999992</v>
          </cell>
          <cell r="L407">
            <v>1.6827083333333335</v>
          </cell>
          <cell r="M407">
            <v>6.9190000000000002E-2</v>
          </cell>
          <cell r="N407">
            <v>0.17460166666666668</v>
          </cell>
          <cell r="O407">
            <v>0.14836666666666665</v>
          </cell>
          <cell r="P407">
            <v>6.9808333333333333E-2</v>
          </cell>
          <cell r="Q407">
            <v>0.74052166666666663</v>
          </cell>
          <cell r="R407">
            <v>2.7358199999999999</v>
          </cell>
          <cell r="S407">
            <v>3.0318333333333336E-2</v>
          </cell>
          <cell r="T407">
            <v>3.7756666666666668E-2</v>
          </cell>
          <cell r="U407">
            <v>0</v>
          </cell>
          <cell r="V407">
            <v>3.5444166666666663</v>
          </cell>
          <cell r="W407">
            <v>3.5444164276123047</v>
          </cell>
          <cell r="X407">
            <v>3.5444166666666663</v>
          </cell>
          <cell r="Y407">
            <v>0</v>
          </cell>
          <cell r="Z407">
            <v>0</v>
          </cell>
        </row>
        <row r="408">
          <cell r="E408" t="str">
            <v>82116-0ZW80</v>
          </cell>
          <cell r="F408">
            <v>2676.8</v>
          </cell>
          <cell r="G408">
            <v>0</v>
          </cell>
          <cell r="H408">
            <v>0.17291500000000001</v>
          </cell>
          <cell r="I408">
            <v>0.12973166666666666</v>
          </cell>
          <cell r="J408">
            <v>0.130715</v>
          </cell>
          <cell r="K408">
            <v>0.45926333333333336</v>
          </cell>
          <cell r="L408">
            <v>1.4863516666666667</v>
          </cell>
          <cell r="M408">
            <v>6.2560000000000004E-2</v>
          </cell>
          <cell r="N408">
            <v>0.15563333333333332</v>
          </cell>
          <cell r="O408">
            <v>0.13904333333333332</v>
          </cell>
          <cell r="P408">
            <v>4.9633333333333335E-2</v>
          </cell>
          <cell r="Q408">
            <v>0.43336166666666665</v>
          </cell>
          <cell r="R408">
            <v>2.3524850000000002</v>
          </cell>
          <cell r="S408">
            <v>3.0201666666666668E-2</v>
          </cell>
          <cell r="T408">
            <v>4.2001666666666673E-2</v>
          </cell>
          <cell r="U408">
            <v>0</v>
          </cell>
          <cell r="V408">
            <v>2.8580500000000004</v>
          </cell>
          <cell r="W408">
            <v>2.8580493927001953</v>
          </cell>
          <cell r="X408">
            <v>2.8580500000000004</v>
          </cell>
          <cell r="Y408">
            <v>0</v>
          </cell>
          <cell r="Z408">
            <v>0</v>
          </cell>
        </row>
        <row r="409">
          <cell r="E409" t="str">
            <v>82116-0ZW90</v>
          </cell>
          <cell r="F409">
            <v>2560.5</v>
          </cell>
          <cell r="G409">
            <v>0</v>
          </cell>
          <cell r="H409">
            <v>0.14675333333333332</v>
          </cell>
          <cell r="I409">
            <v>0.10721666666666667</v>
          </cell>
          <cell r="J409">
            <v>0.10555166666666667</v>
          </cell>
          <cell r="K409">
            <v>0.42500666666666664</v>
          </cell>
          <cell r="L409">
            <v>1.3815416666666667</v>
          </cell>
          <cell r="M409">
            <v>6.2431666666666663E-2</v>
          </cell>
          <cell r="N409">
            <v>0.15317500000000001</v>
          </cell>
          <cell r="O409">
            <v>0.12621000000000002</v>
          </cell>
          <cell r="P409">
            <v>4.787333333333333E-2</v>
          </cell>
          <cell r="Q409">
            <v>0.35952166666666663</v>
          </cell>
          <cell r="R409">
            <v>2.1962383333333331</v>
          </cell>
          <cell r="S409">
            <v>3.0201666666666668E-2</v>
          </cell>
          <cell r="T409">
            <v>4.2001666666666673E-2</v>
          </cell>
          <cell r="U409">
            <v>0</v>
          </cell>
          <cell r="V409">
            <v>2.6279633333333332</v>
          </cell>
          <cell r="W409">
            <v>2.6279621124267578</v>
          </cell>
          <cell r="X409">
            <v>2.6279633333333332</v>
          </cell>
          <cell r="Y409">
            <v>0</v>
          </cell>
          <cell r="Z409">
            <v>0</v>
          </cell>
        </row>
        <row r="410">
          <cell r="E410" t="str">
            <v>82116-0ZX70</v>
          </cell>
          <cell r="F410">
            <v>3006.2</v>
          </cell>
          <cell r="G410">
            <v>0</v>
          </cell>
          <cell r="H410">
            <v>0.18214</v>
          </cell>
          <cell r="I410">
            <v>0.12379333333333334</v>
          </cell>
          <cell r="J410">
            <v>0.16223166666666666</v>
          </cell>
          <cell r="K410">
            <v>0.50367833333333334</v>
          </cell>
          <cell r="L410">
            <v>1.4301233333333334</v>
          </cell>
          <cell r="M410">
            <v>6.3570000000000002E-2</v>
          </cell>
          <cell r="N410">
            <v>0.16638</v>
          </cell>
          <cell r="O410">
            <v>0.13751833333333333</v>
          </cell>
          <cell r="P410">
            <v>6.2534999999999993E-2</v>
          </cell>
          <cell r="Q410">
            <v>0.468165</v>
          </cell>
          <cell r="R410">
            <v>2.3638050000000002</v>
          </cell>
          <cell r="S410">
            <v>3.2693333333333338E-2</v>
          </cell>
          <cell r="T410">
            <v>4.6706666666666674E-2</v>
          </cell>
          <cell r="U410">
            <v>0</v>
          </cell>
          <cell r="V410">
            <v>2.9113700000000002</v>
          </cell>
          <cell r="W410">
            <v>2.9113693237304688</v>
          </cell>
          <cell r="X410">
            <v>2.9113700000000002</v>
          </cell>
          <cell r="Y410">
            <v>0</v>
          </cell>
          <cell r="Z410">
            <v>0</v>
          </cell>
        </row>
        <row r="411">
          <cell r="E411" t="str">
            <v>82116-0ZX80</v>
          </cell>
          <cell r="F411">
            <v>2626</v>
          </cell>
          <cell r="G411">
            <v>0</v>
          </cell>
          <cell r="H411">
            <v>0.16246833333333335</v>
          </cell>
          <cell r="I411">
            <v>0.12423000000000001</v>
          </cell>
          <cell r="J411">
            <v>0.11284166666666667</v>
          </cell>
          <cell r="K411">
            <v>0.44125333333333333</v>
          </cell>
          <cell r="L411">
            <v>1.4305866666666667</v>
          </cell>
          <cell r="M411">
            <v>6.2526666666666661E-2</v>
          </cell>
          <cell r="N411">
            <v>0.15758999999999998</v>
          </cell>
          <cell r="O411">
            <v>0.12671166666666667</v>
          </cell>
          <cell r="P411">
            <v>4.8031666666666667E-2</v>
          </cell>
          <cell r="Q411">
            <v>0.39954000000000006</v>
          </cell>
          <cell r="R411">
            <v>2.2666999999999997</v>
          </cell>
          <cell r="S411">
            <v>3.0201666666666668E-2</v>
          </cell>
          <cell r="T411">
            <v>4.2001666666666673E-2</v>
          </cell>
          <cell r="U411">
            <v>0</v>
          </cell>
          <cell r="V411">
            <v>2.7384433333333331</v>
          </cell>
          <cell r="W411">
            <v>2.7384414672851563</v>
          </cell>
          <cell r="X411">
            <v>2.7384433333333331</v>
          </cell>
          <cell r="Y411">
            <v>0</v>
          </cell>
          <cell r="Z411">
            <v>0</v>
          </cell>
        </row>
        <row r="412">
          <cell r="E412" t="str">
            <v>82116-0ZX90</v>
          </cell>
          <cell r="F412">
            <v>2596.4</v>
          </cell>
          <cell r="G412">
            <v>0</v>
          </cell>
          <cell r="H412">
            <v>0.15407500000000002</v>
          </cell>
          <cell r="I412">
            <v>0.11132</v>
          </cell>
          <cell r="J412">
            <v>0.10657999999999999</v>
          </cell>
          <cell r="K412">
            <v>0.4384183333333333</v>
          </cell>
          <cell r="L412">
            <v>1.3760533333333334</v>
          </cell>
          <cell r="M412">
            <v>6.2286666666666671E-2</v>
          </cell>
          <cell r="N412">
            <v>0.15528500000000001</v>
          </cell>
          <cell r="O412">
            <v>0.12784999999999999</v>
          </cell>
          <cell r="P412">
            <v>4.7251666666666671E-2</v>
          </cell>
          <cell r="Q412">
            <v>0.37197500000000006</v>
          </cell>
          <cell r="R412">
            <v>2.2071449999999997</v>
          </cell>
          <cell r="S412">
            <v>3.0201666666666668E-2</v>
          </cell>
          <cell r="T412">
            <v>4.2001666666666673E-2</v>
          </cell>
          <cell r="U412">
            <v>0</v>
          </cell>
          <cell r="V412">
            <v>2.651323333333333</v>
          </cell>
          <cell r="W412">
            <v>2.6513233184814453</v>
          </cell>
          <cell r="X412">
            <v>2.651323333333333</v>
          </cell>
          <cell r="Y412">
            <v>0</v>
          </cell>
          <cell r="Z412">
            <v>0</v>
          </cell>
        </row>
        <row r="413">
          <cell r="E413" t="str">
            <v>82116-0ZY00</v>
          </cell>
          <cell r="F413">
            <v>2983.2</v>
          </cell>
          <cell r="G413">
            <v>0</v>
          </cell>
          <cell r="H413">
            <v>0.17464666666666667</v>
          </cell>
          <cell r="I413">
            <v>0.11829166666666667</v>
          </cell>
          <cell r="J413">
            <v>0.13911499999999999</v>
          </cell>
          <cell r="K413">
            <v>0.48423166666666667</v>
          </cell>
          <cell r="L413">
            <v>1.410455</v>
          </cell>
          <cell r="M413">
            <v>6.3716666666666671E-2</v>
          </cell>
          <cell r="N413">
            <v>0.16485166666666667</v>
          </cell>
          <cell r="O413">
            <v>0.13214500000000001</v>
          </cell>
          <cell r="P413">
            <v>6.1943333333333336E-2</v>
          </cell>
          <cell r="Q413">
            <v>0.43205333333333334</v>
          </cell>
          <cell r="R413">
            <v>2.3173433333333331</v>
          </cell>
          <cell r="S413">
            <v>4.4159999999999998E-2</v>
          </cell>
          <cell r="T413">
            <v>4.6706666666666674E-2</v>
          </cell>
          <cell r="U413">
            <v>0</v>
          </cell>
          <cell r="V413">
            <v>2.8402633333333331</v>
          </cell>
          <cell r="W413">
            <v>2.8402614593505859</v>
          </cell>
          <cell r="X413">
            <v>2.8402633333333331</v>
          </cell>
          <cell r="Y413">
            <v>0</v>
          </cell>
          <cell r="Z413">
            <v>0</v>
          </cell>
        </row>
        <row r="414">
          <cell r="E414" t="str">
            <v>82116-0ZY10</v>
          </cell>
          <cell r="F414">
            <v>3069.6</v>
          </cell>
          <cell r="G414">
            <v>0</v>
          </cell>
          <cell r="H414">
            <v>0.20705999999999999</v>
          </cell>
          <cell r="I414">
            <v>0.28020833333333334</v>
          </cell>
          <cell r="J414">
            <v>0.17809166666666665</v>
          </cell>
          <cell r="K414">
            <v>0.53902666666666665</v>
          </cell>
          <cell r="L414">
            <v>1.5598850000000002</v>
          </cell>
          <cell r="M414">
            <v>6.8475000000000008E-2</v>
          </cell>
          <cell r="N414">
            <v>0.16688500000000001</v>
          </cell>
          <cell r="O414">
            <v>0.13990166666666667</v>
          </cell>
          <cell r="P414">
            <v>6.7246666666666663E-2</v>
          </cell>
          <cell r="Q414">
            <v>0.66535999999999995</v>
          </cell>
          <cell r="R414">
            <v>2.5414200000000005</v>
          </cell>
          <cell r="S414">
            <v>3.0318333333333336E-2</v>
          </cell>
          <cell r="T414">
            <v>3.7756666666666668E-2</v>
          </cell>
          <cell r="U414">
            <v>0</v>
          </cell>
          <cell r="V414">
            <v>3.2748550000000001</v>
          </cell>
          <cell r="W414">
            <v>3.2748546600341797</v>
          </cell>
          <cell r="X414">
            <v>3.2748550000000001</v>
          </cell>
          <cell r="Y414">
            <v>0</v>
          </cell>
          <cell r="Z414">
            <v>0</v>
          </cell>
        </row>
        <row r="415">
          <cell r="E415" t="str">
            <v>74750041</v>
          </cell>
          <cell r="F415">
            <v>10.199999999999999</v>
          </cell>
          <cell r="G415">
            <v>0</v>
          </cell>
          <cell r="H415">
            <v>8.3500000000000002E-4</v>
          </cell>
          <cell r="I415">
            <v>2.2983333333333335E-2</v>
          </cell>
          <cell r="J415">
            <v>0</v>
          </cell>
          <cell r="K415">
            <v>1.65E-3</v>
          </cell>
          <cell r="L415">
            <v>1.6411666666666668E-2</v>
          </cell>
          <cell r="M415">
            <v>0</v>
          </cell>
          <cell r="N415">
            <v>1.2674999999999999E-2</v>
          </cell>
          <cell r="O415">
            <v>3.4399999999999999E-3</v>
          </cell>
          <cell r="P415">
            <v>3.0583333333333335E-3</v>
          </cell>
          <cell r="Q415">
            <v>2.3818333333333334E-2</v>
          </cell>
          <cell r="R415">
            <v>3.7235000000000004E-2</v>
          </cell>
          <cell r="S415">
            <v>0</v>
          </cell>
          <cell r="T415">
            <v>0</v>
          </cell>
          <cell r="U415">
            <v>0</v>
          </cell>
          <cell r="V415">
            <v>6.1053333333333334E-2</v>
          </cell>
          <cell r="W415">
            <v>6.1053305864334106E-2</v>
          </cell>
          <cell r="X415">
            <v>6.1053333333333334E-2</v>
          </cell>
          <cell r="Y415">
            <v>0</v>
          </cell>
          <cell r="Z415">
            <v>0</v>
          </cell>
        </row>
        <row r="416">
          <cell r="E416" t="str">
            <v>74750042</v>
          </cell>
          <cell r="F416">
            <v>5.3</v>
          </cell>
          <cell r="G416">
            <v>0</v>
          </cell>
          <cell r="H416">
            <v>7.1000000000000002E-4</v>
          </cell>
          <cell r="I416">
            <v>2.2983333333333335E-2</v>
          </cell>
          <cell r="J416">
            <v>0</v>
          </cell>
          <cell r="K416">
            <v>1.65E-3</v>
          </cell>
          <cell r="L416">
            <v>1.6145E-2</v>
          </cell>
          <cell r="M416">
            <v>0</v>
          </cell>
          <cell r="N416">
            <v>1.2674999999999999E-2</v>
          </cell>
          <cell r="O416">
            <v>2.7433333333333333E-3</v>
          </cell>
          <cell r="P416">
            <v>2.6133333333333334E-3</v>
          </cell>
          <cell r="Q416">
            <v>2.3693333333333334E-2</v>
          </cell>
          <cell r="R416">
            <v>3.5826666666666666E-2</v>
          </cell>
          <cell r="S416">
            <v>0</v>
          </cell>
          <cell r="T416">
            <v>0</v>
          </cell>
          <cell r="U416">
            <v>0</v>
          </cell>
          <cell r="V416">
            <v>5.9520000000000003E-2</v>
          </cell>
          <cell r="W416">
            <v>5.9519976377487183E-2</v>
          </cell>
          <cell r="X416">
            <v>5.9520000000000003E-2</v>
          </cell>
          <cell r="Y416">
            <v>0</v>
          </cell>
          <cell r="Z416">
            <v>0</v>
          </cell>
        </row>
        <row r="417">
          <cell r="E417" t="str">
            <v>74750043</v>
          </cell>
          <cell r="F417">
            <v>9.5</v>
          </cell>
          <cell r="G417">
            <v>0</v>
          </cell>
          <cell r="H417">
            <v>8.1833333333333335E-4</v>
          </cell>
          <cell r="I417">
            <v>2.2983333333333335E-2</v>
          </cell>
          <cell r="J417">
            <v>0</v>
          </cell>
          <cell r="K417">
            <v>1.65E-3</v>
          </cell>
          <cell r="L417">
            <v>1.6375000000000001E-2</v>
          </cell>
          <cell r="M417">
            <v>0</v>
          </cell>
          <cell r="N417">
            <v>1.2674999999999999E-2</v>
          </cell>
          <cell r="O417">
            <v>3.3416666666666668E-3</v>
          </cell>
          <cell r="P417">
            <v>3.0033333333333331E-3</v>
          </cell>
          <cell r="Q417">
            <v>2.3801666666666669E-2</v>
          </cell>
          <cell r="R417">
            <v>3.7044999999999995E-2</v>
          </cell>
          <cell r="S417">
            <v>0</v>
          </cell>
          <cell r="T417">
            <v>0</v>
          </cell>
          <cell r="U417">
            <v>0</v>
          </cell>
          <cell r="V417">
            <v>6.084666666666666E-2</v>
          </cell>
          <cell r="W417">
            <v>6.0846656560897827E-2</v>
          </cell>
          <cell r="X417">
            <v>6.084666666666666E-2</v>
          </cell>
          <cell r="Y417">
            <v>0</v>
          </cell>
          <cell r="Z417">
            <v>0</v>
          </cell>
        </row>
        <row r="418">
          <cell r="E418" t="str">
            <v>JUNKAN FAMILY SEAL</v>
          </cell>
          <cell r="F418">
            <v>25.18</v>
          </cell>
          <cell r="G418">
            <v>0</v>
          </cell>
          <cell r="H418">
            <v>0.15</v>
          </cell>
          <cell r="I418">
            <v>0.436635</v>
          </cell>
          <cell r="J418">
            <v>0.12058999999999999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0.70722499999999999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0.70722499999999999</v>
          </cell>
          <cell r="W418">
            <v>0.70722484588623047</v>
          </cell>
          <cell r="X418">
            <v>0.70722499999999999</v>
          </cell>
          <cell r="Y418">
            <v>0</v>
          </cell>
          <cell r="Z418">
            <v>0</v>
          </cell>
        </row>
        <row r="419">
          <cell r="E419" t="str">
            <v>MK111-4DM70-1</v>
          </cell>
          <cell r="F419">
            <v>137.66000000000003</v>
          </cell>
          <cell r="G419">
            <v>0</v>
          </cell>
          <cell r="H419">
            <v>0.10645161290322581</v>
          </cell>
          <cell r="I419">
            <v>0.30984516129032258</v>
          </cell>
          <cell r="J419">
            <v>8.5587096774193558E-2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0.5018838709677419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0.5018838709677419</v>
          </cell>
          <cell r="W419">
            <v>0.50188350677490234</v>
          </cell>
          <cell r="X419">
            <v>0.5018838709677419</v>
          </cell>
          <cell r="Y419">
            <v>0</v>
          </cell>
          <cell r="Z419">
            <v>0</v>
          </cell>
        </row>
        <row r="420">
          <cell r="E420" t="str">
            <v>MK111-4DM70-2</v>
          </cell>
          <cell r="F420">
            <v>124.78999999999998</v>
          </cell>
          <cell r="G420">
            <v>0</v>
          </cell>
          <cell r="H420">
            <v>9.1935483870967755E-2</v>
          </cell>
          <cell r="I420">
            <v>0.26759354838709676</v>
          </cell>
          <cell r="J420">
            <v>7.3916129032258068E-2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0.43344516129032262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0.43344516129032262</v>
          </cell>
          <cell r="W420">
            <v>0.43344497680664063</v>
          </cell>
          <cell r="X420">
            <v>0.43344516129032262</v>
          </cell>
          <cell r="Y420">
            <v>0</v>
          </cell>
          <cell r="Z420">
            <v>0</v>
          </cell>
        </row>
        <row r="421">
          <cell r="E421" t="str">
            <v>MK111-4DQ10-1</v>
          </cell>
          <cell r="F421">
            <v>73.860000000000014</v>
          </cell>
          <cell r="G421">
            <v>0</v>
          </cell>
          <cell r="H421">
            <v>7.4999999999999997E-2</v>
          </cell>
          <cell r="I421">
            <v>0.21829999999999999</v>
          </cell>
          <cell r="J421">
            <v>6.0299999999999999E-2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0.35360000000000003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0.35360000000000003</v>
          </cell>
          <cell r="W421">
            <v>0.35359978675842285</v>
          </cell>
          <cell r="X421">
            <v>0.35360000000000003</v>
          </cell>
          <cell r="Y421">
            <v>0</v>
          </cell>
          <cell r="Z421">
            <v>0</v>
          </cell>
        </row>
        <row r="422">
          <cell r="E422" t="str">
            <v>MK111-4DQ10-2</v>
          </cell>
          <cell r="F422">
            <v>137.51000000000002</v>
          </cell>
          <cell r="G422">
            <v>0</v>
          </cell>
          <cell r="H422">
            <v>9.6774193548387094E-2</v>
          </cell>
          <cell r="I422">
            <v>0.28170000000000001</v>
          </cell>
          <cell r="J422">
            <v>7.7799999999999994E-2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0.45627419354838705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0.45627419354838705</v>
          </cell>
          <cell r="W422">
            <v>0.45627403259277344</v>
          </cell>
          <cell r="X422">
            <v>0.45627419354838705</v>
          </cell>
          <cell r="Y422">
            <v>0</v>
          </cell>
          <cell r="Z422">
            <v>0</v>
          </cell>
        </row>
        <row r="423">
          <cell r="E423" t="str">
            <v>SAN-2284-1</v>
          </cell>
          <cell r="F423">
            <v>74.760000000000005</v>
          </cell>
          <cell r="G423">
            <v>0</v>
          </cell>
          <cell r="H423">
            <v>1.9233333333333333E-3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1.9233333333333333E-3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1.9233333333333333E-3</v>
          </cell>
          <cell r="W423">
            <v>1.9233329221606255E-3</v>
          </cell>
          <cell r="X423">
            <v>1.9233333333333333E-3</v>
          </cell>
          <cell r="Y423">
            <v>0</v>
          </cell>
          <cell r="Z423">
            <v>0</v>
          </cell>
        </row>
        <row r="424">
          <cell r="E424" t="str">
            <v>SAN-6870-1</v>
          </cell>
          <cell r="F424">
            <v>74.760000000000005</v>
          </cell>
          <cell r="G424">
            <v>0</v>
          </cell>
          <cell r="H424">
            <v>1.9233333333333333E-3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1.9233333333333333E-3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1.9233333333333333E-3</v>
          </cell>
          <cell r="W424">
            <v>1.9233329221606255E-3</v>
          </cell>
          <cell r="X424">
            <v>1.9233333333333333E-3</v>
          </cell>
          <cell r="Y424">
            <v>0</v>
          </cell>
          <cell r="Z424">
            <v>0</v>
          </cell>
        </row>
        <row r="425">
          <cell r="E425" t="str">
            <v>BC115-0E470</v>
          </cell>
          <cell r="F425">
            <v>0</v>
          </cell>
          <cell r="G425">
            <v>59.1</v>
          </cell>
          <cell r="H425">
            <v>1.9233333333333333E-3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1.9233333333333333E-3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1.9233333333333333E-3</v>
          </cell>
          <cell r="W425">
            <v>1.9233329221606255E-3</v>
          </cell>
          <cell r="X425">
            <v>1.9233333333333333E-3</v>
          </cell>
          <cell r="Y425">
            <v>0</v>
          </cell>
          <cell r="Z425">
            <v>0</v>
          </cell>
        </row>
        <row r="426">
          <cell r="E426" t="str">
            <v>BC115-0E570</v>
          </cell>
          <cell r="F426">
            <v>0</v>
          </cell>
          <cell r="G426">
            <v>59.1</v>
          </cell>
          <cell r="H426">
            <v>1.9233333333333333E-3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1.9233333333333333E-3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1.9233333333333333E-3</v>
          </cell>
          <cell r="W426">
            <v>1.9233329221606255E-3</v>
          </cell>
          <cell r="X426">
            <v>1.9233333333333333E-3</v>
          </cell>
          <cell r="Y426">
            <v>0</v>
          </cell>
          <cell r="Z426">
            <v>0</v>
          </cell>
        </row>
        <row r="427">
          <cell r="E427" t="str">
            <v>BC115-0EG80</v>
          </cell>
          <cell r="F427">
            <v>0</v>
          </cell>
          <cell r="G427">
            <v>59.1</v>
          </cell>
          <cell r="H427">
            <v>1.9233333333333333E-3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1.9233333333333333E-3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1.9233333333333333E-3</v>
          </cell>
          <cell r="W427">
            <v>1.9233329221606255E-3</v>
          </cell>
          <cell r="X427">
            <v>1.9233333333333333E-3</v>
          </cell>
          <cell r="Y427">
            <v>0</v>
          </cell>
          <cell r="Z427">
            <v>0</v>
          </cell>
        </row>
        <row r="428">
          <cell r="E428" t="str">
            <v>82116-0E110</v>
          </cell>
          <cell r="F428">
            <v>3950.3</v>
          </cell>
          <cell r="G428">
            <v>447.49349999999998</v>
          </cell>
          <cell r="H428">
            <v>0.34187000000000001</v>
          </cell>
          <cell r="I428">
            <v>0.74360333333333328</v>
          </cell>
          <cell r="J428">
            <v>0.11215333333333333</v>
          </cell>
          <cell r="K428">
            <v>0.89566833333333329</v>
          </cell>
          <cell r="L428">
            <v>2.3010949999999997</v>
          </cell>
          <cell r="M428">
            <v>6.4841666666666659E-2</v>
          </cell>
          <cell r="N428">
            <v>0.25814666666666664</v>
          </cell>
          <cell r="O428">
            <v>0.23728000000000002</v>
          </cell>
          <cell r="P428">
            <v>9.869E-2</v>
          </cell>
          <cell r="Q428">
            <v>1.1976266666666666</v>
          </cell>
          <cell r="R428">
            <v>3.8557216666666667</v>
          </cell>
          <cell r="S428">
            <v>0</v>
          </cell>
          <cell r="T428">
            <v>2.924333333333333E-2</v>
          </cell>
          <cell r="U428">
            <v>0.21870500000000004</v>
          </cell>
          <cell r="V428">
            <v>5.3012966666666665</v>
          </cell>
          <cell r="W428">
            <v>5.3012962341308594</v>
          </cell>
          <cell r="X428">
            <v>5.3012966666666665</v>
          </cell>
          <cell r="Y428">
            <v>0</v>
          </cell>
          <cell r="Z428">
            <v>0</v>
          </cell>
        </row>
        <row r="429">
          <cell r="E429" t="str">
            <v>82115-0E221</v>
          </cell>
          <cell r="F429">
            <v>3694.3</v>
          </cell>
          <cell r="G429">
            <v>451.35980000000001</v>
          </cell>
          <cell r="H429">
            <v>0.27595500000000001</v>
          </cell>
          <cell r="I429">
            <v>0.39734833333333336</v>
          </cell>
          <cell r="J429">
            <v>5.0110000000000002E-2</v>
          </cell>
          <cell r="K429">
            <v>0.68808666666666674</v>
          </cell>
          <cell r="L429">
            <v>2.108085</v>
          </cell>
          <cell r="M429">
            <v>6.0311666666666666E-2</v>
          </cell>
          <cell r="N429">
            <v>0.23229</v>
          </cell>
          <cell r="O429">
            <v>0.22104666666666667</v>
          </cell>
          <cell r="P429">
            <v>9.6113333333333328E-2</v>
          </cell>
          <cell r="Q429">
            <v>0.72341333333333335</v>
          </cell>
          <cell r="R429">
            <v>3.4059333333333335</v>
          </cell>
          <cell r="S429">
            <v>0</v>
          </cell>
          <cell r="T429">
            <v>4.1333333333333333E-2</v>
          </cell>
          <cell r="U429">
            <v>0.21849500000000002</v>
          </cell>
          <cell r="V429">
            <v>4.3891749999999998</v>
          </cell>
          <cell r="W429">
            <v>4.3891716003417969</v>
          </cell>
          <cell r="X429">
            <v>4.3891749999999998</v>
          </cell>
          <cell r="Y429">
            <v>0</v>
          </cell>
          <cell r="Z429">
            <v>0</v>
          </cell>
        </row>
        <row r="430">
          <cell r="E430" t="str">
            <v>24012-9HS7D</v>
          </cell>
          <cell r="F430">
            <v>1491.6976000000002</v>
          </cell>
          <cell r="G430">
            <v>0</v>
          </cell>
          <cell r="H430">
            <v>0.11330833333333333</v>
          </cell>
          <cell r="I430">
            <v>0.24776999999999999</v>
          </cell>
          <cell r="J430">
            <v>0.12622166666666665</v>
          </cell>
          <cell r="K430">
            <v>0.40904333333333331</v>
          </cell>
          <cell r="L430">
            <v>0.76065499999999997</v>
          </cell>
          <cell r="M430">
            <v>2.3336666666666665E-2</v>
          </cell>
          <cell r="N430">
            <v>0.12191</v>
          </cell>
          <cell r="O430">
            <v>8.863E-2</v>
          </cell>
          <cell r="P430">
            <v>1.2666666666666666E-2</v>
          </cell>
          <cell r="Q430">
            <v>0.48729999999999996</v>
          </cell>
          <cell r="R430">
            <v>1.4162416666666664</v>
          </cell>
          <cell r="S430">
            <v>0</v>
          </cell>
          <cell r="T430">
            <v>0</v>
          </cell>
          <cell r="U430">
            <v>0</v>
          </cell>
          <cell r="V430">
            <v>1.9035416666666665</v>
          </cell>
          <cell r="W430">
            <v>1.9035415649414063</v>
          </cell>
          <cell r="X430">
            <v>1.9035416666666665</v>
          </cell>
          <cell r="Y430">
            <v>0</v>
          </cell>
          <cell r="Z430">
            <v>0</v>
          </cell>
        </row>
        <row r="431">
          <cell r="E431" t="str">
            <v>24012-9NG0E</v>
          </cell>
          <cell r="F431">
            <v>3952.8688000000002</v>
          </cell>
          <cell r="G431">
            <v>0</v>
          </cell>
          <cell r="H431">
            <v>0.22641833333333333</v>
          </cell>
          <cell r="I431">
            <v>0.78822500000000006</v>
          </cell>
          <cell r="J431">
            <v>0.36839499999999997</v>
          </cell>
          <cell r="K431">
            <v>0.91907166666666673</v>
          </cell>
          <cell r="L431">
            <v>1.4413100000000001</v>
          </cell>
          <cell r="M431">
            <v>2.9225000000000001E-2</v>
          </cell>
          <cell r="N431">
            <v>0.25176500000000002</v>
          </cell>
          <cell r="O431">
            <v>0.16900499999999999</v>
          </cell>
          <cell r="P431">
            <v>2.0846666666666666E-2</v>
          </cell>
          <cell r="Q431">
            <v>1.3830383333333334</v>
          </cell>
          <cell r="R431">
            <v>2.8312233333333334</v>
          </cell>
          <cell r="S431">
            <v>0</v>
          </cell>
          <cell r="T431">
            <v>0</v>
          </cell>
          <cell r="U431">
            <v>0</v>
          </cell>
          <cell r="V431">
            <v>4.2142616666666672</v>
          </cell>
          <cell r="W431">
            <v>4.2142601013183594</v>
          </cell>
          <cell r="X431">
            <v>4.2142616666666672</v>
          </cell>
          <cell r="Y431">
            <v>0</v>
          </cell>
          <cell r="Z431">
            <v>0</v>
          </cell>
        </row>
        <row r="432">
          <cell r="E432" t="str">
            <v>24012-9NJ1E</v>
          </cell>
          <cell r="F432">
            <v>2929.5088000000001</v>
          </cell>
          <cell r="G432">
            <v>0</v>
          </cell>
          <cell r="H432">
            <v>0.17689000000000002</v>
          </cell>
          <cell r="I432">
            <v>0.51277166666666674</v>
          </cell>
          <cell r="J432">
            <v>0.36219333333333331</v>
          </cell>
          <cell r="K432">
            <v>0.59874833333333333</v>
          </cell>
          <cell r="L432">
            <v>1.1065133333333332</v>
          </cell>
          <cell r="M432">
            <v>2.2028333333333334E-2</v>
          </cell>
          <cell r="N432">
            <v>0.19333499999999998</v>
          </cell>
          <cell r="O432">
            <v>0.11671000000000001</v>
          </cell>
          <cell r="P432">
            <v>1.7213333333333334E-2</v>
          </cell>
          <cell r="Q432">
            <v>1.051855</v>
          </cell>
          <cell r="R432">
            <v>2.054548333333333</v>
          </cell>
          <cell r="S432">
            <v>0</v>
          </cell>
          <cell r="T432">
            <v>0</v>
          </cell>
          <cell r="U432">
            <v>0</v>
          </cell>
          <cell r="V432">
            <v>3.1064033333333327</v>
          </cell>
          <cell r="W432">
            <v>3.1064014434814453</v>
          </cell>
          <cell r="X432">
            <v>3.1064033333333327</v>
          </cell>
          <cell r="Y432">
            <v>0</v>
          </cell>
          <cell r="Z432">
            <v>0</v>
          </cell>
        </row>
        <row r="433">
          <cell r="E433" t="str">
            <v>24012-9NJ2E</v>
          </cell>
          <cell r="F433">
            <v>2821.7336</v>
          </cell>
          <cell r="G433">
            <v>0</v>
          </cell>
          <cell r="H433">
            <v>0.16986500000000002</v>
          </cell>
          <cell r="I433">
            <v>0.45253500000000002</v>
          </cell>
          <cell r="J433">
            <v>0.33230999999999999</v>
          </cell>
          <cell r="K433">
            <v>0.56089166666666668</v>
          </cell>
          <cell r="L433">
            <v>1.0862799999999999</v>
          </cell>
          <cell r="M433">
            <v>2.2028333333333334E-2</v>
          </cell>
          <cell r="N433">
            <v>0.18414166666666668</v>
          </cell>
          <cell r="O433">
            <v>0.10790666666666666</v>
          </cell>
          <cell r="P433">
            <v>1.6670000000000001E-2</v>
          </cell>
          <cell r="Q433">
            <v>0.95471000000000006</v>
          </cell>
          <cell r="R433">
            <v>1.977918333333333</v>
          </cell>
          <cell r="S433">
            <v>0</v>
          </cell>
          <cell r="T433">
            <v>0</v>
          </cell>
          <cell r="U433">
            <v>0</v>
          </cell>
          <cell r="V433">
            <v>2.9326283333333332</v>
          </cell>
          <cell r="W433">
            <v>2.9326267242431641</v>
          </cell>
          <cell r="X433">
            <v>2.9326283333333332</v>
          </cell>
          <cell r="Y433">
            <v>0</v>
          </cell>
          <cell r="Z433">
            <v>0</v>
          </cell>
        </row>
        <row r="434">
          <cell r="E434" t="str">
            <v>24012-9NP4A</v>
          </cell>
          <cell r="F434">
            <v>2811.4342000000001</v>
          </cell>
          <cell r="G434">
            <v>0</v>
          </cell>
          <cell r="H434">
            <v>0.16857666666666665</v>
          </cell>
          <cell r="I434">
            <v>0.40066833333333329</v>
          </cell>
          <cell r="J434">
            <v>0.33411000000000002</v>
          </cell>
          <cell r="K434">
            <v>0.55930000000000002</v>
          </cell>
          <cell r="L434">
            <v>1.0997383333333335</v>
          </cell>
          <cell r="M434">
            <v>2.2028333333333334E-2</v>
          </cell>
          <cell r="N434">
            <v>0.19113833333333333</v>
          </cell>
          <cell r="O434">
            <v>0.11662166666666667</v>
          </cell>
          <cell r="P434">
            <v>1.7213333333333334E-2</v>
          </cell>
          <cell r="Q434">
            <v>0.90335500000000002</v>
          </cell>
          <cell r="R434">
            <v>2.0060400000000005</v>
          </cell>
          <cell r="S434">
            <v>0</v>
          </cell>
          <cell r="T434">
            <v>0</v>
          </cell>
          <cell r="U434">
            <v>0</v>
          </cell>
          <cell r="V434">
            <v>2.9093950000000004</v>
          </cell>
          <cell r="W434">
            <v>2.909393310546875</v>
          </cell>
          <cell r="X434">
            <v>2.9093950000000004</v>
          </cell>
          <cell r="Y434">
            <v>0</v>
          </cell>
          <cell r="Z434">
            <v>0</v>
          </cell>
        </row>
        <row r="435">
          <cell r="E435" t="str">
            <v>24012-9NT2D</v>
          </cell>
          <cell r="F435">
            <v>2802.7</v>
          </cell>
          <cell r="G435">
            <v>0</v>
          </cell>
          <cell r="H435">
            <v>0.16814499999999999</v>
          </cell>
          <cell r="I435">
            <v>0.40228666666666668</v>
          </cell>
          <cell r="J435">
            <v>0.33411000000000002</v>
          </cell>
          <cell r="K435">
            <v>0.57286666666666664</v>
          </cell>
          <cell r="L435">
            <v>1.0487716666666667</v>
          </cell>
          <cell r="M435">
            <v>8.745000000000001E-3</v>
          </cell>
          <cell r="N435">
            <v>0.18889666666666666</v>
          </cell>
          <cell r="O435">
            <v>0.11569666666666666</v>
          </cell>
          <cell r="P435">
            <v>1.7016666666666666E-2</v>
          </cell>
          <cell r="Q435">
            <v>0.90454166666666669</v>
          </cell>
          <cell r="R435">
            <v>1.9519933333333332</v>
          </cell>
          <cell r="S435">
            <v>0</v>
          </cell>
          <cell r="T435">
            <v>0</v>
          </cell>
          <cell r="U435">
            <v>0</v>
          </cell>
          <cell r="V435">
            <v>2.856535</v>
          </cell>
          <cell r="W435">
            <v>2.8565349578857422</v>
          </cell>
          <cell r="X435">
            <v>2.856535</v>
          </cell>
          <cell r="Y435">
            <v>0</v>
          </cell>
          <cell r="Z435">
            <v>0</v>
          </cell>
        </row>
        <row r="436">
          <cell r="E436" t="str">
            <v>24012-9PJ1A</v>
          </cell>
          <cell r="F436">
            <v>2376.7197000000001</v>
          </cell>
          <cell r="G436">
            <v>0</v>
          </cell>
          <cell r="H436">
            <v>0.13920166666666667</v>
          </cell>
          <cell r="I436">
            <v>0.304865</v>
          </cell>
          <cell r="J436">
            <v>0.18602333333333335</v>
          </cell>
          <cell r="K436">
            <v>0.46266833333333335</v>
          </cell>
          <cell r="L436">
            <v>0.9853966666666667</v>
          </cell>
          <cell r="M436">
            <v>2.2028333333333334E-2</v>
          </cell>
          <cell r="N436">
            <v>0.15750500000000001</v>
          </cell>
          <cell r="O436">
            <v>9.7996666666666676E-2</v>
          </cell>
          <cell r="P436">
            <v>1.5476666666666666E-2</v>
          </cell>
          <cell r="Q436">
            <v>0.63009000000000004</v>
          </cell>
          <cell r="R436">
            <v>1.7410716666666668</v>
          </cell>
          <cell r="S436">
            <v>0</v>
          </cell>
          <cell r="T436">
            <v>0</v>
          </cell>
          <cell r="U436">
            <v>0</v>
          </cell>
          <cell r="V436">
            <v>2.3711616666666666</v>
          </cell>
          <cell r="W436">
            <v>2.3711605072021484</v>
          </cell>
          <cell r="X436">
            <v>2.3711616666666666</v>
          </cell>
          <cell r="Y436">
            <v>0</v>
          </cell>
          <cell r="Z436">
            <v>0</v>
          </cell>
        </row>
        <row r="437">
          <cell r="E437" t="str">
            <v>24012-9PR0D</v>
          </cell>
          <cell r="F437">
            <v>2795.7</v>
          </cell>
          <cell r="G437">
            <v>0</v>
          </cell>
          <cell r="H437">
            <v>0.17053333333333331</v>
          </cell>
          <cell r="I437">
            <v>0.36827499999999996</v>
          </cell>
          <cell r="J437">
            <v>0.34108666666666665</v>
          </cell>
          <cell r="K437">
            <v>0.56966666666666665</v>
          </cell>
          <cell r="L437">
            <v>1.0447200000000001</v>
          </cell>
          <cell r="M437">
            <v>8.745000000000001E-3</v>
          </cell>
          <cell r="N437">
            <v>0.18950333333333333</v>
          </cell>
          <cell r="O437">
            <v>0.11105333333333332</v>
          </cell>
          <cell r="P437">
            <v>1.6855000000000002E-2</v>
          </cell>
          <cell r="Q437">
            <v>0.87989499999999998</v>
          </cell>
          <cell r="R437">
            <v>1.9405433333333335</v>
          </cell>
          <cell r="S437">
            <v>0</v>
          </cell>
          <cell r="T437">
            <v>0</v>
          </cell>
          <cell r="U437">
            <v>0</v>
          </cell>
          <cell r="V437">
            <v>2.8204383333333336</v>
          </cell>
          <cell r="W437">
            <v>2.8204364776611328</v>
          </cell>
          <cell r="X437">
            <v>2.8204383333333336</v>
          </cell>
          <cell r="Y437">
            <v>0</v>
          </cell>
          <cell r="Z437">
            <v>0</v>
          </cell>
        </row>
        <row r="438">
          <cell r="E438" t="str">
            <v>24012 9UH1A</v>
          </cell>
          <cell r="F438">
            <v>2158.5</v>
          </cell>
          <cell r="G438">
            <v>0</v>
          </cell>
          <cell r="H438">
            <v>0.15082000000000001</v>
          </cell>
          <cell r="I438">
            <v>0.34497666666666665</v>
          </cell>
          <cell r="J438">
            <v>0.243145</v>
          </cell>
          <cell r="K438">
            <v>0.38338</v>
          </cell>
          <cell r="L438">
            <v>0.8503183333333334</v>
          </cell>
          <cell r="M438">
            <v>4.9355000000000003E-2</v>
          </cell>
          <cell r="N438">
            <v>0.12366833333333332</v>
          </cell>
          <cell r="O438">
            <v>8.4601666666666672E-2</v>
          </cell>
          <cell r="P438">
            <v>2.4850000000000001E-2</v>
          </cell>
          <cell r="Q438">
            <v>0.73894166666666661</v>
          </cell>
          <cell r="R438">
            <v>1.5161733333333334</v>
          </cell>
          <cell r="S438">
            <v>0</v>
          </cell>
          <cell r="T438">
            <v>0</v>
          </cell>
          <cell r="U438">
            <v>0</v>
          </cell>
          <cell r="V438">
            <v>2.255115</v>
          </cell>
          <cell r="W438">
            <v>2.2551136016845703</v>
          </cell>
          <cell r="X438">
            <v>2.255115</v>
          </cell>
          <cell r="Y438">
            <v>0</v>
          </cell>
          <cell r="Z438">
            <v>0</v>
          </cell>
        </row>
        <row r="439">
          <cell r="E439" t="str">
            <v>24012 9UH3A</v>
          </cell>
          <cell r="F439">
            <v>2127.6999999999998</v>
          </cell>
          <cell r="G439">
            <v>0</v>
          </cell>
          <cell r="H439">
            <v>0.14943000000000001</v>
          </cell>
          <cell r="I439">
            <v>0.34497666666666665</v>
          </cell>
          <cell r="J439">
            <v>0.243145</v>
          </cell>
          <cell r="K439">
            <v>0.3818766666666667</v>
          </cell>
          <cell r="L439">
            <v>0.84736500000000003</v>
          </cell>
          <cell r="M439">
            <v>4.9355000000000003E-2</v>
          </cell>
          <cell r="N439">
            <v>0.12350833333333333</v>
          </cell>
          <cell r="O439">
            <v>8.4601666666666672E-2</v>
          </cell>
          <cell r="P439">
            <v>2.4850000000000001E-2</v>
          </cell>
          <cell r="Q439">
            <v>0.73755166666666661</v>
          </cell>
          <cell r="R439">
            <v>1.5115566666666669</v>
          </cell>
          <cell r="S439">
            <v>0</v>
          </cell>
          <cell r="T439">
            <v>0</v>
          </cell>
          <cell r="U439">
            <v>0</v>
          </cell>
          <cell r="V439">
            <v>2.2491083333333335</v>
          </cell>
          <cell r="W439">
            <v>2.2491073608398438</v>
          </cell>
          <cell r="X439">
            <v>2.2491083333333335</v>
          </cell>
          <cell r="Y439">
            <v>0</v>
          </cell>
          <cell r="Z439">
            <v>0</v>
          </cell>
        </row>
        <row r="440">
          <cell r="E440" t="str">
            <v>24012 9UH4B</v>
          </cell>
          <cell r="F440">
            <v>2068.4</v>
          </cell>
          <cell r="G440">
            <v>0</v>
          </cell>
          <cell r="H440">
            <v>0.14428000000000002</v>
          </cell>
          <cell r="I440">
            <v>0.33729166666666666</v>
          </cell>
          <cell r="J440">
            <v>0.22746333333333332</v>
          </cell>
          <cell r="K440">
            <v>0.37241000000000002</v>
          </cell>
          <cell r="L440">
            <v>0.83190166666666665</v>
          </cell>
          <cell r="M440">
            <v>4.7980000000000002E-2</v>
          </cell>
          <cell r="N440">
            <v>0.11664833333333333</v>
          </cell>
          <cell r="O440">
            <v>8.1328333333333322E-2</v>
          </cell>
          <cell r="P440">
            <v>2.4369999999999999E-2</v>
          </cell>
          <cell r="Q440">
            <v>0.70903499999999997</v>
          </cell>
          <cell r="R440">
            <v>1.4746383333333331</v>
          </cell>
          <cell r="S440">
            <v>0</v>
          </cell>
          <cell r="T440">
            <v>0</v>
          </cell>
          <cell r="U440">
            <v>0</v>
          </cell>
          <cell r="V440">
            <v>2.1836733333333331</v>
          </cell>
          <cell r="W440">
            <v>2.1836719512939453</v>
          </cell>
          <cell r="X440">
            <v>2.1836733333333331</v>
          </cell>
          <cell r="Y440">
            <v>0</v>
          </cell>
          <cell r="Z440">
            <v>0</v>
          </cell>
        </row>
        <row r="441">
          <cell r="E441" t="str">
            <v>24012 9UH4C</v>
          </cell>
          <cell r="F441">
            <v>2120.4</v>
          </cell>
          <cell r="G441">
            <v>0</v>
          </cell>
          <cell r="H441">
            <v>0.15140666666666666</v>
          </cell>
          <cell r="I441">
            <v>0.34497666666666665</v>
          </cell>
          <cell r="J441">
            <v>0.243145</v>
          </cell>
          <cell r="K441">
            <v>0.38829333333333332</v>
          </cell>
          <cell r="L441">
            <v>0.85106333333333339</v>
          </cell>
          <cell r="M441">
            <v>4.9355000000000003E-2</v>
          </cell>
          <cell r="N441">
            <v>0.12283166666666667</v>
          </cell>
          <cell r="O441">
            <v>8.4466666666666662E-2</v>
          </cell>
          <cell r="P441">
            <v>2.4850000000000001E-2</v>
          </cell>
          <cell r="Q441">
            <v>0.73952833333333334</v>
          </cell>
          <cell r="R441">
            <v>1.5208600000000001</v>
          </cell>
          <cell r="S441">
            <v>0</v>
          </cell>
          <cell r="T441">
            <v>0</v>
          </cell>
          <cell r="U441">
            <v>0</v>
          </cell>
          <cell r="V441">
            <v>2.2603883333333332</v>
          </cell>
          <cell r="W441">
            <v>2.2603874206542969</v>
          </cell>
          <cell r="X441">
            <v>2.2603883333333332</v>
          </cell>
          <cell r="Y441">
            <v>0</v>
          </cell>
          <cell r="Z441">
            <v>0</v>
          </cell>
        </row>
        <row r="442">
          <cell r="E442" t="str">
            <v>240808Y100</v>
          </cell>
          <cell r="F442">
            <v>137.5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4.3148333333333337E-2</v>
          </cell>
          <cell r="U442">
            <v>0</v>
          </cell>
          <cell r="V442">
            <v>4.3148333333333337E-2</v>
          </cell>
          <cell r="W442">
            <v>4.3148308992385864E-2</v>
          </cell>
          <cell r="X442">
            <v>4.3148333333333337E-2</v>
          </cell>
          <cell r="Y442">
            <v>0</v>
          </cell>
          <cell r="Z442">
            <v>0</v>
          </cell>
        </row>
        <row r="443">
          <cell r="E443" t="str">
            <v>82115-0E310</v>
          </cell>
          <cell r="F443">
            <v>3752.7</v>
          </cell>
          <cell r="G443">
            <v>434.98130000000003</v>
          </cell>
          <cell r="H443">
            <v>0.2721966666666667</v>
          </cell>
          <cell r="I443">
            <v>0.36073333333333329</v>
          </cell>
          <cell r="J443">
            <v>5.9901666666666666E-2</v>
          </cell>
          <cell r="K443">
            <v>0.67763000000000007</v>
          </cell>
          <cell r="L443">
            <v>2.0101050000000003</v>
          </cell>
          <cell r="M443">
            <v>5.4085000000000001E-2</v>
          </cell>
          <cell r="N443">
            <v>0.24104999999999999</v>
          </cell>
          <cell r="O443">
            <v>0.22761500000000001</v>
          </cell>
          <cell r="P443">
            <v>9.0725E-2</v>
          </cell>
          <cell r="Q443">
            <v>0.69283166666666662</v>
          </cell>
          <cell r="R443">
            <v>3.3012100000000006</v>
          </cell>
          <cell r="S443">
            <v>0</v>
          </cell>
          <cell r="T443">
            <v>4.1374999999999995E-2</v>
          </cell>
          <cell r="U443">
            <v>0.19007666666666667</v>
          </cell>
          <cell r="V443">
            <v>4.2254933333333344</v>
          </cell>
          <cell r="W443">
            <v>4.2254905700683594</v>
          </cell>
          <cell r="X443">
            <v>4.2254933333333344</v>
          </cell>
          <cell r="Y443">
            <v>0</v>
          </cell>
          <cell r="Z443">
            <v>0</v>
          </cell>
        </row>
        <row r="444">
          <cell r="E444" t="str">
            <v>82115-0E391</v>
          </cell>
          <cell r="F444">
            <v>4078</v>
          </cell>
          <cell r="G444">
            <v>493.00479999999999</v>
          </cell>
          <cell r="H444">
            <v>0.3094716666666667</v>
          </cell>
          <cell r="I444">
            <v>0.45723000000000003</v>
          </cell>
          <cell r="J444">
            <v>5.2220000000000003E-2</v>
          </cell>
          <cell r="K444">
            <v>0.80413666666666661</v>
          </cell>
          <cell r="L444">
            <v>2.2342516666666667</v>
          </cell>
          <cell r="M444">
            <v>6.3636666666666661E-2</v>
          </cell>
          <cell r="N444">
            <v>0.24559166666666668</v>
          </cell>
          <cell r="O444">
            <v>0.23016666666666669</v>
          </cell>
          <cell r="P444">
            <v>9.6963333333333332E-2</v>
          </cell>
          <cell r="Q444">
            <v>0.81892166666666677</v>
          </cell>
          <cell r="R444">
            <v>3.674746666666667</v>
          </cell>
          <cell r="S444">
            <v>0</v>
          </cell>
          <cell r="T444">
            <v>4.1333333333333333E-2</v>
          </cell>
          <cell r="U444">
            <v>0.19947166666666669</v>
          </cell>
          <cell r="V444">
            <v>4.7344733333333338</v>
          </cell>
          <cell r="W444">
            <v>4.7344703674316406</v>
          </cell>
          <cell r="X444">
            <v>4.7344733333333338</v>
          </cell>
          <cell r="Y444">
            <v>0</v>
          </cell>
          <cell r="Z444">
            <v>0</v>
          </cell>
        </row>
        <row r="445">
          <cell r="E445" t="str">
            <v>82115-0E401</v>
          </cell>
          <cell r="F445">
            <v>4219.7</v>
          </cell>
          <cell r="G445">
            <v>467.65629999999999</v>
          </cell>
          <cell r="H445">
            <v>0.35960000000000003</v>
          </cell>
          <cell r="I445">
            <v>0.75286500000000001</v>
          </cell>
          <cell r="J445">
            <v>0.10947666666666667</v>
          </cell>
          <cell r="K445">
            <v>0.96267666666666663</v>
          </cell>
          <cell r="L445">
            <v>2.3224866666666668</v>
          </cell>
          <cell r="M445">
            <v>6.5631666666666671E-2</v>
          </cell>
          <cell r="N445">
            <v>0.26022833333333334</v>
          </cell>
          <cell r="O445">
            <v>0.23466166666666669</v>
          </cell>
          <cell r="P445">
            <v>9.778166666666667E-2</v>
          </cell>
          <cell r="Q445">
            <v>1.2219416666666667</v>
          </cell>
          <cell r="R445">
            <v>3.9434666666666667</v>
          </cell>
          <cell r="S445">
            <v>0</v>
          </cell>
          <cell r="T445">
            <v>2.924333333333333E-2</v>
          </cell>
          <cell r="U445">
            <v>0.19968166666666667</v>
          </cell>
          <cell r="V445">
            <v>5.3943333333333339</v>
          </cell>
          <cell r="W445">
            <v>5.3943328857421875</v>
          </cell>
          <cell r="X445">
            <v>5.3943333333333339</v>
          </cell>
          <cell r="Y445">
            <v>0</v>
          </cell>
          <cell r="Z445">
            <v>0</v>
          </cell>
        </row>
        <row r="446">
          <cell r="E446" t="str">
            <v>82115-0E411</v>
          </cell>
          <cell r="F446">
            <v>4196.5</v>
          </cell>
          <cell r="G446">
            <v>467.65629999999999</v>
          </cell>
          <cell r="H446">
            <v>0.35765333333333332</v>
          </cell>
          <cell r="I446">
            <v>0.74376500000000001</v>
          </cell>
          <cell r="J446">
            <v>0.10947666666666667</v>
          </cell>
          <cell r="K446">
            <v>0.96099000000000001</v>
          </cell>
          <cell r="L446">
            <v>2.3200400000000001</v>
          </cell>
          <cell r="M446">
            <v>6.5631666666666671E-2</v>
          </cell>
          <cell r="N446">
            <v>0.26014833333333331</v>
          </cell>
          <cell r="O446">
            <v>0.23466166666666669</v>
          </cell>
          <cell r="P446">
            <v>9.778166666666667E-2</v>
          </cell>
          <cell r="Q446">
            <v>1.2108950000000001</v>
          </cell>
          <cell r="R446">
            <v>3.9392533333333337</v>
          </cell>
          <cell r="S446">
            <v>0</v>
          </cell>
          <cell r="T446">
            <v>2.924333333333333E-2</v>
          </cell>
          <cell r="U446">
            <v>0.19968166666666667</v>
          </cell>
          <cell r="V446">
            <v>5.3790733333333343</v>
          </cell>
          <cell r="W446">
            <v>5.3790702819824219</v>
          </cell>
          <cell r="X446">
            <v>5.3790733333333343</v>
          </cell>
          <cell r="Y446">
            <v>0</v>
          </cell>
          <cell r="Z446">
            <v>0</v>
          </cell>
        </row>
        <row r="447">
          <cell r="E447" t="str">
            <v>82115-0E421</v>
          </cell>
          <cell r="F447">
            <v>3958.4</v>
          </cell>
          <cell r="G447">
            <v>449.41149999999999</v>
          </cell>
          <cell r="H447">
            <v>0.34605666666666668</v>
          </cell>
          <cell r="I447">
            <v>0.73166999999999993</v>
          </cell>
          <cell r="J447">
            <v>0.11215333333333333</v>
          </cell>
          <cell r="K447">
            <v>0.90714499999999998</v>
          </cell>
          <cell r="L447">
            <v>2.3048766666666665</v>
          </cell>
          <cell r="M447">
            <v>6.485666666666666E-2</v>
          </cell>
          <cell r="N447">
            <v>0.25954833333333333</v>
          </cell>
          <cell r="O447">
            <v>0.23752000000000001</v>
          </cell>
          <cell r="P447">
            <v>9.8754999999999996E-2</v>
          </cell>
          <cell r="Q447">
            <v>1.1898799999999998</v>
          </cell>
          <cell r="R447">
            <v>3.8727016666666665</v>
          </cell>
          <cell r="S447">
            <v>0</v>
          </cell>
          <cell r="T447">
            <v>2.924333333333333E-2</v>
          </cell>
          <cell r="U447">
            <v>0.21870500000000004</v>
          </cell>
          <cell r="V447">
            <v>5.31053</v>
          </cell>
          <cell r="W447">
            <v>5.3105278015136719</v>
          </cell>
          <cell r="X447">
            <v>5.31053</v>
          </cell>
          <cell r="Y447">
            <v>0</v>
          </cell>
          <cell r="Z447">
            <v>0</v>
          </cell>
        </row>
        <row r="448">
          <cell r="E448" t="str">
            <v>82115-0E431</v>
          </cell>
          <cell r="F448">
            <v>3935.2</v>
          </cell>
          <cell r="G448">
            <v>449.41149999999999</v>
          </cell>
          <cell r="H448">
            <v>0.34410999999999997</v>
          </cell>
          <cell r="I448">
            <v>0.72256833333333337</v>
          </cell>
          <cell r="J448">
            <v>0.11215333333333333</v>
          </cell>
          <cell r="K448">
            <v>0.90545833333333337</v>
          </cell>
          <cell r="L448">
            <v>2.3024283333333333</v>
          </cell>
          <cell r="M448">
            <v>6.485666666666666E-2</v>
          </cell>
          <cell r="N448">
            <v>0.2594683333333333</v>
          </cell>
          <cell r="O448">
            <v>0.23752000000000001</v>
          </cell>
          <cell r="P448">
            <v>9.8754999999999996E-2</v>
          </cell>
          <cell r="Q448">
            <v>1.1788316666666667</v>
          </cell>
          <cell r="R448">
            <v>3.8684866666666666</v>
          </cell>
          <cell r="S448">
            <v>0</v>
          </cell>
          <cell r="T448">
            <v>2.924333333333333E-2</v>
          </cell>
          <cell r="U448">
            <v>0.21870500000000004</v>
          </cell>
          <cell r="V448">
            <v>5.2952666666666666</v>
          </cell>
          <cell r="W448">
            <v>5.2952651977539063</v>
          </cell>
          <cell r="X448">
            <v>5.2952666666666666</v>
          </cell>
          <cell r="Y448">
            <v>0</v>
          </cell>
          <cell r="Z448">
            <v>0</v>
          </cell>
        </row>
        <row r="449">
          <cell r="E449" t="str">
            <v>82115-0E440 H</v>
          </cell>
          <cell r="F449">
            <v>3478.1</v>
          </cell>
          <cell r="G449">
            <v>365.5711</v>
          </cell>
          <cell r="H449">
            <v>0.23902000000000001</v>
          </cell>
          <cell r="I449">
            <v>0.2838566666666667</v>
          </cell>
          <cell r="J449">
            <v>5.1296666666666664E-2</v>
          </cell>
          <cell r="K449">
            <v>0.57577833333333339</v>
          </cell>
          <cell r="L449">
            <v>1.9186983333333332</v>
          </cell>
          <cell r="M449">
            <v>5.3594999999999997E-2</v>
          </cell>
          <cell r="N449">
            <v>0.22207166666666664</v>
          </cell>
          <cell r="O449">
            <v>0.22115000000000001</v>
          </cell>
          <cell r="P449">
            <v>9.8858333333333326E-2</v>
          </cell>
          <cell r="Q449">
            <v>0.57417333333333331</v>
          </cell>
          <cell r="R449">
            <v>3.0901516666666664</v>
          </cell>
          <cell r="S449">
            <v>0</v>
          </cell>
          <cell r="T449">
            <v>4.1374999999999995E-2</v>
          </cell>
          <cell r="U449">
            <v>0.19958833333333334</v>
          </cell>
          <cell r="V449">
            <v>3.905288333333333</v>
          </cell>
          <cell r="W449">
            <v>3.9052867889404297</v>
          </cell>
          <cell r="X449">
            <v>3.905288333333333</v>
          </cell>
          <cell r="Y449">
            <v>0</v>
          </cell>
          <cell r="Z449">
            <v>0</v>
          </cell>
        </row>
        <row r="450">
          <cell r="E450" t="str">
            <v>82115-0E450 H</v>
          </cell>
          <cell r="F450">
            <v>3478.1</v>
          </cell>
          <cell r="G450">
            <v>365.5711</v>
          </cell>
          <cell r="H450">
            <v>0.23902000000000001</v>
          </cell>
          <cell r="I450">
            <v>0.2838566666666667</v>
          </cell>
          <cell r="J450">
            <v>5.1296666666666664E-2</v>
          </cell>
          <cell r="K450">
            <v>0.57577833333333339</v>
          </cell>
          <cell r="L450">
            <v>1.9186983333333332</v>
          </cell>
          <cell r="M450">
            <v>5.3594999999999997E-2</v>
          </cell>
          <cell r="N450">
            <v>0.22207166666666664</v>
          </cell>
          <cell r="O450">
            <v>0.22115000000000001</v>
          </cell>
          <cell r="P450">
            <v>9.8858333333333326E-2</v>
          </cell>
          <cell r="Q450">
            <v>0.57417333333333331</v>
          </cell>
          <cell r="R450">
            <v>3.0901516666666664</v>
          </cell>
          <cell r="S450">
            <v>0</v>
          </cell>
          <cell r="T450">
            <v>4.1374999999999995E-2</v>
          </cell>
          <cell r="U450">
            <v>0.19958833333333334</v>
          </cell>
          <cell r="V450">
            <v>3.905288333333333</v>
          </cell>
          <cell r="W450">
            <v>3.9052867889404297</v>
          </cell>
          <cell r="X450">
            <v>3.905288333333333</v>
          </cell>
          <cell r="Y450">
            <v>0</v>
          </cell>
          <cell r="Z450">
            <v>0</v>
          </cell>
        </row>
        <row r="451">
          <cell r="E451" t="str">
            <v>82115-0E460 H</v>
          </cell>
          <cell r="F451">
            <v>3788.8</v>
          </cell>
          <cell r="G451">
            <v>366.54349999999999</v>
          </cell>
          <cell r="H451">
            <v>0.26237833333333332</v>
          </cell>
          <cell r="I451">
            <v>0.32456833333333335</v>
          </cell>
          <cell r="J451">
            <v>5.4841666666666671E-2</v>
          </cell>
          <cell r="K451">
            <v>0.64716833333333335</v>
          </cell>
          <cell r="L451">
            <v>1.9676716666666667</v>
          </cell>
          <cell r="M451">
            <v>5.4919999999999997E-2</v>
          </cell>
          <cell r="N451">
            <v>0.23416333333333333</v>
          </cell>
          <cell r="O451">
            <v>0.22541333333333335</v>
          </cell>
          <cell r="P451">
            <v>9.9701666666666661E-2</v>
          </cell>
          <cell r="Q451">
            <v>0.64178833333333341</v>
          </cell>
          <cell r="R451">
            <v>3.2290383333333339</v>
          </cell>
          <cell r="S451">
            <v>0</v>
          </cell>
          <cell r="T451">
            <v>4.1374999999999995E-2</v>
          </cell>
          <cell r="U451">
            <v>0.19007666666666667</v>
          </cell>
          <cell r="V451">
            <v>4.1022783333333344</v>
          </cell>
          <cell r="W451">
            <v>4.1022758483886719</v>
          </cell>
          <cell r="X451">
            <v>4.1022783333333344</v>
          </cell>
          <cell r="Y451">
            <v>0</v>
          </cell>
          <cell r="Z451">
            <v>0</v>
          </cell>
        </row>
        <row r="452">
          <cell r="E452" t="str">
            <v>82115-0E470</v>
          </cell>
          <cell r="F452">
            <v>3754.5</v>
          </cell>
          <cell r="G452">
            <v>454.46989999999994</v>
          </cell>
          <cell r="H452">
            <v>0.29355166666666666</v>
          </cell>
          <cell r="I452">
            <v>0.58611999999999997</v>
          </cell>
          <cell r="J452">
            <v>9.7045000000000006E-2</v>
          </cell>
          <cell r="K452">
            <v>0.75979833333333324</v>
          </cell>
          <cell r="L452">
            <v>2.0717383333333332</v>
          </cell>
          <cell r="M452">
            <v>5.6919999999999998E-2</v>
          </cell>
          <cell r="N452">
            <v>0.24176</v>
          </cell>
          <cell r="O452">
            <v>0.22635666666666668</v>
          </cell>
          <cell r="P452">
            <v>9.9913333333333326E-2</v>
          </cell>
          <cell r="Q452">
            <v>0.97671666666666668</v>
          </cell>
          <cell r="R452">
            <v>3.4564866666666667</v>
          </cell>
          <cell r="S452">
            <v>0</v>
          </cell>
          <cell r="T452">
            <v>2.928E-2</v>
          </cell>
          <cell r="U452">
            <v>0.21252833333333337</v>
          </cell>
          <cell r="V452">
            <v>4.6750116666666663</v>
          </cell>
          <cell r="W452">
            <v>4.6750106811523438</v>
          </cell>
          <cell r="X452">
            <v>4.6750116666666663</v>
          </cell>
          <cell r="Y452">
            <v>0</v>
          </cell>
          <cell r="Z452">
            <v>0</v>
          </cell>
        </row>
        <row r="453">
          <cell r="E453" t="str">
            <v>82115-0E480 H</v>
          </cell>
          <cell r="F453">
            <v>3870</v>
          </cell>
          <cell r="G453">
            <v>455.28869999999995</v>
          </cell>
          <cell r="H453">
            <v>0.30737166666666665</v>
          </cell>
          <cell r="I453">
            <v>0.6147583333333333</v>
          </cell>
          <cell r="J453">
            <v>9.5706666666666662E-2</v>
          </cell>
          <cell r="K453">
            <v>0.80110333333333339</v>
          </cell>
          <cell r="L453">
            <v>2.0695000000000001</v>
          </cell>
          <cell r="M453">
            <v>5.8154999999999998E-2</v>
          </cell>
          <cell r="N453">
            <v>0.24939666666666668</v>
          </cell>
          <cell r="O453">
            <v>0.22974666666666668</v>
          </cell>
          <cell r="P453">
            <v>0.10045166666666666</v>
          </cell>
          <cell r="Q453">
            <v>1.0178366666666665</v>
          </cell>
          <cell r="R453">
            <v>3.5083533333333339</v>
          </cell>
          <cell r="S453">
            <v>0</v>
          </cell>
          <cell r="T453">
            <v>2.928E-2</v>
          </cell>
          <cell r="U453">
            <v>0.20301666666666671</v>
          </cell>
          <cell r="V453">
            <v>4.7584866666666672</v>
          </cell>
          <cell r="W453">
            <v>4.75848388671875</v>
          </cell>
          <cell r="X453">
            <v>4.7584866666666672</v>
          </cell>
          <cell r="Y453">
            <v>0</v>
          </cell>
          <cell r="Z453">
            <v>0</v>
          </cell>
        </row>
        <row r="454">
          <cell r="E454" t="str">
            <v>82115-0E490 H</v>
          </cell>
          <cell r="F454">
            <v>4130.8</v>
          </cell>
          <cell r="G454">
            <v>423.88199999999995</v>
          </cell>
          <cell r="H454">
            <v>0.31646333333333332</v>
          </cell>
          <cell r="I454">
            <v>0.57738333333333336</v>
          </cell>
          <cell r="J454">
            <v>0.10910499999999999</v>
          </cell>
          <cell r="K454">
            <v>0.80897166666666664</v>
          </cell>
          <cell r="L454">
            <v>2.0070549999999998</v>
          </cell>
          <cell r="M454">
            <v>6.1769999999999999E-2</v>
          </cell>
          <cell r="N454">
            <v>0.26568666666666668</v>
          </cell>
          <cell r="O454">
            <v>0.23337166666666667</v>
          </cell>
          <cell r="P454">
            <v>0.10169</v>
          </cell>
          <cell r="Q454">
            <v>1.0029516666666667</v>
          </cell>
          <cell r="R454">
            <v>3.4785450000000004</v>
          </cell>
          <cell r="S454">
            <v>0</v>
          </cell>
          <cell r="T454">
            <v>4.4259999999999994E-2</v>
          </cell>
          <cell r="U454">
            <v>0.22136166666666668</v>
          </cell>
          <cell r="V454">
            <v>4.7471183333333338</v>
          </cell>
          <cell r="W454">
            <v>4.7471160888671875</v>
          </cell>
          <cell r="X454">
            <v>4.7471183333333338</v>
          </cell>
          <cell r="Y454">
            <v>0</v>
          </cell>
          <cell r="Z454">
            <v>0</v>
          </cell>
        </row>
        <row r="455">
          <cell r="E455" t="str">
            <v>82115-0E500</v>
          </cell>
          <cell r="F455">
            <v>3524.2</v>
          </cell>
          <cell r="G455">
            <v>434.97889999999995</v>
          </cell>
          <cell r="H455">
            <v>0.25082500000000002</v>
          </cell>
          <cell r="I455">
            <v>0.34958333333333336</v>
          </cell>
          <cell r="J455">
            <v>4.5554999999999998E-2</v>
          </cell>
          <cell r="K455">
            <v>0.62504000000000004</v>
          </cell>
          <cell r="L455">
            <v>1.9083066666666668</v>
          </cell>
          <cell r="M455">
            <v>5.3370000000000001E-2</v>
          </cell>
          <cell r="N455">
            <v>0.22663666666666668</v>
          </cell>
          <cell r="O455">
            <v>0.21769000000000002</v>
          </cell>
          <cell r="P455">
            <v>0.12718499999999999</v>
          </cell>
          <cell r="Q455">
            <v>0.64596333333333344</v>
          </cell>
          <cell r="R455">
            <v>3.1582283333333336</v>
          </cell>
          <cell r="S455">
            <v>0</v>
          </cell>
          <cell r="T455">
            <v>4.1374999999999995E-2</v>
          </cell>
          <cell r="U455">
            <v>0.14823166666666668</v>
          </cell>
          <cell r="V455">
            <v>3.9937983333333338</v>
          </cell>
          <cell r="W455">
            <v>3.9937973022460938</v>
          </cell>
          <cell r="X455">
            <v>3.9937983333333338</v>
          </cell>
          <cell r="Y455">
            <v>0</v>
          </cell>
          <cell r="Z455">
            <v>0</v>
          </cell>
        </row>
        <row r="456">
          <cell r="E456" t="str">
            <v>82115-0E501</v>
          </cell>
          <cell r="F456">
            <v>3631.4</v>
          </cell>
          <cell r="G456">
            <v>414.01829999999995</v>
          </cell>
          <cell r="H456">
            <v>0.25782500000000003</v>
          </cell>
          <cell r="I456">
            <v>0.35103500000000004</v>
          </cell>
          <cell r="J456">
            <v>5.5018333333333329E-2</v>
          </cell>
          <cell r="K456">
            <v>0.63734166666666658</v>
          </cell>
          <cell r="L456">
            <v>1.9539</v>
          </cell>
          <cell r="M456">
            <v>5.364E-2</v>
          </cell>
          <cell r="N456">
            <v>0.23075000000000001</v>
          </cell>
          <cell r="O456">
            <v>0.22451499999999999</v>
          </cell>
          <cell r="P456">
            <v>8.9146666666666666E-2</v>
          </cell>
          <cell r="Q456">
            <v>0.66387833333333335</v>
          </cell>
          <cell r="R456">
            <v>3.1892933333333331</v>
          </cell>
          <cell r="S456">
            <v>0</v>
          </cell>
          <cell r="T456">
            <v>4.1374999999999995E-2</v>
          </cell>
          <cell r="U456">
            <v>0.19007666666666667</v>
          </cell>
          <cell r="V456">
            <v>4.0846233333333331</v>
          </cell>
          <cell r="W456">
            <v>4.0846214294433594</v>
          </cell>
          <cell r="X456">
            <v>4.0846233333333331</v>
          </cell>
          <cell r="Y456">
            <v>0</v>
          </cell>
          <cell r="Z456">
            <v>0</v>
          </cell>
        </row>
        <row r="457">
          <cell r="E457" t="str">
            <v>82115-0E510 J</v>
          </cell>
          <cell r="F457">
            <v>3700.4</v>
          </cell>
          <cell r="G457">
            <v>414.01829999999995</v>
          </cell>
          <cell r="H457">
            <v>0.26280000000000003</v>
          </cell>
          <cell r="I457">
            <v>0.35924166666666668</v>
          </cell>
          <cell r="J457">
            <v>5.9901666666666666E-2</v>
          </cell>
          <cell r="K457">
            <v>0.6522283333333333</v>
          </cell>
          <cell r="L457">
            <v>1.9775666666666667</v>
          </cell>
          <cell r="M457">
            <v>5.493E-2</v>
          </cell>
          <cell r="N457">
            <v>0.23731833333333335</v>
          </cell>
          <cell r="O457">
            <v>0.22620333333333334</v>
          </cell>
          <cell r="P457">
            <v>9.9776666666666666E-2</v>
          </cell>
          <cell r="Q457">
            <v>0.68194333333333335</v>
          </cell>
          <cell r="R457">
            <v>3.2480233333333337</v>
          </cell>
          <cell r="S457">
            <v>0</v>
          </cell>
          <cell r="T457">
            <v>4.1374999999999995E-2</v>
          </cell>
          <cell r="U457">
            <v>0.19007666666666667</v>
          </cell>
          <cell r="V457">
            <v>4.1614183333333337</v>
          </cell>
          <cell r="W457">
            <v>4.1614151000976563</v>
          </cell>
          <cell r="X457">
            <v>4.1614183333333337</v>
          </cell>
          <cell r="Y457">
            <v>0</v>
          </cell>
          <cell r="Z457">
            <v>0</v>
          </cell>
        </row>
        <row r="458">
          <cell r="E458" t="str">
            <v>82115-0E511</v>
          </cell>
          <cell r="F458">
            <v>3700.4</v>
          </cell>
          <cell r="G458">
            <v>414.01829999999995</v>
          </cell>
          <cell r="H458">
            <v>0.26280000000000003</v>
          </cell>
          <cell r="I458">
            <v>0.35924166666666668</v>
          </cell>
          <cell r="J458">
            <v>5.9901666666666666E-2</v>
          </cell>
          <cell r="K458">
            <v>0.64898333333333336</v>
          </cell>
          <cell r="L458">
            <v>1.9760366666666667</v>
          </cell>
          <cell r="M458">
            <v>5.3884999999999995E-2</v>
          </cell>
          <cell r="N458">
            <v>0.23672000000000001</v>
          </cell>
          <cell r="O458">
            <v>0.22606833333333334</v>
          </cell>
          <cell r="P458">
            <v>8.9986666666666673E-2</v>
          </cell>
          <cell r="Q458">
            <v>0.68194333333333335</v>
          </cell>
          <cell r="R458">
            <v>3.2316800000000008</v>
          </cell>
          <cell r="S458">
            <v>0</v>
          </cell>
          <cell r="T458">
            <v>4.1374999999999995E-2</v>
          </cell>
          <cell r="U458">
            <v>0.19007666666666667</v>
          </cell>
          <cell r="V458">
            <v>4.1450750000000003</v>
          </cell>
          <cell r="W458">
            <v>4.1450729370117188</v>
          </cell>
          <cell r="X458">
            <v>4.1450750000000003</v>
          </cell>
          <cell r="Y458">
            <v>0</v>
          </cell>
          <cell r="Z458">
            <v>0</v>
          </cell>
        </row>
        <row r="459">
          <cell r="E459" t="str">
            <v>82115-0E520</v>
          </cell>
          <cell r="F459">
            <v>3665.8</v>
          </cell>
          <cell r="G459">
            <v>457.13</v>
          </cell>
          <cell r="H459">
            <v>0.27137499999999998</v>
          </cell>
          <cell r="I459">
            <v>0.39483499999999999</v>
          </cell>
          <cell r="J459">
            <v>5.9901666666666666E-2</v>
          </cell>
          <cell r="K459">
            <v>0.67149666666666663</v>
          </cell>
          <cell r="L459">
            <v>2.0323666666666664</v>
          </cell>
          <cell r="M459">
            <v>5.5160000000000001E-2</v>
          </cell>
          <cell r="N459">
            <v>0.23922499999999999</v>
          </cell>
          <cell r="O459">
            <v>0.22760333333333332</v>
          </cell>
          <cell r="P459">
            <v>0.13008333333333333</v>
          </cell>
          <cell r="Q459">
            <v>0.7261116666666666</v>
          </cell>
          <cell r="R459">
            <v>3.3559349999999992</v>
          </cell>
          <cell r="S459">
            <v>0</v>
          </cell>
          <cell r="T459">
            <v>4.1374999999999995E-2</v>
          </cell>
          <cell r="U459">
            <v>0.15774333333333332</v>
          </cell>
          <cell r="V459">
            <v>4.2811649999999997</v>
          </cell>
          <cell r="W459">
            <v>4.2811622619628906</v>
          </cell>
          <cell r="X459">
            <v>4.2811649999999997</v>
          </cell>
          <cell r="Y459">
            <v>0</v>
          </cell>
          <cell r="Z459">
            <v>0</v>
          </cell>
        </row>
        <row r="460">
          <cell r="E460" t="str">
            <v>82115-0E521</v>
          </cell>
          <cell r="F460">
            <v>3727</v>
          </cell>
          <cell r="G460">
            <v>427.86360000000002</v>
          </cell>
          <cell r="H460">
            <v>0.27241666666666664</v>
          </cell>
          <cell r="I460">
            <v>0.38297833333333331</v>
          </cell>
          <cell r="J460">
            <v>5.9901666666666666E-2</v>
          </cell>
          <cell r="K460">
            <v>0.66907666666666665</v>
          </cell>
          <cell r="L460">
            <v>2.0218266666666667</v>
          </cell>
          <cell r="M460">
            <v>5.4115000000000003E-2</v>
          </cell>
          <cell r="N460">
            <v>0.23862666666666668</v>
          </cell>
          <cell r="O460">
            <v>0.22746833333333333</v>
          </cell>
          <cell r="P460">
            <v>9.0886666666666657E-2</v>
          </cell>
          <cell r="Q460">
            <v>0.71529666666666658</v>
          </cell>
          <cell r="R460">
            <v>3.302</v>
          </cell>
          <cell r="S460">
            <v>0</v>
          </cell>
          <cell r="T460">
            <v>4.1374999999999995E-2</v>
          </cell>
          <cell r="U460">
            <v>0.19007666666666667</v>
          </cell>
          <cell r="V460">
            <v>4.2487483333333333</v>
          </cell>
          <cell r="W460">
            <v>4.2487449645996094</v>
          </cell>
          <cell r="X460">
            <v>4.2487483333333333</v>
          </cell>
          <cell r="Y460">
            <v>0</v>
          </cell>
          <cell r="Z460">
            <v>0</v>
          </cell>
        </row>
        <row r="461">
          <cell r="E461" t="str">
            <v>82115-0E530 J</v>
          </cell>
          <cell r="F461">
            <v>3815.3</v>
          </cell>
          <cell r="G461">
            <v>427.86360000000002</v>
          </cell>
          <cell r="H461">
            <v>0.28097999999999995</v>
          </cell>
          <cell r="I461">
            <v>0.41116166666666665</v>
          </cell>
          <cell r="J461">
            <v>5.9901666666666666E-2</v>
          </cell>
          <cell r="K461">
            <v>0.68951833333333334</v>
          </cell>
          <cell r="L461">
            <v>2.0363199999999999</v>
          </cell>
          <cell r="M461">
            <v>5.5160000000000001E-2</v>
          </cell>
          <cell r="N461">
            <v>0.239785</v>
          </cell>
          <cell r="O461">
            <v>0.22760333333333332</v>
          </cell>
          <cell r="P461">
            <v>0.10067666666666668</v>
          </cell>
          <cell r="Q461">
            <v>0.75204333333333329</v>
          </cell>
          <cell r="R461">
            <v>3.3490633333333331</v>
          </cell>
          <cell r="S461">
            <v>0</v>
          </cell>
          <cell r="T461">
            <v>4.1374999999999995E-2</v>
          </cell>
          <cell r="U461">
            <v>0.19007666666666667</v>
          </cell>
          <cell r="V461">
            <v>4.3325583333333331</v>
          </cell>
          <cell r="W461">
            <v>4.3325576782226563</v>
          </cell>
          <cell r="X461">
            <v>4.3325583333333331</v>
          </cell>
          <cell r="Y461">
            <v>0</v>
          </cell>
          <cell r="Z461">
            <v>0</v>
          </cell>
        </row>
        <row r="462">
          <cell r="E462" t="str">
            <v>82115-0E531</v>
          </cell>
          <cell r="F462">
            <v>3916.7</v>
          </cell>
          <cell r="G462">
            <v>427.86360000000002</v>
          </cell>
          <cell r="H462">
            <v>0.28437999999999997</v>
          </cell>
          <cell r="I462">
            <v>0.41988833333333336</v>
          </cell>
          <cell r="J462">
            <v>5.9901666666666666E-2</v>
          </cell>
          <cell r="K462">
            <v>0.69162666666666661</v>
          </cell>
          <cell r="L462">
            <v>2.0423083333333332</v>
          </cell>
          <cell r="M462">
            <v>5.4115000000000003E-2</v>
          </cell>
          <cell r="N462">
            <v>0.23942666666666668</v>
          </cell>
          <cell r="O462">
            <v>0.22746833333333333</v>
          </cell>
          <cell r="P462">
            <v>9.0886666666666657E-2</v>
          </cell>
          <cell r="Q462">
            <v>0.7641699999999999</v>
          </cell>
          <cell r="R462">
            <v>3.3458316666666663</v>
          </cell>
          <cell r="S462">
            <v>0</v>
          </cell>
          <cell r="T462">
            <v>4.1374999999999995E-2</v>
          </cell>
          <cell r="U462">
            <v>0.19007666666666667</v>
          </cell>
          <cell r="V462">
            <v>4.3414533333333338</v>
          </cell>
          <cell r="W462">
            <v>4.3414497375488281</v>
          </cell>
          <cell r="X462">
            <v>4.3414533333333338</v>
          </cell>
          <cell r="Y462">
            <v>0</v>
          </cell>
          <cell r="Z462">
            <v>0</v>
          </cell>
        </row>
        <row r="463">
          <cell r="E463" t="str">
            <v>82115-0E540</v>
          </cell>
          <cell r="F463">
            <v>3854.4</v>
          </cell>
          <cell r="G463">
            <v>460.04690000000005</v>
          </cell>
          <cell r="H463">
            <v>0.27465000000000001</v>
          </cell>
          <cell r="I463">
            <v>0.39259500000000003</v>
          </cell>
          <cell r="J463">
            <v>5.7224999999999998E-2</v>
          </cell>
          <cell r="K463">
            <v>0.72077666666666673</v>
          </cell>
          <cell r="L463">
            <v>2.0710616666666666</v>
          </cell>
          <cell r="M463">
            <v>5.5160000000000001E-2</v>
          </cell>
          <cell r="N463">
            <v>0.24002666666666667</v>
          </cell>
          <cell r="O463">
            <v>0.22537666666666667</v>
          </cell>
          <cell r="P463">
            <v>0.13025499999999998</v>
          </cell>
          <cell r="Q463">
            <v>0.72447000000000006</v>
          </cell>
          <cell r="R463">
            <v>3.4426566666666663</v>
          </cell>
          <cell r="S463">
            <v>0</v>
          </cell>
          <cell r="T463">
            <v>4.1374999999999995E-2</v>
          </cell>
          <cell r="U463">
            <v>0.13871999999999998</v>
          </cell>
          <cell r="V463">
            <v>4.347221666666667</v>
          </cell>
          <cell r="W463">
            <v>4.3472213745117188</v>
          </cell>
          <cell r="X463">
            <v>4.347221666666667</v>
          </cell>
          <cell r="Y463">
            <v>0</v>
          </cell>
          <cell r="Z463">
            <v>0</v>
          </cell>
        </row>
        <row r="464">
          <cell r="E464" t="str">
            <v>82115-0E541</v>
          </cell>
          <cell r="F464">
            <v>3907.9</v>
          </cell>
          <cell r="G464">
            <v>434.98469999999998</v>
          </cell>
          <cell r="H464">
            <v>0.27569166666666667</v>
          </cell>
          <cell r="I464">
            <v>0.38209333333333334</v>
          </cell>
          <cell r="J464">
            <v>5.7224999999999998E-2</v>
          </cell>
          <cell r="K464">
            <v>0.71835666666666664</v>
          </cell>
          <cell r="L464">
            <v>2.0606183333333332</v>
          </cell>
          <cell r="M464">
            <v>5.4115000000000003E-2</v>
          </cell>
          <cell r="N464">
            <v>0.23942833333333333</v>
          </cell>
          <cell r="O464">
            <v>0.22524166666666667</v>
          </cell>
          <cell r="P464">
            <v>9.1058333333333324E-2</v>
          </cell>
          <cell r="Q464">
            <v>0.71501000000000003</v>
          </cell>
          <cell r="R464">
            <v>3.388818333333333</v>
          </cell>
          <cell r="S464">
            <v>0</v>
          </cell>
          <cell r="T464">
            <v>4.1374999999999995E-2</v>
          </cell>
          <cell r="U464">
            <v>0.17428666666666667</v>
          </cell>
          <cell r="V464">
            <v>4.3194900000000001</v>
          </cell>
          <cell r="W464">
            <v>4.319488525390625</v>
          </cell>
          <cell r="X464">
            <v>4.3194900000000001</v>
          </cell>
          <cell r="Y464">
            <v>0</v>
          </cell>
          <cell r="Z464">
            <v>0</v>
          </cell>
        </row>
        <row r="465">
          <cell r="E465" t="str">
            <v>82115-0E550</v>
          </cell>
          <cell r="F465">
            <v>3881.1</v>
          </cell>
          <cell r="G465">
            <v>473.8922</v>
          </cell>
          <cell r="H465">
            <v>0.28426500000000005</v>
          </cell>
          <cell r="I465">
            <v>0.41633166666666666</v>
          </cell>
          <cell r="J465">
            <v>5.7224999999999998E-2</v>
          </cell>
          <cell r="K465">
            <v>0.74086999999999992</v>
          </cell>
          <cell r="L465">
            <v>2.1171833333333336</v>
          </cell>
          <cell r="M465">
            <v>5.5385000000000004E-2</v>
          </cell>
          <cell r="N465">
            <v>0.24193166666666668</v>
          </cell>
          <cell r="O465">
            <v>0.22677</v>
          </cell>
          <cell r="P465">
            <v>0.13115499999999999</v>
          </cell>
          <cell r="Q465">
            <v>0.75782166666666673</v>
          </cell>
          <cell r="R465">
            <v>3.5132950000000003</v>
          </cell>
          <cell r="S465">
            <v>0</v>
          </cell>
          <cell r="T465">
            <v>4.1374999999999995E-2</v>
          </cell>
          <cell r="U465">
            <v>0.13871999999999998</v>
          </cell>
          <cell r="V465">
            <v>4.4512116666666675</v>
          </cell>
          <cell r="W465">
            <v>4.4512100219726563</v>
          </cell>
          <cell r="X465">
            <v>4.4512116666666675</v>
          </cell>
          <cell r="Y465">
            <v>0</v>
          </cell>
          <cell r="Z465">
            <v>0</v>
          </cell>
        </row>
        <row r="466">
          <cell r="E466" t="str">
            <v>82115-0E551</v>
          </cell>
          <cell r="F466">
            <v>3934.6</v>
          </cell>
          <cell r="G466">
            <v>448.83000000000004</v>
          </cell>
          <cell r="H466">
            <v>0.28530666666666671</v>
          </cell>
          <cell r="I466">
            <v>0.4058316666666667</v>
          </cell>
          <cell r="J466">
            <v>5.7224999999999998E-2</v>
          </cell>
          <cell r="K466">
            <v>0.73845000000000005</v>
          </cell>
          <cell r="L466">
            <v>2.1067416666666667</v>
          </cell>
          <cell r="M466">
            <v>5.4340000000000006E-2</v>
          </cell>
          <cell r="N466">
            <v>0.24133333333333334</v>
          </cell>
          <cell r="O466">
            <v>0.226635</v>
          </cell>
          <cell r="P466">
            <v>9.1958333333333336E-2</v>
          </cell>
          <cell r="Q466">
            <v>0.74836333333333338</v>
          </cell>
          <cell r="R466">
            <v>3.4594583333333331</v>
          </cell>
          <cell r="S466">
            <v>0</v>
          </cell>
          <cell r="T466">
            <v>4.1374999999999995E-2</v>
          </cell>
          <cell r="U466">
            <v>0.17428666666666667</v>
          </cell>
          <cell r="V466">
            <v>4.4234833333333334</v>
          </cell>
          <cell r="W466">
            <v>4.4234809875488281</v>
          </cell>
          <cell r="X466">
            <v>4.4234833333333334</v>
          </cell>
          <cell r="Y466">
            <v>0</v>
          </cell>
          <cell r="Z466">
            <v>0</v>
          </cell>
        </row>
        <row r="467">
          <cell r="E467" t="str">
            <v>82115-0E560 J</v>
          </cell>
          <cell r="F467">
            <v>4022.8</v>
          </cell>
          <cell r="G467">
            <v>448.83000000000004</v>
          </cell>
          <cell r="H467">
            <v>0.2938716666666667</v>
          </cell>
          <cell r="I467">
            <v>0.43401499999999998</v>
          </cell>
          <cell r="J467">
            <v>5.7224999999999998E-2</v>
          </cell>
          <cell r="K467">
            <v>0.75889166666666663</v>
          </cell>
          <cell r="L467">
            <v>2.121235</v>
          </cell>
          <cell r="M467">
            <v>5.5385000000000004E-2</v>
          </cell>
          <cell r="N467">
            <v>0.24249166666666666</v>
          </cell>
          <cell r="O467">
            <v>0.22677</v>
          </cell>
          <cell r="P467">
            <v>0.10174833333333333</v>
          </cell>
          <cell r="Q467">
            <v>0.78511166666666665</v>
          </cell>
          <cell r="R467">
            <v>3.5065216666666661</v>
          </cell>
          <cell r="S467">
            <v>0</v>
          </cell>
          <cell r="T467">
            <v>4.1374999999999995E-2</v>
          </cell>
          <cell r="U467">
            <v>0.17428666666666667</v>
          </cell>
          <cell r="V467">
            <v>4.5072949999999992</v>
          </cell>
          <cell r="W467">
            <v>4.507293701171875</v>
          </cell>
          <cell r="X467">
            <v>4.5072949999999992</v>
          </cell>
          <cell r="Y467">
            <v>0</v>
          </cell>
          <cell r="Z467">
            <v>0</v>
          </cell>
        </row>
        <row r="468">
          <cell r="E468" t="str">
            <v>82115-0E561</v>
          </cell>
          <cell r="F468">
            <v>4124.2</v>
          </cell>
          <cell r="G468">
            <v>448.83000000000004</v>
          </cell>
          <cell r="H468">
            <v>0.29727000000000003</v>
          </cell>
          <cell r="I468">
            <v>0.44273999999999997</v>
          </cell>
          <cell r="J468">
            <v>5.7224999999999998E-2</v>
          </cell>
          <cell r="K468">
            <v>0.7609999999999999</v>
          </cell>
          <cell r="L468">
            <v>2.1272216666666668</v>
          </cell>
          <cell r="M468">
            <v>5.4340000000000006E-2</v>
          </cell>
          <cell r="N468">
            <v>0.24213333333333334</v>
          </cell>
          <cell r="O468">
            <v>0.226635</v>
          </cell>
          <cell r="P468">
            <v>9.1958333333333336E-2</v>
          </cell>
          <cell r="Q468">
            <v>0.79723500000000003</v>
          </cell>
          <cell r="R468">
            <v>3.5032883333333329</v>
          </cell>
          <cell r="S468">
            <v>0</v>
          </cell>
          <cell r="T468">
            <v>4.1374999999999995E-2</v>
          </cell>
          <cell r="U468">
            <v>0.17428666666666667</v>
          </cell>
          <cell r="V468">
            <v>4.5161849999999992</v>
          </cell>
          <cell r="W468">
            <v>4.5161819458007813</v>
          </cell>
          <cell r="X468">
            <v>4.5161849999999992</v>
          </cell>
          <cell r="Y468">
            <v>0</v>
          </cell>
          <cell r="Z468">
            <v>0</v>
          </cell>
        </row>
        <row r="469">
          <cell r="E469" t="str">
            <v>82115-0E570</v>
          </cell>
          <cell r="F469">
            <v>4118.2</v>
          </cell>
          <cell r="G469">
            <v>491.97029999999995</v>
          </cell>
          <cell r="H469">
            <v>0.32709833333333338</v>
          </cell>
          <cell r="I469">
            <v>0.60646999999999995</v>
          </cell>
          <cell r="J469">
            <v>0.10910499999999999</v>
          </cell>
          <cell r="K469">
            <v>0.84247666666666665</v>
          </cell>
          <cell r="L469">
            <v>2.0557950000000003</v>
          </cell>
          <cell r="M469">
            <v>5.9729999999999998E-2</v>
          </cell>
          <cell r="N469">
            <v>0.26977333333333331</v>
          </cell>
          <cell r="O469">
            <v>0.23205333333333333</v>
          </cell>
          <cell r="P469">
            <v>0.12496666666666667</v>
          </cell>
          <cell r="Q469">
            <v>1.0426733333333333</v>
          </cell>
          <cell r="R469">
            <v>3.5847950000000006</v>
          </cell>
          <cell r="S469">
            <v>0</v>
          </cell>
          <cell r="T469">
            <v>4.4259999999999994E-2</v>
          </cell>
          <cell r="U469">
            <v>0.22136166666666668</v>
          </cell>
          <cell r="V469">
            <v>4.8930900000000008</v>
          </cell>
          <cell r="W469">
            <v>4.8930892944335938</v>
          </cell>
          <cell r="X469">
            <v>4.8930900000000008</v>
          </cell>
          <cell r="Y469">
            <v>0</v>
          </cell>
          <cell r="Z469">
            <v>0</v>
          </cell>
        </row>
        <row r="470">
          <cell r="E470" t="str">
            <v>82115-0E580</v>
          </cell>
          <cell r="F470">
            <v>4144.8</v>
          </cell>
          <cell r="G470">
            <v>505.50530000000003</v>
          </cell>
          <cell r="H470">
            <v>0.33683833333333335</v>
          </cell>
          <cell r="I470">
            <v>0.63015166666666667</v>
          </cell>
          <cell r="J470">
            <v>0.10910499999999999</v>
          </cell>
          <cell r="K470">
            <v>0.86256999999999995</v>
          </cell>
          <cell r="L470">
            <v>2.1125783333333334</v>
          </cell>
          <cell r="M470">
            <v>5.9959999999999999E-2</v>
          </cell>
          <cell r="N470">
            <v>0.27167999999999998</v>
          </cell>
          <cell r="O470">
            <v>0.23345166666666667</v>
          </cell>
          <cell r="P470">
            <v>0.12586833333333333</v>
          </cell>
          <cell r="Q470">
            <v>1.076095</v>
          </cell>
          <cell r="R470">
            <v>3.6661083333333333</v>
          </cell>
          <cell r="S470">
            <v>0</v>
          </cell>
          <cell r="T470">
            <v>4.4259999999999994E-2</v>
          </cell>
          <cell r="U470">
            <v>0.22136166666666668</v>
          </cell>
          <cell r="V470">
            <v>5.0078250000000004</v>
          </cell>
          <cell r="W470">
            <v>5.0078239440917969</v>
          </cell>
          <cell r="X470">
            <v>5.0078250000000004</v>
          </cell>
          <cell r="Y470">
            <v>0</v>
          </cell>
          <cell r="Z470">
            <v>0</v>
          </cell>
        </row>
        <row r="471">
          <cell r="E471" t="str">
            <v>82115-0E590</v>
          </cell>
          <cell r="F471">
            <v>4254.8</v>
          </cell>
          <cell r="G471">
            <v>505.50530000000003</v>
          </cell>
          <cell r="H471">
            <v>0.34731333333333331</v>
          </cell>
          <cell r="I471">
            <v>0.66713333333333336</v>
          </cell>
          <cell r="J471">
            <v>0.10910499999999999</v>
          </cell>
          <cell r="K471">
            <v>0.88145333333333331</v>
          </cell>
          <cell r="L471">
            <v>2.1279566666666669</v>
          </cell>
          <cell r="M471">
            <v>5.9959999999999999E-2</v>
          </cell>
          <cell r="N471">
            <v>0.27232000000000001</v>
          </cell>
          <cell r="O471">
            <v>0.23345166666666667</v>
          </cell>
          <cell r="P471">
            <v>0.12586833333333333</v>
          </cell>
          <cell r="Q471">
            <v>1.1235516666666667</v>
          </cell>
          <cell r="R471">
            <v>3.7010100000000006</v>
          </cell>
          <cell r="S471">
            <v>0</v>
          </cell>
          <cell r="T471">
            <v>4.4259999999999994E-2</v>
          </cell>
          <cell r="U471">
            <v>0.22136166666666668</v>
          </cell>
          <cell r="V471">
            <v>5.0901833333333348</v>
          </cell>
          <cell r="W471">
            <v>5.0901832580566406</v>
          </cell>
          <cell r="X471">
            <v>5.0901833333333348</v>
          </cell>
          <cell r="Y471">
            <v>0</v>
          </cell>
          <cell r="Z471">
            <v>0</v>
          </cell>
        </row>
        <row r="472">
          <cell r="E472" t="str">
            <v>82115-0E600</v>
          </cell>
          <cell r="F472">
            <v>4334</v>
          </cell>
          <cell r="G472">
            <v>508.85429999999997</v>
          </cell>
          <cell r="H472">
            <v>0.34014333333333335</v>
          </cell>
          <cell r="I472">
            <v>0.62943333333333329</v>
          </cell>
          <cell r="J472">
            <v>0.10642833333333333</v>
          </cell>
          <cell r="K472">
            <v>0.91184999999999994</v>
          </cell>
          <cell r="L472">
            <v>2.15151</v>
          </cell>
          <cell r="M472">
            <v>5.9959999999999999E-2</v>
          </cell>
          <cell r="N472">
            <v>0.27248166666666668</v>
          </cell>
          <cell r="O472">
            <v>0.23122499999999999</v>
          </cell>
          <cell r="P472">
            <v>0.12603833333333334</v>
          </cell>
          <cell r="Q472">
            <v>1.0760049999999999</v>
          </cell>
          <cell r="R472">
            <v>3.7530649999999994</v>
          </cell>
          <cell r="S472">
            <v>0</v>
          </cell>
          <cell r="T472">
            <v>4.4259999999999994E-2</v>
          </cell>
          <cell r="U472">
            <v>0.20557166666666668</v>
          </cell>
          <cell r="V472">
            <v>5.0789016666666669</v>
          </cell>
          <cell r="W472">
            <v>5.0788993835449219</v>
          </cell>
          <cell r="X472">
            <v>5.0789016666666669</v>
          </cell>
          <cell r="Y472">
            <v>0</v>
          </cell>
          <cell r="Z472">
            <v>0</v>
          </cell>
        </row>
        <row r="473">
          <cell r="E473" t="str">
            <v>82115-0E610</v>
          </cell>
          <cell r="F473">
            <v>4360.6000000000004</v>
          </cell>
          <cell r="G473">
            <v>522.38929999999993</v>
          </cell>
          <cell r="H473">
            <v>0.34974166666666667</v>
          </cell>
          <cell r="I473">
            <v>0.653115</v>
          </cell>
          <cell r="J473">
            <v>0.10642833333333333</v>
          </cell>
          <cell r="K473">
            <v>0.93194333333333335</v>
          </cell>
          <cell r="L473">
            <v>2.1972</v>
          </cell>
          <cell r="M473">
            <v>6.0185000000000002E-2</v>
          </cell>
          <cell r="N473">
            <v>0.27438666666666667</v>
          </cell>
          <cell r="O473">
            <v>0.23261999999999999</v>
          </cell>
          <cell r="P473">
            <v>0.12694</v>
          </cell>
          <cell r="Q473">
            <v>1.1092850000000001</v>
          </cell>
          <cell r="R473">
            <v>3.8232749999999998</v>
          </cell>
          <cell r="S473">
            <v>0</v>
          </cell>
          <cell r="T473">
            <v>4.4259999999999994E-2</v>
          </cell>
          <cell r="U473">
            <v>0.20557166666666668</v>
          </cell>
          <cell r="V473">
            <v>5.1823916666666667</v>
          </cell>
          <cell r="W473">
            <v>5.1823883056640625</v>
          </cell>
          <cell r="X473">
            <v>5.1823916666666667</v>
          </cell>
          <cell r="Y473">
            <v>0</v>
          </cell>
          <cell r="Z473">
            <v>0</v>
          </cell>
        </row>
        <row r="474">
          <cell r="E474" t="str">
            <v>82115-0E620</v>
          </cell>
          <cell r="F474">
            <v>4470.6000000000004</v>
          </cell>
          <cell r="G474">
            <v>522.38929999999993</v>
          </cell>
          <cell r="H474">
            <v>0.36021666666666668</v>
          </cell>
          <cell r="I474">
            <v>0.69009833333333337</v>
          </cell>
          <cell r="J474">
            <v>0.10642833333333333</v>
          </cell>
          <cell r="K474">
            <v>0.9508266666666666</v>
          </cell>
          <cell r="L474">
            <v>2.2124799999999998</v>
          </cell>
          <cell r="M474">
            <v>6.0185000000000002E-2</v>
          </cell>
          <cell r="N474">
            <v>0.27502666666666664</v>
          </cell>
          <cell r="O474">
            <v>0.23261999999999999</v>
          </cell>
          <cell r="P474">
            <v>0.12694</v>
          </cell>
          <cell r="Q474">
            <v>1.1567433333333335</v>
          </cell>
          <cell r="R474">
            <v>3.8580783333333328</v>
          </cell>
          <cell r="S474">
            <v>0</v>
          </cell>
          <cell r="T474">
            <v>4.4259999999999994E-2</v>
          </cell>
          <cell r="U474">
            <v>0.20557166666666668</v>
          </cell>
          <cell r="V474">
            <v>5.2646533333333334</v>
          </cell>
          <cell r="W474">
            <v>5.2646522521972656</v>
          </cell>
          <cell r="X474">
            <v>5.2646533333333334</v>
          </cell>
          <cell r="Y474">
            <v>0</v>
          </cell>
          <cell r="Z474">
            <v>0</v>
          </cell>
        </row>
        <row r="475">
          <cell r="E475" t="str">
            <v>82115-0E671</v>
          </cell>
          <cell r="F475">
            <v>4144.1000000000004</v>
          </cell>
          <cell r="G475">
            <v>547.9905</v>
          </cell>
          <cell r="H475">
            <v>0.32120166666666666</v>
          </cell>
          <cell r="I475">
            <v>0.46876333333333337</v>
          </cell>
          <cell r="J475">
            <v>5.2220000000000003E-2</v>
          </cell>
          <cell r="K475">
            <v>0.82901500000000006</v>
          </cell>
          <cell r="L475">
            <v>2.2879450000000001</v>
          </cell>
          <cell r="M475">
            <v>6.382666666666667E-2</v>
          </cell>
          <cell r="N475">
            <v>0.24995833333333334</v>
          </cell>
          <cell r="O475">
            <v>0.236155</v>
          </cell>
          <cell r="P475">
            <v>9.7678333333333325E-2</v>
          </cell>
          <cell r="Q475">
            <v>0.84218500000000007</v>
          </cell>
          <cell r="R475">
            <v>3.7645783333333336</v>
          </cell>
          <cell r="S475">
            <v>0</v>
          </cell>
          <cell r="T475">
            <v>4.1333333333333333E-2</v>
          </cell>
          <cell r="U475">
            <v>0.19947166666666669</v>
          </cell>
          <cell r="V475">
            <v>4.8475683333333333</v>
          </cell>
          <cell r="W475">
            <v>4.847564697265625</v>
          </cell>
          <cell r="X475">
            <v>4.8475683333333333</v>
          </cell>
          <cell r="Y475">
            <v>0</v>
          </cell>
          <cell r="Z475">
            <v>0</v>
          </cell>
        </row>
        <row r="476">
          <cell r="E476" t="str">
            <v>82115-0E681</v>
          </cell>
          <cell r="F476">
            <v>3882.7</v>
          </cell>
          <cell r="G476">
            <v>529.67430000000002</v>
          </cell>
          <cell r="H476">
            <v>0.30766333333333334</v>
          </cell>
          <cell r="I476">
            <v>0.44768000000000002</v>
          </cell>
          <cell r="J476">
            <v>5.489666666666667E-2</v>
          </cell>
          <cell r="K476">
            <v>0.7734833333333333</v>
          </cell>
          <cell r="L476">
            <v>2.270775</v>
          </cell>
          <cell r="M476">
            <v>6.3051666666666673E-2</v>
          </cell>
          <cell r="N476">
            <v>0.24927833333333332</v>
          </cell>
          <cell r="O476">
            <v>0.23901500000000001</v>
          </cell>
          <cell r="P476">
            <v>9.8649999999999988E-2</v>
          </cell>
          <cell r="Q476">
            <v>0.81024000000000007</v>
          </cell>
          <cell r="R476">
            <v>3.6942533333333336</v>
          </cell>
          <cell r="S476">
            <v>0</v>
          </cell>
          <cell r="T476">
            <v>4.1333333333333333E-2</v>
          </cell>
          <cell r="U476">
            <v>0.21849500000000002</v>
          </cell>
          <cell r="V476">
            <v>4.7643216666666666</v>
          </cell>
          <cell r="W476">
            <v>4.7643203735351563</v>
          </cell>
          <cell r="X476">
            <v>4.7643216666666666</v>
          </cell>
          <cell r="Y476">
            <v>0</v>
          </cell>
          <cell r="Z476">
            <v>0</v>
          </cell>
        </row>
        <row r="477">
          <cell r="E477" t="str">
            <v>82115-0E691</v>
          </cell>
          <cell r="F477">
            <v>4360.8999999999996</v>
          </cell>
          <cell r="G477">
            <v>509.5231</v>
          </cell>
          <cell r="H477">
            <v>0.37564333333333333</v>
          </cell>
          <cell r="I477">
            <v>0.7453466666666666</v>
          </cell>
          <cell r="J477">
            <v>7.0373333333333343E-2</v>
          </cell>
          <cell r="K477">
            <v>0.97956499999999991</v>
          </cell>
          <cell r="L477">
            <v>2.3134900000000003</v>
          </cell>
          <cell r="M477">
            <v>6.8246666666666664E-2</v>
          </cell>
          <cell r="N477">
            <v>0.27055000000000001</v>
          </cell>
          <cell r="O477">
            <v>0.24013833333333334</v>
          </cell>
          <cell r="P477">
            <v>9.9303333333333327E-2</v>
          </cell>
          <cell r="Q477">
            <v>1.1913633333333333</v>
          </cell>
          <cell r="R477">
            <v>3.9712933333333336</v>
          </cell>
          <cell r="S477">
            <v>0</v>
          </cell>
          <cell r="T477">
            <v>4.4219999999999995E-2</v>
          </cell>
          <cell r="U477">
            <v>0.22772666666666666</v>
          </cell>
          <cell r="V477">
            <v>5.4346033333333335</v>
          </cell>
          <cell r="W477">
            <v>5.434600830078125</v>
          </cell>
          <cell r="X477">
            <v>5.4346033333333335</v>
          </cell>
          <cell r="Y477">
            <v>0</v>
          </cell>
          <cell r="Z477">
            <v>0</v>
          </cell>
        </row>
        <row r="478">
          <cell r="E478" t="str">
            <v>82115-0E701</v>
          </cell>
          <cell r="F478">
            <v>4337.7</v>
          </cell>
          <cell r="G478">
            <v>509.5231</v>
          </cell>
          <cell r="H478">
            <v>0.373695</v>
          </cell>
          <cell r="I478">
            <v>0.7362466666666666</v>
          </cell>
          <cell r="J478">
            <v>7.0373333333333343E-2</v>
          </cell>
          <cell r="K478">
            <v>0.97787833333333329</v>
          </cell>
          <cell r="L478">
            <v>2.3110416666666667</v>
          </cell>
          <cell r="M478">
            <v>6.8246666666666664E-2</v>
          </cell>
          <cell r="N478">
            <v>0.27047000000000004</v>
          </cell>
          <cell r="O478">
            <v>0.24013833333333334</v>
          </cell>
          <cell r="P478">
            <v>9.9303333333333327E-2</v>
          </cell>
          <cell r="Q478">
            <v>1.180315</v>
          </cell>
          <cell r="R478">
            <v>3.9670783333333333</v>
          </cell>
          <cell r="S478">
            <v>0</v>
          </cell>
          <cell r="T478">
            <v>4.4219999999999995E-2</v>
          </cell>
          <cell r="U478">
            <v>0.22772666666666666</v>
          </cell>
          <cell r="V478">
            <v>5.41934</v>
          </cell>
          <cell r="W478">
            <v>5.4193382263183594</v>
          </cell>
          <cell r="X478">
            <v>5.41934</v>
          </cell>
          <cell r="Y478">
            <v>0</v>
          </cell>
          <cell r="Z478">
            <v>0</v>
          </cell>
        </row>
        <row r="479">
          <cell r="E479" t="str">
            <v>82115-0E711</v>
          </cell>
          <cell r="F479">
            <v>4099.3</v>
          </cell>
          <cell r="G479">
            <v>491.37700000000001</v>
          </cell>
          <cell r="H479">
            <v>0.36209999999999998</v>
          </cell>
          <cell r="I479">
            <v>0.72414833333333339</v>
          </cell>
          <cell r="J479">
            <v>7.3050000000000004E-2</v>
          </cell>
          <cell r="K479">
            <v>0.92403333333333337</v>
          </cell>
          <cell r="L479">
            <v>2.2959783333333332</v>
          </cell>
          <cell r="M479">
            <v>6.7476666666666671E-2</v>
          </cell>
          <cell r="N479">
            <v>0.26987166666666668</v>
          </cell>
          <cell r="O479">
            <v>0.24069333333333331</v>
          </cell>
          <cell r="P479">
            <v>0.10027499999999999</v>
          </cell>
          <cell r="Q479">
            <v>1.1592983333333333</v>
          </cell>
          <cell r="R479">
            <v>3.8983283333333332</v>
          </cell>
          <cell r="S479">
            <v>0</v>
          </cell>
          <cell r="T479">
            <v>4.4219999999999995E-2</v>
          </cell>
          <cell r="U479">
            <v>0.24675</v>
          </cell>
          <cell r="V479">
            <v>5.3485966666666664</v>
          </cell>
          <cell r="W479">
            <v>5.3485946655273438</v>
          </cell>
          <cell r="X479">
            <v>5.3485966666666664</v>
          </cell>
          <cell r="Y479">
            <v>0</v>
          </cell>
          <cell r="Z479">
            <v>0</v>
          </cell>
        </row>
        <row r="480">
          <cell r="E480" t="str">
            <v>82115-0E721</v>
          </cell>
          <cell r="F480">
            <v>4076.2</v>
          </cell>
          <cell r="G480">
            <v>491.37700000000001</v>
          </cell>
          <cell r="H480">
            <v>0.36015333333333338</v>
          </cell>
          <cell r="I480">
            <v>0.7150483333333334</v>
          </cell>
          <cell r="J480">
            <v>7.3050000000000004E-2</v>
          </cell>
          <cell r="K480">
            <v>0.92234666666666665</v>
          </cell>
          <cell r="L480">
            <v>2.2935299999999996</v>
          </cell>
          <cell r="M480">
            <v>6.7476666666666671E-2</v>
          </cell>
          <cell r="N480">
            <v>0.26979166666666665</v>
          </cell>
          <cell r="O480">
            <v>0.24069333333333331</v>
          </cell>
          <cell r="P480">
            <v>0.10027499999999999</v>
          </cell>
          <cell r="Q480">
            <v>1.1482516666666669</v>
          </cell>
          <cell r="R480">
            <v>3.8941133333333329</v>
          </cell>
          <cell r="S480">
            <v>0</v>
          </cell>
          <cell r="T480">
            <v>4.4219999999999995E-2</v>
          </cell>
          <cell r="U480">
            <v>0.24675</v>
          </cell>
          <cell r="V480">
            <v>5.3333349999999999</v>
          </cell>
          <cell r="W480">
            <v>5.3333320617675781</v>
          </cell>
          <cell r="X480">
            <v>5.3333349999999999</v>
          </cell>
          <cell r="Y480">
            <v>0</v>
          </cell>
          <cell r="Z480">
            <v>0</v>
          </cell>
        </row>
        <row r="481">
          <cell r="E481" t="str">
            <v>82115-0E731</v>
          </cell>
          <cell r="F481">
            <v>3816.6</v>
          </cell>
          <cell r="G481">
            <v>474.68860000000001</v>
          </cell>
          <cell r="H481">
            <v>0.29593166666666665</v>
          </cell>
          <cell r="I481">
            <v>0.43614666666666668</v>
          </cell>
          <cell r="J481">
            <v>5.489666666666667E-2</v>
          </cell>
          <cell r="K481">
            <v>0.74860499999999996</v>
          </cell>
          <cell r="L481">
            <v>2.2170816666666666</v>
          </cell>
          <cell r="M481">
            <v>6.2861666666666663E-2</v>
          </cell>
          <cell r="N481">
            <v>0.24491166666666667</v>
          </cell>
          <cell r="O481">
            <v>0.22840666666666667</v>
          </cell>
          <cell r="P481">
            <v>9.7936666666666658E-2</v>
          </cell>
          <cell r="Q481">
            <v>0.78697500000000009</v>
          </cell>
          <cell r="R481">
            <v>3.5998033333333335</v>
          </cell>
          <cell r="S481">
            <v>0</v>
          </cell>
          <cell r="T481">
            <v>4.1333333333333333E-2</v>
          </cell>
          <cell r="U481">
            <v>0.21849500000000002</v>
          </cell>
          <cell r="V481">
            <v>4.646606666666667</v>
          </cell>
          <cell r="W481">
            <v>4.6466064453125</v>
          </cell>
          <cell r="X481">
            <v>4.646606666666667</v>
          </cell>
          <cell r="Y481">
            <v>0</v>
          </cell>
          <cell r="Z481">
            <v>0</v>
          </cell>
        </row>
        <row r="482">
          <cell r="E482" t="str">
            <v>82115-0EA00 H</v>
          </cell>
          <cell r="F482">
            <v>3815.5</v>
          </cell>
          <cell r="G482">
            <v>380.3888</v>
          </cell>
          <cell r="H482">
            <v>0.27199333333333336</v>
          </cell>
          <cell r="I482">
            <v>0.3483033333333333</v>
          </cell>
          <cell r="J482">
            <v>5.4841666666666671E-2</v>
          </cell>
          <cell r="K482">
            <v>0.66726166666666664</v>
          </cell>
          <cell r="L482">
            <v>2.0134633333333332</v>
          </cell>
          <cell r="M482">
            <v>5.5145E-2</v>
          </cell>
          <cell r="N482">
            <v>0.23606833333333332</v>
          </cell>
          <cell r="O482">
            <v>0.22680666666666666</v>
          </cell>
          <cell r="P482">
            <v>0.10060166666666667</v>
          </cell>
          <cell r="Q482">
            <v>0.6751383333333334</v>
          </cell>
          <cell r="R482">
            <v>3.2993466666666662</v>
          </cell>
          <cell r="S482">
            <v>0</v>
          </cell>
          <cell r="T482">
            <v>4.1374999999999995E-2</v>
          </cell>
          <cell r="U482">
            <v>0.19007666666666667</v>
          </cell>
          <cell r="V482">
            <v>4.2059366666666662</v>
          </cell>
          <cell r="W482">
            <v>4.2059364318847656</v>
          </cell>
          <cell r="X482">
            <v>4.2059366666666662</v>
          </cell>
          <cell r="Y482">
            <v>0</v>
          </cell>
          <cell r="Z482">
            <v>0</v>
          </cell>
        </row>
        <row r="483">
          <cell r="E483" t="str">
            <v>82115-0EA10 H</v>
          </cell>
          <cell r="F483">
            <v>4157.3999999999996</v>
          </cell>
          <cell r="G483">
            <v>437.41830000000004</v>
          </cell>
          <cell r="H483">
            <v>0.32620499999999997</v>
          </cell>
          <cell r="I483">
            <v>0.60106499999999996</v>
          </cell>
          <cell r="J483">
            <v>0.10910499999999999</v>
          </cell>
          <cell r="K483">
            <v>0.82906499999999994</v>
          </cell>
          <cell r="L483">
            <v>2.0638383333333334</v>
          </cell>
          <cell r="M483">
            <v>6.1995000000000001E-2</v>
          </cell>
          <cell r="N483">
            <v>0.26759166666666662</v>
          </cell>
          <cell r="O483">
            <v>0.23476666666666668</v>
          </cell>
          <cell r="P483">
            <v>0.10259</v>
          </cell>
          <cell r="Q483">
            <v>1.0363749999999998</v>
          </cell>
          <cell r="R483">
            <v>3.559846666666667</v>
          </cell>
          <cell r="S483">
            <v>0</v>
          </cell>
          <cell r="T483">
            <v>4.4259999999999994E-2</v>
          </cell>
          <cell r="U483">
            <v>0.22136166666666668</v>
          </cell>
          <cell r="V483">
            <v>4.8618433333333337</v>
          </cell>
          <cell r="W483">
            <v>4.8618431091308594</v>
          </cell>
          <cell r="X483">
            <v>4.8618433333333337</v>
          </cell>
          <cell r="Y483">
            <v>0</v>
          </cell>
          <cell r="Z483">
            <v>0</v>
          </cell>
        </row>
        <row r="484">
          <cell r="E484" t="str">
            <v>82115-0EA20</v>
          </cell>
          <cell r="F484">
            <v>3727.4</v>
          </cell>
          <cell r="G484">
            <v>443.28470000000004</v>
          </cell>
          <cell r="H484">
            <v>0.27032166666666668</v>
          </cell>
          <cell r="I484">
            <v>0.3992816666666667</v>
          </cell>
          <cell r="J484">
            <v>5.9901666666666666E-2</v>
          </cell>
          <cell r="K484">
            <v>0.66859999999999997</v>
          </cell>
          <cell r="L484">
            <v>1.9995366666666667</v>
          </cell>
          <cell r="M484">
            <v>5.493E-2</v>
          </cell>
          <cell r="N484">
            <v>0.23787833333333333</v>
          </cell>
          <cell r="O484">
            <v>0.22620333333333334</v>
          </cell>
          <cell r="P484">
            <v>0.12918333333333334</v>
          </cell>
          <cell r="Q484">
            <v>0.72950499999999996</v>
          </cell>
          <cell r="R484">
            <v>3.3163316666666667</v>
          </cell>
          <cell r="S484">
            <v>0</v>
          </cell>
          <cell r="T484">
            <v>4.1374999999999995E-2</v>
          </cell>
          <cell r="U484">
            <v>0.15774333333333332</v>
          </cell>
          <cell r="V484">
            <v>4.244955</v>
          </cell>
          <cell r="W484">
            <v>4.2449531555175781</v>
          </cell>
          <cell r="X484">
            <v>4.244955</v>
          </cell>
          <cell r="Y484">
            <v>0</v>
          </cell>
          <cell r="Z484">
            <v>0</v>
          </cell>
        </row>
        <row r="485">
          <cell r="E485" t="str">
            <v>82115-0EA21</v>
          </cell>
          <cell r="F485">
            <v>3890</v>
          </cell>
          <cell r="G485">
            <v>414.01829999999995</v>
          </cell>
          <cell r="H485">
            <v>0.27476333333333336</v>
          </cell>
          <cell r="I485">
            <v>0.39615166666666668</v>
          </cell>
          <cell r="J485">
            <v>5.9901666666666666E-2</v>
          </cell>
          <cell r="K485">
            <v>0.67153333333333332</v>
          </cell>
          <cell r="L485">
            <v>1.9966166666666667</v>
          </cell>
          <cell r="M485">
            <v>5.3884999999999995E-2</v>
          </cell>
          <cell r="N485">
            <v>0.23752000000000001</v>
          </cell>
          <cell r="O485">
            <v>0.22606833333333334</v>
          </cell>
          <cell r="P485">
            <v>8.9986666666666673E-2</v>
          </cell>
          <cell r="Q485">
            <v>0.73081666666666667</v>
          </cell>
          <cell r="R485">
            <v>3.2756100000000004</v>
          </cell>
          <cell r="S485">
            <v>0</v>
          </cell>
          <cell r="T485">
            <v>4.1374999999999995E-2</v>
          </cell>
          <cell r="U485">
            <v>0.19007666666666667</v>
          </cell>
          <cell r="V485">
            <v>4.2378783333333345</v>
          </cell>
          <cell r="W485">
            <v>4.2378768920898438</v>
          </cell>
          <cell r="X485">
            <v>4.2378783333333345</v>
          </cell>
          <cell r="Y485">
            <v>0</v>
          </cell>
          <cell r="Z485">
            <v>0</v>
          </cell>
        </row>
        <row r="486">
          <cell r="E486" t="str">
            <v>82115-0EA30</v>
          </cell>
          <cell r="F486">
            <v>3942.7</v>
          </cell>
          <cell r="G486">
            <v>460.04690000000005</v>
          </cell>
          <cell r="H486">
            <v>0.28321333333333332</v>
          </cell>
          <cell r="I486">
            <v>0.42077833333333337</v>
          </cell>
          <cell r="J486">
            <v>5.7224999999999998E-2</v>
          </cell>
          <cell r="K486">
            <v>0.73797333333333326</v>
          </cell>
          <cell r="L486">
            <v>2.084025</v>
          </cell>
          <cell r="M486">
            <v>5.5160000000000001E-2</v>
          </cell>
          <cell r="N486">
            <v>0.24058666666666667</v>
          </cell>
          <cell r="O486">
            <v>0.22537666666666667</v>
          </cell>
          <cell r="P486">
            <v>0.13025499999999998</v>
          </cell>
          <cell r="Q486">
            <v>0.76121666666666665</v>
          </cell>
          <cell r="R486">
            <v>3.4733766666666663</v>
          </cell>
          <cell r="S486">
            <v>0</v>
          </cell>
          <cell r="T486">
            <v>4.1374999999999995E-2</v>
          </cell>
          <cell r="U486">
            <v>0.13871999999999998</v>
          </cell>
          <cell r="V486">
            <v>4.4146883333333333</v>
          </cell>
          <cell r="W486">
            <v>4.4146881103515625</v>
          </cell>
          <cell r="X486">
            <v>4.4146883333333333</v>
          </cell>
          <cell r="Y486">
            <v>0</v>
          </cell>
          <cell r="Z486">
            <v>0</v>
          </cell>
        </row>
        <row r="487">
          <cell r="E487" t="str">
            <v>82115-0EA31</v>
          </cell>
          <cell r="F487">
            <v>4097.5</v>
          </cell>
          <cell r="G487">
            <v>434.98469999999998</v>
          </cell>
          <cell r="H487">
            <v>0.28765499999999999</v>
          </cell>
          <cell r="I487">
            <v>0.41900333333333334</v>
          </cell>
          <cell r="J487">
            <v>5.7224999999999998E-2</v>
          </cell>
          <cell r="K487">
            <v>0.74090666666666671</v>
          </cell>
          <cell r="L487">
            <v>2.0811000000000002</v>
          </cell>
          <cell r="M487">
            <v>5.4115000000000003E-2</v>
          </cell>
          <cell r="N487">
            <v>0.24022833333333335</v>
          </cell>
          <cell r="O487">
            <v>0.22524166666666667</v>
          </cell>
          <cell r="P487">
            <v>9.1058333333333324E-2</v>
          </cell>
          <cell r="Q487">
            <v>0.76388333333333336</v>
          </cell>
          <cell r="R487">
            <v>3.4326500000000002</v>
          </cell>
          <cell r="S487">
            <v>0</v>
          </cell>
          <cell r="T487">
            <v>4.1374999999999995E-2</v>
          </cell>
          <cell r="U487">
            <v>0.17428666666666667</v>
          </cell>
          <cell r="V487">
            <v>4.4121950000000005</v>
          </cell>
          <cell r="W487">
            <v>4.4121932983398438</v>
          </cell>
          <cell r="X487">
            <v>4.4121950000000005</v>
          </cell>
          <cell r="Y487">
            <v>0</v>
          </cell>
          <cell r="Z487">
            <v>0</v>
          </cell>
        </row>
        <row r="488">
          <cell r="E488" t="str">
            <v>82115-0EA40</v>
          </cell>
          <cell r="F488">
            <v>4228.2</v>
          </cell>
          <cell r="G488">
            <v>491.97029999999995</v>
          </cell>
          <cell r="H488">
            <v>0.33757166666666666</v>
          </cell>
          <cell r="I488">
            <v>0.64345333333333332</v>
          </cell>
          <cell r="J488">
            <v>0.10910499999999999</v>
          </cell>
          <cell r="K488">
            <v>0.86136000000000001</v>
          </cell>
          <cell r="L488">
            <v>2.0711733333333333</v>
          </cell>
          <cell r="M488">
            <v>5.9729999999999998E-2</v>
          </cell>
          <cell r="N488">
            <v>0.27041333333333328</v>
          </cell>
          <cell r="O488">
            <v>0.23205333333333333</v>
          </cell>
          <cell r="P488">
            <v>0.12496666666666667</v>
          </cell>
          <cell r="Q488">
            <v>1.09013</v>
          </cell>
          <cell r="R488">
            <v>3.619696666666667</v>
          </cell>
          <cell r="S488">
            <v>0</v>
          </cell>
          <cell r="T488">
            <v>4.4259999999999994E-2</v>
          </cell>
          <cell r="U488">
            <v>0.22136166666666668</v>
          </cell>
          <cell r="V488">
            <v>4.9754483333333344</v>
          </cell>
          <cell r="W488">
            <v>4.9754447937011719</v>
          </cell>
          <cell r="X488">
            <v>4.9754483333333344</v>
          </cell>
          <cell r="Y488">
            <v>0</v>
          </cell>
          <cell r="Z488">
            <v>0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er"/>
      <sheetName val="SPP (Plan)"/>
      <sheetName val="SPP (Actual)"/>
      <sheetName val="PROD ACT vs PROD STF "/>
      <sheetName val="PROD ACT vs PROD STF  (%)"/>
      <sheetName val="SR ACT vs STF (SALES)(%)"/>
      <sheetName val="Forecast Comp Pack"/>
      <sheetName val="Graph(1)"/>
      <sheetName val="P42M-L42N-J42H (2) "/>
      <sheetName val="J32U (3)"/>
      <sheetName val="900B (4)"/>
      <sheetName val="200D.220D (5)"/>
      <sheetName val="152B ENG-150B (6)"/>
      <sheetName val="350B  (7)"/>
      <sheetName val="P33A-GT43 (8)"/>
      <sheetName val="J72AK (10)"/>
      <sheetName val="J30A (10 copy)"/>
      <sheetName val="TNGA (11 print)"/>
      <sheetName val="737W (12)"/>
      <sheetName val="BC SAI (13)"/>
      <sheetName val="sheet approval"/>
    </sheetNames>
    <sheetDataSet>
      <sheetData sheetId="0"/>
      <sheetData sheetId="1">
        <row r="14">
          <cell r="F14">
            <v>19</v>
          </cell>
          <cell r="I14">
            <v>17</v>
          </cell>
          <cell r="L14">
            <v>22</v>
          </cell>
          <cell r="O14">
            <v>18</v>
          </cell>
          <cell r="R14">
            <v>23</v>
          </cell>
          <cell r="U14">
            <v>22</v>
          </cell>
          <cell r="X14">
            <v>19</v>
          </cell>
        </row>
        <row r="15">
          <cell r="F15">
            <v>5</v>
          </cell>
          <cell r="I15">
            <v>3</v>
          </cell>
          <cell r="L15">
            <v>2</v>
          </cell>
          <cell r="O15">
            <v>2</v>
          </cell>
          <cell r="R15">
            <v>2</v>
          </cell>
          <cell r="U15">
            <v>2</v>
          </cell>
          <cell r="X15">
            <v>2</v>
          </cell>
        </row>
      </sheetData>
      <sheetData sheetId="2">
        <row r="87">
          <cell r="J87">
            <v>27450</v>
          </cell>
        </row>
      </sheetData>
      <sheetData sheetId="3"/>
      <sheetData sheetId="4"/>
      <sheetData sheetId="5"/>
      <sheetData sheetId="6"/>
      <sheetData sheetId="7">
        <row r="16">
          <cell r="N1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M"/>
      <sheetName val="down rate"/>
      <sheetName val="(AS-400 Jembatan)"/>
      <sheetName val="(AS-400 Transfer)"/>
      <sheetName val="WEEK"/>
    </sheetNames>
    <sheetDataSet>
      <sheetData sheetId="0">
        <row r="15">
          <cell r="C15" t="str">
            <v>82111-FET00</v>
          </cell>
        </row>
        <row r="54">
          <cell r="M54">
            <v>3352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TP"/>
      <sheetName val="Calender"/>
      <sheetName val="SPP"/>
      <sheetName val="VAR"/>
      <sheetName val="Graph"/>
      <sheetName val="Graph XX"/>
      <sheetName val="Graph UL"/>
      <sheetName val="Graph J48J"/>
      <sheetName val=" Simulasi XX"/>
      <sheetName val="Simulasi UL"/>
      <sheetName val="Simulasi AL"/>
      <sheetName val="Simulasi J48J"/>
      <sheetName val="Simulasi J56P"/>
      <sheetName val=" Simulasi 358W"/>
      <sheetName val=" Simulasi L42A"/>
      <sheetName val="PROD. PLAN ( SR#070118) -- Feb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59">
          <cell r="G59">
            <v>400</v>
          </cell>
          <cell r="J59">
            <v>400</v>
          </cell>
          <cell r="M59">
            <v>400</v>
          </cell>
          <cell r="P59">
            <v>540</v>
          </cell>
          <cell r="S59">
            <v>540</v>
          </cell>
          <cell r="V59">
            <v>540</v>
          </cell>
        </row>
      </sheetData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TP Term 68"/>
      <sheetName val="Summary STP Term 69"/>
      <sheetName val="Summary STP"/>
      <sheetName val="Calender"/>
      <sheetName val="VAR (2 Week)"/>
      <sheetName val="VAR (MO 2 month)"/>
      <sheetName val="SPP (Actual)"/>
      <sheetName val="SPP (Plan)"/>
      <sheetName val="Graph"/>
      <sheetName val="Simulasi GM Holden"/>
      <sheetName val="Simulasi UL"/>
      <sheetName val="Simulasi Teana &amp; HEV"/>
      <sheetName val=" Simulasi L42A"/>
      <sheetName val="Simulasi J48P new"/>
      <sheetName val="Simulasi J48P"/>
      <sheetName val="Simulasi J61A &amp; front&amp;P42D(LHD)"/>
      <sheetName val="Simulasi J61A &amp; P42D"/>
      <sheetName val="Simulasi J74G"/>
      <sheetName val="Simulasi J61A &amp; J61S "/>
      <sheetName val="Simulasi J61A ( EC &amp; UK)"/>
      <sheetName val=" Simulasi J61S"/>
      <sheetName val="Simulasi L42C &amp; P42D (RHD)"/>
      <sheetName val="Simulasi AL"/>
      <sheetName val=" Simulasi 433W"/>
      <sheetName val="P42D LHD"/>
      <sheetName val=" Simulasi 358W"/>
      <sheetName val="L53E"/>
      <sheetName val="D51G"/>
      <sheetName val="Prod Cap"/>
    </sheetNames>
    <sheetDataSet>
      <sheetData sheetId="0" refreshError="1"/>
      <sheetData sheetId="1" refreshError="1"/>
      <sheetData sheetId="2" refreshError="1"/>
      <sheetData sheetId="3" refreshError="1">
        <row r="324">
          <cell r="A324" t="str">
            <v>JAN</v>
          </cell>
          <cell r="B324">
            <v>22</v>
          </cell>
          <cell r="C324">
            <v>4</v>
          </cell>
          <cell r="D324">
            <v>1</v>
          </cell>
          <cell r="E324">
            <v>7</v>
          </cell>
          <cell r="F324" t="str">
            <v>12/30- 01/08</v>
          </cell>
          <cell r="I324" t="str">
            <v>30/DEC ~ 29/JAN</v>
          </cell>
        </row>
        <row r="325">
          <cell r="D325">
            <v>2</v>
          </cell>
          <cell r="E325">
            <v>5</v>
          </cell>
          <cell r="F325" t="str">
            <v>01/11- 01/15</v>
          </cell>
        </row>
        <row r="326">
          <cell r="D326">
            <v>3</v>
          </cell>
          <cell r="E326">
            <v>5</v>
          </cell>
          <cell r="F326" t="str">
            <v>01/18 - 01/22</v>
          </cell>
        </row>
        <row r="327">
          <cell r="D327">
            <v>4</v>
          </cell>
          <cell r="E327">
            <v>5</v>
          </cell>
          <cell r="F327" t="str">
            <v>01/25 - 01/29</v>
          </cell>
        </row>
        <row r="329">
          <cell r="A329" t="str">
            <v>FEB</v>
          </cell>
          <cell r="B329">
            <v>19</v>
          </cell>
          <cell r="C329">
            <v>4</v>
          </cell>
          <cell r="D329">
            <v>1</v>
          </cell>
          <cell r="E329">
            <v>5</v>
          </cell>
          <cell r="F329" t="str">
            <v>02/01 - 02/05</v>
          </cell>
          <cell r="I329" t="str">
            <v>02/FEB ~ 25/FEB</v>
          </cell>
        </row>
        <row r="330">
          <cell r="D330">
            <v>2</v>
          </cell>
          <cell r="E330">
            <v>5</v>
          </cell>
          <cell r="F330" t="str">
            <v>02/08 - 02/12</v>
          </cell>
        </row>
        <row r="331">
          <cell r="D331">
            <v>3</v>
          </cell>
          <cell r="E331">
            <v>5</v>
          </cell>
          <cell r="F331" t="str">
            <v>02/15 - 02/19</v>
          </cell>
        </row>
        <row r="332">
          <cell r="D332">
            <v>4</v>
          </cell>
          <cell r="E332">
            <v>4</v>
          </cell>
          <cell r="F332" t="str">
            <v>02/22 - 02/25</v>
          </cell>
        </row>
        <row r="334">
          <cell r="A334" t="str">
            <v>MAR</v>
          </cell>
          <cell r="B334">
            <v>23</v>
          </cell>
          <cell r="C334">
            <v>5</v>
          </cell>
          <cell r="D334">
            <v>1</v>
          </cell>
          <cell r="E334">
            <v>5</v>
          </cell>
          <cell r="F334" t="str">
            <v>03/01 - 03/05</v>
          </cell>
          <cell r="I334" t="str">
            <v>01/MAR ~ 4/APR</v>
          </cell>
        </row>
        <row r="335">
          <cell r="D335">
            <v>2</v>
          </cell>
          <cell r="E335">
            <v>5</v>
          </cell>
          <cell r="F335" t="str">
            <v>03/08 - 03/12</v>
          </cell>
        </row>
        <row r="336">
          <cell r="D336">
            <v>3</v>
          </cell>
          <cell r="E336">
            <v>4</v>
          </cell>
          <cell r="F336" t="str">
            <v>03/17 - 03/20</v>
          </cell>
        </row>
        <row r="337">
          <cell r="D337">
            <v>4</v>
          </cell>
          <cell r="E337">
            <v>5</v>
          </cell>
          <cell r="F337" t="str">
            <v>03/22 - 03/26</v>
          </cell>
        </row>
        <row r="338">
          <cell r="D338">
            <v>5</v>
          </cell>
          <cell r="E338">
            <v>4</v>
          </cell>
          <cell r="F338" t="str">
            <v>03/29 - 04/01</v>
          </cell>
        </row>
        <row r="339">
          <cell r="A339" t="str">
            <v>APR</v>
          </cell>
          <cell r="B339">
            <v>20</v>
          </cell>
          <cell r="C339">
            <v>4</v>
          </cell>
          <cell r="D339">
            <v>1</v>
          </cell>
          <cell r="E339">
            <v>5</v>
          </cell>
          <cell r="F339" t="str">
            <v>04/05 - 04/09</v>
          </cell>
          <cell r="I339" t="str">
            <v>05/APR ~ 30/APR</v>
          </cell>
        </row>
        <row r="340">
          <cell r="D340">
            <v>2</v>
          </cell>
          <cell r="E340">
            <v>5</v>
          </cell>
          <cell r="F340" t="str">
            <v>04/12 - 04/16</v>
          </cell>
        </row>
        <row r="341">
          <cell r="D341">
            <v>3</v>
          </cell>
          <cell r="E341">
            <v>5</v>
          </cell>
          <cell r="F341" t="str">
            <v>04/19 - 04/23</v>
          </cell>
        </row>
        <row r="342">
          <cell r="D342">
            <v>4</v>
          </cell>
          <cell r="E342">
            <v>5</v>
          </cell>
          <cell r="F342" t="str">
            <v>04/26 - 04/30</v>
          </cell>
        </row>
        <row r="344">
          <cell r="A344" t="str">
            <v>MAY</v>
          </cell>
          <cell r="B344">
            <v>17</v>
          </cell>
          <cell r="C344">
            <v>4</v>
          </cell>
          <cell r="D344">
            <v>1</v>
          </cell>
          <cell r="E344">
            <v>5</v>
          </cell>
          <cell r="F344" t="str">
            <v>05/03 - 05/07</v>
          </cell>
          <cell r="I344" t="str">
            <v>03/MAY ~ 27/MAY</v>
          </cell>
        </row>
        <row r="345">
          <cell r="D345">
            <v>2</v>
          </cell>
          <cell r="E345">
            <v>3</v>
          </cell>
          <cell r="F345" t="str">
            <v>05/10 - 05/12</v>
          </cell>
        </row>
        <row r="346">
          <cell r="D346">
            <v>3</v>
          </cell>
          <cell r="E346">
            <v>5</v>
          </cell>
          <cell r="F346" t="str">
            <v>05/17 - 05/21</v>
          </cell>
        </row>
        <row r="347">
          <cell r="D347">
            <v>4</v>
          </cell>
          <cell r="E347">
            <v>4</v>
          </cell>
          <cell r="F347" t="str">
            <v>05/24 - 05/27</v>
          </cell>
        </row>
        <row r="349">
          <cell r="A349" t="str">
            <v>JUN</v>
          </cell>
          <cell r="B349">
            <v>25</v>
          </cell>
          <cell r="C349">
            <v>5</v>
          </cell>
          <cell r="D349">
            <v>1</v>
          </cell>
          <cell r="E349">
            <v>5</v>
          </cell>
          <cell r="F349" t="str">
            <v>05/31 - 06/04</v>
          </cell>
          <cell r="I349" t="str">
            <v>31/MAY ~ 2/JUL</v>
          </cell>
        </row>
        <row r="350">
          <cell r="D350">
            <v>2</v>
          </cell>
          <cell r="E350">
            <v>5</v>
          </cell>
          <cell r="F350" t="str">
            <v>06/07 - 06/11</v>
          </cell>
        </row>
        <row r="351">
          <cell r="D351">
            <v>3</v>
          </cell>
          <cell r="E351">
            <v>5</v>
          </cell>
          <cell r="F351" t="str">
            <v>06/14 - 06/18</v>
          </cell>
        </row>
        <row r="352">
          <cell r="D352">
            <v>4</v>
          </cell>
          <cell r="E352">
            <v>5</v>
          </cell>
          <cell r="F352" t="str">
            <v>06/21 - 06/25</v>
          </cell>
        </row>
        <row r="353">
          <cell r="D353">
            <v>5</v>
          </cell>
          <cell r="E353">
            <v>5</v>
          </cell>
          <cell r="F353" t="str">
            <v>06/28 - 07/02</v>
          </cell>
        </row>
        <row r="354">
          <cell r="A354" t="str">
            <v>JUL</v>
          </cell>
          <cell r="B354">
            <v>20</v>
          </cell>
          <cell r="C354">
            <v>4</v>
          </cell>
          <cell r="D354">
            <v>1</v>
          </cell>
          <cell r="E354">
            <v>5</v>
          </cell>
          <cell r="F354" t="str">
            <v>07/05 - 07/09</v>
          </cell>
          <cell r="I354" t="str">
            <v>05/JUL ~ 30/JUL</v>
          </cell>
        </row>
        <row r="355">
          <cell r="D355">
            <v>2</v>
          </cell>
          <cell r="E355">
            <v>5</v>
          </cell>
          <cell r="F355" t="str">
            <v>07/12 - 07/16</v>
          </cell>
        </row>
        <row r="356">
          <cell r="D356">
            <v>3</v>
          </cell>
          <cell r="E356">
            <v>5</v>
          </cell>
          <cell r="F356" t="str">
            <v>07/19 - 07/23</v>
          </cell>
        </row>
        <row r="357">
          <cell r="D357">
            <v>4</v>
          </cell>
          <cell r="E357">
            <v>5</v>
          </cell>
          <cell r="F357" t="str">
            <v>07/26 - 07/30</v>
          </cell>
        </row>
        <row r="359">
          <cell r="A359" t="str">
            <v>AUG</v>
          </cell>
          <cell r="B359">
            <v>19</v>
          </cell>
          <cell r="C359">
            <v>4</v>
          </cell>
          <cell r="D359">
            <v>1</v>
          </cell>
          <cell r="E359">
            <v>5</v>
          </cell>
          <cell r="F359" t="str">
            <v>08/02 - 08/06</v>
          </cell>
          <cell r="I359" t="str">
            <v>02/AUG ~ 27/AUG</v>
          </cell>
        </row>
        <row r="360">
          <cell r="D360">
            <v>2</v>
          </cell>
          <cell r="E360">
            <v>5</v>
          </cell>
          <cell r="F360" t="str">
            <v>08/09 - 08/13</v>
          </cell>
        </row>
        <row r="361">
          <cell r="D361">
            <v>3</v>
          </cell>
          <cell r="E361">
            <v>4</v>
          </cell>
          <cell r="F361" t="str">
            <v>08/18 - 08/21</v>
          </cell>
        </row>
        <row r="362">
          <cell r="D362">
            <v>4</v>
          </cell>
          <cell r="E362">
            <v>5</v>
          </cell>
          <cell r="F362" t="str">
            <v>08/23 - 08/27</v>
          </cell>
        </row>
        <row r="364">
          <cell r="A364" t="str">
            <v>SEP</v>
          </cell>
          <cell r="B364">
            <v>22</v>
          </cell>
          <cell r="C364">
            <v>5</v>
          </cell>
          <cell r="D364">
            <v>1</v>
          </cell>
          <cell r="E364">
            <v>5</v>
          </cell>
          <cell r="F364" t="str">
            <v>08/30 - 09/03</v>
          </cell>
          <cell r="I364" t="str">
            <v>30/AUG ~ 01/OCT</v>
          </cell>
        </row>
        <row r="365">
          <cell r="D365">
            <v>2</v>
          </cell>
          <cell r="E365">
            <v>2</v>
          </cell>
          <cell r="F365" t="str">
            <v>09/06 - 09/07</v>
          </cell>
        </row>
        <row r="366">
          <cell r="D366">
            <v>3</v>
          </cell>
          <cell r="E366">
            <v>5</v>
          </cell>
          <cell r="F366" t="str">
            <v>09/14 - 09/18</v>
          </cell>
        </row>
        <row r="367">
          <cell r="D367">
            <v>4</v>
          </cell>
          <cell r="E367">
            <v>5</v>
          </cell>
          <cell r="F367" t="str">
            <v>09/20 - 09/24</v>
          </cell>
        </row>
        <row r="368">
          <cell r="D368">
            <v>5</v>
          </cell>
          <cell r="E368">
            <v>5</v>
          </cell>
          <cell r="F368" t="str">
            <v>09/27 - 10/01</v>
          </cell>
        </row>
        <row r="369">
          <cell r="A369" t="str">
            <v>OCT</v>
          </cell>
          <cell r="B369">
            <v>20</v>
          </cell>
          <cell r="C369">
            <v>4</v>
          </cell>
          <cell r="D369">
            <v>1</v>
          </cell>
          <cell r="E369">
            <v>5</v>
          </cell>
          <cell r="F369" t="str">
            <v>10/04 - 10/08</v>
          </cell>
          <cell r="I369" t="str">
            <v>04/OCT ~ 29/OCT</v>
          </cell>
        </row>
        <row r="370">
          <cell r="D370">
            <v>2</v>
          </cell>
          <cell r="E370">
            <v>5</v>
          </cell>
          <cell r="F370" t="str">
            <v>10/11 - 10/15</v>
          </cell>
        </row>
        <row r="371">
          <cell r="D371">
            <v>3</v>
          </cell>
          <cell r="E371">
            <v>5</v>
          </cell>
          <cell r="F371" t="str">
            <v>10/18 - 10/22</v>
          </cell>
        </row>
        <row r="372">
          <cell r="D372">
            <v>4</v>
          </cell>
          <cell r="E372">
            <v>5</v>
          </cell>
          <cell r="F372" t="str">
            <v>10/25 - 10/29</v>
          </cell>
        </row>
        <row r="374">
          <cell r="A374" t="str">
            <v>NOV</v>
          </cell>
          <cell r="B374">
            <v>23</v>
          </cell>
          <cell r="C374">
            <v>5</v>
          </cell>
          <cell r="D374">
            <v>1</v>
          </cell>
          <cell r="E374">
            <v>5</v>
          </cell>
          <cell r="F374" t="str">
            <v>11/01 - 11/05</v>
          </cell>
          <cell r="I374" t="str">
            <v>01/NOV ~ 03/DEC</v>
          </cell>
        </row>
        <row r="375">
          <cell r="D375">
            <v>2</v>
          </cell>
          <cell r="E375">
            <v>5</v>
          </cell>
          <cell r="F375" t="str">
            <v>11/08 - 11/12</v>
          </cell>
        </row>
        <row r="376">
          <cell r="D376">
            <v>3</v>
          </cell>
          <cell r="E376">
            <v>3</v>
          </cell>
          <cell r="F376" t="str">
            <v>11/18 - 11/20</v>
          </cell>
        </row>
        <row r="377">
          <cell r="D377">
            <v>4</v>
          </cell>
          <cell r="E377">
            <v>5</v>
          </cell>
          <cell r="F377" t="str">
            <v>11/22 - 12/26</v>
          </cell>
        </row>
        <row r="378">
          <cell r="D378">
            <v>5</v>
          </cell>
          <cell r="E378">
            <v>5</v>
          </cell>
          <cell r="F378" t="str">
            <v>11/29 - 12/03</v>
          </cell>
        </row>
        <row r="379">
          <cell r="A379" t="str">
            <v>DEC</v>
          </cell>
          <cell r="B379">
            <v>19</v>
          </cell>
          <cell r="C379">
            <v>4</v>
          </cell>
          <cell r="D379">
            <v>1</v>
          </cell>
          <cell r="E379">
            <v>4</v>
          </cell>
          <cell r="F379" t="str">
            <v>12/08 - 12/11</v>
          </cell>
          <cell r="I379" t="str">
            <v>08/DEC ~ 31/DEC</v>
          </cell>
        </row>
        <row r="380">
          <cell r="D380">
            <v>2</v>
          </cell>
          <cell r="E380">
            <v>5</v>
          </cell>
          <cell r="F380" t="str">
            <v>12/13 - 12/17</v>
          </cell>
        </row>
        <row r="381">
          <cell r="D381">
            <v>3</v>
          </cell>
          <cell r="E381">
            <v>5</v>
          </cell>
          <cell r="F381" t="str">
            <v>12/20 - 12/24</v>
          </cell>
        </row>
        <row r="382">
          <cell r="D382">
            <v>4</v>
          </cell>
          <cell r="E382">
            <v>5</v>
          </cell>
          <cell r="F382" t="str">
            <v>12/27 - 12/31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TP Term 68"/>
      <sheetName val="Summary STP Term 69"/>
      <sheetName val="Summary STP"/>
      <sheetName val="Calender"/>
      <sheetName val="VAR (2 Week)"/>
      <sheetName val="VAR (MO 2 month)"/>
      <sheetName val="SPP (Actual)"/>
      <sheetName val="SPP (Plan)"/>
      <sheetName val="Graph"/>
      <sheetName val=" Simulasi L42A"/>
      <sheetName val="L53E"/>
      <sheetName val="Simulasi L42C &amp; P42D (RHD)"/>
      <sheetName val="Simulasi GM Holden"/>
      <sheetName val="Simulasi UL"/>
      <sheetName val="Simulasi Teana &amp; HEV &amp; P42D-YD"/>
      <sheetName val="Simulasi J48P new"/>
      <sheetName val="Simulasi J48P"/>
      <sheetName val="Simulasi J61A &amp; front&amp;P42D(LHD)"/>
      <sheetName val="Simulasi J42H"/>
      <sheetName val="Simulasi J74G"/>
      <sheetName val="Simulasi J74G (IP 3 team)"/>
      <sheetName val="Simulasi  J61S "/>
      <sheetName val="Simulasi J61A ( EC &amp; UK)"/>
      <sheetName val=" Simulasi J61S"/>
      <sheetName val="Simulasi AL"/>
      <sheetName val=" Simulasi 433W"/>
      <sheetName val="P42D LHD"/>
      <sheetName val=" Simulasi 358W"/>
      <sheetName val="D51G"/>
      <sheetName val="Prod Cap"/>
    </sheetNames>
    <sheetDataSet>
      <sheetData sheetId="0" refreshError="1"/>
      <sheetData sheetId="1" refreshError="1"/>
      <sheetData sheetId="2" refreshError="1"/>
      <sheetData sheetId="3" refreshError="1">
        <row r="386">
          <cell r="A386" t="str">
            <v>JAN</v>
          </cell>
          <cell r="B386">
            <v>21</v>
          </cell>
          <cell r="C386">
            <v>4</v>
          </cell>
          <cell r="D386">
            <v>1</v>
          </cell>
          <cell r="E386">
            <v>5</v>
          </cell>
          <cell r="F386" t="str">
            <v>01/03- 01/07</v>
          </cell>
          <cell r="G386">
            <v>0</v>
          </cell>
          <cell r="H386">
            <v>0</v>
          </cell>
          <cell r="I386" t="str">
            <v>03/JAN~ 31/JAN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2</v>
          </cell>
          <cell r="E387">
            <v>5</v>
          </cell>
          <cell r="F387" t="str">
            <v>01/10- 01/14</v>
          </cell>
          <cell r="G387">
            <v>0</v>
          </cell>
          <cell r="H387">
            <v>0</v>
          </cell>
          <cell r="I387">
            <v>0</v>
          </cell>
        </row>
        <row r="388">
          <cell r="A388">
            <v>0</v>
          </cell>
          <cell r="B388">
            <v>0</v>
          </cell>
          <cell r="C388">
            <v>0</v>
          </cell>
          <cell r="D388">
            <v>3</v>
          </cell>
          <cell r="E388">
            <v>5</v>
          </cell>
          <cell r="F388" t="str">
            <v>01/17 - 01/21</v>
          </cell>
          <cell r="G388">
            <v>0</v>
          </cell>
          <cell r="H388">
            <v>0</v>
          </cell>
          <cell r="I388">
            <v>0</v>
          </cell>
        </row>
        <row r="389">
          <cell r="A389">
            <v>0</v>
          </cell>
          <cell r="B389">
            <v>0</v>
          </cell>
          <cell r="C389">
            <v>0</v>
          </cell>
          <cell r="D389">
            <v>4</v>
          </cell>
          <cell r="E389">
            <v>6</v>
          </cell>
          <cell r="F389" t="str">
            <v>01/24 - 01/31</v>
          </cell>
          <cell r="G389">
            <v>0</v>
          </cell>
          <cell r="H389">
            <v>0</v>
          </cell>
          <cell r="I389">
            <v>0</v>
          </cell>
        </row>
        <row r="390">
          <cell r="A390">
            <v>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FEB</v>
          </cell>
          <cell r="B391">
            <v>18</v>
          </cell>
          <cell r="C391">
            <v>4</v>
          </cell>
          <cell r="D391">
            <v>1</v>
          </cell>
          <cell r="E391">
            <v>3</v>
          </cell>
          <cell r="F391" t="str">
            <v>02/01 - 02/04</v>
          </cell>
          <cell r="G391">
            <v>0</v>
          </cell>
          <cell r="H391">
            <v>0</v>
          </cell>
          <cell r="I391" t="str">
            <v>01/FEB ~ 28/FEB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2</v>
          </cell>
          <cell r="E392">
            <v>5</v>
          </cell>
          <cell r="F392" t="str">
            <v>02/07 - 02/11</v>
          </cell>
          <cell r="G392">
            <v>0</v>
          </cell>
          <cell r="H392">
            <v>0</v>
          </cell>
          <cell r="I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3</v>
          </cell>
          <cell r="E393">
            <v>4</v>
          </cell>
          <cell r="F393" t="str">
            <v>02/14 - 02/18</v>
          </cell>
          <cell r="G393">
            <v>0</v>
          </cell>
          <cell r="H393">
            <v>0</v>
          </cell>
          <cell r="I393">
            <v>0</v>
          </cell>
        </row>
        <row r="394">
          <cell r="A394">
            <v>0</v>
          </cell>
          <cell r="B394">
            <v>0</v>
          </cell>
          <cell r="C394">
            <v>0</v>
          </cell>
          <cell r="D394">
            <v>4</v>
          </cell>
          <cell r="E394">
            <v>6</v>
          </cell>
          <cell r="F394" t="str">
            <v>02/21 - 02/28</v>
          </cell>
          <cell r="G394">
            <v>0</v>
          </cell>
          <cell r="H394">
            <v>0</v>
          </cell>
          <cell r="I394">
            <v>0</v>
          </cell>
        </row>
        <row r="395">
          <cell r="A395">
            <v>0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MAR</v>
          </cell>
          <cell r="B396">
            <v>23</v>
          </cell>
          <cell r="C396">
            <v>5</v>
          </cell>
          <cell r="D396">
            <v>1</v>
          </cell>
          <cell r="E396">
            <v>4</v>
          </cell>
          <cell r="F396" t="str">
            <v>03/01 - 03/04</v>
          </cell>
          <cell r="G396">
            <v>0</v>
          </cell>
          <cell r="H396">
            <v>0</v>
          </cell>
          <cell r="I396" t="str">
            <v>01/MAR ~ 31/MAR</v>
          </cell>
        </row>
        <row r="397">
          <cell r="A397">
            <v>0</v>
          </cell>
          <cell r="B397">
            <v>0</v>
          </cell>
          <cell r="C397">
            <v>0</v>
          </cell>
          <cell r="D397">
            <v>2</v>
          </cell>
          <cell r="E397">
            <v>5</v>
          </cell>
          <cell r="F397" t="str">
            <v>03/07 - 03/11</v>
          </cell>
          <cell r="G397">
            <v>0</v>
          </cell>
          <cell r="H397">
            <v>0</v>
          </cell>
          <cell r="I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3</v>
          </cell>
          <cell r="E398">
            <v>5</v>
          </cell>
          <cell r="F398" t="str">
            <v>03/14 - 03/18</v>
          </cell>
          <cell r="G398">
            <v>0</v>
          </cell>
          <cell r="H398">
            <v>0</v>
          </cell>
          <cell r="I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4</v>
          </cell>
          <cell r="E399">
            <v>5</v>
          </cell>
          <cell r="F399" t="str">
            <v>03/21 - 03/25</v>
          </cell>
          <cell r="G399">
            <v>0</v>
          </cell>
          <cell r="H399">
            <v>0</v>
          </cell>
          <cell r="I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5</v>
          </cell>
          <cell r="E400">
            <v>4</v>
          </cell>
          <cell r="F400" t="str">
            <v>03/28 - 03/31</v>
          </cell>
          <cell r="G400">
            <v>0</v>
          </cell>
          <cell r="H400">
            <v>0</v>
          </cell>
          <cell r="I40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TP Term 68"/>
      <sheetName val="Summary STP Term 69"/>
      <sheetName val="Summary STP"/>
      <sheetName val="Calender"/>
      <sheetName val="VAR (2 Week)"/>
      <sheetName val="VAR (MO 2 month)"/>
      <sheetName val="SPP (Actual)"/>
      <sheetName val="SPP (Plan)"/>
      <sheetName val="Graph"/>
      <sheetName val=" L42A"/>
      <sheetName val="L53E"/>
      <sheetName val="L42C &amp; P42D (RHD)"/>
      <sheetName val="GM Holden"/>
      <sheetName val="Simulasi UL"/>
      <sheetName val="L42F &amp; HEV &amp; P42D-YD"/>
      <sheetName val="Simulasi J48P new"/>
      <sheetName val="Simulasi J48P"/>
      <sheetName val="Simulasi J61A &amp; front&amp;P42D(LHD)"/>
      <sheetName val="J42H"/>
      <sheetName val="J74G"/>
      <sheetName val="J74G (IP 3 team)"/>
      <sheetName val="J61S "/>
      <sheetName val="Simulasi J61A ( EC &amp; UK)"/>
      <sheetName val=" Simulasi J61S"/>
      <sheetName val="Simulasi AL"/>
      <sheetName val="377A"/>
      <sheetName val="P42D LHD"/>
      <sheetName val=" Simulasi 358W"/>
      <sheetName val="D51G"/>
      <sheetName val="Prod Cap"/>
    </sheetNames>
    <sheetDataSet>
      <sheetData sheetId="0" refreshError="1"/>
      <sheetData sheetId="1" refreshError="1"/>
      <sheetData sheetId="2" refreshError="1"/>
      <sheetData sheetId="3" refreshError="1">
        <row r="386">
          <cell r="A386" t="str">
            <v>JAN</v>
          </cell>
          <cell r="B386">
            <v>21</v>
          </cell>
          <cell r="C386">
            <v>4</v>
          </cell>
          <cell r="D386">
            <v>1</v>
          </cell>
          <cell r="E386">
            <v>5</v>
          </cell>
          <cell r="F386" t="str">
            <v>01/03- 01/07</v>
          </cell>
          <cell r="G386">
            <v>5</v>
          </cell>
          <cell r="H386">
            <v>5</v>
          </cell>
          <cell r="I386" t="str">
            <v>03/JAN~ 31/JAN</v>
          </cell>
        </row>
        <row r="387">
          <cell r="A387">
            <v>5</v>
          </cell>
          <cell r="B387">
            <v>5</v>
          </cell>
          <cell r="C387">
            <v>5</v>
          </cell>
          <cell r="D387">
            <v>2</v>
          </cell>
          <cell r="E387">
            <v>5</v>
          </cell>
          <cell r="F387" t="str">
            <v>01/10- 01/14</v>
          </cell>
          <cell r="G387">
            <v>5</v>
          </cell>
          <cell r="H387">
            <v>5</v>
          </cell>
          <cell r="I387">
            <v>5</v>
          </cell>
        </row>
        <row r="388">
          <cell r="A388">
            <v>5</v>
          </cell>
          <cell r="B388">
            <v>5</v>
          </cell>
          <cell r="C388">
            <v>5</v>
          </cell>
          <cell r="D388">
            <v>3</v>
          </cell>
          <cell r="E388">
            <v>5</v>
          </cell>
          <cell r="F388" t="str">
            <v>01/17 - 01/21</v>
          </cell>
          <cell r="G388">
            <v>5</v>
          </cell>
          <cell r="H388">
            <v>5</v>
          </cell>
          <cell r="I388">
            <v>5</v>
          </cell>
        </row>
        <row r="389">
          <cell r="A389">
            <v>5</v>
          </cell>
          <cell r="B389">
            <v>5</v>
          </cell>
          <cell r="C389">
            <v>5</v>
          </cell>
          <cell r="D389">
            <v>4</v>
          </cell>
          <cell r="E389">
            <v>6</v>
          </cell>
          <cell r="F389" t="str">
            <v>01/24 - 01/31</v>
          </cell>
          <cell r="G389">
            <v>6</v>
          </cell>
          <cell r="H389">
            <v>6</v>
          </cell>
          <cell r="I389">
            <v>6</v>
          </cell>
        </row>
        <row r="390">
          <cell r="A390">
            <v>6</v>
          </cell>
          <cell r="B390">
            <v>6</v>
          </cell>
          <cell r="C390">
            <v>6</v>
          </cell>
          <cell r="D390">
            <v>6</v>
          </cell>
          <cell r="E390">
            <v>6</v>
          </cell>
          <cell r="F390">
            <v>6</v>
          </cell>
          <cell r="G390">
            <v>6</v>
          </cell>
          <cell r="H390">
            <v>6</v>
          </cell>
          <cell r="I390">
            <v>6</v>
          </cell>
        </row>
        <row r="391">
          <cell r="A391" t="str">
            <v>FEB</v>
          </cell>
          <cell r="B391">
            <v>19</v>
          </cell>
          <cell r="C391">
            <v>4</v>
          </cell>
          <cell r="D391">
            <v>1</v>
          </cell>
          <cell r="E391">
            <v>4</v>
          </cell>
          <cell r="F391" t="str">
            <v>02/01 - 02/05</v>
          </cell>
          <cell r="G391">
            <v>4</v>
          </cell>
          <cell r="H391">
            <v>4</v>
          </cell>
          <cell r="I391" t="str">
            <v>01/FEB ~ 28/FEB</v>
          </cell>
        </row>
        <row r="392">
          <cell r="A392">
            <v>4</v>
          </cell>
          <cell r="B392">
            <v>4</v>
          </cell>
          <cell r="C392">
            <v>4</v>
          </cell>
          <cell r="D392">
            <v>2</v>
          </cell>
          <cell r="E392">
            <v>5</v>
          </cell>
          <cell r="F392" t="str">
            <v>02/07 - 02/11</v>
          </cell>
          <cell r="G392">
            <v>5</v>
          </cell>
          <cell r="H392">
            <v>5</v>
          </cell>
          <cell r="I392">
            <v>5</v>
          </cell>
        </row>
        <row r="393">
          <cell r="A393">
            <v>5</v>
          </cell>
          <cell r="B393">
            <v>5</v>
          </cell>
          <cell r="C393">
            <v>5</v>
          </cell>
          <cell r="D393">
            <v>3</v>
          </cell>
          <cell r="E393">
            <v>4</v>
          </cell>
          <cell r="F393" t="str">
            <v>02/14 - 02/18</v>
          </cell>
          <cell r="G393">
            <v>4</v>
          </cell>
          <cell r="H393">
            <v>4</v>
          </cell>
          <cell r="I393">
            <v>4</v>
          </cell>
        </row>
        <row r="394">
          <cell r="A394">
            <v>4</v>
          </cell>
          <cell r="B394">
            <v>4</v>
          </cell>
          <cell r="C394">
            <v>4</v>
          </cell>
          <cell r="D394">
            <v>4</v>
          </cell>
          <cell r="E394">
            <v>6</v>
          </cell>
          <cell r="F394" t="str">
            <v>02/21 - 02/28</v>
          </cell>
          <cell r="G394">
            <v>6</v>
          </cell>
          <cell r="H394">
            <v>6</v>
          </cell>
          <cell r="I394">
            <v>6</v>
          </cell>
        </row>
        <row r="395">
          <cell r="A395">
            <v>6</v>
          </cell>
          <cell r="B395">
            <v>6</v>
          </cell>
          <cell r="C395">
            <v>6</v>
          </cell>
          <cell r="D395">
            <v>6</v>
          </cell>
          <cell r="E395">
            <v>6</v>
          </cell>
          <cell r="F395">
            <v>6</v>
          </cell>
          <cell r="G395">
            <v>6</v>
          </cell>
          <cell r="H395">
            <v>6</v>
          </cell>
          <cell r="I395">
            <v>6</v>
          </cell>
        </row>
        <row r="396">
          <cell r="A396" t="str">
            <v>MAR</v>
          </cell>
          <cell r="B396">
            <v>22</v>
          </cell>
          <cell r="C396">
            <v>5</v>
          </cell>
          <cell r="D396">
            <v>1</v>
          </cell>
          <cell r="E396">
            <v>3</v>
          </cell>
          <cell r="F396" t="str">
            <v>03/01 - 03/04</v>
          </cell>
          <cell r="G396">
            <v>3</v>
          </cell>
          <cell r="H396">
            <v>3</v>
          </cell>
          <cell r="I396" t="str">
            <v>01/MAR ~ 31/MAR</v>
          </cell>
        </row>
        <row r="397">
          <cell r="A397">
            <v>3</v>
          </cell>
          <cell r="B397">
            <v>3</v>
          </cell>
          <cell r="C397">
            <v>3</v>
          </cell>
          <cell r="D397">
            <v>2</v>
          </cell>
          <cell r="E397">
            <v>5</v>
          </cell>
          <cell r="F397" t="str">
            <v>03/07 - 03/11</v>
          </cell>
          <cell r="G397">
            <v>5</v>
          </cell>
          <cell r="H397">
            <v>5</v>
          </cell>
          <cell r="I397">
            <v>5</v>
          </cell>
        </row>
        <row r="398">
          <cell r="A398">
            <v>5</v>
          </cell>
          <cell r="B398">
            <v>5</v>
          </cell>
          <cell r="C398">
            <v>5</v>
          </cell>
          <cell r="D398">
            <v>3</v>
          </cell>
          <cell r="E398">
            <v>5</v>
          </cell>
          <cell r="F398" t="str">
            <v>03/14 - 03/18</v>
          </cell>
          <cell r="G398">
            <v>5</v>
          </cell>
          <cell r="H398">
            <v>5</v>
          </cell>
          <cell r="I398">
            <v>5</v>
          </cell>
        </row>
        <row r="399">
          <cell r="A399">
            <v>5</v>
          </cell>
          <cell r="B399">
            <v>5</v>
          </cell>
          <cell r="C399">
            <v>5</v>
          </cell>
          <cell r="D399">
            <v>4</v>
          </cell>
          <cell r="E399">
            <v>5</v>
          </cell>
          <cell r="F399" t="str">
            <v>03/21 - 03/25</v>
          </cell>
          <cell r="G399">
            <v>5</v>
          </cell>
          <cell r="H399">
            <v>5</v>
          </cell>
          <cell r="I399">
            <v>5</v>
          </cell>
        </row>
        <row r="400">
          <cell r="A400">
            <v>5</v>
          </cell>
          <cell r="B400">
            <v>5</v>
          </cell>
          <cell r="C400">
            <v>5</v>
          </cell>
          <cell r="D400">
            <v>5</v>
          </cell>
          <cell r="E400">
            <v>4</v>
          </cell>
          <cell r="F400" t="str">
            <v>03/28 - 03/31</v>
          </cell>
          <cell r="G400">
            <v>4</v>
          </cell>
          <cell r="H400">
            <v>4</v>
          </cell>
          <cell r="I400">
            <v>4</v>
          </cell>
        </row>
        <row r="401">
          <cell r="A401" t="str">
            <v>APR</v>
          </cell>
          <cell r="B401">
            <v>19</v>
          </cell>
          <cell r="C401">
            <v>4</v>
          </cell>
          <cell r="D401">
            <v>1</v>
          </cell>
          <cell r="E401">
            <v>5</v>
          </cell>
          <cell r="F401" t="str">
            <v>04/01 - 04/09</v>
          </cell>
          <cell r="G401">
            <v>5</v>
          </cell>
          <cell r="H401">
            <v>5</v>
          </cell>
          <cell r="I401" t="str">
            <v>01/APR ~ 29/APR</v>
          </cell>
        </row>
        <row r="402">
          <cell r="A402">
            <v>5</v>
          </cell>
          <cell r="B402">
            <v>5</v>
          </cell>
          <cell r="C402">
            <v>5</v>
          </cell>
          <cell r="D402">
            <v>2</v>
          </cell>
          <cell r="E402">
            <v>5</v>
          </cell>
          <cell r="F402" t="str">
            <v>04/11 - 04/15</v>
          </cell>
          <cell r="G402">
            <v>5</v>
          </cell>
          <cell r="H402">
            <v>5</v>
          </cell>
          <cell r="I402">
            <v>5</v>
          </cell>
        </row>
        <row r="403">
          <cell r="A403">
            <v>5</v>
          </cell>
          <cell r="B403">
            <v>5</v>
          </cell>
          <cell r="C403">
            <v>5</v>
          </cell>
          <cell r="D403">
            <v>3</v>
          </cell>
          <cell r="E403">
            <v>4</v>
          </cell>
          <cell r="F403" t="str">
            <v>03/18 - 04/22</v>
          </cell>
          <cell r="G403">
            <v>4</v>
          </cell>
          <cell r="H403">
            <v>4</v>
          </cell>
          <cell r="I403">
            <v>4</v>
          </cell>
        </row>
        <row r="404">
          <cell r="A404">
            <v>4</v>
          </cell>
          <cell r="B404">
            <v>4</v>
          </cell>
          <cell r="C404">
            <v>4</v>
          </cell>
          <cell r="D404">
            <v>4</v>
          </cell>
          <cell r="E404">
            <v>5</v>
          </cell>
          <cell r="F404" t="str">
            <v>04/25 - 04/29</v>
          </cell>
          <cell r="G404">
            <v>5</v>
          </cell>
          <cell r="H404">
            <v>5</v>
          </cell>
          <cell r="I404">
            <v>5</v>
          </cell>
        </row>
        <row r="405">
          <cell r="A405">
            <v>5</v>
          </cell>
          <cell r="B405">
            <v>5</v>
          </cell>
          <cell r="C405">
            <v>5</v>
          </cell>
          <cell r="D405">
            <v>5</v>
          </cell>
          <cell r="E405">
            <v>5</v>
          </cell>
          <cell r="F405">
            <v>5</v>
          </cell>
          <cell r="G405">
            <v>5</v>
          </cell>
          <cell r="H405">
            <v>5</v>
          </cell>
          <cell r="I405">
            <v>5</v>
          </cell>
        </row>
        <row r="406">
          <cell r="A406" t="str">
            <v>MAY</v>
          </cell>
          <cell r="B406">
            <v>21</v>
          </cell>
          <cell r="C406">
            <v>4</v>
          </cell>
          <cell r="D406">
            <v>1</v>
          </cell>
          <cell r="E406">
            <v>5</v>
          </cell>
          <cell r="F406" t="str">
            <v>05/02 - 05/06</v>
          </cell>
          <cell r="G406">
            <v>5</v>
          </cell>
          <cell r="H406">
            <v>5</v>
          </cell>
          <cell r="I406" t="str">
            <v>02/MAY ~ 31/MAY</v>
          </cell>
        </row>
        <row r="407">
          <cell r="A407">
            <v>5</v>
          </cell>
          <cell r="B407">
            <v>5</v>
          </cell>
          <cell r="C407">
            <v>5</v>
          </cell>
          <cell r="D407">
            <v>2</v>
          </cell>
          <cell r="E407">
            <v>5</v>
          </cell>
          <cell r="F407" t="str">
            <v>05/9 - 05/13</v>
          </cell>
          <cell r="G407">
            <v>5</v>
          </cell>
          <cell r="H407">
            <v>5</v>
          </cell>
          <cell r="I407">
            <v>5</v>
          </cell>
        </row>
        <row r="408">
          <cell r="A408">
            <v>5</v>
          </cell>
          <cell r="B408">
            <v>5</v>
          </cell>
          <cell r="C408">
            <v>5</v>
          </cell>
          <cell r="D408">
            <v>3</v>
          </cell>
          <cell r="E408">
            <v>4</v>
          </cell>
          <cell r="F408" t="str">
            <v>05/16 - 05/21</v>
          </cell>
          <cell r="G408">
            <v>4</v>
          </cell>
          <cell r="H408">
            <v>4</v>
          </cell>
          <cell r="I408">
            <v>4</v>
          </cell>
        </row>
        <row r="409">
          <cell r="A409">
            <v>4</v>
          </cell>
          <cell r="B409">
            <v>4</v>
          </cell>
          <cell r="C409">
            <v>4</v>
          </cell>
          <cell r="D409">
            <v>4</v>
          </cell>
          <cell r="E409">
            <v>7</v>
          </cell>
          <cell r="F409" t="str">
            <v>05/23 - 05/31</v>
          </cell>
          <cell r="G409">
            <v>7</v>
          </cell>
          <cell r="H409">
            <v>7</v>
          </cell>
          <cell r="I409">
            <v>7</v>
          </cell>
        </row>
        <row r="410">
          <cell r="A410">
            <v>7</v>
          </cell>
          <cell r="B410">
            <v>7</v>
          </cell>
          <cell r="C410">
            <v>7</v>
          </cell>
          <cell r="D410">
            <v>7</v>
          </cell>
          <cell r="E410">
            <v>7</v>
          </cell>
          <cell r="F410">
            <v>7</v>
          </cell>
          <cell r="G410">
            <v>7</v>
          </cell>
          <cell r="H410">
            <v>7</v>
          </cell>
          <cell r="I410">
            <v>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ACY"/>
      <sheetName val="J74G"/>
      <sheetName val="ATENZA"/>
      <sheetName val="PRIUS"/>
      <sheetName val="DAIHATSU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 xml:space="preserve">82111-47340 H </v>
          </cell>
          <cell r="D3" t="str">
            <v>0902</v>
          </cell>
          <cell r="E3">
            <v>4.2796599999999989</v>
          </cell>
          <cell r="F3">
            <v>9911</v>
          </cell>
          <cell r="I3">
            <v>4.2541000000000002</v>
          </cell>
        </row>
        <row r="4">
          <cell r="C4" t="str">
            <v xml:space="preserve">82111-47410 J </v>
          </cell>
          <cell r="D4" t="str">
            <v>0401</v>
          </cell>
          <cell r="E4">
            <v>4.0314099999999993</v>
          </cell>
          <cell r="F4" t="str">
            <v>A434</v>
          </cell>
          <cell r="G4">
            <v>0</v>
          </cell>
          <cell r="H4">
            <v>0</v>
          </cell>
          <cell r="I4">
            <v>4.0053999999999998</v>
          </cell>
        </row>
        <row r="5">
          <cell r="C5" t="str">
            <v xml:space="preserve">82111-47460 H </v>
          </cell>
          <cell r="D5" t="str">
            <v>0802</v>
          </cell>
          <cell r="E5">
            <v>4.4175000000000004</v>
          </cell>
          <cell r="F5" t="str">
            <v>A427</v>
          </cell>
          <cell r="G5">
            <v>0</v>
          </cell>
          <cell r="H5">
            <v>0</v>
          </cell>
          <cell r="I5">
            <v>4.3861999999999997</v>
          </cell>
        </row>
        <row r="6">
          <cell r="C6" t="str">
            <v xml:space="preserve">82111-47380 H  </v>
          </cell>
          <cell r="D6">
            <v>0</v>
          </cell>
          <cell r="E6">
            <v>4.1453516666666665</v>
          </cell>
          <cell r="F6">
            <v>9404</v>
          </cell>
          <cell r="G6">
            <v>0</v>
          </cell>
          <cell r="H6">
            <v>0</v>
          </cell>
          <cell r="I6">
            <v>4.1453516666666665</v>
          </cell>
        </row>
        <row r="7">
          <cell r="C7" t="str">
            <v xml:space="preserve">82111-47390 J </v>
          </cell>
          <cell r="D7" t="str">
            <v>0402</v>
          </cell>
          <cell r="E7">
            <v>4.1974933333333331</v>
          </cell>
          <cell r="F7" t="str">
            <v>A432</v>
          </cell>
          <cell r="G7">
            <v>0</v>
          </cell>
          <cell r="H7">
            <v>0</v>
          </cell>
          <cell r="I7">
            <v>4.1611000000000002</v>
          </cell>
        </row>
        <row r="8">
          <cell r="C8" t="str">
            <v xml:space="preserve">82111-47400 J </v>
          </cell>
          <cell r="D8" t="str">
            <v>0402</v>
          </cell>
          <cell r="E8">
            <v>4.2965533333333328</v>
          </cell>
          <cell r="F8">
            <v>9947</v>
          </cell>
          <cell r="G8">
            <v>0</v>
          </cell>
          <cell r="H8">
            <v>0</v>
          </cell>
          <cell r="I8">
            <v>4.2606999999999999</v>
          </cell>
        </row>
        <row r="9">
          <cell r="C9" t="str">
            <v xml:space="preserve">82111-47420 J </v>
          </cell>
          <cell r="D9" t="str">
            <v>0401</v>
          </cell>
          <cell r="E9">
            <v>4.1739333333333333</v>
          </cell>
          <cell r="F9" t="str">
            <v>A435</v>
          </cell>
          <cell r="G9">
            <v>0</v>
          </cell>
          <cell r="H9">
            <v>0</v>
          </cell>
          <cell r="I9">
            <v>4.1443000000000003</v>
          </cell>
        </row>
        <row r="10">
          <cell r="C10" t="str">
            <v>82111-47430 J</v>
          </cell>
          <cell r="D10" t="str">
            <v>0401</v>
          </cell>
          <cell r="E10">
            <v>4.0314099999999993</v>
          </cell>
          <cell r="F10" t="str">
            <v>A436</v>
          </cell>
          <cell r="G10">
            <v>0</v>
          </cell>
          <cell r="H10">
            <v>0</v>
          </cell>
          <cell r="I10">
            <v>4.0053999999999998</v>
          </cell>
        </row>
        <row r="11">
          <cell r="C11" t="str">
            <v xml:space="preserve">82111-47440 J </v>
          </cell>
          <cell r="D11" t="str">
            <v>0401</v>
          </cell>
          <cell r="E11">
            <v>4.1739333333333333</v>
          </cell>
          <cell r="F11" t="str">
            <v>A437</v>
          </cell>
          <cell r="G11">
            <v>0</v>
          </cell>
          <cell r="H11">
            <v>0</v>
          </cell>
          <cell r="I11">
            <v>4.1443000000000003</v>
          </cell>
        </row>
        <row r="12">
          <cell r="C12" t="str">
            <v xml:space="preserve">82111-47370 J </v>
          </cell>
          <cell r="D12" t="str">
            <v>0401</v>
          </cell>
          <cell r="E12">
            <v>4.1404883333333329</v>
          </cell>
          <cell r="F12" t="str">
            <v>A430</v>
          </cell>
          <cell r="G12">
            <v>0</v>
          </cell>
          <cell r="H12">
            <v>0</v>
          </cell>
          <cell r="I12">
            <v>4.1082999999999998</v>
          </cell>
        </row>
        <row r="13">
          <cell r="C13" t="str">
            <v xml:space="preserve">82111-47450 H </v>
          </cell>
          <cell r="D13" t="str">
            <v>0902</v>
          </cell>
          <cell r="E13">
            <v>4.3249983333333324</v>
          </cell>
          <cell r="F13" t="str">
            <v>A426</v>
          </cell>
          <cell r="G13">
            <v>0</v>
          </cell>
          <cell r="H13">
            <v>0</v>
          </cell>
          <cell r="I13">
            <v>4.2968000000000002</v>
          </cell>
        </row>
        <row r="14">
          <cell r="C14" t="str">
            <v xml:space="preserve">82111-47330 H </v>
          </cell>
          <cell r="D14" t="str">
            <v>0902</v>
          </cell>
          <cell r="E14">
            <v>4.148063333333333</v>
          </cell>
          <cell r="F14" t="str">
            <v>A424</v>
          </cell>
          <cell r="G14">
            <v>0</v>
          </cell>
          <cell r="H14">
            <v>0</v>
          </cell>
          <cell r="I14">
            <v>4.1261000000000001</v>
          </cell>
        </row>
        <row r="15">
          <cell r="C15" t="str">
            <v xml:space="preserve">82111-47350 A </v>
          </cell>
          <cell r="D15" t="str">
            <v>0301</v>
          </cell>
          <cell r="E15">
            <v>4.2561799999999996</v>
          </cell>
          <cell r="F15">
            <v>7887</v>
          </cell>
          <cell r="G15">
            <v>0</v>
          </cell>
          <cell r="H15">
            <v>0</v>
          </cell>
          <cell r="I15">
            <v>4.2483000000000004</v>
          </cell>
        </row>
        <row r="16">
          <cell r="C16" t="str">
            <v xml:space="preserve">82111-47480 B </v>
          </cell>
          <cell r="D16">
            <v>0</v>
          </cell>
          <cell r="E16">
            <v>4.0234249999999996</v>
          </cell>
          <cell r="F16">
            <v>8600</v>
          </cell>
          <cell r="G16">
            <v>0</v>
          </cell>
          <cell r="H16">
            <v>0</v>
          </cell>
          <cell r="I16">
            <v>4.0234249999999996</v>
          </cell>
        </row>
        <row r="17">
          <cell r="C17" t="str">
            <v xml:space="preserve">82111-47360 J </v>
          </cell>
          <cell r="D17" t="str">
            <v>0401</v>
          </cell>
          <cell r="E17">
            <v>4.0269066666666662</v>
          </cell>
          <cell r="F17">
            <v>8527</v>
          </cell>
          <cell r="G17">
            <v>0</v>
          </cell>
          <cell r="H17">
            <v>0</v>
          </cell>
          <cell r="I17">
            <v>4.0590000000000002</v>
          </cell>
        </row>
        <row r="18">
          <cell r="C18" t="str">
            <v>82111-47331</v>
          </cell>
          <cell r="D18">
            <v>0</v>
          </cell>
          <cell r="E18">
            <v>4.148063333333333</v>
          </cell>
          <cell r="F18">
            <v>0</v>
          </cell>
          <cell r="G18">
            <v>0</v>
          </cell>
          <cell r="H18">
            <v>0</v>
          </cell>
          <cell r="I18">
            <v>4.1261000000000001</v>
          </cell>
        </row>
        <row r="19">
          <cell r="C19" t="str">
            <v>82111-47341</v>
          </cell>
          <cell r="D19">
            <v>0</v>
          </cell>
          <cell r="E19">
            <v>4.2796599999999989</v>
          </cell>
          <cell r="F19">
            <v>0</v>
          </cell>
          <cell r="G19">
            <v>0</v>
          </cell>
          <cell r="H19">
            <v>0</v>
          </cell>
          <cell r="I19">
            <v>4.2541000000000002</v>
          </cell>
        </row>
        <row r="20">
          <cell r="C20" t="str">
            <v>82111-47451</v>
          </cell>
          <cell r="D20">
            <v>0</v>
          </cell>
          <cell r="E20">
            <v>4.3249983333333324</v>
          </cell>
          <cell r="F20">
            <v>0</v>
          </cell>
          <cell r="G20">
            <v>0</v>
          </cell>
          <cell r="H20">
            <v>0</v>
          </cell>
          <cell r="I20">
            <v>4.2968000000000002</v>
          </cell>
        </row>
        <row r="21">
          <cell r="C21" t="str">
            <v>82111-47371</v>
          </cell>
          <cell r="D21">
            <v>0</v>
          </cell>
          <cell r="E21">
            <v>4.1404883333333329</v>
          </cell>
          <cell r="F21">
            <v>0</v>
          </cell>
          <cell r="G21">
            <v>0</v>
          </cell>
          <cell r="H21">
            <v>0</v>
          </cell>
          <cell r="I21">
            <v>4.1082999999999998</v>
          </cell>
        </row>
        <row r="22">
          <cell r="C22" t="str">
            <v>82111-47391</v>
          </cell>
          <cell r="D22">
            <v>0</v>
          </cell>
          <cell r="E22">
            <v>4.1974933333333331</v>
          </cell>
          <cell r="F22">
            <v>0</v>
          </cell>
          <cell r="G22">
            <v>0</v>
          </cell>
          <cell r="H22">
            <v>0</v>
          </cell>
          <cell r="I22">
            <v>4.1611000000000002</v>
          </cell>
        </row>
        <row r="23">
          <cell r="C23" t="str">
            <v>82111-47401</v>
          </cell>
          <cell r="D23">
            <v>0</v>
          </cell>
          <cell r="E23">
            <v>4.2965533333333328</v>
          </cell>
          <cell r="F23">
            <v>0</v>
          </cell>
          <cell r="G23">
            <v>0</v>
          </cell>
          <cell r="H23">
            <v>0</v>
          </cell>
          <cell r="I23">
            <v>4.2606999999999999</v>
          </cell>
        </row>
        <row r="24">
          <cell r="C24" t="str">
            <v>82111-47411</v>
          </cell>
          <cell r="D24">
            <v>0</v>
          </cell>
          <cell r="E24">
            <v>4.0314099999999993</v>
          </cell>
          <cell r="F24">
            <v>0</v>
          </cell>
          <cell r="G24">
            <v>0</v>
          </cell>
          <cell r="H24">
            <v>0</v>
          </cell>
          <cell r="I24">
            <v>4.0053999999999998</v>
          </cell>
        </row>
        <row r="25">
          <cell r="C25" t="str">
            <v>82111-47431</v>
          </cell>
          <cell r="D25">
            <v>0</v>
          </cell>
          <cell r="E25">
            <v>4.0314099999999993</v>
          </cell>
          <cell r="F25">
            <v>0</v>
          </cell>
          <cell r="G25">
            <v>0</v>
          </cell>
          <cell r="H25">
            <v>0</v>
          </cell>
          <cell r="I25">
            <v>4.0053999999999998</v>
          </cell>
        </row>
        <row r="26">
          <cell r="C26" t="str">
            <v>82111-47441</v>
          </cell>
          <cell r="D26">
            <v>0</v>
          </cell>
          <cell r="E26">
            <v>4.1739333333333333</v>
          </cell>
          <cell r="F26">
            <v>0</v>
          </cell>
          <cell r="G26">
            <v>0</v>
          </cell>
          <cell r="H26">
            <v>0</v>
          </cell>
          <cell r="I26">
            <v>4.1443000000000003</v>
          </cell>
        </row>
      </sheetData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ACY"/>
      <sheetName val="ATENZA"/>
      <sheetName val="PRIUS"/>
    </sheetNames>
    <sheetDataSet>
      <sheetData sheetId="0" refreshError="1"/>
      <sheetData sheetId="1" refreshError="1"/>
      <sheetData sheetId="2" refreshError="1">
        <row r="3">
          <cell r="C3" t="str">
            <v xml:space="preserve">82111-47340 H </v>
          </cell>
          <cell r="D3" t="str">
            <v>0901</v>
          </cell>
          <cell r="E3">
            <v>4.2796599999999989</v>
          </cell>
          <cell r="F3">
            <v>9911</v>
          </cell>
        </row>
        <row r="4">
          <cell r="C4" t="str">
            <v xml:space="preserve">82111-47410 H </v>
          </cell>
          <cell r="D4" t="str">
            <v>0401</v>
          </cell>
          <cell r="E4">
            <v>4.0314099999999993</v>
          </cell>
          <cell r="F4" t="str">
            <v>A434</v>
          </cell>
        </row>
        <row r="5">
          <cell r="C5" t="str">
            <v xml:space="preserve">82111-47460 H </v>
          </cell>
          <cell r="D5" t="str">
            <v>0801</v>
          </cell>
          <cell r="E5">
            <v>4.4175000000000004</v>
          </cell>
          <cell r="F5" t="str">
            <v>A427</v>
          </cell>
        </row>
        <row r="6">
          <cell r="C6" t="str">
            <v xml:space="preserve">82111-47380 H  </v>
          </cell>
          <cell r="D6" t="str">
            <v>0002</v>
          </cell>
          <cell r="E6">
            <v>4.1453516666666665</v>
          </cell>
          <cell r="F6">
            <v>9404</v>
          </cell>
        </row>
        <row r="7">
          <cell r="C7" t="str">
            <v xml:space="preserve">82111-47390 J </v>
          </cell>
          <cell r="D7" t="str">
            <v>0401</v>
          </cell>
          <cell r="E7">
            <v>4.1974933333333331</v>
          </cell>
          <cell r="F7" t="str">
            <v>A432</v>
          </cell>
        </row>
        <row r="8">
          <cell r="C8" t="str">
            <v xml:space="preserve">82111-47400 J </v>
          </cell>
          <cell r="D8" t="str">
            <v>0301</v>
          </cell>
          <cell r="E8">
            <v>4.2965533333333328</v>
          </cell>
          <cell r="F8">
            <v>9947</v>
          </cell>
        </row>
        <row r="9">
          <cell r="C9" t="str">
            <v xml:space="preserve">82111-47420 J </v>
          </cell>
          <cell r="D9" t="str">
            <v>0401</v>
          </cell>
          <cell r="E9">
            <v>4.1739333333333333</v>
          </cell>
          <cell r="F9" t="str">
            <v>A435</v>
          </cell>
        </row>
        <row r="10">
          <cell r="C10" t="str">
            <v>82111-47430 J</v>
          </cell>
          <cell r="D10" t="str">
            <v>0401</v>
          </cell>
          <cell r="E10">
            <v>4.0314099999999993</v>
          </cell>
          <cell r="F10" t="str">
            <v>A436</v>
          </cell>
        </row>
        <row r="11">
          <cell r="C11" t="str">
            <v xml:space="preserve">82111-47440 J </v>
          </cell>
          <cell r="D11" t="str">
            <v>0401</v>
          </cell>
          <cell r="E11">
            <v>4.1739333333333333</v>
          </cell>
          <cell r="F11" t="str">
            <v>A437</v>
          </cell>
        </row>
        <row r="12">
          <cell r="C12" t="str">
            <v xml:space="preserve">82111-47370 J </v>
          </cell>
          <cell r="D12" t="str">
            <v>0401</v>
          </cell>
          <cell r="E12">
            <v>4.1404883333333329</v>
          </cell>
          <cell r="F12" t="str">
            <v>A430</v>
          </cell>
        </row>
        <row r="13">
          <cell r="C13" t="str">
            <v xml:space="preserve">82111-47450 H </v>
          </cell>
          <cell r="D13" t="str">
            <v>0901</v>
          </cell>
          <cell r="E13">
            <v>4.3249983333333324</v>
          </cell>
          <cell r="F13" t="str">
            <v>A426</v>
          </cell>
        </row>
        <row r="14">
          <cell r="C14" t="str">
            <v xml:space="preserve">82111-47330 H </v>
          </cell>
          <cell r="D14" t="str">
            <v>0901</v>
          </cell>
          <cell r="E14">
            <v>4.148063333333333</v>
          </cell>
          <cell r="F14" t="str">
            <v>A424</v>
          </cell>
        </row>
        <row r="15">
          <cell r="C15" t="str">
            <v xml:space="preserve">82111-47350 A </v>
          </cell>
          <cell r="D15" t="str">
            <v>0301</v>
          </cell>
          <cell r="E15">
            <v>4.2561799999999996</v>
          </cell>
          <cell r="F15">
            <v>7887</v>
          </cell>
        </row>
        <row r="16">
          <cell r="C16" t="str">
            <v xml:space="preserve">82111-47480 B </v>
          </cell>
          <cell r="D16" t="str">
            <v>0702</v>
          </cell>
          <cell r="E16">
            <v>4.0234249999999996</v>
          </cell>
          <cell r="F16">
            <v>8600</v>
          </cell>
        </row>
        <row r="17">
          <cell r="C17" t="str">
            <v xml:space="preserve">82111-47360 D </v>
          </cell>
          <cell r="D17" t="str">
            <v>0701</v>
          </cell>
          <cell r="E17">
            <v>4.0269066666666662</v>
          </cell>
          <cell r="F17">
            <v>8527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ACY"/>
      <sheetName val="J74G"/>
      <sheetName val="ATENZA"/>
      <sheetName val="PRIUS"/>
      <sheetName val="DAIHATSU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 xml:space="preserve">82111-47340 H </v>
          </cell>
          <cell r="D3" t="str">
            <v>0902</v>
          </cell>
          <cell r="E3">
            <v>4.2796599999999989</v>
          </cell>
          <cell r="F3">
            <v>9911</v>
          </cell>
          <cell r="I3">
            <v>4.2541000000000002</v>
          </cell>
        </row>
        <row r="4">
          <cell r="C4" t="str">
            <v xml:space="preserve">82111-47410 J </v>
          </cell>
          <cell r="D4" t="str">
            <v>0401</v>
          </cell>
          <cell r="E4">
            <v>4.0314099999999993</v>
          </cell>
          <cell r="F4" t="str">
            <v>A434</v>
          </cell>
          <cell r="G4">
            <v>0</v>
          </cell>
          <cell r="H4">
            <v>0</v>
          </cell>
          <cell r="I4">
            <v>4.0053999999999998</v>
          </cell>
        </row>
        <row r="5">
          <cell r="C5" t="str">
            <v xml:space="preserve">82111-47460 H </v>
          </cell>
          <cell r="D5" t="str">
            <v>0802</v>
          </cell>
          <cell r="E5">
            <v>4.4175000000000004</v>
          </cell>
          <cell r="F5" t="str">
            <v>A427</v>
          </cell>
          <cell r="G5">
            <v>0</v>
          </cell>
          <cell r="H5">
            <v>0</v>
          </cell>
          <cell r="I5">
            <v>4.3861999999999997</v>
          </cell>
        </row>
        <row r="6">
          <cell r="C6" t="str">
            <v xml:space="preserve">82111-47380 H  </v>
          </cell>
          <cell r="D6">
            <v>0</v>
          </cell>
          <cell r="E6">
            <v>4.1453516666666665</v>
          </cell>
          <cell r="F6">
            <v>9404</v>
          </cell>
          <cell r="G6">
            <v>0</v>
          </cell>
          <cell r="H6">
            <v>0</v>
          </cell>
          <cell r="I6">
            <v>4.1453516666666665</v>
          </cell>
        </row>
        <row r="7">
          <cell r="C7" t="str">
            <v xml:space="preserve">82111-47390 J </v>
          </cell>
          <cell r="D7" t="str">
            <v>0402</v>
          </cell>
          <cell r="E7">
            <v>4.1974933333333331</v>
          </cell>
          <cell r="F7" t="str">
            <v>A432</v>
          </cell>
          <cell r="G7">
            <v>0</v>
          </cell>
          <cell r="H7">
            <v>0</v>
          </cell>
          <cell r="I7">
            <v>4.1611000000000002</v>
          </cell>
        </row>
        <row r="8">
          <cell r="C8" t="str">
            <v xml:space="preserve">82111-47400 J </v>
          </cell>
          <cell r="D8" t="str">
            <v>0402</v>
          </cell>
          <cell r="E8">
            <v>4.2965533333333328</v>
          </cell>
          <cell r="F8">
            <v>9947</v>
          </cell>
          <cell r="G8">
            <v>0</v>
          </cell>
          <cell r="H8">
            <v>0</v>
          </cell>
          <cell r="I8">
            <v>4.2606999999999999</v>
          </cell>
        </row>
        <row r="9">
          <cell r="C9" t="str">
            <v xml:space="preserve">82111-47420 J </v>
          </cell>
          <cell r="D9" t="str">
            <v>0401</v>
          </cell>
          <cell r="E9">
            <v>4.1739333333333333</v>
          </cell>
          <cell r="F9" t="str">
            <v>A435</v>
          </cell>
          <cell r="G9">
            <v>0</v>
          </cell>
          <cell r="H9">
            <v>0</v>
          </cell>
          <cell r="I9">
            <v>4.1443000000000003</v>
          </cell>
        </row>
        <row r="10">
          <cell r="C10" t="str">
            <v>82111-47430 J</v>
          </cell>
          <cell r="D10" t="str">
            <v>0401</v>
          </cell>
          <cell r="E10">
            <v>4.0314099999999993</v>
          </cell>
          <cell r="F10" t="str">
            <v>A436</v>
          </cell>
          <cell r="G10">
            <v>0</v>
          </cell>
          <cell r="H10">
            <v>0</v>
          </cell>
          <cell r="I10">
            <v>4.0053999999999998</v>
          </cell>
        </row>
        <row r="11">
          <cell r="C11" t="str">
            <v xml:space="preserve">82111-47440 J </v>
          </cell>
          <cell r="D11" t="str">
            <v>0401</v>
          </cell>
          <cell r="E11">
            <v>4.1739333333333333</v>
          </cell>
          <cell r="F11" t="str">
            <v>A437</v>
          </cell>
          <cell r="G11">
            <v>0</v>
          </cell>
          <cell r="H11">
            <v>0</v>
          </cell>
          <cell r="I11">
            <v>4.1443000000000003</v>
          </cell>
        </row>
        <row r="12">
          <cell r="C12" t="str">
            <v xml:space="preserve">82111-47370 J </v>
          </cell>
          <cell r="D12" t="str">
            <v>0401</v>
          </cell>
          <cell r="E12">
            <v>4.1404883333333329</v>
          </cell>
          <cell r="F12" t="str">
            <v>A430</v>
          </cell>
          <cell r="G12">
            <v>0</v>
          </cell>
          <cell r="H12">
            <v>0</v>
          </cell>
          <cell r="I12">
            <v>4.1082999999999998</v>
          </cell>
        </row>
        <row r="13">
          <cell r="C13" t="str">
            <v xml:space="preserve">82111-47450 H </v>
          </cell>
          <cell r="D13" t="str">
            <v>0902</v>
          </cell>
          <cell r="E13">
            <v>4.3249983333333324</v>
          </cell>
          <cell r="F13" t="str">
            <v>A426</v>
          </cell>
          <cell r="G13">
            <v>0</v>
          </cell>
          <cell r="H13">
            <v>0</v>
          </cell>
          <cell r="I13">
            <v>4.2968000000000002</v>
          </cell>
        </row>
        <row r="14">
          <cell r="C14" t="str">
            <v xml:space="preserve">82111-47330 H </v>
          </cell>
          <cell r="D14" t="str">
            <v>0902</v>
          </cell>
          <cell r="E14">
            <v>4.148063333333333</v>
          </cell>
          <cell r="F14" t="str">
            <v>A424</v>
          </cell>
          <cell r="G14">
            <v>0</v>
          </cell>
          <cell r="H14">
            <v>0</v>
          </cell>
          <cell r="I14">
            <v>4.1261000000000001</v>
          </cell>
        </row>
        <row r="15">
          <cell r="C15" t="str">
            <v xml:space="preserve">82111-47350 A </v>
          </cell>
          <cell r="D15" t="str">
            <v>0301</v>
          </cell>
          <cell r="E15">
            <v>4.2561799999999996</v>
          </cell>
          <cell r="F15">
            <v>7887</v>
          </cell>
          <cell r="G15">
            <v>0</v>
          </cell>
          <cell r="H15">
            <v>0</v>
          </cell>
          <cell r="I15">
            <v>4.2483000000000004</v>
          </cell>
        </row>
        <row r="16">
          <cell r="C16" t="str">
            <v xml:space="preserve">82111-47480 B </v>
          </cell>
          <cell r="D16">
            <v>0</v>
          </cell>
          <cell r="E16">
            <v>4.0234249999999996</v>
          </cell>
          <cell r="F16">
            <v>8600</v>
          </cell>
          <cell r="G16">
            <v>0</v>
          </cell>
          <cell r="H16">
            <v>0</v>
          </cell>
          <cell r="I16">
            <v>4.0234249999999996</v>
          </cell>
        </row>
        <row r="17">
          <cell r="C17" t="str">
            <v xml:space="preserve">82111-47360 J </v>
          </cell>
          <cell r="D17" t="str">
            <v>0401</v>
          </cell>
          <cell r="E17">
            <v>4.0269066666666662</v>
          </cell>
          <cell r="F17">
            <v>8527</v>
          </cell>
          <cell r="G17">
            <v>0</v>
          </cell>
          <cell r="H17">
            <v>0</v>
          </cell>
          <cell r="I17">
            <v>4.0590000000000002</v>
          </cell>
        </row>
        <row r="18">
          <cell r="C18" t="str">
            <v>82111-47331</v>
          </cell>
          <cell r="D18">
            <v>0</v>
          </cell>
          <cell r="E18">
            <v>4.148063333333333</v>
          </cell>
          <cell r="F18">
            <v>0</v>
          </cell>
          <cell r="G18">
            <v>0</v>
          </cell>
          <cell r="H18">
            <v>0</v>
          </cell>
          <cell r="I18">
            <v>4.1261000000000001</v>
          </cell>
        </row>
        <row r="19">
          <cell r="C19" t="str">
            <v>82111-47341</v>
          </cell>
          <cell r="D19">
            <v>0</v>
          </cell>
          <cell r="E19">
            <v>4.2796599999999989</v>
          </cell>
          <cell r="F19">
            <v>0</v>
          </cell>
          <cell r="G19">
            <v>0</v>
          </cell>
          <cell r="H19">
            <v>0</v>
          </cell>
          <cell r="I19">
            <v>4.2541000000000002</v>
          </cell>
        </row>
        <row r="20">
          <cell r="C20" t="str">
            <v>82111-47451</v>
          </cell>
          <cell r="D20">
            <v>0</v>
          </cell>
          <cell r="E20">
            <v>4.3249983333333324</v>
          </cell>
          <cell r="F20">
            <v>0</v>
          </cell>
          <cell r="G20">
            <v>0</v>
          </cell>
          <cell r="H20">
            <v>0</v>
          </cell>
          <cell r="I20">
            <v>4.2968000000000002</v>
          </cell>
        </row>
        <row r="21">
          <cell r="C21" t="str">
            <v>82111-47452</v>
          </cell>
          <cell r="D21">
            <v>0</v>
          </cell>
          <cell r="E21">
            <v>4.148063333333333</v>
          </cell>
          <cell r="F21">
            <v>0</v>
          </cell>
          <cell r="G21">
            <v>0</v>
          </cell>
          <cell r="H21">
            <v>0</v>
          </cell>
          <cell r="I21">
            <v>4.3160999999999996</v>
          </cell>
        </row>
        <row r="22">
          <cell r="C22" t="str">
            <v>82111-47461</v>
          </cell>
          <cell r="D22">
            <v>0</v>
          </cell>
          <cell r="E22">
            <v>4.4175000000000004</v>
          </cell>
          <cell r="F22">
            <v>0</v>
          </cell>
          <cell r="G22">
            <v>0</v>
          </cell>
          <cell r="H22">
            <v>0</v>
          </cell>
          <cell r="I22">
            <v>4.3971</v>
          </cell>
        </row>
        <row r="23">
          <cell r="C23" t="str">
            <v>82111-47462</v>
          </cell>
          <cell r="D23">
            <v>0</v>
          </cell>
          <cell r="E23">
            <v>4.4175000000000004</v>
          </cell>
          <cell r="F23">
            <v>0</v>
          </cell>
          <cell r="G23">
            <v>0</v>
          </cell>
          <cell r="H23">
            <v>0</v>
          </cell>
          <cell r="I23">
            <v>4.3971</v>
          </cell>
        </row>
        <row r="24">
          <cell r="C24" t="str">
            <v>82111-47371</v>
          </cell>
          <cell r="D24">
            <v>0</v>
          </cell>
          <cell r="E24">
            <v>4.1404883333333329</v>
          </cell>
          <cell r="F24">
            <v>0</v>
          </cell>
          <cell r="G24">
            <v>0</v>
          </cell>
          <cell r="H24">
            <v>0</v>
          </cell>
          <cell r="I24">
            <v>4.1082999999999998</v>
          </cell>
        </row>
        <row r="25">
          <cell r="C25" t="str">
            <v>82111-47372</v>
          </cell>
          <cell r="D25">
            <v>0</v>
          </cell>
          <cell r="E25">
            <v>4.1404883333333329</v>
          </cell>
          <cell r="F25">
            <v>0</v>
          </cell>
          <cell r="G25">
            <v>0</v>
          </cell>
          <cell r="H25">
            <v>0</v>
          </cell>
          <cell r="I25">
            <v>4.1192000000000002</v>
          </cell>
        </row>
        <row r="26">
          <cell r="C26" t="str">
            <v>82111-47391</v>
          </cell>
          <cell r="D26">
            <v>0</v>
          </cell>
          <cell r="E26">
            <v>4.1974933333333331</v>
          </cell>
          <cell r="F26">
            <v>0</v>
          </cell>
          <cell r="G26">
            <v>0</v>
          </cell>
          <cell r="H26">
            <v>0</v>
          </cell>
          <cell r="I26">
            <v>4.1611000000000002</v>
          </cell>
        </row>
        <row r="27">
          <cell r="C27" t="str">
            <v>82111-47392</v>
          </cell>
          <cell r="D27">
            <v>0</v>
          </cell>
          <cell r="E27">
            <v>4.1974933333333331</v>
          </cell>
          <cell r="F27">
            <v>0</v>
          </cell>
          <cell r="G27">
            <v>0</v>
          </cell>
          <cell r="H27">
            <v>0</v>
          </cell>
          <cell r="I27">
            <v>4.1684000000000001</v>
          </cell>
        </row>
        <row r="28">
          <cell r="C28" t="str">
            <v>82111-47401</v>
          </cell>
          <cell r="D28">
            <v>0</v>
          </cell>
          <cell r="E28">
            <v>4.2965533333333328</v>
          </cell>
          <cell r="F28">
            <v>0</v>
          </cell>
          <cell r="G28">
            <v>0</v>
          </cell>
          <cell r="H28">
            <v>0</v>
          </cell>
          <cell r="I28">
            <v>4.2606999999999999</v>
          </cell>
        </row>
        <row r="29">
          <cell r="C29" t="str">
            <v>82111-47411</v>
          </cell>
          <cell r="D29">
            <v>0</v>
          </cell>
          <cell r="E29">
            <v>4.0314099999999993</v>
          </cell>
          <cell r="F29">
            <v>0</v>
          </cell>
          <cell r="G29">
            <v>0</v>
          </cell>
          <cell r="H29">
            <v>0</v>
          </cell>
          <cell r="I29">
            <v>4.0053999999999998</v>
          </cell>
        </row>
        <row r="30">
          <cell r="C30" t="str">
            <v>82111-47412</v>
          </cell>
          <cell r="D30">
            <v>0</v>
          </cell>
          <cell r="E30">
            <v>4.0314099999999993</v>
          </cell>
          <cell r="F30">
            <v>0</v>
          </cell>
          <cell r="G30">
            <v>0</v>
          </cell>
          <cell r="H30">
            <v>0</v>
          </cell>
          <cell r="I30">
            <v>4.0335999999999999</v>
          </cell>
        </row>
        <row r="31">
          <cell r="C31" t="str">
            <v>82111-47431</v>
          </cell>
          <cell r="D31">
            <v>0</v>
          </cell>
          <cell r="E31">
            <v>4.0314099999999993</v>
          </cell>
          <cell r="F31">
            <v>0</v>
          </cell>
          <cell r="G31">
            <v>0</v>
          </cell>
          <cell r="H31">
            <v>0</v>
          </cell>
          <cell r="I31">
            <v>4.0053999999999998</v>
          </cell>
        </row>
        <row r="32">
          <cell r="C32" t="str">
            <v>82111-47432</v>
          </cell>
          <cell r="D32">
            <v>0</v>
          </cell>
          <cell r="E32">
            <v>4.0314099999999993</v>
          </cell>
          <cell r="F32">
            <v>0</v>
          </cell>
          <cell r="G32">
            <v>0</v>
          </cell>
          <cell r="H32">
            <v>0</v>
          </cell>
          <cell r="I32">
            <v>4.0335999999999999</v>
          </cell>
        </row>
        <row r="33">
          <cell r="C33" t="str">
            <v>82111-47441</v>
          </cell>
          <cell r="D33">
            <v>0</v>
          </cell>
          <cell r="E33">
            <v>4.1739333333333333</v>
          </cell>
          <cell r="F33">
            <v>0</v>
          </cell>
          <cell r="G33">
            <v>0</v>
          </cell>
          <cell r="H33">
            <v>0</v>
          </cell>
          <cell r="I33">
            <v>4.1443000000000003</v>
          </cell>
        </row>
        <row r="34">
          <cell r="C34" t="str">
            <v>82111-47442</v>
          </cell>
          <cell r="D34">
            <v>0</v>
          </cell>
          <cell r="E34">
            <v>4.1739333333333333</v>
          </cell>
          <cell r="F34">
            <v>0</v>
          </cell>
          <cell r="G34">
            <v>0</v>
          </cell>
          <cell r="H34">
            <v>0</v>
          </cell>
          <cell r="I34">
            <v>4.1650999999999998</v>
          </cell>
        </row>
      </sheetData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ACY"/>
      <sheetName val="ATENZA"/>
      <sheetName val="PRIUS"/>
    </sheetNames>
    <sheetDataSet>
      <sheetData sheetId="0" refreshError="1"/>
      <sheetData sheetId="1" refreshError="1"/>
      <sheetData sheetId="2" refreshError="1">
        <row r="3">
          <cell r="C3" t="str">
            <v xml:space="preserve">82111-47340 H </v>
          </cell>
          <cell r="D3" t="str">
            <v>0601</v>
          </cell>
          <cell r="E3">
            <v>4.2797000000000001</v>
          </cell>
          <cell r="F3">
            <v>9655</v>
          </cell>
        </row>
        <row r="4">
          <cell r="C4" t="str">
            <v xml:space="preserve">82111-47410 H </v>
          </cell>
          <cell r="D4" t="str">
            <v>0002</v>
          </cell>
          <cell r="E4">
            <v>3.9344699999999997</v>
          </cell>
          <cell r="F4">
            <v>9407</v>
          </cell>
        </row>
        <row r="5">
          <cell r="C5" t="str">
            <v xml:space="preserve">82111-47460 H </v>
          </cell>
          <cell r="D5" t="str">
            <v>0401</v>
          </cell>
          <cell r="E5">
            <v>4.3080483333333346</v>
          </cell>
          <cell r="F5">
            <v>9657</v>
          </cell>
        </row>
        <row r="6">
          <cell r="C6" t="str">
            <v xml:space="preserve">82111-47380 H  </v>
          </cell>
          <cell r="D6" t="str">
            <v>0002</v>
          </cell>
          <cell r="E6">
            <v>4.1453516666666665</v>
          </cell>
          <cell r="F6">
            <v>9404</v>
          </cell>
        </row>
        <row r="7">
          <cell r="C7" t="str">
            <v xml:space="preserve">82111-47390 H </v>
          </cell>
          <cell r="D7" t="str">
            <v>0002</v>
          </cell>
          <cell r="E7">
            <v>4.0923633333333331</v>
          </cell>
          <cell r="F7">
            <v>9405</v>
          </cell>
        </row>
        <row r="8">
          <cell r="C8" t="str">
            <v xml:space="preserve">82111-47400 H </v>
          </cell>
          <cell r="D8" t="str">
            <v>0002</v>
          </cell>
          <cell r="E8">
            <v>4.2038416666666665</v>
          </cell>
          <cell r="F8">
            <v>9406</v>
          </cell>
        </row>
        <row r="9">
          <cell r="C9" t="str">
            <v xml:space="preserve">82111-47420 H </v>
          </cell>
          <cell r="D9" t="str">
            <v>0002</v>
          </cell>
          <cell r="E9">
            <v>4.0889016666666667</v>
          </cell>
          <cell r="F9">
            <v>9408</v>
          </cell>
        </row>
        <row r="10">
          <cell r="C10" t="str">
            <v xml:space="preserve">82111-47430 H </v>
          </cell>
          <cell r="D10" t="str">
            <v>0002</v>
          </cell>
          <cell r="E10">
            <v>3.9344699999999997</v>
          </cell>
          <cell r="F10">
            <v>9409</v>
          </cell>
        </row>
        <row r="11">
          <cell r="C11" t="str">
            <v xml:space="preserve">82111-47440 H </v>
          </cell>
          <cell r="D11" t="str">
            <v>0002</v>
          </cell>
          <cell r="E11">
            <v>4.0889016666666667</v>
          </cell>
          <cell r="F11">
            <v>9410</v>
          </cell>
        </row>
        <row r="12">
          <cell r="C12" t="str">
            <v xml:space="preserve">82111-47370 H </v>
          </cell>
          <cell r="D12" t="str">
            <v>0002</v>
          </cell>
          <cell r="E12">
            <v>4.0494599999999998</v>
          </cell>
          <cell r="F12">
            <v>9403</v>
          </cell>
        </row>
        <row r="13">
          <cell r="C13" t="str">
            <v xml:space="preserve">82111-47450 H </v>
          </cell>
          <cell r="D13" t="str">
            <v>0501</v>
          </cell>
          <cell r="E13">
            <v>4.2087116666666669</v>
          </cell>
          <cell r="F13">
            <v>9656</v>
          </cell>
        </row>
        <row r="14">
          <cell r="C14" t="str">
            <v xml:space="preserve">82111-47330 H </v>
          </cell>
          <cell r="D14" t="str">
            <v>0501</v>
          </cell>
          <cell r="E14">
            <v>4.0377283333333329</v>
          </cell>
          <cell r="F14">
            <v>9654</v>
          </cell>
        </row>
        <row r="15">
          <cell r="C15" t="str">
            <v xml:space="preserve">82111-47350 A </v>
          </cell>
          <cell r="D15" t="str">
            <v>0301</v>
          </cell>
          <cell r="E15">
            <v>4.2520899999999999</v>
          </cell>
          <cell r="F15">
            <v>7887</v>
          </cell>
        </row>
        <row r="16">
          <cell r="C16" t="str">
            <v xml:space="preserve">82111-47480 F </v>
          </cell>
          <cell r="D16" t="str">
            <v>0401</v>
          </cell>
          <cell r="E16">
            <v>4.0193349999999999</v>
          </cell>
          <cell r="F16">
            <v>9658</v>
          </cell>
        </row>
        <row r="17">
          <cell r="C17" t="str">
            <v xml:space="preserve">82111-47360 H </v>
          </cell>
          <cell r="D17" t="str">
            <v>0002</v>
          </cell>
          <cell r="E17">
            <v>4.0222083333333325</v>
          </cell>
          <cell r="F17">
            <v>9411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53C(RHD8-8new)"/>
      <sheetName val="Summary STP Term 68"/>
      <sheetName val="Summary STP Term 69"/>
      <sheetName val="Summary STP"/>
      <sheetName val="Calender"/>
      <sheetName val="VAR (MO 2 month)"/>
      <sheetName val="SPP (Plan)"/>
      <sheetName val="SPP (Actual)"/>
      <sheetName val="Graph"/>
      <sheetName val="VAR per Week"/>
      <sheetName val="GM SUB"/>
      <sheetName val="J42H"/>
      <sheetName val="GM BODY"/>
      <sheetName val="J42H,R42H,P42J"/>
      <sheetName val="L42F &amp; HEV &amp; P42D-YD"/>
      <sheetName val="P42D LHD"/>
      <sheetName val=" L42A"/>
      <sheetName val=" L42L"/>
      <sheetName val="L42C &amp; P42D (RHD)"/>
      <sheetName val="L53E"/>
      <sheetName val="J74G (IP combine)"/>
      <sheetName val="J74G (Front) COMBINE"/>
      <sheetName val="J74G (Front)"/>
      <sheetName val="J61S "/>
      <sheetName val="J53C(RHD8-8&amp;7-9)"/>
      <sheetName val="J53C(RHD8-8 NEW)"/>
      <sheetName val="J53C(RHD8-8 ORI)"/>
      <sheetName val="J53C(RHD8-8)"/>
      <sheetName val="J53C(RHD7-9)"/>
      <sheetName val="J53C(MAR9-7)"/>
      <sheetName val="2(MAR8-8)"/>
      <sheetName val="1"/>
      <sheetName val="377A+546W"/>
      <sheetName val="546W"/>
      <sheetName val="D51G"/>
      <sheetName val="Simulasi UL"/>
      <sheetName val="Simulasi J48P new"/>
      <sheetName val="Simulasi J48P"/>
      <sheetName val="Simulasi J61A &amp; front&amp;P42D(LHD)"/>
      <sheetName val="J74G"/>
      <sheetName val="Simulasi J61A ( EC &amp; UK)"/>
      <sheetName val=" Simulasi J61S"/>
      <sheetName val="Simulasi AL"/>
      <sheetName val=" Simulasi 358W"/>
      <sheetName val="Prod Cap"/>
      <sheetName val="GM 1 team"/>
      <sheetName val="Sheet1"/>
      <sheetName val="J74G (Front Combine)"/>
    </sheetNames>
    <sheetDataSet>
      <sheetData sheetId="0"/>
      <sheetData sheetId="1"/>
      <sheetData sheetId="2"/>
      <sheetData sheetId="3"/>
      <sheetData sheetId="4" refreshError="1">
        <row r="262">
          <cell r="A262" t="str">
            <v>JAN</v>
          </cell>
          <cell r="B262">
            <v>17</v>
          </cell>
          <cell r="C262">
            <v>4</v>
          </cell>
          <cell r="D262">
            <v>1</v>
          </cell>
          <cell r="E262">
            <v>3</v>
          </cell>
          <cell r="F262" t="str">
            <v>12/31- 01/06</v>
          </cell>
          <cell r="G262">
            <v>3</v>
          </cell>
          <cell r="H262">
            <v>3</v>
          </cell>
          <cell r="I262" t="str">
            <v>31/DEC ~ 27/JAN</v>
          </cell>
        </row>
        <row r="263">
          <cell r="A263">
            <v>3</v>
          </cell>
          <cell r="B263">
            <v>3</v>
          </cell>
          <cell r="C263">
            <v>3</v>
          </cell>
          <cell r="D263">
            <v>2</v>
          </cell>
          <cell r="E263">
            <v>5</v>
          </cell>
          <cell r="F263" t="str">
            <v>01/07- 01/13</v>
          </cell>
          <cell r="G263">
            <v>5</v>
          </cell>
          <cell r="H263">
            <v>5</v>
          </cell>
          <cell r="I263">
            <v>5</v>
          </cell>
        </row>
        <row r="264">
          <cell r="A264">
            <v>5</v>
          </cell>
          <cell r="B264">
            <v>5</v>
          </cell>
          <cell r="C264">
            <v>5</v>
          </cell>
          <cell r="D264">
            <v>3</v>
          </cell>
          <cell r="E264">
            <v>5</v>
          </cell>
          <cell r="F264" t="str">
            <v>01/14 - 01/20</v>
          </cell>
          <cell r="G264">
            <v>5</v>
          </cell>
          <cell r="H264">
            <v>5</v>
          </cell>
          <cell r="I264">
            <v>5</v>
          </cell>
        </row>
        <row r="265">
          <cell r="A265">
            <v>5</v>
          </cell>
          <cell r="B265">
            <v>5</v>
          </cell>
          <cell r="C265">
            <v>5</v>
          </cell>
          <cell r="D265">
            <v>4</v>
          </cell>
          <cell r="E265">
            <v>4</v>
          </cell>
          <cell r="F265" t="str">
            <v>01/21 - 01/27</v>
          </cell>
          <cell r="G265">
            <v>4</v>
          </cell>
          <cell r="H265">
            <v>4</v>
          </cell>
          <cell r="I265">
            <v>4</v>
          </cell>
        </row>
        <row r="266">
          <cell r="A266">
            <v>4</v>
          </cell>
          <cell r="B266">
            <v>4</v>
          </cell>
          <cell r="C266">
            <v>4</v>
          </cell>
          <cell r="D266">
            <v>4</v>
          </cell>
          <cell r="E266">
            <v>4</v>
          </cell>
          <cell r="F266">
            <v>4</v>
          </cell>
          <cell r="G266">
            <v>4</v>
          </cell>
          <cell r="H266">
            <v>4</v>
          </cell>
          <cell r="I266">
            <v>4</v>
          </cell>
        </row>
        <row r="267">
          <cell r="A267" t="str">
            <v>FEB</v>
          </cell>
          <cell r="B267">
            <v>21</v>
          </cell>
          <cell r="C267">
            <v>3</v>
          </cell>
          <cell r="D267">
            <v>1</v>
          </cell>
          <cell r="E267">
            <v>6</v>
          </cell>
          <cell r="F267" t="str">
            <v>01/28 - 02/03</v>
          </cell>
          <cell r="G267">
            <v>6</v>
          </cell>
          <cell r="H267">
            <v>6</v>
          </cell>
          <cell r="I267" t="str">
            <v>28/JAN ~ 24/FEB</v>
          </cell>
        </row>
        <row r="268">
          <cell r="A268">
            <v>6</v>
          </cell>
          <cell r="B268">
            <v>6</v>
          </cell>
          <cell r="C268">
            <v>6</v>
          </cell>
          <cell r="D268">
            <v>2</v>
          </cell>
          <cell r="E268">
            <v>5</v>
          </cell>
          <cell r="F268" t="str">
            <v>02/04 - 02/10</v>
          </cell>
          <cell r="G268">
            <v>5</v>
          </cell>
          <cell r="H268">
            <v>5</v>
          </cell>
          <cell r="I268">
            <v>5</v>
          </cell>
        </row>
        <row r="269">
          <cell r="A269">
            <v>5</v>
          </cell>
          <cell r="B269">
            <v>5</v>
          </cell>
          <cell r="C269">
            <v>5</v>
          </cell>
          <cell r="D269">
            <v>3</v>
          </cell>
          <cell r="E269">
            <v>5</v>
          </cell>
          <cell r="F269" t="str">
            <v>02/11 - 02/17</v>
          </cell>
          <cell r="G269">
            <v>5</v>
          </cell>
          <cell r="H269">
            <v>5</v>
          </cell>
          <cell r="I269">
            <v>5</v>
          </cell>
        </row>
        <row r="270">
          <cell r="A270">
            <v>5</v>
          </cell>
          <cell r="B270">
            <v>5</v>
          </cell>
          <cell r="C270">
            <v>5</v>
          </cell>
          <cell r="D270">
            <v>4</v>
          </cell>
          <cell r="E270">
            <v>5</v>
          </cell>
          <cell r="F270" t="str">
            <v>02/18 - 02/24</v>
          </cell>
          <cell r="G270">
            <v>5</v>
          </cell>
          <cell r="H270">
            <v>5</v>
          </cell>
          <cell r="I270">
            <v>5</v>
          </cell>
        </row>
        <row r="271">
          <cell r="A271">
            <v>5</v>
          </cell>
          <cell r="B271">
            <v>5</v>
          </cell>
          <cell r="C271">
            <v>5</v>
          </cell>
          <cell r="D271">
            <v>5</v>
          </cell>
          <cell r="E271">
            <v>5</v>
          </cell>
          <cell r="F271">
            <v>5</v>
          </cell>
          <cell r="G271">
            <v>5</v>
          </cell>
          <cell r="H271">
            <v>5</v>
          </cell>
          <cell r="I271">
            <v>5</v>
          </cell>
        </row>
        <row r="272">
          <cell r="A272" t="str">
            <v>MAR</v>
          </cell>
          <cell r="B272">
            <v>24</v>
          </cell>
          <cell r="C272">
            <v>4</v>
          </cell>
          <cell r="D272">
            <v>1</v>
          </cell>
          <cell r="E272">
            <v>5</v>
          </cell>
          <cell r="F272" t="str">
            <v>02/25 - 03/03</v>
          </cell>
          <cell r="G272">
            <v>5</v>
          </cell>
          <cell r="H272">
            <v>5</v>
          </cell>
          <cell r="I272" t="str">
            <v>25/FEB ~ 31/MAR</v>
          </cell>
        </row>
        <row r="273">
          <cell r="A273">
            <v>5</v>
          </cell>
          <cell r="B273">
            <v>5</v>
          </cell>
          <cell r="C273">
            <v>5</v>
          </cell>
          <cell r="D273">
            <v>2</v>
          </cell>
          <cell r="E273">
            <v>4</v>
          </cell>
          <cell r="F273" t="str">
            <v>03/04 - 03/10</v>
          </cell>
          <cell r="G273">
            <v>4</v>
          </cell>
          <cell r="H273">
            <v>4</v>
          </cell>
          <cell r="I273">
            <v>4</v>
          </cell>
        </row>
        <row r="274">
          <cell r="A274">
            <v>4</v>
          </cell>
          <cell r="B274">
            <v>4</v>
          </cell>
          <cell r="C274">
            <v>4</v>
          </cell>
          <cell r="D274">
            <v>3</v>
          </cell>
          <cell r="E274">
            <v>5</v>
          </cell>
          <cell r="F274" t="str">
            <v>03/11 - 03/17</v>
          </cell>
          <cell r="G274">
            <v>5</v>
          </cell>
          <cell r="H274">
            <v>5</v>
          </cell>
          <cell r="I274">
            <v>5</v>
          </cell>
        </row>
        <row r="275">
          <cell r="A275">
            <v>5</v>
          </cell>
          <cell r="B275">
            <v>5</v>
          </cell>
          <cell r="C275">
            <v>5</v>
          </cell>
          <cell r="D275">
            <v>4</v>
          </cell>
          <cell r="E275">
            <v>5</v>
          </cell>
          <cell r="F275" t="str">
            <v>03/18 - 03/24</v>
          </cell>
          <cell r="G275">
            <v>5</v>
          </cell>
          <cell r="H275">
            <v>5</v>
          </cell>
          <cell r="I275">
            <v>5</v>
          </cell>
        </row>
        <row r="276">
          <cell r="A276">
            <v>5</v>
          </cell>
          <cell r="B276">
            <v>5</v>
          </cell>
          <cell r="C276">
            <v>5</v>
          </cell>
          <cell r="D276">
            <v>5</v>
          </cell>
          <cell r="E276">
            <v>5</v>
          </cell>
          <cell r="F276" t="str">
            <v>03/25 - 03/31</v>
          </cell>
          <cell r="G276">
            <v>5</v>
          </cell>
          <cell r="H276">
            <v>5</v>
          </cell>
          <cell r="I276">
            <v>5</v>
          </cell>
        </row>
        <row r="277">
          <cell r="A277" t="str">
            <v>APR</v>
          </cell>
          <cell r="B277">
            <v>18</v>
          </cell>
          <cell r="C277">
            <v>4</v>
          </cell>
          <cell r="D277">
            <v>1</v>
          </cell>
          <cell r="E277">
            <v>5</v>
          </cell>
          <cell r="F277" t="str">
            <v>04/01 - 04/07</v>
          </cell>
          <cell r="G277">
            <v>5</v>
          </cell>
          <cell r="H277">
            <v>5</v>
          </cell>
          <cell r="I277" t="str">
            <v>01/APR ~ 28/APR</v>
          </cell>
        </row>
        <row r="278">
          <cell r="A278">
            <v>5</v>
          </cell>
          <cell r="B278">
            <v>5</v>
          </cell>
          <cell r="C278">
            <v>5</v>
          </cell>
          <cell r="D278">
            <v>2</v>
          </cell>
          <cell r="E278">
            <v>3</v>
          </cell>
          <cell r="F278" t="str">
            <v>04/08 - 04/14</v>
          </cell>
          <cell r="G278">
            <v>3</v>
          </cell>
          <cell r="H278">
            <v>3</v>
          </cell>
          <cell r="I278">
            <v>3</v>
          </cell>
        </row>
        <row r="279">
          <cell r="A279">
            <v>3</v>
          </cell>
          <cell r="B279">
            <v>3</v>
          </cell>
          <cell r="C279">
            <v>3</v>
          </cell>
          <cell r="D279">
            <v>3</v>
          </cell>
          <cell r="E279">
            <v>5</v>
          </cell>
          <cell r="F279" t="str">
            <v>04/15 - 04/21</v>
          </cell>
          <cell r="G279">
            <v>5</v>
          </cell>
          <cell r="H279">
            <v>5</v>
          </cell>
          <cell r="I279">
            <v>5</v>
          </cell>
        </row>
        <row r="280">
          <cell r="A280">
            <v>5</v>
          </cell>
          <cell r="B280">
            <v>5</v>
          </cell>
          <cell r="C280">
            <v>5</v>
          </cell>
          <cell r="D280">
            <v>4</v>
          </cell>
          <cell r="E280">
            <v>5</v>
          </cell>
          <cell r="F280" t="str">
            <v>04/22 - 04/28</v>
          </cell>
          <cell r="G280">
            <v>5</v>
          </cell>
          <cell r="H280">
            <v>5</v>
          </cell>
          <cell r="I280">
            <v>5</v>
          </cell>
        </row>
        <row r="281">
          <cell r="A281">
            <v>5</v>
          </cell>
          <cell r="B281">
            <v>5</v>
          </cell>
          <cell r="C281">
            <v>5</v>
          </cell>
          <cell r="D281">
            <v>5</v>
          </cell>
          <cell r="E281">
            <v>5</v>
          </cell>
          <cell r="F281">
            <v>5</v>
          </cell>
          <cell r="G281">
            <v>5</v>
          </cell>
          <cell r="H281">
            <v>5</v>
          </cell>
          <cell r="I281">
            <v>5</v>
          </cell>
        </row>
        <row r="282">
          <cell r="A282" t="str">
            <v>MAY</v>
          </cell>
          <cell r="B282">
            <v>20</v>
          </cell>
          <cell r="C282">
            <v>2</v>
          </cell>
          <cell r="D282">
            <v>1</v>
          </cell>
          <cell r="E282">
            <v>5</v>
          </cell>
          <cell r="F282" t="str">
            <v>04/29 - 05/05</v>
          </cell>
          <cell r="G282">
            <v>5</v>
          </cell>
          <cell r="H282">
            <v>5</v>
          </cell>
          <cell r="I282" t="str">
            <v>29/APR ~ 26/MAY</v>
          </cell>
        </row>
        <row r="283">
          <cell r="A283">
            <v>5</v>
          </cell>
          <cell r="B283">
            <v>5</v>
          </cell>
          <cell r="C283">
            <v>5</v>
          </cell>
          <cell r="D283">
            <v>2</v>
          </cell>
          <cell r="E283">
            <v>5</v>
          </cell>
          <cell r="F283" t="str">
            <v>05/06 - 05/12</v>
          </cell>
          <cell r="G283">
            <v>5</v>
          </cell>
          <cell r="H283">
            <v>5</v>
          </cell>
          <cell r="I283">
            <v>5</v>
          </cell>
        </row>
        <row r="284">
          <cell r="A284">
            <v>5</v>
          </cell>
          <cell r="B284">
            <v>5</v>
          </cell>
          <cell r="C284">
            <v>5</v>
          </cell>
          <cell r="D284">
            <v>3</v>
          </cell>
          <cell r="E284">
            <v>5</v>
          </cell>
          <cell r="F284" t="str">
            <v>05/13 - 05/19</v>
          </cell>
          <cell r="G284">
            <v>5</v>
          </cell>
          <cell r="H284">
            <v>5</v>
          </cell>
          <cell r="I284">
            <v>5</v>
          </cell>
        </row>
        <row r="285">
          <cell r="A285">
            <v>5</v>
          </cell>
          <cell r="B285">
            <v>5</v>
          </cell>
          <cell r="C285">
            <v>5</v>
          </cell>
          <cell r="D285">
            <v>4</v>
          </cell>
          <cell r="E285">
            <v>5</v>
          </cell>
          <cell r="F285" t="str">
            <v>05/20 - 05/26</v>
          </cell>
          <cell r="G285">
            <v>5</v>
          </cell>
          <cell r="H285">
            <v>5</v>
          </cell>
          <cell r="I285">
            <v>5</v>
          </cell>
        </row>
        <row r="286">
          <cell r="A286">
            <v>5</v>
          </cell>
          <cell r="B286">
            <v>5</v>
          </cell>
          <cell r="C286">
            <v>5</v>
          </cell>
          <cell r="D286">
            <v>5</v>
          </cell>
          <cell r="E286">
            <v>5</v>
          </cell>
          <cell r="F286">
            <v>5</v>
          </cell>
          <cell r="G286">
            <v>5</v>
          </cell>
          <cell r="H286">
            <v>5</v>
          </cell>
          <cell r="I286">
            <v>5</v>
          </cell>
        </row>
        <row r="287">
          <cell r="A287" t="str">
            <v>JUN</v>
          </cell>
          <cell r="B287">
            <v>25</v>
          </cell>
          <cell r="C287">
            <v>5</v>
          </cell>
          <cell r="D287">
            <v>1</v>
          </cell>
          <cell r="E287">
            <v>5</v>
          </cell>
          <cell r="F287" t="str">
            <v>05/27 - 06/02</v>
          </cell>
          <cell r="G287">
            <v>5</v>
          </cell>
          <cell r="H287">
            <v>5</v>
          </cell>
          <cell r="I287" t="str">
            <v>27/MAY ~ 30/JUN</v>
          </cell>
        </row>
        <row r="288">
          <cell r="A288">
            <v>5</v>
          </cell>
          <cell r="B288">
            <v>5</v>
          </cell>
          <cell r="C288">
            <v>5</v>
          </cell>
          <cell r="D288">
            <v>2</v>
          </cell>
          <cell r="E288">
            <v>5</v>
          </cell>
          <cell r="F288" t="str">
            <v>06/03 - 06/09</v>
          </cell>
          <cell r="G288">
            <v>5</v>
          </cell>
          <cell r="H288">
            <v>5</v>
          </cell>
          <cell r="I288">
            <v>5</v>
          </cell>
        </row>
        <row r="289">
          <cell r="A289">
            <v>5</v>
          </cell>
          <cell r="B289">
            <v>5</v>
          </cell>
          <cell r="C289">
            <v>5</v>
          </cell>
          <cell r="D289">
            <v>3</v>
          </cell>
          <cell r="E289">
            <v>5</v>
          </cell>
          <cell r="F289" t="str">
            <v>06/10 - 06/16</v>
          </cell>
          <cell r="G289">
            <v>5</v>
          </cell>
          <cell r="H289">
            <v>5</v>
          </cell>
          <cell r="I289">
            <v>5</v>
          </cell>
        </row>
        <row r="290">
          <cell r="A290">
            <v>5</v>
          </cell>
          <cell r="B290">
            <v>5</v>
          </cell>
          <cell r="C290">
            <v>5</v>
          </cell>
          <cell r="D290">
            <v>4</v>
          </cell>
          <cell r="E290">
            <v>5</v>
          </cell>
          <cell r="F290" t="str">
            <v>06/17 - 06/23</v>
          </cell>
          <cell r="G290">
            <v>5</v>
          </cell>
          <cell r="H290">
            <v>5</v>
          </cell>
          <cell r="I290">
            <v>5</v>
          </cell>
        </row>
        <row r="291">
          <cell r="A291">
            <v>5</v>
          </cell>
          <cell r="B291">
            <v>5</v>
          </cell>
          <cell r="C291">
            <v>5</v>
          </cell>
          <cell r="D291">
            <v>5</v>
          </cell>
          <cell r="E291">
            <v>5</v>
          </cell>
          <cell r="F291" t="str">
            <v>06/24 - 06/30</v>
          </cell>
          <cell r="G291">
            <v>5</v>
          </cell>
          <cell r="H291">
            <v>5</v>
          </cell>
          <cell r="I291">
            <v>5</v>
          </cell>
        </row>
        <row r="292">
          <cell r="A292" t="str">
            <v>JUL</v>
          </cell>
          <cell r="B292">
            <v>20</v>
          </cell>
          <cell r="C292">
            <v>3</v>
          </cell>
          <cell r="D292">
            <v>1</v>
          </cell>
          <cell r="E292">
            <v>5</v>
          </cell>
          <cell r="F292" t="str">
            <v>07/01 - 07/07</v>
          </cell>
          <cell r="G292">
            <v>5</v>
          </cell>
          <cell r="H292">
            <v>5</v>
          </cell>
          <cell r="I292" t="str">
            <v>01/JUL ~ 28/JUL</v>
          </cell>
        </row>
        <row r="293">
          <cell r="A293">
            <v>5</v>
          </cell>
          <cell r="B293">
            <v>5</v>
          </cell>
          <cell r="C293">
            <v>5</v>
          </cell>
          <cell r="D293">
            <v>2</v>
          </cell>
          <cell r="E293">
            <v>5</v>
          </cell>
          <cell r="F293" t="str">
            <v>07/08 - 07/14</v>
          </cell>
          <cell r="G293">
            <v>5</v>
          </cell>
          <cell r="H293">
            <v>5</v>
          </cell>
          <cell r="I293">
            <v>5</v>
          </cell>
        </row>
        <row r="294">
          <cell r="A294">
            <v>5</v>
          </cell>
          <cell r="B294">
            <v>5</v>
          </cell>
          <cell r="C294">
            <v>5</v>
          </cell>
          <cell r="D294">
            <v>3</v>
          </cell>
          <cell r="E294">
            <v>4</v>
          </cell>
          <cell r="F294" t="str">
            <v>07/15 - 07/21</v>
          </cell>
          <cell r="G294">
            <v>4</v>
          </cell>
          <cell r="H294">
            <v>4</v>
          </cell>
          <cell r="I294">
            <v>4</v>
          </cell>
        </row>
        <row r="295">
          <cell r="A295">
            <v>4</v>
          </cell>
          <cell r="B295">
            <v>4</v>
          </cell>
          <cell r="C295">
            <v>4</v>
          </cell>
          <cell r="D295">
            <v>4</v>
          </cell>
          <cell r="E295">
            <v>6</v>
          </cell>
          <cell r="F295" t="str">
            <v>07/22 - 07/28</v>
          </cell>
          <cell r="G295">
            <v>6</v>
          </cell>
          <cell r="H295">
            <v>6</v>
          </cell>
          <cell r="I295">
            <v>6</v>
          </cell>
        </row>
        <row r="296">
          <cell r="A296">
            <v>6</v>
          </cell>
          <cell r="B296">
            <v>6</v>
          </cell>
          <cell r="C296">
            <v>6</v>
          </cell>
          <cell r="D296">
            <v>6</v>
          </cell>
          <cell r="E296">
            <v>6</v>
          </cell>
          <cell r="F296">
            <v>6</v>
          </cell>
          <cell r="G296">
            <v>6</v>
          </cell>
          <cell r="H296">
            <v>6</v>
          </cell>
          <cell r="I296">
            <v>6</v>
          </cell>
        </row>
        <row r="297">
          <cell r="A297" t="str">
            <v>AUG</v>
          </cell>
          <cell r="B297">
            <v>19</v>
          </cell>
          <cell r="C297">
            <v>4</v>
          </cell>
          <cell r="D297">
            <v>1</v>
          </cell>
          <cell r="E297">
            <v>5</v>
          </cell>
          <cell r="F297" t="str">
            <v>07/29 - 08/04</v>
          </cell>
          <cell r="G297">
            <v>5</v>
          </cell>
          <cell r="H297">
            <v>5</v>
          </cell>
          <cell r="I297" t="str">
            <v>29/JUL ~ 25/AUG</v>
          </cell>
        </row>
        <row r="298">
          <cell r="A298">
            <v>5</v>
          </cell>
          <cell r="B298">
            <v>5</v>
          </cell>
          <cell r="C298">
            <v>5</v>
          </cell>
          <cell r="D298">
            <v>2</v>
          </cell>
          <cell r="E298">
            <v>5</v>
          </cell>
          <cell r="F298" t="str">
            <v>08/05 - 08/11</v>
          </cell>
          <cell r="G298">
            <v>5</v>
          </cell>
          <cell r="H298">
            <v>5</v>
          </cell>
          <cell r="I298">
            <v>5</v>
          </cell>
        </row>
        <row r="299">
          <cell r="A299">
            <v>5</v>
          </cell>
          <cell r="B299">
            <v>5</v>
          </cell>
          <cell r="C299">
            <v>5</v>
          </cell>
          <cell r="D299">
            <v>3</v>
          </cell>
          <cell r="E299">
            <v>4</v>
          </cell>
          <cell r="F299" t="str">
            <v>08/12 - 08/18</v>
          </cell>
          <cell r="G299">
            <v>4</v>
          </cell>
          <cell r="H299">
            <v>4</v>
          </cell>
          <cell r="I299">
            <v>4</v>
          </cell>
        </row>
        <row r="300">
          <cell r="A300">
            <v>4</v>
          </cell>
          <cell r="B300">
            <v>4</v>
          </cell>
          <cell r="C300">
            <v>4</v>
          </cell>
          <cell r="D300">
            <v>4</v>
          </cell>
          <cell r="E300">
            <v>5</v>
          </cell>
          <cell r="F300" t="str">
            <v>08/19 - 08/25</v>
          </cell>
          <cell r="G300">
            <v>5</v>
          </cell>
          <cell r="H300">
            <v>5</v>
          </cell>
          <cell r="I300">
            <v>5</v>
          </cell>
        </row>
        <row r="301">
          <cell r="A301">
            <v>5</v>
          </cell>
          <cell r="B301">
            <v>5</v>
          </cell>
          <cell r="C301">
            <v>5</v>
          </cell>
          <cell r="D301">
            <v>5</v>
          </cell>
          <cell r="E301">
            <v>5</v>
          </cell>
          <cell r="F301">
            <v>5</v>
          </cell>
          <cell r="G301">
            <v>5</v>
          </cell>
          <cell r="H301">
            <v>5</v>
          </cell>
          <cell r="I301">
            <v>5</v>
          </cell>
        </row>
        <row r="302">
          <cell r="A302" t="str">
            <v>SEP</v>
          </cell>
          <cell r="B302">
            <v>20</v>
          </cell>
          <cell r="C302">
            <v>4</v>
          </cell>
          <cell r="D302">
            <v>1</v>
          </cell>
          <cell r="E302">
            <v>5</v>
          </cell>
          <cell r="F302" t="str">
            <v>08/26 - 09/01</v>
          </cell>
          <cell r="G302">
            <v>5</v>
          </cell>
          <cell r="H302">
            <v>5</v>
          </cell>
          <cell r="I302" t="str">
            <v>26/AUG ~ 29/SEP</v>
          </cell>
        </row>
        <row r="303">
          <cell r="A303">
            <v>5</v>
          </cell>
          <cell r="B303">
            <v>5</v>
          </cell>
          <cell r="C303">
            <v>5</v>
          </cell>
          <cell r="D303">
            <v>2</v>
          </cell>
          <cell r="E303">
            <v>5</v>
          </cell>
          <cell r="F303" t="str">
            <v>09/02 - 09/08</v>
          </cell>
          <cell r="G303">
            <v>5</v>
          </cell>
          <cell r="H303">
            <v>5</v>
          </cell>
          <cell r="I303">
            <v>5</v>
          </cell>
        </row>
        <row r="304">
          <cell r="A304">
            <v>5</v>
          </cell>
          <cell r="B304">
            <v>5</v>
          </cell>
          <cell r="C304">
            <v>5</v>
          </cell>
          <cell r="D304">
            <v>3</v>
          </cell>
          <cell r="E304">
            <v>5</v>
          </cell>
          <cell r="F304" t="str">
            <v>09/09 - 09/15</v>
          </cell>
          <cell r="G304">
            <v>5</v>
          </cell>
          <cell r="H304">
            <v>5</v>
          </cell>
          <cell r="I304">
            <v>5</v>
          </cell>
        </row>
        <row r="305">
          <cell r="A305">
            <v>5</v>
          </cell>
          <cell r="B305">
            <v>5</v>
          </cell>
          <cell r="C305">
            <v>5</v>
          </cell>
          <cell r="D305">
            <v>4</v>
          </cell>
          <cell r="E305">
            <v>5</v>
          </cell>
          <cell r="F305" t="str">
            <v>09/16 - 09/29</v>
          </cell>
          <cell r="G305">
            <v>5</v>
          </cell>
          <cell r="H305">
            <v>5</v>
          </cell>
          <cell r="I305">
            <v>5</v>
          </cell>
        </row>
        <row r="306">
          <cell r="A306">
            <v>5</v>
          </cell>
          <cell r="B306">
            <v>5</v>
          </cell>
          <cell r="C306">
            <v>5</v>
          </cell>
          <cell r="D306">
            <v>5</v>
          </cell>
          <cell r="E306">
            <v>5</v>
          </cell>
          <cell r="F306">
            <v>5</v>
          </cell>
          <cell r="G306">
            <v>5</v>
          </cell>
          <cell r="H306">
            <v>5</v>
          </cell>
          <cell r="I306">
            <v>5</v>
          </cell>
        </row>
        <row r="307">
          <cell r="A307" t="str">
            <v>OCT</v>
          </cell>
          <cell r="B307">
            <v>20</v>
          </cell>
          <cell r="C307">
            <v>4</v>
          </cell>
          <cell r="D307">
            <v>1</v>
          </cell>
          <cell r="E307">
            <v>5</v>
          </cell>
          <cell r="F307" t="str">
            <v>09/30 - 10/06</v>
          </cell>
          <cell r="G307">
            <v>5</v>
          </cell>
          <cell r="H307">
            <v>5</v>
          </cell>
          <cell r="I307" t="str">
            <v>30/SEP ~ 27/OCT</v>
          </cell>
        </row>
        <row r="308">
          <cell r="A308">
            <v>5</v>
          </cell>
          <cell r="B308">
            <v>5</v>
          </cell>
          <cell r="C308">
            <v>5</v>
          </cell>
          <cell r="D308">
            <v>2</v>
          </cell>
          <cell r="E308">
            <v>5</v>
          </cell>
          <cell r="F308" t="str">
            <v>10/07 - 10/13</v>
          </cell>
          <cell r="G308">
            <v>5</v>
          </cell>
          <cell r="H308">
            <v>5</v>
          </cell>
          <cell r="I308">
            <v>5</v>
          </cell>
        </row>
        <row r="309">
          <cell r="A309">
            <v>5</v>
          </cell>
          <cell r="B309">
            <v>5</v>
          </cell>
          <cell r="C309">
            <v>5</v>
          </cell>
          <cell r="D309">
            <v>3</v>
          </cell>
          <cell r="E309">
            <v>5</v>
          </cell>
          <cell r="F309" t="str">
            <v>10/14 - 10/20</v>
          </cell>
          <cell r="G309">
            <v>5</v>
          </cell>
          <cell r="H309">
            <v>5</v>
          </cell>
          <cell r="I309">
            <v>5</v>
          </cell>
        </row>
        <row r="310">
          <cell r="A310">
            <v>5</v>
          </cell>
          <cell r="B310">
            <v>5</v>
          </cell>
          <cell r="C310">
            <v>5</v>
          </cell>
          <cell r="D310">
            <v>4</v>
          </cell>
          <cell r="E310">
            <v>5</v>
          </cell>
          <cell r="F310" t="str">
            <v>10/21 - 10/27</v>
          </cell>
          <cell r="G310">
            <v>5</v>
          </cell>
          <cell r="H310">
            <v>5</v>
          </cell>
          <cell r="I310">
            <v>5</v>
          </cell>
        </row>
        <row r="311">
          <cell r="A311">
            <v>5</v>
          </cell>
          <cell r="B311">
            <v>5</v>
          </cell>
          <cell r="C311">
            <v>5</v>
          </cell>
          <cell r="D311">
            <v>5</v>
          </cell>
          <cell r="E311">
            <v>5</v>
          </cell>
          <cell r="F311">
            <v>5</v>
          </cell>
          <cell r="G311">
            <v>5</v>
          </cell>
          <cell r="H311">
            <v>5</v>
          </cell>
          <cell r="I311">
            <v>5</v>
          </cell>
        </row>
        <row r="312">
          <cell r="A312" t="str">
            <v>NOV</v>
          </cell>
          <cell r="B312">
            <v>20</v>
          </cell>
          <cell r="C312">
            <v>4</v>
          </cell>
          <cell r="D312">
            <v>1</v>
          </cell>
          <cell r="E312">
            <v>5</v>
          </cell>
          <cell r="F312" t="str">
            <v>10/28 - 11/03</v>
          </cell>
          <cell r="G312">
            <v>5</v>
          </cell>
          <cell r="H312">
            <v>5</v>
          </cell>
          <cell r="I312" t="str">
            <v>28/OCT ~ 24/NOV</v>
          </cell>
        </row>
        <row r="313">
          <cell r="A313">
            <v>5</v>
          </cell>
          <cell r="B313">
            <v>5</v>
          </cell>
          <cell r="C313">
            <v>5</v>
          </cell>
          <cell r="D313">
            <v>2</v>
          </cell>
          <cell r="E313">
            <v>5</v>
          </cell>
          <cell r="F313" t="str">
            <v>11/04 - 11/10</v>
          </cell>
          <cell r="G313">
            <v>5</v>
          </cell>
          <cell r="H313">
            <v>5</v>
          </cell>
          <cell r="I313">
            <v>5</v>
          </cell>
        </row>
        <row r="314">
          <cell r="A314">
            <v>5</v>
          </cell>
          <cell r="B314">
            <v>5</v>
          </cell>
          <cell r="C314">
            <v>5</v>
          </cell>
          <cell r="D314">
            <v>3</v>
          </cell>
          <cell r="E314">
            <v>5</v>
          </cell>
          <cell r="F314" t="str">
            <v>11/11 - 11/17</v>
          </cell>
          <cell r="G314">
            <v>5</v>
          </cell>
          <cell r="H314">
            <v>5</v>
          </cell>
          <cell r="I314">
            <v>5</v>
          </cell>
        </row>
        <row r="315">
          <cell r="A315">
            <v>5</v>
          </cell>
          <cell r="B315">
            <v>5</v>
          </cell>
          <cell r="C315">
            <v>5</v>
          </cell>
          <cell r="D315">
            <v>4</v>
          </cell>
          <cell r="E315">
            <v>5</v>
          </cell>
          <cell r="F315" t="str">
            <v>11/18 - 11/24</v>
          </cell>
          <cell r="G315">
            <v>5</v>
          </cell>
          <cell r="H315">
            <v>5</v>
          </cell>
          <cell r="I315">
            <v>5</v>
          </cell>
        </row>
        <row r="316">
          <cell r="A316">
            <v>5</v>
          </cell>
          <cell r="B316">
            <v>5</v>
          </cell>
          <cell r="C316">
            <v>5</v>
          </cell>
          <cell r="D316">
            <v>5</v>
          </cell>
          <cell r="E316">
            <v>5</v>
          </cell>
          <cell r="F316">
            <v>5</v>
          </cell>
          <cell r="G316">
            <v>5</v>
          </cell>
          <cell r="H316">
            <v>5</v>
          </cell>
          <cell r="I316">
            <v>5</v>
          </cell>
        </row>
        <row r="317">
          <cell r="A317" t="str">
            <v>DEC</v>
          </cell>
          <cell r="B317">
            <v>22</v>
          </cell>
          <cell r="C317">
            <v>5</v>
          </cell>
          <cell r="D317">
            <v>1</v>
          </cell>
          <cell r="E317">
            <v>4</v>
          </cell>
          <cell r="F317" t="str">
            <v>11/25 - 12/01</v>
          </cell>
          <cell r="G317">
            <v>4</v>
          </cell>
          <cell r="H317">
            <v>4</v>
          </cell>
          <cell r="I317" t="str">
            <v>25/NOV ~ 29/DEC</v>
          </cell>
        </row>
        <row r="318">
          <cell r="A318">
            <v>4</v>
          </cell>
          <cell r="B318">
            <v>4</v>
          </cell>
          <cell r="C318">
            <v>4</v>
          </cell>
          <cell r="D318">
            <v>2</v>
          </cell>
          <cell r="E318">
            <v>5</v>
          </cell>
          <cell r="F318" t="str">
            <v>12/02 - 12/08</v>
          </cell>
          <cell r="G318">
            <v>5</v>
          </cell>
          <cell r="H318">
            <v>5</v>
          </cell>
          <cell r="I318">
            <v>5</v>
          </cell>
        </row>
        <row r="319">
          <cell r="A319">
            <v>5</v>
          </cell>
          <cell r="B319">
            <v>5</v>
          </cell>
          <cell r="C319">
            <v>5</v>
          </cell>
          <cell r="D319">
            <v>3</v>
          </cell>
          <cell r="E319">
            <v>5</v>
          </cell>
          <cell r="F319" t="str">
            <v>12/09 - 12/15</v>
          </cell>
          <cell r="G319">
            <v>5</v>
          </cell>
          <cell r="H319">
            <v>5</v>
          </cell>
          <cell r="I319">
            <v>5</v>
          </cell>
        </row>
        <row r="320">
          <cell r="A320">
            <v>5</v>
          </cell>
          <cell r="B320">
            <v>5</v>
          </cell>
          <cell r="C320">
            <v>5</v>
          </cell>
          <cell r="D320">
            <v>4</v>
          </cell>
          <cell r="E320">
            <v>4</v>
          </cell>
          <cell r="F320" t="str">
            <v>12/16 - 12/22</v>
          </cell>
          <cell r="G320">
            <v>4</v>
          </cell>
          <cell r="H320">
            <v>4</v>
          </cell>
          <cell r="I320">
            <v>4</v>
          </cell>
        </row>
        <row r="321">
          <cell r="A321">
            <v>4</v>
          </cell>
          <cell r="B321">
            <v>4</v>
          </cell>
          <cell r="C321">
            <v>4</v>
          </cell>
          <cell r="D321">
            <v>5</v>
          </cell>
          <cell r="E321">
            <v>4</v>
          </cell>
          <cell r="F321" t="str">
            <v>12/23 - 12/29</v>
          </cell>
          <cell r="G321">
            <v>4</v>
          </cell>
          <cell r="H321">
            <v>4</v>
          </cell>
          <cell r="I321">
            <v>4</v>
          </cell>
        </row>
        <row r="324">
          <cell r="A324" t="str">
            <v>JAN</v>
          </cell>
          <cell r="B324">
            <v>22</v>
          </cell>
          <cell r="C324">
            <v>4</v>
          </cell>
          <cell r="D324">
            <v>1</v>
          </cell>
          <cell r="E324">
            <v>7</v>
          </cell>
          <cell r="F324" t="str">
            <v>12/30- 01/08</v>
          </cell>
          <cell r="G324">
            <v>7</v>
          </cell>
          <cell r="H324">
            <v>7</v>
          </cell>
          <cell r="I324" t="str">
            <v>30/DEC ~ 29/JAN</v>
          </cell>
        </row>
        <row r="325">
          <cell r="A325">
            <v>7</v>
          </cell>
          <cell r="B325">
            <v>7</v>
          </cell>
          <cell r="C325">
            <v>7</v>
          </cell>
          <cell r="D325">
            <v>2</v>
          </cell>
          <cell r="E325">
            <v>5</v>
          </cell>
          <cell r="F325" t="str">
            <v>01/11- 01/15</v>
          </cell>
          <cell r="G325">
            <v>5</v>
          </cell>
          <cell r="H325">
            <v>5</v>
          </cell>
          <cell r="I325">
            <v>5</v>
          </cell>
        </row>
        <row r="326">
          <cell r="A326">
            <v>5</v>
          </cell>
          <cell r="B326">
            <v>5</v>
          </cell>
          <cell r="C326">
            <v>5</v>
          </cell>
          <cell r="D326">
            <v>3</v>
          </cell>
          <cell r="E326">
            <v>5</v>
          </cell>
          <cell r="F326" t="str">
            <v>01/18 - 01/22</v>
          </cell>
          <cell r="G326">
            <v>5</v>
          </cell>
          <cell r="H326">
            <v>5</v>
          </cell>
          <cell r="I326">
            <v>5</v>
          </cell>
        </row>
        <row r="327">
          <cell r="A327">
            <v>5</v>
          </cell>
          <cell r="B327">
            <v>5</v>
          </cell>
          <cell r="C327">
            <v>5</v>
          </cell>
          <cell r="D327">
            <v>4</v>
          </cell>
          <cell r="E327">
            <v>5</v>
          </cell>
          <cell r="F327" t="str">
            <v>01/25 - 01/29</v>
          </cell>
          <cell r="G327">
            <v>5</v>
          </cell>
          <cell r="H327">
            <v>5</v>
          </cell>
          <cell r="I327">
            <v>5</v>
          </cell>
        </row>
        <row r="328">
          <cell r="A328">
            <v>5</v>
          </cell>
          <cell r="B328">
            <v>5</v>
          </cell>
          <cell r="C328">
            <v>5</v>
          </cell>
          <cell r="D328">
            <v>5</v>
          </cell>
          <cell r="E328">
            <v>5</v>
          </cell>
          <cell r="F328">
            <v>5</v>
          </cell>
          <cell r="G328">
            <v>5</v>
          </cell>
          <cell r="H328">
            <v>5</v>
          </cell>
          <cell r="I328">
            <v>5</v>
          </cell>
        </row>
        <row r="329">
          <cell r="A329" t="str">
            <v>FEB</v>
          </cell>
          <cell r="B329">
            <v>19</v>
          </cell>
          <cell r="C329">
            <v>4</v>
          </cell>
          <cell r="D329">
            <v>1</v>
          </cell>
          <cell r="E329">
            <v>5</v>
          </cell>
          <cell r="F329" t="str">
            <v>02/01 - 02/05</v>
          </cell>
          <cell r="G329">
            <v>5</v>
          </cell>
          <cell r="H329">
            <v>5</v>
          </cell>
          <cell r="I329" t="str">
            <v>02/FEB ~ 25/FEB</v>
          </cell>
        </row>
        <row r="330">
          <cell r="A330">
            <v>5</v>
          </cell>
          <cell r="B330">
            <v>5</v>
          </cell>
          <cell r="C330">
            <v>5</v>
          </cell>
          <cell r="D330">
            <v>2</v>
          </cell>
          <cell r="E330">
            <v>5</v>
          </cell>
          <cell r="F330" t="str">
            <v>02/08 - 02/12</v>
          </cell>
          <cell r="G330">
            <v>5</v>
          </cell>
          <cell r="H330">
            <v>5</v>
          </cell>
          <cell r="I330">
            <v>5</v>
          </cell>
        </row>
        <row r="331">
          <cell r="A331">
            <v>5</v>
          </cell>
          <cell r="B331">
            <v>5</v>
          </cell>
          <cell r="C331">
            <v>5</v>
          </cell>
          <cell r="D331">
            <v>3</v>
          </cell>
          <cell r="E331">
            <v>5</v>
          </cell>
          <cell r="F331" t="str">
            <v>02/15 - 02/19</v>
          </cell>
          <cell r="G331">
            <v>5</v>
          </cell>
          <cell r="H331">
            <v>5</v>
          </cell>
          <cell r="I331">
            <v>5</v>
          </cell>
        </row>
        <row r="332">
          <cell r="A332">
            <v>5</v>
          </cell>
          <cell r="B332">
            <v>5</v>
          </cell>
          <cell r="C332">
            <v>5</v>
          </cell>
          <cell r="D332">
            <v>4</v>
          </cell>
          <cell r="E332">
            <v>4</v>
          </cell>
          <cell r="F332" t="str">
            <v>02/22 - 02/25</v>
          </cell>
          <cell r="G332">
            <v>4</v>
          </cell>
          <cell r="H332">
            <v>4</v>
          </cell>
          <cell r="I332">
            <v>4</v>
          </cell>
        </row>
        <row r="333">
          <cell r="A333">
            <v>4</v>
          </cell>
          <cell r="B333">
            <v>4</v>
          </cell>
          <cell r="C333">
            <v>4</v>
          </cell>
          <cell r="D333">
            <v>4</v>
          </cell>
          <cell r="E333">
            <v>4</v>
          </cell>
          <cell r="F333">
            <v>4</v>
          </cell>
          <cell r="G333">
            <v>4</v>
          </cell>
          <cell r="H333">
            <v>4</v>
          </cell>
          <cell r="I333">
            <v>4</v>
          </cell>
        </row>
        <row r="334">
          <cell r="A334" t="str">
            <v>MAR</v>
          </cell>
          <cell r="B334">
            <v>23</v>
          </cell>
          <cell r="C334">
            <v>5</v>
          </cell>
          <cell r="D334">
            <v>1</v>
          </cell>
          <cell r="E334">
            <v>5</v>
          </cell>
          <cell r="F334" t="str">
            <v>03/01 - 03/05</v>
          </cell>
          <cell r="G334">
            <v>5</v>
          </cell>
          <cell r="H334">
            <v>5</v>
          </cell>
          <cell r="I334" t="str">
            <v>01/MAR ~ 4/APR</v>
          </cell>
        </row>
        <row r="335">
          <cell r="A335">
            <v>5</v>
          </cell>
          <cell r="B335">
            <v>5</v>
          </cell>
          <cell r="C335">
            <v>5</v>
          </cell>
          <cell r="D335">
            <v>2</v>
          </cell>
          <cell r="E335">
            <v>5</v>
          </cell>
          <cell r="F335" t="str">
            <v>03/08 - 03/12</v>
          </cell>
          <cell r="G335">
            <v>5</v>
          </cell>
          <cell r="H335">
            <v>5</v>
          </cell>
          <cell r="I335">
            <v>5</v>
          </cell>
        </row>
        <row r="336">
          <cell r="A336">
            <v>5</v>
          </cell>
          <cell r="B336">
            <v>5</v>
          </cell>
          <cell r="C336">
            <v>5</v>
          </cell>
          <cell r="D336">
            <v>3</v>
          </cell>
          <cell r="E336">
            <v>4</v>
          </cell>
          <cell r="F336" t="str">
            <v>03/17 - 03/20</v>
          </cell>
          <cell r="G336">
            <v>4</v>
          </cell>
          <cell r="H336">
            <v>4</v>
          </cell>
          <cell r="I336">
            <v>4</v>
          </cell>
        </row>
        <row r="337">
          <cell r="A337">
            <v>4</v>
          </cell>
          <cell r="B337">
            <v>4</v>
          </cell>
          <cell r="C337">
            <v>4</v>
          </cell>
          <cell r="D337">
            <v>4</v>
          </cell>
          <cell r="E337">
            <v>5</v>
          </cell>
          <cell r="F337" t="str">
            <v>03/22 - 03/26</v>
          </cell>
          <cell r="G337">
            <v>5</v>
          </cell>
          <cell r="H337">
            <v>5</v>
          </cell>
          <cell r="I337">
            <v>5</v>
          </cell>
        </row>
        <row r="338">
          <cell r="A338">
            <v>5</v>
          </cell>
          <cell r="B338">
            <v>5</v>
          </cell>
          <cell r="C338">
            <v>5</v>
          </cell>
          <cell r="D338">
            <v>5</v>
          </cell>
          <cell r="E338">
            <v>4</v>
          </cell>
          <cell r="F338" t="str">
            <v>03/29 - 04/01</v>
          </cell>
          <cell r="G338">
            <v>4</v>
          </cell>
          <cell r="H338">
            <v>4</v>
          </cell>
          <cell r="I338">
            <v>4</v>
          </cell>
        </row>
        <row r="339">
          <cell r="A339" t="str">
            <v>APR</v>
          </cell>
          <cell r="B339">
            <v>20</v>
          </cell>
          <cell r="C339">
            <v>4</v>
          </cell>
          <cell r="D339">
            <v>1</v>
          </cell>
          <cell r="E339">
            <v>5</v>
          </cell>
          <cell r="F339" t="str">
            <v>04/05 - 04/09</v>
          </cell>
          <cell r="G339">
            <v>5</v>
          </cell>
          <cell r="H339">
            <v>5</v>
          </cell>
          <cell r="I339" t="str">
            <v>05/APR ~ 30/APR</v>
          </cell>
        </row>
        <row r="340">
          <cell r="A340">
            <v>5</v>
          </cell>
          <cell r="B340">
            <v>5</v>
          </cell>
          <cell r="C340">
            <v>5</v>
          </cell>
          <cell r="D340">
            <v>2</v>
          </cell>
          <cell r="E340">
            <v>5</v>
          </cell>
          <cell r="F340" t="str">
            <v>04/12 - 04/16</v>
          </cell>
          <cell r="G340">
            <v>5</v>
          </cell>
          <cell r="H340">
            <v>5</v>
          </cell>
          <cell r="I340">
            <v>5</v>
          </cell>
        </row>
        <row r="341">
          <cell r="A341">
            <v>5</v>
          </cell>
          <cell r="B341">
            <v>5</v>
          </cell>
          <cell r="C341">
            <v>5</v>
          </cell>
          <cell r="D341">
            <v>3</v>
          </cell>
          <cell r="E341">
            <v>5</v>
          </cell>
          <cell r="F341" t="str">
            <v>04/19 - 04/23</v>
          </cell>
          <cell r="G341">
            <v>5</v>
          </cell>
          <cell r="H341">
            <v>5</v>
          </cell>
          <cell r="I341">
            <v>5</v>
          </cell>
        </row>
        <row r="342">
          <cell r="A342">
            <v>5</v>
          </cell>
          <cell r="B342">
            <v>5</v>
          </cell>
          <cell r="C342">
            <v>5</v>
          </cell>
          <cell r="D342">
            <v>4</v>
          </cell>
          <cell r="E342">
            <v>5</v>
          </cell>
          <cell r="F342" t="str">
            <v>04/26 - 04/30</v>
          </cell>
          <cell r="G342">
            <v>5</v>
          </cell>
          <cell r="H342">
            <v>5</v>
          </cell>
          <cell r="I342">
            <v>5</v>
          </cell>
        </row>
        <row r="343">
          <cell r="A343">
            <v>5</v>
          </cell>
          <cell r="B343">
            <v>5</v>
          </cell>
          <cell r="C343">
            <v>5</v>
          </cell>
          <cell r="D343">
            <v>5</v>
          </cell>
          <cell r="E343">
            <v>5</v>
          </cell>
          <cell r="F343">
            <v>5</v>
          </cell>
          <cell r="G343">
            <v>5</v>
          </cell>
          <cell r="H343">
            <v>5</v>
          </cell>
          <cell r="I343">
            <v>5</v>
          </cell>
        </row>
        <row r="344">
          <cell r="A344" t="str">
            <v>MAY</v>
          </cell>
          <cell r="B344">
            <v>17</v>
          </cell>
          <cell r="C344">
            <v>4</v>
          </cell>
          <cell r="D344">
            <v>1</v>
          </cell>
          <cell r="E344">
            <v>5</v>
          </cell>
          <cell r="F344" t="str">
            <v>05/03 - 05/07</v>
          </cell>
          <cell r="G344">
            <v>5</v>
          </cell>
          <cell r="H344">
            <v>5</v>
          </cell>
          <cell r="I344" t="str">
            <v>03/MAY ~ 27/MAY</v>
          </cell>
        </row>
        <row r="345">
          <cell r="A345">
            <v>5</v>
          </cell>
          <cell r="B345">
            <v>5</v>
          </cell>
          <cell r="C345">
            <v>5</v>
          </cell>
          <cell r="D345">
            <v>2</v>
          </cell>
          <cell r="E345">
            <v>3</v>
          </cell>
          <cell r="F345" t="str">
            <v>05/10 - 05/12</v>
          </cell>
          <cell r="G345">
            <v>3</v>
          </cell>
          <cell r="H345">
            <v>3</v>
          </cell>
          <cell r="I345">
            <v>3</v>
          </cell>
        </row>
        <row r="346">
          <cell r="A346">
            <v>3</v>
          </cell>
          <cell r="B346">
            <v>3</v>
          </cell>
          <cell r="C346">
            <v>3</v>
          </cell>
          <cell r="D346">
            <v>3</v>
          </cell>
          <cell r="E346">
            <v>5</v>
          </cell>
          <cell r="F346" t="str">
            <v>05/17 - 05/21</v>
          </cell>
          <cell r="G346">
            <v>5</v>
          </cell>
          <cell r="H346">
            <v>5</v>
          </cell>
          <cell r="I346">
            <v>5</v>
          </cell>
        </row>
        <row r="347">
          <cell r="A347">
            <v>5</v>
          </cell>
          <cell r="B347">
            <v>5</v>
          </cell>
          <cell r="C347">
            <v>5</v>
          </cell>
          <cell r="D347">
            <v>4</v>
          </cell>
          <cell r="E347">
            <v>4</v>
          </cell>
          <cell r="F347" t="str">
            <v>05/24 - 05/27</v>
          </cell>
          <cell r="G347">
            <v>4</v>
          </cell>
          <cell r="H347">
            <v>4</v>
          </cell>
          <cell r="I347">
            <v>4</v>
          </cell>
        </row>
        <row r="348">
          <cell r="A348">
            <v>4</v>
          </cell>
          <cell r="B348">
            <v>4</v>
          </cell>
          <cell r="C348">
            <v>4</v>
          </cell>
          <cell r="D348">
            <v>4</v>
          </cell>
          <cell r="E348">
            <v>4</v>
          </cell>
          <cell r="F348">
            <v>4</v>
          </cell>
          <cell r="G348">
            <v>4</v>
          </cell>
          <cell r="H348">
            <v>4</v>
          </cell>
          <cell r="I348">
            <v>4</v>
          </cell>
        </row>
        <row r="349">
          <cell r="A349" t="str">
            <v>JUN</v>
          </cell>
          <cell r="B349">
            <v>25</v>
          </cell>
          <cell r="C349">
            <v>5</v>
          </cell>
          <cell r="D349">
            <v>1</v>
          </cell>
          <cell r="E349">
            <v>5</v>
          </cell>
          <cell r="F349" t="str">
            <v>05/31 - 06/04</v>
          </cell>
          <cell r="G349">
            <v>5</v>
          </cell>
          <cell r="H349">
            <v>5</v>
          </cell>
          <cell r="I349" t="str">
            <v>31/MAY ~ 2/JUL</v>
          </cell>
        </row>
        <row r="350">
          <cell r="A350">
            <v>5</v>
          </cell>
          <cell r="B350">
            <v>5</v>
          </cell>
          <cell r="C350">
            <v>5</v>
          </cell>
          <cell r="D350">
            <v>2</v>
          </cell>
          <cell r="E350">
            <v>5</v>
          </cell>
          <cell r="F350" t="str">
            <v>06/07 - 06/11</v>
          </cell>
          <cell r="G350">
            <v>5</v>
          </cell>
          <cell r="H350">
            <v>5</v>
          </cell>
          <cell r="I350">
            <v>5</v>
          </cell>
        </row>
        <row r="351">
          <cell r="A351">
            <v>5</v>
          </cell>
          <cell r="B351">
            <v>5</v>
          </cell>
          <cell r="C351">
            <v>5</v>
          </cell>
          <cell r="D351">
            <v>3</v>
          </cell>
          <cell r="E351">
            <v>5</v>
          </cell>
          <cell r="F351" t="str">
            <v>06/14 - 06/18</v>
          </cell>
          <cell r="G351">
            <v>5</v>
          </cell>
          <cell r="H351">
            <v>5</v>
          </cell>
          <cell r="I351">
            <v>5</v>
          </cell>
        </row>
        <row r="352">
          <cell r="A352">
            <v>5</v>
          </cell>
          <cell r="B352">
            <v>5</v>
          </cell>
          <cell r="C352">
            <v>5</v>
          </cell>
          <cell r="D352">
            <v>4</v>
          </cell>
          <cell r="E352">
            <v>5</v>
          </cell>
          <cell r="F352" t="str">
            <v>06/21 - 06/25</v>
          </cell>
          <cell r="G352">
            <v>5</v>
          </cell>
          <cell r="H352">
            <v>5</v>
          </cell>
          <cell r="I352">
            <v>5</v>
          </cell>
        </row>
        <row r="353">
          <cell r="A353">
            <v>5</v>
          </cell>
          <cell r="B353">
            <v>5</v>
          </cell>
          <cell r="C353">
            <v>5</v>
          </cell>
          <cell r="D353">
            <v>5</v>
          </cell>
          <cell r="E353">
            <v>5</v>
          </cell>
          <cell r="F353" t="str">
            <v>06/28 - 07/02</v>
          </cell>
          <cell r="G353">
            <v>5</v>
          </cell>
          <cell r="H353">
            <v>5</v>
          </cell>
          <cell r="I353">
            <v>5</v>
          </cell>
        </row>
        <row r="354">
          <cell r="A354" t="str">
            <v>JUL</v>
          </cell>
          <cell r="B354">
            <v>20</v>
          </cell>
          <cell r="C354">
            <v>4</v>
          </cell>
          <cell r="D354">
            <v>1</v>
          </cell>
          <cell r="E354">
            <v>5</v>
          </cell>
          <cell r="F354" t="str">
            <v>07/05 - 07/09</v>
          </cell>
          <cell r="G354">
            <v>5</v>
          </cell>
          <cell r="H354">
            <v>5</v>
          </cell>
          <cell r="I354" t="str">
            <v>05/JUL ~ 30/JUL</v>
          </cell>
        </row>
        <row r="355">
          <cell r="A355">
            <v>5</v>
          </cell>
          <cell r="B355">
            <v>5</v>
          </cell>
          <cell r="C355">
            <v>5</v>
          </cell>
          <cell r="D355">
            <v>2</v>
          </cell>
          <cell r="E355">
            <v>5</v>
          </cell>
          <cell r="F355" t="str">
            <v>07/12 - 07/16</v>
          </cell>
          <cell r="G355">
            <v>5</v>
          </cell>
          <cell r="H355">
            <v>5</v>
          </cell>
          <cell r="I355">
            <v>5</v>
          </cell>
        </row>
        <row r="356">
          <cell r="A356">
            <v>5</v>
          </cell>
          <cell r="B356">
            <v>5</v>
          </cell>
          <cell r="C356">
            <v>5</v>
          </cell>
          <cell r="D356">
            <v>3</v>
          </cell>
          <cell r="E356">
            <v>5</v>
          </cell>
          <cell r="F356" t="str">
            <v>07/19 - 07/23</v>
          </cell>
          <cell r="G356">
            <v>5</v>
          </cell>
          <cell r="H356">
            <v>5</v>
          </cell>
          <cell r="I356">
            <v>5</v>
          </cell>
        </row>
        <row r="357">
          <cell r="A357">
            <v>5</v>
          </cell>
          <cell r="B357">
            <v>5</v>
          </cell>
          <cell r="C357">
            <v>5</v>
          </cell>
          <cell r="D357">
            <v>4</v>
          </cell>
          <cell r="E357">
            <v>5</v>
          </cell>
          <cell r="F357" t="str">
            <v>07/26 - 07/30</v>
          </cell>
          <cell r="G357">
            <v>5</v>
          </cell>
          <cell r="H357">
            <v>5</v>
          </cell>
          <cell r="I357">
            <v>5</v>
          </cell>
        </row>
        <row r="358">
          <cell r="A358">
            <v>5</v>
          </cell>
          <cell r="B358">
            <v>5</v>
          </cell>
          <cell r="C358">
            <v>5</v>
          </cell>
          <cell r="D358">
            <v>5</v>
          </cell>
          <cell r="E358">
            <v>5</v>
          </cell>
          <cell r="F358">
            <v>5</v>
          </cell>
          <cell r="G358">
            <v>5</v>
          </cell>
          <cell r="H358">
            <v>5</v>
          </cell>
          <cell r="I358">
            <v>5</v>
          </cell>
        </row>
        <row r="359">
          <cell r="A359" t="str">
            <v>AUG</v>
          </cell>
          <cell r="B359">
            <v>19</v>
          </cell>
          <cell r="C359">
            <v>4</v>
          </cell>
          <cell r="D359">
            <v>1</v>
          </cell>
          <cell r="E359">
            <v>5</v>
          </cell>
          <cell r="F359" t="str">
            <v>08/02 - 08/06</v>
          </cell>
          <cell r="G359">
            <v>5</v>
          </cell>
          <cell r="H359">
            <v>5</v>
          </cell>
          <cell r="I359" t="str">
            <v>02/AUG ~ 27/AUG</v>
          </cell>
        </row>
        <row r="360">
          <cell r="A360">
            <v>5</v>
          </cell>
          <cell r="B360">
            <v>5</v>
          </cell>
          <cell r="C360">
            <v>5</v>
          </cell>
          <cell r="D360">
            <v>2</v>
          </cell>
          <cell r="E360">
            <v>5</v>
          </cell>
          <cell r="F360" t="str">
            <v>08/09 - 08/13</v>
          </cell>
          <cell r="G360">
            <v>5</v>
          </cell>
          <cell r="H360">
            <v>5</v>
          </cell>
          <cell r="I360">
            <v>5</v>
          </cell>
        </row>
        <row r="361">
          <cell r="A361">
            <v>5</v>
          </cell>
          <cell r="B361">
            <v>5</v>
          </cell>
          <cell r="C361">
            <v>5</v>
          </cell>
          <cell r="D361">
            <v>3</v>
          </cell>
          <cell r="E361">
            <v>4</v>
          </cell>
          <cell r="F361" t="str">
            <v>08/18 - 08/21</v>
          </cell>
          <cell r="G361">
            <v>4</v>
          </cell>
          <cell r="H361">
            <v>4</v>
          </cell>
          <cell r="I361">
            <v>4</v>
          </cell>
        </row>
        <row r="362">
          <cell r="A362">
            <v>4</v>
          </cell>
          <cell r="B362">
            <v>4</v>
          </cell>
          <cell r="C362">
            <v>4</v>
          </cell>
          <cell r="D362">
            <v>4</v>
          </cell>
          <cell r="E362">
            <v>5</v>
          </cell>
          <cell r="F362" t="str">
            <v>08/23 - 08/27</v>
          </cell>
          <cell r="G362">
            <v>5</v>
          </cell>
          <cell r="H362">
            <v>5</v>
          </cell>
          <cell r="I362">
            <v>5</v>
          </cell>
        </row>
        <row r="363">
          <cell r="A363">
            <v>5</v>
          </cell>
          <cell r="B363">
            <v>5</v>
          </cell>
          <cell r="C363">
            <v>5</v>
          </cell>
          <cell r="D363">
            <v>5</v>
          </cell>
          <cell r="E363">
            <v>5</v>
          </cell>
          <cell r="F363">
            <v>5</v>
          </cell>
          <cell r="G363">
            <v>5</v>
          </cell>
          <cell r="H363">
            <v>5</v>
          </cell>
          <cell r="I363">
            <v>5</v>
          </cell>
        </row>
        <row r="364">
          <cell r="A364" t="str">
            <v>SEP</v>
          </cell>
          <cell r="B364">
            <v>22</v>
          </cell>
          <cell r="C364">
            <v>5</v>
          </cell>
          <cell r="D364">
            <v>1</v>
          </cell>
          <cell r="E364">
            <v>5</v>
          </cell>
          <cell r="F364" t="str">
            <v>08/30 - 09/03</v>
          </cell>
          <cell r="G364">
            <v>5</v>
          </cell>
          <cell r="H364">
            <v>5</v>
          </cell>
          <cell r="I364" t="str">
            <v>30/AUG ~ 01/OCT</v>
          </cell>
        </row>
        <row r="365">
          <cell r="A365">
            <v>5</v>
          </cell>
          <cell r="B365">
            <v>5</v>
          </cell>
          <cell r="C365">
            <v>5</v>
          </cell>
          <cell r="D365">
            <v>2</v>
          </cell>
          <cell r="E365">
            <v>2</v>
          </cell>
          <cell r="F365" t="str">
            <v>09/06 - 09/07</v>
          </cell>
          <cell r="G365">
            <v>2</v>
          </cell>
          <cell r="H365">
            <v>2</v>
          </cell>
          <cell r="I365">
            <v>2</v>
          </cell>
        </row>
        <row r="366">
          <cell r="A366">
            <v>2</v>
          </cell>
          <cell r="B366">
            <v>2</v>
          </cell>
          <cell r="C366">
            <v>2</v>
          </cell>
          <cell r="D366">
            <v>3</v>
          </cell>
          <cell r="E366">
            <v>5</v>
          </cell>
          <cell r="F366" t="str">
            <v>09/14 - 09/18</v>
          </cell>
          <cell r="G366">
            <v>5</v>
          </cell>
          <cell r="H366">
            <v>5</v>
          </cell>
          <cell r="I366">
            <v>5</v>
          </cell>
        </row>
        <row r="367">
          <cell r="A367">
            <v>5</v>
          </cell>
          <cell r="B367">
            <v>5</v>
          </cell>
          <cell r="C367">
            <v>5</v>
          </cell>
          <cell r="D367">
            <v>4</v>
          </cell>
          <cell r="E367">
            <v>5</v>
          </cell>
          <cell r="F367" t="str">
            <v>09/20 - 09/24</v>
          </cell>
          <cell r="G367">
            <v>5</v>
          </cell>
          <cell r="H367">
            <v>5</v>
          </cell>
          <cell r="I367">
            <v>5</v>
          </cell>
        </row>
        <row r="368">
          <cell r="A368">
            <v>5</v>
          </cell>
          <cell r="B368">
            <v>5</v>
          </cell>
          <cell r="C368">
            <v>5</v>
          </cell>
          <cell r="D368">
            <v>5</v>
          </cell>
          <cell r="E368">
            <v>5</v>
          </cell>
          <cell r="F368" t="str">
            <v>09/27 - 10/01</v>
          </cell>
          <cell r="G368">
            <v>5</v>
          </cell>
          <cell r="H368">
            <v>5</v>
          </cell>
          <cell r="I368">
            <v>5</v>
          </cell>
        </row>
        <row r="369">
          <cell r="A369" t="str">
            <v>OCT</v>
          </cell>
          <cell r="B369">
            <v>20</v>
          </cell>
          <cell r="C369">
            <v>4</v>
          </cell>
          <cell r="D369">
            <v>1</v>
          </cell>
          <cell r="E369">
            <v>5</v>
          </cell>
          <cell r="F369" t="str">
            <v>10/04 - 10/08</v>
          </cell>
          <cell r="G369">
            <v>5</v>
          </cell>
          <cell r="H369">
            <v>5</v>
          </cell>
          <cell r="I369" t="str">
            <v>04/OCT ~ 29/OCT</v>
          </cell>
        </row>
        <row r="370">
          <cell r="A370">
            <v>5</v>
          </cell>
          <cell r="B370">
            <v>5</v>
          </cell>
          <cell r="C370">
            <v>5</v>
          </cell>
          <cell r="D370">
            <v>2</v>
          </cell>
          <cell r="E370">
            <v>5</v>
          </cell>
          <cell r="F370" t="str">
            <v>10/11 - 10/15</v>
          </cell>
          <cell r="G370">
            <v>5</v>
          </cell>
          <cell r="H370">
            <v>5</v>
          </cell>
          <cell r="I370">
            <v>5</v>
          </cell>
        </row>
        <row r="371">
          <cell r="A371">
            <v>5</v>
          </cell>
          <cell r="B371">
            <v>5</v>
          </cell>
          <cell r="C371">
            <v>5</v>
          </cell>
          <cell r="D371">
            <v>3</v>
          </cell>
          <cell r="E371">
            <v>5</v>
          </cell>
          <cell r="F371" t="str">
            <v>10/18 - 10/22</v>
          </cell>
          <cell r="G371">
            <v>5</v>
          </cell>
          <cell r="H371">
            <v>5</v>
          </cell>
          <cell r="I371">
            <v>5</v>
          </cell>
        </row>
        <row r="372">
          <cell r="A372">
            <v>5</v>
          </cell>
          <cell r="B372">
            <v>5</v>
          </cell>
          <cell r="C372">
            <v>5</v>
          </cell>
          <cell r="D372">
            <v>4</v>
          </cell>
          <cell r="E372">
            <v>5</v>
          </cell>
          <cell r="F372" t="str">
            <v>10/25 - 10/29</v>
          </cell>
          <cell r="G372">
            <v>5</v>
          </cell>
          <cell r="H372">
            <v>5</v>
          </cell>
          <cell r="I372">
            <v>5</v>
          </cell>
        </row>
        <row r="373">
          <cell r="A373">
            <v>5</v>
          </cell>
          <cell r="B373">
            <v>5</v>
          </cell>
          <cell r="C373">
            <v>5</v>
          </cell>
          <cell r="D373">
            <v>5</v>
          </cell>
          <cell r="E373">
            <v>5</v>
          </cell>
          <cell r="F373">
            <v>5</v>
          </cell>
          <cell r="G373">
            <v>5</v>
          </cell>
          <cell r="H373">
            <v>5</v>
          </cell>
          <cell r="I373">
            <v>5</v>
          </cell>
        </row>
        <row r="374">
          <cell r="A374" t="str">
            <v>NOV</v>
          </cell>
          <cell r="B374">
            <v>23</v>
          </cell>
          <cell r="C374">
            <v>5</v>
          </cell>
          <cell r="D374">
            <v>1</v>
          </cell>
          <cell r="E374">
            <v>5</v>
          </cell>
          <cell r="F374" t="str">
            <v>11/01 - 11/05</v>
          </cell>
          <cell r="G374">
            <v>5</v>
          </cell>
          <cell r="H374">
            <v>5</v>
          </cell>
          <cell r="I374" t="str">
            <v>01/NOV ~ 03/DEC</v>
          </cell>
        </row>
        <row r="375">
          <cell r="A375">
            <v>5</v>
          </cell>
          <cell r="B375">
            <v>5</v>
          </cell>
          <cell r="C375">
            <v>5</v>
          </cell>
          <cell r="D375">
            <v>2</v>
          </cell>
          <cell r="E375">
            <v>5</v>
          </cell>
          <cell r="F375" t="str">
            <v>11/08 - 11/12</v>
          </cell>
          <cell r="G375">
            <v>5</v>
          </cell>
          <cell r="H375">
            <v>5</v>
          </cell>
          <cell r="I375">
            <v>5</v>
          </cell>
        </row>
        <row r="376">
          <cell r="A376">
            <v>5</v>
          </cell>
          <cell r="B376">
            <v>5</v>
          </cell>
          <cell r="C376">
            <v>5</v>
          </cell>
          <cell r="D376">
            <v>3</v>
          </cell>
          <cell r="E376">
            <v>3</v>
          </cell>
          <cell r="F376" t="str">
            <v>11/18 - 11/20</v>
          </cell>
          <cell r="G376">
            <v>3</v>
          </cell>
          <cell r="H376">
            <v>3</v>
          </cell>
          <cell r="I376">
            <v>3</v>
          </cell>
        </row>
        <row r="377">
          <cell r="A377">
            <v>3</v>
          </cell>
          <cell r="B377">
            <v>3</v>
          </cell>
          <cell r="C377">
            <v>3</v>
          </cell>
          <cell r="D377">
            <v>4</v>
          </cell>
          <cell r="E377">
            <v>5</v>
          </cell>
          <cell r="F377" t="str">
            <v>11/22 - 12/26</v>
          </cell>
          <cell r="G377">
            <v>5</v>
          </cell>
          <cell r="H377">
            <v>5</v>
          </cell>
          <cell r="I377">
            <v>5</v>
          </cell>
        </row>
        <row r="378">
          <cell r="A378">
            <v>5</v>
          </cell>
          <cell r="B378">
            <v>5</v>
          </cell>
          <cell r="C378">
            <v>5</v>
          </cell>
          <cell r="D378">
            <v>5</v>
          </cell>
          <cell r="E378">
            <v>5</v>
          </cell>
          <cell r="F378" t="str">
            <v>11/29 - 12/03</v>
          </cell>
          <cell r="G378">
            <v>5</v>
          </cell>
          <cell r="H378">
            <v>5</v>
          </cell>
          <cell r="I378">
            <v>5</v>
          </cell>
        </row>
        <row r="379">
          <cell r="A379" t="str">
            <v>DEC</v>
          </cell>
          <cell r="B379">
            <v>19</v>
          </cell>
          <cell r="C379">
            <v>4</v>
          </cell>
          <cell r="D379">
            <v>1</v>
          </cell>
          <cell r="E379">
            <v>4</v>
          </cell>
          <cell r="F379" t="str">
            <v>12/08 - 12/11</v>
          </cell>
          <cell r="G379">
            <v>4</v>
          </cell>
          <cell r="H379">
            <v>4</v>
          </cell>
          <cell r="I379" t="str">
            <v>08/DEC ~ 31/DEC</v>
          </cell>
        </row>
        <row r="380">
          <cell r="A380">
            <v>4</v>
          </cell>
          <cell r="B380">
            <v>4</v>
          </cell>
          <cell r="C380">
            <v>4</v>
          </cell>
          <cell r="D380">
            <v>2</v>
          </cell>
          <cell r="E380">
            <v>5</v>
          </cell>
          <cell r="F380" t="str">
            <v>12/13 - 12/17</v>
          </cell>
          <cell r="G380">
            <v>5</v>
          </cell>
          <cell r="H380">
            <v>5</v>
          </cell>
          <cell r="I380">
            <v>5</v>
          </cell>
        </row>
        <row r="381">
          <cell r="A381">
            <v>5</v>
          </cell>
          <cell r="B381">
            <v>5</v>
          </cell>
          <cell r="C381">
            <v>5</v>
          </cell>
          <cell r="D381">
            <v>3</v>
          </cell>
          <cell r="E381">
            <v>5</v>
          </cell>
          <cell r="F381" t="str">
            <v>12/20 - 12/24</v>
          </cell>
          <cell r="G381">
            <v>5</v>
          </cell>
          <cell r="H381">
            <v>5</v>
          </cell>
          <cell r="I381">
            <v>5</v>
          </cell>
        </row>
        <row r="382">
          <cell r="A382">
            <v>5</v>
          </cell>
          <cell r="B382">
            <v>5</v>
          </cell>
          <cell r="C382">
            <v>5</v>
          </cell>
          <cell r="D382">
            <v>4</v>
          </cell>
          <cell r="E382">
            <v>5</v>
          </cell>
          <cell r="F382" t="str">
            <v>12/27 - 12/31</v>
          </cell>
          <cell r="G382">
            <v>5</v>
          </cell>
          <cell r="H382">
            <v>5</v>
          </cell>
          <cell r="I382">
            <v>5</v>
          </cell>
        </row>
        <row r="383">
          <cell r="A383">
            <v>5</v>
          </cell>
          <cell r="B383">
            <v>5</v>
          </cell>
          <cell r="C383">
            <v>5</v>
          </cell>
          <cell r="D383">
            <v>5</v>
          </cell>
          <cell r="E383">
            <v>5</v>
          </cell>
          <cell r="F383">
            <v>5</v>
          </cell>
          <cell r="G383">
            <v>5</v>
          </cell>
          <cell r="H383">
            <v>5</v>
          </cell>
          <cell r="I383">
            <v>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TP Term 68"/>
      <sheetName val="Summary STP Term 69"/>
      <sheetName val="Summary STP"/>
      <sheetName val="Calender"/>
      <sheetName val="VAR (2 Week)"/>
      <sheetName val="VAR (MO 2 month)"/>
      <sheetName val="SPP (Actual)"/>
      <sheetName val="SPP (Plan)"/>
      <sheetName val="Graph"/>
      <sheetName val=" Simulasi L42A"/>
      <sheetName val="L53E"/>
      <sheetName val="Simulasi L42C &amp; P42D (RHD)"/>
      <sheetName val="Simulasi GM Holden"/>
      <sheetName val="Simulasi UL"/>
      <sheetName val="Simulasi Teana &amp; HEV &amp; P42D-YD"/>
      <sheetName val="Simulasi J48P new"/>
      <sheetName val="Simulasi J48P"/>
      <sheetName val="Simulasi J61A &amp; front&amp;P42D(LHD)"/>
      <sheetName val="Simulasi J42H"/>
      <sheetName val="Simulasi J74G"/>
      <sheetName val="Simulasi J74G (IP 3 team)"/>
      <sheetName val="Simulasi  J61S "/>
      <sheetName val="Simulasi J61A ( EC &amp; UK)"/>
      <sheetName val=" Simulasi J61S"/>
      <sheetName val="Simulasi AL"/>
      <sheetName val=" Simulasi 433W"/>
      <sheetName val="P42D LHD"/>
      <sheetName val=" Simulasi 358W"/>
      <sheetName val="D51G"/>
      <sheetName val="Prod Cap"/>
    </sheetNames>
    <sheetDataSet>
      <sheetData sheetId="0" refreshError="1"/>
      <sheetData sheetId="1" refreshError="1"/>
      <sheetData sheetId="2" refreshError="1"/>
      <sheetData sheetId="3" refreshError="1">
        <row r="386">
          <cell r="A386" t="str">
            <v>JAN</v>
          </cell>
          <cell r="B386">
            <v>21</v>
          </cell>
          <cell r="C386">
            <v>4</v>
          </cell>
          <cell r="D386">
            <v>1</v>
          </cell>
          <cell r="E386">
            <v>5</v>
          </cell>
          <cell r="F386" t="str">
            <v>01/03- 01/07</v>
          </cell>
          <cell r="G386">
            <v>5</v>
          </cell>
          <cell r="H386">
            <v>5</v>
          </cell>
          <cell r="I386" t="str">
            <v>03/JAN~ 31/JAN</v>
          </cell>
        </row>
        <row r="387">
          <cell r="A387">
            <v>5</v>
          </cell>
          <cell r="B387">
            <v>5</v>
          </cell>
          <cell r="C387">
            <v>5</v>
          </cell>
          <cell r="D387">
            <v>2</v>
          </cell>
          <cell r="E387">
            <v>5</v>
          </cell>
          <cell r="F387" t="str">
            <v>01/10- 01/14</v>
          </cell>
          <cell r="G387">
            <v>5</v>
          </cell>
          <cell r="H387">
            <v>5</v>
          </cell>
          <cell r="I387">
            <v>5</v>
          </cell>
        </row>
        <row r="388">
          <cell r="A388">
            <v>5</v>
          </cell>
          <cell r="B388">
            <v>5</v>
          </cell>
          <cell r="C388">
            <v>5</v>
          </cell>
          <cell r="D388">
            <v>3</v>
          </cell>
          <cell r="E388">
            <v>5</v>
          </cell>
          <cell r="F388" t="str">
            <v>01/17 - 01/21</v>
          </cell>
          <cell r="G388">
            <v>5</v>
          </cell>
          <cell r="H388">
            <v>5</v>
          </cell>
          <cell r="I388">
            <v>5</v>
          </cell>
        </row>
        <row r="389">
          <cell r="A389">
            <v>5</v>
          </cell>
          <cell r="B389">
            <v>5</v>
          </cell>
          <cell r="C389">
            <v>5</v>
          </cell>
          <cell r="D389">
            <v>4</v>
          </cell>
          <cell r="E389">
            <v>6</v>
          </cell>
          <cell r="F389" t="str">
            <v>01/24 - 01/31</v>
          </cell>
          <cell r="G389">
            <v>6</v>
          </cell>
          <cell r="H389">
            <v>6</v>
          </cell>
          <cell r="I389">
            <v>6</v>
          </cell>
        </row>
        <row r="390">
          <cell r="A390">
            <v>6</v>
          </cell>
          <cell r="B390">
            <v>6</v>
          </cell>
          <cell r="C390">
            <v>6</v>
          </cell>
          <cell r="D390">
            <v>6</v>
          </cell>
          <cell r="E390">
            <v>6</v>
          </cell>
          <cell r="F390">
            <v>6</v>
          </cell>
          <cell r="G390">
            <v>6</v>
          </cell>
          <cell r="H390">
            <v>6</v>
          </cell>
          <cell r="I390">
            <v>6</v>
          </cell>
        </row>
        <row r="391">
          <cell r="A391" t="str">
            <v>FEB</v>
          </cell>
          <cell r="B391">
            <v>19</v>
          </cell>
          <cell r="C391">
            <v>4</v>
          </cell>
          <cell r="D391">
            <v>1</v>
          </cell>
          <cell r="E391">
            <v>4</v>
          </cell>
          <cell r="F391" t="str">
            <v>02/01 - 02/05</v>
          </cell>
          <cell r="G391">
            <v>4</v>
          </cell>
          <cell r="H391">
            <v>4</v>
          </cell>
          <cell r="I391" t="str">
            <v>01/FEB ~ 28/FEB</v>
          </cell>
        </row>
        <row r="392">
          <cell r="A392">
            <v>4</v>
          </cell>
          <cell r="B392">
            <v>4</v>
          </cell>
          <cell r="C392">
            <v>4</v>
          </cell>
          <cell r="D392">
            <v>2</v>
          </cell>
          <cell r="E392">
            <v>5</v>
          </cell>
          <cell r="F392" t="str">
            <v>02/07 - 02/11</v>
          </cell>
          <cell r="G392">
            <v>5</v>
          </cell>
          <cell r="H392">
            <v>5</v>
          </cell>
          <cell r="I392">
            <v>5</v>
          </cell>
        </row>
        <row r="393">
          <cell r="A393">
            <v>5</v>
          </cell>
          <cell r="B393">
            <v>5</v>
          </cell>
          <cell r="C393">
            <v>5</v>
          </cell>
          <cell r="D393">
            <v>3</v>
          </cell>
          <cell r="E393">
            <v>4</v>
          </cell>
          <cell r="F393" t="str">
            <v>02/14 - 02/18</v>
          </cell>
          <cell r="G393">
            <v>4</v>
          </cell>
          <cell r="H393">
            <v>4</v>
          </cell>
          <cell r="I393">
            <v>4</v>
          </cell>
        </row>
        <row r="394">
          <cell r="A394">
            <v>4</v>
          </cell>
          <cell r="B394">
            <v>4</v>
          </cell>
          <cell r="C394">
            <v>4</v>
          </cell>
          <cell r="D394">
            <v>4</v>
          </cell>
          <cell r="E394">
            <v>6</v>
          </cell>
          <cell r="F394" t="str">
            <v>02/21 - 02/28</v>
          </cell>
          <cell r="G394">
            <v>6</v>
          </cell>
          <cell r="H394">
            <v>6</v>
          </cell>
          <cell r="I394">
            <v>6</v>
          </cell>
        </row>
        <row r="395">
          <cell r="A395">
            <v>6</v>
          </cell>
          <cell r="B395">
            <v>6</v>
          </cell>
          <cell r="C395">
            <v>6</v>
          </cell>
          <cell r="D395">
            <v>6</v>
          </cell>
          <cell r="E395">
            <v>6</v>
          </cell>
          <cell r="F395">
            <v>6</v>
          </cell>
          <cell r="G395">
            <v>6</v>
          </cell>
          <cell r="H395">
            <v>6</v>
          </cell>
          <cell r="I395">
            <v>6</v>
          </cell>
        </row>
        <row r="396">
          <cell r="A396" t="str">
            <v>MAR</v>
          </cell>
          <cell r="B396">
            <v>22</v>
          </cell>
          <cell r="C396">
            <v>5</v>
          </cell>
          <cell r="D396">
            <v>1</v>
          </cell>
          <cell r="E396">
            <v>3</v>
          </cell>
          <cell r="F396" t="str">
            <v>03/01 - 03/04</v>
          </cell>
          <cell r="G396">
            <v>3</v>
          </cell>
          <cell r="H396">
            <v>3</v>
          </cell>
          <cell r="I396" t="str">
            <v>01/MAR ~ 31/MAR</v>
          </cell>
        </row>
        <row r="397">
          <cell r="A397">
            <v>3</v>
          </cell>
          <cell r="B397">
            <v>3</v>
          </cell>
          <cell r="C397">
            <v>3</v>
          </cell>
          <cell r="D397">
            <v>2</v>
          </cell>
          <cell r="E397">
            <v>5</v>
          </cell>
          <cell r="F397" t="str">
            <v>03/07 - 03/11</v>
          </cell>
          <cell r="G397">
            <v>5</v>
          </cell>
          <cell r="H397">
            <v>5</v>
          </cell>
          <cell r="I397">
            <v>5</v>
          </cell>
        </row>
        <row r="398">
          <cell r="A398">
            <v>5</v>
          </cell>
          <cell r="B398">
            <v>5</v>
          </cell>
          <cell r="C398">
            <v>5</v>
          </cell>
          <cell r="D398">
            <v>3</v>
          </cell>
          <cell r="E398">
            <v>5</v>
          </cell>
          <cell r="F398" t="str">
            <v>03/14 - 03/18</v>
          </cell>
          <cell r="G398">
            <v>5</v>
          </cell>
          <cell r="H398">
            <v>5</v>
          </cell>
          <cell r="I398">
            <v>5</v>
          </cell>
        </row>
        <row r="399">
          <cell r="A399">
            <v>5</v>
          </cell>
          <cell r="B399">
            <v>5</v>
          </cell>
          <cell r="C399">
            <v>5</v>
          </cell>
          <cell r="D399">
            <v>4</v>
          </cell>
          <cell r="E399">
            <v>5</v>
          </cell>
          <cell r="F399" t="str">
            <v>03/21 - 03/25</v>
          </cell>
          <cell r="G399">
            <v>5</v>
          </cell>
          <cell r="H399">
            <v>5</v>
          </cell>
          <cell r="I399">
            <v>5</v>
          </cell>
        </row>
        <row r="400">
          <cell r="A400">
            <v>5</v>
          </cell>
          <cell r="B400">
            <v>5</v>
          </cell>
          <cell r="C400">
            <v>5</v>
          </cell>
          <cell r="D400">
            <v>5</v>
          </cell>
          <cell r="E400">
            <v>4</v>
          </cell>
          <cell r="F400" t="str">
            <v>03/28 - 03/31</v>
          </cell>
          <cell r="G400">
            <v>4</v>
          </cell>
          <cell r="H400">
            <v>4</v>
          </cell>
          <cell r="I400">
            <v>4</v>
          </cell>
        </row>
        <row r="401">
          <cell r="A401" t="str">
            <v>APR</v>
          </cell>
          <cell r="B401">
            <v>19</v>
          </cell>
          <cell r="C401">
            <v>4</v>
          </cell>
          <cell r="D401">
            <v>1</v>
          </cell>
          <cell r="E401">
            <v>5</v>
          </cell>
          <cell r="F401" t="str">
            <v>04/01 - 04/09</v>
          </cell>
          <cell r="G401">
            <v>5</v>
          </cell>
          <cell r="H401">
            <v>5</v>
          </cell>
          <cell r="I401" t="str">
            <v>01/APR ~ 29/APR</v>
          </cell>
        </row>
        <row r="402">
          <cell r="A402">
            <v>5</v>
          </cell>
          <cell r="B402">
            <v>5</v>
          </cell>
          <cell r="C402">
            <v>5</v>
          </cell>
          <cell r="D402">
            <v>2</v>
          </cell>
          <cell r="E402">
            <v>5</v>
          </cell>
          <cell r="F402" t="str">
            <v>04/11 - 04/15</v>
          </cell>
          <cell r="G402">
            <v>5</v>
          </cell>
          <cell r="H402">
            <v>5</v>
          </cell>
          <cell r="I402">
            <v>5</v>
          </cell>
        </row>
        <row r="403">
          <cell r="A403">
            <v>5</v>
          </cell>
          <cell r="B403">
            <v>5</v>
          </cell>
          <cell r="C403">
            <v>5</v>
          </cell>
          <cell r="D403">
            <v>3</v>
          </cell>
          <cell r="E403">
            <v>4</v>
          </cell>
          <cell r="F403" t="str">
            <v>03/18 - 04/22</v>
          </cell>
          <cell r="G403">
            <v>4</v>
          </cell>
          <cell r="H403">
            <v>4</v>
          </cell>
          <cell r="I403">
            <v>4</v>
          </cell>
        </row>
        <row r="404">
          <cell r="A404">
            <v>4</v>
          </cell>
          <cell r="B404">
            <v>4</v>
          </cell>
          <cell r="C404">
            <v>4</v>
          </cell>
          <cell r="D404">
            <v>4</v>
          </cell>
          <cell r="E404">
            <v>5</v>
          </cell>
          <cell r="F404" t="str">
            <v>04/25 - 04/29</v>
          </cell>
          <cell r="G404">
            <v>5</v>
          </cell>
          <cell r="H404">
            <v>5</v>
          </cell>
          <cell r="I404">
            <v>5</v>
          </cell>
        </row>
        <row r="405">
          <cell r="A405">
            <v>5</v>
          </cell>
          <cell r="B405">
            <v>5</v>
          </cell>
          <cell r="C405">
            <v>5</v>
          </cell>
          <cell r="D405">
            <v>5</v>
          </cell>
          <cell r="E405">
            <v>5</v>
          </cell>
          <cell r="F405">
            <v>5</v>
          </cell>
          <cell r="G405">
            <v>5</v>
          </cell>
          <cell r="H405">
            <v>5</v>
          </cell>
          <cell r="I405">
            <v>5</v>
          </cell>
        </row>
        <row r="406">
          <cell r="A406" t="str">
            <v>MAY</v>
          </cell>
          <cell r="B406">
            <v>21</v>
          </cell>
          <cell r="C406">
            <v>4</v>
          </cell>
          <cell r="D406">
            <v>1</v>
          </cell>
          <cell r="E406">
            <v>5</v>
          </cell>
          <cell r="F406" t="str">
            <v>05/02 - 05/06</v>
          </cell>
          <cell r="G406">
            <v>5</v>
          </cell>
          <cell r="H406">
            <v>5</v>
          </cell>
          <cell r="I406" t="str">
            <v>02/MAY ~ 31/MAY</v>
          </cell>
        </row>
        <row r="407">
          <cell r="A407">
            <v>5</v>
          </cell>
          <cell r="B407">
            <v>5</v>
          </cell>
          <cell r="C407">
            <v>5</v>
          </cell>
          <cell r="D407">
            <v>2</v>
          </cell>
          <cell r="E407">
            <v>5</v>
          </cell>
          <cell r="F407" t="str">
            <v>05/9 - 05/13</v>
          </cell>
          <cell r="G407">
            <v>5</v>
          </cell>
          <cell r="H407">
            <v>5</v>
          </cell>
          <cell r="I407">
            <v>5</v>
          </cell>
        </row>
        <row r="408">
          <cell r="A408">
            <v>5</v>
          </cell>
          <cell r="B408">
            <v>5</v>
          </cell>
          <cell r="C408">
            <v>5</v>
          </cell>
          <cell r="D408">
            <v>3</v>
          </cell>
          <cell r="E408">
            <v>4</v>
          </cell>
          <cell r="F408" t="str">
            <v>05/16 - 05/21</v>
          </cell>
          <cell r="G408">
            <v>4</v>
          </cell>
          <cell r="H408">
            <v>4</v>
          </cell>
          <cell r="I408">
            <v>4</v>
          </cell>
        </row>
        <row r="409">
          <cell r="A409">
            <v>4</v>
          </cell>
          <cell r="B409">
            <v>4</v>
          </cell>
          <cell r="C409">
            <v>4</v>
          </cell>
          <cell r="D409">
            <v>4</v>
          </cell>
          <cell r="E409">
            <v>7</v>
          </cell>
          <cell r="F409" t="str">
            <v>05/23 - 05/31</v>
          </cell>
          <cell r="G409">
            <v>7</v>
          </cell>
          <cell r="H409">
            <v>7</v>
          </cell>
          <cell r="I409">
            <v>7</v>
          </cell>
        </row>
        <row r="410">
          <cell r="A410">
            <v>7</v>
          </cell>
          <cell r="B410">
            <v>7</v>
          </cell>
          <cell r="C410">
            <v>7</v>
          </cell>
          <cell r="D410">
            <v>7</v>
          </cell>
          <cell r="E410">
            <v>7</v>
          </cell>
          <cell r="F410">
            <v>7</v>
          </cell>
          <cell r="G410">
            <v>7</v>
          </cell>
          <cell r="H410">
            <v>7</v>
          </cell>
          <cell r="I410">
            <v>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UM"/>
      <sheetName val="down rate"/>
      <sheetName val="590L (AS400)"/>
    </sheetNames>
    <sheetDataSet>
      <sheetData sheetId="0" refreshError="1"/>
      <sheetData sheetId="1" refreshError="1">
        <row r="55">
          <cell r="N55">
            <v>14568</v>
          </cell>
        </row>
      </sheetData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(CUM)"/>
      <sheetName val="Sheet2"/>
      <sheetName val="Sheet3"/>
    </sheetNames>
    <sheetDataSet>
      <sheetData sheetId="0" refreshError="1">
        <row r="8">
          <cell r="B8" t="str">
            <v>82111-47L70</v>
          </cell>
          <cell r="C8" t="str">
            <v>RHD (445B)</v>
          </cell>
          <cell r="D8">
            <v>24</v>
          </cell>
          <cell r="E8">
            <v>96</v>
          </cell>
          <cell r="F8">
            <v>48</v>
          </cell>
          <cell r="G8">
            <v>60</v>
          </cell>
          <cell r="H8">
            <v>0</v>
          </cell>
          <cell r="I8">
            <v>228</v>
          </cell>
          <cell r="J8">
            <v>48</v>
          </cell>
          <cell r="K8">
            <v>36</v>
          </cell>
          <cell r="L8">
            <v>48</v>
          </cell>
          <cell r="M8">
            <v>36</v>
          </cell>
          <cell r="N8">
            <v>168</v>
          </cell>
          <cell r="O8">
            <v>48</v>
          </cell>
          <cell r="P8">
            <v>36</v>
          </cell>
          <cell r="Q8">
            <v>36</v>
          </cell>
          <cell r="R8">
            <v>24</v>
          </cell>
          <cell r="S8">
            <v>144</v>
          </cell>
          <cell r="T8">
            <v>36</v>
          </cell>
          <cell r="U8">
            <v>36</v>
          </cell>
          <cell r="V8">
            <v>36</v>
          </cell>
          <cell r="W8">
            <v>36</v>
          </cell>
          <cell r="X8">
            <v>144</v>
          </cell>
          <cell r="Y8">
            <v>36</v>
          </cell>
          <cell r="Z8">
            <v>36</v>
          </cell>
          <cell r="AA8">
            <v>36</v>
          </cell>
          <cell r="AB8">
            <v>36</v>
          </cell>
          <cell r="AC8">
            <v>24</v>
          </cell>
        </row>
        <row r="9">
          <cell r="B9" t="str">
            <v>82111-47L80</v>
          </cell>
          <cell r="C9" t="str">
            <v>RHD (445B)</v>
          </cell>
          <cell r="D9">
            <v>156</v>
          </cell>
          <cell r="E9">
            <v>132</v>
          </cell>
          <cell r="F9">
            <v>132</v>
          </cell>
          <cell r="G9">
            <v>108</v>
          </cell>
          <cell r="H9">
            <v>204</v>
          </cell>
          <cell r="I9">
            <v>732</v>
          </cell>
          <cell r="J9">
            <v>132</v>
          </cell>
          <cell r="K9">
            <v>132</v>
          </cell>
          <cell r="L9">
            <v>132</v>
          </cell>
          <cell r="M9">
            <v>96</v>
          </cell>
          <cell r="N9">
            <v>492</v>
          </cell>
          <cell r="O9">
            <v>108</v>
          </cell>
          <cell r="P9">
            <v>96</v>
          </cell>
          <cell r="Q9">
            <v>96</v>
          </cell>
          <cell r="R9">
            <v>60</v>
          </cell>
          <cell r="S9">
            <v>360</v>
          </cell>
          <cell r="T9">
            <v>72</v>
          </cell>
          <cell r="U9">
            <v>72</v>
          </cell>
          <cell r="V9">
            <v>84</v>
          </cell>
          <cell r="W9">
            <v>84</v>
          </cell>
          <cell r="X9">
            <v>312</v>
          </cell>
          <cell r="Y9">
            <v>72</v>
          </cell>
          <cell r="Z9">
            <v>72</v>
          </cell>
          <cell r="AA9">
            <v>84</v>
          </cell>
          <cell r="AB9">
            <v>72</v>
          </cell>
          <cell r="AC9">
            <v>36</v>
          </cell>
        </row>
        <row r="10">
          <cell r="B10" t="str">
            <v>82111-47L90</v>
          </cell>
          <cell r="C10" t="str">
            <v>RHD (445B)</v>
          </cell>
          <cell r="D10">
            <v>12</v>
          </cell>
          <cell r="E10">
            <v>0</v>
          </cell>
          <cell r="F10">
            <v>12</v>
          </cell>
          <cell r="G10">
            <v>0</v>
          </cell>
          <cell r="H10">
            <v>0</v>
          </cell>
          <cell r="I10">
            <v>24</v>
          </cell>
          <cell r="J10">
            <v>12</v>
          </cell>
          <cell r="K10">
            <v>0</v>
          </cell>
          <cell r="L10">
            <v>0</v>
          </cell>
          <cell r="M10">
            <v>12</v>
          </cell>
          <cell r="N10">
            <v>24</v>
          </cell>
          <cell r="O10">
            <v>0</v>
          </cell>
          <cell r="P10">
            <v>0</v>
          </cell>
          <cell r="Q10">
            <v>0</v>
          </cell>
          <cell r="R10">
            <v>12</v>
          </cell>
          <cell r="S10">
            <v>12</v>
          </cell>
          <cell r="T10">
            <v>12</v>
          </cell>
          <cell r="U10">
            <v>0</v>
          </cell>
          <cell r="V10">
            <v>12</v>
          </cell>
          <cell r="W10">
            <v>0</v>
          </cell>
          <cell r="X10">
            <v>24</v>
          </cell>
          <cell r="Y10">
            <v>12</v>
          </cell>
          <cell r="Z10">
            <v>12</v>
          </cell>
          <cell r="AA10">
            <v>0</v>
          </cell>
          <cell r="AB10">
            <v>12</v>
          </cell>
          <cell r="AC10">
            <v>12</v>
          </cell>
        </row>
        <row r="11">
          <cell r="B11" t="str">
            <v>82111-47M00</v>
          </cell>
          <cell r="C11" t="str">
            <v>RHD (445B)</v>
          </cell>
          <cell r="D11">
            <v>12</v>
          </cell>
          <cell r="E11">
            <v>24</v>
          </cell>
          <cell r="F11">
            <v>12</v>
          </cell>
          <cell r="G11">
            <v>24</v>
          </cell>
          <cell r="H11">
            <v>0</v>
          </cell>
          <cell r="I11">
            <v>72</v>
          </cell>
          <cell r="J11">
            <v>12</v>
          </cell>
          <cell r="K11">
            <v>12</v>
          </cell>
          <cell r="L11">
            <v>12</v>
          </cell>
          <cell r="M11">
            <v>12</v>
          </cell>
          <cell r="N11">
            <v>48</v>
          </cell>
          <cell r="O11">
            <v>12</v>
          </cell>
          <cell r="P11">
            <v>0</v>
          </cell>
          <cell r="Q11">
            <v>12</v>
          </cell>
          <cell r="R11">
            <v>12</v>
          </cell>
          <cell r="S11">
            <v>36</v>
          </cell>
          <cell r="T11">
            <v>24</v>
          </cell>
          <cell r="U11">
            <v>12</v>
          </cell>
          <cell r="V11">
            <v>12</v>
          </cell>
          <cell r="W11">
            <v>24</v>
          </cell>
          <cell r="X11">
            <v>72</v>
          </cell>
          <cell r="Y11">
            <v>12</v>
          </cell>
          <cell r="Z11">
            <v>12</v>
          </cell>
          <cell r="AA11">
            <v>24</v>
          </cell>
          <cell r="AB11">
            <v>12</v>
          </cell>
          <cell r="AC11">
            <v>12</v>
          </cell>
        </row>
        <row r="12">
          <cell r="B12" t="str">
            <v>82111-47W10</v>
          </cell>
          <cell r="C12" t="str">
            <v>RHD (445B)</v>
          </cell>
          <cell r="D12">
            <v>0</v>
          </cell>
          <cell r="E12">
            <v>12</v>
          </cell>
          <cell r="F12">
            <v>12</v>
          </cell>
          <cell r="G12">
            <v>0</v>
          </cell>
          <cell r="H12">
            <v>0</v>
          </cell>
          <cell r="I12">
            <v>24</v>
          </cell>
          <cell r="J12">
            <v>0</v>
          </cell>
          <cell r="K12">
            <v>12</v>
          </cell>
          <cell r="L12">
            <v>12</v>
          </cell>
          <cell r="M12">
            <v>0</v>
          </cell>
          <cell r="N12">
            <v>24</v>
          </cell>
          <cell r="O12">
            <v>12</v>
          </cell>
          <cell r="P12">
            <v>0</v>
          </cell>
          <cell r="Q12">
            <v>0</v>
          </cell>
          <cell r="R12">
            <v>12</v>
          </cell>
          <cell r="S12">
            <v>24</v>
          </cell>
          <cell r="T12">
            <v>0</v>
          </cell>
          <cell r="U12">
            <v>12</v>
          </cell>
          <cell r="V12">
            <v>0</v>
          </cell>
          <cell r="W12">
            <v>12</v>
          </cell>
          <cell r="X12">
            <v>24</v>
          </cell>
          <cell r="Y12">
            <v>0</v>
          </cell>
          <cell r="Z12">
            <v>0</v>
          </cell>
          <cell r="AA12">
            <v>12</v>
          </cell>
          <cell r="AB12">
            <v>0</v>
          </cell>
          <cell r="AC12">
            <v>12</v>
          </cell>
        </row>
        <row r="13">
          <cell r="B13" t="str">
            <v>82111-47W20</v>
          </cell>
          <cell r="C13" t="str">
            <v>RHD (445B)</v>
          </cell>
          <cell r="D13">
            <v>36</v>
          </cell>
          <cell r="E13">
            <v>12</v>
          </cell>
          <cell r="F13">
            <v>24</v>
          </cell>
          <cell r="G13">
            <v>24</v>
          </cell>
          <cell r="H13">
            <v>0</v>
          </cell>
          <cell r="I13">
            <v>96</v>
          </cell>
          <cell r="J13">
            <v>12</v>
          </cell>
          <cell r="K13">
            <v>12</v>
          </cell>
          <cell r="L13">
            <v>24</v>
          </cell>
          <cell r="M13">
            <v>12</v>
          </cell>
          <cell r="N13">
            <v>60</v>
          </cell>
          <cell r="O13">
            <v>24</v>
          </cell>
          <cell r="P13">
            <v>12</v>
          </cell>
          <cell r="Q13">
            <v>12</v>
          </cell>
          <cell r="R13">
            <v>24</v>
          </cell>
          <cell r="S13">
            <v>72</v>
          </cell>
          <cell r="T13">
            <v>12</v>
          </cell>
          <cell r="U13">
            <v>12</v>
          </cell>
          <cell r="V13">
            <v>24</v>
          </cell>
          <cell r="W13">
            <v>24</v>
          </cell>
          <cell r="X13">
            <v>72</v>
          </cell>
          <cell r="Y13">
            <v>12</v>
          </cell>
          <cell r="Z13">
            <v>12</v>
          </cell>
          <cell r="AA13">
            <v>24</v>
          </cell>
          <cell r="AB13">
            <v>12</v>
          </cell>
          <cell r="AC13">
            <v>12</v>
          </cell>
        </row>
        <row r="14">
          <cell r="B14" t="str">
            <v>82111-47W60</v>
          </cell>
          <cell r="C14" t="str">
            <v>RHD (445B)</v>
          </cell>
          <cell r="D14">
            <v>12</v>
          </cell>
          <cell r="E14">
            <v>12</v>
          </cell>
          <cell r="F14">
            <v>12</v>
          </cell>
          <cell r="G14">
            <v>24</v>
          </cell>
          <cell r="H14">
            <v>36</v>
          </cell>
          <cell r="I14">
            <v>96</v>
          </cell>
          <cell r="J14">
            <v>24</v>
          </cell>
          <cell r="K14">
            <v>24</v>
          </cell>
          <cell r="L14">
            <v>24</v>
          </cell>
          <cell r="M14">
            <v>24</v>
          </cell>
          <cell r="N14">
            <v>96</v>
          </cell>
          <cell r="O14">
            <v>24</v>
          </cell>
          <cell r="P14">
            <v>24</v>
          </cell>
          <cell r="Q14">
            <v>12</v>
          </cell>
          <cell r="R14">
            <v>12</v>
          </cell>
          <cell r="S14">
            <v>72</v>
          </cell>
          <cell r="T14">
            <v>12</v>
          </cell>
          <cell r="U14">
            <v>12</v>
          </cell>
          <cell r="V14">
            <v>12</v>
          </cell>
          <cell r="W14">
            <v>12</v>
          </cell>
          <cell r="X14">
            <v>48</v>
          </cell>
          <cell r="Y14">
            <v>12</v>
          </cell>
          <cell r="Z14">
            <v>12</v>
          </cell>
          <cell r="AA14">
            <v>12</v>
          </cell>
          <cell r="AB14">
            <v>24</v>
          </cell>
          <cell r="AC14">
            <v>0</v>
          </cell>
        </row>
        <row r="15">
          <cell r="B15" t="str">
            <v>82111-47W70</v>
          </cell>
          <cell r="C15" t="str">
            <v>RHD (445B)</v>
          </cell>
          <cell r="D15">
            <v>0</v>
          </cell>
          <cell r="E15">
            <v>72</v>
          </cell>
          <cell r="F15">
            <v>72</v>
          </cell>
          <cell r="G15">
            <v>60</v>
          </cell>
          <cell r="H15">
            <v>120</v>
          </cell>
          <cell r="I15">
            <v>324</v>
          </cell>
          <cell r="J15">
            <v>72</v>
          </cell>
          <cell r="K15">
            <v>72</v>
          </cell>
          <cell r="L15">
            <v>60</v>
          </cell>
          <cell r="M15">
            <v>60</v>
          </cell>
          <cell r="N15">
            <v>264</v>
          </cell>
          <cell r="O15">
            <v>48</v>
          </cell>
          <cell r="P15">
            <v>48</v>
          </cell>
          <cell r="Q15">
            <v>48</v>
          </cell>
          <cell r="R15">
            <v>36</v>
          </cell>
          <cell r="S15">
            <v>180</v>
          </cell>
          <cell r="T15">
            <v>36</v>
          </cell>
          <cell r="U15">
            <v>36</v>
          </cell>
          <cell r="V15">
            <v>36</v>
          </cell>
          <cell r="W15">
            <v>36</v>
          </cell>
          <cell r="X15">
            <v>144</v>
          </cell>
          <cell r="Y15">
            <v>36</v>
          </cell>
          <cell r="Z15">
            <v>36</v>
          </cell>
          <cell r="AA15">
            <v>48</v>
          </cell>
          <cell r="AB15">
            <v>36</v>
          </cell>
          <cell r="AC15">
            <v>12</v>
          </cell>
        </row>
        <row r="16">
          <cell r="B16" t="str">
            <v>82111-47W80</v>
          </cell>
          <cell r="C16" t="str">
            <v>RHD (445B)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B17" t="str">
            <v>82111-47W90</v>
          </cell>
          <cell r="C17" t="str">
            <v>RHD (445B)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12</v>
          </cell>
          <cell r="U17">
            <v>0</v>
          </cell>
          <cell r="V17">
            <v>0</v>
          </cell>
          <cell r="W17">
            <v>12</v>
          </cell>
          <cell r="X17">
            <v>24</v>
          </cell>
          <cell r="Y17">
            <v>0</v>
          </cell>
          <cell r="Z17">
            <v>0</v>
          </cell>
          <cell r="AA17">
            <v>12</v>
          </cell>
          <cell r="AB17">
            <v>0</v>
          </cell>
          <cell r="AC17">
            <v>0</v>
          </cell>
        </row>
        <row r="18">
          <cell r="B18" t="str">
            <v>82111-47T61</v>
          </cell>
          <cell r="C18" t="str">
            <v>RHD (445B)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12</v>
          </cell>
          <cell r="M18">
            <v>0</v>
          </cell>
          <cell r="N18">
            <v>12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</v>
          </cell>
          <cell r="W18">
            <v>0</v>
          </cell>
          <cell r="X18">
            <v>12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</row>
        <row r="19">
          <cell r="B19" t="str">
            <v>82111-47T71</v>
          </cell>
          <cell r="C19" t="str">
            <v>RHD (445B)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12</v>
          </cell>
          <cell r="M19">
            <v>0</v>
          </cell>
          <cell r="N19">
            <v>12</v>
          </cell>
          <cell r="O19">
            <v>0</v>
          </cell>
          <cell r="P19">
            <v>0</v>
          </cell>
          <cell r="Q19">
            <v>12</v>
          </cell>
          <cell r="R19">
            <v>0</v>
          </cell>
          <cell r="S19">
            <v>12</v>
          </cell>
          <cell r="T19">
            <v>0</v>
          </cell>
          <cell r="U19">
            <v>0</v>
          </cell>
          <cell r="V19">
            <v>12</v>
          </cell>
          <cell r="W19">
            <v>0</v>
          </cell>
          <cell r="X19">
            <v>12</v>
          </cell>
          <cell r="Y19">
            <v>0</v>
          </cell>
          <cell r="Z19">
            <v>0</v>
          </cell>
          <cell r="AA19">
            <v>12</v>
          </cell>
          <cell r="AB19">
            <v>0</v>
          </cell>
          <cell r="AC19">
            <v>0</v>
          </cell>
        </row>
        <row r="20">
          <cell r="B20" t="str">
            <v>82111-47U01</v>
          </cell>
          <cell r="C20" t="str">
            <v>RHD (445B)</v>
          </cell>
          <cell r="D20">
            <v>0</v>
          </cell>
          <cell r="E20">
            <v>0</v>
          </cell>
          <cell r="F20">
            <v>0</v>
          </cell>
          <cell r="G20">
            <v>12</v>
          </cell>
          <cell r="H20">
            <v>0</v>
          </cell>
          <cell r="I20">
            <v>12</v>
          </cell>
          <cell r="J20">
            <v>0</v>
          </cell>
          <cell r="K20">
            <v>12</v>
          </cell>
          <cell r="L20">
            <v>0</v>
          </cell>
          <cell r="M20">
            <v>12</v>
          </cell>
          <cell r="N20">
            <v>24</v>
          </cell>
          <cell r="O20">
            <v>0</v>
          </cell>
          <cell r="P20">
            <v>12</v>
          </cell>
          <cell r="Q20">
            <v>0</v>
          </cell>
          <cell r="R20">
            <v>12</v>
          </cell>
          <cell r="S20">
            <v>24</v>
          </cell>
          <cell r="T20">
            <v>12</v>
          </cell>
          <cell r="U20">
            <v>12</v>
          </cell>
          <cell r="V20">
            <v>0</v>
          </cell>
          <cell r="W20">
            <v>12</v>
          </cell>
          <cell r="X20">
            <v>36</v>
          </cell>
          <cell r="Y20">
            <v>12</v>
          </cell>
          <cell r="Z20">
            <v>12</v>
          </cell>
          <cell r="AA20">
            <v>12</v>
          </cell>
          <cell r="AB20">
            <v>0</v>
          </cell>
          <cell r="AC20">
            <v>12</v>
          </cell>
        </row>
        <row r="21">
          <cell r="B21" t="str">
            <v>82111-47U41</v>
          </cell>
          <cell r="C21" t="str">
            <v>RHD (445B)</v>
          </cell>
          <cell r="D21">
            <v>0</v>
          </cell>
          <cell r="E21">
            <v>0</v>
          </cell>
          <cell r="F21">
            <v>0</v>
          </cell>
          <cell r="G21">
            <v>12</v>
          </cell>
          <cell r="H21">
            <v>12</v>
          </cell>
          <cell r="I21">
            <v>24</v>
          </cell>
          <cell r="J21">
            <v>12</v>
          </cell>
          <cell r="K21">
            <v>0</v>
          </cell>
          <cell r="L21">
            <v>12</v>
          </cell>
          <cell r="M21">
            <v>12</v>
          </cell>
          <cell r="N21">
            <v>36</v>
          </cell>
          <cell r="O21">
            <v>12</v>
          </cell>
          <cell r="P21">
            <v>12</v>
          </cell>
          <cell r="Q21">
            <v>0</v>
          </cell>
          <cell r="R21">
            <v>12</v>
          </cell>
          <cell r="S21">
            <v>36</v>
          </cell>
          <cell r="T21">
            <v>0</v>
          </cell>
          <cell r="U21">
            <v>0</v>
          </cell>
          <cell r="V21">
            <v>12</v>
          </cell>
          <cell r="W21">
            <v>0</v>
          </cell>
          <cell r="X21">
            <v>12</v>
          </cell>
          <cell r="Y21">
            <v>12</v>
          </cell>
          <cell r="Z21">
            <v>0</v>
          </cell>
          <cell r="AA21">
            <v>0</v>
          </cell>
          <cell r="AB21">
            <v>12</v>
          </cell>
          <cell r="AC21">
            <v>0</v>
          </cell>
        </row>
        <row r="22">
          <cell r="B22" t="str">
            <v>82111-47U51</v>
          </cell>
          <cell r="C22" t="str">
            <v>RHD (445B)</v>
          </cell>
          <cell r="D22">
            <v>12</v>
          </cell>
          <cell r="E22">
            <v>24</v>
          </cell>
          <cell r="F22">
            <v>24</v>
          </cell>
          <cell r="G22">
            <v>24</v>
          </cell>
          <cell r="H22">
            <v>48</v>
          </cell>
          <cell r="I22">
            <v>132</v>
          </cell>
          <cell r="J22">
            <v>24</v>
          </cell>
          <cell r="K22">
            <v>36</v>
          </cell>
          <cell r="L22">
            <v>24</v>
          </cell>
          <cell r="M22">
            <v>48</v>
          </cell>
          <cell r="N22">
            <v>132</v>
          </cell>
          <cell r="O22">
            <v>36</v>
          </cell>
          <cell r="P22">
            <v>24</v>
          </cell>
          <cell r="Q22">
            <v>36</v>
          </cell>
          <cell r="R22">
            <v>12</v>
          </cell>
          <cell r="S22">
            <v>108</v>
          </cell>
          <cell r="T22">
            <v>12</v>
          </cell>
          <cell r="U22">
            <v>12</v>
          </cell>
          <cell r="V22">
            <v>12</v>
          </cell>
          <cell r="W22">
            <v>24</v>
          </cell>
          <cell r="X22">
            <v>60</v>
          </cell>
          <cell r="Y22">
            <v>12</v>
          </cell>
          <cell r="Z22">
            <v>12</v>
          </cell>
          <cell r="AA22">
            <v>12</v>
          </cell>
          <cell r="AB22">
            <v>12</v>
          </cell>
          <cell r="AC22">
            <v>12</v>
          </cell>
        </row>
        <row r="23">
          <cell r="B23" t="str">
            <v>82111-47W30</v>
          </cell>
          <cell r="C23" t="str">
            <v>LHD (445B)</v>
          </cell>
          <cell r="D23">
            <v>144</v>
          </cell>
          <cell r="E23">
            <v>132</v>
          </cell>
          <cell r="F23">
            <v>144</v>
          </cell>
          <cell r="G23">
            <v>168</v>
          </cell>
          <cell r="H23">
            <v>36</v>
          </cell>
          <cell r="I23">
            <v>624</v>
          </cell>
          <cell r="J23">
            <v>120</v>
          </cell>
          <cell r="K23">
            <v>120</v>
          </cell>
          <cell r="L23">
            <v>108</v>
          </cell>
          <cell r="M23">
            <v>96</v>
          </cell>
          <cell r="N23">
            <v>444</v>
          </cell>
          <cell r="O23">
            <v>96</v>
          </cell>
          <cell r="P23">
            <v>96</v>
          </cell>
          <cell r="Q23">
            <v>96</v>
          </cell>
          <cell r="R23">
            <v>108</v>
          </cell>
          <cell r="S23">
            <v>396</v>
          </cell>
          <cell r="T23">
            <v>132</v>
          </cell>
          <cell r="U23">
            <v>120</v>
          </cell>
          <cell r="V23">
            <v>156</v>
          </cell>
          <cell r="W23">
            <v>120</v>
          </cell>
          <cell r="X23">
            <v>528</v>
          </cell>
          <cell r="Y23">
            <v>132</v>
          </cell>
          <cell r="Z23">
            <v>132</v>
          </cell>
          <cell r="AA23">
            <v>144</v>
          </cell>
          <cell r="AB23">
            <v>132</v>
          </cell>
          <cell r="AC23">
            <v>72</v>
          </cell>
        </row>
        <row r="24">
          <cell r="B24" t="str">
            <v>82111-47W40</v>
          </cell>
          <cell r="C24" t="str">
            <v>LHD (445B)</v>
          </cell>
          <cell r="D24">
            <v>0</v>
          </cell>
          <cell r="E24">
            <v>60</v>
          </cell>
          <cell r="F24">
            <v>60</v>
          </cell>
          <cell r="G24">
            <v>96</v>
          </cell>
          <cell r="H24">
            <v>144</v>
          </cell>
          <cell r="I24">
            <v>360</v>
          </cell>
          <cell r="J24">
            <v>96</v>
          </cell>
          <cell r="K24">
            <v>108</v>
          </cell>
          <cell r="L24">
            <v>84</v>
          </cell>
          <cell r="M24">
            <v>72</v>
          </cell>
          <cell r="N24">
            <v>360</v>
          </cell>
          <cell r="O24">
            <v>84</v>
          </cell>
          <cell r="P24">
            <v>60</v>
          </cell>
          <cell r="Q24">
            <v>72</v>
          </cell>
          <cell r="R24">
            <v>60</v>
          </cell>
          <cell r="S24">
            <v>276</v>
          </cell>
          <cell r="T24">
            <v>84</v>
          </cell>
          <cell r="U24">
            <v>72</v>
          </cell>
          <cell r="V24">
            <v>84</v>
          </cell>
          <cell r="W24">
            <v>72</v>
          </cell>
          <cell r="X24">
            <v>312</v>
          </cell>
          <cell r="Y24">
            <v>72</v>
          </cell>
          <cell r="Z24">
            <v>72</v>
          </cell>
          <cell r="AA24">
            <v>84</v>
          </cell>
          <cell r="AB24">
            <v>72</v>
          </cell>
          <cell r="AC24">
            <v>48</v>
          </cell>
        </row>
        <row r="25">
          <cell r="B25" t="str">
            <v>82111-47W50</v>
          </cell>
          <cell r="C25" t="str">
            <v>LHD (445B)</v>
          </cell>
          <cell r="D25">
            <v>0</v>
          </cell>
          <cell r="E25">
            <v>48</v>
          </cell>
          <cell r="F25">
            <v>24</v>
          </cell>
          <cell r="G25">
            <v>48</v>
          </cell>
          <cell r="H25">
            <v>72</v>
          </cell>
          <cell r="I25">
            <v>192</v>
          </cell>
          <cell r="J25">
            <v>36</v>
          </cell>
          <cell r="K25">
            <v>36</v>
          </cell>
          <cell r="L25">
            <v>36</v>
          </cell>
          <cell r="M25">
            <v>60</v>
          </cell>
          <cell r="N25">
            <v>168</v>
          </cell>
          <cell r="O25">
            <v>48</v>
          </cell>
          <cell r="P25">
            <v>48</v>
          </cell>
          <cell r="Q25">
            <v>36</v>
          </cell>
          <cell r="R25">
            <v>24</v>
          </cell>
          <cell r="S25">
            <v>156</v>
          </cell>
          <cell r="T25">
            <v>24</v>
          </cell>
          <cell r="U25">
            <v>24</v>
          </cell>
          <cell r="V25">
            <v>24</v>
          </cell>
          <cell r="W25">
            <v>24</v>
          </cell>
          <cell r="X25">
            <v>96</v>
          </cell>
          <cell r="Y25">
            <v>12</v>
          </cell>
          <cell r="Z25">
            <v>24</v>
          </cell>
          <cell r="AA25">
            <v>24</v>
          </cell>
          <cell r="AB25">
            <v>24</v>
          </cell>
          <cell r="AC25">
            <v>12</v>
          </cell>
        </row>
        <row r="26">
          <cell r="B26" t="str">
            <v>82111-47Y50</v>
          </cell>
          <cell r="C26" t="str">
            <v>LHD (445B)</v>
          </cell>
          <cell r="D26">
            <v>0</v>
          </cell>
          <cell r="E26">
            <v>12</v>
          </cell>
          <cell r="F26">
            <v>12</v>
          </cell>
          <cell r="G26">
            <v>12</v>
          </cell>
          <cell r="H26">
            <v>12</v>
          </cell>
          <cell r="I26">
            <v>48</v>
          </cell>
          <cell r="J26">
            <v>0</v>
          </cell>
          <cell r="K26">
            <v>12</v>
          </cell>
          <cell r="L26">
            <v>12</v>
          </cell>
          <cell r="M26">
            <v>24</v>
          </cell>
          <cell r="N26">
            <v>48</v>
          </cell>
          <cell r="O26">
            <v>12</v>
          </cell>
          <cell r="P26">
            <v>12</v>
          </cell>
          <cell r="Q26">
            <v>12</v>
          </cell>
          <cell r="R26">
            <v>12</v>
          </cell>
          <cell r="S26">
            <v>48</v>
          </cell>
          <cell r="T26">
            <v>0</v>
          </cell>
          <cell r="U26">
            <v>0</v>
          </cell>
          <cell r="V26">
            <v>12</v>
          </cell>
          <cell r="W26">
            <v>12</v>
          </cell>
          <cell r="X26">
            <v>24</v>
          </cell>
          <cell r="Y26">
            <v>0</v>
          </cell>
          <cell r="Z26">
            <v>12</v>
          </cell>
          <cell r="AA26">
            <v>0</v>
          </cell>
          <cell r="AB26">
            <v>12</v>
          </cell>
          <cell r="AC26">
            <v>0</v>
          </cell>
        </row>
        <row r="27">
          <cell r="B27" t="str">
            <v>82111-47U11</v>
          </cell>
          <cell r="C27" t="str">
            <v>LHD (445B)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</row>
        <row r="28">
          <cell r="B28" t="str">
            <v>82111-47U21</v>
          </cell>
          <cell r="C28" t="str">
            <v>LHD (445B)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B29" t="str">
            <v>82111-47U81</v>
          </cell>
          <cell r="C29" t="str">
            <v>LHD (445B)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B30" t="str">
            <v>82111-47V81</v>
          </cell>
          <cell r="C30" t="str">
            <v>LHD (445B)</v>
          </cell>
          <cell r="D30">
            <v>48</v>
          </cell>
          <cell r="E30">
            <v>36</v>
          </cell>
          <cell r="F30">
            <v>24</v>
          </cell>
          <cell r="G30">
            <v>24</v>
          </cell>
          <cell r="H30">
            <v>0</v>
          </cell>
          <cell r="I30">
            <v>132</v>
          </cell>
          <cell r="J30">
            <v>12</v>
          </cell>
          <cell r="K30">
            <v>12</v>
          </cell>
          <cell r="L30">
            <v>24</v>
          </cell>
          <cell r="M30">
            <v>12</v>
          </cell>
          <cell r="N30">
            <v>60</v>
          </cell>
          <cell r="O30">
            <v>24</v>
          </cell>
          <cell r="P30">
            <v>24</v>
          </cell>
          <cell r="Q30">
            <v>24</v>
          </cell>
          <cell r="R30">
            <v>12</v>
          </cell>
          <cell r="S30">
            <v>84</v>
          </cell>
          <cell r="T30">
            <v>24</v>
          </cell>
          <cell r="U30">
            <v>12</v>
          </cell>
          <cell r="V30">
            <v>12</v>
          </cell>
          <cell r="W30">
            <v>24</v>
          </cell>
          <cell r="X30">
            <v>72</v>
          </cell>
          <cell r="Y30">
            <v>12</v>
          </cell>
          <cell r="Z30">
            <v>12</v>
          </cell>
          <cell r="AA30">
            <v>24</v>
          </cell>
          <cell r="AB30">
            <v>12</v>
          </cell>
          <cell r="AC30">
            <v>12</v>
          </cell>
        </row>
        <row r="40">
          <cell r="B40" t="str">
            <v>82111-47S00</v>
          </cell>
          <cell r="C40" t="str">
            <v>RHD (146B)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</row>
        <row r="41">
          <cell r="B41" t="str">
            <v>82111-47S10</v>
          </cell>
          <cell r="C41" t="str">
            <v>RHD (146B)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2">
          <cell r="B42" t="str">
            <v>82111-47S20</v>
          </cell>
          <cell r="C42" t="str">
            <v>RHD (146B)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B43" t="str">
            <v>82111-47S30</v>
          </cell>
          <cell r="C43" t="str">
            <v>RHD (146B)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4">
          <cell r="B44" t="str">
            <v>82111-47S40</v>
          </cell>
          <cell r="C44" t="str">
            <v>RHD (146B)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</row>
        <row r="45">
          <cell r="B45" t="str">
            <v>82111-47S50</v>
          </cell>
          <cell r="C45" t="str">
            <v>RHD (146B)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B46" t="str">
            <v>82111-47S60</v>
          </cell>
          <cell r="C46" t="str">
            <v>RHD (146B)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</row>
        <row r="47">
          <cell r="B47" t="str">
            <v>82111-47S70</v>
          </cell>
          <cell r="C47" t="str">
            <v>RHD (146B)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B48" t="str">
            <v>82111-47T00</v>
          </cell>
          <cell r="C48" t="str">
            <v>RHD (146B)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</row>
        <row r="49">
          <cell r="B49" t="str">
            <v>82111-47T10</v>
          </cell>
          <cell r="C49" t="str">
            <v>RHD (146B)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</row>
        <row r="50">
          <cell r="B50" t="str">
            <v>82111-47T40</v>
          </cell>
          <cell r="C50" t="str">
            <v>RHD (146B)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B51" t="str">
            <v>82111-47T50</v>
          </cell>
          <cell r="C51" t="str">
            <v>RHD (146B)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2">
          <cell r="B52" t="str">
            <v>82111-47T60</v>
          </cell>
          <cell r="C52" t="str">
            <v>RHD (146B)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3">
          <cell r="B53" t="str">
            <v>82111-47T70</v>
          </cell>
          <cell r="C53" t="str">
            <v>RHD (146B)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</row>
        <row r="54">
          <cell r="B54" t="str">
            <v>82111-47U00</v>
          </cell>
          <cell r="C54" t="str">
            <v>RHD (146B)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B55" t="str">
            <v>82111-47U40</v>
          </cell>
          <cell r="C55" t="str">
            <v>RHD (146B)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BM297"/>
  <sheetViews>
    <sheetView tabSelected="1" view="pageBreakPreview" zoomScale="80" zoomScaleNormal="70" zoomScaleSheetLayoutView="80" workbookViewId="0">
      <pane xSplit="3" ySplit="13" topLeftCell="D14" activePane="bottomRight" state="frozen"/>
      <selection pane="topRight" activeCell="D1" sqref="D1"/>
      <selection pane="bottomLeft" activeCell="A14" sqref="A14"/>
      <selection pane="bottomRight" activeCell="I157" sqref="I157:AD157"/>
    </sheetView>
  </sheetViews>
  <sheetFormatPr defaultColWidth="9.140625" defaultRowHeight="15"/>
  <cols>
    <col min="1" max="1" width="14.85546875" style="1" customWidth="1"/>
    <col min="2" max="2" width="17.5703125" style="3" customWidth="1"/>
    <col min="3" max="3" width="32.42578125" style="3" customWidth="1"/>
    <col min="4" max="5" width="9.42578125" style="3" customWidth="1"/>
    <col min="6" max="6" width="8.85546875" style="3" hidden="1" customWidth="1"/>
    <col min="7" max="7" width="8.85546875" style="3" customWidth="1"/>
    <col min="8" max="8" width="13.140625" style="3" customWidth="1"/>
    <col min="9" max="9" width="9.5703125" style="3" customWidth="1"/>
    <col min="10" max="11" width="10" style="3" customWidth="1"/>
    <col min="12" max="12" width="10.5703125" style="3" customWidth="1"/>
    <col min="13" max="13" width="10" style="3" customWidth="1"/>
    <col min="14" max="14" width="11.85546875" style="3" customWidth="1"/>
    <col min="15" max="15" width="9.7109375" style="3" customWidth="1"/>
    <col min="16" max="16" width="10.7109375" style="3" customWidth="1"/>
    <col min="17" max="18" width="10" style="3" customWidth="1"/>
    <col min="19" max="19" width="11.42578125" style="3" customWidth="1"/>
    <col min="20" max="26" width="10" style="3" customWidth="1"/>
    <col min="27" max="27" width="10.28515625" style="2" customWidth="1"/>
    <col min="28" max="28" width="11.85546875" style="1" customWidth="1"/>
    <col min="29" max="29" width="10.7109375" style="1" customWidth="1"/>
    <col min="30" max="30" width="10.28515625" style="1" customWidth="1"/>
    <col min="31" max="32" width="9.140625" style="1"/>
    <col min="33" max="33" width="9.5703125" style="83" customWidth="1"/>
    <col min="34" max="35" width="9.140625" style="83"/>
    <col min="36" max="36" width="9.5703125" style="83" customWidth="1"/>
    <col min="37" max="38" width="9.140625" style="83"/>
    <col min="39" max="39" width="9.5703125" style="83" customWidth="1"/>
    <col min="40" max="44" width="9.140625" style="83"/>
    <col min="45" max="45" width="9.5703125" style="83" customWidth="1"/>
    <col min="46" max="50" width="9.140625" style="83"/>
    <col min="51" max="51" width="9.5703125" style="83" customWidth="1"/>
    <col min="52" max="52" width="11.7109375" style="83" customWidth="1"/>
    <col min="53" max="53" width="10.140625" style="83" customWidth="1"/>
    <col min="54" max="54" width="20.28515625" style="1" customWidth="1"/>
    <col min="55" max="16384" width="9.140625" style="1"/>
  </cols>
  <sheetData>
    <row r="1" spans="1:65" ht="17.25" customHeight="1">
      <c r="A1" s="714" t="s">
        <v>158</v>
      </c>
      <c r="B1" s="910">
        <f>+M54+P54+S54+V54+Y54</f>
        <v>13152</v>
      </c>
      <c r="C1" s="258"/>
      <c r="D1" s="258"/>
      <c r="E1" s="258"/>
      <c r="F1" s="258"/>
      <c r="G1" s="258"/>
      <c r="H1" s="258"/>
      <c r="I1" s="258"/>
      <c r="J1" s="258"/>
      <c r="K1" s="1440" t="s">
        <v>140</v>
      </c>
      <c r="L1" s="1440"/>
      <c r="M1" s="1440"/>
      <c r="N1" s="1440"/>
      <c r="O1" s="1440"/>
      <c r="P1" s="1440"/>
      <c r="Q1" s="1440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</row>
    <row r="2" spans="1:65" ht="18.75" customHeight="1">
      <c r="B2" s="2"/>
      <c r="C2" s="2"/>
      <c r="D2" s="2"/>
      <c r="E2" s="2"/>
      <c r="F2" s="74"/>
      <c r="G2" s="74"/>
      <c r="J2" s="75"/>
      <c r="K2" s="1435" t="s">
        <v>225</v>
      </c>
      <c r="L2" s="1435"/>
      <c r="M2" s="1435"/>
      <c r="N2" s="1435"/>
      <c r="O2" s="1435"/>
      <c r="P2" s="1435"/>
      <c r="Q2" s="1435"/>
      <c r="R2" s="75"/>
      <c r="S2" s="75"/>
      <c r="T2" s="75"/>
      <c r="U2" s="75"/>
      <c r="V2" s="71"/>
      <c r="W2" s="70"/>
      <c r="X2" s="70"/>
      <c r="Y2" s="70"/>
      <c r="Z2" s="70"/>
      <c r="AA2" s="1468" t="s">
        <v>33</v>
      </c>
      <c r="AB2" s="1468"/>
      <c r="AC2" s="1448"/>
      <c r="AD2" s="1448"/>
    </row>
    <row r="3" spans="1:65" ht="17.25" customHeight="1">
      <c r="B3" s="2" t="s">
        <v>294</v>
      </c>
      <c r="C3" s="74"/>
      <c r="D3" s="74"/>
      <c r="E3" s="74"/>
      <c r="F3" s="74"/>
      <c r="G3" s="74"/>
      <c r="H3" s="74"/>
      <c r="J3" s="76"/>
      <c r="K3" s="1434" t="s">
        <v>295</v>
      </c>
      <c r="L3" s="1434"/>
      <c r="M3" s="1434"/>
      <c r="N3" s="1434"/>
      <c r="O3" s="1434"/>
      <c r="P3" s="1434"/>
      <c r="Q3" s="1434"/>
      <c r="R3" s="76"/>
      <c r="S3" s="76"/>
      <c r="T3" s="76"/>
      <c r="U3" s="76"/>
      <c r="V3" s="71"/>
      <c r="W3" s="70"/>
      <c r="X3" s="70"/>
      <c r="Y3" s="70"/>
      <c r="Z3" s="70"/>
      <c r="AA3" s="1464"/>
      <c r="AB3" s="1465"/>
      <c r="AC3" s="72"/>
      <c r="AD3" s="69"/>
    </row>
    <row r="4" spans="1:65" ht="14.1" customHeight="1">
      <c r="B4" s="2" t="s">
        <v>0</v>
      </c>
      <c r="C4" s="2"/>
      <c r="D4" s="2"/>
      <c r="E4" s="2"/>
      <c r="F4" s="2"/>
      <c r="G4" s="2"/>
      <c r="J4" s="8"/>
      <c r="O4" s="7"/>
      <c r="R4" s="7"/>
      <c r="U4" s="2"/>
      <c r="V4" s="2"/>
      <c r="AA4" s="1466"/>
      <c r="AB4" s="1467"/>
      <c r="AC4" s="7"/>
      <c r="AD4" s="2"/>
    </row>
    <row r="5" spans="1:65" ht="12.75" customHeight="1">
      <c r="B5" s="654"/>
      <c r="C5" s="2"/>
      <c r="D5" s="2"/>
      <c r="E5" s="2"/>
      <c r="F5" s="2"/>
      <c r="G5" s="2"/>
      <c r="J5" s="85"/>
      <c r="K5" s="85"/>
      <c r="L5" s="85"/>
      <c r="M5" s="85"/>
      <c r="N5" s="648"/>
      <c r="O5" s="651"/>
      <c r="R5" s="7"/>
      <c r="U5" s="2"/>
      <c r="V5" s="2"/>
      <c r="AA5" s="1457"/>
      <c r="AB5" s="1458"/>
      <c r="AC5" s="2"/>
      <c r="AD5" s="2"/>
    </row>
    <row r="6" spans="1:65" ht="12.95" customHeight="1">
      <c r="B6" s="73"/>
      <c r="C6" s="73"/>
      <c r="D6" s="73"/>
      <c r="E6" s="73"/>
      <c r="F6" s="2"/>
      <c r="G6" s="2"/>
      <c r="L6" s="652"/>
      <c r="N6" s="650"/>
      <c r="O6" s="649"/>
      <c r="P6" s="650"/>
      <c r="R6" s="7"/>
      <c r="U6" s="2"/>
      <c r="V6" s="2"/>
      <c r="AB6" s="2"/>
      <c r="AC6" s="2"/>
      <c r="AD6" s="2"/>
      <c r="BD6" s="1463" t="s">
        <v>35</v>
      </c>
      <c r="BE6" s="1463"/>
    </row>
    <row r="7" spans="1:65" ht="3.75" hidden="1" customHeight="1">
      <c r="B7" s="2"/>
      <c r="C7" s="2"/>
      <c r="D7" s="2"/>
      <c r="E7" s="2"/>
      <c r="F7" s="2"/>
      <c r="G7" s="2"/>
      <c r="O7" s="7"/>
      <c r="R7" s="7"/>
      <c r="U7" s="1459"/>
      <c r="V7" s="1459"/>
      <c r="W7" s="5"/>
      <c r="X7" s="6"/>
      <c r="Y7" s="1457" t="s">
        <v>1</v>
      </c>
      <c r="Z7" s="1415"/>
      <c r="AA7" s="10"/>
      <c r="BD7" s="1463"/>
      <c r="BE7" s="1463"/>
    </row>
    <row r="8" spans="1:65" ht="12" customHeight="1">
      <c r="B8" s="2"/>
      <c r="C8" s="2"/>
      <c r="D8" s="2"/>
      <c r="E8" s="2"/>
      <c r="F8" s="2"/>
      <c r="G8" s="2"/>
      <c r="O8" s="7"/>
      <c r="R8" s="7"/>
      <c r="U8" s="1459"/>
      <c r="V8" s="1459"/>
      <c r="W8" s="11">
        <f>192-96</f>
        <v>96</v>
      </c>
      <c r="X8" s="11"/>
      <c r="Y8" s="11"/>
      <c r="Z8" s="11"/>
      <c r="AA8" s="11"/>
      <c r="BD8" s="1463"/>
      <c r="BE8" s="1463"/>
    </row>
    <row r="9" spans="1:65" ht="15.75" customHeight="1">
      <c r="B9" s="2"/>
      <c r="C9" s="2">
        <v>1</v>
      </c>
      <c r="D9" s="2">
        <f t="shared" ref="D9:AD9" si="0">+C9+1</f>
        <v>2</v>
      </c>
      <c r="E9" s="2">
        <f t="shared" si="0"/>
        <v>3</v>
      </c>
      <c r="F9" s="2">
        <f t="shared" si="0"/>
        <v>4</v>
      </c>
      <c r="G9" s="2">
        <f t="shared" si="0"/>
        <v>5</v>
      </c>
      <c r="H9" s="2">
        <f t="shared" si="0"/>
        <v>6</v>
      </c>
      <c r="I9" s="2">
        <f t="shared" si="0"/>
        <v>7</v>
      </c>
      <c r="J9" s="2">
        <f t="shared" si="0"/>
        <v>8</v>
      </c>
      <c r="K9" s="2">
        <f t="shared" si="0"/>
        <v>9</v>
      </c>
      <c r="L9" s="2">
        <f t="shared" si="0"/>
        <v>10</v>
      </c>
      <c r="M9" s="2">
        <f t="shared" si="0"/>
        <v>11</v>
      </c>
      <c r="N9" s="2">
        <f t="shared" si="0"/>
        <v>12</v>
      </c>
      <c r="O9" s="2">
        <f t="shared" si="0"/>
        <v>13</v>
      </c>
      <c r="P9" s="2">
        <f t="shared" si="0"/>
        <v>14</v>
      </c>
      <c r="Q9" s="2">
        <f t="shared" si="0"/>
        <v>15</v>
      </c>
      <c r="R9" s="2">
        <f t="shared" si="0"/>
        <v>16</v>
      </c>
      <c r="S9" s="2">
        <f t="shared" si="0"/>
        <v>17</v>
      </c>
      <c r="T9" s="2">
        <f t="shared" si="0"/>
        <v>18</v>
      </c>
      <c r="U9" s="2">
        <f t="shared" si="0"/>
        <v>19</v>
      </c>
      <c r="V9" s="2">
        <f t="shared" si="0"/>
        <v>20</v>
      </c>
      <c r="W9" s="2">
        <f t="shared" si="0"/>
        <v>21</v>
      </c>
      <c r="X9" s="2">
        <f t="shared" si="0"/>
        <v>22</v>
      </c>
      <c r="Y9" s="2">
        <f t="shared" si="0"/>
        <v>23</v>
      </c>
      <c r="Z9" s="2">
        <f t="shared" si="0"/>
        <v>24</v>
      </c>
      <c r="AA9" s="2">
        <f t="shared" si="0"/>
        <v>25</v>
      </c>
      <c r="AB9" s="2">
        <f t="shared" si="0"/>
        <v>26</v>
      </c>
      <c r="AC9" s="2">
        <f t="shared" si="0"/>
        <v>27</v>
      </c>
      <c r="AD9" s="2">
        <f t="shared" si="0"/>
        <v>28</v>
      </c>
      <c r="AG9" s="86" t="s">
        <v>31</v>
      </c>
      <c r="BD9" s="1463"/>
      <c r="BE9" s="1463"/>
    </row>
    <row r="10" spans="1:65" ht="14.25" customHeight="1" thickBot="1">
      <c r="B10" s="12" t="s">
        <v>2</v>
      </c>
      <c r="C10" s="77">
        <f ca="1">NOW()</f>
        <v>46093.48149085648</v>
      </c>
      <c r="D10" s="13"/>
      <c r="E10" s="13"/>
      <c r="F10" s="14"/>
      <c r="G10" s="14"/>
      <c r="H10" s="15"/>
      <c r="M10" s="16"/>
      <c r="N10" s="16"/>
      <c r="O10" s="16"/>
      <c r="P10" s="17"/>
      <c r="S10" s="18"/>
      <c r="V10" s="18"/>
      <c r="Y10" s="18"/>
    </row>
    <row r="11" spans="1:65" ht="35.25" customHeight="1">
      <c r="A11" s="1505" t="s">
        <v>3</v>
      </c>
      <c r="B11" s="1506"/>
      <c r="C11" s="1428" t="s">
        <v>4</v>
      </c>
      <c r="D11" s="1431" t="s">
        <v>5</v>
      </c>
      <c r="E11" s="1499" t="s">
        <v>6</v>
      </c>
      <c r="F11" s="1428" t="s">
        <v>7</v>
      </c>
      <c r="G11" s="1499" t="s">
        <v>176</v>
      </c>
      <c r="H11" s="1344" t="s">
        <v>293</v>
      </c>
      <c r="I11" s="1460" t="s">
        <v>161</v>
      </c>
      <c r="J11" s="1461"/>
      <c r="K11" s="1462"/>
      <c r="L11" s="1460" t="s">
        <v>162</v>
      </c>
      <c r="M11" s="1461"/>
      <c r="N11" s="1462"/>
      <c r="O11" s="1460" t="s">
        <v>163</v>
      </c>
      <c r="P11" s="1461"/>
      <c r="Q11" s="1462"/>
      <c r="R11" s="1460" t="s">
        <v>164</v>
      </c>
      <c r="S11" s="1461"/>
      <c r="T11" s="1462"/>
      <c r="U11" s="1460" t="s">
        <v>166</v>
      </c>
      <c r="V11" s="1461"/>
      <c r="W11" s="1462"/>
      <c r="X11" s="1460" t="s">
        <v>167</v>
      </c>
      <c r="Y11" s="1461"/>
      <c r="Z11" s="1462"/>
      <c r="AA11" s="1460" t="s">
        <v>36</v>
      </c>
      <c r="AB11" s="1461"/>
      <c r="AC11" s="1462"/>
      <c r="AD11" s="1428" t="s">
        <v>8</v>
      </c>
      <c r="AG11" s="1445" t="str">
        <f>I11</f>
        <v>FEB</v>
      </c>
      <c r="AH11" s="1446"/>
      <c r="AI11" s="1447"/>
      <c r="AJ11" s="1445" t="str">
        <f>L11</f>
        <v>MAR</v>
      </c>
      <c r="AK11" s="1446"/>
      <c r="AL11" s="1447"/>
      <c r="AM11" s="1445" t="str">
        <f>O11</f>
        <v>APR</v>
      </c>
      <c r="AN11" s="1446"/>
      <c r="AO11" s="1447"/>
      <c r="AP11" s="1445" t="str">
        <f>R11</f>
        <v>MAY</v>
      </c>
      <c r="AQ11" s="1446"/>
      <c r="AR11" s="1447"/>
      <c r="AS11" s="1445" t="str">
        <f>U11</f>
        <v>JUN</v>
      </c>
      <c r="AT11" s="1446"/>
      <c r="AU11" s="1447"/>
      <c r="AV11" s="1445" t="str">
        <f>X11</f>
        <v>JUL</v>
      </c>
      <c r="AW11" s="1446"/>
      <c r="AX11" s="1447"/>
      <c r="AY11" s="1445" t="str">
        <f>AA11</f>
        <v>AUG</v>
      </c>
      <c r="AZ11" s="1446"/>
      <c r="BA11" s="1447"/>
    </row>
    <row r="12" spans="1:65" s="19" customFormat="1" ht="15.95" customHeight="1">
      <c r="A12" s="1507"/>
      <c r="B12" s="1508"/>
      <c r="C12" s="1429"/>
      <c r="D12" s="1432"/>
      <c r="E12" s="1500"/>
      <c r="F12" s="1429"/>
      <c r="G12" s="1500"/>
      <c r="H12" s="1511" t="s">
        <v>27</v>
      </c>
      <c r="I12" s="1454" t="str">
        <f>VLOOKUP(I11,WEEK!A3:D14,2,0)</f>
        <v>02/FEB ~ 27/FEB</v>
      </c>
      <c r="J12" s="1455"/>
      <c r="K12" s="1456"/>
      <c r="L12" s="1454" t="str">
        <f>VLOOKUP(L11,WEEK!A3:D14,2,0)</f>
        <v>02/MAR ~ 31/MAR</v>
      </c>
      <c r="M12" s="1455"/>
      <c r="N12" s="1456"/>
      <c r="O12" s="1454" t="str">
        <f>VLOOKUP(O11,WEEK!A3:D14,2,0)</f>
        <v>01/APR ~ 30/APR</v>
      </c>
      <c r="P12" s="1455"/>
      <c r="Q12" s="1456"/>
      <c r="R12" s="1454" t="str">
        <f>VLOOKUP(R11,WEEK!A3:D14,2,0)</f>
        <v>02/MAY ~ 30/MAY</v>
      </c>
      <c r="S12" s="1455"/>
      <c r="T12" s="1456"/>
      <c r="U12" s="1454" t="str">
        <f>VLOOKUP(U11,WEEK!A3:D14,2,0)</f>
        <v>02/JUN ~ 30/JUN</v>
      </c>
      <c r="V12" s="1455"/>
      <c r="W12" s="1456"/>
      <c r="X12" s="1454" t="str">
        <f>VLOOKUP(X11,WEEK!A3:D14,2,0)</f>
        <v>01/JUL ~ 31/JUL</v>
      </c>
      <c r="Y12" s="1455"/>
      <c r="Z12" s="1456"/>
      <c r="AA12" s="1454" t="str">
        <f>VLOOKUP(AA11,WEEK!A3:D14,2,0)</f>
        <v>03/AUG ~ 31/AUG</v>
      </c>
      <c r="AB12" s="1455"/>
      <c r="AC12" s="1456"/>
      <c r="AD12" s="1429"/>
      <c r="AE12" s="1"/>
      <c r="AF12" s="1"/>
      <c r="AG12" s="1449" t="str">
        <f>I12</f>
        <v>02/FEB ~ 27/FEB</v>
      </c>
      <c r="AH12" s="1442"/>
      <c r="AI12" s="1443"/>
      <c r="AJ12" s="1441" t="str">
        <f>L12</f>
        <v>02/MAR ~ 31/MAR</v>
      </c>
      <c r="AK12" s="1442"/>
      <c r="AL12" s="1443"/>
      <c r="AM12" s="1441" t="str">
        <f>O12</f>
        <v>01/APR ~ 30/APR</v>
      </c>
      <c r="AN12" s="1442"/>
      <c r="AO12" s="1443"/>
      <c r="AP12" s="1441" t="str">
        <f>R12</f>
        <v>02/MAY ~ 30/MAY</v>
      </c>
      <c r="AQ12" s="1442"/>
      <c r="AR12" s="1443"/>
      <c r="AS12" s="1441" t="str">
        <f>U12</f>
        <v>02/JUN ~ 30/JUN</v>
      </c>
      <c r="AT12" s="1442"/>
      <c r="AU12" s="1443"/>
      <c r="AV12" s="1441" t="str">
        <f>X12</f>
        <v>01/JUL ~ 31/JUL</v>
      </c>
      <c r="AW12" s="1442"/>
      <c r="AX12" s="1443"/>
      <c r="AY12" s="1441" t="str">
        <f>AA12</f>
        <v>03/AUG ~ 31/AUG</v>
      </c>
      <c r="AZ12" s="1442"/>
      <c r="BA12" s="1443"/>
      <c r="BC12" s="99" t="str">
        <f>L11</f>
        <v>MAR</v>
      </c>
      <c r="BD12" s="99" t="str">
        <f>O11</f>
        <v>APR</v>
      </c>
      <c r="BE12" s="99" t="str">
        <f>R11</f>
        <v>MAY</v>
      </c>
      <c r="BF12" s="99" t="str">
        <f>U11</f>
        <v>JUN</v>
      </c>
      <c r="BG12" s="100" t="str">
        <f>X11</f>
        <v>JUL</v>
      </c>
      <c r="BH12" s="100" t="str">
        <f>AA11</f>
        <v>AUG</v>
      </c>
    </row>
    <row r="13" spans="1:65" ht="15.95" customHeight="1" thickBot="1">
      <c r="A13" s="1509"/>
      <c r="B13" s="1510"/>
      <c r="C13" s="1430"/>
      <c r="D13" s="1433"/>
      <c r="E13" s="1501"/>
      <c r="F13" s="1430"/>
      <c r="G13" s="1501"/>
      <c r="H13" s="1501"/>
      <c r="I13" s="20" t="s">
        <v>8</v>
      </c>
      <c r="J13" s="21" t="s">
        <v>9</v>
      </c>
      <c r="K13" s="22" t="s">
        <v>10</v>
      </c>
      <c r="L13" s="20" t="s">
        <v>8</v>
      </c>
      <c r="M13" s="21" t="s">
        <v>9</v>
      </c>
      <c r="N13" s="22" t="s">
        <v>10</v>
      </c>
      <c r="O13" s="20" t="s">
        <v>8</v>
      </c>
      <c r="P13" s="21" t="s">
        <v>9</v>
      </c>
      <c r="Q13" s="22" t="s">
        <v>10</v>
      </c>
      <c r="R13" s="20" t="s">
        <v>8</v>
      </c>
      <c r="S13" s="21" t="s">
        <v>9</v>
      </c>
      <c r="T13" s="484" t="s">
        <v>10</v>
      </c>
      <c r="U13" s="20" t="s">
        <v>8</v>
      </c>
      <c r="V13" s="21" t="s">
        <v>9</v>
      </c>
      <c r="W13" s="22" t="s">
        <v>10</v>
      </c>
      <c r="X13" s="485" t="s">
        <v>8</v>
      </c>
      <c r="Y13" s="21" t="s">
        <v>9</v>
      </c>
      <c r="Z13" s="22" t="s">
        <v>10</v>
      </c>
      <c r="AA13" s="485" t="s">
        <v>8</v>
      </c>
      <c r="AB13" s="21" t="s">
        <v>9</v>
      </c>
      <c r="AC13" s="22" t="s">
        <v>10</v>
      </c>
      <c r="AD13" s="1430"/>
      <c r="AG13" s="87" t="str">
        <f>I13</f>
        <v>BAL</v>
      </c>
      <c r="AH13" s="88" t="str">
        <f>J13</f>
        <v>DEL</v>
      </c>
      <c r="AI13" s="89" t="str">
        <f>K13</f>
        <v>PROD</v>
      </c>
      <c r="AJ13" s="90" t="str">
        <f>L13</f>
        <v>BAL</v>
      </c>
      <c r="AK13" s="88" t="str">
        <f>M13</f>
        <v>DEL</v>
      </c>
      <c r="AL13" s="91" t="str">
        <f>N13</f>
        <v>PROD</v>
      </c>
      <c r="AM13" s="87" t="str">
        <f>O13</f>
        <v>BAL</v>
      </c>
      <c r="AN13" s="88" t="str">
        <f>P13</f>
        <v>DEL</v>
      </c>
      <c r="AO13" s="89" t="str">
        <f>Q13</f>
        <v>PROD</v>
      </c>
      <c r="AP13" s="90" t="str">
        <f>R13</f>
        <v>BAL</v>
      </c>
      <c r="AQ13" s="88" t="str">
        <f>S13</f>
        <v>DEL</v>
      </c>
      <c r="AR13" s="91" t="str">
        <f>T13</f>
        <v>PROD</v>
      </c>
      <c r="AS13" s="87" t="str">
        <f>U13</f>
        <v>BAL</v>
      </c>
      <c r="AT13" s="88" t="str">
        <f>V13</f>
        <v>DEL</v>
      </c>
      <c r="AU13" s="89" t="str">
        <f>W13</f>
        <v>PROD</v>
      </c>
      <c r="AV13" s="90" t="str">
        <f>X13</f>
        <v>BAL</v>
      </c>
      <c r="AW13" s="88" t="str">
        <f>Y13</f>
        <v>DEL</v>
      </c>
      <c r="AX13" s="91" t="str">
        <f>Z13</f>
        <v>PROD</v>
      </c>
      <c r="AY13" s="87" t="str">
        <f>AA13</f>
        <v>BAL</v>
      </c>
      <c r="AZ13" s="88" t="str">
        <f>AB13</f>
        <v>DEL</v>
      </c>
      <c r="BA13" s="89" t="str">
        <f>AC13</f>
        <v>PROD</v>
      </c>
      <c r="BB13" s="82"/>
      <c r="BC13" s="99">
        <v>4</v>
      </c>
      <c r="BD13" s="99">
        <v>5</v>
      </c>
      <c r="BE13" s="99">
        <v>4</v>
      </c>
      <c r="BF13" s="99">
        <v>5</v>
      </c>
      <c r="BG13" s="99">
        <v>4</v>
      </c>
      <c r="BH13" s="99">
        <v>4</v>
      </c>
      <c r="BI13" s="96"/>
    </row>
    <row r="14" spans="1:65" s="113" customFormat="1" ht="19.5" hidden="1" customHeight="1" thickBot="1">
      <c r="A14" s="1420" t="s">
        <v>198</v>
      </c>
      <c r="B14" s="1180"/>
      <c r="C14" s="1181"/>
      <c r="D14" s="1182"/>
      <c r="E14" s="1183"/>
      <c r="F14" s="1184"/>
      <c r="G14" s="1185"/>
      <c r="H14" s="1186"/>
      <c r="I14" s="1187"/>
      <c r="J14" s="1188"/>
      <c r="K14" s="1189"/>
      <c r="L14" s="1190"/>
      <c r="M14" s="1188"/>
      <c r="N14" s="1191"/>
      <c r="O14" s="1190"/>
      <c r="P14" s="1188"/>
      <c r="Q14" s="1191"/>
      <c r="R14" s="1190"/>
      <c r="S14" s="1188"/>
      <c r="T14" s="1191"/>
      <c r="U14" s="1190"/>
      <c r="V14" s="1188"/>
      <c r="W14" s="1191"/>
      <c r="X14" s="1190"/>
      <c r="Y14" s="1188"/>
      <c r="Z14" s="1191"/>
      <c r="AA14" s="1187"/>
      <c r="AB14" s="1188"/>
      <c r="AC14" s="1191"/>
      <c r="AD14" s="1192"/>
      <c r="AG14" s="131">
        <f t="shared" ref="AG14:AJ15" si="1">I14*$F14</f>
        <v>0</v>
      </c>
      <c r="AH14" s="132">
        <f t="shared" si="1"/>
        <v>0</v>
      </c>
      <c r="AI14" s="133">
        <f t="shared" si="1"/>
        <v>0</v>
      </c>
      <c r="AJ14" s="134">
        <f t="shared" si="1"/>
        <v>0</v>
      </c>
      <c r="AK14" s="132">
        <f t="shared" ref="AK14:AK20" si="2">J14*$F14</f>
        <v>0</v>
      </c>
      <c r="AL14" s="133">
        <f t="shared" ref="AL14:AM20" si="3">N14*$F14</f>
        <v>0</v>
      </c>
      <c r="AM14" s="134">
        <f t="shared" si="3"/>
        <v>0</v>
      </c>
      <c r="AN14" s="132">
        <f t="shared" ref="AN14:AN20" si="4">M14*$F14</f>
        <v>0</v>
      </c>
      <c r="AO14" s="133">
        <f t="shared" ref="AO14:AP20" si="5">Q14*$F14</f>
        <v>0</v>
      </c>
      <c r="AP14" s="134">
        <f t="shared" si="5"/>
        <v>0</v>
      </c>
      <c r="AQ14" s="132">
        <f t="shared" ref="AQ14:AQ20" si="6">P14*$F14</f>
        <v>0</v>
      </c>
      <c r="AR14" s="133">
        <f t="shared" ref="AR14:AS20" si="7">T14*$F14</f>
        <v>0</v>
      </c>
      <c r="AS14" s="134">
        <f t="shared" si="7"/>
        <v>0</v>
      </c>
      <c r="AT14" s="132">
        <f t="shared" ref="AT14:AT20" si="8">S14*$F14</f>
        <v>0</v>
      </c>
      <c r="AU14" s="133">
        <f t="shared" ref="AU14:AV20" si="9">W14*$F14</f>
        <v>0</v>
      </c>
      <c r="AV14" s="134">
        <f t="shared" si="9"/>
        <v>0</v>
      </c>
      <c r="AW14" s="132">
        <f t="shared" ref="AW14:AW20" si="10">V14*$F14</f>
        <v>0</v>
      </c>
      <c r="AX14" s="133">
        <f t="shared" ref="AX14:AY20" si="11">Z14*$F14</f>
        <v>0</v>
      </c>
      <c r="AY14" s="134">
        <f t="shared" si="11"/>
        <v>0</v>
      </c>
      <c r="AZ14" s="135">
        <f t="shared" ref="AZ14:AZ20" si="12">Y14*$F14</f>
        <v>0</v>
      </c>
      <c r="BA14" s="136">
        <f t="shared" ref="BA14:BA20" si="13">AC14*$F14</f>
        <v>0</v>
      </c>
      <c r="BB14" s="242" t="s">
        <v>49</v>
      </c>
      <c r="BC14" s="250">
        <f t="shared" ref="BC14:BC20" si="14">ROUNDUP(N14/$BC$13,0)</f>
        <v>0</v>
      </c>
      <c r="BD14" s="250">
        <f t="shared" ref="BD14:BD20" si="15">ROUNDUP(Q14/$BD$13,0)</f>
        <v>0</v>
      </c>
      <c r="BE14" s="250">
        <f t="shared" ref="BE14:BE20" si="16">ROUNDUP(T14/$BE$13,0)</f>
        <v>0</v>
      </c>
      <c r="BF14" s="250">
        <f t="shared" ref="BF14:BF20" si="17">ROUNDUP(W14/$BF$13,0)</f>
        <v>0</v>
      </c>
      <c r="BG14" s="250">
        <f t="shared" ref="BG14:BG20" si="18">ROUNDUP(Z14/$BG$13,0)</f>
        <v>0</v>
      </c>
      <c r="BH14" s="250">
        <f t="shared" ref="BH14:BH20" si="19">ROUNDUP(AC14/$BH$13,0)</f>
        <v>0</v>
      </c>
      <c r="BI14" s="113" t="e">
        <f>#REF!+1</f>
        <v>#REF!</v>
      </c>
      <c r="BK14" s="113" t="s">
        <v>142</v>
      </c>
      <c r="BM14" s="113" t="s">
        <v>146</v>
      </c>
    </row>
    <row r="15" spans="1:65" s="468" customFormat="1" ht="19.5" customHeight="1">
      <c r="A15" s="1421"/>
      <c r="B15" s="1392" t="s">
        <v>192</v>
      </c>
      <c r="C15" s="1380" t="s">
        <v>212</v>
      </c>
      <c r="D15" s="1203" t="s">
        <v>226</v>
      </c>
      <c r="E15" s="901" t="s">
        <v>228</v>
      </c>
      <c r="F15" s="901"/>
      <c r="G15" s="901">
        <v>6</v>
      </c>
      <c r="H15" s="1387">
        <v>3.6741316666666668</v>
      </c>
      <c r="I15" s="504">
        <v>2</v>
      </c>
      <c r="J15" s="1193">
        <v>0</v>
      </c>
      <c r="K15" s="505">
        <v>0</v>
      </c>
      <c r="L15" s="506">
        <f>I15+K15-J15</f>
        <v>2</v>
      </c>
      <c r="M15" s="1193">
        <f>VLOOKUP($C15,[1]Sheet1!$B$23:$AG$79,8,0)</f>
        <v>0</v>
      </c>
      <c r="N15" s="507">
        <f>M15-L15+2</f>
        <v>0</v>
      </c>
      <c r="O15" s="934">
        <f>L15+N15-M15</f>
        <v>2</v>
      </c>
      <c r="P15" s="1193">
        <f>VLOOKUP($C15,[1]Sheet1!$B$23:$AG$79,14,0)</f>
        <v>0</v>
      </c>
      <c r="Q15" s="507">
        <f>P15-O15+2</f>
        <v>0</v>
      </c>
      <c r="R15" s="934">
        <f>O15+Q15-P15</f>
        <v>2</v>
      </c>
      <c r="S15" s="1193">
        <f>VLOOKUP($C15,[1]Sheet1!$B$23:$AG$79,20,0)</f>
        <v>0</v>
      </c>
      <c r="T15" s="507">
        <f>S15-R15+2</f>
        <v>0</v>
      </c>
      <c r="U15" s="504">
        <f>R15+T15-S15</f>
        <v>2</v>
      </c>
      <c r="V15" s="1193">
        <f>VLOOKUP($C15,[1]Sheet1!$B$23:$AG$79,26,0)</f>
        <v>0</v>
      </c>
      <c r="W15" s="507">
        <f>V15-U15+2</f>
        <v>0</v>
      </c>
      <c r="X15" s="506">
        <f>U15+W15-V15</f>
        <v>2</v>
      </c>
      <c r="Y15" s="1193">
        <f>VLOOKUP($C15,[1]Sheet1!$B$23:$AG$79,32,0)</f>
        <v>0</v>
      </c>
      <c r="Z15" s="507">
        <f>Y15-X15+2</f>
        <v>0</v>
      </c>
      <c r="AA15" s="504">
        <f>X15+Z15-Y15</f>
        <v>2</v>
      </c>
      <c r="AB15" s="1194">
        <f>+Y15</f>
        <v>0</v>
      </c>
      <c r="AC15" s="507">
        <f>AB15-AA15+2</f>
        <v>0</v>
      </c>
      <c r="AD15" s="509">
        <f>AA15+AC15-AB15</f>
        <v>2</v>
      </c>
      <c r="AE15" s="113" t="s">
        <v>260</v>
      </c>
      <c r="AF15" s="113"/>
      <c r="AG15" s="461">
        <f t="shared" si="1"/>
        <v>0</v>
      </c>
      <c r="AH15" s="462">
        <f t="shared" si="1"/>
        <v>0</v>
      </c>
      <c r="AI15" s="463">
        <f t="shared" si="1"/>
        <v>0</v>
      </c>
      <c r="AJ15" s="464">
        <f t="shared" si="1"/>
        <v>0</v>
      </c>
      <c r="AK15" s="462">
        <f t="shared" si="2"/>
        <v>0</v>
      </c>
      <c r="AL15" s="463">
        <f t="shared" si="3"/>
        <v>0</v>
      </c>
      <c r="AM15" s="464">
        <f t="shared" si="3"/>
        <v>0</v>
      </c>
      <c r="AN15" s="462">
        <f t="shared" si="4"/>
        <v>0</v>
      </c>
      <c r="AO15" s="463">
        <f t="shared" si="5"/>
        <v>0</v>
      </c>
      <c r="AP15" s="464">
        <f t="shared" si="5"/>
        <v>0</v>
      </c>
      <c r="AQ15" s="462">
        <f t="shared" si="6"/>
        <v>0</v>
      </c>
      <c r="AR15" s="463">
        <f t="shared" si="7"/>
        <v>0</v>
      </c>
      <c r="AS15" s="464">
        <f t="shared" si="7"/>
        <v>0</v>
      </c>
      <c r="AT15" s="462">
        <f t="shared" si="8"/>
        <v>0</v>
      </c>
      <c r="AU15" s="463">
        <f t="shared" si="9"/>
        <v>0</v>
      </c>
      <c r="AV15" s="464">
        <f t="shared" si="9"/>
        <v>0</v>
      </c>
      <c r="AW15" s="462">
        <f t="shared" si="10"/>
        <v>0</v>
      </c>
      <c r="AX15" s="463">
        <f t="shared" si="11"/>
        <v>0</v>
      </c>
      <c r="AY15" s="464">
        <f t="shared" si="11"/>
        <v>0</v>
      </c>
      <c r="AZ15" s="465">
        <f t="shared" si="12"/>
        <v>0</v>
      </c>
      <c r="BA15" s="466">
        <f t="shared" si="13"/>
        <v>0</v>
      </c>
      <c r="BB15" s="144" t="s">
        <v>41</v>
      </c>
      <c r="BC15" s="467">
        <f t="shared" si="14"/>
        <v>0</v>
      </c>
      <c r="BD15" s="467">
        <f t="shared" si="15"/>
        <v>0</v>
      </c>
      <c r="BE15" s="467">
        <f t="shared" si="16"/>
        <v>0</v>
      </c>
      <c r="BF15" s="467">
        <f t="shared" si="17"/>
        <v>0</v>
      </c>
      <c r="BG15" s="467">
        <f t="shared" si="18"/>
        <v>0</v>
      </c>
      <c r="BH15" s="467">
        <f t="shared" si="19"/>
        <v>0</v>
      </c>
      <c r="BI15" s="460" t="e">
        <f>#REF!+1</f>
        <v>#REF!</v>
      </c>
      <c r="BK15" s="468" t="s">
        <v>137</v>
      </c>
      <c r="BM15" s="468" t="s">
        <v>147</v>
      </c>
    </row>
    <row r="16" spans="1:65" s="113" customFormat="1" ht="21.75" customHeight="1" thickBot="1">
      <c r="A16" s="1421"/>
      <c r="B16" s="1393"/>
      <c r="C16" s="1197" t="s">
        <v>208</v>
      </c>
      <c r="D16" s="1204" t="s">
        <v>226</v>
      </c>
      <c r="E16" s="902" t="s">
        <v>229</v>
      </c>
      <c r="F16" s="902"/>
      <c r="G16" s="902">
        <v>6</v>
      </c>
      <c r="H16" s="1388">
        <v>3.4624700000000006</v>
      </c>
      <c r="I16" s="473">
        <v>0</v>
      </c>
      <c r="J16" s="476">
        <v>0</v>
      </c>
      <c r="K16" s="470">
        <v>0</v>
      </c>
      <c r="L16" s="471">
        <f t="shared" ref="L16:L30" si="20">I16+K16-J16</f>
        <v>0</v>
      </c>
      <c r="M16" s="476">
        <f>VLOOKUP($C16,[1]Sheet1!$B$23:$AG$79,8,0)</f>
        <v>0</v>
      </c>
      <c r="N16" s="472">
        <f t="shared" ref="N16:N30" si="21">M16-L16</f>
        <v>0</v>
      </c>
      <c r="O16" s="473">
        <f t="shared" ref="O16:O30" si="22">L16+N16-M16</f>
        <v>0</v>
      </c>
      <c r="P16" s="476">
        <f>VLOOKUP($C16,[1]Sheet1!$B$23:$AG$79,14,0)</f>
        <v>0</v>
      </c>
      <c r="Q16" s="472">
        <f t="shared" ref="Q16:Q30" si="23">P16-O16</f>
        <v>0</v>
      </c>
      <c r="R16" s="471">
        <f t="shared" ref="R16:R30" si="24">O16+Q16-P16</f>
        <v>0</v>
      </c>
      <c r="S16" s="476">
        <f>VLOOKUP($C16,[1]Sheet1!$B$23:$AG$79,20,0)</f>
        <v>0</v>
      </c>
      <c r="T16" s="472">
        <f t="shared" ref="T16:T28" si="25">S16-R16</f>
        <v>0</v>
      </c>
      <c r="U16" s="473">
        <f t="shared" ref="U16:U30" si="26">R16+T16-S16</f>
        <v>0</v>
      </c>
      <c r="V16" s="476">
        <f>VLOOKUP($C16,[1]Sheet1!$B$23:$AG$79,26,0)</f>
        <v>0</v>
      </c>
      <c r="W16" s="472">
        <f t="shared" ref="W16:W21" si="27">V16-U16</f>
        <v>0</v>
      </c>
      <c r="X16" s="471">
        <f t="shared" ref="X16:X30" si="28">U16+W16-V16</f>
        <v>0</v>
      </c>
      <c r="Y16" s="476">
        <f>VLOOKUP($C16,[1]Sheet1!$B$23:$AG$79,32,0)</f>
        <v>0</v>
      </c>
      <c r="Z16" s="472">
        <f t="shared" ref="Z16:Z30" si="29">Y16-X16</f>
        <v>0</v>
      </c>
      <c r="AA16" s="473">
        <f t="shared" ref="AA16:AA30" si="30">X16+Z16-Y16</f>
        <v>0</v>
      </c>
      <c r="AB16" s="855">
        <f t="shared" ref="AB16:AB30" si="31">+Y16</f>
        <v>0</v>
      </c>
      <c r="AC16" s="472">
        <f t="shared" ref="AC16:AC30" si="32">AB16-AA16</f>
        <v>0</v>
      </c>
      <c r="AD16" s="475">
        <f t="shared" ref="AD16:AD30" si="33">AA16+AC16-AB16</f>
        <v>0</v>
      </c>
      <c r="AE16" s="113" t="s">
        <v>261</v>
      </c>
      <c r="AG16" s="131">
        <f t="shared" ref="AG16:AJ17" si="34">I16*$F16</f>
        <v>0</v>
      </c>
      <c r="AH16" s="132">
        <f t="shared" si="34"/>
        <v>0</v>
      </c>
      <c r="AI16" s="133">
        <f t="shared" si="34"/>
        <v>0</v>
      </c>
      <c r="AJ16" s="134">
        <f t="shared" si="34"/>
        <v>0</v>
      </c>
      <c r="AK16" s="132">
        <f t="shared" si="2"/>
        <v>0</v>
      </c>
      <c r="AL16" s="133">
        <f t="shared" si="3"/>
        <v>0</v>
      </c>
      <c r="AM16" s="134">
        <f t="shared" si="3"/>
        <v>0</v>
      </c>
      <c r="AN16" s="132">
        <f t="shared" si="4"/>
        <v>0</v>
      </c>
      <c r="AO16" s="133">
        <f t="shared" si="5"/>
        <v>0</v>
      </c>
      <c r="AP16" s="134">
        <f t="shared" si="5"/>
        <v>0</v>
      </c>
      <c r="AQ16" s="132">
        <f t="shared" si="6"/>
        <v>0</v>
      </c>
      <c r="AR16" s="133">
        <f t="shared" si="7"/>
        <v>0</v>
      </c>
      <c r="AS16" s="134">
        <f t="shared" si="7"/>
        <v>0</v>
      </c>
      <c r="AT16" s="132">
        <f t="shared" si="8"/>
        <v>0</v>
      </c>
      <c r="AU16" s="133">
        <f t="shared" si="9"/>
        <v>0</v>
      </c>
      <c r="AV16" s="134">
        <f t="shared" si="9"/>
        <v>0</v>
      </c>
      <c r="AW16" s="132">
        <f t="shared" si="10"/>
        <v>0</v>
      </c>
      <c r="AX16" s="133">
        <f t="shared" si="11"/>
        <v>0</v>
      </c>
      <c r="AY16" s="134">
        <f t="shared" si="11"/>
        <v>0</v>
      </c>
      <c r="AZ16" s="135">
        <f t="shared" si="12"/>
        <v>0</v>
      </c>
      <c r="BA16" s="136">
        <f t="shared" si="13"/>
        <v>0</v>
      </c>
      <c r="BB16" s="137" t="s">
        <v>50</v>
      </c>
      <c r="BC16" s="121">
        <f t="shared" si="14"/>
        <v>0</v>
      </c>
      <c r="BD16" s="121">
        <f t="shared" si="15"/>
        <v>0</v>
      </c>
      <c r="BE16" s="121">
        <f t="shared" si="16"/>
        <v>0</v>
      </c>
      <c r="BF16" s="121">
        <f t="shared" si="17"/>
        <v>0</v>
      </c>
      <c r="BG16" s="121">
        <f t="shared" si="18"/>
        <v>0</v>
      </c>
      <c r="BH16" s="121">
        <f t="shared" si="19"/>
        <v>0</v>
      </c>
      <c r="BI16" s="113" t="e">
        <f>#REF!+1</f>
        <v>#REF!</v>
      </c>
      <c r="BK16" s="113" t="s">
        <v>143</v>
      </c>
      <c r="BM16" s="113" t="s">
        <v>148</v>
      </c>
    </row>
    <row r="17" spans="1:65" s="468" customFormat="1" ht="19.5" customHeight="1">
      <c r="A17" s="1421"/>
      <c r="B17" s="1393"/>
      <c r="C17" s="1198" t="s">
        <v>207</v>
      </c>
      <c r="D17" s="1204" t="s">
        <v>226</v>
      </c>
      <c r="E17" s="902" t="s">
        <v>230</v>
      </c>
      <c r="F17" s="902"/>
      <c r="G17" s="902">
        <v>6</v>
      </c>
      <c r="H17" s="908">
        <f>VLOOKUP($C17,'[2]UMH Detail'!$E$4:$V$500,18,0)</f>
        <v>3.3610083333333334</v>
      </c>
      <c r="I17" s="473">
        <v>66</v>
      </c>
      <c r="J17" s="474">
        <v>264</v>
      </c>
      <c r="K17" s="470">
        <v>294</v>
      </c>
      <c r="L17" s="471">
        <f t="shared" si="20"/>
        <v>96</v>
      </c>
      <c r="M17" s="474">
        <f>VLOOKUP($C17,[1]Sheet1!$B$23:$AG$79,8,0)</f>
        <v>180</v>
      </c>
      <c r="N17" s="472">
        <f>M17-L17+12</f>
        <v>96</v>
      </c>
      <c r="O17" s="934">
        <f t="shared" si="22"/>
        <v>12</v>
      </c>
      <c r="P17" s="474">
        <f>VLOOKUP($C17,[1]Sheet1!$B$23:$AG$79,14,0)</f>
        <v>96</v>
      </c>
      <c r="Q17" s="470">
        <f>P17-O17+18</f>
        <v>102</v>
      </c>
      <c r="R17" s="471">
        <f t="shared" si="24"/>
        <v>18</v>
      </c>
      <c r="S17" s="474">
        <f>VLOOKUP($C17,[1]Sheet1!$B$23:$AG$79,20,0)</f>
        <v>96</v>
      </c>
      <c r="T17" s="472">
        <f>S17-R17+18</f>
        <v>96</v>
      </c>
      <c r="U17" s="473">
        <f t="shared" si="26"/>
        <v>18</v>
      </c>
      <c r="V17" s="474">
        <f>VLOOKUP($C17,[1]Sheet1!$B$23:$AG$79,26,0)</f>
        <v>108</v>
      </c>
      <c r="W17" s="470">
        <f>V17-U17</f>
        <v>90</v>
      </c>
      <c r="X17" s="471">
        <f t="shared" si="28"/>
        <v>0</v>
      </c>
      <c r="Y17" s="474">
        <f>VLOOKUP($C17,[1]Sheet1!$B$23:$AG$79,32,0)</f>
        <v>84</v>
      </c>
      <c r="Z17" s="472">
        <f>Y17-X17</f>
        <v>84</v>
      </c>
      <c r="AA17" s="473">
        <f t="shared" si="30"/>
        <v>0</v>
      </c>
      <c r="AB17" s="474">
        <f t="shared" si="31"/>
        <v>84</v>
      </c>
      <c r="AC17" s="472">
        <f t="shared" si="32"/>
        <v>84</v>
      </c>
      <c r="AD17" s="475">
        <f t="shared" si="33"/>
        <v>0</v>
      </c>
      <c r="AE17" s="113" t="s">
        <v>262</v>
      </c>
      <c r="AF17" s="113"/>
      <c r="AG17" s="461">
        <f t="shared" si="34"/>
        <v>0</v>
      </c>
      <c r="AH17" s="462">
        <f t="shared" si="34"/>
        <v>0</v>
      </c>
      <c r="AI17" s="463">
        <f t="shared" si="34"/>
        <v>0</v>
      </c>
      <c r="AJ17" s="464">
        <f t="shared" si="34"/>
        <v>0</v>
      </c>
      <c r="AK17" s="462">
        <f>J17*$F17</f>
        <v>0</v>
      </c>
      <c r="AL17" s="463">
        <f>N17*$F17</f>
        <v>0</v>
      </c>
      <c r="AM17" s="464">
        <f>O17*$F17</f>
        <v>0</v>
      </c>
      <c r="AN17" s="462">
        <f>M17*$F17</f>
        <v>0</v>
      </c>
      <c r="AO17" s="463">
        <f>Q17*$F17</f>
        <v>0</v>
      </c>
      <c r="AP17" s="464">
        <f>R17*$F17</f>
        <v>0</v>
      </c>
      <c r="AQ17" s="462">
        <f>P17*$F17</f>
        <v>0</v>
      </c>
      <c r="AR17" s="463">
        <f>T17*$F17</f>
        <v>0</v>
      </c>
      <c r="AS17" s="464">
        <f>U17*$F17</f>
        <v>0</v>
      </c>
      <c r="AT17" s="462">
        <f>S17*$F17</f>
        <v>0</v>
      </c>
      <c r="AU17" s="463">
        <f>W17*$F17</f>
        <v>0</v>
      </c>
      <c r="AV17" s="464">
        <f>X17*$F17</f>
        <v>0</v>
      </c>
      <c r="AW17" s="462">
        <f>V17*$F17</f>
        <v>0</v>
      </c>
      <c r="AX17" s="463">
        <f>Z17*$F17</f>
        <v>0</v>
      </c>
      <c r="AY17" s="464">
        <f>AA17*$F17</f>
        <v>0</v>
      </c>
      <c r="AZ17" s="465">
        <f>Y17*$F17</f>
        <v>0</v>
      </c>
      <c r="BA17" s="466">
        <f>AC17*$F17</f>
        <v>0</v>
      </c>
      <c r="BB17" s="144" t="s">
        <v>41</v>
      </c>
      <c r="BC17" s="467">
        <f t="shared" si="14"/>
        <v>24</v>
      </c>
      <c r="BD17" s="467">
        <f t="shared" si="15"/>
        <v>21</v>
      </c>
      <c r="BE17" s="467">
        <f t="shared" si="16"/>
        <v>24</v>
      </c>
      <c r="BF17" s="467">
        <f t="shared" si="17"/>
        <v>18</v>
      </c>
      <c r="BG17" s="467">
        <f t="shared" si="18"/>
        <v>21</v>
      </c>
      <c r="BH17" s="467">
        <f t="shared" si="19"/>
        <v>21</v>
      </c>
      <c r="BI17" s="460" t="e">
        <f>#REF!+1</f>
        <v>#REF!</v>
      </c>
      <c r="BK17" s="468" t="s">
        <v>138</v>
      </c>
      <c r="BM17" s="468" t="s">
        <v>149</v>
      </c>
    </row>
    <row r="18" spans="1:65" s="468" customFormat="1" ht="19.5" customHeight="1">
      <c r="A18" s="1421"/>
      <c r="B18" s="1393"/>
      <c r="C18" s="1235" t="s">
        <v>211</v>
      </c>
      <c r="D18" s="1237" t="s">
        <v>70</v>
      </c>
      <c r="E18" s="1238" t="s">
        <v>213</v>
      </c>
      <c r="F18" s="1238"/>
      <c r="G18" s="1238">
        <v>6</v>
      </c>
      <c r="H18" s="1341">
        <f>+H44</f>
        <v>3.5295433333333337</v>
      </c>
      <c r="I18" s="1239">
        <v>0</v>
      </c>
      <c r="J18" s="1240">
        <v>0</v>
      </c>
      <c r="K18" s="1241">
        <v>0</v>
      </c>
      <c r="L18" s="1242">
        <f t="shared" si="20"/>
        <v>0</v>
      </c>
      <c r="M18" s="1240">
        <f>VLOOKUP($C18,[1]Sheet1!$B$23:$AG$79,8,0)</f>
        <v>0</v>
      </c>
      <c r="N18" s="1243">
        <f t="shared" si="21"/>
        <v>0</v>
      </c>
      <c r="O18" s="1239">
        <f t="shared" si="22"/>
        <v>0</v>
      </c>
      <c r="P18" s="1240">
        <f>VLOOKUP($C18,[1]Sheet1!$B$23:$AG$79,14,0)</f>
        <v>0</v>
      </c>
      <c r="Q18" s="1241">
        <f t="shared" si="23"/>
        <v>0</v>
      </c>
      <c r="R18" s="1242">
        <f t="shared" si="24"/>
        <v>0</v>
      </c>
      <c r="S18" s="1240">
        <f>VLOOKUP($C18,[1]Sheet1!$B$23:$AG$79,20,0)</f>
        <v>0</v>
      </c>
      <c r="T18" s="1243">
        <f t="shared" si="25"/>
        <v>0</v>
      </c>
      <c r="U18" s="1239">
        <f t="shared" si="26"/>
        <v>0</v>
      </c>
      <c r="V18" s="1240">
        <f>VLOOKUP($C18,[1]Sheet1!$B$23:$AG$79,26,0)</f>
        <v>0</v>
      </c>
      <c r="W18" s="1241">
        <f>V18-U18</f>
        <v>0</v>
      </c>
      <c r="X18" s="1242">
        <f t="shared" si="28"/>
        <v>0</v>
      </c>
      <c r="Y18" s="1240">
        <f>VLOOKUP($C18,[1]Sheet1!$B$23:$AG$79,32,0)</f>
        <v>0</v>
      </c>
      <c r="Z18" s="1243">
        <f t="shared" si="29"/>
        <v>0</v>
      </c>
      <c r="AA18" s="1239">
        <f t="shared" si="30"/>
        <v>0</v>
      </c>
      <c r="AB18" s="1240">
        <f t="shared" si="31"/>
        <v>0</v>
      </c>
      <c r="AC18" s="1243">
        <f t="shared" si="32"/>
        <v>0</v>
      </c>
      <c r="AD18" s="1244">
        <f t="shared" si="33"/>
        <v>0</v>
      </c>
      <c r="AE18" s="113" t="s">
        <v>263</v>
      </c>
      <c r="AF18" s="113"/>
      <c r="AG18" s="461">
        <f>I18*$F18</f>
        <v>0</v>
      </c>
      <c r="AH18" s="462">
        <f>J18*$F18</f>
        <v>0</v>
      </c>
      <c r="AI18" s="463">
        <f>K18*$F18</f>
        <v>0</v>
      </c>
      <c r="AJ18" s="464">
        <f>L18*$F18</f>
        <v>0</v>
      </c>
      <c r="AK18" s="462">
        <f>J18*$F18</f>
        <v>0</v>
      </c>
      <c r="AL18" s="463">
        <f>N18*$F18</f>
        <v>0</v>
      </c>
      <c r="AM18" s="464">
        <f>O18*$F18</f>
        <v>0</v>
      </c>
      <c r="AN18" s="462">
        <f>M18*$F18</f>
        <v>0</v>
      </c>
      <c r="AO18" s="463">
        <f>Q18*$F18</f>
        <v>0</v>
      </c>
      <c r="AP18" s="464">
        <f>R18*$F18</f>
        <v>0</v>
      </c>
      <c r="AQ18" s="462">
        <f>P18*$F18</f>
        <v>0</v>
      </c>
      <c r="AR18" s="463">
        <f>T18*$F18</f>
        <v>0</v>
      </c>
      <c r="AS18" s="464">
        <f>U18*$F18</f>
        <v>0</v>
      </c>
      <c r="AT18" s="462">
        <f>S18*$F18</f>
        <v>0</v>
      </c>
      <c r="AU18" s="463">
        <f>W18*$F18</f>
        <v>0</v>
      </c>
      <c r="AV18" s="464">
        <f>X18*$F18</f>
        <v>0</v>
      </c>
      <c r="AW18" s="462">
        <f>V18*$F18</f>
        <v>0</v>
      </c>
      <c r="AX18" s="463">
        <f>Z18*$F18</f>
        <v>0</v>
      </c>
      <c r="AY18" s="464">
        <f>AA18*$F18</f>
        <v>0</v>
      </c>
      <c r="AZ18" s="465">
        <f>Y18*$F18</f>
        <v>0</v>
      </c>
      <c r="BA18" s="466">
        <f>AC18*$F18</f>
        <v>0</v>
      </c>
      <c r="BB18" s="144" t="s">
        <v>41</v>
      </c>
      <c r="BC18" s="467">
        <f t="shared" si="14"/>
        <v>0</v>
      </c>
      <c r="BD18" s="467">
        <f t="shared" si="15"/>
        <v>0</v>
      </c>
      <c r="BE18" s="467">
        <f t="shared" si="16"/>
        <v>0</v>
      </c>
      <c r="BF18" s="467">
        <f t="shared" si="17"/>
        <v>0</v>
      </c>
      <c r="BG18" s="467">
        <f t="shared" si="18"/>
        <v>0</v>
      </c>
      <c r="BH18" s="467">
        <f t="shared" si="19"/>
        <v>0</v>
      </c>
      <c r="BI18" s="460" t="e">
        <f>#REF!+1</f>
        <v>#REF!</v>
      </c>
      <c r="BK18" s="468" t="s">
        <v>141</v>
      </c>
      <c r="BM18" s="468" t="s">
        <v>150</v>
      </c>
    </row>
    <row r="19" spans="1:65" s="1077" customFormat="1" ht="20.100000000000001" customHeight="1" thickBot="1">
      <c r="A19" s="1421"/>
      <c r="B19" s="1394"/>
      <c r="C19" s="1199" t="s">
        <v>201</v>
      </c>
      <c r="D19" s="1205" t="s">
        <v>226</v>
      </c>
      <c r="E19" s="937" t="s">
        <v>231</v>
      </c>
      <c r="F19" s="937"/>
      <c r="G19" s="937">
        <v>6</v>
      </c>
      <c r="H19" s="909">
        <f>VLOOKUP($C19,'[2]UMH Detail'!$E$4:$V$500,18,0)</f>
        <v>3.6611500000000001</v>
      </c>
      <c r="I19" s="917">
        <v>24</v>
      </c>
      <c r="J19" s="1195">
        <v>132</v>
      </c>
      <c r="K19" s="918">
        <v>186</v>
      </c>
      <c r="L19" s="919">
        <f t="shared" si="20"/>
        <v>78</v>
      </c>
      <c r="M19" s="1195">
        <f>VLOOKUP($C19,[1]Sheet1!$B$23:$AG$79,8,0)</f>
        <v>192</v>
      </c>
      <c r="N19" s="920">
        <f>M19-L19+36-6-6</f>
        <v>138</v>
      </c>
      <c r="O19" s="917">
        <f t="shared" si="22"/>
        <v>24</v>
      </c>
      <c r="P19" s="1195">
        <f>VLOOKUP($C19,[1]Sheet1!$B$23:$AG$79,14,0)</f>
        <v>210</v>
      </c>
      <c r="Q19" s="920">
        <f>P19-O19+48-6-6</f>
        <v>222</v>
      </c>
      <c r="R19" s="919">
        <f t="shared" si="24"/>
        <v>36</v>
      </c>
      <c r="S19" s="1195">
        <f>VLOOKUP($C19,[1]Sheet1!$B$23:$AG$79,20,0)</f>
        <v>210</v>
      </c>
      <c r="T19" s="920">
        <f>S19-R19+36-6</f>
        <v>204</v>
      </c>
      <c r="U19" s="917">
        <f t="shared" si="26"/>
        <v>30</v>
      </c>
      <c r="V19" s="1195">
        <f>VLOOKUP($C19,[1]Sheet1!$B$23:$AG$79,26,0)</f>
        <v>228</v>
      </c>
      <c r="W19" s="920">
        <f>V19-U19+48+12</f>
        <v>258</v>
      </c>
      <c r="X19" s="919">
        <f t="shared" si="28"/>
        <v>60</v>
      </c>
      <c r="Y19" s="1195">
        <f>VLOOKUP($C19,[1]Sheet1!$B$23:$AG$79,32,0)</f>
        <v>180</v>
      </c>
      <c r="Z19" s="920">
        <f>Y19-X19+30+12</f>
        <v>162</v>
      </c>
      <c r="AA19" s="917">
        <f t="shared" si="30"/>
        <v>42</v>
      </c>
      <c r="AB19" s="1196">
        <f t="shared" si="31"/>
        <v>180</v>
      </c>
      <c r="AC19" s="920">
        <f t="shared" si="32"/>
        <v>138</v>
      </c>
      <c r="AD19" s="921">
        <f t="shared" si="33"/>
        <v>0</v>
      </c>
      <c r="AE19" s="1077" t="s">
        <v>264</v>
      </c>
      <c r="AG19" s="1079">
        <f t="shared" ref="AG19:AJ20" si="35">I19*$F19</f>
        <v>0</v>
      </c>
      <c r="AH19" s="1080">
        <f t="shared" si="35"/>
        <v>0</v>
      </c>
      <c r="AI19" s="1081">
        <f t="shared" si="35"/>
        <v>0</v>
      </c>
      <c r="AJ19" s="1082">
        <f t="shared" si="35"/>
        <v>0</v>
      </c>
      <c r="AK19" s="1080">
        <f t="shared" si="2"/>
        <v>0</v>
      </c>
      <c r="AL19" s="1081">
        <f t="shared" si="3"/>
        <v>0</v>
      </c>
      <c r="AM19" s="1082">
        <f t="shared" si="3"/>
        <v>0</v>
      </c>
      <c r="AN19" s="1080">
        <f t="shared" si="4"/>
        <v>0</v>
      </c>
      <c r="AO19" s="1081">
        <f t="shared" si="5"/>
        <v>0</v>
      </c>
      <c r="AP19" s="1082">
        <f t="shared" si="5"/>
        <v>0</v>
      </c>
      <c r="AQ19" s="1080">
        <f t="shared" si="6"/>
        <v>0</v>
      </c>
      <c r="AR19" s="1081">
        <f t="shared" si="7"/>
        <v>0</v>
      </c>
      <c r="AS19" s="1082">
        <f t="shared" si="7"/>
        <v>0</v>
      </c>
      <c r="AT19" s="1080">
        <f t="shared" si="8"/>
        <v>0</v>
      </c>
      <c r="AU19" s="1081">
        <f t="shared" si="9"/>
        <v>0</v>
      </c>
      <c r="AV19" s="1082">
        <f t="shared" si="9"/>
        <v>0</v>
      </c>
      <c r="AW19" s="1080">
        <f t="shared" si="10"/>
        <v>0</v>
      </c>
      <c r="AX19" s="1081">
        <f t="shared" si="11"/>
        <v>0</v>
      </c>
      <c r="AY19" s="1082">
        <f t="shared" si="11"/>
        <v>0</v>
      </c>
      <c r="AZ19" s="1083">
        <f t="shared" si="12"/>
        <v>0</v>
      </c>
      <c r="BA19" s="1084">
        <f t="shared" si="13"/>
        <v>0</v>
      </c>
      <c r="BB19" s="122" t="s">
        <v>50</v>
      </c>
      <c r="BC19" s="1109">
        <f t="shared" si="14"/>
        <v>35</v>
      </c>
      <c r="BD19" s="1109">
        <f t="shared" si="15"/>
        <v>45</v>
      </c>
      <c r="BE19" s="1109">
        <f t="shared" si="16"/>
        <v>51</v>
      </c>
      <c r="BF19" s="1109">
        <f t="shared" si="17"/>
        <v>52</v>
      </c>
      <c r="BG19" s="1109">
        <f t="shared" si="18"/>
        <v>41</v>
      </c>
      <c r="BH19" s="1109">
        <f t="shared" si="19"/>
        <v>35</v>
      </c>
      <c r="BI19" s="1077" t="e">
        <f>#REF!+1</f>
        <v>#REF!</v>
      </c>
      <c r="BK19" s="1077" t="s">
        <v>144</v>
      </c>
      <c r="BM19" s="1077" t="s">
        <v>151</v>
      </c>
    </row>
    <row r="20" spans="1:65" s="1078" customFormat="1" ht="19.5" customHeight="1" thickBot="1">
      <c r="A20" s="1421"/>
      <c r="B20" s="1392" t="s">
        <v>169</v>
      </c>
      <c r="C20" s="1200" t="s">
        <v>200</v>
      </c>
      <c r="D20" s="1203" t="s">
        <v>227</v>
      </c>
      <c r="E20" s="901" t="s">
        <v>232</v>
      </c>
      <c r="F20" s="901"/>
      <c r="G20" s="901">
        <v>6</v>
      </c>
      <c r="H20" s="907">
        <f>VLOOKUP($C20,'[2]UMH Detail'!$E$4:$V$500,18,0)</f>
        <v>3.1332316666666662</v>
      </c>
      <c r="I20" s="504">
        <v>2</v>
      </c>
      <c r="J20" s="508">
        <v>36</v>
      </c>
      <c r="K20" s="505">
        <v>36</v>
      </c>
      <c r="L20" s="506">
        <f t="shared" si="20"/>
        <v>2</v>
      </c>
      <c r="M20" s="508">
        <f>VLOOKUP($C20,[1]Sheet1!$B$23:$AG$79,8,0)</f>
        <v>12</v>
      </c>
      <c r="N20" s="507">
        <f>M20-L20+2</f>
        <v>12</v>
      </c>
      <c r="O20" s="504">
        <f t="shared" si="22"/>
        <v>2</v>
      </c>
      <c r="P20" s="508">
        <f>VLOOKUP($C20,[1]Sheet1!$B$23:$AG$79,14,0)</f>
        <v>12</v>
      </c>
      <c r="Q20" s="505">
        <f>P20-O20+2</f>
        <v>12</v>
      </c>
      <c r="R20" s="506">
        <f t="shared" si="24"/>
        <v>2</v>
      </c>
      <c r="S20" s="508">
        <f>VLOOKUP($C20,[1]Sheet1!$B$23:$AG$79,20,0)</f>
        <v>12</v>
      </c>
      <c r="T20" s="507">
        <f>S20-R20+2</f>
        <v>12</v>
      </c>
      <c r="U20" s="504">
        <f t="shared" si="26"/>
        <v>2</v>
      </c>
      <c r="V20" s="508">
        <f>VLOOKUP($C20,[1]Sheet1!$B$23:$AG$79,26,0)</f>
        <v>24</v>
      </c>
      <c r="W20" s="505">
        <f>V20-U20+2</f>
        <v>24</v>
      </c>
      <c r="X20" s="506">
        <f t="shared" si="28"/>
        <v>2</v>
      </c>
      <c r="Y20" s="508">
        <f>VLOOKUP($C20,[1]Sheet1!$B$23:$AG$79,32,0)</f>
        <v>6</v>
      </c>
      <c r="Z20" s="507">
        <f>Y20-X20+2</f>
        <v>6</v>
      </c>
      <c r="AA20" s="504">
        <f t="shared" si="30"/>
        <v>2</v>
      </c>
      <c r="AB20" s="508">
        <f t="shared" si="31"/>
        <v>6</v>
      </c>
      <c r="AC20" s="507">
        <f>AB20-AA20+2</f>
        <v>6</v>
      </c>
      <c r="AD20" s="509">
        <f t="shared" si="33"/>
        <v>2</v>
      </c>
      <c r="AE20" s="113" t="s">
        <v>265</v>
      </c>
      <c r="AF20" s="113"/>
      <c r="AG20" s="1070">
        <f t="shared" si="35"/>
        <v>0</v>
      </c>
      <c r="AH20" s="1071">
        <f t="shared" si="35"/>
        <v>0</v>
      </c>
      <c r="AI20" s="1072">
        <f t="shared" si="35"/>
        <v>0</v>
      </c>
      <c r="AJ20" s="1073">
        <f t="shared" si="35"/>
        <v>0</v>
      </c>
      <c r="AK20" s="1071">
        <f t="shared" si="2"/>
        <v>0</v>
      </c>
      <c r="AL20" s="1072">
        <f t="shared" si="3"/>
        <v>0</v>
      </c>
      <c r="AM20" s="1073">
        <f t="shared" si="3"/>
        <v>0</v>
      </c>
      <c r="AN20" s="1071">
        <f t="shared" si="4"/>
        <v>0</v>
      </c>
      <c r="AO20" s="1072">
        <f t="shared" si="5"/>
        <v>0</v>
      </c>
      <c r="AP20" s="1073">
        <f t="shared" si="5"/>
        <v>0</v>
      </c>
      <c r="AQ20" s="1071">
        <f t="shared" si="6"/>
        <v>0</v>
      </c>
      <c r="AR20" s="1072">
        <f t="shared" si="7"/>
        <v>0</v>
      </c>
      <c r="AS20" s="1073">
        <f t="shared" si="7"/>
        <v>0</v>
      </c>
      <c r="AT20" s="1071">
        <f t="shared" si="8"/>
        <v>0</v>
      </c>
      <c r="AU20" s="1072">
        <f t="shared" si="9"/>
        <v>0</v>
      </c>
      <c r="AV20" s="1073">
        <f t="shared" si="9"/>
        <v>0</v>
      </c>
      <c r="AW20" s="1071">
        <f t="shared" si="10"/>
        <v>0</v>
      </c>
      <c r="AX20" s="1072">
        <f t="shared" si="11"/>
        <v>0</v>
      </c>
      <c r="AY20" s="1073">
        <f t="shared" si="11"/>
        <v>0</v>
      </c>
      <c r="AZ20" s="1074">
        <f t="shared" si="12"/>
        <v>0</v>
      </c>
      <c r="BA20" s="1075">
        <f t="shared" si="13"/>
        <v>0</v>
      </c>
      <c r="BB20" s="171" t="s">
        <v>41</v>
      </c>
      <c r="BC20" s="1076">
        <f t="shared" si="14"/>
        <v>3</v>
      </c>
      <c r="BD20" s="1076">
        <f t="shared" si="15"/>
        <v>3</v>
      </c>
      <c r="BE20" s="1076">
        <f t="shared" si="16"/>
        <v>3</v>
      </c>
      <c r="BF20" s="1076">
        <f t="shared" si="17"/>
        <v>5</v>
      </c>
      <c r="BG20" s="1076">
        <f t="shared" si="18"/>
        <v>2</v>
      </c>
      <c r="BH20" s="1076">
        <f t="shared" si="19"/>
        <v>2</v>
      </c>
      <c r="BI20" s="1077" t="e">
        <f>#REF!+1</f>
        <v>#REF!</v>
      </c>
      <c r="BK20" s="1078" t="s">
        <v>139</v>
      </c>
      <c r="BM20" s="1078" t="s">
        <v>152</v>
      </c>
    </row>
    <row r="21" spans="1:65" s="152" customFormat="1" ht="20.100000000000001" customHeight="1">
      <c r="A21" s="1421"/>
      <c r="B21" s="1393"/>
      <c r="C21" s="1198" t="s">
        <v>209</v>
      </c>
      <c r="D21" s="1204" t="s">
        <v>226</v>
      </c>
      <c r="E21" s="902" t="s">
        <v>233</v>
      </c>
      <c r="F21" s="902"/>
      <c r="G21" s="902">
        <v>6</v>
      </c>
      <c r="H21" s="1388">
        <v>2.9072533333333328</v>
      </c>
      <c r="I21" s="473">
        <v>0</v>
      </c>
      <c r="J21" s="474">
        <v>0</v>
      </c>
      <c r="K21" s="470">
        <v>0</v>
      </c>
      <c r="L21" s="471">
        <f t="shared" si="20"/>
        <v>0</v>
      </c>
      <c r="M21" s="474">
        <f>VLOOKUP($C21,[1]Sheet1!$B$23:$AG$79,8,0)</f>
        <v>0</v>
      </c>
      <c r="N21" s="472">
        <f t="shared" si="21"/>
        <v>0</v>
      </c>
      <c r="O21" s="473">
        <f t="shared" si="22"/>
        <v>0</v>
      </c>
      <c r="P21" s="474">
        <f>VLOOKUP($C21,[1]Sheet1!$B$23:$AG$79,14,0)</f>
        <v>0</v>
      </c>
      <c r="Q21" s="472">
        <f t="shared" si="23"/>
        <v>0</v>
      </c>
      <c r="R21" s="471">
        <f t="shared" si="24"/>
        <v>0</v>
      </c>
      <c r="S21" s="474">
        <f>VLOOKUP($C21,[1]Sheet1!$B$23:$AG$79,20,0)</f>
        <v>0</v>
      </c>
      <c r="T21" s="472">
        <f t="shared" si="25"/>
        <v>0</v>
      </c>
      <c r="U21" s="473">
        <f t="shared" si="26"/>
        <v>0</v>
      </c>
      <c r="V21" s="474">
        <f>VLOOKUP($C21,[1]Sheet1!$B$23:$AG$79,26,0)</f>
        <v>0</v>
      </c>
      <c r="W21" s="472">
        <f t="shared" si="27"/>
        <v>0</v>
      </c>
      <c r="X21" s="471">
        <f t="shared" si="28"/>
        <v>0</v>
      </c>
      <c r="Y21" s="474">
        <f>VLOOKUP($C21,[1]Sheet1!$B$23:$AG$79,32,0)</f>
        <v>0</v>
      </c>
      <c r="Z21" s="472">
        <f t="shared" si="29"/>
        <v>0</v>
      </c>
      <c r="AA21" s="473">
        <f t="shared" si="30"/>
        <v>0</v>
      </c>
      <c r="AB21" s="474">
        <f t="shared" si="31"/>
        <v>0</v>
      </c>
      <c r="AC21" s="472">
        <f t="shared" si="32"/>
        <v>0</v>
      </c>
      <c r="AD21" s="475">
        <f t="shared" si="33"/>
        <v>0</v>
      </c>
      <c r="AE21" s="113" t="s">
        <v>266</v>
      </c>
      <c r="AF21" s="113"/>
      <c r="AG21" s="153">
        <f t="shared" ref="AG21:AJ23" si="36">I21*$F21</f>
        <v>0</v>
      </c>
      <c r="AH21" s="154">
        <f t="shared" si="36"/>
        <v>0</v>
      </c>
      <c r="AI21" s="155">
        <f t="shared" si="36"/>
        <v>0</v>
      </c>
      <c r="AJ21" s="156">
        <f t="shared" si="36"/>
        <v>0</v>
      </c>
      <c r="AK21" s="154">
        <f>J21*$F21</f>
        <v>0</v>
      </c>
      <c r="AL21" s="155">
        <f t="shared" ref="AL21:AM23" si="37">N21*$F21</f>
        <v>0</v>
      </c>
      <c r="AM21" s="156">
        <f t="shared" si="37"/>
        <v>0</v>
      </c>
      <c r="AN21" s="154">
        <f>M21*$F21</f>
        <v>0</v>
      </c>
      <c r="AO21" s="155">
        <f t="shared" ref="AO21:AP23" si="38">Q21*$F21</f>
        <v>0</v>
      </c>
      <c r="AP21" s="156">
        <f t="shared" si="38"/>
        <v>0</v>
      </c>
      <c r="AQ21" s="154">
        <f>P21*$F21</f>
        <v>0</v>
      </c>
      <c r="AR21" s="155">
        <f t="shared" ref="AR21:AS23" si="39">T21*$F21</f>
        <v>0</v>
      </c>
      <c r="AS21" s="156">
        <f t="shared" si="39"/>
        <v>0</v>
      </c>
      <c r="AT21" s="154">
        <f>S21*$F21</f>
        <v>0</v>
      </c>
      <c r="AU21" s="155">
        <f t="shared" ref="AU21:AV23" si="40">W21*$F21</f>
        <v>0</v>
      </c>
      <c r="AV21" s="156">
        <f t="shared" si="40"/>
        <v>0</v>
      </c>
      <c r="AW21" s="154">
        <f>V21*$F21</f>
        <v>0</v>
      </c>
      <c r="AX21" s="155">
        <f t="shared" ref="AX21:AY23" si="41">Z21*$F21</f>
        <v>0</v>
      </c>
      <c r="AY21" s="156">
        <f t="shared" si="41"/>
        <v>0</v>
      </c>
      <c r="AZ21" s="157">
        <f>Y21*$F21</f>
        <v>0</v>
      </c>
      <c r="BA21" s="158">
        <f>AC21*$F21</f>
        <v>0</v>
      </c>
      <c r="BB21" s="233" t="s">
        <v>41</v>
      </c>
      <c r="BC21" s="241">
        <f>ROUNDUP(N21/$BC$13,0)</f>
        <v>0</v>
      </c>
      <c r="BD21" s="241">
        <f>ROUNDUP(Q21/$BD$13,0)</f>
        <v>0</v>
      </c>
      <c r="BE21" s="241">
        <f>ROUNDUP(T21/$BE$13,0)</f>
        <v>0</v>
      </c>
      <c r="BF21" s="241">
        <f>ROUNDUP(W21/$BF$13,0)</f>
        <v>0</v>
      </c>
      <c r="BG21" s="241">
        <f>ROUNDUP(Z21/$BG$13,0)</f>
        <v>0</v>
      </c>
      <c r="BH21" s="241">
        <f>ROUNDUP(AC21/$BH$13,0)</f>
        <v>0</v>
      </c>
      <c r="BI21" s="113" t="e">
        <f>#REF!+1</f>
        <v>#REF!</v>
      </c>
      <c r="BK21" s="152" t="s">
        <v>145</v>
      </c>
      <c r="BM21" s="152" t="s">
        <v>153</v>
      </c>
    </row>
    <row r="22" spans="1:65" s="468" customFormat="1" ht="19.5" customHeight="1">
      <c r="A22" s="1421"/>
      <c r="B22" s="1393"/>
      <c r="C22" s="1234" t="s">
        <v>210</v>
      </c>
      <c r="D22" s="1204" t="s">
        <v>226</v>
      </c>
      <c r="E22" s="902" t="s">
        <v>234</v>
      </c>
      <c r="F22" s="902"/>
      <c r="G22" s="902">
        <v>6</v>
      </c>
      <c r="H22" s="908">
        <f>VLOOKUP($C22,'[2]UMH Detail'!$E$4:$V$500,18,0)</f>
        <v>2.9106066666666668</v>
      </c>
      <c r="I22" s="473">
        <v>132</v>
      </c>
      <c r="J22" s="474">
        <v>378</v>
      </c>
      <c r="K22" s="470">
        <v>336</v>
      </c>
      <c r="L22" s="471">
        <f t="shared" si="20"/>
        <v>90</v>
      </c>
      <c r="M22" s="474">
        <f>VLOOKUP($C22,[1]Sheet1!$B$23:$AG$79,8,0)</f>
        <v>348</v>
      </c>
      <c r="N22" s="472">
        <f>M22-L22+72+12+6</f>
        <v>348</v>
      </c>
      <c r="O22" s="473">
        <f t="shared" si="22"/>
        <v>90</v>
      </c>
      <c r="P22" s="474">
        <f>VLOOKUP($C22,[1]Sheet1!$B$23:$AG$79,14,0)</f>
        <v>354</v>
      </c>
      <c r="Q22" s="470">
        <f>P22-O22+96+24</f>
        <v>384</v>
      </c>
      <c r="R22" s="471">
        <f t="shared" si="24"/>
        <v>120</v>
      </c>
      <c r="S22" s="474">
        <f>VLOOKUP($C22,[1]Sheet1!$B$23:$AG$79,20,0)</f>
        <v>372</v>
      </c>
      <c r="T22" s="472">
        <f>S22-R22+84+24</f>
        <v>360</v>
      </c>
      <c r="U22" s="473">
        <f>R22+T22-S22</f>
        <v>108</v>
      </c>
      <c r="V22" s="474">
        <f>VLOOKUP($C22,[1]Sheet1!$B$23:$AG$79,26,0)</f>
        <v>402</v>
      </c>
      <c r="W22" s="470">
        <f>V22-U22+48</f>
        <v>342</v>
      </c>
      <c r="X22" s="471">
        <f t="shared" si="28"/>
        <v>48</v>
      </c>
      <c r="Y22" s="474">
        <f>VLOOKUP($C22,[1]Sheet1!$B$23:$AG$79,32,0)</f>
        <v>324</v>
      </c>
      <c r="Z22" s="472">
        <f>Y22-X22+84+24+30</f>
        <v>414</v>
      </c>
      <c r="AA22" s="473">
        <f t="shared" si="30"/>
        <v>138</v>
      </c>
      <c r="AB22" s="474">
        <f t="shared" si="31"/>
        <v>324</v>
      </c>
      <c r="AC22" s="472">
        <f t="shared" si="32"/>
        <v>186</v>
      </c>
      <c r="AD22" s="475">
        <f t="shared" si="33"/>
        <v>0</v>
      </c>
      <c r="AE22" s="1077" t="s">
        <v>267</v>
      </c>
      <c r="AF22" s="1077"/>
      <c r="AG22" s="461">
        <f t="shared" si="36"/>
        <v>0</v>
      </c>
      <c r="AH22" s="462">
        <f t="shared" si="36"/>
        <v>0</v>
      </c>
      <c r="AI22" s="463">
        <f t="shared" si="36"/>
        <v>0</v>
      </c>
      <c r="AJ22" s="464">
        <f t="shared" si="36"/>
        <v>0</v>
      </c>
      <c r="AK22" s="462">
        <f>J22*$F22</f>
        <v>0</v>
      </c>
      <c r="AL22" s="463">
        <f t="shared" si="37"/>
        <v>0</v>
      </c>
      <c r="AM22" s="464">
        <f t="shared" si="37"/>
        <v>0</v>
      </c>
      <c r="AN22" s="462">
        <f>M22*$F22</f>
        <v>0</v>
      </c>
      <c r="AO22" s="463">
        <f t="shared" si="38"/>
        <v>0</v>
      </c>
      <c r="AP22" s="464">
        <f t="shared" si="38"/>
        <v>0</v>
      </c>
      <c r="AQ22" s="462">
        <f>P22*$F22</f>
        <v>0</v>
      </c>
      <c r="AR22" s="463">
        <f t="shared" si="39"/>
        <v>0</v>
      </c>
      <c r="AS22" s="464">
        <f t="shared" si="39"/>
        <v>0</v>
      </c>
      <c r="AT22" s="462">
        <f>S22*$F22</f>
        <v>0</v>
      </c>
      <c r="AU22" s="463">
        <f t="shared" si="40"/>
        <v>0</v>
      </c>
      <c r="AV22" s="464">
        <f t="shared" si="40"/>
        <v>0</v>
      </c>
      <c r="AW22" s="462">
        <f>V22*$F22</f>
        <v>0</v>
      </c>
      <c r="AX22" s="463">
        <f t="shared" si="41"/>
        <v>0</v>
      </c>
      <c r="AY22" s="464">
        <f t="shared" si="41"/>
        <v>0</v>
      </c>
      <c r="AZ22" s="465">
        <f>Y22*$F22</f>
        <v>0</v>
      </c>
      <c r="BA22" s="466">
        <f>AC22*$F22</f>
        <v>0</v>
      </c>
      <c r="BB22" s="144" t="s">
        <v>41</v>
      </c>
      <c r="BC22" s="467">
        <f>ROUNDUP(N22/$BC$13,0)</f>
        <v>87</v>
      </c>
      <c r="BD22" s="467">
        <f>ROUNDUP(Q22/$BD$13,0)</f>
        <v>77</v>
      </c>
      <c r="BE22" s="467">
        <f>ROUNDUP(T22/$BE$13,0)</f>
        <v>90</v>
      </c>
      <c r="BF22" s="467">
        <f>ROUNDUP(W22/$BF$13,0)</f>
        <v>69</v>
      </c>
      <c r="BG22" s="467">
        <f>ROUNDUP(Z22/$BG$13,0)</f>
        <v>104</v>
      </c>
      <c r="BH22" s="467">
        <f>ROUNDUP(AC22/$BH$13,0)</f>
        <v>47</v>
      </c>
      <c r="BI22" s="460" t="e">
        <f>#REF!+1</f>
        <v>#REF!</v>
      </c>
      <c r="BK22" s="468" t="s">
        <v>136</v>
      </c>
      <c r="BM22" s="468" t="s">
        <v>154</v>
      </c>
    </row>
    <row r="23" spans="1:65" s="1078" customFormat="1" ht="19.5" customHeight="1">
      <c r="A23" s="1421"/>
      <c r="B23" s="1393"/>
      <c r="C23" s="1201" t="s">
        <v>199</v>
      </c>
      <c r="D23" s="1204" t="s">
        <v>226</v>
      </c>
      <c r="E23" s="902" t="s">
        <v>235</v>
      </c>
      <c r="F23" s="930"/>
      <c r="G23" s="930">
        <v>6</v>
      </c>
      <c r="H23" s="908">
        <f>VLOOKUP($C23,'[2]UMH Detail'!$E$4:$V$500,18,0)</f>
        <v>2.8988</v>
      </c>
      <c r="I23" s="931">
        <v>240</v>
      </c>
      <c r="J23" s="932">
        <v>786</v>
      </c>
      <c r="K23" s="933">
        <v>696</v>
      </c>
      <c r="L23" s="934">
        <f t="shared" si="20"/>
        <v>150</v>
      </c>
      <c r="M23" s="932">
        <f>VLOOKUP($C23,[1]Sheet1!$B$23:$AG$79,8,0)</f>
        <v>582</v>
      </c>
      <c r="N23" s="624">
        <f>M23-L23+120+18+24</f>
        <v>594</v>
      </c>
      <c r="O23" s="931">
        <f t="shared" si="22"/>
        <v>162</v>
      </c>
      <c r="P23" s="932">
        <f>VLOOKUP($C23,[1]Sheet1!$B$23:$AG$79,14,0)</f>
        <v>546</v>
      </c>
      <c r="Q23" s="933">
        <f>P23-O23+162+120+36</f>
        <v>702</v>
      </c>
      <c r="R23" s="934">
        <f t="shared" si="24"/>
        <v>318</v>
      </c>
      <c r="S23" s="932">
        <f>VLOOKUP($C23,[1]Sheet1!$B$23:$AG$79,20,0)</f>
        <v>636</v>
      </c>
      <c r="T23" s="624">
        <f>S23-R23+144+36</f>
        <v>498</v>
      </c>
      <c r="U23" s="931">
        <f t="shared" si="26"/>
        <v>180</v>
      </c>
      <c r="V23" s="932">
        <f>VLOOKUP($C23,[1]Sheet1!$B$23:$AG$79,26,0)</f>
        <v>696</v>
      </c>
      <c r="W23" s="933">
        <f>V23-U23+90+48</f>
        <v>654</v>
      </c>
      <c r="X23" s="934">
        <f t="shared" si="28"/>
        <v>138</v>
      </c>
      <c r="Y23" s="932">
        <f>VLOOKUP($C23,[1]Sheet1!$B$23:$AG$79,32,0)</f>
        <v>546</v>
      </c>
      <c r="Z23" s="624">
        <f>Y23-X23+138+24</f>
        <v>570</v>
      </c>
      <c r="AA23" s="931">
        <f t="shared" si="30"/>
        <v>162</v>
      </c>
      <c r="AB23" s="932">
        <f t="shared" si="31"/>
        <v>546</v>
      </c>
      <c r="AC23" s="624">
        <f t="shared" si="32"/>
        <v>384</v>
      </c>
      <c r="AD23" s="935">
        <f t="shared" si="33"/>
        <v>0</v>
      </c>
      <c r="AE23" s="1077" t="s">
        <v>268</v>
      </c>
      <c r="AF23" s="1077"/>
      <c r="AG23" s="1070">
        <f t="shared" si="36"/>
        <v>0</v>
      </c>
      <c r="AH23" s="1071">
        <f t="shared" si="36"/>
        <v>0</v>
      </c>
      <c r="AI23" s="1072">
        <f t="shared" si="36"/>
        <v>0</v>
      </c>
      <c r="AJ23" s="1073">
        <f t="shared" si="36"/>
        <v>0</v>
      </c>
      <c r="AK23" s="1071">
        <f>J23*$F23</f>
        <v>0</v>
      </c>
      <c r="AL23" s="1072">
        <f t="shared" si="37"/>
        <v>0</v>
      </c>
      <c r="AM23" s="1073">
        <f t="shared" si="37"/>
        <v>0</v>
      </c>
      <c r="AN23" s="1071">
        <f>M23*$F23</f>
        <v>0</v>
      </c>
      <c r="AO23" s="1072">
        <f t="shared" si="38"/>
        <v>0</v>
      </c>
      <c r="AP23" s="1073">
        <f t="shared" si="38"/>
        <v>0</v>
      </c>
      <c r="AQ23" s="1071">
        <f>P23*$F23</f>
        <v>0</v>
      </c>
      <c r="AR23" s="1072">
        <f t="shared" si="39"/>
        <v>0</v>
      </c>
      <c r="AS23" s="1073">
        <f t="shared" si="39"/>
        <v>0</v>
      </c>
      <c r="AT23" s="1071">
        <f>S23*$F23</f>
        <v>0</v>
      </c>
      <c r="AU23" s="1072">
        <f t="shared" si="40"/>
        <v>0</v>
      </c>
      <c r="AV23" s="1073">
        <f t="shared" si="40"/>
        <v>0</v>
      </c>
      <c r="AW23" s="1071">
        <f>V23*$F23</f>
        <v>0</v>
      </c>
      <c r="AX23" s="1072">
        <f t="shared" si="41"/>
        <v>0</v>
      </c>
      <c r="AY23" s="1073">
        <f t="shared" si="41"/>
        <v>0</v>
      </c>
      <c r="AZ23" s="1074">
        <f>Y23*$F23</f>
        <v>0</v>
      </c>
      <c r="BA23" s="1075">
        <f>AC23*$F23</f>
        <v>0</v>
      </c>
      <c r="BB23" s="171" t="s">
        <v>41</v>
      </c>
      <c r="BC23" s="1076">
        <f>ROUNDUP(N23/$BC$13,0)</f>
        <v>149</v>
      </c>
      <c r="BD23" s="1076">
        <f>ROUNDUP(Q23/$BD$13,0)</f>
        <v>141</v>
      </c>
      <c r="BE23" s="1076">
        <f>ROUNDUP(T23/$BE$13,0)</f>
        <v>125</v>
      </c>
      <c r="BF23" s="1076">
        <f>ROUNDUP(W23/$BF$13,0)</f>
        <v>131</v>
      </c>
      <c r="BG23" s="1076">
        <f>ROUNDUP(Z23/$BG$13,0)</f>
        <v>143</v>
      </c>
      <c r="BH23" s="1076">
        <f>ROUNDUP(AC23/$BH$13,0)</f>
        <v>96</v>
      </c>
      <c r="BI23" s="1077" t="e">
        <f>#REF!+1</f>
        <v>#REF!</v>
      </c>
      <c r="BK23" s="1078" t="s">
        <v>136</v>
      </c>
      <c r="BM23" s="1078" t="s">
        <v>154</v>
      </c>
    </row>
    <row r="24" spans="1:65" s="1078" customFormat="1" ht="19.5" customHeight="1">
      <c r="A24" s="1421"/>
      <c r="B24" s="1393"/>
      <c r="C24" s="1201" t="s">
        <v>204</v>
      </c>
      <c r="D24" s="1204" t="s">
        <v>226</v>
      </c>
      <c r="E24" s="930" t="s">
        <v>236</v>
      </c>
      <c r="F24" s="930"/>
      <c r="G24" s="930">
        <v>6</v>
      </c>
      <c r="H24" s="1388">
        <f>VLOOKUP($C24,'[3]UMH Detail'!$E$4:$V$500,18,0)</f>
        <v>3.0037016666666672</v>
      </c>
      <c r="I24" s="931">
        <v>0</v>
      </c>
      <c r="J24" s="932">
        <v>12</v>
      </c>
      <c r="K24" s="933">
        <v>12</v>
      </c>
      <c r="L24" s="934">
        <f t="shared" si="20"/>
        <v>0</v>
      </c>
      <c r="M24" s="932">
        <f>VLOOKUP($C24,[1]Sheet1!$B$23:$AG$79,8,0)</f>
        <v>0</v>
      </c>
      <c r="N24" s="624">
        <f t="shared" si="21"/>
        <v>0</v>
      </c>
      <c r="O24" s="931">
        <f t="shared" si="22"/>
        <v>0</v>
      </c>
      <c r="P24" s="932">
        <f>VLOOKUP($C24,[1]Sheet1!$B$23:$AG$79,14,0)</f>
        <v>6</v>
      </c>
      <c r="Q24" s="933">
        <f t="shared" si="23"/>
        <v>6</v>
      </c>
      <c r="R24" s="934">
        <f t="shared" si="24"/>
        <v>0</v>
      </c>
      <c r="S24" s="932">
        <f>VLOOKUP($C24,[1]Sheet1!$B$23:$AG$79,20,0)</f>
        <v>6</v>
      </c>
      <c r="T24" s="624">
        <f t="shared" si="25"/>
        <v>6</v>
      </c>
      <c r="U24" s="931">
        <f t="shared" si="26"/>
        <v>0</v>
      </c>
      <c r="V24" s="932">
        <f>VLOOKUP($C24,[1]Sheet1!$B$23:$AG$79,26,0)</f>
        <v>6</v>
      </c>
      <c r="W24" s="933">
        <f t="shared" ref="W24:W30" si="42">V24-U24</f>
        <v>6</v>
      </c>
      <c r="X24" s="934">
        <f t="shared" si="28"/>
        <v>0</v>
      </c>
      <c r="Y24" s="932">
        <f>VLOOKUP($C24,[1]Sheet1!$B$23:$AG$79,32,0)</f>
        <v>6</v>
      </c>
      <c r="Z24" s="624">
        <f t="shared" si="29"/>
        <v>6</v>
      </c>
      <c r="AA24" s="931">
        <f t="shared" si="30"/>
        <v>0</v>
      </c>
      <c r="AB24" s="932">
        <f t="shared" si="31"/>
        <v>6</v>
      </c>
      <c r="AC24" s="624">
        <f t="shared" si="32"/>
        <v>6</v>
      </c>
      <c r="AD24" s="935">
        <f t="shared" si="33"/>
        <v>0</v>
      </c>
      <c r="AE24" s="1077" t="s">
        <v>269</v>
      </c>
      <c r="AF24" s="1077"/>
      <c r="AG24" s="1070">
        <f t="shared" ref="AG24:AJ25" si="43">I24*$F24</f>
        <v>0</v>
      </c>
      <c r="AH24" s="1071">
        <f t="shared" si="43"/>
        <v>0</v>
      </c>
      <c r="AI24" s="1072">
        <f t="shared" si="43"/>
        <v>0</v>
      </c>
      <c r="AJ24" s="1073">
        <f t="shared" si="43"/>
        <v>0</v>
      </c>
      <c r="AK24" s="1071">
        <f>J24*$F24</f>
        <v>0</v>
      </c>
      <c r="AL24" s="1072">
        <f>N24*$F24</f>
        <v>0</v>
      </c>
      <c r="AM24" s="1073">
        <f>O24*$F24</f>
        <v>0</v>
      </c>
      <c r="AN24" s="1071">
        <f>M24*$F24</f>
        <v>0</v>
      </c>
      <c r="AO24" s="1072">
        <f>Q24*$F24</f>
        <v>0</v>
      </c>
      <c r="AP24" s="1073">
        <f>R24*$F24</f>
        <v>0</v>
      </c>
      <c r="AQ24" s="1071">
        <f>P24*$F24</f>
        <v>0</v>
      </c>
      <c r="AR24" s="1072">
        <f>T24*$F24</f>
        <v>0</v>
      </c>
      <c r="AS24" s="1073">
        <f>U24*$F24</f>
        <v>0</v>
      </c>
      <c r="AT24" s="1071">
        <f>S24*$F24</f>
        <v>0</v>
      </c>
      <c r="AU24" s="1072">
        <f>W24*$F24</f>
        <v>0</v>
      </c>
      <c r="AV24" s="1073">
        <f>X24*$F24</f>
        <v>0</v>
      </c>
      <c r="AW24" s="1071">
        <f>V24*$F24</f>
        <v>0</v>
      </c>
      <c r="AX24" s="1072">
        <f>Z24*$F24</f>
        <v>0</v>
      </c>
      <c r="AY24" s="1073">
        <f>AA24*$F24</f>
        <v>0</v>
      </c>
      <c r="AZ24" s="1074">
        <f>Y24*$F24</f>
        <v>0</v>
      </c>
      <c r="BA24" s="1075">
        <f>AC24*$F24</f>
        <v>0</v>
      </c>
      <c r="BB24" s="171" t="s">
        <v>41</v>
      </c>
      <c r="BC24" s="1076">
        <f>ROUNDUP(N24/$BC$13,0)</f>
        <v>0</v>
      </c>
      <c r="BD24" s="1076">
        <f>ROUNDUP(Q24/$BD$13,0)</f>
        <v>2</v>
      </c>
      <c r="BE24" s="1076">
        <f>ROUNDUP(T24/$BE$13,0)</f>
        <v>2</v>
      </c>
      <c r="BF24" s="1076">
        <f>ROUNDUP(W24/$BF$13,0)</f>
        <v>2</v>
      </c>
      <c r="BG24" s="1076">
        <f>ROUNDUP(Z24/$BG$13,0)</f>
        <v>2</v>
      </c>
      <c r="BH24" s="1076">
        <f>ROUNDUP(AC24/$BH$13,0)</f>
        <v>2</v>
      </c>
      <c r="BI24" s="1077" t="e">
        <f>#REF!+1</f>
        <v>#REF!</v>
      </c>
      <c r="BK24" s="1078" t="s">
        <v>122</v>
      </c>
      <c r="BM24" s="1078" t="s">
        <v>155</v>
      </c>
    </row>
    <row r="25" spans="1:65" s="1078" customFormat="1" ht="19.5" customHeight="1" thickBot="1">
      <c r="A25" s="1421"/>
      <c r="B25" s="1394"/>
      <c r="C25" s="1202" t="s">
        <v>206</v>
      </c>
      <c r="D25" s="1205" t="s">
        <v>226</v>
      </c>
      <c r="E25" s="937" t="s">
        <v>237</v>
      </c>
      <c r="F25" s="937"/>
      <c r="G25" s="937">
        <v>6</v>
      </c>
      <c r="H25" s="909">
        <f>VLOOKUP($C25,'[2]UMH Detail'!$E$4:$V$500,18,0)</f>
        <v>2.9117999999999999</v>
      </c>
      <c r="I25" s="917">
        <v>282</v>
      </c>
      <c r="J25" s="1144">
        <v>912</v>
      </c>
      <c r="K25" s="918">
        <f>852-30</f>
        <v>822</v>
      </c>
      <c r="L25" s="919">
        <f t="shared" si="20"/>
        <v>192</v>
      </c>
      <c r="M25" s="1144">
        <f>VLOOKUP($C25,[1]Sheet1!$B$23:$AG$79,8,0)</f>
        <v>660</v>
      </c>
      <c r="N25" s="920">
        <f>M25-L25+132+24-6+24</f>
        <v>642</v>
      </c>
      <c r="O25" s="917">
        <f t="shared" si="22"/>
        <v>174</v>
      </c>
      <c r="P25" s="1144">
        <f>VLOOKUP($C25,[1]Sheet1!$B$23:$AG$79,14,0)</f>
        <v>588</v>
      </c>
      <c r="Q25" s="918">
        <f>P25-O25+174+120+24</f>
        <v>732</v>
      </c>
      <c r="R25" s="919">
        <f t="shared" si="24"/>
        <v>318</v>
      </c>
      <c r="S25" s="1144">
        <f>VLOOKUP($C25,[1]Sheet1!$B$23:$AG$79,20,0)</f>
        <v>684</v>
      </c>
      <c r="T25" s="920">
        <f>S25-R25+150+36+48</f>
        <v>600</v>
      </c>
      <c r="U25" s="917">
        <f t="shared" si="26"/>
        <v>234</v>
      </c>
      <c r="V25" s="1144">
        <f>VLOOKUP($C25,[1]Sheet1!$B$23:$AG$79,26,0)</f>
        <v>744</v>
      </c>
      <c r="W25" s="918">
        <f>V25-U25+48+102</f>
        <v>660</v>
      </c>
      <c r="X25" s="919">
        <f t="shared" si="28"/>
        <v>150</v>
      </c>
      <c r="Y25" s="1144">
        <f>VLOOKUP($C25,[1]Sheet1!$B$23:$AG$79,32,0)</f>
        <v>582</v>
      </c>
      <c r="Z25" s="920">
        <f>Y25-X25+150+84+36-72</f>
        <v>630</v>
      </c>
      <c r="AA25" s="917">
        <f t="shared" si="30"/>
        <v>198</v>
      </c>
      <c r="AB25" s="1144">
        <f t="shared" si="31"/>
        <v>582</v>
      </c>
      <c r="AC25" s="920">
        <f t="shared" si="32"/>
        <v>384</v>
      </c>
      <c r="AD25" s="921">
        <f t="shared" si="33"/>
        <v>0</v>
      </c>
      <c r="AE25" s="1077" t="s">
        <v>270</v>
      </c>
      <c r="AF25" s="1077"/>
      <c r="AG25" s="1070">
        <f t="shared" si="43"/>
        <v>0</v>
      </c>
      <c r="AH25" s="1071">
        <f t="shared" si="43"/>
        <v>0</v>
      </c>
      <c r="AI25" s="1072">
        <f t="shared" si="43"/>
        <v>0</v>
      </c>
      <c r="AJ25" s="1073">
        <f t="shared" si="43"/>
        <v>0</v>
      </c>
      <c r="AK25" s="1071">
        <f>J25*$F25</f>
        <v>0</v>
      </c>
      <c r="AL25" s="1072">
        <f>N25*$F25</f>
        <v>0</v>
      </c>
      <c r="AM25" s="1073">
        <f>O25*$F25</f>
        <v>0</v>
      </c>
      <c r="AN25" s="1071">
        <f>M25*$F25</f>
        <v>0</v>
      </c>
      <c r="AO25" s="1072">
        <f>Q25*$F25</f>
        <v>0</v>
      </c>
      <c r="AP25" s="1073">
        <f>R25*$F25</f>
        <v>0</v>
      </c>
      <c r="AQ25" s="1071">
        <f>P25*$F25</f>
        <v>0</v>
      </c>
      <c r="AR25" s="1072">
        <f>T25*$F25</f>
        <v>0</v>
      </c>
      <c r="AS25" s="1073">
        <f>U25*$F25</f>
        <v>0</v>
      </c>
      <c r="AT25" s="1071">
        <f>S25*$F25</f>
        <v>0</v>
      </c>
      <c r="AU25" s="1072">
        <f>W25*$F25</f>
        <v>0</v>
      </c>
      <c r="AV25" s="1073">
        <f>X25*$F25</f>
        <v>0</v>
      </c>
      <c r="AW25" s="1071">
        <f>V25*$F25</f>
        <v>0</v>
      </c>
      <c r="AX25" s="1072">
        <f>Z25*$F25</f>
        <v>0</v>
      </c>
      <c r="AY25" s="1073">
        <f>AA25*$F25</f>
        <v>0</v>
      </c>
      <c r="AZ25" s="1074">
        <f>Y25*$F25</f>
        <v>0</v>
      </c>
      <c r="BA25" s="1075">
        <f>AC25*$F25</f>
        <v>0</v>
      </c>
      <c r="BB25" s="171" t="s">
        <v>41</v>
      </c>
      <c r="BC25" s="1076">
        <f>ROUNDUP(N25/$BC$13,0)</f>
        <v>161</v>
      </c>
      <c r="BD25" s="1076">
        <f>ROUNDUP(Q25/$BD$13,0)</f>
        <v>147</v>
      </c>
      <c r="BE25" s="1076">
        <f>ROUNDUP(T25/$BE$13,0)</f>
        <v>150</v>
      </c>
      <c r="BF25" s="1076">
        <f>ROUNDUP(W25/$BF$13,0)</f>
        <v>132</v>
      </c>
      <c r="BG25" s="1076">
        <f>ROUNDUP(Z25/$BG$13,0)</f>
        <v>158</v>
      </c>
      <c r="BH25" s="1076">
        <f>ROUNDUP(AC25/$BH$13,0)</f>
        <v>96</v>
      </c>
      <c r="BI25" s="1077" t="e">
        <f>#REF!+1</f>
        <v>#REF!</v>
      </c>
      <c r="BK25" s="1078" t="s">
        <v>122</v>
      </c>
      <c r="BM25" s="1078" t="s">
        <v>155</v>
      </c>
    </row>
    <row r="26" spans="1:65" s="1092" customFormat="1" ht="19.5" customHeight="1" thickBot="1">
      <c r="A26" s="1421"/>
      <c r="B26" s="1393" t="s">
        <v>168</v>
      </c>
      <c r="C26" s="1236" t="s">
        <v>202</v>
      </c>
      <c r="D26" s="1206" t="s">
        <v>226</v>
      </c>
      <c r="E26" s="930" t="s">
        <v>238</v>
      </c>
      <c r="F26" s="930"/>
      <c r="G26" s="930">
        <v>6</v>
      </c>
      <c r="H26" s="1389">
        <v>2.937581666666667</v>
      </c>
      <c r="I26" s="931">
        <v>0</v>
      </c>
      <c r="J26" s="932">
        <v>0</v>
      </c>
      <c r="K26" s="933">
        <v>0</v>
      </c>
      <c r="L26" s="934">
        <f t="shared" si="20"/>
        <v>0</v>
      </c>
      <c r="M26" s="932">
        <f>VLOOKUP($C26,[1]Sheet1!$B$23:$AG$79,8,0)</f>
        <v>0</v>
      </c>
      <c r="N26" s="624">
        <f>M26-L26</f>
        <v>0</v>
      </c>
      <c r="O26" s="931">
        <f t="shared" si="22"/>
        <v>0</v>
      </c>
      <c r="P26" s="932">
        <f>VLOOKUP($C26,[1]Sheet1!$B$23:$AG$79,14,0)</f>
        <v>0</v>
      </c>
      <c r="Q26" s="933">
        <f>P26-O26</f>
        <v>0</v>
      </c>
      <c r="R26" s="934">
        <f t="shared" si="24"/>
        <v>0</v>
      </c>
      <c r="S26" s="932">
        <f>VLOOKUP($C26,[1]Sheet1!$B$23:$AG$79,20,0)</f>
        <v>0</v>
      </c>
      <c r="T26" s="624">
        <f>S26-R26</f>
        <v>0</v>
      </c>
      <c r="U26" s="931">
        <f t="shared" si="26"/>
        <v>0</v>
      </c>
      <c r="V26" s="932">
        <f>VLOOKUP($C26,[1]Sheet1!$B$23:$AG$79,26,0)</f>
        <v>0</v>
      </c>
      <c r="W26" s="933">
        <f>V26-U26</f>
        <v>0</v>
      </c>
      <c r="X26" s="934">
        <f t="shared" si="28"/>
        <v>0</v>
      </c>
      <c r="Y26" s="932">
        <f>VLOOKUP($C26,[1]Sheet1!$B$23:$AG$79,32,0)</f>
        <v>0</v>
      </c>
      <c r="Z26" s="624">
        <f>Y26-X26</f>
        <v>0</v>
      </c>
      <c r="AA26" s="931">
        <f t="shared" si="30"/>
        <v>0</v>
      </c>
      <c r="AB26" s="932">
        <f t="shared" si="31"/>
        <v>0</v>
      </c>
      <c r="AC26" s="624">
        <f>AB26-AA26</f>
        <v>0</v>
      </c>
      <c r="AD26" s="935">
        <f t="shared" si="33"/>
        <v>0</v>
      </c>
      <c r="AE26" s="1062" t="s">
        <v>271</v>
      </c>
      <c r="AF26" s="1062"/>
      <c r="AG26" s="1149"/>
      <c r="AH26" s="1150"/>
      <c r="AI26" s="1151"/>
      <c r="AJ26" s="1152"/>
      <c r="AK26" s="1150"/>
      <c r="AL26" s="1151"/>
      <c r="AM26" s="1152"/>
      <c r="AN26" s="1150"/>
      <c r="AO26" s="1151"/>
      <c r="AP26" s="1152"/>
      <c r="AQ26" s="1150"/>
      <c r="AR26" s="1151"/>
      <c r="AS26" s="1152"/>
      <c r="AT26" s="1150"/>
      <c r="AU26" s="1151"/>
      <c r="AV26" s="1152"/>
      <c r="AW26" s="1150"/>
      <c r="AX26" s="1151"/>
      <c r="AY26" s="1152"/>
      <c r="AZ26" s="1153"/>
      <c r="BA26" s="1154"/>
      <c r="BB26" s="1155"/>
      <c r="BC26" s="1156"/>
      <c r="BD26" s="1156"/>
      <c r="BE26" s="1156"/>
      <c r="BF26" s="1156"/>
      <c r="BG26" s="1156"/>
      <c r="BH26" s="1156"/>
      <c r="BI26" s="1062"/>
    </row>
    <row r="27" spans="1:65" s="1165" customFormat="1" ht="19.5" customHeight="1" thickBot="1">
      <c r="A27" s="1421"/>
      <c r="B27" s="1393"/>
      <c r="C27" s="1201" t="s">
        <v>203</v>
      </c>
      <c r="D27" s="1204" t="s">
        <v>226</v>
      </c>
      <c r="E27" s="930" t="s">
        <v>239</v>
      </c>
      <c r="F27" s="930"/>
      <c r="G27" s="930">
        <v>6</v>
      </c>
      <c r="H27" s="908">
        <f>VLOOKUP($C27,'[2]UMH Detail'!$E$4:$V$500,18,0)</f>
        <v>2.7055150000000001</v>
      </c>
      <c r="I27" s="931">
        <v>72</v>
      </c>
      <c r="J27" s="932">
        <v>270</v>
      </c>
      <c r="K27" s="933">
        <f>276</f>
        <v>276</v>
      </c>
      <c r="L27" s="934">
        <f t="shared" si="20"/>
        <v>78</v>
      </c>
      <c r="M27" s="932">
        <f>VLOOKUP($C27,[1]Sheet1!$B$23:$AG$79,8,0)</f>
        <v>384</v>
      </c>
      <c r="N27" s="624">
        <f>M27-L27+60+24+6</f>
        <v>396</v>
      </c>
      <c r="O27" s="931">
        <f t="shared" si="22"/>
        <v>90</v>
      </c>
      <c r="P27" s="932">
        <f>VLOOKUP($C27,[1]Sheet1!$B$23:$AG$79,14,0)</f>
        <v>360</v>
      </c>
      <c r="Q27" s="933">
        <f>P27-O27+114+18</f>
        <v>402</v>
      </c>
      <c r="R27" s="934">
        <f t="shared" si="24"/>
        <v>132</v>
      </c>
      <c r="S27" s="932">
        <f>VLOOKUP($C27,[1]Sheet1!$B$23:$AG$79,20,0)</f>
        <v>450</v>
      </c>
      <c r="T27" s="624">
        <f>S27-R27+102+6</f>
        <v>426</v>
      </c>
      <c r="U27" s="931">
        <f t="shared" si="26"/>
        <v>108</v>
      </c>
      <c r="V27" s="932">
        <f>VLOOKUP($C27,[1]Sheet1!$B$23:$AG$79,26,0)</f>
        <v>498</v>
      </c>
      <c r="W27" s="933">
        <f>V27-U27</f>
        <v>390</v>
      </c>
      <c r="X27" s="934">
        <f t="shared" si="28"/>
        <v>0</v>
      </c>
      <c r="Y27" s="932">
        <f>VLOOKUP($C27,[1]Sheet1!$B$23:$AG$79,32,0)</f>
        <v>390</v>
      </c>
      <c r="Z27" s="624">
        <f>Y27-X27+48</f>
        <v>438</v>
      </c>
      <c r="AA27" s="931">
        <f t="shared" si="30"/>
        <v>48</v>
      </c>
      <c r="AB27" s="932">
        <f t="shared" si="31"/>
        <v>390</v>
      </c>
      <c r="AC27" s="624">
        <f>AB27-AA27</f>
        <v>342</v>
      </c>
      <c r="AD27" s="935">
        <f t="shared" si="33"/>
        <v>0</v>
      </c>
      <c r="AE27" s="113" t="s">
        <v>272</v>
      </c>
      <c r="AF27" s="719"/>
      <c r="AG27" s="1157"/>
      <c r="AH27" s="1158"/>
      <c r="AI27" s="1159"/>
      <c r="AJ27" s="1160"/>
      <c r="AK27" s="1158"/>
      <c r="AL27" s="1159"/>
      <c r="AM27" s="1160"/>
      <c r="AN27" s="1158"/>
      <c r="AO27" s="1159"/>
      <c r="AP27" s="1160"/>
      <c r="AQ27" s="1158"/>
      <c r="AR27" s="1159"/>
      <c r="AS27" s="1160"/>
      <c r="AT27" s="1158"/>
      <c r="AU27" s="1159"/>
      <c r="AV27" s="1160"/>
      <c r="AW27" s="1158"/>
      <c r="AX27" s="1159"/>
      <c r="AY27" s="1160"/>
      <c r="AZ27" s="1161"/>
      <c r="BA27" s="1162"/>
      <c r="BB27" s="1163"/>
      <c r="BC27" s="1164"/>
      <c r="BD27" s="1164"/>
      <c r="BE27" s="1164"/>
      <c r="BF27" s="1164"/>
      <c r="BG27" s="1164"/>
      <c r="BH27" s="1164"/>
      <c r="BI27" s="719"/>
    </row>
    <row r="28" spans="1:65" s="113" customFormat="1" ht="19.5" customHeight="1" thickTop="1">
      <c r="A28" s="1421"/>
      <c r="B28" s="1393"/>
      <c r="C28" s="1386" t="s">
        <v>289</v>
      </c>
      <c r="D28" s="1204" t="s">
        <v>70</v>
      </c>
      <c r="E28" s="930" t="s">
        <v>291</v>
      </c>
      <c r="F28" s="1245"/>
      <c r="G28" s="930">
        <v>6</v>
      </c>
      <c r="H28" s="908">
        <f>VLOOKUP($C28,'[2]UMH Detail'!$E$4:$V$500,18,0)</f>
        <v>2.8079483333333335</v>
      </c>
      <c r="I28" s="931">
        <v>0</v>
      </c>
      <c r="J28" s="932">
        <v>48</v>
      </c>
      <c r="K28" s="933">
        <v>48</v>
      </c>
      <c r="L28" s="934">
        <f t="shared" si="20"/>
        <v>0</v>
      </c>
      <c r="M28" s="932">
        <f>VLOOKUP($C28,[1]Sheet1!$B$23:$AG$79,8,0)</f>
        <v>42</v>
      </c>
      <c r="N28" s="624">
        <f>M28-L28+18</f>
        <v>60</v>
      </c>
      <c r="O28" s="931">
        <f t="shared" si="22"/>
        <v>18</v>
      </c>
      <c r="P28" s="932">
        <f>VLOOKUP($C28,[1]Sheet1!$B$23:$AG$79,14,0)</f>
        <v>30</v>
      </c>
      <c r="Q28" s="933">
        <f t="shared" si="23"/>
        <v>12</v>
      </c>
      <c r="R28" s="934">
        <f t="shared" si="24"/>
        <v>0</v>
      </c>
      <c r="S28" s="932">
        <f>VLOOKUP($C28,[1]Sheet1!$B$23:$AG$79,20,0)</f>
        <v>36</v>
      </c>
      <c r="T28" s="624">
        <f t="shared" si="25"/>
        <v>36</v>
      </c>
      <c r="U28" s="931">
        <f t="shared" si="26"/>
        <v>0</v>
      </c>
      <c r="V28" s="932">
        <f>VLOOKUP($C28,[1]Sheet1!$B$23:$AG$79,26,0)</f>
        <v>36</v>
      </c>
      <c r="W28" s="933">
        <f t="shared" si="42"/>
        <v>36</v>
      </c>
      <c r="X28" s="934">
        <f t="shared" si="28"/>
        <v>0</v>
      </c>
      <c r="Y28" s="932">
        <f>VLOOKUP($C28,[1]Sheet1!$B$23:$AG$79,32,0)</f>
        <v>30</v>
      </c>
      <c r="Z28" s="624">
        <f t="shared" si="29"/>
        <v>30</v>
      </c>
      <c r="AA28" s="931">
        <f t="shared" si="30"/>
        <v>0</v>
      </c>
      <c r="AB28" s="932">
        <f t="shared" si="31"/>
        <v>30</v>
      </c>
      <c r="AC28" s="624">
        <f t="shared" si="32"/>
        <v>30</v>
      </c>
      <c r="AD28" s="935">
        <f t="shared" si="33"/>
        <v>0</v>
      </c>
      <c r="AE28" s="113" t="s">
        <v>273</v>
      </c>
      <c r="AG28" s="131">
        <f t="shared" ref="AG28:AG36" si="44">I28*$F28</f>
        <v>0</v>
      </c>
      <c r="AH28" s="132">
        <f t="shared" ref="AH28:AH36" si="45">J28*$F28</f>
        <v>0</v>
      </c>
      <c r="AI28" s="133">
        <f t="shared" ref="AI28:AI36" si="46">K28*$F28</f>
        <v>0</v>
      </c>
      <c r="AJ28" s="134">
        <f t="shared" ref="AJ28:AJ36" si="47">L28*$F28</f>
        <v>0</v>
      </c>
      <c r="AK28" s="132">
        <f t="shared" ref="AK28:AK36" si="48">J28*$F28</f>
        <v>0</v>
      </c>
      <c r="AL28" s="133">
        <f t="shared" ref="AL28:AL36" si="49">N28*$F28</f>
        <v>0</v>
      </c>
      <c r="AM28" s="134">
        <f t="shared" ref="AM28:AM36" si="50">O28*$F28</f>
        <v>0</v>
      </c>
      <c r="AN28" s="132">
        <f t="shared" ref="AN28:AN36" si="51">M28*$F28</f>
        <v>0</v>
      </c>
      <c r="AO28" s="133">
        <f t="shared" ref="AO28:AO36" si="52">Q28*$F28</f>
        <v>0</v>
      </c>
      <c r="AP28" s="134">
        <f t="shared" ref="AP28:AP36" si="53">R28*$F28</f>
        <v>0</v>
      </c>
      <c r="AQ28" s="132">
        <f t="shared" ref="AQ28:AQ36" si="54">P28*$F28</f>
        <v>0</v>
      </c>
      <c r="AR28" s="133">
        <f t="shared" ref="AR28:AR36" si="55">T28*$F28</f>
        <v>0</v>
      </c>
      <c r="AS28" s="134">
        <f t="shared" ref="AS28:AS36" si="56">U28*$F28</f>
        <v>0</v>
      </c>
      <c r="AT28" s="132">
        <f t="shared" ref="AT28:AT36" si="57">S28*$F28</f>
        <v>0</v>
      </c>
      <c r="AU28" s="133">
        <f t="shared" ref="AU28:AU36" si="58">W28*$F28</f>
        <v>0</v>
      </c>
      <c r="AV28" s="134">
        <f t="shared" ref="AV28:AV36" si="59">X28*$F28</f>
        <v>0</v>
      </c>
      <c r="AW28" s="132">
        <f t="shared" ref="AW28:AW36" si="60">V28*$F28</f>
        <v>0</v>
      </c>
      <c r="AX28" s="133">
        <f t="shared" ref="AX28:AX36" si="61">Z28*$F28</f>
        <v>0</v>
      </c>
      <c r="AY28" s="134">
        <f t="shared" ref="AY28:AY36" si="62">AA28*$F28</f>
        <v>0</v>
      </c>
      <c r="AZ28" s="135">
        <f t="shared" ref="AZ28:AZ36" si="63">Y28*$F28</f>
        <v>0</v>
      </c>
      <c r="BA28" s="136">
        <f t="shared" ref="BA28:BA36" si="64">AC28*$F28</f>
        <v>0</v>
      </c>
      <c r="BB28" s="242" t="s">
        <v>49</v>
      </c>
      <c r="BC28" s="250">
        <f t="shared" ref="BC28:BC35" si="65">ROUNDUP(N28/$BC$13,0)</f>
        <v>15</v>
      </c>
      <c r="BD28" s="250">
        <f t="shared" ref="BD28:BD35" si="66">ROUNDUP(Q28/$BD$13,0)</f>
        <v>3</v>
      </c>
      <c r="BE28" s="250">
        <f t="shared" ref="BE28:BE35" si="67">ROUNDUP(T28/$BE$13,0)</f>
        <v>9</v>
      </c>
      <c r="BF28" s="250">
        <f t="shared" ref="BF28:BF35" si="68">ROUNDUP(W28/$BF$13,0)</f>
        <v>8</v>
      </c>
      <c r="BG28" s="250">
        <f t="shared" ref="BG28:BG35" si="69">ROUNDUP(Z28/$BG$13,0)</f>
        <v>8</v>
      </c>
      <c r="BH28" s="250">
        <f t="shared" ref="BH28:BH35" si="70">ROUNDUP(AC28/$BH$13,0)</f>
        <v>8</v>
      </c>
      <c r="BI28" s="113" t="e">
        <f>#REF!+1</f>
        <v>#REF!</v>
      </c>
      <c r="BK28" s="113" t="s">
        <v>142</v>
      </c>
      <c r="BM28" s="113" t="s">
        <v>146</v>
      </c>
    </row>
    <row r="29" spans="1:65" s="551" customFormat="1" ht="19.5" customHeight="1" thickBot="1">
      <c r="A29" s="1421"/>
      <c r="B29" s="1393"/>
      <c r="C29" s="1386" t="s">
        <v>290</v>
      </c>
      <c r="D29" s="1204" t="s">
        <v>70</v>
      </c>
      <c r="E29" s="930" t="s">
        <v>292</v>
      </c>
      <c r="F29" s="930"/>
      <c r="G29" s="930">
        <v>6</v>
      </c>
      <c r="H29" s="908">
        <f>VLOOKUP($C29,'[2]UMH Detail'!$E$4:$V$500,18,0)</f>
        <v>2.9327050000000003</v>
      </c>
      <c r="I29" s="471">
        <v>0</v>
      </c>
      <c r="J29" s="474">
        <v>372</v>
      </c>
      <c r="K29" s="470">
        <v>372</v>
      </c>
      <c r="L29" s="471">
        <f t="shared" si="20"/>
        <v>0</v>
      </c>
      <c r="M29" s="474">
        <f>VLOOKUP($C29,[1]Sheet1!$B$23:$AG$79,8,0)</f>
        <v>12</v>
      </c>
      <c r="N29" s="624">
        <f>M29-L29+24+24</f>
        <v>60</v>
      </c>
      <c r="O29" s="473">
        <f t="shared" si="22"/>
        <v>48</v>
      </c>
      <c r="P29" s="474">
        <f>VLOOKUP($C29,[1]Sheet1!$B$23:$AG$79,14,0)</f>
        <v>180</v>
      </c>
      <c r="Q29" s="933">
        <f>P29-O29+48+48</f>
        <v>228</v>
      </c>
      <c r="R29" s="471">
        <f t="shared" si="24"/>
        <v>96</v>
      </c>
      <c r="S29" s="474">
        <f>VLOOKUP($C29,[1]Sheet1!$B$23:$AG$79,20,0)</f>
        <v>228</v>
      </c>
      <c r="T29" s="624">
        <f>S29-R29+48</f>
        <v>180</v>
      </c>
      <c r="U29" s="473">
        <f t="shared" si="26"/>
        <v>48</v>
      </c>
      <c r="V29" s="474">
        <f>VLOOKUP($C29,[1]Sheet1!$B$23:$AG$79,26,0)</f>
        <v>210</v>
      </c>
      <c r="W29" s="933">
        <f>V29-U29</f>
        <v>162</v>
      </c>
      <c r="X29" s="471">
        <f t="shared" si="28"/>
        <v>0</v>
      </c>
      <c r="Y29" s="474">
        <f>VLOOKUP($C29,[1]Sheet1!$B$23:$AG$79,32,0)</f>
        <v>186</v>
      </c>
      <c r="Z29" s="624">
        <f>Y29-X29</f>
        <v>186</v>
      </c>
      <c r="AA29" s="473">
        <f t="shared" si="30"/>
        <v>0</v>
      </c>
      <c r="AB29" s="474">
        <f t="shared" si="31"/>
        <v>186</v>
      </c>
      <c r="AC29" s="624">
        <f t="shared" si="32"/>
        <v>186</v>
      </c>
      <c r="AD29" s="475">
        <f t="shared" si="33"/>
        <v>0</v>
      </c>
      <c r="AE29" s="113" t="s">
        <v>275</v>
      </c>
      <c r="AF29" s="113"/>
      <c r="AG29" s="544">
        <f t="shared" si="44"/>
        <v>0</v>
      </c>
      <c r="AH29" s="545">
        <f t="shared" si="45"/>
        <v>0</v>
      </c>
      <c r="AI29" s="546">
        <f t="shared" si="46"/>
        <v>0</v>
      </c>
      <c r="AJ29" s="547">
        <f t="shared" si="47"/>
        <v>0</v>
      </c>
      <c r="AK29" s="545">
        <f t="shared" si="48"/>
        <v>0</v>
      </c>
      <c r="AL29" s="546">
        <f t="shared" si="49"/>
        <v>0</v>
      </c>
      <c r="AM29" s="547">
        <f t="shared" si="50"/>
        <v>0</v>
      </c>
      <c r="AN29" s="545">
        <f t="shared" si="51"/>
        <v>0</v>
      </c>
      <c r="AO29" s="546">
        <f t="shared" si="52"/>
        <v>0</v>
      </c>
      <c r="AP29" s="547">
        <f t="shared" si="53"/>
        <v>0</v>
      </c>
      <c r="AQ29" s="545">
        <f t="shared" si="54"/>
        <v>0</v>
      </c>
      <c r="AR29" s="546">
        <f t="shared" si="55"/>
        <v>0</v>
      </c>
      <c r="AS29" s="547">
        <f t="shared" si="56"/>
        <v>0</v>
      </c>
      <c r="AT29" s="545">
        <f t="shared" si="57"/>
        <v>0</v>
      </c>
      <c r="AU29" s="546">
        <f t="shared" si="58"/>
        <v>0</v>
      </c>
      <c r="AV29" s="547">
        <f t="shared" si="59"/>
        <v>0</v>
      </c>
      <c r="AW29" s="545">
        <f t="shared" si="60"/>
        <v>0</v>
      </c>
      <c r="AX29" s="546">
        <f t="shared" si="61"/>
        <v>0</v>
      </c>
      <c r="AY29" s="547">
        <f t="shared" si="62"/>
        <v>0</v>
      </c>
      <c r="AZ29" s="548">
        <f t="shared" si="63"/>
        <v>0</v>
      </c>
      <c r="BA29" s="549">
        <f t="shared" si="64"/>
        <v>0</v>
      </c>
      <c r="BB29" s="233" t="s">
        <v>41</v>
      </c>
      <c r="BC29" s="550">
        <f t="shared" si="65"/>
        <v>15</v>
      </c>
      <c r="BD29" s="550">
        <f t="shared" si="66"/>
        <v>46</v>
      </c>
      <c r="BE29" s="550">
        <f t="shared" si="67"/>
        <v>45</v>
      </c>
      <c r="BF29" s="550">
        <f t="shared" si="68"/>
        <v>33</v>
      </c>
      <c r="BG29" s="550">
        <f t="shared" si="69"/>
        <v>47</v>
      </c>
      <c r="BH29" s="550">
        <f t="shared" si="70"/>
        <v>47</v>
      </c>
      <c r="BI29" s="543" t="e">
        <f>#REF!+1</f>
        <v>#REF!</v>
      </c>
      <c r="BK29" s="551" t="s">
        <v>137</v>
      </c>
      <c r="BM29" s="551" t="s">
        <v>147</v>
      </c>
    </row>
    <row r="30" spans="1:65" s="1178" customFormat="1" ht="19.5" customHeight="1" thickBot="1">
      <c r="A30" s="1422"/>
      <c r="B30" s="1394"/>
      <c r="C30" s="1202" t="s">
        <v>205</v>
      </c>
      <c r="D30" s="1359" t="s">
        <v>226</v>
      </c>
      <c r="E30" s="937" t="s">
        <v>240</v>
      </c>
      <c r="F30" s="937"/>
      <c r="G30" s="937">
        <v>6</v>
      </c>
      <c r="H30" s="909">
        <f>VLOOKUP($C30,'[2]UMH Detail'!$E$4:$V$500,18,0)</f>
        <v>2.7070533333333331</v>
      </c>
      <c r="I30" s="917">
        <v>0</v>
      </c>
      <c r="J30" s="1144">
        <v>84</v>
      </c>
      <c r="K30" s="918">
        <v>84</v>
      </c>
      <c r="L30" s="919">
        <f t="shared" si="20"/>
        <v>0</v>
      </c>
      <c r="M30" s="1144">
        <f>VLOOKUP($C30,[1]Sheet1!$B$23:$AG$79,8,0)</f>
        <v>12</v>
      </c>
      <c r="N30" s="920">
        <f t="shared" si="21"/>
        <v>12</v>
      </c>
      <c r="O30" s="917">
        <f t="shared" si="22"/>
        <v>0</v>
      </c>
      <c r="P30" s="1144">
        <f>VLOOKUP($C30,[1]Sheet1!$B$23:$AG$79,14,0)</f>
        <v>30</v>
      </c>
      <c r="Q30" s="918">
        <f t="shared" si="23"/>
        <v>30</v>
      </c>
      <c r="R30" s="919">
        <f t="shared" si="24"/>
        <v>0</v>
      </c>
      <c r="S30" s="1144">
        <f>VLOOKUP($C30,[1]Sheet1!$B$23:$AG$79,20,0)</f>
        <v>30</v>
      </c>
      <c r="T30" s="920">
        <f>S30-R30</f>
        <v>30</v>
      </c>
      <c r="U30" s="917">
        <f t="shared" si="26"/>
        <v>0</v>
      </c>
      <c r="V30" s="1144">
        <f>VLOOKUP($C30,[1]Sheet1!$B$23:$AG$79,26,0)</f>
        <v>30</v>
      </c>
      <c r="W30" s="918">
        <f t="shared" si="42"/>
        <v>30</v>
      </c>
      <c r="X30" s="919">
        <f t="shared" si="28"/>
        <v>0</v>
      </c>
      <c r="Y30" s="1144">
        <f>VLOOKUP($C30,[1]Sheet1!$B$23:$AG$79,32,0)</f>
        <v>24</v>
      </c>
      <c r="Z30" s="920">
        <f t="shared" si="29"/>
        <v>24</v>
      </c>
      <c r="AA30" s="917">
        <f t="shared" si="30"/>
        <v>0</v>
      </c>
      <c r="AB30" s="1144">
        <f t="shared" si="31"/>
        <v>24</v>
      </c>
      <c r="AC30" s="920">
        <f t="shared" si="32"/>
        <v>24</v>
      </c>
      <c r="AD30" s="921">
        <f t="shared" si="33"/>
        <v>0</v>
      </c>
      <c r="AE30" s="1175" t="s">
        <v>274</v>
      </c>
      <c r="AF30" s="1175"/>
      <c r="AG30" s="1086"/>
      <c r="AH30" s="1087"/>
      <c r="AI30" s="1088"/>
      <c r="AJ30" s="1089"/>
      <c r="AK30" s="1087"/>
      <c r="AL30" s="1088"/>
      <c r="AM30" s="1089"/>
      <c r="AN30" s="1087"/>
      <c r="AO30" s="1088"/>
      <c r="AP30" s="1089"/>
      <c r="AQ30" s="1087"/>
      <c r="AR30" s="1088"/>
      <c r="AS30" s="1089"/>
      <c r="AT30" s="1087"/>
      <c r="AU30" s="1088"/>
      <c r="AV30" s="1089"/>
      <c r="AW30" s="1087"/>
      <c r="AX30" s="1088"/>
      <c r="AY30" s="1089"/>
      <c r="AZ30" s="1090"/>
      <c r="BA30" s="1091"/>
      <c r="BB30" s="1176"/>
      <c r="BC30" s="1177"/>
      <c r="BD30" s="1177"/>
      <c r="BE30" s="1177"/>
      <c r="BF30" s="1177"/>
      <c r="BG30" s="1177"/>
      <c r="BH30" s="1177"/>
      <c r="BI30" s="1175"/>
    </row>
    <row r="31" spans="1:65" s="569" customFormat="1" ht="19.5" customHeight="1" thickBot="1">
      <c r="A31" s="1398" t="s">
        <v>255</v>
      </c>
      <c r="B31" s="1358" t="s">
        <v>256</v>
      </c>
      <c r="C31" s="1362" t="s">
        <v>252</v>
      </c>
      <c r="D31" s="1363" t="s">
        <v>70</v>
      </c>
      <c r="E31" s="1364" t="s">
        <v>257</v>
      </c>
      <c r="F31" s="1364"/>
      <c r="G31" s="1364">
        <v>6</v>
      </c>
      <c r="H31" s="1365">
        <f>VLOOKUP($C31,'[2]UMH Detail'!$E$4:$V$500,18,0)</f>
        <v>3.6625166666666664</v>
      </c>
      <c r="I31" s="1366">
        <v>0</v>
      </c>
      <c r="J31" s="1367">
        <v>42</v>
      </c>
      <c r="K31" s="1053">
        <v>42</v>
      </c>
      <c r="L31" s="1054">
        <f t="shared" ref="L31:L33" si="71">I31+K31-J31</f>
        <v>0</v>
      </c>
      <c r="M31" s="1367">
        <f>VLOOKUP($C31,[1]Sheet1!$B$23:$AG$79,8,0)</f>
        <v>54</v>
      </c>
      <c r="N31" s="1055">
        <f>M31-L31</f>
        <v>54</v>
      </c>
      <c r="O31" s="1366">
        <f t="shared" ref="O31:O33" si="72">L31+N31-M31</f>
        <v>0</v>
      </c>
      <c r="P31" s="1367">
        <f>VLOOKUP($C31,[1]Sheet1!$B$23:$AG$79,14,0)</f>
        <v>48</v>
      </c>
      <c r="Q31" s="1053">
        <f t="shared" ref="Q31:Q32" si="73">P31-O31</f>
        <v>48</v>
      </c>
      <c r="R31" s="1054">
        <f t="shared" ref="R31:R33" si="74">O31+Q31-P31</f>
        <v>0</v>
      </c>
      <c r="S31" s="1367">
        <f>VLOOKUP($C31,[1]Sheet1!$B$23:$AG$79,20,0)</f>
        <v>42</v>
      </c>
      <c r="T31" s="1055">
        <f>S31-R31</f>
        <v>42</v>
      </c>
      <c r="U31" s="1366">
        <f t="shared" ref="U31:U33" si="75">R31+T31-S31</f>
        <v>0</v>
      </c>
      <c r="V31" s="1367">
        <f>VLOOKUP($C31,[1]Sheet1!$B$23:$AG$79,26,0)</f>
        <v>42</v>
      </c>
      <c r="W31" s="1053">
        <f>V31-U31</f>
        <v>42</v>
      </c>
      <c r="X31" s="1054">
        <f t="shared" ref="X31:X33" si="76">U31+W31-V31</f>
        <v>0</v>
      </c>
      <c r="Y31" s="1367">
        <f>VLOOKUP($C31,[1]Sheet1!$B$23:$AG$79,32,0)</f>
        <v>30</v>
      </c>
      <c r="Z31" s="1055">
        <f>Y31-X31</f>
        <v>30</v>
      </c>
      <c r="AA31" s="1366">
        <f t="shared" ref="AA31:AA33" si="77">X31+Z31-Y31</f>
        <v>0</v>
      </c>
      <c r="AB31" s="1367">
        <f t="shared" ref="AB31:AB33" si="78">+Y31</f>
        <v>30</v>
      </c>
      <c r="AC31" s="1055">
        <f t="shared" ref="AC31:AC32" si="79">AB31-AA31</f>
        <v>30</v>
      </c>
      <c r="AD31" s="1368">
        <f t="shared" ref="AD31:AD33" si="80">AA31+AC31-AB31</f>
        <v>0</v>
      </c>
      <c r="AE31" s="1175" t="s">
        <v>276</v>
      </c>
      <c r="AF31" s="560"/>
      <c r="AG31" s="561"/>
      <c r="AH31" s="562"/>
      <c r="AI31" s="563"/>
      <c r="AJ31" s="564"/>
      <c r="AK31" s="562"/>
      <c r="AL31" s="563"/>
      <c r="AM31" s="564"/>
      <c r="AN31" s="562"/>
      <c r="AO31" s="563"/>
      <c r="AP31" s="564"/>
      <c r="AQ31" s="562"/>
      <c r="AR31" s="563"/>
      <c r="AS31" s="564"/>
      <c r="AT31" s="562"/>
      <c r="AU31" s="563"/>
      <c r="AV31" s="564"/>
      <c r="AW31" s="562"/>
      <c r="AX31" s="563"/>
      <c r="AY31" s="564"/>
      <c r="AZ31" s="565"/>
      <c r="BA31" s="566"/>
      <c r="BB31" s="567"/>
      <c r="BC31" s="568"/>
      <c r="BD31" s="568"/>
      <c r="BE31" s="568"/>
      <c r="BF31" s="568"/>
      <c r="BG31" s="568"/>
      <c r="BH31" s="568"/>
      <c r="BI31" s="560"/>
    </row>
    <row r="32" spans="1:65" s="1078" customFormat="1" ht="19.5" customHeight="1">
      <c r="A32" s="1399"/>
      <c r="B32" s="1522" t="s">
        <v>280</v>
      </c>
      <c r="C32" s="1390" t="s">
        <v>253</v>
      </c>
      <c r="D32" s="1361" t="s">
        <v>70</v>
      </c>
      <c r="E32" s="930" t="s">
        <v>258</v>
      </c>
      <c r="F32" s="930"/>
      <c r="G32" s="930">
        <v>6</v>
      </c>
      <c r="H32" s="941">
        <f>VLOOKUP($C32,'[2]UMH Detail'!$E$4:$V$500,18,0)</f>
        <v>2.7844983333333335</v>
      </c>
      <c r="I32" s="931">
        <v>0</v>
      </c>
      <c r="J32" s="932">
        <v>0</v>
      </c>
      <c r="K32" s="933">
        <v>0</v>
      </c>
      <c r="L32" s="934">
        <f t="shared" si="71"/>
        <v>0</v>
      </c>
      <c r="M32" s="932">
        <f>VLOOKUP($C32,[1]Sheet1!$B$23:$AG$79,8,0)</f>
        <v>0</v>
      </c>
      <c r="N32" s="624">
        <f t="shared" ref="N32" si="81">M32-L32</f>
        <v>0</v>
      </c>
      <c r="O32" s="931">
        <f t="shared" si="72"/>
        <v>0</v>
      </c>
      <c r="P32" s="932">
        <f>VLOOKUP($C32,[1]Sheet1!$B$23:$AG$79,14,0)</f>
        <v>0</v>
      </c>
      <c r="Q32" s="933">
        <f t="shared" si="73"/>
        <v>0</v>
      </c>
      <c r="R32" s="934">
        <f t="shared" si="74"/>
        <v>0</v>
      </c>
      <c r="S32" s="932">
        <f>VLOOKUP($C32,[1]Sheet1!$B$23:$AG$79,20,0)</f>
        <v>0</v>
      </c>
      <c r="T32" s="624">
        <f>S32-R32</f>
        <v>0</v>
      </c>
      <c r="U32" s="931">
        <f t="shared" si="75"/>
        <v>0</v>
      </c>
      <c r="V32" s="932">
        <f>VLOOKUP($C32,[1]Sheet1!$B$23:$AG$79,26,0)</f>
        <v>0</v>
      </c>
      <c r="W32" s="933">
        <f t="shared" ref="W32" si="82">V32-U32</f>
        <v>0</v>
      </c>
      <c r="X32" s="934">
        <f t="shared" si="76"/>
        <v>0</v>
      </c>
      <c r="Y32" s="932">
        <f>VLOOKUP($C32,[1]Sheet1!$B$23:$AG$79,32,0)</f>
        <v>0</v>
      </c>
      <c r="Z32" s="624">
        <f t="shared" ref="Z32" si="83">Y32-X32</f>
        <v>0</v>
      </c>
      <c r="AA32" s="931">
        <f t="shared" si="77"/>
        <v>0</v>
      </c>
      <c r="AB32" s="932">
        <f t="shared" si="78"/>
        <v>0</v>
      </c>
      <c r="AC32" s="624">
        <f t="shared" si="79"/>
        <v>0</v>
      </c>
      <c r="AD32" s="935">
        <f t="shared" si="80"/>
        <v>0</v>
      </c>
      <c r="AE32" s="1077" t="s">
        <v>277</v>
      </c>
      <c r="AF32" s="1077"/>
      <c r="AG32" s="1070">
        <f t="shared" si="44"/>
        <v>0</v>
      </c>
      <c r="AH32" s="1071">
        <f t="shared" si="45"/>
        <v>0</v>
      </c>
      <c r="AI32" s="1072">
        <f t="shared" si="46"/>
        <v>0</v>
      </c>
      <c r="AJ32" s="1073">
        <f t="shared" si="47"/>
        <v>0</v>
      </c>
      <c r="AK32" s="1071">
        <f t="shared" si="48"/>
        <v>0</v>
      </c>
      <c r="AL32" s="1072">
        <f t="shared" si="49"/>
        <v>0</v>
      </c>
      <c r="AM32" s="1073">
        <f t="shared" si="50"/>
        <v>0</v>
      </c>
      <c r="AN32" s="1071">
        <f t="shared" si="51"/>
        <v>0</v>
      </c>
      <c r="AO32" s="1072">
        <f t="shared" si="52"/>
        <v>0</v>
      </c>
      <c r="AP32" s="1073">
        <f t="shared" si="53"/>
        <v>0</v>
      </c>
      <c r="AQ32" s="1071">
        <f t="shared" si="54"/>
        <v>0</v>
      </c>
      <c r="AR32" s="1072">
        <f t="shared" si="55"/>
        <v>0</v>
      </c>
      <c r="AS32" s="1073">
        <f t="shared" si="56"/>
        <v>0</v>
      </c>
      <c r="AT32" s="1071">
        <f t="shared" si="57"/>
        <v>0</v>
      </c>
      <c r="AU32" s="1072">
        <f t="shared" si="58"/>
        <v>0</v>
      </c>
      <c r="AV32" s="1073">
        <f t="shared" si="59"/>
        <v>0</v>
      </c>
      <c r="AW32" s="1071">
        <f t="shared" si="60"/>
        <v>0</v>
      </c>
      <c r="AX32" s="1072">
        <f t="shared" si="61"/>
        <v>0</v>
      </c>
      <c r="AY32" s="1073">
        <f t="shared" si="62"/>
        <v>0</v>
      </c>
      <c r="AZ32" s="1074">
        <f t="shared" si="63"/>
        <v>0</v>
      </c>
      <c r="BA32" s="1075">
        <f t="shared" si="64"/>
        <v>0</v>
      </c>
      <c r="BB32" s="171" t="s">
        <v>41</v>
      </c>
      <c r="BC32" s="1076">
        <f t="shared" si="65"/>
        <v>0</v>
      </c>
      <c r="BD32" s="1076">
        <f t="shared" si="66"/>
        <v>0</v>
      </c>
      <c r="BE32" s="1076">
        <f t="shared" si="67"/>
        <v>0</v>
      </c>
      <c r="BF32" s="1076">
        <f t="shared" si="68"/>
        <v>0</v>
      </c>
      <c r="BG32" s="1076">
        <f t="shared" si="69"/>
        <v>0</v>
      </c>
      <c r="BH32" s="1076">
        <f t="shared" si="70"/>
        <v>0</v>
      </c>
      <c r="BI32" s="1077" t="e">
        <f>#REF!+1</f>
        <v>#REF!</v>
      </c>
      <c r="BK32" s="1078" t="s">
        <v>141</v>
      </c>
      <c r="BM32" s="1078" t="s">
        <v>150</v>
      </c>
    </row>
    <row r="33" spans="1:65" s="1310" customFormat="1" ht="20.100000000000001" customHeight="1" thickBot="1">
      <c r="A33" s="1399"/>
      <c r="B33" s="1522"/>
      <c r="C33" s="1391" t="s">
        <v>254</v>
      </c>
      <c r="D33" s="1360" t="s">
        <v>70</v>
      </c>
      <c r="E33" s="937" t="s">
        <v>259</v>
      </c>
      <c r="F33" s="937"/>
      <c r="G33" s="937">
        <v>6</v>
      </c>
      <c r="H33" s="1378">
        <f>VLOOKUP($C33,'[2]UMH Detail'!$E$4:$V$500,18,0)</f>
        <v>2.9111850000000006</v>
      </c>
      <c r="I33" s="917">
        <v>0</v>
      </c>
      <c r="J33" s="1195">
        <v>16</v>
      </c>
      <c r="K33" s="918">
        <v>18</v>
      </c>
      <c r="L33" s="919">
        <f t="shared" si="71"/>
        <v>2</v>
      </c>
      <c r="M33" s="1195">
        <f>VLOOKUP($C33,[1]Sheet1!$B$23:$AG$79,8,0)</f>
        <v>0</v>
      </c>
      <c r="N33" s="920">
        <f>M33-L33+2</f>
        <v>0</v>
      </c>
      <c r="O33" s="917">
        <f t="shared" si="72"/>
        <v>2</v>
      </c>
      <c r="P33" s="1195">
        <f>VLOOKUP($C33,[1]Sheet1!$B$23:$AG$79,14,0)</f>
        <v>0</v>
      </c>
      <c r="Q33" s="920">
        <f>P33-O33+2</f>
        <v>0</v>
      </c>
      <c r="R33" s="919">
        <f t="shared" si="74"/>
        <v>2</v>
      </c>
      <c r="S33" s="1195">
        <f>VLOOKUP($C33,[1]Sheet1!$B$23:$AG$79,20,0)</f>
        <v>0</v>
      </c>
      <c r="T33" s="920">
        <f>S33-R33+2</f>
        <v>0</v>
      </c>
      <c r="U33" s="917">
        <f t="shared" si="75"/>
        <v>2</v>
      </c>
      <c r="V33" s="1195">
        <f>VLOOKUP($C33,[1]Sheet1!$B$23:$AG$79,26,0)</f>
        <v>0</v>
      </c>
      <c r="W33" s="920">
        <f>V33-U33+2</f>
        <v>0</v>
      </c>
      <c r="X33" s="919">
        <f t="shared" si="76"/>
        <v>2</v>
      </c>
      <c r="Y33" s="1195">
        <f>VLOOKUP($C33,[1]Sheet1!$B$23:$AG$79,32,0)</f>
        <v>0</v>
      </c>
      <c r="Z33" s="920">
        <f>Y33-X33+2</f>
        <v>0</v>
      </c>
      <c r="AA33" s="917">
        <f t="shared" si="77"/>
        <v>2</v>
      </c>
      <c r="AB33" s="1196">
        <f t="shared" si="78"/>
        <v>0</v>
      </c>
      <c r="AC33" s="920">
        <f>AB33-AA33+2</f>
        <v>0</v>
      </c>
      <c r="AD33" s="921">
        <f t="shared" si="80"/>
        <v>2</v>
      </c>
      <c r="AE33" s="1310" t="s">
        <v>278</v>
      </c>
      <c r="AG33" s="1348">
        <f t="shared" si="44"/>
        <v>0</v>
      </c>
      <c r="AH33" s="1349">
        <f t="shared" si="45"/>
        <v>0</v>
      </c>
      <c r="AI33" s="1350">
        <f t="shared" si="46"/>
        <v>0</v>
      </c>
      <c r="AJ33" s="1351">
        <f t="shared" si="47"/>
        <v>0</v>
      </c>
      <c r="AK33" s="1349">
        <f t="shared" si="48"/>
        <v>0</v>
      </c>
      <c r="AL33" s="1350">
        <f t="shared" si="49"/>
        <v>0</v>
      </c>
      <c r="AM33" s="1351">
        <f t="shared" si="50"/>
        <v>0</v>
      </c>
      <c r="AN33" s="1349">
        <f t="shared" si="51"/>
        <v>0</v>
      </c>
      <c r="AO33" s="1350">
        <f t="shared" si="52"/>
        <v>0</v>
      </c>
      <c r="AP33" s="1351">
        <f t="shared" si="53"/>
        <v>0</v>
      </c>
      <c r="AQ33" s="1349">
        <f t="shared" si="54"/>
        <v>0</v>
      </c>
      <c r="AR33" s="1350">
        <f t="shared" si="55"/>
        <v>0</v>
      </c>
      <c r="AS33" s="1351">
        <f t="shared" si="56"/>
        <v>0</v>
      </c>
      <c r="AT33" s="1349">
        <f t="shared" si="57"/>
        <v>0</v>
      </c>
      <c r="AU33" s="1350">
        <f t="shared" si="58"/>
        <v>0</v>
      </c>
      <c r="AV33" s="1351">
        <f t="shared" si="59"/>
        <v>0</v>
      </c>
      <c r="AW33" s="1349">
        <f t="shared" si="60"/>
        <v>0</v>
      </c>
      <c r="AX33" s="1350">
        <f t="shared" si="61"/>
        <v>0</v>
      </c>
      <c r="AY33" s="1351">
        <f t="shared" si="62"/>
        <v>0</v>
      </c>
      <c r="AZ33" s="1352">
        <f t="shared" si="63"/>
        <v>0</v>
      </c>
      <c r="BA33" s="1353">
        <f t="shared" si="64"/>
        <v>0</v>
      </c>
      <c r="BB33" s="1331" t="s">
        <v>50</v>
      </c>
      <c r="BC33" s="1354">
        <f t="shared" si="65"/>
        <v>0</v>
      </c>
      <c r="BD33" s="1354">
        <f t="shared" si="66"/>
        <v>0</v>
      </c>
      <c r="BE33" s="1354">
        <f t="shared" si="67"/>
        <v>0</v>
      </c>
      <c r="BF33" s="1354">
        <f t="shared" si="68"/>
        <v>0</v>
      </c>
      <c r="BG33" s="1354">
        <f t="shared" si="69"/>
        <v>0</v>
      </c>
      <c r="BH33" s="1354">
        <f t="shared" si="70"/>
        <v>0</v>
      </c>
      <c r="BI33" s="1310" t="e">
        <f>#REF!+1</f>
        <v>#REF!</v>
      </c>
      <c r="BK33" s="1310" t="s">
        <v>144</v>
      </c>
      <c r="BM33" s="1310" t="s">
        <v>151</v>
      </c>
    </row>
    <row r="34" spans="1:65" s="1274" customFormat="1" ht="19.5" hidden="1" customHeight="1">
      <c r="A34" s="1346"/>
      <c r="B34" s="1064"/>
      <c r="C34" s="1333" t="s">
        <v>181</v>
      </c>
      <c r="D34" s="1319" t="s">
        <v>179</v>
      </c>
      <c r="E34" s="1320" t="s">
        <v>214</v>
      </c>
      <c r="F34" s="1320"/>
      <c r="G34" s="1320">
        <v>6</v>
      </c>
      <c r="H34" s="1266">
        <f>VLOOKUP($C34,[4]Sheet1!$E$334:$Z$488,18,0)</f>
        <v>2.9277416666666665</v>
      </c>
      <c r="I34" s="1272"/>
      <c r="J34" s="1270"/>
      <c r="K34" s="1269"/>
      <c r="L34" s="1267"/>
      <c r="M34" s="1270"/>
      <c r="N34" s="1271"/>
      <c r="O34" s="1272"/>
      <c r="P34" s="1270"/>
      <c r="Q34" s="1269"/>
      <c r="R34" s="1267"/>
      <c r="S34" s="1270"/>
      <c r="T34" s="1271"/>
      <c r="U34" s="1272"/>
      <c r="V34" s="1270"/>
      <c r="W34" s="1269"/>
      <c r="X34" s="1267"/>
      <c r="Y34" s="1270"/>
      <c r="Z34" s="1271"/>
      <c r="AA34" s="1272"/>
      <c r="AB34" s="1270"/>
      <c r="AC34" s="1271"/>
      <c r="AD34" s="1273"/>
      <c r="AE34" s="1330"/>
      <c r="AF34" s="1330"/>
      <c r="AG34" s="1275">
        <f t="shared" si="44"/>
        <v>0</v>
      </c>
      <c r="AH34" s="1276">
        <f t="shared" si="45"/>
        <v>0</v>
      </c>
      <c r="AI34" s="1277">
        <f t="shared" si="46"/>
        <v>0</v>
      </c>
      <c r="AJ34" s="1278">
        <f t="shared" si="47"/>
        <v>0</v>
      </c>
      <c r="AK34" s="1276">
        <f t="shared" si="48"/>
        <v>0</v>
      </c>
      <c r="AL34" s="1277">
        <f t="shared" si="49"/>
        <v>0</v>
      </c>
      <c r="AM34" s="1278">
        <f t="shared" si="50"/>
        <v>0</v>
      </c>
      <c r="AN34" s="1276">
        <f t="shared" si="51"/>
        <v>0</v>
      </c>
      <c r="AO34" s="1277">
        <f t="shared" si="52"/>
        <v>0</v>
      </c>
      <c r="AP34" s="1278">
        <f t="shared" si="53"/>
        <v>0</v>
      </c>
      <c r="AQ34" s="1276">
        <f t="shared" si="54"/>
        <v>0</v>
      </c>
      <c r="AR34" s="1277">
        <f t="shared" si="55"/>
        <v>0</v>
      </c>
      <c r="AS34" s="1278">
        <f t="shared" si="56"/>
        <v>0</v>
      </c>
      <c r="AT34" s="1276">
        <f t="shared" si="57"/>
        <v>0</v>
      </c>
      <c r="AU34" s="1277">
        <f t="shared" si="58"/>
        <v>0</v>
      </c>
      <c r="AV34" s="1278">
        <f t="shared" si="59"/>
        <v>0</v>
      </c>
      <c r="AW34" s="1276">
        <f t="shared" si="60"/>
        <v>0</v>
      </c>
      <c r="AX34" s="1277">
        <f t="shared" si="61"/>
        <v>0</v>
      </c>
      <c r="AY34" s="1278">
        <f t="shared" si="62"/>
        <v>0</v>
      </c>
      <c r="AZ34" s="1279">
        <f t="shared" si="63"/>
        <v>0</v>
      </c>
      <c r="BA34" s="1280">
        <f t="shared" si="64"/>
        <v>0</v>
      </c>
      <c r="BB34" s="1281" t="s">
        <v>41</v>
      </c>
      <c r="BC34" s="1282">
        <f t="shared" si="65"/>
        <v>0</v>
      </c>
      <c r="BD34" s="1282">
        <f t="shared" si="66"/>
        <v>0</v>
      </c>
      <c r="BE34" s="1282">
        <f t="shared" si="67"/>
        <v>0</v>
      </c>
      <c r="BF34" s="1282">
        <f t="shared" si="68"/>
        <v>0</v>
      </c>
      <c r="BG34" s="1282">
        <f t="shared" si="69"/>
        <v>0</v>
      </c>
      <c r="BH34" s="1282">
        <f t="shared" si="70"/>
        <v>0</v>
      </c>
      <c r="BI34" s="1274" t="e">
        <f>#REF!+1</f>
        <v>#REF!</v>
      </c>
      <c r="BK34" s="1274" t="s">
        <v>139</v>
      </c>
      <c r="BM34" s="1274" t="s">
        <v>152</v>
      </c>
    </row>
    <row r="35" spans="1:65" s="579" customFormat="1" ht="19.5" hidden="1" customHeight="1" thickBot="1">
      <c r="A35" s="1346"/>
      <c r="B35" s="1066"/>
      <c r="C35" s="1067" t="s">
        <v>182</v>
      </c>
      <c r="D35" s="1145" t="s">
        <v>241</v>
      </c>
      <c r="E35" s="903" t="s">
        <v>244</v>
      </c>
      <c r="F35" s="903"/>
      <c r="G35" s="903">
        <v>6</v>
      </c>
      <c r="H35" s="909"/>
      <c r="I35" s="895"/>
      <c r="J35" s="896"/>
      <c r="K35" s="897"/>
      <c r="L35" s="898"/>
      <c r="M35" s="896"/>
      <c r="N35" s="899"/>
      <c r="O35" s="895"/>
      <c r="P35" s="896"/>
      <c r="Q35" s="897"/>
      <c r="R35" s="898"/>
      <c r="S35" s="896"/>
      <c r="T35" s="899"/>
      <c r="U35" s="895"/>
      <c r="V35" s="896"/>
      <c r="W35" s="897"/>
      <c r="X35" s="898"/>
      <c r="Y35" s="896"/>
      <c r="Z35" s="899"/>
      <c r="AA35" s="895"/>
      <c r="AB35" s="896"/>
      <c r="AC35" s="899"/>
      <c r="AD35" s="900"/>
      <c r="AE35" s="1062"/>
      <c r="AF35" s="1062"/>
      <c r="AG35" s="571">
        <f t="shared" si="44"/>
        <v>0</v>
      </c>
      <c r="AH35" s="572">
        <f t="shared" si="45"/>
        <v>0</v>
      </c>
      <c r="AI35" s="573">
        <f t="shared" si="46"/>
        <v>0</v>
      </c>
      <c r="AJ35" s="574">
        <f t="shared" si="47"/>
        <v>0</v>
      </c>
      <c r="AK35" s="572">
        <f t="shared" si="48"/>
        <v>0</v>
      </c>
      <c r="AL35" s="573">
        <f t="shared" si="49"/>
        <v>0</v>
      </c>
      <c r="AM35" s="574">
        <f t="shared" si="50"/>
        <v>0</v>
      </c>
      <c r="AN35" s="572">
        <f t="shared" si="51"/>
        <v>0</v>
      </c>
      <c r="AO35" s="573">
        <f t="shared" si="52"/>
        <v>0</v>
      </c>
      <c r="AP35" s="574">
        <f t="shared" si="53"/>
        <v>0</v>
      </c>
      <c r="AQ35" s="572">
        <f t="shared" si="54"/>
        <v>0</v>
      </c>
      <c r="AR35" s="573">
        <f t="shared" si="55"/>
        <v>0</v>
      </c>
      <c r="AS35" s="574">
        <f t="shared" si="56"/>
        <v>0</v>
      </c>
      <c r="AT35" s="572">
        <f t="shared" si="57"/>
        <v>0</v>
      </c>
      <c r="AU35" s="573">
        <f t="shared" si="58"/>
        <v>0</v>
      </c>
      <c r="AV35" s="574">
        <f t="shared" si="59"/>
        <v>0</v>
      </c>
      <c r="AW35" s="572">
        <f t="shared" si="60"/>
        <v>0</v>
      </c>
      <c r="AX35" s="573">
        <f t="shared" si="61"/>
        <v>0</v>
      </c>
      <c r="AY35" s="574">
        <f t="shared" si="62"/>
        <v>0</v>
      </c>
      <c r="AZ35" s="575">
        <f t="shared" si="63"/>
        <v>0</v>
      </c>
      <c r="BA35" s="576">
        <f t="shared" si="64"/>
        <v>0</v>
      </c>
      <c r="BB35" s="577" t="s">
        <v>41</v>
      </c>
      <c r="BC35" s="578">
        <f t="shared" si="65"/>
        <v>0</v>
      </c>
      <c r="BD35" s="578">
        <f t="shared" si="66"/>
        <v>0</v>
      </c>
      <c r="BE35" s="578">
        <f t="shared" si="67"/>
        <v>0</v>
      </c>
      <c r="BF35" s="578">
        <f t="shared" si="68"/>
        <v>0</v>
      </c>
      <c r="BG35" s="578">
        <f t="shared" si="69"/>
        <v>0</v>
      </c>
      <c r="BH35" s="578">
        <f t="shared" si="70"/>
        <v>0</v>
      </c>
      <c r="BI35" s="570" t="e">
        <f>#REF!+1</f>
        <v>#REF!</v>
      </c>
      <c r="BK35" s="579" t="s">
        <v>122</v>
      </c>
      <c r="BM35" s="579" t="s">
        <v>155</v>
      </c>
    </row>
    <row r="36" spans="1:65" s="1274" customFormat="1" ht="19.5" hidden="1" customHeight="1">
      <c r="A36" s="1346"/>
      <c r="B36" s="1345"/>
      <c r="C36" s="1333" t="s">
        <v>183</v>
      </c>
      <c r="D36" s="1319" t="s">
        <v>195</v>
      </c>
      <c r="E36" s="1320" t="s">
        <v>215</v>
      </c>
      <c r="F36" s="1320"/>
      <c r="G36" s="1320">
        <v>6</v>
      </c>
      <c r="H36" s="1266">
        <f>VLOOKUP($C36,[4]Sheet1!$E$334:$Z$488,18,0)</f>
        <v>2.8513366666666671</v>
      </c>
      <c r="I36" s="1272"/>
      <c r="J36" s="1270"/>
      <c r="K36" s="1269"/>
      <c r="L36" s="1267"/>
      <c r="M36" s="1270"/>
      <c r="N36" s="1271"/>
      <c r="O36" s="1272"/>
      <c r="P36" s="1270"/>
      <c r="Q36" s="1269"/>
      <c r="R36" s="1267"/>
      <c r="S36" s="1270"/>
      <c r="T36" s="1271"/>
      <c r="U36" s="1272"/>
      <c r="V36" s="1270"/>
      <c r="W36" s="1269"/>
      <c r="X36" s="1267"/>
      <c r="Y36" s="1270"/>
      <c r="Z36" s="1271"/>
      <c r="AA36" s="1272"/>
      <c r="AB36" s="1270"/>
      <c r="AC36" s="1271"/>
      <c r="AD36" s="1273"/>
      <c r="AG36" s="1275">
        <f t="shared" si="44"/>
        <v>0</v>
      </c>
      <c r="AH36" s="1276">
        <f t="shared" si="45"/>
        <v>0</v>
      </c>
      <c r="AI36" s="1277">
        <f t="shared" si="46"/>
        <v>0</v>
      </c>
      <c r="AJ36" s="1278">
        <f t="shared" si="47"/>
        <v>0</v>
      </c>
      <c r="AK36" s="1276">
        <f t="shared" si="48"/>
        <v>0</v>
      </c>
      <c r="AL36" s="1277">
        <f t="shared" si="49"/>
        <v>0</v>
      </c>
      <c r="AM36" s="1278">
        <f t="shared" si="50"/>
        <v>0</v>
      </c>
      <c r="AN36" s="1276">
        <f t="shared" si="51"/>
        <v>0</v>
      </c>
      <c r="AO36" s="1277">
        <f t="shared" si="52"/>
        <v>0</v>
      </c>
      <c r="AP36" s="1278">
        <f t="shared" si="53"/>
        <v>0</v>
      </c>
      <c r="AQ36" s="1276">
        <f t="shared" si="54"/>
        <v>0</v>
      </c>
      <c r="AR36" s="1277">
        <f t="shared" si="55"/>
        <v>0</v>
      </c>
      <c r="AS36" s="1278">
        <f t="shared" si="56"/>
        <v>0</v>
      </c>
      <c r="AT36" s="1276">
        <f t="shared" si="57"/>
        <v>0</v>
      </c>
      <c r="AU36" s="1277">
        <f t="shared" si="58"/>
        <v>0</v>
      </c>
      <c r="AV36" s="1278">
        <f t="shared" si="59"/>
        <v>0</v>
      </c>
      <c r="AW36" s="1276">
        <f t="shared" si="60"/>
        <v>0</v>
      </c>
      <c r="AX36" s="1277">
        <f t="shared" si="61"/>
        <v>0</v>
      </c>
      <c r="AY36" s="1278">
        <f t="shared" si="62"/>
        <v>0</v>
      </c>
      <c r="AZ36" s="1279">
        <f t="shared" si="63"/>
        <v>0</v>
      </c>
      <c r="BA36" s="1280">
        <f t="shared" si="64"/>
        <v>0</v>
      </c>
      <c r="BB36" s="1281" t="s">
        <v>41</v>
      </c>
      <c r="BC36" s="1282">
        <f>ROUNDUP(N36/$BC$13,0)</f>
        <v>0</v>
      </c>
      <c r="BD36" s="1282">
        <f>ROUNDUP(Q36/$BD$13,0)</f>
        <v>0</v>
      </c>
      <c r="BE36" s="1282">
        <f>ROUNDUP(T36/$BE$13,0)</f>
        <v>0</v>
      </c>
      <c r="BF36" s="1282">
        <f>ROUNDUP(W36/$BF$13,0)</f>
        <v>0</v>
      </c>
      <c r="BG36" s="1282">
        <f>ROUNDUP(Z36/$BG$13,0)</f>
        <v>0</v>
      </c>
      <c r="BH36" s="1282">
        <f>ROUNDUP(AC36/$BH$13,0)</f>
        <v>0</v>
      </c>
      <c r="BI36" s="1274" t="e">
        <f>#REF!+1</f>
        <v>#REF!</v>
      </c>
      <c r="BK36" s="1274" t="s">
        <v>122</v>
      </c>
      <c r="BM36" s="1274" t="s">
        <v>155</v>
      </c>
    </row>
    <row r="37" spans="1:65" s="1078" customFormat="1" ht="19.5" hidden="1" customHeight="1">
      <c r="A37" s="1346"/>
      <c r="B37" s="1064"/>
      <c r="C37" s="1068" t="s">
        <v>184</v>
      </c>
      <c r="D37" s="1146" t="s">
        <v>242</v>
      </c>
      <c r="E37" s="930" t="s">
        <v>245</v>
      </c>
      <c r="F37" s="930"/>
      <c r="G37" s="930">
        <v>6</v>
      </c>
      <c r="H37" s="941"/>
      <c r="I37" s="931"/>
      <c r="J37" s="932"/>
      <c r="K37" s="933"/>
      <c r="L37" s="934"/>
      <c r="M37" s="932"/>
      <c r="N37" s="624"/>
      <c r="O37" s="931"/>
      <c r="P37" s="932"/>
      <c r="Q37" s="933"/>
      <c r="R37" s="934"/>
      <c r="S37" s="932"/>
      <c r="T37" s="624"/>
      <c r="U37" s="931"/>
      <c r="V37" s="932"/>
      <c r="W37" s="933"/>
      <c r="X37" s="934"/>
      <c r="Y37" s="932"/>
      <c r="Z37" s="624"/>
      <c r="AA37" s="931"/>
      <c r="AB37" s="932"/>
      <c r="AC37" s="624"/>
      <c r="AD37" s="935"/>
      <c r="AE37" s="113"/>
      <c r="AF37" s="113"/>
      <c r="AG37" s="1070"/>
      <c r="AH37" s="1071"/>
      <c r="AI37" s="1072"/>
      <c r="AJ37" s="1073"/>
      <c r="AK37" s="1071"/>
      <c r="AL37" s="1072"/>
      <c r="AM37" s="1073"/>
      <c r="AN37" s="1071"/>
      <c r="AO37" s="1072"/>
      <c r="AP37" s="1073"/>
      <c r="AQ37" s="1071"/>
      <c r="AR37" s="1072"/>
      <c r="AS37" s="1073"/>
      <c r="AT37" s="1071"/>
      <c r="AU37" s="1072"/>
      <c r="AV37" s="1073"/>
      <c r="AW37" s="1071"/>
      <c r="AX37" s="1072"/>
      <c r="AY37" s="1073"/>
      <c r="AZ37" s="1074"/>
      <c r="BA37" s="1075"/>
      <c r="BB37" s="171"/>
      <c r="BC37" s="1076"/>
      <c r="BD37" s="1076"/>
      <c r="BE37" s="1076"/>
      <c r="BF37" s="1076"/>
      <c r="BG37" s="1076"/>
      <c r="BH37" s="1076"/>
      <c r="BI37" s="1077"/>
    </row>
    <row r="38" spans="1:65" s="1292" customFormat="1" ht="19.5" hidden="1" customHeight="1">
      <c r="A38" s="1346"/>
      <c r="B38" s="1064"/>
      <c r="C38" s="1332" t="s">
        <v>185</v>
      </c>
      <c r="D38" s="1321" t="s">
        <v>195</v>
      </c>
      <c r="E38" s="1322" t="s">
        <v>216</v>
      </c>
      <c r="F38" s="1322"/>
      <c r="G38" s="1322">
        <v>6</v>
      </c>
      <c r="H38" s="1323">
        <f>VLOOKUP($C38,[4]Sheet1!$E$334:$Z$488,18,0)</f>
        <v>2.7348750000000006</v>
      </c>
      <c r="I38" s="1324"/>
      <c r="J38" s="1325"/>
      <c r="K38" s="1326"/>
      <c r="L38" s="1327"/>
      <c r="M38" s="1325"/>
      <c r="N38" s="1328"/>
      <c r="O38" s="1324"/>
      <c r="P38" s="1325"/>
      <c r="Q38" s="1326"/>
      <c r="R38" s="1327"/>
      <c r="S38" s="1325"/>
      <c r="T38" s="1328"/>
      <c r="U38" s="1324"/>
      <c r="V38" s="1325"/>
      <c r="W38" s="1326"/>
      <c r="X38" s="1327"/>
      <c r="Y38" s="1325"/>
      <c r="Z38" s="1328"/>
      <c r="AA38" s="1324"/>
      <c r="AB38" s="1325"/>
      <c r="AC38" s="1328"/>
      <c r="AD38" s="1329"/>
      <c r="AE38" s="1274"/>
      <c r="AF38" s="1274"/>
      <c r="AG38" s="1293"/>
      <c r="AH38" s="1294"/>
      <c r="AI38" s="1295"/>
      <c r="AJ38" s="1296"/>
      <c r="AK38" s="1294"/>
      <c r="AL38" s="1295"/>
      <c r="AM38" s="1296"/>
      <c r="AN38" s="1294"/>
      <c r="AO38" s="1295"/>
      <c r="AP38" s="1296"/>
      <c r="AQ38" s="1294"/>
      <c r="AR38" s="1295"/>
      <c r="AS38" s="1296"/>
      <c r="AT38" s="1294"/>
      <c r="AU38" s="1295"/>
      <c r="AV38" s="1296"/>
      <c r="AW38" s="1294"/>
      <c r="AX38" s="1295"/>
      <c r="AY38" s="1296"/>
      <c r="AZ38" s="1297"/>
      <c r="BA38" s="1298"/>
      <c r="BB38" s="1299"/>
      <c r="BC38" s="1300"/>
      <c r="BD38" s="1300"/>
      <c r="BE38" s="1300"/>
      <c r="BF38" s="1300"/>
      <c r="BG38" s="1300"/>
      <c r="BH38" s="1300"/>
    </row>
    <row r="39" spans="1:65" s="152" customFormat="1" ht="20.100000000000001" hidden="1" customHeight="1" thickBot="1">
      <c r="A39" s="1346"/>
      <c r="B39" s="1064"/>
      <c r="C39" s="1068" t="s">
        <v>186</v>
      </c>
      <c r="D39" s="1147" t="s">
        <v>242</v>
      </c>
      <c r="E39" s="954" t="s">
        <v>246</v>
      </c>
      <c r="F39" s="954"/>
      <c r="G39" s="954">
        <v>6</v>
      </c>
      <c r="H39" s="941"/>
      <c r="I39" s="934"/>
      <c r="J39" s="1336"/>
      <c r="K39" s="933"/>
      <c r="L39" s="934"/>
      <c r="M39" s="932"/>
      <c r="N39" s="933"/>
      <c r="O39" s="934"/>
      <c r="P39" s="932"/>
      <c r="Q39" s="933"/>
      <c r="R39" s="934"/>
      <c r="S39" s="932"/>
      <c r="T39" s="624"/>
      <c r="U39" s="931"/>
      <c r="V39" s="932"/>
      <c r="W39" s="933"/>
      <c r="X39" s="934"/>
      <c r="Y39" s="932"/>
      <c r="Z39" s="933"/>
      <c r="AA39" s="934"/>
      <c r="AB39" s="932"/>
      <c r="AC39" s="624"/>
      <c r="AD39" s="935"/>
      <c r="AE39" s="113"/>
      <c r="AF39" s="113"/>
      <c r="AG39" s="164"/>
      <c r="AH39" s="165"/>
      <c r="AI39" s="166"/>
      <c r="AJ39" s="167"/>
      <c r="AK39" s="165"/>
      <c r="AL39" s="166"/>
      <c r="AM39" s="167"/>
      <c r="AN39" s="165"/>
      <c r="AO39" s="166"/>
      <c r="AP39" s="167"/>
      <c r="AQ39" s="165"/>
      <c r="AR39" s="166"/>
      <c r="AS39" s="167"/>
      <c r="AT39" s="165"/>
      <c r="AU39" s="166"/>
      <c r="AV39" s="167"/>
      <c r="AW39" s="165"/>
      <c r="AX39" s="166"/>
      <c r="AY39" s="167"/>
      <c r="AZ39" s="168"/>
      <c r="BA39" s="169"/>
      <c r="BB39" s="456"/>
      <c r="BC39" s="553"/>
      <c r="BD39" s="553"/>
      <c r="BE39" s="553"/>
      <c r="BF39" s="553"/>
      <c r="BG39" s="553"/>
      <c r="BH39" s="553"/>
      <c r="BI39" s="113"/>
    </row>
    <row r="40" spans="1:65" s="1310" customFormat="1" ht="20.100000000000001" hidden="1" customHeight="1" thickBot="1">
      <c r="A40" s="1346"/>
      <c r="B40" s="1066"/>
      <c r="C40" s="1334" t="s">
        <v>187</v>
      </c>
      <c r="D40" s="1301" t="s">
        <v>195</v>
      </c>
      <c r="E40" s="1302" t="s">
        <v>217</v>
      </c>
      <c r="F40" s="1302"/>
      <c r="G40" s="1302">
        <v>6</v>
      </c>
      <c r="H40" s="1303">
        <f>VLOOKUP($C40,[4]Sheet1!$E$334:$Z$488,18,0)</f>
        <v>2.8542650000000003</v>
      </c>
      <c r="I40" s="1304"/>
      <c r="J40" s="1337"/>
      <c r="K40" s="1305"/>
      <c r="L40" s="1304"/>
      <c r="M40" s="1306"/>
      <c r="N40" s="1305"/>
      <c r="O40" s="1304"/>
      <c r="P40" s="1306"/>
      <c r="Q40" s="1305"/>
      <c r="R40" s="1304"/>
      <c r="S40" s="1306"/>
      <c r="T40" s="1307"/>
      <c r="U40" s="1308"/>
      <c r="V40" s="1306"/>
      <c r="W40" s="1305"/>
      <c r="X40" s="1304"/>
      <c r="Y40" s="1306"/>
      <c r="Z40" s="1305"/>
      <c r="AA40" s="1304"/>
      <c r="AB40" s="1306"/>
      <c r="AC40" s="1307"/>
      <c r="AD40" s="1309"/>
      <c r="AG40" s="1311"/>
      <c r="AH40" s="1312"/>
      <c r="AI40" s="1313"/>
      <c r="AJ40" s="1314"/>
      <c r="AK40" s="1312"/>
      <c r="AL40" s="1313"/>
      <c r="AM40" s="1314"/>
      <c r="AN40" s="1312"/>
      <c r="AO40" s="1313"/>
      <c r="AP40" s="1314"/>
      <c r="AQ40" s="1312"/>
      <c r="AR40" s="1313"/>
      <c r="AS40" s="1314"/>
      <c r="AT40" s="1312"/>
      <c r="AU40" s="1313"/>
      <c r="AV40" s="1314"/>
      <c r="AW40" s="1312"/>
      <c r="AX40" s="1313"/>
      <c r="AY40" s="1314"/>
      <c r="AZ40" s="1315"/>
      <c r="BA40" s="1316"/>
      <c r="BB40" s="1317"/>
      <c r="BC40" s="1318"/>
      <c r="BD40" s="1318"/>
      <c r="BE40" s="1318"/>
      <c r="BF40" s="1318"/>
      <c r="BG40" s="1318"/>
      <c r="BH40" s="1318"/>
    </row>
    <row r="41" spans="1:65" s="1274" customFormat="1" ht="20.100000000000001" hidden="1" customHeight="1">
      <c r="A41" s="1346"/>
      <c r="B41" s="1345"/>
      <c r="C41" s="1333" t="s">
        <v>188</v>
      </c>
      <c r="D41" s="1264" t="s">
        <v>178</v>
      </c>
      <c r="E41" s="1265" t="s">
        <v>218</v>
      </c>
      <c r="F41" s="1265"/>
      <c r="G41" s="1265">
        <v>6</v>
      </c>
      <c r="H41" s="1266">
        <f>VLOOKUP($C41,[4]Sheet1!$E$334:$Z$488,18,0)</f>
        <v>3.5454450000000004</v>
      </c>
      <c r="I41" s="1267"/>
      <c r="J41" s="1268"/>
      <c r="K41" s="1269"/>
      <c r="L41" s="1267"/>
      <c r="M41" s="1270"/>
      <c r="N41" s="1269"/>
      <c r="O41" s="1267"/>
      <c r="P41" s="1270"/>
      <c r="Q41" s="1269"/>
      <c r="R41" s="1267"/>
      <c r="S41" s="1270"/>
      <c r="T41" s="1271"/>
      <c r="U41" s="1272"/>
      <c r="V41" s="1270"/>
      <c r="W41" s="1269"/>
      <c r="X41" s="1267"/>
      <c r="Y41" s="1270"/>
      <c r="Z41" s="1269"/>
      <c r="AA41" s="1267"/>
      <c r="AB41" s="1270"/>
      <c r="AC41" s="1271"/>
      <c r="AD41" s="1273"/>
      <c r="AG41" s="1275"/>
      <c r="AH41" s="1276"/>
      <c r="AI41" s="1277"/>
      <c r="AJ41" s="1278"/>
      <c r="AK41" s="1276"/>
      <c r="AL41" s="1277"/>
      <c r="AM41" s="1278"/>
      <c r="AN41" s="1276"/>
      <c r="AO41" s="1277"/>
      <c r="AP41" s="1278"/>
      <c r="AQ41" s="1276"/>
      <c r="AR41" s="1277"/>
      <c r="AS41" s="1278"/>
      <c r="AT41" s="1276"/>
      <c r="AU41" s="1277"/>
      <c r="AV41" s="1278"/>
      <c r="AW41" s="1276"/>
      <c r="AX41" s="1277"/>
      <c r="AY41" s="1278"/>
      <c r="AZ41" s="1279"/>
      <c r="BA41" s="1280"/>
      <c r="BB41" s="1281"/>
      <c r="BC41" s="1282"/>
      <c r="BD41" s="1282"/>
      <c r="BE41" s="1282"/>
      <c r="BF41" s="1282"/>
      <c r="BG41" s="1282"/>
      <c r="BH41" s="1282"/>
    </row>
    <row r="42" spans="1:65" s="468" customFormat="1" ht="20.100000000000001" hidden="1" customHeight="1">
      <c r="A42" s="1346"/>
      <c r="B42" s="1064"/>
      <c r="C42" s="1068" t="s">
        <v>189</v>
      </c>
      <c r="D42" s="1147" t="s">
        <v>243</v>
      </c>
      <c r="E42" s="954" t="s">
        <v>247</v>
      </c>
      <c r="F42" s="954"/>
      <c r="G42" s="954">
        <v>6</v>
      </c>
      <c r="H42" s="941"/>
      <c r="I42" s="174"/>
      <c r="J42" s="1336"/>
      <c r="K42" s="176"/>
      <c r="L42" s="174"/>
      <c r="M42" s="517"/>
      <c r="N42" s="176"/>
      <c r="O42" s="174"/>
      <c r="P42" s="517"/>
      <c r="Q42" s="516"/>
      <c r="R42" s="515"/>
      <c r="S42" s="517"/>
      <c r="T42" s="518"/>
      <c r="U42" s="955"/>
      <c r="V42" s="517"/>
      <c r="W42" s="176"/>
      <c r="X42" s="174"/>
      <c r="Y42" s="517"/>
      <c r="Z42" s="176"/>
      <c r="AA42" s="174"/>
      <c r="AB42" s="517"/>
      <c r="AC42" s="518"/>
      <c r="AD42" s="956"/>
      <c r="AE42" s="460"/>
      <c r="AF42" s="460"/>
      <c r="AG42" s="461"/>
      <c r="AH42" s="462"/>
      <c r="AI42" s="463"/>
      <c r="AJ42" s="464"/>
      <c r="AK42" s="462"/>
      <c r="AL42" s="463"/>
      <c r="AM42" s="464"/>
      <c r="AN42" s="462"/>
      <c r="AO42" s="463"/>
      <c r="AP42" s="464"/>
      <c r="AQ42" s="462"/>
      <c r="AR42" s="463"/>
      <c r="AS42" s="464"/>
      <c r="AT42" s="462"/>
      <c r="AU42" s="463"/>
      <c r="AV42" s="464"/>
      <c r="AW42" s="462"/>
      <c r="AX42" s="463"/>
      <c r="AY42" s="464"/>
      <c r="AZ42" s="465"/>
      <c r="BA42" s="466"/>
      <c r="BB42" s="144"/>
      <c r="BC42" s="467"/>
      <c r="BD42" s="467"/>
      <c r="BE42" s="467"/>
      <c r="BF42" s="467"/>
      <c r="BG42" s="467"/>
      <c r="BH42" s="467"/>
      <c r="BI42" s="460"/>
    </row>
    <row r="43" spans="1:65" s="468" customFormat="1" ht="20.100000000000001" hidden="1" customHeight="1">
      <c r="A43" s="1346"/>
      <c r="B43" s="1064"/>
      <c r="C43" s="1065" t="s">
        <v>190</v>
      </c>
      <c r="D43" s="1148" t="s">
        <v>243</v>
      </c>
      <c r="E43" s="503" t="s">
        <v>248</v>
      </c>
      <c r="F43" s="503"/>
      <c r="G43" s="503">
        <v>6</v>
      </c>
      <c r="H43" s="908"/>
      <c r="I43" s="471"/>
      <c r="J43" s="476"/>
      <c r="K43" s="470"/>
      <c r="L43" s="471"/>
      <c r="M43" s="474"/>
      <c r="N43" s="470"/>
      <c r="O43" s="471"/>
      <c r="P43" s="474"/>
      <c r="Q43" s="470"/>
      <c r="R43" s="471"/>
      <c r="S43" s="474"/>
      <c r="T43" s="472"/>
      <c r="U43" s="473"/>
      <c r="V43" s="474"/>
      <c r="W43" s="470"/>
      <c r="X43" s="471"/>
      <c r="Y43" s="474"/>
      <c r="Z43" s="470"/>
      <c r="AA43" s="471"/>
      <c r="AB43" s="474"/>
      <c r="AC43" s="472"/>
      <c r="AD43" s="475"/>
      <c r="AE43" s="1065" t="s">
        <v>279</v>
      </c>
      <c r="AF43" s="460"/>
      <c r="AG43" s="461"/>
      <c r="AH43" s="462"/>
      <c r="AI43" s="463"/>
      <c r="AJ43" s="464"/>
      <c r="AK43" s="462"/>
      <c r="AL43" s="463"/>
      <c r="AM43" s="464"/>
      <c r="AN43" s="462"/>
      <c r="AO43" s="463"/>
      <c r="AP43" s="464"/>
      <c r="AQ43" s="462"/>
      <c r="AR43" s="463"/>
      <c r="AS43" s="464"/>
      <c r="AT43" s="462"/>
      <c r="AU43" s="463"/>
      <c r="AV43" s="464"/>
      <c r="AW43" s="462"/>
      <c r="AX43" s="463"/>
      <c r="AY43" s="464"/>
      <c r="AZ43" s="465"/>
      <c r="BA43" s="466"/>
      <c r="BB43" s="144"/>
      <c r="BC43" s="467"/>
      <c r="BD43" s="467"/>
      <c r="BE43" s="467"/>
      <c r="BF43" s="467"/>
      <c r="BG43" s="467"/>
      <c r="BH43" s="467"/>
      <c r="BI43" s="460"/>
    </row>
    <row r="44" spans="1:65" s="1292" customFormat="1" ht="20.100000000000001" hidden="1" customHeight="1" thickBot="1">
      <c r="A44" s="1347"/>
      <c r="B44" s="1066"/>
      <c r="C44" s="1335" t="s">
        <v>191</v>
      </c>
      <c r="D44" s="1283" t="s">
        <v>178</v>
      </c>
      <c r="E44" s="1284" t="s">
        <v>219</v>
      </c>
      <c r="F44" s="1284"/>
      <c r="G44" s="1284">
        <v>6</v>
      </c>
      <c r="H44" s="1285">
        <f>VLOOKUP($C44,[4]Sheet1!$E$334:$Z$488,18,0)</f>
        <v>3.5295433333333337</v>
      </c>
      <c r="I44" s="1286"/>
      <c r="J44" s="1338"/>
      <c r="K44" s="1287"/>
      <c r="L44" s="1286"/>
      <c r="M44" s="1288"/>
      <c r="N44" s="1287"/>
      <c r="O44" s="1286"/>
      <c r="P44" s="1288"/>
      <c r="Q44" s="1287"/>
      <c r="R44" s="1286"/>
      <c r="S44" s="1288"/>
      <c r="T44" s="1289"/>
      <c r="U44" s="1290"/>
      <c r="V44" s="1288"/>
      <c r="W44" s="1287"/>
      <c r="X44" s="1286"/>
      <c r="Y44" s="1288"/>
      <c r="Z44" s="1287"/>
      <c r="AA44" s="1286"/>
      <c r="AB44" s="1288"/>
      <c r="AC44" s="1289"/>
      <c r="AD44" s="1291"/>
      <c r="AG44" s="1293"/>
      <c r="AH44" s="1294"/>
      <c r="AI44" s="1295"/>
      <c r="AJ44" s="1296"/>
      <c r="AK44" s="1294"/>
      <c r="AL44" s="1295"/>
      <c r="AM44" s="1296"/>
      <c r="AN44" s="1294"/>
      <c r="AO44" s="1295"/>
      <c r="AP44" s="1296"/>
      <c r="AQ44" s="1294"/>
      <c r="AR44" s="1295"/>
      <c r="AS44" s="1296"/>
      <c r="AT44" s="1294"/>
      <c r="AU44" s="1295"/>
      <c r="AV44" s="1296"/>
      <c r="AW44" s="1294"/>
      <c r="AX44" s="1295"/>
      <c r="AY44" s="1296"/>
      <c r="AZ44" s="1297"/>
      <c r="BA44" s="1298"/>
      <c r="BB44" s="1299"/>
      <c r="BC44" s="1300"/>
      <c r="BD44" s="1300"/>
      <c r="BE44" s="1300"/>
      <c r="BF44" s="1300"/>
      <c r="BG44" s="1300"/>
      <c r="BH44" s="1300"/>
    </row>
    <row r="45" spans="1:65" s="551" customFormat="1" ht="19.5" hidden="1" customHeight="1">
      <c r="A45" s="1516"/>
      <c r="B45" s="1400"/>
      <c r="C45" s="1069"/>
      <c r="D45" s="990"/>
      <c r="E45" s="980"/>
      <c r="F45" s="981"/>
      <c r="G45" s="982"/>
      <c r="H45" s="907"/>
      <c r="I45" s="983"/>
      <c r="J45" s="984"/>
      <c r="K45" s="985"/>
      <c r="L45" s="986"/>
      <c r="M45" s="984"/>
      <c r="N45" s="987"/>
      <c r="O45" s="983"/>
      <c r="P45" s="984"/>
      <c r="Q45" s="985"/>
      <c r="R45" s="986"/>
      <c r="S45" s="984"/>
      <c r="T45" s="988"/>
      <c r="U45" s="983"/>
      <c r="V45" s="984"/>
      <c r="W45" s="985"/>
      <c r="X45" s="986"/>
      <c r="Y45" s="984"/>
      <c r="Z45" s="987"/>
      <c r="AA45" s="983"/>
      <c r="AB45" s="984"/>
      <c r="AC45" s="987"/>
      <c r="AD45" s="989"/>
      <c r="AE45" s="543"/>
      <c r="AF45" s="543"/>
      <c r="AG45" s="544"/>
      <c r="AH45" s="545"/>
      <c r="AI45" s="546"/>
      <c r="AJ45" s="547"/>
      <c r="AK45" s="545"/>
      <c r="AL45" s="546"/>
      <c r="AM45" s="547"/>
      <c r="AN45" s="545"/>
      <c r="AO45" s="546"/>
      <c r="AP45" s="547"/>
      <c r="AQ45" s="545"/>
      <c r="AR45" s="546"/>
      <c r="AS45" s="547"/>
      <c r="AT45" s="545"/>
      <c r="AU45" s="546"/>
      <c r="AV45" s="547"/>
      <c r="AW45" s="545"/>
      <c r="AX45" s="546"/>
      <c r="AY45" s="547"/>
      <c r="AZ45" s="548"/>
      <c r="BA45" s="549"/>
      <c r="BB45" s="233"/>
      <c r="BC45" s="550"/>
      <c r="BD45" s="550"/>
      <c r="BE45" s="550"/>
      <c r="BF45" s="550"/>
      <c r="BG45" s="550"/>
      <c r="BH45" s="550"/>
      <c r="BI45" s="543"/>
    </row>
    <row r="46" spans="1:65" s="468" customFormat="1" ht="20.100000000000001" hidden="1" customHeight="1" thickBot="1">
      <c r="A46" s="1517"/>
      <c r="B46" s="1401"/>
      <c r="C46" s="1067"/>
      <c r="D46" s="991"/>
      <c r="E46" s="490"/>
      <c r="F46" s="891"/>
      <c r="G46" s="892"/>
      <c r="H46" s="909"/>
      <c r="I46" s="397"/>
      <c r="J46" s="950"/>
      <c r="K46" s="399"/>
      <c r="L46" s="397"/>
      <c r="M46" s="893"/>
      <c r="N46" s="493"/>
      <c r="O46" s="494"/>
      <c r="P46" s="893"/>
      <c r="Q46" s="493"/>
      <c r="R46" s="491"/>
      <c r="S46" s="893"/>
      <c r="T46" s="493"/>
      <c r="U46" s="494"/>
      <c r="V46" s="893"/>
      <c r="W46" s="493"/>
      <c r="X46" s="397"/>
      <c r="Y46" s="893"/>
      <c r="Z46" s="399"/>
      <c r="AA46" s="397"/>
      <c r="AB46" s="893"/>
      <c r="AC46" s="493"/>
      <c r="AD46" s="497"/>
      <c r="AE46" s="460"/>
      <c r="AF46" s="460"/>
      <c r="AG46" s="461"/>
      <c r="AH46" s="462"/>
      <c r="AI46" s="463"/>
      <c r="AJ46" s="464"/>
      <c r="AK46" s="462"/>
      <c r="AL46" s="463"/>
      <c r="AM46" s="464"/>
      <c r="AN46" s="462"/>
      <c r="AO46" s="463"/>
      <c r="AP46" s="464"/>
      <c r="AQ46" s="462"/>
      <c r="AR46" s="463"/>
      <c r="AS46" s="464"/>
      <c r="AT46" s="462"/>
      <c r="AU46" s="463"/>
      <c r="AV46" s="464"/>
      <c r="AW46" s="462"/>
      <c r="AX46" s="463"/>
      <c r="AY46" s="464"/>
      <c r="AZ46" s="465"/>
      <c r="BA46" s="466"/>
      <c r="BB46" s="144"/>
      <c r="BC46" s="467"/>
      <c r="BD46" s="467"/>
      <c r="BE46" s="467"/>
      <c r="BF46" s="467"/>
      <c r="BG46" s="467"/>
      <c r="BH46" s="467"/>
      <c r="BI46" s="460"/>
    </row>
    <row r="47" spans="1:65" s="468" customFormat="1" ht="20.100000000000001" hidden="1" customHeight="1">
      <c r="A47" s="978"/>
      <c r="B47" s="1064"/>
      <c r="C47" s="1068"/>
      <c r="D47" s="730"/>
      <c r="E47" s="287"/>
      <c r="F47" s="953"/>
      <c r="G47" s="954"/>
      <c r="H47" s="941"/>
      <c r="I47" s="174"/>
      <c r="J47" s="215"/>
      <c r="K47" s="176"/>
      <c r="L47" s="174"/>
      <c r="M47" s="662"/>
      <c r="N47" s="518"/>
      <c r="O47" s="955"/>
      <c r="P47" s="662"/>
      <c r="Q47" s="518"/>
      <c r="R47" s="515"/>
      <c r="S47" s="662"/>
      <c r="T47" s="518"/>
      <c r="U47" s="955"/>
      <c r="V47" s="662"/>
      <c r="W47" s="518"/>
      <c r="X47" s="174"/>
      <c r="Y47" s="662"/>
      <c r="Z47" s="176"/>
      <c r="AA47" s="174"/>
      <c r="AB47" s="662"/>
      <c r="AC47" s="518"/>
      <c r="AD47" s="956"/>
      <c r="AE47" s="460"/>
      <c r="AF47" s="460"/>
      <c r="AG47" s="461"/>
      <c r="AH47" s="462"/>
      <c r="AI47" s="463"/>
      <c r="AJ47" s="464"/>
      <c r="AK47" s="462"/>
      <c r="AL47" s="463"/>
      <c r="AM47" s="464"/>
      <c r="AN47" s="462"/>
      <c r="AO47" s="463"/>
      <c r="AP47" s="464"/>
      <c r="AQ47" s="462"/>
      <c r="AR47" s="463"/>
      <c r="AS47" s="464"/>
      <c r="AT47" s="462"/>
      <c r="AU47" s="463"/>
      <c r="AV47" s="464"/>
      <c r="AW47" s="462"/>
      <c r="AX47" s="463"/>
      <c r="AY47" s="464"/>
      <c r="AZ47" s="465"/>
      <c r="BA47" s="466"/>
      <c r="BB47" s="144"/>
      <c r="BC47" s="467"/>
      <c r="BD47" s="467"/>
      <c r="BE47" s="467"/>
      <c r="BF47" s="467"/>
      <c r="BG47" s="467"/>
      <c r="BH47" s="467"/>
      <c r="BI47" s="460"/>
    </row>
    <row r="48" spans="1:65" s="468" customFormat="1" ht="20.100000000000001" hidden="1" customHeight="1">
      <c r="A48" s="978"/>
      <c r="B48" s="1064"/>
      <c r="C48" s="1065"/>
      <c r="D48" s="657"/>
      <c r="E48" s="455"/>
      <c r="F48" s="512"/>
      <c r="G48" s="503"/>
      <c r="H48" s="908"/>
      <c r="I48" s="148"/>
      <c r="J48" s="479"/>
      <c r="K48" s="150"/>
      <c r="L48" s="148"/>
      <c r="M48" s="643"/>
      <c r="N48" s="367"/>
      <c r="O48" s="453"/>
      <c r="P48" s="643"/>
      <c r="Q48" s="488"/>
      <c r="R48" s="478"/>
      <c r="S48" s="643"/>
      <c r="T48" s="367"/>
      <c r="U48" s="486"/>
      <c r="V48" s="643"/>
      <c r="W48" s="367"/>
      <c r="X48" s="478"/>
      <c r="Y48" s="643"/>
      <c r="Z48" s="477"/>
      <c r="AA48" s="478"/>
      <c r="AB48" s="643"/>
      <c r="AC48" s="367"/>
      <c r="AD48" s="454"/>
      <c r="AE48" s="460"/>
      <c r="AF48" s="460"/>
      <c r="AG48" s="461"/>
      <c r="AH48" s="462"/>
      <c r="AI48" s="463"/>
      <c r="AJ48" s="464"/>
      <c r="AK48" s="462"/>
      <c r="AL48" s="463"/>
      <c r="AM48" s="464"/>
      <c r="AN48" s="462"/>
      <c r="AO48" s="463"/>
      <c r="AP48" s="464"/>
      <c r="AQ48" s="462"/>
      <c r="AR48" s="463"/>
      <c r="AS48" s="464"/>
      <c r="AT48" s="462"/>
      <c r="AU48" s="463"/>
      <c r="AV48" s="464"/>
      <c r="AW48" s="462"/>
      <c r="AX48" s="463"/>
      <c r="AY48" s="464"/>
      <c r="AZ48" s="465"/>
      <c r="BA48" s="466"/>
      <c r="BB48" s="144"/>
      <c r="BC48" s="467"/>
      <c r="BD48" s="467"/>
      <c r="BE48" s="467"/>
      <c r="BF48" s="467"/>
      <c r="BG48" s="467"/>
      <c r="BH48" s="467"/>
      <c r="BI48" s="460"/>
    </row>
    <row r="49" spans="1:61" s="729" customFormat="1" ht="20.100000000000001" hidden="1" customHeight="1" thickBot="1">
      <c r="A49" s="979"/>
      <c r="B49" s="1066"/>
      <c r="C49" s="1067"/>
      <c r="D49" s="890"/>
      <c r="E49" s="490"/>
      <c r="F49" s="891"/>
      <c r="G49" s="892"/>
      <c r="H49" s="909"/>
      <c r="I49" s="397"/>
      <c r="J49" s="496"/>
      <c r="K49" s="399"/>
      <c r="L49" s="397"/>
      <c r="M49" s="893"/>
      <c r="N49" s="493"/>
      <c r="O49" s="494"/>
      <c r="P49" s="893"/>
      <c r="Q49" s="495"/>
      <c r="R49" s="491"/>
      <c r="S49" s="893"/>
      <c r="T49" s="493"/>
      <c r="U49" s="494"/>
      <c r="V49" s="893"/>
      <c r="W49" s="495"/>
      <c r="X49" s="491"/>
      <c r="Y49" s="893"/>
      <c r="Z49" s="495"/>
      <c r="AA49" s="491"/>
      <c r="AB49" s="893"/>
      <c r="AC49" s="493"/>
      <c r="AD49" s="497"/>
      <c r="AE49" s="728"/>
      <c r="AF49" s="728"/>
      <c r="AG49" s="720"/>
      <c r="AH49" s="721"/>
      <c r="AI49" s="722"/>
      <c r="AJ49" s="723"/>
      <c r="AK49" s="721"/>
      <c r="AL49" s="722"/>
      <c r="AM49" s="723"/>
      <c r="AN49" s="721"/>
      <c r="AO49" s="722"/>
      <c r="AP49" s="723"/>
      <c r="AQ49" s="721"/>
      <c r="AR49" s="722"/>
      <c r="AS49" s="723"/>
      <c r="AT49" s="721"/>
      <c r="AU49" s="722"/>
      <c r="AV49" s="723"/>
      <c r="AW49" s="721"/>
      <c r="AX49" s="722"/>
      <c r="AY49" s="723"/>
      <c r="AZ49" s="724"/>
      <c r="BA49" s="725"/>
      <c r="BB49" s="726"/>
      <c r="BC49" s="727"/>
      <c r="BD49" s="727"/>
      <c r="BE49" s="727"/>
      <c r="BF49" s="727"/>
      <c r="BG49" s="727"/>
      <c r="BH49" s="727"/>
      <c r="BI49" s="728"/>
    </row>
    <row r="50" spans="1:61" s="113" customFormat="1" ht="20.100000000000001" customHeight="1">
      <c r="A50" s="1423" t="s">
        <v>170</v>
      </c>
      <c r="B50" s="1424"/>
      <c r="C50" s="888" t="s">
        <v>173</v>
      </c>
      <c r="D50" s="911" t="s">
        <v>197</v>
      </c>
      <c r="E50" s="1405"/>
      <c r="F50" s="1406"/>
      <c r="G50" s="1406"/>
      <c r="H50" s="1407"/>
      <c r="I50" s="889">
        <v>2</v>
      </c>
      <c r="J50" s="889">
        <v>336</v>
      </c>
      <c r="K50" s="889">
        <v>336</v>
      </c>
      <c r="L50" s="889">
        <f>SUM(L26:L30,L32:L33)</f>
        <v>80</v>
      </c>
      <c r="M50" s="889">
        <f t="shared" ref="M50:AD50" si="84">SUM(M26:M30,M32:M33)</f>
        <v>450</v>
      </c>
      <c r="N50" s="889">
        <f t="shared" si="84"/>
        <v>528</v>
      </c>
      <c r="O50" s="889">
        <f t="shared" si="84"/>
        <v>158</v>
      </c>
      <c r="P50" s="889">
        <f t="shared" si="84"/>
        <v>600</v>
      </c>
      <c r="Q50" s="889">
        <f t="shared" si="84"/>
        <v>672</v>
      </c>
      <c r="R50" s="889">
        <f t="shared" si="84"/>
        <v>230</v>
      </c>
      <c r="S50" s="889">
        <f t="shared" si="84"/>
        <v>744</v>
      </c>
      <c r="T50" s="889">
        <f t="shared" si="84"/>
        <v>672</v>
      </c>
      <c r="U50" s="889">
        <f t="shared" si="84"/>
        <v>158</v>
      </c>
      <c r="V50" s="889">
        <f t="shared" si="84"/>
        <v>774</v>
      </c>
      <c r="W50" s="889">
        <f t="shared" si="84"/>
        <v>618</v>
      </c>
      <c r="X50" s="889">
        <f t="shared" si="84"/>
        <v>2</v>
      </c>
      <c r="Y50" s="889">
        <f t="shared" si="84"/>
        <v>630</v>
      </c>
      <c r="Z50" s="889">
        <f t="shared" si="84"/>
        <v>678</v>
      </c>
      <c r="AA50" s="889">
        <f t="shared" si="84"/>
        <v>50</v>
      </c>
      <c r="AB50" s="889">
        <f t="shared" si="84"/>
        <v>630</v>
      </c>
      <c r="AC50" s="889">
        <f t="shared" si="84"/>
        <v>582</v>
      </c>
      <c r="AD50" s="889">
        <f t="shared" si="84"/>
        <v>2</v>
      </c>
      <c r="AG50" s="131"/>
      <c r="AH50" s="132"/>
      <c r="AI50" s="133"/>
      <c r="AJ50" s="134"/>
      <c r="AK50" s="132"/>
      <c r="AL50" s="133"/>
      <c r="AM50" s="134"/>
      <c r="AN50" s="132"/>
      <c r="AO50" s="133"/>
      <c r="AP50" s="134"/>
      <c r="AQ50" s="132"/>
      <c r="AR50" s="133"/>
      <c r="AS50" s="134"/>
      <c r="AT50" s="132"/>
      <c r="AU50" s="133"/>
      <c r="AV50" s="134"/>
      <c r="AW50" s="132"/>
      <c r="AX50" s="133"/>
      <c r="AY50" s="134"/>
      <c r="AZ50" s="135"/>
      <c r="BA50" s="136"/>
      <c r="BB50" s="124" t="s">
        <v>61</v>
      </c>
      <c r="BC50" s="121">
        <f>ROUNDUP(N50/$BC$13,0)</f>
        <v>132</v>
      </c>
      <c r="BD50" s="121">
        <f>ROUNDUP(Q50/$BD$13,0)</f>
        <v>135</v>
      </c>
      <c r="BE50" s="121">
        <f>ROUNDUP(T50/$BE$13,0)</f>
        <v>168</v>
      </c>
      <c r="BF50" s="121">
        <f>ROUNDUP(W50/$BF$13,0)</f>
        <v>124</v>
      </c>
      <c r="BG50" s="121">
        <f>ROUNDUP(Z50/$BG$13,0)</f>
        <v>170</v>
      </c>
      <c r="BH50" s="121">
        <f>ROUNDUP(AC50/$BH$13,0)</f>
        <v>146</v>
      </c>
    </row>
    <row r="51" spans="1:61" s="113" customFormat="1" ht="20.100000000000001" customHeight="1" thickBot="1">
      <c r="A51" s="1512" t="s">
        <v>171</v>
      </c>
      <c r="B51" s="1513"/>
      <c r="C51" s="732" t="s">
        <v>174</v>
      </c>
      <c r="D51" s="647" t="s">
        <v>196</v>
      </c>
      <c r="E51" s="1408"/>
      <c r="F51" s="1409"/>
      <c r="G51" s="1409"/>
      <c r="H51" s="1410"/>
      <c r="I51" s="540">
        <v>122</v>
      </c>
      <c r="J51" s="540">
        <v>366</v>
      </c>
      <c r="K51" s="540">
        <v>444</v>
      </c>
      <c r="L51" s="540">
        <f>SUM(L15:L19,L41:L44,L31)</f>
        <v>176</v>
      </c>
      <c r="M51" s="540">
        <f t="shared" ref="M51:AD51" si="85">SUM(M15:M19,M41:M44,M31)</f>
        <v>426</v>
      </c>
      <c r="N51" s="540">
        <f t="shared" si="85"/>
        <v>288</v>
      </c>
      <c r="O51" s="540">
        <f t="shared" si="85"/>
        <v>38</v>
      </c>
      <c r="P51" s="540">
        <f t="shared" si="85"/>
        <v>354</v>
      </c>
      <c r="Q51" s="540">
        <f t="shared" si="85"/>
        <v>372</v>
      </c>
      <c r="R51" s="540">
        <f t="shared" si="85"/>
        <v>56</v>
      </c>
      <c r="S51" s="540">
        <f t="shared" si="85"/>
        <v>348</v>
      </c>
      <c r="T51" s="540">
        <f t="shared" si="85"/>
        <v>342</v>
      </c>
      <c r="U51" s="540">
        <f t="shared" si="85"/>
        <v>50</v>
      </c>
      <c r="V51" s="540">
        <f t="shared" si="85"/>
        <v>378</v>
      </c>
      <c r="W51" s="540">
        <f t="shared" si="85"/>
        <v>390</v>
      </c>
      <c r="X51" s="540">
        <f t="shared" si="85"/>
        <v>62</v>
      </c>
      <c r="Y51" s="540">
        <f t="shared" si="85"/>
        <v>294</v>
      </c>
      <c r="Z51" s="540">
        <f t="shared" si="85"/>
        <v>276</v>
      </c>
      <c r="AA51" s="540">
        <f t="shared" si="85"/>
        <v>44</v>
      </c>
      <c r="AB51" s="540">
        <f t="shared" si="85"/>
        <v>294</v>
      </c>
      <c r="AC51" s="540">
        <f t="shared" si="85"/>
        <v>252</v>
      </c>
      <c r="AD51" s="540">
        <f t="shared" si="85"/>
        <v>2</v>
      </c>
      <c r="AG51" s="131"/>
      <c r="AH51" s="132"/>
      <c r="AI51" s="133"/>
      <c r="AJ51" s="134"/>
      <c r="AK51" s="132"/>
      <c r="AL51" s="133"/>
      <c r="AM51" s="134"/>
      <c r="AN51" s="132"/>
      <c r="AO51" s="133"/>
      <c r="AP51" s="134"/>
      <c r="AQ51" s="132"/>
      <c r="AR51" s="133"/>
      <c r="AS51" s="134"/>
      <c r="AT51" s="132"/>
      <c r="AU51" s="133"/>
      <c r="AV51" s="134"/>
      <c r="AW51" s="132"/>
      <c r="AX51" s="133"/>
      <c r="AY51" s="134"/>
      <c r="AZ51" s="135"/>
      <c r="BA51" s="136"/>
      <c r="BB51" s="138" t="s">
        <v>62</v>
      </c>
      <c r="BC51" s="121">
        <f>ROUNDUP(N51/$BC$13,0)</f>
        <v>72</v>
      </c>
      <c r="BD51" s="121">
        <f>ROUNDUP(Q51/$BD$13,0)</f>
        <v>75</v>
      </c>
      <c r="BE51" s="121">
        <f>ROUNDUP(T51/$BE$13,0)</f>
        <v>86</v>
      </c>
      <c r="BF51" s="121">
        <f>ROUNDUP(W51/$BF$13,0)</f>
        <v>78</v>
      </c>
      <c r="BG51" s="121">
        <f>ROUNDUP(Z51/$BG$13,0)</f>
        <v>69</v>
      </c>
      <c r="BH51" s="121">
        <f>ROUNDUP(AC51/$BH$13,0)</f>
        <v>63</v>
      </c>
    </row>
    <row r="52" spans="1:61" s="113" customFormat="1" ht="20.100000000000001" customHeight="1">
      <c r="A52" s="1512" t="s">
        <v>172</v>
      </c>
      <c r="B52" s="1513"/>
      <c r="C52" s="732" t="s">
        <v>175</v>
      </c>
      <c r="D52" s="860" t="s">
        <v>196</v>
      </c>
      <c r="E52" s="1408"/>
      <c r="F52" s="1409"/>
      <c r="G52" s="1409"/>
      <c r="H52" s="1410"/>
      <c r="I52" s="540">
        <v>206</v>
      </c>
      <c r="J52" s="540">
        <v>1746</v>
      </c>
      <c r="K52" s="540">
        <v>1752</v>
      </c>
      <c r="L52" s="540">
        <f>SUM(L20:L25)</f>
        <v>434</v>
      </c>
      <c r="M52" s="540">
        <f t="shared" ref="M52:AD52" si="86">SUM(M20:M25)</f>
        <v>1602</v>
      </c>
      <c r="N52" s="540">
        <f t="shared" si="86"/>
        <v>1596</v>
      </c>
      <c r="O52" s="540">
        <f t="shared" si="86"/>
        <v>428</v>
      </c>
      <c r="P52" s="540">
        <f t="shared" si="86"/>
        <v>1506</v>
      </c>
      <c r="Q52" s="540">
        <f t="shared" si="86"/>
        <v>1836</v>
      </c>
      <c r="R52" s="540">
        <f t="shared" si="86"/>
        <v>758</v>
      </c>
      <c r="S52" s="540">
        <f t="shared" si="86"/>
        <v>1710</v>
      </c>
      <c r="T52" s="540">
        <f t="shared" si="86"/>
        <v>1476</v>
      </c>
      <c r="U52" s="540">
        <f t="shared" si="86"/>
        <v>524</v>
      </c>
      <c r="V52" s="540">
        <f t="shared" si="86"/>
        <v>1872</v>
      </c>
      <c r="W52" s="540">
        <f t="shared" si="86"/>
        <v>1686</v>
      </c>
      <c r="X52" s="540">
        <f t="shared" si="86"/>
        <v>338</v>
      </c>
      <c r="Y52" s="540">
        <f t="shared" si="86"/>
        <v>1464</v>
      </c>
      <c r="Z52" s="540">
        <f t="shared" si="86"/>
        <v>1626</v>
      </c>
      <c r="AA52" s="540">
        <f t="shared" si="86"/>
        <v>500</v>
      </c>
      <c r="AB52" s="540">
        <f t="shared" si="86"/>
        <v>1464</v>
      </c>
      <c r="AC52" s="540">
        <f t="shared" si="86"/>
        <v>966</v>
      </c>
      <c r="AD52" s="540">
        <f t="shared" si="86"/>
        <v>2</v>
      </c>
      <c r="AG52" s="131"/>
      <c r="AH52" s="132"/>
      <c r="AI52" s="133"/>
      <c r="AJ52" s="134"/>
      <c r="AK52" s="132"/>
      <c r="AL52" s="133"/>
      <c r="AM52" s="134"/>
      <c r="AN52" s="132"/>
      <c r="AO52" s="133"/>
      <c r="AP52" s="134"/>
      <c r="AQ52" s="132"/>
      <c r="AR52" s="133"/>
      <c r="AS52" s="134"/>
      <c r="AT52" s="132"/>
      <c r="AU52" s="133"/>
      <c r="AV52" s="134"/>
      <c r="AW52" s="132"/>
      <c r="AX52" s="133"/>
      <c r="AY52" s="134"/>
      <c r="AZ52" s="135"/>
      <c r="BA52" s="136"/>
      <c r="BB52" s="124" t="s">
        <v>61</v>
      </c>
      <c r="BC52" s="121">
        <f>ROUNDUP(N52/$BC$13,0)</f>
        <v>399</v>
      </c>
      <c r="BD52" s="121">
        <f>ROUNDUP(Q52/$BD$13,0)</f>
        <v>368</v>
      </c>
      <c r="BE52" s="121">
        <f>ROUNDUP(T52/$BE$13,0)</f>
        <v>369</v>
      </c>
      <c r="BF52" s="121">
        <f>ROUNDUP(W52/$BF$13,0)</f>
        <v>338</v>
      </c>
      <c r="BG52" s="121">
        <f>ROUNDUP(Z52/$BG$13,0)</f>
        <v>407</v>
      </c>
      <c r="BH52" s="121">
        <f>ROUNDUP(AC52/$BH$13,0)</f>
        <v>242</v>
      </c>
    </row>
    <row r="53" spans="1:61" s="113" customFormat="1" ht="20.100000000000001" customHeight="1" thickBot="1">
      <c r="A53" s="1514"/>
      <c r="B53" s="1515"/>
      <c r="C53" s="731"/>
      <c r="D53" s="660"/>
      <c r="E53" s="1411"/>
      <c r="F53" s="1412"/>
      <c r="G53" s="1412"/>
      <c r="H53" s="1413"/>
      <c r="I53" s="541"/>
      <c r="J53" s="541"/>
      <c r="K53" s="541"/>
      <c r="L53" s="541"/>
      <c r="M53" s="541"/>
      <c r="N53" s="541"/>
      <c r="O53" s="541"/>
      <c r="P53" s="541"/>
      <c r="Q53" s="541"/>
      <c r="R53" s="541"/>
      <c r="S53" s="541"/>
      <c r="T53" s="541"/>
      <c r="U53" s="541"/>
      <c r="V53" s="541"/>
      <c r="W53" s="541"/>
      <c r="X53" s="541"/>
      <c r="Y53" s="541"/>
      <c r="Z53" s="541"/>
      <c r="AA53" s="541"/>
      <c r="AB53" s="541"/>
      <c r="AC53" s="541"/>
      <c r="AD53" s="397"/>
      <c r="AG53" s="131"/>
      <c r="AH53" s="132"/>
      <c r="AI53" s="133"/>
      <c r="AJ53" s="134"/>
      <c r="AK53" s="132"/>
      <c r="AL53" s="133"/>
      <c r="AM53" s="134"/>
      <c r="AN53" s="132"/>
      <c r="AO53" s="133"/>
      <c r="AP53" s="134"/>
      <c r="AQ53" s="132"/>
      <c r="AR53" s="133"/>
      <c r="AS53" s="134"/>
      <c r="AT53" s="132"/>
      <c r="AU53" s="133"/>
      <c r="AV53" s="134"/>
      <c r="AW53" s="132"/>
      <c r="AX53" s="133"/>
      <c r="AY53" s="134"/>
      <c r="AZ53" s="135"/>
      <c r="BA53" s="136"/>
      <c r="BB53" s="138" t="s">
        <v>62</v>
      </c>
      <c r="BC53" s="121">
        <f>ROUNDUP(N53/$BC$13,0)</f>
        <v>0</v>
      </c>
      <c r="BD53" s="121">
        <f>ROUNDUP(Q53/$BD$13,0)</f>
        <v>0</v>
      </c>
      <c r="BE53" s="121">
        <f>ROUNDUP(T53/$BE$13,0)</f>
        <v>0</v>
      </c>
      <c r="BF53" s="121">
        <f>ROUNDUP(W53/$BF$13,0)</f>
        <v>0</v>
      </c>
      <c r="BG53" s="121">
        <f>ROUNDUP(Z53/$BG$13,0)</f>
        <v>0</v>
      </c>
      <c r="BH53" s="121">
        <f>ROUNDUP(AC53/$BH$13,0)</f>
        <v>0</v>
      </c>
    </row>
    <row r="54" spans="1:61" ht="20.100000000000001" customHeight="1" thickBot="1">
      <c r="B54" s="1502" t="s">
        <v>63</v>
      </c>
      <c r="C54" s="1503"/>
      <c r="D54" s="1503"/>
      <c r="E54" s="1503"/>
      <c r="F54" s="1503"/>
      <c r="G54" s="1503"/>
      <c r="H54" s="1504"/>
      <c r="I54" s="542">
        <f>SUM(I15:I19,I20:I25,I26:I30,I31:I33)</f>
        <v>820</v>
      </c>
      <c r="J54" s="542">
        <f t="shared" ref="J54:AD54" si="87">SUM(J15:J19,J20:J25,J26:J30,J31:J33)</f>
        <v>3352</v>
      </c>
      <c r="K54" s="542">
        <f t="shared" si="87"/>
        <v>3222</v>
      </c>
      <c r="L54" s="1379">
        <f t="shared" si="87"/>
        <v>690</v>
      </c>
      <c r="M54" s="542">
        <f t="shared" si="87"/>
        <v>2478</v>
      </c>
      <c r="N54" s="542">
        <f t="shared" si="87"/>
        <v>2412</v>
      </c>
      <c r="O54" s="542">
        <f t="shared" si="87"/>
        <v>624</v>
      </c>
      <c r="P54" s="542">
        <f t="shared" si="87"/>
        <v>2460</v>
      </c>
      <c r="Q54" s="542">
        <f t="shared" si="87"/>
        <v>2880</v>
      </c>
      <c r="R54" s="542">
        <f t="shared" si="87"/>
        <v>1044</v>
      </c>
      <c r="S54" s="542">
        <f t="shared" si="87"/>
        <v>2802</v>
      </c>
      <c r="T54" s="542">
        <f t="shared" si="87"/>
        <v>2490</v>
      </c>
      <c r="U54" s="542">
        <f t="shared" si="87"/>
        <v>732</v>
      </c>
      <c r="V54" s="542">
        <f t="shared" si="87"/>
        <v>3024</v>
      </c>
      <c r="W54" s="542">
        <f t="shared" si="87"/>
        <v>2694</v>
      </c>
      <c r="X54" s="542">
        <f t="shared" si="87"/>
        <v>402</v>
      </c>
      <c r="Y54" s="542">
        <f t="shared" si="87"/>
        <v>2388</v>
      </c>
      <c r="Z54" s="542">
        <f t="shared" si="87"/>
        <v>2580</v>
      </c>
      <c r="AA54" s="542">
        <f t="shared" si="87"/>
        <v>594</v>
      </c>
      <c r="AB54" s="542">
        <f t="shared" si="87"/>
        <v>2388</v>
      </c>
      <c r="AC54" s="542">
        <f t="shared" si="87"/>
        <v>1800</v>
      </c>
      <c r="AD54" s="542">
        <f t="shared" si="87"/>
        <v>6</v>
      </c>
      <c r="AG54" s="92">
        <f t="shared" ref="AG54:AO54" si="88">SUM(AG19:AG39)</f>
        <v>0</v>
      </c>
      <c r="AH54" s="93">
        <f t="shared" si="88"/>
        <v>0</v>
      </c>
      <c r="AI54" s="94">
        <f t="shared" si="88"/>
        <v>0</v>
      </c>
      <c r="AJ54" s="95">
        <f t="shared" si="88"/>
        <v>0</v>
      </c>
      <c r="AK54" s="93">
        <f t="shared" si="88"/>
        <v>0</v>
      </c>
      <c r="AL54" s="94">
        <f t="shared" si="88"/>
        <v>0</v>
      </c>
      <c r="AM54" s="92">
        <f t="shared" si="88"/>
        <v>0</v>
      </c>
      <c r="AN54" s="93">
        <f t="shared" si="88"/>
        <v>0</v>
      </c>
      <c r="AO54" s="94">
        <f t="shared" si="88"/>
        <v>0</v>
      </c>
      <c r="AP54" s="92">
        <f>SUM(AN19:AN39)</f>
        <v>0</v>
      </c>
      <c r="AQ54" s="93">
        <f t="shared" ref="AQ54:AX54" si="89">SUM(AQ19:AQ39)</f>
        <v>0</v>
      </c>
      <c r="AR54" s="94">
        <f t="shared" si="89"/>
        <v>0</v>
      </c>
      <c r="AS54" s="92">
        <f t="shared" si="89"/>
        <v>0</v>
      </c>
      <c r="AT54" s="93">
        <f t="shared" si="89"/>
        <v>0</v>
      </c>
      <c r="AU54" s="94">
        <f t="shared" si="89"/>
        <v>0</v>
      </c>
      <c r="AV54" s="92">
        <f t="shared" si="89"/>
        <v>0</v>
      </c>
      <c r="AW54" s="93">
        <f t="shared" si="89"/>
        <v>0</v>
      </c>
      <c r="AX54" s="94">
        <f t="shared" si="89"/>
        <v>0</v>
      </c>
      <c r="AY54" s="92">
        <f>SUM(AW19:AW39)</f>
        <v>0</v>
      </c>
      <c r="AZ54" s="93">
        <f>SUM(AZ19:AZ39)</f>
        <v>0</v>
      </c>
      <c r="BA54" s="94">
        <f>SUM(BA19:BA39)</f>
        <v>0</v>
      </c>
      <c r="BB54" s="1" t="s">
        <v>64</v>
      </c>
      <c r="BC54" s="101">
        <f>ROUNDUP(N54/$BC$13,0)</f>
        <v>603</v>
      </c>
      <c r="BD54" s="101">
        <f>ROUNDUP(Q54/$BD$13,0)</f>
        <v>576</v>
      </c>
      <c r="BE54" s="101">
        <f>ROUNDUP(T54/$BE$13,0)</f>
        <v>623</v>
      </c>
      <c r="BF54" s="101">
        <f>ROUNDUP(W54/$BF$13,0)</f>
        <v>539</v>
      </c>
      <c r="BG54" s="101">
        <f>ROUNDUP(Z54/$BG$13,0)</f>
        <v>645</v>
      </c>
      <c r="BH54" s="101">
        <f>ROUNDUP(AC54/$BH$13,0)</f>
        <v>450</v>
      </c>
    </row>
    <row r="55" spans="1:61" ht="20.100000000000001" customHeight="1">
      <c r="B55" s="1518" t="s">
        <v>25</v>
      </c>
      <c r="C55" s="1519"/>
      <c r="D55" s="1519"/>
      <c r="E55" s="1519"/>
      <c r="F55" s="1519"/>
      <c r="G55" s="1519"/>
      <c r="H55" s="1520"/>
      <c r="I55" s="1451" t="str">
        <f>I11</f>
        <v>FEB</v>
      </c>
      <c r="J55" s="1452"/>
      <c r="K55" s="1453"/>
      <c r="L55" s="1451" t="str">
        <f>L11</f>
        <v>MAR</v>
      </c>
      <c r="M55" s="1452"/>
      <c r="N55" s="1453"/>
      <c r="O55" s="1451" t="str">
        <f>O11</f>
        <v>APR</v>
      </c>
      <c r="P55" s="1452"/>
      <c r="Q55" s="1453"/>
      <c r="R55" s="1451" t="str">
        <f>R11</f>
        <v>MAY</v>
      </c>
      <c r="S55" s="1452"/>
      <c r="T55" s="1453"/>
      <c r="U55" s="1451" t="str">
        <f>U11</f>
        <v>JUN</v>
      </c>
      <c r="V55" s="1452"/>
      <c r="W55" s="1453"/>
      <c r="X55" s="1451" t="str">
        <f>X11</f>
        <v>JUL</v>
      </c>
      <c r="Y55" s="1452"/>
      <c r="Z55" s="1453"/>
      <c r="AA55" s="1451" t="str">
        <f>AA11</f>
        <v>AUG</v>
      </c>
      <c r="AB55" s="1452"/>
      <c r="AC55" s="1453"/>
      <c r="AD55" s="2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C55" s="259">
        <f t="shared" ref="BC55:BH55" si="90">SUM(BC14:BC53)</f>
        <v>1092</v>
      </c>
      <c r="BD55" s="259">
        <f t="shared" si="90"/>
        <v>1063</v>
      </c>
      <c r="BE55" s="259">
        <f t="shared" si="90"/>
        <v>1122</v>
      </c>
      <c r="BF55" s="259">
        <f t="shared" si="90"/>
        <v>990</v>
      </c>
      <c r="BG55" s="259">
        <f t="shared" si="90"/>
        <v>1172</v>
      </c>
      <c r="BH55" s="259">
        <f t="shared" si="90"/>
        <v>805</v>
      </c>
    </row>
    <row r="56" spans="1:61" ht="20.100000000000001" customHeight="1">
      <c r="B56" s="1395" t="s">
        <v>120</v>
      </c>
      <c r="C56" s="1396"/>
      <c r="D56" s="1396"/>
      <c r="E56" s="1396"/>
      <c r="F56" s="1396"/>
      <c r="G56" s="1396"/>
      <c r="H56" s="1397"/>
      <c r="I56" s="1439">
        <f>+'[5]SPP (Plan)'!$F$14</f>
        <v>19</v>
      </c>
      <c r="J56" s="1439"/>
      <c r="K56" s="1439"/>
      <c r="L56" s="1439">
        <f>+'[5]SPP (Plan)'!$I$14</f>
        <v>17</v>
      </c>
      <c r="M56" s="1439"/>
      <c r="N56" s="1439"/>
      <c r="O56" s="1439">
        <f>+'[5]SPP (Plan)'!$L$14</f>
        <v>22</v>
      </c>
      <c r="P56" s="1439"/>
      <c r="Q56" s="1439"/>
      <c r="R56" s="1439">
        <f>+'[5]SPP (Plan)'!$O$14</f>
        <v>18</v>
      </c>
      <c r="S56" s="1439"/>
      <c r="T56" s="1439"/>
      <c r="U56" s="1439">
        <f>+'[5]SPP (Plan)'!$R$14</f>
        <v>23</v>
      </c>
      <c r="V56" s="1439"/>
      <c r="W56" s="1439"/>
      <c r="X56" s="1439">
        <f>+'[5]SPP (Plan)'!$U$14</f>
        <v>22</v>
      </c>
      <c r="Y56" s="1439"/>
      <c r="Z56" s="1439"/>
      <c r="AA56" s="1439">
        <f>+'[5]SPP (Plan)'!$X$14</f>
        <v>19</v>
      </c>
      <c r="AB56" s="1439"/>
      <c r="AC56" s="1439"/>
      <c r="AD56" s="2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61" ht="20.100000000000001" customHeight="1" thickBot="1">
      <c r="B57" s="1425" t="s">
        <v>12</v>
      </c>
      <c r="C57" s="1426"/>
      <c r="D57" s="1426"/>
      <c r="E57" s="1426"/>
      <c r="F57" s="1426"/>
      <c r="G57" s="1426"/>
      <c r="H57" s="1427"/>
      <c r="I57" s="1402">
        <f>+'[5]SPP (Plan)'!$F$15</f>
        <v>5</v>
      </c>
      <c r="J57" s="1403"/>
      <c r="K57" s="1404"/>
      <c r="L57" s="1402">
        <f>+'[5]SPP (Plan)'!$I$15</f>
        <v>3</v>
      </c>
      <c r="M57" s="1403"/>
      <c r="N57" s="1404"/>
      <c r="O57" s="1402">
        <f>+'[5]SPP (Plan)'!$L$15</f>
        <v>2</v>
      </c>
      <c r="P57" s="1403"/>
      <c r="Q57" s="1404"/>
      <c r="R57" s="1402">
        <f>+'[5]SPP (Plan)'!$O$15</f>
        <v>2</v>
      </c>
      <c r="S57" s="1403"/>
      <c r="T57" s="1404"/>
      <c r="U57" s="1402">
        <f>+'[5]SPP (Plan)'!$R$15</f>
        <v>2</v>
      </c>
      <c r="V57" s="1403"/>
      <c r="W57" s="1404"/>
      <c r="X57" s="1402">
        <f>+'[5]SPP (Plan)'!$U$15</f>
        <v>2</v>
      </c>
      <c r="Y57" s="1403"/>
      <c r="Z57" s="1404"/>
      <c r="AA57" s="1402">
        <f>+'[5]SPP (Plan)'!$X$15</f>
        <v>2</v>
      </c>
      <c r="AB57" s="1403"/>
      <c r="AC57" s="1404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61" ht="20.100000000000001" customHeight="1">
      <c r="B58" s="2"/>
      <c r="C58" s="28"/>
      <c r="D58" s="28"/>
      <c r="E58" s="28"/>
      <c r="F58" s="28"/>
      <c r="G58" s="28"/>
      <c r="H58" s="28"/>
      <c r="I58" s="29"/>
      <c r="J58" s="29"/>
      <c r="K58" s="29" t="str">
        <f>IF(K54-J54+I54=L54,"ok","false")</f>
        <v>ok</v>
      </c>
      <c r="L58" s="29"/>
      <c r="N58" s="29" t="str">
        <f>IF(N54-M54+L54=O54,"ok","false")</f>
        <v>ok</v>
      </c>
      <c r="O58" s="29"/>
      <c r="P58" s="29"/>
      <c r="Q58" s="29" t="str">
        <f>IF(Q54-P54+O54=R54,"ok","false")</f>
        <v>ok</v>
      </c>
      <c r="R58" s="29"/>
      <c r="T58" s="29" t="str">
        <f>IF(T54-S54+R54=U54,"ok","false")</f>
        <v>ok</v>
      </c>
      <c r="U58" s="2"/>
      <c r="V58" s="2"/>
      <c r="W58" s="29" t="str">
        <f>IF(W54-V54+U54=X54,"ok","false")</f>
        <v>ok</v>
      </c>
      <c r="X58" s="2"/>
      <c r="Y58" s="2"/>
      <c r="Z58" s="29" t="str">
        <f>IF(Z54-Y54+X54=AA54,"ok","false")</f>
        <v>ok</v>
      </c>
      <c r="AC58" s="29" t="str">
        <f>IF(AC54-AB54+AA54=AD54,"ok","false")</f>
        <v>ok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61" s="452" customFormat="1" ht="19.5" customHeight="1">
      <c r="B59" s="480"/>
      <c r="C59" s="481"/>
      <c r="D59" s="481"/>
      <c r="E59" s="481"/>
      <c r="F59" s="481"/>
      <c r="G59" s="481"/>
      <c r="H59" s="481"/>
      <c r="I59" s="482">
        <v>820</v>
      </c>
      <c r="J59" s="482">
        <v>3352</v>
      </c>
      <c r="K59" s="482">
        <v>3252</v>
      </c>
      <c r="L59" s="482">
        <v>720</v>
      </c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2"/>
      <c r="AB59" s="482"/>
      <c r="AC59" s="482"/>
      <c r="AD59" s="482"/>
    </row>
    <row r="60" spans="1:61" ht="20.100000000000001" customHeight="1">
      <c r="B60" s="30"/>
      <c r="C60" s="31"/>
      <c r="D60" s="31"/>
      <c r="E60" s="31"/>
      <c r="F60" s="31"/>
      <c r="G60" s="31"/>
      <c r="H60" s="31"/>
      <c r="I60" s="32">
        <f>I54-I59</f>
        <v>0</v>
      </c>
      <c r="J60" s="32">
        <f>J54-J59</f>
        <v>0</v>
      </c>
      <c r="K60" s="32">
        <f>K54-K59</f>
        <v>-30</v>
      </c>
      <c r="L60" s="32">
        <f>L54-L59</f>
        <v>-30</v>
      </c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61" ht="20.100000000000001" customHeight="1">
      <c r="B61" s="30"/>
      <c r="C61" s="31"/>
      <c r="D61" s="31"/>
      <c r="E61" s="31"/>
      <c r="F61" s="31"/>
      <c r="G61" s="31"/>
      <c r="H61" s="31"/>
      <c r="I61" s="32"/>
      <c r="J61" s="35">
        <f>+[6]GUM!$M$54</f>
        <v>3352</v>
      </c>
      <c r="K61" s="34"/>
      <c r="L61" s="32"/>
      <c r="M61" s="35">
        <f>+[1]Sheet1!$I$89</f>
        <v>2478</v>
      </c>
      <c r="O61" s="32"/>
      <c r="P61" s="35">
        <f>+[1]Sheet1!$O$89</f>
        <v>2460</v>
      </c>
      <c r="S61" s="35">
        <f>+[1]Sheet1!$U$89</f>
        <v>2802</v>
      </c>
      <c r="V61" s="35">
        <f>+[1]Sheet1!$AA$89</f>
        <v>3024</v>
      </c>
      <c r="Y61" s="35">
        <f>+[1]Sheet1!$AG$89</f>
        <v>2388</v>
      </c>
      <c r="AB61" s="1047">
        <f>+Y61</f>
        <v>2388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61" ht="20.100000000000001" customHeight="1">
      <c r="B62" s="30"/>
      <c r="C62" s="31"/>
      <c r="D62" s="31"/>
      <c r="E62" s="31"/>
      <c r="F62" s="31"/>
      <c r="G62" s="31"/>
      <c r="H62" s="31"/>
      <c r="I62" s="32"/>
      <c r="J62" s="33">
        <f>+J54-J61</f>
        <v>0</v>
      </c>
      <c r="K62" s="33"/>
      <c r="L62" s="33"/>
      <c r="M62" s="33">
        <f>+M54-M61</f>
        <v>0</v>
      </c>
      <c r="O62" s="32"/>
      <c r="P62" s="33">
        <f>+P54-P61</f>
        <v>0</v>
      </c>
      <c r="S62" s="33">
        <f>+S54-S61</f>
        <v>0</v>
      </c>
      <c r="V62" s="33">
        <f>+V54-V61</f>
        <v>0</v>
      </c>
      <c r="Y62" s="33">
        <f>+Y54-Y61</f>
        <v>0</v>
      </c>
      <c r="AB62" s="33">
        <f>+Y62</f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61" ht="17.25" customHeight="1">
      <c r="C63" s="258"/>
      <c r="D63" s="258"/>
      <c r="E63" s="258"/>
      <c r="F63" s="258"/>
      <c r="G63" s="258"/>
      <c r="H63" s="258"/>
      <c r="I63" s="258"/>
      <c r="J63" s="533"/>
      <c r="K63" s="258"/>
      <c r="L63" s="1440" t="s">
        <v>24</v>
      </c>
      <c r="M63" s="1440"/>
      <c r="N63" s="1440"/>
      <c r="O63" s="1440"/>
      <c r="P63" s="1440"/>
      <c r="Q63" s="1440"/>
      <c r="R63" s="258"/>
      <c r="S63" s="258"/>
      <c r="T63" s="258"/>
      <c r="U63" s="258"/>
      <c r="V63" s="258"/>
      <c r="W63" s="258"/>
      <c r="X63" s="258"/>
      <c r="Y63" s="258"/>
      <c r="Z63" s="258"/>
      <c r="AA63" s="258"/>
      <c r="AB63" s="258"/>
      <c r="AC63" s="258"/>
      <c r="AD63" s="258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61" ht="18.75" customHeight="1">
      <c r="B64" s="2"/>
      <c r="C64" s="2"/>
      <c r="D64" s="2"/>
      <c r="E64" s="2"/>
      <c r="F64" s="74"/>
      <c r="G64" s="74"/>
      <c r="J64" s="75"/>
      <c r="K64" s="75"/>
      <c r="L64" s="1435" t="str">
        <f>K2</f>
        <v>TOYOTA 359D</v>
      </c>
      <c r="M64" s="1435"/>
      <c r="N64" s="1435"/>
      <c r="O64" s="1435"/>
      <c r="P64" s="1435"/>
      <c r="Q64" s="1435"/>
      <c r="R64" s="75"/>
      <c r="S64" s="75"/>
      <c r="T64" s="75"/>
      <c r="U64" s="75"/>
      <c r="V64" s="71"/>
      <c r="W64" s="70"/>
      <c r="X64" s="70"/>
      <c r="Y64" s="70"/>
      <c r="Z64" s="70"/>
      <c r="AA64" s="1448"/>
      <c r="AB64" s="1448"/>
      <c r="AC64" s="1448"/>
      <c r="AD64" s="1448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61" ht="17.25" customHeight="1">
      <c r="B65" s="2" t="str">
        <f>B3</f>
        <v>S/R NO   : JAI-2026-2.26</v>
      </c>
      <c r="C65" s="74"/>
      <c r="D65" s="74"/>
      <c r="E65" s="74"/>
      <c r="F65" s="74"/>
      <c r="G65" s="74"/>
      <c r="H65" s="74"/>
      <c r="J65" s="76"/>
      <c r="K65" s="76"/>
      <c r="L65" s="1434" t="str">
        <f>K3</f>
        <v>Periode : MAR 2026</v>
      </c>
      <c r="M65" s="1434"/>
      <c r="N65" s="1434"/>
      <c r="O65" s="1434"/>
      <c r="P65" s="1434"/>
      <c r="Q65" s="1434"/>
      <c r="R65" s="76"/>
      <c r="S65" s="76"/>
      <c r="T65" s="76"/>
      <c r="U65" s="76"/>
      <c r="V65" s="71"/>
      <c r="W65" s="70"/>
      <c r="X65" s="70"/>
      <c r="Y65" s="70"/>
      <c r="Z65" s="70"/>
      <c r="AA65" s="71"/>
      <c r="AB65" s="71"/>
      <c r="AC65" s="72"/>
      <c r="AD65" s="69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61" ht="14.1" customHeight="1">
      <c r="B66" s="2" t="str">
        <f>B4</f>
        <v>FAX NO   : EMAIL</v>
      </c>
      <c r="C66" s="2"/>
      <c r="D66" s="2"/>
      <c r="E66" s="2"/>
      <c r="F66" s="2"/>
      <c r="G66" s="2"/>
      <c r="J66" s="8"/>
      <c r="O66" s="7"/>
      <c r="R66" s="7"/>
      <c r="U66" s="2"/>
      <c r="V66" s="2"/>
      <c r="AA66" s="4"/>
      <c r="AB66" s="4"/>
      <c r="AC66" s="7"/>
      <c r="AD66" s="2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61" ht="12.75" customHeight="1">
      <c r="B67" s="2">
        <f>B5</f>
        <v>0</v>
      </c>
      <c r="C67" s="2"/>
      <c r="D67" s="2"/>
      <c r="E67" s="2"/>
      <c r="F67" s="2"/>
      <c r="G67" s="2"/>
      <c r="O67" s="7"/>
      <c r="R67" s="7"/>
      <c r="U67" s="2"/>
      <c r="V67" s="2"/>
      <c r="AB67" s="2"/>
      <c r="AC67" s="2"/>
      <c r="AD67" s="2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61" ht="12.95" customHeight="1">
      <c r="B68" s="73"/>
      <c r="C68" s="73"/>
      <c r="D68" s="73"/>
      <c r="E68" s="73"/>
      <c r="F68" s="2"/>
      <c r="G68" s="2"/>
      <c r="L68" s="1052">
        <f>L50+L52</f>
        <v>514</v>
      </c>
      <c r="M68" s="1052"/>
      <c r="N68" s="1052"/>
      <c r="O68" s="1052">
        <f>O50+O52</f>
        <v>586</v>
      </c>
      <c r="P68" s="1052"/>
      <c r="Q68" s="1052"/>
      <c r="R68" s="1052">
        <f>R50+R52</f>
        <v>988</v>
      </c>
      <c r="S68" s="1052"/>
      <c r="T68" s="1052"/>
      <c r="U68" s="1052">
        <f>U50+U52</f>
        <v>682</v>
      </c>
      <c r="V68" s="1052"/>
      <c r="W68" s="1052"/>
      <c r="X68" s="1052">
        <f>X50+X52</f>
        <v>340</v>
      </c>
      <c r="Y68" s="1052"/>
      <c r="Z68" s="1052"/>
      <c r="AA68" s="1052">
        <f>AA50+AA52</f>
        <v>550</v>
      </c>
      <c r="AB68" s="1052"/>
      <c r="AC68" s="1052"/>
      <c r="AD68" s="2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61" ht="3.75" hidden="1" customHeight="1">
      <c r="B69" s="2"/>
      <c r="C69" s="2"/>
      <c r="D69" s="2"/>
      <c r="E69" s="2"/>
      <c r="F69" s="2"/>
      <c r="G69" s="2"/>
      <c r="AA69" s="3"/>
      <c r="AB69" s="3"/>
      <c r="AC69" s="3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61" ht="12" customHeight="1">
      <c r="B70" s="2"/>
      <c r="C70" s="2"/>
      <c r="D70" s="2"/>
      <c r="E70" s="2"/>
      <c r="F70" s="2"/>
      <c r="G70" s="2"/>
      <c r="L70" s="1052">
        <f>L51</f>
        <v>176</v>
      </c>
      <c r="M70" s="1052"/>
      <c r="N70" s="1052"/>
      <c r="O70" s="1052">
        <f>O51</f>
        <v>38</v>
      </c>
      <c r="P70" s="1052"/>
      <c r="Q70" s="1052"/>
      <c r="R70" s="1052">
        <f>R51</f>
        <v>56</v>
      </c>
      <c r="S70" s="1052"/>
      <c r="T70" s="1052"/>
      <c r="U70" s="1052">
        <f>U51</f>
        <v>50</v>
      </c>
      <c r="V70" s="1052"/>
      <c r="W70" s="1052"/>
      <c r="X70" s="1052">
        <f>X51</f>
        <v>62</v>
      </c>
      <c r="Y70" s="1052"/>
      <c r="Z70" s="1052"/>
      <c r="AA70" s="1052">
        <f>AA51</f>
        <v>44</v>
      </c>
      <c r="AB70" s="1052"/>
      <c r="AC70" s="1052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61" ht="15.75" customHeight="1">
      <c r="B71" s="2"/>
      <c r="C71" s="2"/>
      <c r="D71" s="2"/>
      <c r="E71" s="2"/>
      <c r="F71" s="2"/>
      <c r="G71" s="2"/>
      <c r="O71" s="7"/>
      <c r="R71" s="7"/>
      <c r="U71" s="9"/>
      <c r="V71" s="9"/>
      <c r="W71" s="10"/>
      <c r="X71" s="9"/>
      <c r="Y71" s="9"/>
      <c r="Z71" s="10"/>
      <c r="AA71" s="1450"/>
      <c r="AB71" s="1450"/>
      <c r="AC71" s="1444"/>
      <c r="AD71" s="1444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61" ht="14.25" customHeight="1" thickBot="1">
      <c r="B72" s="12" t="s">
        <v>2</v>
      </c>
      <c r="C72" s="77">
        <f ca="1">NOW()</f>
        <v>46093.48149085648</v>
      </c>
      <c r="D72" s="13"/>
      <c r="E72" s="13"/>
      <c r="F72" s="14"/>
      <c r="G72" s="14"/>
      <c r="H72" s="15"/>
      <c r="M72" s="16"/>
      <c r="N72" s="16"/>
      <c r="O72" s="16"/>
      <c r="P72" s="17"/>
      <c r="S72" s="18"/>
      <c r="V72" s="18"/>
      <c r="Y72" s="18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61" ht="15.95" customHeight="1">
      <c r="A73" s="312"/>
      <c r="B73" s="1417" t="s">
        <v>3</v>
      </c>
      <c r="C73" s="1428" t="s">
        <v>4</v>
      </c>
      <c r="D73" s="1431" t="s">
        <v>5</v>
      </c>
      <c r="E73" s="1499" t="s">
        <v>6</v>
      </c>
      <c r="F73" s="1428" t="s">
        <v>7</v>
      </c>
      <c r="G73" s="1499" t="s">
        <v>30</v>
      </c>
      <c r="H73" s="483"/>
      <c r="I73" s="1436" t="str">
        <f>I11</f>
        <v>FEB</v>
      </c>
      <c r="J73" s="1437"/>
      <c r="K73" s="1438"/>
      <c r="L73" s="1436" t="str">
        <f>L11</f>
        <v>MAR</v>
      </c>
      <c r="M73" s="1437"/>
      <c r="N73" s="1438"/>
      <c r="O73" s="1436" t="str">
        <f>O11</f>
        <v>APR</v>
      </c>
      <c r="P73" s="1437"/>
      <c r="Q73" s="1438"/>
      <c r="R73" s="1436" t="str">
        <f>R11</f>
        <v>MAY</v>
      </c>
      <c r="S73" s="1437"/>
      <c r="T73" s="1438"/>
      <c r="U73" s="1436" t="str">
        <f>U11</f>
        <v>JUN</v>
      </c>
      <c r="V73" s="1437"/>
      <c r="W73" s="1438"/>
      <c r="X73" s="1436" t="str">
        <f>X11</f>
        <v>JUL</v>
      </c>
      <c r="Y73" s="1437"/>
      <c r="Z73" s="1438"/>
      <c r="AA73" s="1436" t="str">
        <f>AA11</f>
        <v>AUG</v>
      </c>
      <c r="AB73" s="1437"/>
      <c r="AC73" s="1438"/>
      <c r="AD73" s="1428" t="s">
        <v>8</v>
      </c>
      <c r="AG73" s="1445" t="str">
        <f>I73</f>
        <v>FEB</v>
      </c>
      <c r="AH73" s="1446"/>
      <c r="AI73" s="1447"/>
      <c r="AJ73" s="1445" t="str">
        <f>L73</f>
        <v>MAR</v>
      </c>
      <c r="AK73" s="1446"/>
      <c r="AL73" s="1447"/>
      <c r="AM73" s="1445" t="str">
        <f>O73</f>
        <v>APR</v>
      </c>
      <c r="AN73" s="1446"/>
      <c r="AO73" s="1447"/>
      <c r="AP73" s="1445" t="str">
        <f>R73</f>
        <v>MAY</v>
      </c>
      <c r="AQ73" s="1446"/>
      <c r="AR73" s="1447"/>
      <c r="AS73" s="1445" t="str">
        <f>U73</f>
        <v>JUN</v>
      </c>
      <c r="AT73" s="1446"/>
      <c r="AU73" s="1447"/>
      <c r="AV73" s="1445" t="str">
        <f>X73</f>
        <v>JUL</v>
      </c>
      <c r="AW73" s="1446"/>
      <c r="AX73" s="1447"/>
      <c r="AY73" s="1445" t="str">
        <f>AA73</f>
        <v>AUG</v>
      </c>
      <c r="AZ73" s="1446"/>
      <c r="BA73" s="1447"/>
    </row>
    <row r="74" spans="1:61" s="19" customFormat="1" ht="15.95" customHeight="1">
      <c r="A74" s="313"/>
      <c r="B74" s="1418"/>
      <c r="C74" s="1429"/>
      <c r="D74" s="1432"/>
      <c r="E74" s="1500"/>
      <c r="F74" s="1429"/>
      <c r="G74" s="1500"/>
      <c r="H74" s="1093" t="str">
        <f>H12</f>
        <v>UMH</v>
      </c>
      <c r="I74" s="1414" t="str">
        <f>I12</f>
        <v>02/FEB ~ 27/FEB</v>
      </c>
      <c r="J74" s="1415"/>
      <c r="K74" s="1416"/>
      <c r="L74" s="1414" t="str">
        <f>L12</f>
        <v>02/MAR ~ 31/MAR</v>
      </c>
      <c r="M74" s="1415"/>
      <c r="N74" s="1416"/>
      <c r="O74" s="1414" t="str">
        <f>O12</f>
        <v>01/APR ~ 30/APR</v>
      </c>
      <c r="P74" s="1415"/>
      <c r="Q74" s="1416"/>
      <c r="R74" s="1414" t="str">
        <f>R12</f>
        <v>02/MAY ~ 30/MAY</v>
      </c>
      <c r="S74" s="1415"/>
      <c r="T74" s="1416"/>
      <c r="U74" s="1414" t="str">
        <f>U12</f>
        <v>02/JUN ~ 30/JUN</v>
      </c>
      <c r="V74" s="1415"/>
      <c r="W74" s="1416"/>
      <c r="X74" s="1414" t="str">
        <f>X12</f>
        <v>01/JUL ~ 31/JUL</v>
      </c>
      <c r="Y74" s="1415"/>
      <c r="Z74" s="1416"/>
      <c r="AA74" s="1414" t="str">
        <f>AA12</f>
        <v>03/AUG ~ 31/AUG</v>
      </c>
      <c r="AB74" s="1415"/>
      <c r="AC74" s="1416"/>
      <c r="AD74" s="1429"/>
      <c r="AE74" s="1"/>
      <c r="AF74" s="1"/>
      <c r="AG74" s="1449" t="str">
        <f>I74</f>
        <v>02/FEB ~ 27/FEB</v>
      </c>
      <c r="AH74" s="1442"/>
      <c r="AI74" s="1443"/>
      <c r="AJ74" s="1441" t="str">
        <f>L74</f>
        <v>02/MAR ~ 31/MAR</v>
      </c>
      <c r="AK74" s="1442"/>
      <c r="AL74" s="1443"/>
      <c r="AM74" s="1441" t="str">
        <f>O74</f>
        <v>01/APR ~ 30/APR</v>
      </c>
      <c r="AN74" s="1442"/>
      <c r="AO74" s="1443"/>
      <c r="AP74" s="1441" t="str">
        <f>R74</f>
        <v>02/MAY ~ 30/MAY</v>
      </c>
      <c r="AQ74" s="1442"/>
      <c r="AR74" s="1443"/>
      <c r="AS74" s="1441" t="str">
        <f>U74</f>
        <v>02/JUN ~ 30/JUN</v>
      </c>
      <c r="AT74" s="1442"/>
      <c r="AU74" s="1443"/>
      <c r="AV74" s="1441" t="str">
        <f>X74</f>
        <v>01/JUL ~ 31/JUL</v>
      </c>
      <c r="AW74" s="1442"/>
      <c r="AX74" s="1443"/>
      <c r="AY74" s="1441" t="str">
        <f>AA74</f>
        <v>03/AUG ~ 31/AUG</v>
      </c>
      <c r="AZ74" s="1442"/>
      <c r="BA74" s="1443"/>
      <c r="BC74" s="99" t="str">
        <f>L73</f>
        <v>MAR</v>
      </c>
      <c r="BD74" s="100" t="str">
        <f>O73</f>
        <v>APR</v>
      </c>
      <c r="BE74" s="100" t="str">
        <f>R73</f>
        <v>MAY</v>
      </c>
      <c r="BF74" s="100" t="str">
        <f>U73</f>
        <v>JUN</v>
      </c>
      <c r="BG74" s="100" t="str">
        <f>X73</f>
        <v>JUL</v>
      </c>
      <c r="BH74" s="100" t="str">
        <f>AA73</f>
        <v>AUG</v>
      </c>
    </row>
    <row r="75" spans="1:61" ht="15.95" customHeight="1" thickBot="1">
      <c r="A75" s="314"/>
      <c r="B75" s="1419"/>
      <c r="C75" s="1430"/>
      <c r="D75" s="1433"/>
      <c r="E75" s="1501"/>
      <c r="F75" s="1430"/>
      <c r="G75" s="1501"/>
      <c r="H75" s="1094">
        <f>H13</f>
        <v>0</v>
      </c>
      <c r="I75" s="20" t="s">
        <v>8</v>
      </c>
      <c r="J75" s="21" t="s">
        <v>9</v>
      </c>
      <c r="K75" s="22" t="s">
        <v>10</v>
      </c>
      <c r="L75" s="20" t="s">
        <v>8</v>
      </c>
      <c r="M75" s="21" t="s">
        <v>9</v>
      </c>
      <c r="N75" s="22" t="s">
        <v>10</v>
      </c>
      <c r="O75" s="20" t="s">
        <v>8</v>
      </c>
      <c r="P75" s="21" t="s">
        <v>9</v>
      </c>
      <c r="Q75" s="22" t="s">
        <v>10</v>
      </c>
      <c r="R75" s="20" t="s">
        <v>8</v>
      </c>
      <c r="S75" s="21" t="s">
        <v>9</v>
      </c>
      <c r="T75" s="22" t="s">
        <v>10</v>
      </c>
      <c r="U75" s="20" t="s">
        <v>8</v>
      </c>
      <c r="V75" s="21" t="s">
        <v>9</v>
      </c>
      <c r="W75" s="22" t="s">
        <v>10</v>
      </c>
      <c r="X75" s="20" t="s">
        <v>8</v>
      </c>
      <c r="Y75" s="21" t="s">
        <v>9</v>
      </c>
      <c r="Z75" s="22" t="s">
        <v>10</v>
      </c>
      <c r="AA75" s="20" t="s">
        <v>8</v>
      </c>
      <c r="AB75" s="21" t="s">
        <v>9</v>
      </c>
      <c r="AC75" s="22" t="s">
        <v>10</v>
      </c>
      <c r="AD75" s="1430"/>
      <c r="AG75" s="87" t="str">
        <f>I75</f>
        <v>BAL</v>
      </c>
      <c r="AH75" s="88" t="str">
        <f>J75</f>
        <v>DEL</v>
      </c>
      <c r="AI75" s="89" t="str">
        <f>K75</f>
        <v>PROD</v>
      </c>
      <c r="AJ75" s="90" t="str">
        <f>L75</f>
        <v>BAL</v>
      </c>
      <c r="AK75" s="88" t="str">
        <f>M75</f>
        <v>DEL</v>
      </c>
      <c r="AL75" s="91" t="str">
        <f>N75</f>
        <v>PROD</v>
      </c>
      <c r="AM75" s="87" t="str">
        <f>O75</f>
        <v>BAL</v>
      </c>
      <c r="AN75" s="88" t="str">
        <f>P75</f>
        <v>DEL</v>
      </c>
      <c r="AO75" s="89" t="str">
        <f>Q75</f>
        <v>PROD</v>
      </c>
      <c r="AP75" s="90" t="str">
        <f>R75</f>
        <v>BAL</v>
      </c>
      <c r="AQ75" s="88" t="str">
        <f>S75</f>
        <v>DEL</v>
      </c>
      <c r="AR75" s="91" t="str">
        <f>T75</f>
        <v>PROD</v>
      </c>
      <c r="AS75" s="87" t="str">
        <f>U75</f>
        <v>BAL</v>
      </c>
      <c r="AT75" s="88" t="str">
        <f>V75</f>
        <v>DEL</v>
      </c>
      <c r="AU75" s="89" t="str">
        <f>W75</f>
        <v>PROD</v>
      </c>
      <c r="AV75" s="90" t="str">
        <f>X75</f>
        <v>BAL</v>
      </c>
      <c r="AW75" s="88" t="str">
        <f>Y75</f>
        <v>DEL</v>
      </c>
      <c r="AX75" s="91" t="str">
        <f>Z75</f>
        <v>PROD</v>
      </c>
      <c r="AY75" s="87" t="str">
        <f>AA75</f>
        <v>BAL</v>
      </c>
      <c r="AZ75" s="88" t="str">
        <f>AB75</f>
        <v>DEL</v>
      </c>
      <c r="BA75" s="89" t="str">
        <f>AC75</f>
        <v>PROD</v>
      </c>
      <c r="BB75" s="82"/>
      <c r="BC75" s="99" t="e">
        <f>#REF!</f>
        <v>#REF!</v>
      </c>
      <c r="BD75" s="99" t="e">
        <f>#REF!</f>
        <v>#REF!</v>
      </c>
      <c r="BE75" s="99" t="e">
        <f>#REF!</f>
        <v>#REF!</v>
      </c>
      <c r="BF75" s="99" t="e">
        <f>#REF!</f>
        <v>#REF!</v>
      </c>
      <c r="BG75" s="99">
        <v>4</v>
      </c>
      <c r="BH75" s="99" t="e">
        <f>#REF!</f>
        <v>#REF!</v>
      </c>
      <c r="BI75" s="96"/>
    </row>
    <row r="76" spans="1:61" s="113" customFormat="1" ht="20.100000000000001" hidden="1" customHeight="1" thickBot="1">
      <c r="A76" s="1420" t="s">
        <v>198</v>
      </c>
      <c r="B76" s="1180"/>
      <c r="C76" s="1169">
        <f t="shared" ref="C76:D93" si="91">C14</f>
        <v>0</v>
      </c>
      <c r="D76" s="104">
        <f t="shared" si="91"/>
        <v>0</v>
      </c>
      <c r="E76" s="104">
        <f>+E14</f>
        <v>0</v>
      </c>
      <c r="F76" s="1021"/>
      <c r="G76" s="1021">
        <f t="shared" ref="G76:G106" si="92">G14</f>
        <v>0</v>
      </c>
      <c r="H76" s="1095">
        <f>H14</f>
        <v>0</v>
      </c>
      <c r="I76" s="108">
        <f>$H14*I14</f>
        <v>0</v>
      </c>
      <c r="J76" s="109">
        <f t="shared" ref="J76:AC76" si="93">$H14*J14</f>
        <v>0</v>
      </c>
      <c r="K76" s="110">
        <f t="shared" si="93"/>
        <v>0</v>
      </c>
      <c r="L76" s="108">
        <f t="shared" si="93"/>
        <v>0</v>
      </c>
      <c r="M76" s="109">
        <f>$H14*M14</f>
        <v>0</v>
      </c>
      <c r="N76" s="110">
        <f t="shared" si="93"/>
        <v>0</v>
      </c>
      <c r="O76" s="108">
        <f t="shared" si="93"/>
        <v>0</v>
      </c>
      <c r="P76" s="109">
        <f t="shared" si="93"/>
        <v>0</v>
      </c>
      <c r="Q76" s="110">
        <f t="shared" si="93"/>
        <v>0</v>
      </c>
      <c r="R76" s="108">
        <f t="shared" si="93"/>
        <v>0</v>
      </c>
      <c r="S76" s="109">
        <f t="shared" si="93"/>
        <v>0</v>
      </c>
      <c r="T76" s="110">
        <f t="shared" si="93"/>
        <v>0</v>
      </c>
      <c r="U76" s="108">
        <f t="shared" si="93"/>
        <v>0</v>
      </c>
      <c r="V76" s="109">
        <f t="shared" si="93"/>
        <v>0</v>
      </c>
      <c r="W76" s="110">
        <f t="shared" si="93"/>
        <v>0</v>
      </c>
      <c r="X76" s="108">
        <f t="shared" si="93"/>
        <v>0</v>
      </c>
      <c r="Y76" s="109">
        <f t="shared" si="93"/>
        <v>0</v>
      </c>
      <c r="Z76" s="110">
        <f t="shared" si="93"/>
        <v>0</v>
      </c>
      <c r="AA76" s="108">
        <f t="shared" si="93"/>
        <v>0</v>
      </c>
      <c r="AB76" s="111">
        <f t="shared" si="93"/>
        <v>0</v>
      </c>
      <c r="AC76" s="507">
        <f t="shared" si="93"/>
        <v>0</v>
      </c>
      <c r="AD76" s="112">
        <f t="shared" ref="AD76:AD93" si="94">AD14*$H$14</f>
        <v>0</v>
      </c>
      <c r="AG76" s="114" t="e">
        <f>#REF!*AG14</f>
        <v>#REF!</v>
      </c>
      <c r="AH76" s="115">
        <f t="shared" ref="AH76:AY76" si="95">$H14*AH14</f>
        <v>0</v>
      </c>
      <c r="AI76" s="116">
        <f t="shared" si="95"/>
        <v>0</v>
      </c>
      <c r="AJ76" s="117">
        <f t="shared" si="95"/>
        <v>0</v>
      </c>
      <c r="AK76" s="115">
        <f t="shared" si="95"/>
        <v>0</v>
      </c>
      <c r="AL76" s="116">
        <f t="shared" si="95"/>
        <v>0</v>
      </c>
      <c r="AM76" s="117">
        <f t="shared" si="95"/>
        <v>0</v>
      </c>
      <c r="AN76" s="115">
        <f t="shared" si="95"/>
        <v>0</v>
      </c>
      <c r="AO76" s="116">
        <f t="shared" si="95"/>
        <v>0</v>
      </c>
      <c r="AP76" s="117">
        <f t="shared" si="95"/>
        <v>0</v>
      </c>
      <c r="AQ76" s="115">
        <f t="shared" si="95"/>
        <v>0</v>
      </c>
      <c r="AR76" s="116">
        <f t="shared" si="95"/>
        <v>0</v>
      </c>
      <c r="AS76" s="117">
        <f t="shared" si="95"/>
        <v>0</v>
      </c>
      <c r="AT76" s="115">
        <f t="shared" si="95"/>
        <v>0</v>
      </c>
      <c r="AU76" s="116">
        <f t="shared" si="95"/>
        <v>0</v>
      </c>
      <c r="AV76" s="117">
        <f t="shared" si="95"/>
        <v>0</v>
      </c>
      <c r="AW76" s="115">
        <f t="shared" si="95"/>
        <v>0</v>
      </c>
      <c r="AX76" s="116">
        <f t="shared" si="95"/>
        <v>0</v>
      </c>
      <c r="AY76" s="117">
        <f t="shared" si="95"/>
        <v>0</v>
      </c>
      <c r="AZ76" s="118">
        <f>Y76*$F76</f>
        <v>0</v>
      </c>
      <c r="BA76" s="119">
        <f>AC76*$F76</f>
        <v>0</v>
      </c>
      <c r="BB76" s="120"/>
      <c r="BC76" s="121">
        <f>ROUNDUP(N76/$BC$13,0)</f>
        <v>0</v>
      </c>
      <c r="BD76" s="121">
        <f>ROUNDUP(Q76/$BD$13,0)</f>
        <v>0</v>
      </c>
      <c r="BE76" s="121">
        <f>ROUNDUP(T76/$BE$13,0)</f>
        <v>0</v>
      </c>
      <c r="BF76" s="121">
        <f>ROUNDUP(W76/$BF$13,0)</f>
        <v>0</v>
      </c>
      <c r="BG76" s="121">
        <f>ROUNDUP(Z76/$BG$13,0)</f>
        <v>0</v>
      </c>
      <c r="BH76" s="121">
        <f>ROUNDUP(AC76/$BH$13,0)</f>
        <v>0</v>
      </c>
    </row>
    <row r="77" spans="1:61" s="113" customFormat="1" ht="20.100000000000001" customHeight="1" thickBot="1">
      <c r="A77" s="1421"/>
      <c r="B77" s="1392" t="s">
        <v>192</v>
      </c>
      <c r="C77" s="626" t="str">
        <f t="shared" si="91"/>
        <v>82111-FET00</v>
      </c>
      <c r="D77" s="302" t="str">
        <f t="shared" si="91"/>
        <v>A 0101</v>
      </c>
      <c r="E77" s="302"/>
      <c r="F77" s="502"/>
      <c r="G77" s="502">
        <f t="shared" si="92"/>
        <v>6</v>
      </c>
      <c r="H77" s="1096">
        <f>+VLOOKUP($C77,C15:H44,6,0)</f>
        <v>3.6741316666666668</v>
      </c>
      <c r="I77" s="245">
        <f t="shared" ref="I77:AC77" si="96">$H15*I15</f>
        <v>7.3482633333333336</v>
      </c>
      <c r="J77" s="246">
        <f t="shared" si="96"/>
        <v>0</v>
      </c>
      <c r="K77" s="247">
        <f t="shared" si="96"/>
        <v>0</v>
      </c>
      <c r="L77" s="245">
        <f t="shared" si="96"/>
        <v>7.3482633333333336</v>
      </c>
      <c r="M77" s="246">
        <f t="shared" si="96"/>
        <v>0</v>
      </c>
      <c r="N77" s="247">
        <f t="shared" si="96"/>
        <v>0</v>
      </c>
      <c r="O77" s="245">
        <f t="shared" si="96"/>
        <v>7.3482633333333336</v>
      </c>
      <c r="P77" s="246">
        <f t="shared" si="96"/>
        <v>0</v>
      </c>
      <c r="Q77" s="247">
        <f t="shared" si="96"/>
        <v>0</v>
      </c>
      <c r="R77" s="245">
        <f t="shared" si="96"/>
        <v>7.3482633333333336</v>
      </c>
      <c r="S77" s="246">
        <f t="shared" si="96"/>
        <v>0</v>
      </c>
      <c r="T77" s="247">
        <f t="shared" si="96"/>
        <v>0</v>
      </c>
      <c r="U77" s="245">
        <f t="shared" si="96"/>
        <v>7.3482633333333336</v>
      </c>
      <c r="V77" s="246">
        <f t="shared" si="96"/>
        <v>0</v>
      </c>
      <c r="W77" s="247">
        <f t="shared" si="96"/>
        <v>0</v>
      </c>
      <c r="X77" s="245">
        <f t="shared" si="96"/>
        <v>7.3482633333333336</v>
      </c>
      <c r="Y77" s="246">
        <f t="shared" si="96"/>
        <v>0</v>
      </c>
      <c r="Z77" s="247">
        <f t="shared" si="96"/>
        <v>0</v>
      </c>
      <c r="AA77" s="245">
        <f t="shared" si="96"/>
        <v>7.3482633333333336</v>
      </c>
      <c r="AB77" s="625">
        <f t="shared" si="96"/>
        <v>0</v>
      </c>
      <c r="AC77" s="624">
        <f t="shared" si="96"/>
        <v>0</v>
      </c>
      <c r="AD77" s="249">
        <f t="shared" si="94"/>
        <v>0</v>
      </c>
      <c r="AG77" s="114"/>
      <c r="AH77" s="115"/>
      <c r="AI77" s="116"/>
      <c r="AJ77" s="117"/>
      <c r="AK77" s="115"/>
      <c r="AL77" s="116"/>
      <c r="AM77" s="117"/>
      <c r="AN77" s="115"/>
      <c r="AO77" s="116"/>
      <c r="AP77" s="117"/>
      <c r="AQ77" s="115"/>
      <c r="AR77" s="116"/>
      <c r="AS77" s="117"/>
      <c r="AT77" s="115"/>
      <c r="AU77" s="116"/>
      <c r="AV77" s="117"/>
      <c r="AW77" s="115"/>
      <c r="AX77" s="116"/>
      <c r="AY77" s="117"/>
      <c r="AZ77" s="118"/>
      <c r="BA77" s="119"/>
      <c r="BB77" s="120"/>
      <c r="BC77" s="121"/>
      <c r="BD77" s="121"/>
      <c r="BE77" s="121"/>
      <c r="BF77" s="121"/>
      <c r="BG77" s="121"/>
      <c r="BH77" s="121"/>
    </row>
    <row r="78" spans="1:61" s="113" customFormat="1" ht="20.100000000000001" customHeight="1" thickBot="1">
      <c r="A78" s="1421"/>
      <c r="B78" s="1393"/>
      <c r="C78" s="510" t="str">
        <f t="shared" si="91"/>
        <v>82111-FET10</v>
      </c>
      <c r="D78" s="302" t="str">
        <f t="shared" si="91"/>
        <v>A 0101</v>
      </c>
      <c r="E78" s="123"/>
      <c r="F78" s="502"/>
      <c r="G78" s="502">
        <f t="shared" si="92"/>
        <v>6</v>
      </c>
      <c r="H78" s="1096">
        <f t="shared" ref="H78:H106" si="97">+VLOOKUP($C78,C16:H45,6,0)</f>
        <v>3.4624700000000006</v>
      </c>
      <c r="I78" s="245">
        <f t="shared" ref="I78:AC78" si="98">$H16*I16</f>
        <v>0</v>
      </c>
      <c r="J78" s="246">
        <f t="shared" si="98"/>
        <v>0</v>
      </c>
      <c r="K78" s="247">
        <f t="shared" si="98"/>
        <v>0</v>
      </c>
      <c r="L78" s="245">
        <f t="shared" si="98"/>
        <v>0</v>
      </c>
      <c r="M78" s="246">
        <f t="shared" si="98"/>
        <v>0</v>
      </c>
      <c r="N78" s="247">
        <f t="shared" si="98"/>
        <v>0</v>
      </c>
      <c r="O78" s="245">
        <f t="shared" si="98"/>
        <v>0</v>
      </c>
      <c r="P78" s="246">
        <f t="shared" si="98"/>
        <v>0</v>
      </c>
      <c r="Q78" s="247">
        <f t="shared" si="98"/>
        <v>0</v>
      </c>
      <c r="R78" s="245">
        <f t="shared" si="98"/>
        <v>0</v>
      </c>
      <c r="S78" s="246">
        <f t="shared" si="98"/>
        <v>0</v>
      </c>
      <c r="T78" s="247">
        <f t="shared" si="98"/>
        <v>0</v>
      </c>
      <c r="U78" s="245">
        <f t="shared" si="98"/>
        <v>0</v>
      </c>
      <c r="V78" s="246">
        <f t="shared" si="98"/>
        <v>0</v>
      </c>
      <c r="W78" s="247">
        <f t="shared" si="98"/>
        <v>0</v>
      </c>
      <c r="X78" s="245">
        <f t="shared" si="98"/>
        <v>0</v>
      </c>
      <c r="Y78" s="246">
        <f t="shared" si="98"/>
        <v>0</v>
      </c>
      <c r="Z78" s="247">
        <f t="shared" si="98"/>
        <v>0</v>
      </c>
      <c r="AA78" s="245">
        <f t="shared" si="98"/>
        <v>0</v>
      </c>
      <c r="AB78" s="625">
        <f t="shared" si="98"/>
        <v>0</v>
      </c>
      <c r="AC78" s="624">
        <f t="shared" si="98"/>
        <v>0</v>
      </c>
      <c r="AD78" s="249">
        <f t="shared" si="94"/>
        <v>0</v>
      </c>
      <c r="AG78" s="114" t="e">
        <f>#REF!*AG16</f>
        <v>#REF!</v>
      </c>
      <c r="AH78" s="115">
        <f t="shared" ref="AH78:AY78" si="99">$H16*AH16</f>
        <v>0</v>
      </c>
      <c r="AI78" s="116">
        <f t="shared" si="99"/>
        <v>0</v>
      </c>
      <c r="AJ78" s="117">
        <f t="shared" si="99"/>
        <v>0</v>
      </c>
      <c r="AK78" s="115">
        <f t="shared" si="99"/>
        <v>0</v>
      </c>
      <c r="AL78" s="116">
        <f t="shared" si="99"/>
        <v>0</v>
      </c>
      <c r="AM78" s="117">
        <f t="shared" si="99"/>
        <v>0</v>
      </c>
      <c r="AN78" s="115">
        <f t="shared" si="99"/>
        <v>0</v>
      </c>
      <c r="AO78" s="116">
        <f t="shared" si="99"/>
        <v>0</v>
      </c>
      <c r="AP78" s="117">
        <f t="shared" si="99"/>
        <v>0</v>
      </c>
      <c r="AQ78" s="115">
        <f t="shared" si="99"/>
        <v>0</v>
      </c>
      <c r="AR78" s="116">
        <f t="shared" si="99"/>
        <v>0</v>
      </c>
      <c r="AS78" s="117">
        <f t="shared" si="99"/>
        <v>0</v>
      </c>
      <c r="AT78" s="115">
        <f t="shared" si="99"/>
        <v>0</v>
      </c>
      <c r="AU78" s="116">
        <f t="shared" si="99"/>
        <v>0</v>
      </c>
      <c r="AV78" s="117">
        <f t="shared" si="99"/>
        <v>0</v>
      </c>
      <c r="AW78" s="115">
        <f t="shared" si="99"/>
        <v>0</v>
      </c>
      <c r="AX78" s="116">
        <f t="shared" si="99"/>
        <v>0</v>
      </c>
      <c r="AY78" s="117">
        <f t="shared" si="99"/>
        <v>0</v>
      </c>
      <c r="AZ78" s="118">
        <f>Y78*$F78</f>
        <v>0</v>
      </c>
      <c r="BA78" s="119">
        <f>AC78*$F78</f>
        <v>0</v>
      </c>
      <c r="BB78" s="120"/>
      <c r="BC78" s="121">
        <f>ROUNDUP(N78/$BC$13,0)</f>
        <v>0</v>
      </c>
      <c r="BD78" s="121">
        <f>ROUNDUP(Q78/$BD$13,0)</f>
        <v>0</v>
      </c>
      <c r="BE78" s="121">
        <f>ROUNDUP(T78/$BE$13,0)</f>
        <v>0</v>
      </c>
      <c r="BF78" s="121">
        <f>ROUNDUP(W78/$BF$13,0)</f>
        <v>0</v>
      </c>
      <c r="BG78" s="121">
        <f>ROUNDUP(Z78/$BG$13,0)</f>
        <v>0</v>
      </c>
      <c r="BH78" s="121">
        <f>ROUNDUP(AC78/$BH$13,0)</f>
        <v>0</v>
      </c>
    </row>
    <row r="79" spans="1:61" s="113" customFormat="1" ht="20.100000000000001" customHeight="1" thickBot="1">
      <c r="A79" s="1421"/>
      <c r="B79" s="1393"/>
      <c r="C79" s="626" t="str">
        <f t="shared" si="91"/>
        <v>82116-0ZY10</v>
      </c>
      <c r="D79" s="302" t="str">
        <f t="shared" si="91"/>
        <v>A 0101</v>
      </c>
      <c r="E79" s="302"/>
      <c r="F79" s="502"/>
      <c r="G79" s="502">
        <f t="shared" si="92"/>
        <v>6</v>
      </c>
      <c r="H79" s="1096">
        <f t="shared" si="97"/>
        <v>3.3610083333333334</v>
      </c>
      <c r="I79" s="245">
        <f t="shared" ref="I79:AC79" si="100">$H17*I17</f>
        <v>221.82655</v>
      </c>
      <c r="J79" s="246">
        <f t="shared" si="100"/>
        <v>887.30619999999999</v>
      </c>
      <c r="K79" s="247">
        <f t="shared" si="100"/>
        <v>988.13644999999997</v>
      </c>
      <c r="L79" s="245">
        <f t="shared" si="100"/>
        <v>322.65679999999998</v>
      </c>
      <c r="M79" s="246">
        <f t="shared" si="100"/>
        <v>604.98149999999998</v>
      </c>
      <c r="N79" s="247">
        <f t="shared" si="100"/>
        <v>322.65679999999998</v>
      </c>
      <c r="O79" s="245">
        <f t="shared" si="100"/>
        <v>40.332099999999997</v>
      </c>
      <c r="P79" s="246">
        <f t="shared" si="100"/>
        <v>322.65679999999998</v>
      </c>
      <c r="Q79" s="247">
        <f t="shared" si="100"/>
        <v>342.82285000000002</v>
      </c>
      <c r="R79" s="245">
        <f t="shared" si="100"/>
        <v>60.498150000000003</v>
      </c>
      <c r="S79" s="246">
        <f t="shared" si="100"/>
        <v>322.65679999999998</v>
      </c>
      <c r="T79" s="247">
        <f t="shared" si="100"/>
        <v>322.65679999999998</v>
      </c>
      <c r="U79" s="245">
        <f t="shared" si="100"/>
        <v>60.498150000000003</v>
      </c>
      <c r="V79" s="246">
        <f t="shared" si="100"/>
        <v>362.9889</v>
      </c>
      <c r="W79" s="247">
        <f t="shared" si="100"/>
        <v>302.49074999999999</v>
      </c>
      <c r="X79" s="245">
        <f t="shared" si="100"/>
        <v>0</v>
      </c>
      <c r="Y79" s="246">
        <f t="shared" si="100"/>
        <v>282.32470000000001</v>
      </c>
      <c r="Z79" s="247">
        <f t="shared" si="100"/>
        <v>282.32470000000001</v>
      </c>
      <c r="AA79" s="245">
        <f t="shared" si="100"/>
        <v>0</v>
      </c>
      <c r="AB79" s="625">
        <f t="shared" si="100"/>
        <v>282.32470000000001</v>
      </c>
      <c r="AC79" s="624">
        <f t="shared" si="100"/>
        <v>282.32470000000001</v>
      </c>
      <c r="AD79" s="249">
        <f t="shared" si="94"/>
        <v>0</v>
      </c>
      <c r="AG79" s="114"/>
      <c r="AH79" s="115"/>
      <c r="AI79" s="116"/>
      <c r="AJ79" s="117"/>
      <c r="AK79" s="115"/>
      <c r="AL79" s="116"/>
      <c r="AM79" s="117"/>
      <c r="AN79" s="115"/>
      <c r="AO79" s="116"/>
      <c r="AP79" s="117"/>
      <c r="AQ79" s="115"/>
      <c r="AR79" s="116"/>
      <c r="AS79" s="117"/>
      <c r="AT79" s="115"/>
      <c r="AU79" s="116"/>
      <c r="AV79" s="117"/>
      <c r="AW79" s="115"/>
      <c r="AX79" s="116"/>
      <c r="AY79" s="117"/>
      <c r="AZ79" s="118"/>
      <c r="BA79" s="119"/>
      <c r="BB79" s="120"/>
      <c r="BC79" s="121"/>
      <c r="BD79" s="121"/>
      <c r="BE79" s="121"/>
      <c r="BF79" s="121"/>
      <c r="BG79" s="121"/>
      <c r="BH79" s="121"/>
    </row>
    <row r="80" spans="1:61" s="1077" customFormat="1" ht="20.100000000000001" customHeight="1">
      <c r="A80" s="1421"/>
      <c r="B80" s="1393"/>
      <c r="C80" s="626" t="str">
        <f t="shared" si="91"/>
        <v>82115-F2840</v>
      </c>
      <c r="D80" s="302" t="str">
        <f t="shared" si="91"/>
        <v>0001</v>
      </c>
      <c r="E80" s="302"/>
      <c r="F80" s="502"/>
      <c r="G80" s="502">
        <f t="shared" si="92"/>
        <v>6</v>
      </c>
      <c r="H80" s="1096">
        <f t="shared" si="97"/>
        <v>3.5295433333333337</v>
      </c>
      <c r="I80" s="934">
        <f t="shared" ref="I80:AC80" si="101">$H18*I18</f>
        <v>0</v>
      </c>
      <c r="J80" s="246">
        <f t="shared" si="101"/>
        <v>0</v>
      </c>
      <c r="K80" s="933">
        <f t="shared" si="101"/>
        <v>0</v>
      </c>
      <c r="L80" s="934">
        <f t="shared" si="101"/>
        <v>0</v>
      </c>
      <c r="M80" s="246">
        <f t="shared" si="101"/>
        <v>0</v>
      </c>
      <c r="N80" s="933">
        <f t="shared" si="101"/>
        <v>0</v>
      </c>
      <c r="O80" s="934">
        <f t="shared" si="101"/>
        <v>0</v>
      </c>
      <c r="P80" s="246">
        <f t="shared" si="101"/>
        <v>0</v>
      </c>
      <c r="Q80" s="933">
        <f t="shared" si="101"/>
        <v>0</v>
      </c>
      <c r="R80" s="934">
        <f t="shared" si="101"/>
        <v>0</v>
      </c>
      <c r="S80" s="246">
        <f t="shared" si="101"/>
        <v>0</v>
      </c>
      <c r="T80" s="933">
        <f t="shared" si="101"/>
        <v>0</v>
      </c>
      <c r="U80" s="934">
        <f t="shared" si="101"/>
        <v>0</v>
      </c>
      <c r="V80" s="246">
        <f t="shared" si="101"/>
        <v>0</v>
      </c>
      <c r="W80" s="933">
        <f t="shared" si="101"/>
        <v>0</v>
      </c>
      <c r="X80" s="934">
        <f t="shared" si="101"/>
        <v>0</v>
      </c>
      <c r="Y80" s="246">
        <f t="shared" si="101"/>
        <v>0</v>
      </c>
      <c r="Z80" s="933">
        <f t="shared" si="101"/>
        <v>0</v>
      </c>
      <c r="AA80" s="934">
        <f t="shared" si="101"/>
        <v>0</v>
      </c>
      <c r="AB80" s="625">
        <f t="shared" si="101"/>
        <v>0</v>
      </c>
      <c r="AC80" s="624">
        <f t="shared" si="101"/>
        <v>0</v>
      </c>
      <c r="AD80" s="249">
        <f t="shared" si="94"/>
        <v>0</v>
      </c>
      <c r="AG80" s="1102"/>
      <c r="AH80" s="1103"/>
      <c r="AI80" s="1104"/>
      <c r="AJ80" s="1105"/>
      <c r="AK80" s="1103"/>
      <c r="AL80" s="1104"/>
      <c r="AM80" s="1105"/>
      <c r="AN80" s="1103"/>
      <c r="AO80" s="1104"/>
      <c r="AP80" s="1105"/>
      <c r="AQ80" s="1103"/>
      <c r="AR80" s="1104"/>
      <c r="AS80" s="1105"/>
      <c r="AT80" s="1103"/>
      <c r="AU80" s="1104"/>
      <c r="AV80" s="1105"/>
      <c r="AW80" s="1103"/>
      <c r="AX80" s="1104"/>
      <c r="AY80" s="1105"/>
      <c r="AZ80" s="1106"/>
      <c r="BA80" s="1107"/>
      <c r="BB80" s="1108"/>
      <c r="BC80" s="1109"/>
      <c r="BD80" s="1109"/>
      <c r="BE80" s="1109"/>
      <c r="BF80" s="1109"/>
      <c r="BG80" s="1109"/>
      <c r="BH80" s="1109"/>
    </row>
    <row r="81" spans="1:60" s="113" customFormat="1" ht="20.100000000000001" customHeight="1" thickBot="1">
      <c r="A81" s="1421"/>
      <c r="B81" s="1394"/>
      <c r="C81" s="1049" t="str">
        <f t="shared" si="91"/>
        <v>82116-0ZW70</v>
      </c>
      <c r="D81" s="1023" t="str">
        <f t="shared" si="91"/>
        <v>A 0101</v>
      </c>
      <c r="E81" s="1023"/>
      <c r="F81" s="1050"/>
      <c r="G81" s="1050">
        <f t="shared" si="92"/>
        <v>6</v>
      </c>
      <c r="H81" s="1097">
        <f t="shared" si="97"/>
        <v>3.6611500000000001</v>
      </c>
      <c r="I81" s="919">
        <f t="shared" ref="I81:AC81" si="102">$H19*I19</f>
        <v>87.86760000000001</v>
      </c>
      <c r="J81" s="1026">
        <f t="shared" si="102"/>
        <v>483.27180000000004</v>
      </c>
      <c r="K81" s="918">
        <f t="shared" si="102"/>
        <v>680.97390000000007</v>
      </c>
      <c r="L81" s="919">
        <f t="shared" si="102"/>
        <v>285.56970000000001</v>
      </c>
      <c r="M81" s="1026">
        <f t="shared" si="102"/>
        <v>702.94080000000008</v>
      </c>
      <c r="N81" s="918">
        <f t="shared" si="102"/>
        <v>505.23869999999999</v>
      </c>
      <c r="O81" s="919">
        <f t="shared" si="102"/>
        <v>87.86760000000001</v>
      </c>
      <c r="P81" s="1026">
        <f t="shared" si="102"/>
        <v>768.8415</v>
      </c>
      <c r="Q81" s="918">
        <f t="shared" si="102"/>
        <v>812.77530000000002</v>
      </c>
      <c r="R81" s="919">
        <f t="shared" si="102"/>
        <v>131.8014</v>
      </c>
      <c r="S81" s="1026">
        <f t="shared" si="102"/>
        <v>768.8415</v>
      </c>
      <c r="T81" s="918">
        <f t="shared" si="102"/>
        <v>746.87459999999999</v>
      </c>
      <c r="U81" s="919">
        <f t="shared" si="102"/>
        <v>109.83450000000001</v>
      </c>
      <c r="V81" s="1026">
        <f t="shared" si="102"/>
        <v>834.74220000000003</v>
      </c>
      <c r="W81" s="918">
        <f t="shared" si="102"/>
        <v>944.57670000000007</v>
      </c>
      <c r="X81" s="919">
        <f t="shared" si="102"/>
        <v>219.66900000000001</v>
      </c>
      <c r="Y81" s="1026">
        <f t="shared" si="102"/>
        <v>659.00700000000006</v>
      </c>
      <c r="Z81" s="918">
        <f t="shared" si="102"/>
        <v>593.10630000000003</v>
      </c>
      <c r="AA81" s="919">
        <f t="shared" si="102"/>
        <v>153.76830000000001</v>
      </c>
      <c r="AB81" s="1027">
        <f t="shared" si="102"/>
        <v>659.00700000000006</v>
      </c>
      <c r="AC81" s="920">
        <f t="shared" si="102"/>
        <v>505.23869999999999</v>
      </c>
      <c r="AD81" s="1028">
        <f t="shared" si="94"/>
        <v>0</v>
      </c>
      <c r="AG81" s="131" t="e">
        <f>#REF!*AG19</f>
        <v>#REF!</v>
      </c>
      <c r="AH81" s="132">
        <f t="shared" ref="AH81:AY81" si="103">$H19*AH19</f>
        <v>0</v>
      </c>
      <c r="AI81" s="133">
        <f t="shared" si="103"/>
        <v>0</v>
      </c>
      <c r="AJ81" s="134">
        <f t="shared" si="103"/>
        <v>0</v>
      </c>
      <c r="AK81" s="132">
        <f t="shared" si="103"/>
        <v>0</v>
      </c>
      <c r="AL81" s="133">
        <f t="shared" si="103"/>
        <v>0</v>
      </c>
      <c r="AM81" s="134">
        <f t="shared" si="103"/>
        <v>0</v>
      </c>
      <c r="AN81" s="132">
        <f t="shared" si="103"/>
        <v>0</v>
      </c>
      <c r="AO81" s="133">
        <f t="shared" si="103"/>
        <v>0</v>
      </c>
      <c r="AP81" s="134">
        <f t="shared" si="103"/>
        <v>0</v>
      </c>
      <c r="AQ81" s="132">
        <f t="shared" si="103"/>
        <v>0</v>
      </c>
      <c r="AR81" s="133">
        <f t="shared" si="103"/>
        <v>0</v>
      </c>
      <c r="AS81" s="134">
        <f t="shared" si="103"/>
        <v>0</v>
      </c>
      <c r="AT81" s="132">
        <f t="shared" si="103"/>
        <v>0</v>
      </c>
      <c r="AU81" s="133">
        <f t="shared" si="103"/>
        <v>0</v>
      </c>
      <c r="AV81" s="134">
        <f t="shared" si="103"/>
        <v>0</v>
      </c>
      <c r="AW81" s="132">
        <f t="shared" si="103"/>
        <v>0</v>
      </c>
      <c r="AX81" s="133">
        <f t="shared" si="103"/>
        <v>0</v>
      </c>
      <c r="AY81" s="134">
        <f t="shared" si="103"/>
        <v>0</v>
      </c>
      <c r="AZ81" s="135">
        <f>Y81*$F81</f>
        <v>0</v>
      </c>
      <c r="BA81" s="136">
        <f>AC81*$F81</f>
        <v>0</v>
      </c>
      <c r="BB81" s="120"/>
      <c r="BC81" s="250">
        <f>ROUNDUP(N81/$BC$13,0)</f>
        <v>127</v>
      </c>
      <c r="BD81" s="250">
        <f>ROUNDUP(Q81/$BD$13,0)</f>
        <v>163</v>
      </c>
      <c r="BE81" s="250">
        <f>ROUNDUP(T81/$BE$13,0)</f>
        <v>187</v>
      </c>
      <c r="BF81" s="250">
        <f>ROUNDUP(W81/$BF$13,0)</f>
        <v>189</v>
      </c>
      <c r="BG81" s="250">
        <f>ROUNDUP(Z81/$BG$13,0)</f>
        <v>149</v>
      </c>
      <c r="BH81" s="250">
        <f>ROUNDUP(AC81/$BH$13,0)</f>
        <v>127</v>
      </c>
    </row>
    <row r="82" spans="1:60" s="113" customFormat="1" ht="20.100000000000001" customHeight="1" thickBot="1">
      <c r="A82" s="1421"/>
      <c r="B82" s="1392" t="s">
        <v>169</v>
      </c>
      <c r="C82" s="1017" t="str">
        <f t="shared" si="91"/>
        <v>82115-F2390</v>
      </c>
      <c r="D82" s="302" t="str">
        <f t="shared" si="91"/>
        <v>B 0101</v>
      </c>
      <c r="E82" s="302"/>
      <c r="F82" s="1018"/>
      <c r="G82" s="1018">
        <f t="shared" si="92"/>
        <v>6</v>
      </c>
      <c r="H82" s="1098">
        <f t="shared" si="97"/>
        <v>3.1332316666666662</v>
      </c>
      <c r="I82" s="245">
        <f t="shared" ref="I82:AC82" si="104">$H20*I20</f>
        <v>6.2664633333333324</v>
      </c>
      <c r="J82" s="246">
        <f t="shared" si="104"/>
        <v>112.79633999999999</v>
      </c>
      <c r="K82" s="247">
        <f t="shared" si="104"/>
        <v>112.79633999999999</v>
      </c>
      <c r="L82" s="245">
        <f t="shared" si="104"/>
        <v>6.2664633333333324</v>
      </c>
      <c r="M82" s="246">
        <f t="shared" si="104"/>
        <v>37.598779999999991</v>
      </c>
      <c r="N82" s="247">
        <f t="shared" si="104"/>
        <v>37.598779999999991</v>
      </c>
      <c r="O82" s="245">
        <f t="shared" si="104"/>
        <v>6.2664633333333324</v>
      </c>
      <c r="P82" s="246">
        <f t="shared" si="104"/>
        <v>37.598779999999991</v>
      </c>
      <c r="Q82" s="247">
        <f t="shared" si="104"/>
        <v>37.598779999999991</v>
      </c>
      <c r="R82" s="245">
        <f t="shared" si="104"/>
        <v>6.2664633333333324</v>
      </c>
      <c r="S82" s="246">
        <f t="shared" si="104"/>
        <v>37.598779999999991</v>
      </c>
      <c r="T82" s="247">
        <f t="shared" si="104"/>
        <v>37.598779999999991</v>
      </c>
      <c r="U82" s="245">
        <f t="shared" si="104"/>
        <v>6.2664633333333324</v>
      </c>
      <c r="V82" s="246">
        <f t="shared" si="104"/>
        <v>75.197559999999982</v>
      </c>
      <c r="W82" s="247">
        <f t="shared" si="104"/>
        <v>75.197559999999982</v>
      </c>
      <c r="X82" s="245">
        <f t="shared" si="104"/>
        <v>6.2664633333333324</v>
      </c>
      <c r="Y82" s="246">
        <f t="shared" si="104"/>
        <v>18.799389999999995</v>
      </c>
      <c r="Z82" s="247">
        <f t="shared" si="104"/>
        <v>18.799389999999995</v>
      </c>
      <c r="AA82" s="245">
        <f t="shared" si="104"/>
        <v>6.2664633333333324</v>
      </c>
      <c r="AB82" s="625">
        <f t="shared" si="104"/>
        <v>18.799389999999995</v>
      </c>
      <c r="AC82" s="624">
        <f t="shared" si="104"/>
        <v>18.799389999999995</v>
      </c>
      <c r="AD82" s="249">
        <f t="shared" si="94"/>
        <v>0</v>
      </c>
      <c r="AG82" s="114"/>
      <c r="AH82" s="115"/>
      <c r="AI82" s="116"/>
      <c r="AJ82" s="117"/>
      <c r="AK82" s="115"/>
      <c r="AL82" s="116"/>
      <c r="AM82" s="117"/>
      <c r="AN82" s="115"/>
      <c r="AO82" s="116"/>
      <c r="AP82" s="117"/>
      <c r="AQ82" s="115"/>
      <c r="AR82" s="116"/>
      <c r="AS82" s="117"/>
      <c r="AT82" s="115"/>
      <c r="AU82" s="116"/>
      <c r="AV82" s="117"/>
      <c r="AW82" s="115"/>
      <c r="AX82" s="116"/>
      <c r="AY82" s="117"/>
      <c r="AZ82" s="118"/>
      <c r="BA82" s="119"/>
      <c r="BB82" s="120"/>
      <c r="BC82" s="121"/>
      <c r="BD82" s="121"/>
      <c r="BE82" s="121"/>
      <c r="BF82" s="121"/>
      <c r="BG82" s="121"/>
      <c r="BH82" s="121"/>
    </row>
    <row r="83" spans="1:60" s="188" customFormat="1" ht="20.100000000000001" customHeight="1" thickBot="1">
      <c r="A83" s="1421"/>
      <c r="B83" s="1393"/>
      <c r="C83" s="354" t="str">
        <f t="shared" si="91"/>
        <v>82111-FET20</v>
      </c>
      <c r="D83" s="302" t="str">
        <f t="shared" si="91"/>
        <v>A 0101</v>
      </c>
      <c r="E83" s="123"/>
      <c r="F83" s="502"/>
      <c r="G83" s="502">
        <f t="shared" si="92"/>
        <v>6</v>
      </c>
      <c r="H83" s="1096">
        <f t="shared" si="97"/>
        <v>2.9072533333333328</v>
      </c>
      <c r="I83" s="245">
        <f t="shared" ref="I83:AC83" si="105">$H21*I21</f>
        <v>0</v>
      </c>
      <c r="J83" s="246">
        <f t="shared" si="105"/>
        <v>0</v>
      </c>
      <c r="K83" s="247">
        <f t="shared" si="105"/>
        <v>0</v>
      </c>
      <c r="L83" s="245">
        <f t="shared" si="105"/>
        <v>0</v>
      </c>
      <c r="M83" s="246">
        <f t="shared" si="105"/>
        <v>0</v>
      </c>
      <c r="N83" s="247">
        <f t="shared" si="105"/>
        <v>0</v>
      </c>
      <c r="O83" s="245">
        <f t="shared" si="105"/>
        <v>0</v>
      </c>
      <c r="P83" s="246">
        <f t="shared" si="105"/>
        <v>0</v>
      </c>
      <c r="Q83" s="247">
        <f t="shared" si="105"/>
        <v>0</v>
      </c>
      <c r="R83" s="245">
        <f t="shared" si="105"/>
        <v>0</v>
      </c>
      <c r="S83" s="246">
        <f t="shared" si="105"/>
        <v>0</v>
      </c>
      <c r="T83" s="247">
        <f t="shared" si="105"/>
        <v>0</v>
      </c>
      <c r="U83" s="245">
        <f t="shared" si="105"/>
        <v>0</v>
      </c>
      <c r="V83" s="246">
        <f t="shared" si="105"/>
        <v>0</v>
      </c>
      <c r="W83" s="247">
        <f t="shared" si="105"/>
        <v>0</v>
      </c>
      <c r="X83" s="245">
        <f t="shared" si="105"/>
        <v>0</v>
      </c>
      <c r="Y83" s="246">
        <f t="shared" si="105"/>
        <v>0</v>
      </c>
      <c r="Z83" s="247">
        <f t="shared" si="105"/>
        <v>0</v>
      </c>
      <c r="AA83" s="245">
        <f t="shared" si="105"/>
        <v>0</v>
      </c>
      <c r="AB83" s="625">
        <f t="shared" si="105"/>
        <v>0</v>
      </c>
      <c r="AC83" s="624">
        <f t="shared" si="105"/>
        <v>0</v>
      </c>
      <c r="AD83" s="249">
        <f t="shared" si="94"/>
        <v>0</v>
      </c>
      <c r="AG83" s="189" t="e">
        <f>#REF!*#REF!</f>
        <v>#REF!</v>
      </c>
      <c r="AH83" s="190" t="e">
        <f>#REF!*#REF!</f>
        <v>#REF!</v>
      </c>
      <c r="AI83" s="191" t="e">
        <f>#REF!*#REF!</f>
        <v>#REF!</v>
      </c>
      <c r="AJ83" s="192" t="e">
        <f>#REF!*#REF!</f>
        <v>#REF!</v>
      </c>
      <c r="AK83" s="190" t="e">
        <f>#REF!*#REF!</f>
        <v>#REF!</v>
      </c>
      <c r="AL83" s="191" t="e">
        <f>#REF!*#REF!</f>
        <v>#REF!</v>
      </c>
      <c r="AM83" s="192" t="e">
        <f>#REF!*#REF!</f>
        <v>#REF!</v>
      </c>
      <c r="AN83" s="190" t="e">
        <f>#REF!*#REF!</f>
        <v>#REF!</v>
      </c>
      <c r="AO83" s="191" t="e">
        <f>#REF!*#REF!</f>
        <v>#REF!</v>
      </c>
      <c r="AP83" s="192" t="e">
        <f>#REF!*#REF!</f>
        <v>#REF!</v>
      </c>
      <c r="AQ83" s="190" t="e">
        <f>#REF!*#REF!</f>
        <v>#REF!</v>
      </c>
      <c r="AR83" s="191" t="e">
        <f>#REF!*#REF!</f>
        <v>#REF!</v>
      </c>
      <c r="AS83" s="192" t="e">
        <f>#REF!*#REF!</f>
        <v>#REF!</v>
      </c>
      <c r="AT83" s="190" t="e">
        <f>#REF!*#REF!</f>
        <v>#REF!</v>
      </c>
      <c r="AU83" s="191" t="e">
        <f>#REF!*#REF!</f>
        <v>#REF!</v>
      </c>
      <c r="AV83" s="192" t="e">
        <f>#REF!*#REF!</f>
        <v>#REF!</v>
      </c>
      <c r="AW83" s="190" t="e">
        <f>#REF!*#REF!</f>
        <v>#REF!</v>
      </c>
      <c r="AX83" s="191" t="e">
        <f>#REF!*#REF!</f>
        <v>#REF!</v>
      </c>
      <c r="AY83" s="192" t="e">
        <f>#REF!*#REF!</f>
        <v>#REF!</v>
      </c>
      <c r="AZ83" s="193">
        <f>Y83*$F83</f>
        <v>0</v>
      </c>
      <c r="BA83" s="194">
        <f>AC83*$F83</f>
        <v>0</v>
      </c>
      <c r="BB83" s="195"/>
      <c r="BC83" s="121">
        <f>ROUNDUP(N83/$BC$13,0)</f>
        <v>0</v>
      </c>
      <c r="BD83" s="121">
        <f>ROUNDUP(Q83/$BD$13,0)</f>
        <v>0</v>
      </c>
      <c r="BE83" s="121">
        <f>ROUNDUP(T83/$BE$13,0)</f>
        <v>0</v>
      </c>
      <c r="BF83" s="121">
        <f>ROUNDUP(W83/$BF$13,0)</f>
        <v>0</v>
      </c>
      <c r="BG83" s="121">
        <f>ROUNDUP(Z83/$BG$13,0)</f>
        <v>0</v>
      </c>
      <c r="BH83" s="121">
        <f>ROUNDUP(AC83/$BH$13,0)</f>
        <v>0</v>
      </c>
    </row>
    <row r="84" spans="1:60" s="113" customFormat="1" ht="20.100000000000001" customHeight="1" thickBot="1">
      <c r="A84" s="1421"/>
      <c r="B84" s="1393"/>
      <c r="C84" s="354" t="str">
        <f t="shared" si="91"/>
        <v>82111-FET30</v>
      </c>
      <c r="D84" s="302" t="str">
        <f t="shared" si="91"/>
        <v>A 0101</v>
      </c>
      <c r="E84" s="123"/>
      <c r="F84" s="502"/>
      <c r="G84" s="502">
        <f t="shared" si="92"/>
        <v>6</v>
      </c>
      <c r="H84" s="1096">
        <f t="shared" si="97"/>
        <v>2.9106066666666668</v>
      </c>
      <c r="I84" s="245">
        <f t="shared" ref="I84:AC84" si="106">$H22*I22</f>
        <v>384.20008000000001</v>
      </c>
      <c r="J84" s="246">
        <f t="shared" si="106"/>
        <v>1100.2093199999999</v>
      </c>
      <c r="K84" s="247">
        <f t="shared" si="106"/>
        <v>977.96384</v>
      </c>
      <c r="L84" s="245">
        <f t="shared" si="106"/>
        <v>261.95460000000003</v>
      </c>
      <c r="M84" s="246">
        <f t="shared" si="106"/>
        <v>1012.89112</v>
      </c>
      <c r="N84" s="247">
        <f t="shared" si="106"/>
        <v>1012.89112</v>
      </c>
      <c r="O84" s="245">
        <f t="shared" si="106"/>
        <v>261.95460000000003</v>
      </c>
      <c r="P84" s="246">
        <f t="shared" si="106"/>
        <v>1030.3547599999999</v>
      </c>
      <c r="Q84" s="247">
        <f t="shared" si="106"/>
        <v>1117.6729600000001</v>
      </c>
      <c r="R84" s="245">
        <f t="shared" si="106"/>
        <v>349.27280000000002</v>
      </c>
      <c r="S84" s="246">
        <f t="shared" si="106"/>
        <v>1082.74568</v>
      </c>
      <c r="T84" s="247">
        <f t="shared" si="106"/>
        <v>1047.8184000000001</v>
      </c>
      <c r="U84" s="245">
        <f t="shared" si="106"/>
        <v>314.34552000000002</v>
      </c>
      <c r="V84" s="246">
        <f t="shared" si="106"/>
        <v>1170.0638800000002</v>
      </c>
      <c r="W84" s="247">
        <f t="shared" si="106"/>
        <v>995.42748000000006</v>
      </c>
      <c r="X84" s="245">
        <f t="shared" si="106"/>
        <v>139.70912000000001</v>
      </c>
      <c r="Y84" s="246">
        <f t="shared" si="106"/>
        <v>943.03656000000001</v>
      </c>
      <c r="Z84" s="247">
        <f t="shared" si="106"/>
        <v>1204.99116</v>
      </c>
      <c r="AA84" s="245">
        <f t="shared" si="106"/>
        <v>401.66372000000001</v>
      </c>
      <c r="AB84" s="625">
        <f t="shared" si="106"/>
        <v>943.03656000000001</v>
      </c>
      <c r="AC84" s="624">
        <f t="shared" si="106"/>
        <v>541.37284</v>
      </c>
      <c r="AD84" s="249">
        <f t="shared" si="94"/>
        <v>0</v>
      </c>
      <c r="AG84" s="114"/>
      <c r="AH84" s="115"/>
      <c r="AI84" s="116"/>
      <c r="AJ84" s="117"/>
      <c r="AK84" s="115"/>
      <c r="AL84" s="116"/>
      <c r="AM84" s="117"/>
      <c r="AN84" s="115"/>
      <c r="AO84" s="116"/>
      <c r="AP84" s="117"/>
      <c r="AQ84" s="115"/>
      <c r="AR84" s="116"/>
      <c r="AS84" s="117"/>
      <c r="AT84" s="115"/>
      <c r="AU84" s="116"/>
      <c r="AV84" s="117"/>
      <c r="AW84" s="115"/>
      <c r="AX84" s="116"/>
      <c r="AY84" s="117"/>
      <c r="AZ84" s="118"/>
      <c r="BA84" s="119"/>
      <c r="BB84" s="120"/>
      <c r="BC84" s="121"/>
      <c r="BD84" s="121"/>
      <c r="BE84" s="121"/>
      <c r="BF84" s="121"/>
      <c r="BG84" s="121"/>
      <c r="BH84" s="121"/>
    </row>
    <row r="85" spans="1:60" s="1077" customFormat="1" ht="20.100000000000001" customHeight="1">
      <c r="A85" s="1421"/>
      <c r="B85" s="1393"/>
      <c r="C85" s="354" t="str">
        <f t="shared" si="91"/>
        <v>82111-FET40</v>
      </c>
      <c r="D85" s="302" t="str">
        <f t="shared" si="91"/>
        <v>A 0101</v>
      </c>
      <c r="E85" s="123"/>
      <c r="F85" s="502"/>
      <c r="G85" s="502">
        <f t="shared" si="92"/>
        <v>6</v>
      </c>
      <c r="H85" s="1096">
        <f t="shared" si="97"/>
        <v>2.8988</v>
      </c>
      <c r="I85" s="934">
        <f t="shared" ref="I85:AC85" si="107">$H23*I23</f>
        <v>695.71199999999999</v>
      </c>
      <c r="J85" s="246">
        <f t="shared" si="107"/>
        <v>2278.4567999999999</v>
      </c>
      <c r="K85" s="933">
        <f t="shared" si="107"/>
        <v>2017.5648000000001</v>
      </c>
      <c r="L85" s="934">
        <f t="shared" si="107"/>
        <v>434.82</v>
      </c>
      <c r="M85" s="246">
        <f t="shared" si="107"/>
        <v>1687.1016</v>
      </c>
      <c r="N85" s="933">
        <f t="shared" si="107"/>
        <v>1721.8872000000001</v>
      </c>
      <c r="O85" s="934">
        <f t="shared" si="107"/>
        <v>469.60559999999998</v>
      </c>
      <c r="P85" s="246">
        <f t="shared" si="107"/>
        <v>1582.7447999999999</v>
      </c>
      <c r="Q85" s="933">
        <f t="shared" si="107"/>
        <v>2034.9576</v>
      </c>
      <c r="R85" s="934">
        <f t="shared" si="107"/>
        <v>921.8184</v>
      </c>
      <c r="S85" s="246">
        <f t="shared" si="107"/>
        <v>1843.6368</v>
      </c>
      <c r="T85" s="933">
        <f t="shared" si="107"/>
        <v>1443.6024</v>
      </c>
      <c r="U85" s="934">
        <f t="shared" si="107"/>
        <v>521.78399999999999</v>
      </c>
      <c r="V85" s="246">
        <f t="shared" si="107"/>
        <v>2017.5648000000001</v>
      </c>
      <c r="W85" s="933">
        <f t="shared" si="107"/>
        <v>1895.8152</v>
      </c>
      <c r="X85" s="934">
        <f t="shared" si="107"/>
        <v>400.03440000000001</v>
      </c>
      <c r="Y85" s="246">
        <f t="shared" si="107"/>
        <v>1582.7447999999999</v>
      </c>
      <c r="Z85" s="933">
        <f t="shared" si="107"/>
        <v>1652.316</v>
      </c>
      <c r="AA85" s="934">
        <f t="shared" si="107"/>
        <v>469.60559999999998</v>
      </c>
      <c r="AB85" s="625">
        <f t="shared" si="107"/>
        <v>1582.7447999999999</v>
      </c>
      <c r="AC85" s="624">
        <f t="shared" si="107"/>
        <v>1113.1392000000001</v>
      </c>
      <c r="AD85" s="249">
        <f t="shared" si="94"/>
        <v>0</v>
      </c>
      <c r="AG85" s="1102" t="e">
        <f>#REF!*AG23</f>
        <v>#REF!</v>
      </c>
      <c r="AH85" s="1103">
        <f t="shared" ref="AH85:AY85" si="108">$H23*AH23</f>
        <v>0</v>
      </c>
      <c r="AI85" s="1104">
        <f t="shared" si="108"/>
        <v>0</v>
      </c>
      <c r="AJ85" s="1105">
        <f t="shared" si="108"/>
        <v>0</v>
      </c>
      <c r="AK85" s="1103">
        <f t="shared" si="108"/>
        <v>0</v>
      </c>
      <c r="AL85" s="1104">
        <f t="shared" si="108"/>
        <v>0</v>
      </c>
      <c r="AM85" s="1105">
        <f t="shared" si="108"/>
        <v>0</v>
      </c>
      <c r="AN85" s="1103">
        <f t="shared" si="108"/>
        <v>0</v>
      </c>
      <c r="AO85" s="1104">
        <f t="shared" si="108"/>
        <v>0</v>
      </c>
      <c r="AP85" s="1105">
        <f t="shared" si="108"/>
        <v>0</v>
      </c>
      <c r="AQ85" s="1103">
        <f t="shared" si="108"/>
        <v>0</v>
      </c>
      <c r="AR85" s="1104">
        <f t="shared" si="108"/>
        <v>0</v>
      </c>
      <c r="AS85" s="1105">
        <f t="shared" si="108"/>
        <v>0</v>
      </c>
      <c r="AT85" s="1103">
        <f t="shared" si="108"/>
        <v>0</v>
      </c>
      <c r="AU85" s="1104">
        <f t="shared" si="108"/>
        <v>0</v>
      </c>
      <c r="AV85" s="1105">
        <f t="shared" si="108"/>
        <v>0</v>
      </c>
      <c r="AW85" s="1103">
        <f t="shared" si="108"/>
        <v>0</v>
      </c>
      <c r="AX85" s="1104">
        <f t="shared" si="108"/>
        <v>0</v>
      </c>
      <c r="AY85" s="1105">
        <f t="shared" si="108"/>
        <v>0</v>
      </c>
      <c r="AZ85" s="1106">
        <f>Y85*$F85</f>
        <v>0</v>
      </c>
      <c r="BA85" s="1107">
        <f>AC85*$F85</f>
        <v>0</v>
      </c>
      <c r="BB85" s="1108"/>
      <c r="BC85" s="1109">
        <f>ROUNDUP(N85/$BC$13,0)</f>
        <v>431</v>
      </c>
      <c r="BD85" s="1109">
        <f>ROUNDUP(Q85/$BD$13,0)</f>
        <v>407</v>
      </c>
      <c r="BE85" s="1109">
        <f>ROUNDUP(T85/$BE$13,0)</f>
        <v>361</v>
      </c>
      <c r="BF85" s="1109">
        <f>ROUNDUP(W85/$BF$13,0)</f>
        <v>380</v>
      </c>
      <c r="BG85" s="1109">
        <f>ROUNDUP(Z85/$BG$13,0)</f>
        <v>414</v>
      </c>
      <c r="BH85" s="1109">
        <f>ROUNDUP(AC85/$BH$13,0)</f>
        <v>279</v>
      </c>
    </row>
    <row r="86" spans="1:60" s="113" customFormat="1" ht="20.100000000000001" customHeight="1" thickBot="1">
      <c r="A86" s="1421"/>
      <c r="B86" s="1393"/>
      <c r="C86" s="1017" t="str">
        <f t="shared" si="91"/>
        <v>82116-0ZX70</v>
      </c>
      <c r="D86" s="302" t="str">
        <f t="shared" si="91"/>
        <v>A 0101</v>
      </c>
      <c r="E86" s="302"/>
      <c r="F86" s="1018"/>
      <c r="G86" s="1018">
        <f t="shared" si="92"/>
        <v>6</v>
      </c>
      <c r="H86" s="1098">
        <f t="shared" si="97"/>
        <v>3.0037016666666672</v>
      </c>
      <c r="I86" s="245">
        <f t="shared" ref="I86:AC86" si="109">$H24*I24</f>
        <v>0</v>
      </c>
      <c r="J86" s="246">
        <f t="shared" si="109"/>
        <v>36.044420000000002</v>
      </c>
      <c r="K86" s="247">
        <f t="shared" si="109"/>
        <v>36.044420000000002</v>
      </c>
      <c r="L86" s="245">
        <f t="shared" si="109"/>
        <v>0</v>
      </c>
      <c r="M86" s="246">
        <f t="shared" si="109"/>
        <v>0</v>
      </c>
      <c r="N86" s="247">
        <f t="shared" si="109"/>
        <v>0</v>
      </c>
      <c r="O86" s="245">
        <f t="shared" si="109"/>
        <v>0</v>
      </c>
      <c r="P86" s="246">
        <f t="shared" si="109"/>
        <v>18.022210000000001</v>
      </c>
      <c r="Q86" s="247">
        <f t="shared" si="109"/>
        <v>18.022210000000001</v>
      </c>
      <c r="R86" s="245">
        <f t="shared" si="109"/>
        <v>0</v>
      </c>
      <c r="S86" s="246">
        <f t="shared" si="109"/>
        <v>18.022210000000001</v>
      </c>
      <c r="T86" s="247">
        <f t="shared" si="109"/>
        <v>18.022210000000001</v>
      </c>
      <c r="U86" s="245">
        <f t="shared" si="109"/>
        <v>0</v>
      </c>
      <c r="V86" s="246">
        <f t="shared" si="109"/>
        <v>18.022210000000001</v>
      </c>
      <c r="W86" s="247">
        <f t="shared" si="109"/>
        <v>18.022210000000001</v>
      </c>
      <c r="X86" s="245">
        <f t="shared" si="109"/>
        <v>0</v>
      </c>
      <c r="Y86" s="246">
        <f t="shared" si="109"/>
        <v>18.022210000000001</v>
      </c>
      <c r="Z86" s="247">
        <f t="shared" si="109"/>
        <v>18.022210000000001</v>
      </c>
      <c r="AA86" s="245">
        <f t="shared" si="109"/>
        <v>0</v>
      </c>
      <c r="AB86" s="625">
        <f t="shared" si="109"/>
        <v>18.022210000000001</v>
      </c>
      <c r="AC86" s="624">
        <f t="shared" si="109"/>
        <v>18.022210000000001</v>
      </c>
      <c r="AD86" s="249">
        <f t="shared" si="94"/>
        <v>0</v>
      </c>
      <c r="AG86" s="131"/>
      <c r="AH86" s="132"/>
      <c r="AI86" s="133"/>
      <c r="AJ86" s="134"/>
      <c r="AK86" s="132"/>
      <c r="AL86" s="133"/>
      <c r="AM86" s="134"/>
      <c r="AN86" s="132"/>
      <c r="AO86" s="133"/>
      <c r="AP86" s="134"/>
      <c r="AQ86" s="132"/>
      <c r="AR86" s="133"/>
      <c r="AS86" s="134"/>
      <c r="AT86" s="132"/>
      <c r="AU86" s="133"/>
      <c r="AV86" s="134"/>
      <c r="AW86" s="132"/>
      <c r="AX86" s="133"/>
      <c r="AY86" s="134"/>
      <c r="AZ86" s="135"/>
      <c r="BA86" s="136"/>
      <c r="BB86" s="120"/>
      <c r="BC86" s="250"/>
      <c r="BD86" s="250"/>
      <c r="BE86" s="250"/>
      <c r="BF86" s="250"/>
      <c r="BG86" s="250"/>
      <c r="BH86" s="250"/>
    </row>
    <row r="87" spans="1:60" s="188" customFormat="1" ht="20.100000000000001" customHeight="1" thickBot="1">
      <c r="A87" s="1421"/>
      <c r="B87" s="1394"/>
      <c r="C87" s="1029" t="str">
        <f t="shared" si="91"/>
        <v>82116-0ZY00</v>
      </c>
      <c r="D87" s="1016" t="str">
        <f t="shared" si="91"/>
        <v>A 0101</v>
      </c>
      <c r="E87" s="276"/>
      <c r="F87" s="1030"/>
      <c r="G87" s="1030">
        <f t="shared" si="92"/>
        <v>6</v>
      </c>
      <c r="H87" s="1100">
        <f t="shared" si="97"/>
        <v>2.9117999999999999</v>
      </c>
      <c r="I87" s="1031">
        <f t="shared" ref="I87:AC87" si="110">$H25*I25</f>
        <v>821.12760000000003</v>
      </c>
      <c r="J87" s="1032">
        <f t="shared" si="110"/>
        <v>2655.5616</v>
      </c>
      <c r="K87" s="1033">
        <f t="shared" si="110"/>
        <v>2393.4996000000001</v>
      </c>
      <c r="L87" s="1031">
        <f t="shared" si="110"/>
        <v>559.06560000000002</v>
      </c>
      <c r="M87" s="1032">
        <f t="shared" si="110"/>
        <v>1921.788</v>
      </c>
      <c r="N87" s="1033">
        <f t="shared" si="110"/>
        <v>1869.3756000000001</v>
      </c>
      <c r="O87" s="1031">
        <f t="shared" si="110"/>
        <v>506.65319999999997</v>
      </c>
      <c r="P87" s="1032">
        <f t="shared" si="110"/>
        <v>1712.1384</v>
      </c>
      <c r="Q87" s="1033">
        <f t="shared" si="110"/>
        <v>2131.4375999999997</v>
      </c>
      <c r="R87" s="1031">
        <f t="shared" si="110"/>
        <v>925.95240000000001</v>
      </c>
      <c r="S87" s="1032">
        <f t="shared" si="110"/>
        <v>1991.6712</v>
      </c>
      <c r="T87" s="1033">
        <f t="shared" si="110"/>
        <v>1747.08</v>
      </c>
      <c r="U87" s="1031">
        <f t="shared" si="110"/>
        <v>681.36119999999994</v>
      </c>
      <c r="V87" s="1032">
        <f t="shared" si="110"/>
        <v>2166.3791999999999</v>
      </c>
      <c r="W87" s="1033">
        <f t="shared" si="110"/>
        <v>1921.788</v>
      </c>
      <c r="X87" s="1031">
        <f t="shared" si="110"/>
        <v>436.77</v>
      </c>
      <c r="Y87" s="1032">
        <f t="shared" si="110"/>
        <v>1694.6676</v>
      </c>
      <c r="Z87" s="1033">
        <f t="shared" si="110"/>
        <v>1834.434</v>
      </c>
      <c r="AA87" s="1031">
        <f t="shared" si="110"/>
        <v>576.53639999999996</v>
      </c>
      <c r="AB87" s="1034">
        <f t="shared" si="110"/>
        <v>1694.6676</v>
      </c>
      <c r="AC87" s="1035">
        <f t="shared" si="110"/>
        <v>1118.1312</v>
      </c>
      <c r="AD87" s="1036">
        <f t="shared" si="94"/>
        <v>0</v>
      </c>
      <c r="AG87" s="189" t="e">
        <f>#REF!*#REF!</f>
        <v>#REF!</v>
      </c>
      <c r="AH87" s="190" t="e">
        <f>#REF!*#REF!</f>
        <v>#REF!</v>
      </c>
      <c r="AI87" s="191" t="e">
        <f>#REF!*#REF!</f>
        <v>#REF!</v>
      </c>
      <c r="AJ87" s="192" t="e">
        <f>#REF!*#REF!</f>
        <v>#REF!</v>
      </c>
      <c r="AK87" s="190" t="e">
        <f>#REF!*#REF!</f>
        <v>#REF!</v>
      </c>
      <c r="AL87" s="191" t="e">
        <f>#REF!*#REF!</f>
        <v>#REF!</v>
      </c>
      <c r="AM87" s="192" t="e">
        <f>#REF!*#REF!</f>
        <v>#REF!</v>
      </c>
      <c r="AN87" s="190" t="e">
        <f>#REF!*#REF!</f>
        <v>#REF!</v>
      </c>
      <c r="AO87" s="191" t="e">
        <f>#REF!*#REF!</f>
        <v>#REF!</v>
      </c>
      <c r="AP87" s="192" t="e">
        <f>#REF!*#REF!</f>
        <v>#REF!</v>
      </c>
      <c r="AQ87" s="190" t="e">
        <f>#REF!*#REF!</f>
        <v>#REF!</v>
      </c>
      <c r="AR87" s="191" t="e">
        <f>#REF!*#REF!</f>
        <v>#REF!</v>
      </c>
      <c r="AS87" s="192" t="e">
        <f>#REF!*#REF!</f>
        <v>#REF!</v>
      </c>
      <c r="AT87" s="190" t="e">
        <f>#REF!*#REF!</f>
        <v>#REF!</v>
      </c>
      <c r="AU87" s="191" t="e">
        <f>#REF!*#REF!</f>
        <v>#REF!</v>
      </c>
      <c r="AV87" s="192" t="e">
        <f>#REF!*#REF!</f>
        <v>#REF!</v>
      </c>
      <c r="AW87" s="190" t="e">
        <f>#REF!*#REF!</f>
        <v>#REF!</v>
      </c>
      <c r="AX87" s="191" t="e">
        <f>#REF!*#REF!</f>
        <v>#REF!</v>
      </c>
      <c r="AY87" s="192" t="e">
        <f>#REF!*#REF!</f>
        <v>#REF!</v>
      </c>
      <c r="AZ87" s="193">
        <f>Y87*$F87</f>
        <v>0</v>
      </c>
      <c r="BA87" s="194">
        <f>AC87*$F87</f>
        <v>0</v>
      </c>
      <c r="BB87" s="195"/>
      <c r="BC87" s="121">
        <f>ROUNDUP(N87/$BC$13,0)</f>
        <v>468</v>
      </c>
      <c r="BD87" s="121">
        <f>ROUNDUP(Q87/$BD$13,0)</f>
        <v>427</v>
      </c>
      <c r="BE87" s="121">
        <f>ROUNDUP(T87/$BE$13,0)</f>
        <v>437</v>
      </c>
      <c r="BF87" s="121">
        <f>ROUNDUP(W87/$BF$13,0)</f>
        <v>385</v>
      </c>
      <c r="BG87" s="121">
        <f>ROUNDUP(Z87/$BG$13,0)</f>
        <v>459</v>
      </c>
      <c r="BH87" s="121">
        <f>ROUNDUP(AC87/$BH$13,0)</f>
        <v>280</v>
      </c>
    </row>
    <row r="88" spans="1:60" s="188" customFormat="1" ht="20.100000000000001" customHeight="1" thickBot="1">
      <c r="A88" s="1421"/>
      <c r="B88" s="1393" t="s">
        <v>168</v>
      </c>
      <c r="C88" s="1110" t="str">
        <f t="shared" si="91"/>
        <v>82116-0ZW80</v>
      </c>
      <c r="D88" s="104" t="str">
        <f t="shared" si="91"/>
        <v>A 0101</v>
      </c>
      <c r="E88" s="1038"/>
      <c r="F88" s="1039"/>
      <c r="G88" s="1021">
        <f t="shared" si="92"/>
        <v>6</v>
      </c>
      <c r="H88" s="1095">
        <f t="shared" si="97"/>
        <v>2.937581666666667</v>
      </c>
      <c r="I88" s="108">
        <f t="shared" ref="I88:AC88" si="111">$H26*I26</f>
        <v>0</v>
      </c>
      <c r="J88" s="109">
        <f t="shared" si="111"/>
        <v>0</v>
      </c>
      <c r="K88" s="110">
        <f t="shared" si="111"/>
        <v>0</v>
      </c>
      <c r="L88" s="108">
        <f t="shared" si="111"/>
        <v>0</v>
      </c>
      <c r="M88" s="109">
        <f t="shared" si="111"/>
        <v>0</v>
      </c>
      <c r="N88" s="110">
        <f t="shared" si="111"/>
        <v>0</v>
      </c>
      <c r="O88" s="108">
        <f t="shared" si="111"/>
        <v>0</v>
      </c>
      <c r="P88" s="109">
        <f t="shared" si="111"/>
        <v>0</v>
      </c>
      <c r="Q88" s="110">
        <f t="shared" si="111"/>
        <v>0</v>
      </c>
      <c r="R88" s="108">
        <f t="shared" si="111"/>
        <v>0</v>
      </c>
      <c r="S88" s="109">
        <f t="shared" si="111"/>
        <v>0</v>
      </c>
      <c r="T88" s="110">
        <f t="shared" si="111"/>
        <v>0</v>
      </c>
      <c r="U88" s="108">
        <f t="shared" si="111"/>
        <v>0</v>
      </c>
      <c r="V88" s="109">
        <f t="shared" si="111"/>
        <v>0</v>
      </c>
      <c r="W88" s="110">
        <f t="shared" si="111"/>
        <v>0</v>
      </c>
      <c r="X88" s="108">
        <f t="shared" si="111"/>
        <v>0</v>
      </c>
      <c r="Y88" s="109">
        <f t="shared" si="111"/>
        <v>0</v>
      </c>
      <c r="Z88" s="110">
        <f t="shared" si="111"/>
        <v>0</v>
      </c>
      <c r="AA88" s="108">
        <f t="shared" si="111"/>
        <v>0</v>
      </c>
      <c r="AB88" s="111">
        <f t="shared" si="111"/>
        <v>0</v>
      </c>
      <c r="AC88" s="507">
        <f t="shared" si="111"/>
        <v>0</v>
      </c>
      <c r="AD88" s="112">
        <f t="shared" si="94"/>
        <v>0</v>
      </c>
      <c r="AG88" s="189" t="e">
        <f>#REF!*AG26</f>
        <v>#REF!</v>
      </c>
      <c r="AH88" s="190">
        <f t="shared" ref="AH88:AY88" si="112">$H26*AH26</f>
        <v>0</v>
      </c>
      <c r="AI88" s="191">
        <f t="shared" si="112"/>
        <v>0</v>
      </c>
      <c r="AJ88" s="192">
        <f t="shared" si="112"/>
        <v>0</v>
      </c>
      <c r="AK88" s="190">
        <f t="shared" si="112"/>
        <v>0</v>
      </c>
      <c r="AL88" s="191">
        <f t="shared" si="112"/>
        <v>0</v>
      </c>
      <c r="AM88" s="192">
        <f t="shared" si="112"/>
        <v>0</v>
      </c>
      <c r="AN88" s="190">
        <f t="shared" si="112"/>
        <v>0</v>
      </c>
      <c r="AO88" s="191">
        <f t="shared" si="112"/>
        <v>0</v>
      </c>
      <c r="AP88" s="192">
        <f t="shared" si="112"/>
        <v>0</v>
      </c>
      <c r="AQ88" s="190">
        <f t="shared" si="112"/>
        <v>0</v>
      </c>
      <c r="AR88" s="191">
        <f t="shared" si="112"/>
        <v>0</v>
      </c>
      <c r="AS88" s="192">
        <f t="shared" si="112"/>
        <v>0</v>
      </c>
      <c r="AT88" s="190">
        <f t="shared" si="112"/>
        <v>0</v>
      </c>
      <c r="AU88" s="191">
        <f t="shared" si="112"/>
        <v>0</v>
      </c>
      <c r="AV88" s="192">
        <f t="shared" si="112"/>
        <v>0</v>
      </c>
      <c r="AW88" s="190">
        <f t="shared" si="112"/>
        <v>0</v>
      </c>
      <c r="AX88" s="191">
        <f t="shared" si="112"/>
        <v>0</v>
      </c>
      <c r="AY88" s="192">
        <f t="shared" si="112"/>
        <v>0</v>
      </c>
      <c r="AZ88" s="193">
        <f>Y88*$F88</f>
        <v>0</v>
      </c>
      <c r="BA88" s="194">
        <f>AC88*$F88</f>
        <v>0</v>
      </c>
      <c r="BB88" s="195"/>
      <c r="BC88" s="121">
        <f>ROUNDUP(N88/$BC$13,0)</f>
        <v>0</v>
      </c>
      <c r="BD88" s="121">
        <f>ROUNDUP(Q88/$BD$13,0)</f>
        <v>0</v>
      </c>
      <c r="BE88" s="121">
        <f>ROUNDUP(T88/$BE$13,0)</f>
        <v>0</v>
      </c>
      <c r="BF88" s="121">
        <f>ROUNDUP(W88/$BF$13,0)</f>
        <v>0</v>
      </c>
      <c r="BG88" s="121">
        <f>ROUNDUP(Z88/$BG$13,0)</f>
        <v>0</v>
      </c>
      <c r="BH88" s="121">
        <f>ROUNDUP(AC88/$BH$13,0)</f>
        <v>0</v>
      </c>
    </row>
    <row r="89" spans="1:60" s="1077" customFormat="1" ht="20.100000000000001" customHeight="1">
      <c r="A89" s="1421"/>
      <c r="B89" s="1393"/>
      <c r="C89" s="626" t="str">
        <f t="shared" si="91"/>
        <v>82116-0ZW90</v>
      </c>
      <c r="D89" s="302" t="str">
        <f t="shared" si="91"/>
        <v>A 0101</v>
      </c>
      <c r="E89" s="302"/>
      <c r="F89" s="502"/>
      <c r="G89" s="502">
        <f t="shared" si="92"/>
        <v>6</v>
      </c>
      <c r="H89" s="1096">
        <f t="shared" si="97"/>
        <v>2.7055150000000001</v>
      </c>
      <c r="I89" s="934">
        <f t="shared" ref="I89:AC89" si="113">$H27*I27</f>
        <v>194.79707999999999</v>
      </c>
      <c r="J89" s="246">
        <f t="shared" si="113"/>
        <v>730.48905000000002</v>
      </c>
      <c r="K89" s="933">
        <f t="shared" si="113"/>
        <v>746.72214000000008</v>
      </c>
      <c r="L89" s="934">
        <f t="shared" si="113"/>
        <v>211.03017</v>
      </c>
      <c r="M89" s="246">
        <f t="shared" si="113"/>
        <v>1038.91776</v>
      </c>
      <c r="N89" s="933">
        <f t="shared" si="113"/>
        <v>1071.3839399999999</v>
      </c>
      <c r="O89" s="934">
        <f t="shared" si="113"/>
        <v>243.49635000000001</v>
      </c>
      <c r="P89" s="246">
        <f t="shared" si="113"/>
        <v>973.98540000000003</v>
      </c>
      <c r="Q89" s="933">
        <f t="shared" si="113"/>
        <v>1087.6170300000001</v>
      </c>
      <c r="R89" s="934">
        <f t="shared" si="113"/>
        <v>357.12798000000004</v>
      </c>
      <c r="S89" s="246">
        <f t="shared" si="113"/>
        <v>1217.4817500000001</v>
      </c>
      <c r="T89" s="933">
        <f t="shared" si="113"/>
        <v>1152.5493900000001</v>
      </c>
      <c r="U89" s="934">
        <f t="shared" si="113"/>
        <v>292.19562000000002</v>
      </c>
      <c r="V89" s="246">
        <f t="shared" si="113"/>
        <v>1347.34647</v>
      </c>
      <c r="W89" s="933">
        <f t="shared" si="113"/>
        <v>1055.15085</v>
      </c>
      <c r="X89" s="934">
        <f t="shared" si="113"/>
        <v>0</v>
      </c>
      <c r="Y89" s="246">
        <f t="shared" si="113"/>
        <v>1055.15085</v>
      </c>
      <c r="Z89" s="933">
        <f t="shared" si="113"/>
        <v>1185.01557</v>
      </c>
      <c r="AA89" s="934">
        <f t="shared" si="113"/>
        <v>129.86472000000001</v>
      </c>
      <c r="AB89" s="625">
        <f t="shared" si="113"/>
        <v>1055.15085</v>
      </c>
      <c r="AC89" s="624">
        <f t="shared" si="113"/>
        <v>925.28613000000007</v>
      </c>
      <c r="AD89" s="249">
        <f t="shared" si="94"/>
        <v>0</v>
      </c>
      <c r="AG89" s="1102"/>
      <c r="AH89" s="1103"/>
      <c r="AI89" s="1104"/>
      <c r="AJ89" s="1105"/>
      <c r="AK89" s="1103"/>
      <c r="AL89" s="1104"/>
      <c r="AM89" s="1105"/>
      <c r="AN89" s="1103"/>
      <c r="AO89" s="1104"/>
      <c r="AP89" s="1105"/>
      <c r="AQ89" s="1103"/>
      <c r="AR89" s="1104"/>
      <c r="AS89" s="1105"/>
      <c r="AT89" s="1103"/>
      <c r="AU89" s="1104"/>
      <c r="AV89" s="1105"/>
      <c r="AW89" s="1103"/>
      <c r="AX89" s="1104"/>
      <c r="AY89" s="1105"/>
      <c r="AZ89" s="1106"/>
      <c r="BA89" s="1107"/>
      <c r="BB89" s="1108"/>
      <c r="BC89" s="1109"/>
      <c r="BD89" s="1109"/>
      <c r="BE89" s="1109"/>
      <c r="BF89" s="1109"/>
      <c r="BG89" s="1109"/>
      <c r="BH89" s="1109"/>
    </row>
    <row r="90" spans="1:60" s="1077" customFormat="1" ht="20.100000000000001" customHeight="1">
      <c r="A90" s="1421"/>
      <c r="B90" s="1393"/>
      <c r="C90" s="1017" t="str">
        <f t="shared" si="91"/>
        <v>82111-FE460</v>
      </c>
      <c r="D90" s="302" t="str">
        <f t="shared" si="91"/>
        <v>0001</v>
      </c>
      <c r="E90" s="302"/>
      <c r="F90" s="1018"/>
      <c r="G90" s="1018">
        <f t="shared" si="92"/>
        <v>6</v>
      </c>
      <c r="H90" s="1098">
        <f t="shared" si="97"/>
        <v>2.8079483333333335</v>
      </c>
      <c r="I90" s="934">
        <f t="shared" ref="I90:AC90" si="114">$H28*I28</f>
        <v>0</v>
      </c>
      <c r="J90" s="246">
        <f t="shared" si="114"/>
        <v>134.78152</v>
      </c>
      <c r="K90" s="933">
        <f t="shared" si="114"/>
        <v>134.78152</v>
      </c>
      <c r="L90" s="934">
        <f t="shared" si="114"/>
        <v>0</v>
      </c>
      <c r="M90" s="246">
        <f t="shared" si="114"/>
        <v>117.93383</v>
      </c>
      <c r="N90" s="933">
        <f t="shared" si="114"/>
        <v>168.4769</v>
      </c>
      <c r="O90" s="934">
        <f t="shared" si="114"/>
        <v>50.54307</v>
      </c>
      <c r="P90" s="246">
        <f t="shared" si="114"/>
        <v>84.23845</v>
      </c>
      <c r="Q90" s="933">
        <f t="shared" si="114"/>
        <v>33.69538</v>
      </c>
      <c r="R90" s="934">
        <f t="shared" si="114"/>
        <v>0</v>
      </c>
      <c r="S90" s="246">
        <f t="shared" si="114"/>
        <v>101.08614</v>
      </c>
      <c r="T90" s="933">
        <f t="shared" si="114"/>
        <v>101.08614</v>
      </c>
      <c r="U90" s="934">
        <f t="shared" si="114"/>
        <v>0</v>
      </c>
      <c r="V90" s="246">
        <f t="shared" si="114"/>
        <v>101.08614</v>
      </c>
      <c r="W90" s="933">
        <f t="shared" si="114"/>
        <v>101.08614</v>
      </c>
      <c r="X90" s="934">
        <f t="shared" si="114"/>
        <v>0</v>
      </c>
      <c r="Y90" s="246">
        <f t="shared" si="114"/>
        <v>84.23845</v>
      </c>
      <c r="Z90" s="933">
        <f t="shared" si="114"/>
        <v>84.23845</v>
      </c>
      <c r="AA90" s="934">
        <f t="shared" si="114"/>
        <v>0</v>
      </c>
      <c r="AB90" s="625">
        <f t="shared" si="114"/>
        <v>84.23845</v>
      </c>
      <c r="AC90" s="624">
        <f t="shared" si="114"/>
        <v>84.23845</v>
      </c>
      <c r="AD90" s="249">
        <f t="shared" si="94"/>
        <v>0</v>
      </c>
      <c r="AG90" s="1079" t="e">
        <f>#REF!*AG28</f>
        <v>#REF!</v>
      </c>
      <c r="AH90" s="1080">
        <f t="shared" ref="AH90:AY90" si="115">$H28*AH28</f>
        <v>0</v>
      </c>
      <c r="AI90" s="1081">
        <f t="shared" si="115"/>
        <v>0</v>
      </c>
      <c r="AJ90" s="1082">
        <f t="shared" si="115"/>
        <v>0</v>
      </c>
      <c r="AK90" s="1080">
        <f t="shared" si="115"/>
        <v>0</v>
      </c>
      <c r="AL90" s="1081">
        <f t="shared" si="115"/>
        <v>0</v>
      </c>
      <c r="AM90" s="1082">
        <f t="shared" si="115"/>
        <v>0</v>
      </c>
      <c r="AN90" s="1080">
        <f t="shared" si="115"/>
        <v>0</v>
      </c>
      <c r="AO90" s="1081">
        <f t="shared" si="115"/>
        <v>0</v>
      </c>
      <c r="AP90" s="1082">
        <f t="shared" si="115"/>
        <v>0</v>
      </c>
      <c r="AQ90" s="1080">
        <f t="shared" si="115"/>
        <v>0</v>
      </c>
      <c r="AR90" s="1081">
        <f t="shared" si="115"/>
        <v>0</v>
      </c>
      <c r="AS90" s="1082">
        <f t="shared" si="115"/>
        <v>0</v>
      </c>
      <c r="AT90" s="1080">
        <f t="shared" si="115"/>
        <v>0</v>
      </c>
      <c r="AU90" s="1081">
        <f t="shared" si="115"/>
        <v>0</v>
      </c>
      <c r="AV90" s="1082">
        <f t="shared" si="115"/>
        <v>0</v>
      </c>
      <c r="AW90" s="1080">
        <f t="shared" si="115"/>
        <v>0</v>
      </c>
      <c r="AX90" s="1081">
        <f t="shared" si="115"/>
        <v>0</v>
      </c>
      <c r="AY90" s="1082">
        <f t="shared" si="115"/>
        <v>0</v>
      </c>
      <c r="AZ90" s="1083">
        <f>Y90*$F90</f>
        <v>0</v>
      </c>
      <c r="BA90" s="1084">
        <f>AC90*$F90</f>
        <v>0</v>
      </c>
      <c r="BB90" s="1108"/>
      <c r="BC90" s="1085">
        <f>ROUNDUP(N90/$BC$13,0)</f>
        <v>43</v>
      </c>
      <c r="BD90" s="1085">
        <f>ROUNDUP(Q90/$BD$13,0)</f>
        <v>7</v>
      </c>
      <c r="BE90" s="1085">
        <f>ROUNDUP(T90/$BE$13,0)</f>
        <v>26</v>
      </c>
      <c r="BF90" s="1085">
        <f>ROUNDUP(W90/$BF$13,0)</f>
        <v>21</v>
      </c>
      <c r="BG90" s="1085">
        <f>ROUNDUP(Z90/$BG$13,0)</f>
        <v>22</v>
      </c>
      <c r="BH90" s="1085">
        <f>ROUNDUP(AC90/$BH$13,0)</f>
        <v>22</v>
      </c>
    </row>
    <row r="91" spans="1:60" s="113" customFormat="1" ht="20.100000000000001" customHeight="1" thickBot="1">
      <c r="A91" s="1421"/>
      <c r="B91" s="1393"/>
      <c r="C91" s="1056" t="str">
        <f t="shared" si="91"/>
        <v>82111-FE470</v>
      </c>
      <c r="D91" s="302" t="str">
        <f t="shared" si="91"/>
        <v>0001</v>
      </c>
      <c r="E91" s="302"/>
      <c r="F91" s="1018"/>
      <c r="G91" s="1018">
        <f t="shared" si="92"/>
        <v>6</v>
      </c>
      <c r="H91" s="1098">
        <f t="shared" si="97"/>
        <v>2.9327050000000003</v>
      </c>
      <c r="I91" s="245">
        <f t="shared" ref="I91:AC91" si="116">$H29*I29</f>
        <v>0</v>
      </c>
      <c r="J91" s="246">
        <f t="shared" si="116"/>
        <v>1090.9662600000001</v>
      </c>
      <c r="K91" s="247">
        <f t="shared" si="116"/>
        <v>1090.9662600000001</v>
      </c>
      <c r="L91" s="245">
        <f t="shared" si="116"/>
        <v>0</v>
      </c>
      <c r="M91" s="246">
        <f t="shared" si="116"/>
        <v>35.192460000000004</v>
      </c>
      <c r="N91" s="247">
        <f t="shared" si="116"/>
        <v>175.96230000000003</v>
      </c>
      <c r="O91" s="245">
        <f t="shared" si="116"/>
        <v>140.76984000000002</v>
      </c>
      <c r="P91" s="246">
        <f t="shared" si="116"/>
        <v>527.88690000000008</v>
      </c>
      <c r="Q91" s="247">
        <f t="shared" si="116"/>
        <v>668.65674000000013</v>
      </c>
      <c r="R91" s="245">
        <f t="shared" si="116"/>
        <v>281.53968000000003</v>
      </c>
      <c r="S91" s="246">
        <f t="shared" si="116"/>
        <v>668.65674000000013</v>
      </c>
      <c r="T91" s="247">
        <f t="shared" si="116"/>
        <v>527.88690000000008</v>
      </c>
      <c r="U91" s="245">
        <f t="shared" si="116"/>
        <v>140.76984000000002</v>
      </c>
      <c r="V91" s="246">
        <f t="shared" si="116"/>
        <v>615.86805000000004</v>
      </c>
      <c r="W91" s="247">
        <f t="shared" si="116"/>
        <v>475.09821000000005</v>
      </c>
      <c r="X91" s="245">
        <f t="shared" si="116"/>
        <v>0</v>
      </c>
      <c r="Y91" s="246">
        <f t="shared" si="116"/>
        <v>545.48313000000007</v>
      </c>
      <c r="Z91" s="247">
        <f t="shared" si="116"/>
        <v>545.48313000000007</v>
      </c>
      <c r="AA91" s="245">
        <f t="shared" si="116"/>
        <v>0</v>
      </c>
      <c r="AB91" s="625">
        <f t="shared" si="116"/>
        <v>545.48313000000007</v>
      </c>
      <c r="AC91" s="624">
        <f t="shared" si="116"/>
        <v>545.48313000000007</v>
      </c>
      <c r="AD91" s="249">
        <f t="shared" si="94"/>
        <v>0</v>
      </c>
      <c r="AG91" s="131"/>
      <c r="AH91" s="132"/>
      <c r="AI91" s="133"/>
      <c r="AJ91" s="134"/>
      <c r="AK91" s="132"/>
      <c r="AL91" s="133"/>
      <c r="AM91" s="134"/>
      <c r="AN91" s="132"/>
      <c r="AO91" s="133"/>
      <c r="AP91" s="134"/>
      <c r="AQ91" s="132"/>
      <c r="AR91" s="133"/>
      <c r="AS91" s="134"/>
      <c r="AT91" s="132"/>
      <c r="AU91" s="133"/>
      <c r="AV91" s="134"/>
      <c r="AW91" s="132"/>
      <c r="AX91" s="133"/>
      <c r="AY91" s="134"/>
      <c r="AZ91" s="135"/>
      <c r="BA91" s="136"/>
      <c r="BB91" s="120"/>
      <c r="BC91" s="250"/>
      <c r="BD91" s="250"/>
      <c r="BE91" s="250"/>
      <c r="BF91" s="250"/>
      <c r="BG91" s="250"/>
      <c r="BH91" s="250"/>
    </row>
    <row r="92" spans="1:60" s="1062" customFormat="1" ht="20.100000000000001" customHeight="1" thickBot="1">
      <c r="A92" s="1422"/>
      <c r="B92" s="1394"/>
      <c r="C92" s="1048" t="str">
        <f t="shared" si="91"/>
        <v>82116-0ZX90</v>
      </c>
      <c r="D92" s="1023" t="str">
        <f t="shared" si="91"/>
        <v>A 0101</v>
      </c>
      <c r="E92" s="1041"/>
      <c r="F92" s="1024"/>
      <c r="G92" s="1024">
        <f t="shared" si="92"/>
        <v>6</v>
      </c>
      <c r="H92" s="1099">
        <f t="shared" si="97"/>
        <v>2.7070533333333331</v>
      </c>
      <c r="I92" s="919">
        <f t="shared" ref="I92:AC92" si="117">$H30*I30</f>
        <v>0</v>
      </c>
      <c r="J92" s="1026">
        <f t="shared" si="117"/>
        <v>227.39247999999998</v>
      </c>
      <c r="K92" s="918">
        <f t="shared" si="117"/>
        <v>227.39247999999998</v>
      </c>
      <c r="L92" s="919">
        <f t="shared" si="117"/>
        <v>0</v>
      </c>
      <c r="M92" s="1026">
        <f t="shared" si="117"/>
        <v>32.484639999999999</v>
      </c>
      <c r="N92" s="918">
        <f t="shared" si="117"/>
        <v>32.484639999999999</v>
      </c>
      <c r="O92" s="919">
        <f t="shared" si="117"/>
        <v>0</v>
      </c>
      <c r="P92" s="1026">
        <f t="shared" si="117"/>
        <v>81.21159999999999</v>
      </c>
      <c r="Q92" s="918">
        <f t="shared" si="117"/>
        <v>81.21159999999999</v>
      </c>
      <c r="R92" s="919">
        <f t="shared" si="117"/>
        <v>0</v>
      </c>
      <c r="S92" s="1026">
        <f t="shared" si="117"/>
        <v>81.21159999999999</v>
      </c>
      <c r="T92" s="918">
        <f t="shared" si="117"/>
        <v>81.21159999999999</v>
      </c>
      <c r="U92" s="919">
        <f t="shared" si="117"/>
        <v>0</v>
      </c>
      <c r="V92" s="1026">
        <f t="shared" si="117"/>
        <v>81.21159999999999</v>
      </c>
      <c r="W92" s="918">
        <f t="shared" si="117"/>
        <v>81.21159999999999</v>
      </c>
      <c r="X92" s="919">
        <f t="shared" si="117"/>
        <v>0</v>
      </c>
      <c r="Y92" s="1026">
        <f t="shared" si="117"/>
        <v>64.969279999999998</v>
      </c>
      <c r="Z92" s="918">
        <f t="shared" si="117"/>
        <v>64.969279999999998</v>
      </c>
      <c r="AA92" s="919">
        <f t="shared" si="117"/>
        <v>0</v>
      </c>
      <c r="AB92" s="1027">
        <f t="shared" si="117"/>
        <v>64.969279999999998</v>
      </c>
      <c r="AC92" s="920">
        <f t="shared" si="117"/>
        <v>64.969279999999998</v>
      </c>
      <c r="AD92" s="1028">
        <f t="shared" si="94"/>
        <v>0</v>
      </c>
      <c r="AG92" s="1111" t="e">
        <f>#REF!*AG30</f>
        <v>#REF!</v>
      </c>
      <c r="AH92" s="1112">
        <f t="shared" ref="AH92:AY92" si="118">$H30*AH30</f>
        <v>0</v>
      </c>
      <c r="AI92" s="1113">
        <f t="shared" si="118"/>
        <v>0</v>
      </c>
      <c r="AJ92" s="1114">
        <f t="shared" si="118"/>
        <v>0</v>
      </c>
      <c r="AK92" s="1112">
        <f t="shared" si="118"/>
        <v>0</v>
      </c>
      <c r="AL92" s="1113">
        <f t="shared" si="118"/>
        <v>0</v>
      </c>
      <c r="AM92" s="1114">
        <f t="shared" si="118"/>
        <v>0</v>
      </c>
      <c r="AN92" s="1112">
        <f t="shared" si="118"/>
        <v>0</v>
      </c>
      <c r="AO92" s="1113">
        <f t="shared" si="118"/>
        <v>0</v>
      </c>
      <c r="AP92" s="1114">
        <f t="shared" si="118"/>
        <v>0</v>
      </c>
      <c r="AQ92" s="1112">
        <f t="shared" si="118"/>
        <v>0</v>
      </c>
      <c r="AR92" s="1113">
        <f t="shared" si="118"/>
        <v>0</v>
      </c>
      <c r="AS92" s="1114">
        <f t="shared" si="118"/>
        <v>0</v>
      </c>
      <c r="AT92" s="1112">
        <f t="shared" si="118"/>
        <v>0</v>
      </c>
      <c r="AU92" s="1113">
        <f t="shared" si="118"/>
        <v>0</v>
      </c>
      <c r="AV92" s="1114">
        <f t="shared" si="118"/>
        <v>0</v>
      </c>
      <c r="AW92" s="1112">
        <f t="shared" si="118"/>
        <v>0</v>
      </c>
      <c r="AX92" s="1113">
        <f t="shared" si="118"/>
        <v>0</v>
      </c>
      <c r="AY92" s="1114">
        <f t="shared" si="118"/>
        <v>0</v>
      </c>
      <c r="AZ92" s="1115">
        <f>Y92*$F92</f>
        <v>0</v>
      </c>
      <c r="BA92" s="1116">
        <f>AC92*$F92</f>
        <v>0</v>
      </c>
      <c r="BB92" s="1117"/>
      <c r="BC92" s="1063">
        <f>ROUNDUP(N92/$BC$13,0)</f>
        <v>9</v>
      </c>
      <c r="BD92" s="1063">
        <f>ROUNDUP(Q92/$BD$13,0)</f>
        <v>17</v>
      </c>
      <c r="BE92" s="1063">
        <f>ROUNDUP(T92/$BE$13,0)</f>
        <v>21</v>
      </c>
      <c r="BF92" s="1063">
        <f>ROUNDUP(W92/$BF$13,0)</f>
        <v>17</v>
      </c>
      <c r="BG92" s="1063">
        <f>ROUNDUP(Z92/$BG$13,0)</f>
        <v>17</v>
      </c>
      <c r="BH92" s="1063">
        <f>ROUNDUP(AC92/$BH$13,0)</f>
        <v>17</v>
      </c>
    </row>
    <row r="93" spans="1:60" s="1175" customFormat="1" ht="20.100000000000001" customHeight="1" thickBot="1">
      <c r="A93" s="1516" t="s">
        <v>255</v>
      </c>
      <c r="B93" s="1179" t="s">
        <v>192</v>
      </c>
      <c r="C93" s="1207" t="str">
        <f t="shared" si="91"/>
        <v>82111-FE150</v>
      </c>
      <c r="D93" s="1057" t="str">
        <f t="shared" si="91"/>
        <v>0001</v>
      </c>
      <c r="E93" s="1057"/>
      <c r="F93" s="1058"/>
      <c r="G93" s="1058">
        <f t="shared" si="92"/>
        <v>6</v>
      </c>
      <c r="H93" s="1101">
        <f t="shared" si="97"/>
        <v>3.6625166666666664</v>
      </c>
      <c r="I93" s="1054">
        <f t="shared" ref="I93:AC93" si="119">$H31*I31</f>
        <v>0</v>
      </c>
      <c r="J93" s="1059">
        <f t="shared" si="119"/>
        <v>153.82569999999998</v>
      </c>
      <c r="K93" s="1053">
        <f t="shared" si="119"/>
        <v>153.82569999999998</v>
      </c>
      <c r="L93" s="1054">
        <f t="shared" si="119"/>
        <v>0</v>
      </c>
      <c r="M93" s="1059">
        <f t="shared" si="119"/>
        <v>197.77589999999998</v>
      </c>
      <c r="N93" s="1053">
        <f t="shared" si="119"/>
        <v>197.77589999999998</v>
      </c>
      <c r="O93" s="1054">
        <f t="shared" si="119"/>
        <v>0</v>
      </c>
      <c r="P93" s="1059">
        <f t="shared" si="119"/>
        <v>175.80079999999998</v>
      </c>
      <c r="Q93" s="1053">
        <f t="shared" si="119"/>
        <v>175.80079999999998</v>
      </c>
      <c r="R93" s="1054">
        <f t="shared" si="119"/>
        <v>0</v>
      </c>
      <c r="S93" s="1059">
        <f t="shared" si="119"/>
        <v>153.82569999999998</v>
      </c>
      <c r="T93" s="1053">
        <f t="shared" si="119"/>
        <v>153.82569999999998</v>
      </c>
      <c r="U93" s="1054">
        <f t="shared" si="119"/>
        <v>0</v>
      </c>
      <c r="V93" s="1059">
        <f t="shared" si="119"/>
        <v>153.82569999999998</v>
      </c>
      <c r="W93" s="1053">
        <f t="shared" si="119"/>
        <v>153.82569999999998</v>
      </c>
      <c r="X93" s="1054">
        <f t="shared" si="119"/>
        <v>0</v>
      </c>
      <c r="Y93" s="1059">
        <f t="shared" si="119"/>
        <v>109.87549999999999</v>
      </c>
      <c r="Z93" s="1053">
        <f t="shared" si="119"/>
        <v>109.87549999999999</v>
      </c>
      <c r="AA93" s="1054">
        <f t="shared" si="119"/>
        <v>0</v>
      </c>
      <c r="AB93" s="1060">
        <f t="shared" si="119"/>
        <v>109.87549999999999</v>
      </c>
      <c r="AC93" s="1055">
        <f t="shared" si="119"/>
        <v>109.87549999999999</v>
      </c>
      <c r="AD93" s="1061">
        <f t="shared" si="94"/>
        <v>0</v>
      </c>
      <c r="AG93" s="1111" t="e">
        <f>#REF!*AG31</f>
        <v>#REF!</v>
      </c>
      <c r="AH93" s="1112">
        <f t="shared" ref="AH93:AY93" si="120">$H31*AH31</f>
        <v>0</v>
      </c>
      <c r="AI93" s="1113">
        <f t="shared" si="120"/>
        <v>0</v>
      </c>
      <c r="AJ93" s="1114">
        <f t="shared" si="120"/>
        <v>0</v>
      </c>
      <c r="AK93" s="1112">
        <f t="shared" si="120"/>
        <v>0</v>
      </c>
      <c r="AL93" s="1113">
        <f t="shared" si="120"/>
        <v>0</v>
      </c>
      <c r="AM93" s="1114">
        <f t="shared" si="120"/>
        <v>0</v>
      </c>
      <c r="AN93" s="1112">
        <f t="shared" si="120"/>
        <v>0</v>
      </c>
      <c r="AO93" s="1113">
        <f t="shared" si="120"/>
        <v>0</v>
      </c>
      <c r="AP93" s="1114">
        <f t="shared" si="120"/>
        <v>0</v>
      </c>
      <c r="AQ93" s="1112">
        <f t="shared" si="120"/>
        <v>0</v>
      </c>
      <c r="AR93" s="1113">
        <f t="shared" si="120"/>
        <v>0</v>
      </c>
      <c r="AS93" s="1114">
        <f t="shared" si="120"/>
        <v>0</v>
      </c>
      <c r="AT93" s="1112">
        <f t="shared" si="120"/>
        <v>0</v>
      </c>
      <c r="AU93" s="1113">
        <f t="shared" si="120"/>
        <v>0</v>
      </c>
      <c r="AV93" s="1114">
        <f t="shared" si="120"/>
        <v>0</v>
      </c>
      <c r="AW93" s="1112">
        <f t="shared" si="120"/>
        <v>0</v>
      </c>
      <c r="AX93" s="1113">
        <f t="shared" si="120"/>
        <v>0</v>
      </c>
      <c r="AY93" s="1114">
        <f t="shared" si="120"/>
        <v>0</v>
      </c>
      <c r="AZ93" s="1115">
        <f>Y93*$F93</f>
        <v>0</v>
      </c>
      <c r="BA93" s="1116">
        <f>AC93*$F93</f>
        <v>0</v>
      </c>
      <c r="BB93" s="1208"/>
      <c r="BC93" s="1209">
        <f>ROUNDUP(N93/$BC$13,0)</f>
        <v>50</v>
      </c>
      <c r="BD93" s="1209">
        <f>ROUNDUP(Q93/$BD$13,0)</f>
        <v>36</v>
      </c>
      <c r="BE93" s="1209">
        <f>ROUNDUP(T93/$BE$13,0)</f>
        <v>39</v>
      </c>
      <c r="BF93" s="1209">
        <f>ROUNDUP(W93/$BF$13,0)</f>
        <v>31</v>
      </c>
      <c r="BG93" s="1209">
        <f>ROUNDUP(Z93/$BG$13,0)</f>
        <v>28</v>
      </c>
      <c r="BH93" s="1209">
        <f>ROUNDUP(AC93/$BH$13,0)</f>
        <v>28</v>
      </c>
    </row>
    <row r="94" spans="1:60" s="1077" customFormat="1" ht="20.100000000000001" customHeight="1">
      <c r="A94" s="1523"/>
      <c r="B94" s="1400" t="s">
        <v>168</v>
      </c>
      <c r="C94" s="1056" t="str">
        <f t="shared" ref="C94:D103" si="121">C32</f>
        <v>82111-FE200</v>
      </c>
      <c r="D94" s="302" t="str">
        <f t="shared" si="121"/>
        <v>0001</v>
      </c>
      <c r="E94" s="302"/>
      <c r="F94" s="1018"/>
      <c r="G94" s="1018">
        <f t="shared" si="92"/>
        <v>6</v>
      </c>
      <c r="H94" s="1098">
        <f t="shared" si="97"/>
        <v>2.7844983333333335</v>
      </c>
      <c r="I94" s="245">
        <f t="shared" ref="I94:AC94" si="122">$H32*I32</f>
        <v>0</v>
      </c>
      <c r="J94" s="246">
        <f t="shared" si="122"/>
        <v>0</v>
      </c>
      <c r="K94" s="247">
        <f t="shared" si="122"/>
        <v>0</v>
      </c>
      <c r="L94" s="245">
        <f t="shared" si="122"/>
        <v>0</v>
      </c>
      <c r="M94" s="246">
        <f t="shared" si="122"/>
        <v>0</v>
      </c>
      <c r="N94" s="247">
        <f t="shared" si="122"/>
        <v>0</v>
      </c>
      <c r="O94" s="245">
        <f t="shared" si="122"/>
        <v>0</v>
      </c>
      <c r="P94" s="246">
        <f t="shared" si="122"/>
        <v>0</v>
      </c>
      <c r="Q94" s="247">
        <f t="shared" si="122"/>
        <v>0</v>
      </c>
      <c r="R94" s="245">
        <f t="shared" si="122"/>
        <v>0</v>
      </c>
      <c r="S94" s="246">
        <f t="shared" si="122"/>
        <v>0</v>
      </c>
      <c r="T94" s="247">
        <f t="shared" si="122"/>
        <v>0</v>
      </c>
      <c r="U94" s="245">
        <f t="shared" si="122"/>
        <v>0</v>
      </c>
      <c r="V94" s="246">
        <f t="shared" si="122"/>
        <v>0</v>
      </c>
      <c r="W94" s="247">
        <f t="shared" si="122"/>
        <v>0</v>
      </c>
      <c r="X94" s="245">
        <f t="shared" si="122"/>
        <v>0</v>
      </c>
      <c r="Y94" s="246">
        <f t="shared" si="122"/>
        <v>0</v>
      </c>
      <c r="Z94" s="247">
        <f t="shared" si="122"/>
        <v>0</v>
      </c>
      <c r="AA94" s="245">
        <f t="shared" si="122"/>
        <v>0</v>
      </c>
      <c r="AB94" s="625">
        <f t="shared" si="122"/>
        <v>0</v>
      </c>
      <c r="AC94" s="624">
        <f t="shared" si="122"/>
        <v>0</v>
      </c>
      <c r="AD94" s="249">
        <f t="shared" ref="AD94:AD103" si="123">AD32*$H$14</f>
        <v>0</v>
      </c>
      <c r="AG94" s="1079"/>
      <c r="AH94" s="1080"/>
      <c r="AI94" s="1081"/>
      <c r="AJ94" s="1082"/>
      <c r="AK94" s="1080"/>
      <c r="AL94" s="1081"/>
      <c r="AM94" s="1082"/>
      <c r="AN94" s="1080"/>
      <c r="AO94" s="1081"/>
      <c r="AP94" s="1082"/>
      <c r="AQ94" s="1080"/>
      <c r="AR94" s="1081"/>
      <c r="AS94" s="1082"/>
      <c r="AT94" s="1080"/>
      <c r="AU94" s="1081"/>
      <c r="AV94" s="1082"/>
      <c r="AW94" s="1080"/>
      <c r="AX94" s="1081"/>
      <c r="AY94" s="1082"/>
      <c r="AZ94" s="1083"/>
      <c r="BA94" s="1084"/>
      <c r="BB94" s="1108"/>
      <c r="BC94" s="1085"/>
      <c r="BD94" s="1085"/>
      <c r="BE94" s="1085"/>
      <c r="BF94" s="1085"/>
      <c r="BG94" s="1085"/>
      <c r="BH94" s="1085"/>
    </row>
    <row r="95" spans="1:60" s="1062" customFormat="1" ht="20.100000000000001" customHeight="1" thickBot="1">
      <c r="A95" s="1517"/>
      <c r="B95" s="1401"/>
      <c r="C95" s="1049" t="str">
        <f t="shared" si="121"/>
        <v>82111-FE210</v>
      </c>
      <c r="D95" s="1023" t="str">
        <f t="shared" si="121"/>
        <v>0001</v>
      </c>
      <c r="E95" s="1023"/>
      <c r="F95" s="1050"/>
      <c r="G95" s="1050">
        <f t="shared" si="92"/>
        <v>6</v>
      </c>
      <c r="H95" s="1097">
        <f t="shared" si="97"/>
        <v>2.9111850000000006</v>
      </c>
      <c r="I95" s="1369">
        <f t="shared" ref="I95:AC95" si="124">$H33*I33</f>
        <v>0</v>
      </c>
      <c r="J95" s="1026">
        <f t="shared" si="124"/>
        <v>46.578960000000009</v>
      </c>
      <c r="K95" s="1370">
        <f t="shared" si="124"/>
        <v>52.401330000000009</v>
      </c>
      <c r="L95" s="1369">
        <f t="shared" si="124"/>
        <v>5.8223700000000012</v>
      </c>
      <c r="M95" s="1026">
        <f t="shared" si="124"/>
        <v>0</v>
      </c>
      <c r="N95" s="1370">
        <f t="shared" si="124"/>
        <v>0</v>
      </c>
      <c r="O95" s="1369">
        <f t="shared" si="124"/>
        <v>5.8223700000000012</v>
      </c>
      <c r="P95" s="1026">
        <f t="shared" si="124"/>
        <v>0</v>
      </c>
      <c r="Q95" s="1370">
        <f t="shared" si="124"/>
        <v>0</v>
      </c>
      <c r="R95" s="1369">
        <f t="shared" si="124"/>
        <v>5.8223700000000012</v>
      </c>
      <c r="S95" s="1026">
        <f t="shared" si="124"/>
        <v>0</v>
      </c>
      <c r="T95" s="1370">
        <f t="shared" si="124"/>
        <v>0</v>
      </c>
      <c r="U95" s="1369">
        <f t="shared" si="124"/>
        <v>5.8223700000000012</v>
      </c>
      <c r="V95" s="1026">
        <f t="shared" si="124"/>
        <v>0</v>
      </c>
      <c r="W95" s="1370">
        <f t="shared" si="124"/>
        <v>0</v>
      </c>
      <c r="X95" s="1369">
        <f t="shared" si="124"/>
        <v>5.8223700000000012</v>
      </c>
      <c r="Y95" s="1026">
        <f t="shared" si="124"/>
        <v>0</v>
      </c>
      <c r="Z95" s="1370">
        <f t="shared" si="124"/>
        <v>0</v>
      </c>
      <c r="AA95" s="1369">
        <f t="shared" si="124"/>
        <v>5.8223700000000012</v>
      </c>
      <c r="AB95" s="1027">
        <f t="shared" si="124"/>
        <v>0</v>
      </c>
      <c r="AC95" s="920">
        <f t="shared" si="124"/>
        <v>0</v>
      </c>
      <c r="AD95" s="1028">
        <f t="shared" si="123"/>
        <v>0</v>
      </c>
      <c r="AG95" s="1371" t="e">
        <f>#REF!*AG33</f>
        <v>#REF!</v>
      </c>
      <c r="AH95" s="1372">
        <f t="shared" ref="AH95:AY95" si="125">$H33*AH33</f>
        <v>0</v>
      </c>
      <c r="AI95" s="1373">
        <f t="shared" si="125"/>
        <v>0</v>
      </c>
      <c r="AJ95" s="1374">
        <f t="shared" si="125"/>
        <v>0</v>
      </c>
      <c r="AK95" s="1372">
        <f t="shared" si="125"/>
        <v>0</v>
      </c>
      <c r="AL95" s="1373">
        <f t="shared" si="125"/>
        <v>0</v>
      </c>
      <c r="AM95" s="1374">
        <f t="shared" si="125"/>
        <v>0</v>
      </c>
      <c r="AN95" s="1372">
        <f t="shared" si="125"/>
        <v>0</v>
      </c>
      <c r="AO95" s="1373">
        <f t="shared" si="125"/>
        <v>0</v>
      </c>
      <c r="AP95" s="1374">
        <f t="shared" si="125"/>
        <v>0</v>
      </c>
      <c r="AQ95" s="1372">
        <f t="shared" si="125"/>
        <v>0</v>
      </c>
      <c r="AR95" s="1373">
        <f t="shared" si="125"/>
        <v>0</v>
      </c>
      <c r="AS95" s="1374">
        <f t="shared" si="125"/>
        <v>0</v>
      </c>
      <c r="AT95" s="1372">
        <f t="shared" si="125"/>
        <v>0</v>
      </c>
      <c r="AU95" s="1373">
        <f t="shared" si="125"/>
        <v>0</v>
      </c>
      <c r="AV95" s="1374">
        <f t="shared" si="125"/>
        <v>0</v>
      </c>
      <c r="AW95" s="1372">
        <f t="shared" si="125"/>
        <v>0</v>
      </c>
      <c r="AX95" s="1373">
        <f t="shared" si="125"/>
        <v>0</v>
      </c>
      <c r="AY95" s="1374">
        <f t="shared" si="125"/>
        <v>0</v>
      </c>
      <c r="AZ95" s="1375">
        <f>Y95*$F95</f>
        <v>0</v>
      </c>
      <c r="BA95" s="1376">
        <f>AC95*$F95</f>
        <v>0</v>
      </c>
      <c r="BB95" s="1117"/>
      <c r="BC95" s="1377">
        <f>ROUNDUP(N95/$BC$13,0)</f>
        <v>0</v>
      </c>
      <c r="BD95" s="1377">
        <f>ROUNDUP(Q95/$BD$13,0)</f>
        <v>0</v>
      </c>
      <c r="BE95" s="1377">
        <f>ROUNDUP(T95/$BE$13,0)</f>
        <v>0</v>
      </c>
      <c r="BF95" s="1377">
        <f>ROUNDUP(W95/$BF$13,0)</f>
        <v>0</v>
      </c>
      <c r="BG95" s="1377">
        <f>ROUNDUP(Z95/$BG$13,0)</f>
        <v>0</v>
      </c>
      <c r="BH95" s="1377">
        <f>ROUNDUP(AC95/$BH$13,0)</f>
        <v>0</v>
      </c>
    </row>
    <row r="96" spans="1:60" s="113" customFormat="1" ht="20.100000000000001" hidden="1" customHeight="1" thickBot="1">
      <c r="A96" s="1346"/>
      <c r="B96" s="1064"/>
      <c r="C96" s="1056" t="str">
        <f t="shared" si="121"/>
        <v>82111-F2W42</v>
      </c>
      <c r="D96" s="302" t="str">
        <f t="shared" si="121"/>
        <v>C 0101</v>
      </c>
      <c r="E96" s="302"/>
      <c r="F96" s="1018"/>
      <c r="G96" s="1018">
        <f t="shared" si="92"/>
        <v>6</v>
      </c>
      <c r="H96" s="1098">
        <f t="shared" si="97"/>
        <v>2.9277416666666665</v>
      </c>
      <c r="I96" s="245">
        <f t="shared" ref="I96:AC96" si="126">$H34*I34</f>
        <v>0</v>
      </c>
      <c r="J96" s="246">
        <f t="shared" si="126"/>
        <v>0</v>
      </c>
      <c r="K96" s="247">
        <f t="shared" si="126"/>
        <v>0</v>
      </c>
      <c r="L96" s="245">
        <f t="shared" si="126"/>
        <v>0</v>
      </c>
      <c r="M96" s="246">
        <f t="shared" si="126"/>
        <v>0</v>
      </c>
      <c r="N96" s="247">
        <f t="shared" si="126"/>
        <v>0</v>
      </c>
      <c r="O96" s="245">
        <f t="shared" si="126"/>
        <v>0</v>
      </c>
      <c r="P96" s="246">
        <f t="shared" si="126"/>
        <v>0</v>
      </c>
      <c r="Q96" s="247">
        <f t="shared" si="126"/>
        <v>0</v>
      </c>
      <c r="R96" s="245">
        <f t="shared" si="126"/>
        <v>0</v>
      </c>
      <c r="S96" s="246">
        <f t="shared" si="126"/>
        <v>0</v>
      </c>
      <c r="T96" s="247">
        <f t="shared" si="126"/>
        <v>0</v>
      </c>
      <c r="U96" s="245">
        <f t="shared" si="126"/>
        <v>0</v>
      </c>
      <c r="V96" s="246">
        <f t="shared" si="126"/>
        <v>0</v>
      </c>
      <c r="W96" s="247">
        <f t="shared" si="126"/>
        <v>0</v>
      </c>
      <c r="X96" s="245">
        <f t="shared" si="126"/>
        <v>0</v>
      </c>
      <c r="Y96" s="246">
        <f t="shared" si="126"/>
        <v>0</v>
      </c>
      <c r="Z96" s="247">
        <f t="shared" si="126"/>
        <v>0</v>
      </c>
      <c r="AA96" s="245">
        <f t="shared" si="126"/>
        <v>0</v>
      </c>
      <c r="AB96" s="625">
        <f t="shared" si="126"/>
        <v>0</v>
      </c>
      <c r="AC96" s="624">
        <f t="shared" si="126"/>
        <v>0</v>
      </c>
      <c r="AD96" s="249">
        <f t="shared" si="123"/>
        <v>0</v>
      </c>
      <c r="AG96" s="131"/>
      <c r="AH96" s="132"/>
      <c r="AI96" s="133"/>
      <c r="AJ96" s="134"/>
      <c r="AK96" s="132"/>
      <c r="AL96" s="133"/>
      <c r="AM96" s="134"/>
      <c r="AN96" s="132"/>
      <c r="AO96" s="133"/>
      <c r="AP96" s="134"/>
      <c r="AQ96" s="132"/>
      <c r="AR96" s="133"/>
      <c r="AS96" s="134"/>
      <c r="AT96" s="132"/>
      <c r="AU96" s="133"/>
      <c r="AV96" s="134"/>
      <c r="AW96" s="132"/>
      <c r="AX96" s="133"/>
      <c r="AY96" s="134"/>
      <c r="AZ96" s="135"/>
      <c r="BA96" s="136"/>
      <c r="BB96" s="120"/>
      <c r="BC96" s="250"/>
      <c r="BD96" s="250"/>
      <c r="BE96" s="250"/>
      <c r="BF96" s="250"/>
      <c r="BG96" s="250"/>
      <c r="BH96" s="250"/>
    </row>
    <row r="97" spans="1:60" s="1062" customFormat="1" ht="20.100000000000001" hidden="1" customHeight="1" thickBot="1">
      <c r="A97" s="1346"/>
      <c r="B97" s="1066"/>
      <c r="C97" s="1128" t="str">
        <f t="shared" si="121"/>
        <v>82111-F2W92</v>
      </c>
      <c r="D97" s="1023" t="str">
        <f t="shared" si="121"/>
        <v>C 0201</v>
      </c>
      <c r="E97" s="1041"/>
      <c r="F97" s="521"/>
      <c r="G97" s="1050">
        <f t="shared" si="92"/>
        <v>6</v>
      </c>
      <c r="H97" s="1099">
        <f t="shared" si="97"/>
        <v>0</v>
      </c>
      <c r="I97" s="919">
        <f t="shared" ref="I97:AC97" si="127">$H35*I35</f>
        <v>0</v>
      </c>
      <c r="J97" s="1026">
        <f t="shared" si="127"/>
        <v>0</v>
      </c>
      <c r="K97" s="918">
        <f t="shared" si="127"/>
        <v>0</v>
      </c>
      <c r="L97" s="919">
        <f t="shared" si="127"/>
        <v>0</v>
      </c>
      <c r="M97" s="1026">
        <f t="shared" si="127"/>
        <v>0</v>
      </c>
      <c r="N97" s="918">
        <f t="shared" si="127"/>
        <v>0</v>
      </c>
      <c r="O97" s="919">
        <f t="shared" si="127"/>
        <v>0</v>
      </c>
      <c r="P97" s="1026">
        <f t="shared" si="127"/>
        <v>0</v>
      </c>
      <c r="Q97" s="918">
        <f t="shared" si="127"/>
        <v>0</v>
      </c>
      <c r="R97" s="919">
        <f t="shared" si="127"/>
        <v>0</v>
      </c>
      <c r="S97" s="1026">
        <f t="shared" si="127"/>
        <v>0</v>
      </c>
      <c r="T97" s="918">
        <f t="shared" si="127"/>
        <v>0</v>
      </c>
      <c r="U97" s="919">
        <f t="shared" si="127"/>
        <v>0</v>
      </c>
      <c r="V97" s="1026">
        <f t="shared" si="127"/>
        <v>0</v>
      </c>
      <c r="W97" s="918">
        <f t="shared" si="127"/>
        <v>0</v>
      </c>
      <c r="X97" s="919">
        <f t="shared" si="127"/>
        <v>0</v>
      </c>
      <c r="Y97" s="1026">
        <f t="shared" si="127"/>
        <v>0</v>
      </c>
      <c r="Z97" s="918">
        <f t="shared" si="127"/>
        <v>0</v>
      </c>
      <c r="AA97" s="919">
        <f t="shared" si="127"/>
        <v>0</v>
      </c>
      <c r="AB97" s="1027">
        <f t="shared" si="127"/>
        <v>0</v>
      </c>
      <c r="AC97" s="920">
        <f t="shared" si="127"/>
        <v>0</v>
      </c>
      <c r="AD97" s="1028">
        <f t="shared" si="123"/>
        <v>0</v>
      </c>
      <c r="AG97" s="1111" t="e">
        <f>#REF!*AG35</f>
        <v>#REF!</v>
      </c>
      <c r="AH97" s="1112">
        <f t="shared" ref="AH97:AY97" si="128">$H35*AH35</f>
        <v>0</v>
      </c>
      <c r="AI97" s="1113">
        <f t="shared" si="128"/>
        <v>0</v>
      </c>
      <c r="AJ97" s="1114">
        <f t="shared" si="128"/>
        <v>0</v>
      </c>
      <c r="AK97" s="1112">
        <f t="shared" si="128"/>
        <v>0</v>
      </c>
      <c r="AL97" s="1113">
        <f t="shared" si="128"/>
        <v>0</v>
      </c>
      <c r="AM97" s="1114">
        <f t="shared" si="128"/>
        <v>0</v>
      </c>
      <c r="AN97" s="1112">
        <f t="shared" si="128"/>
        <v>0</v>
      </c>
      <c r="AO97" s="1113">
        <f t="shared" si="128"/>
        <v>0</v>
      </c>
      <c r="AP97" s="1114">
        <f t="shared" si="128"/>
        <v>0</v>
      </c>
      <c r="AQ97" s="1112">
        <f t="shared" si="128"/>
        <v>0</v>
      </c>
      <c r="AR97" s="1113">
        <f t="shared" si="128"/>
        <v>0</v>
      </c>
      <c r="AS97" s="1114">
        <f t="shared" si="128"/>
        <v>0</v>
      </c>
      <c r="AT97" s="1112">
        <f t="shared" si="128"/>
        <v>0</v>
      </c>
      <c r="AU97" s="1113">
        <f t="shared" si="128"/>
        <v>0</v>
      </c>
      <c r="AV97" s="1114">
        <f t="shared" si="128"/>
        <v>0</v>
      </c>
      <c r="AW97" s="1112">
        <f t="shared" si="128"/>
        <v>0</v>
      </c>
      <c r="AX97" s="1113">
        <f t="shared" si="128"/>
        <v>0</v>
      </c>
      <c r="AY97" s="1114">
        <f t="shared" si="128"/>
        <v>0</v>
      </c>
      <c r="AZ97" s="1115">
        <f>Y97*$F97</f>
        <v>0</v>
      </c>
      <c r="BA97" s="1116">
        <f>AC97*$F97</f>
        <v>0</v>
      </c>
      <c r="BB97" s="1117"/>
      <c r="BC97" s="1063">
        <f>ROUNDUP(N97/$BC$13,0)</f>
        <v>0</v>
      </c>
      <c r="BD97" s="1063">
        <f>ROUNDUP(Q97/$BD$13,0)</f>
        <v>0</v>
      </c>
      <c r="BE97" s="1063">
        <f>ROUNDUP(T97/$BE$13,0)</f>
        <v>0</v>
      </c>
      <c r="BF97" s="1063">
        <f>ROUNDUP(W97/$BF$13,0)</f>
        <v>0</v>
      </c>
      <c r="BG97" s="1063">
        <f>ROUNDUP(Z97/$BG$13,0)</f>
        <v>0</v>
      </c>
      <c r="BH97" s="1063">
        <f>ROUNDUP(AC97/$BH$13,0)</f>
        <v>0</v>
      </c>
    </row>
    <row r="98" spans="1:60" s="1077" customFormat="1" ht="20.100000000000001" hidden="1" customHeight="1">
      <c r="A98" s="1346"/>
      <c r="B98" s="1400" t="s">
        <v>168</v>
      </c>
      <c r="C98" s="1056" t="str">
        <f t="shared" si="121"/>
        <v>82111-F2W23</v>
      </c>
      <c r="D98" s="302" t="str">
        <f t="shared" si="121"/>
        <v>B 0201</v>
      </c>
      <c r="E98" s="302"/>
      <c r="F98" s="1018"/>
      <c r="G98" s="1018">
        <f t="shared" si="92"/>
        <v>6</v>
      </c>
      <c r="H98" s="1098">
        <f t="shared" si="97"/>
        <v>2.8513366666666671</v>
      </c>
      <c r="I98" s="934">
        <f t="shared" ref="I98:AC98" si="129">$H36*I36</f>
        <v>0</v>
      </c>
      <c r="J98" s="246">
        <f t="shared" si="129"/>
        <v>0</v>
      </c>
      <c r="K98" s="933">
        <f t="shared" si="129"/>
        <v>0</v>
      </c>
      <c r="L98" s="934">
        <f t="shared" si="129"/>
        <v>0</v>
      </c>
      <c r="M98" s="246">
        <f t="shared" si="129"/>
        <v>0</v>
      </c>
      <c r="N98" s="933">
        <f t="shared" si="129"/>
        <v>0</v>
      </c>
      <c r="O98" s="934">
        <f t="shared" si="129"/>
        <v>0</v>
      </c>
      <c r="P98" s="246">
        <f t="shared" si="129"/>
        <v>0</v>
      </c>
      <c r="Q98" s="933">
        <f t="shared" si="129"/>
        <v>0</v>
      </c>
      <c r="R98" s="934">
        <f t="shared" si="129"/>
        <v>0</v>
      </c>
      <c r="S98" s="246">
        <f t="shared" si="129"/>
        <v>0</v>
      </c>
      <c r="T98" s="933">
        <f t="shared" si="129"/>
        <v>0</v>
      </c>
      <c r="U98" s="934">
        <f t="shared" si="129"/>
        <v>0</v>
      </c>
      <c r="V98" s="246">
        <f t="shared" si="129"/>
        <v>0</v>
      </c>
      <c r="W98" s="933">
        <f t="shared" si="129"/>
        <v>0</v>
      </c>
      <c r="X98" s="934">
        <f t="shared" si="129"/>
        <v>0</v>
      </c>
      <c r="Y98" s="246">
        <f t="shared" si="129"/>
        <v>0</v>
      </c>
      <c r="Z98" s="933">
        <f t="shared" si="129"/>
        <v>0</v>
      </c>
      <c r="AA98" s="934">
        <f t="shared" si="129"/>
        <v>0</v>
      </c>
      <c r="AB98" s="625">
        <f t="shared" si="129"/>
        <v>0</v>
      </c>
      <c r="AC98" s="624">
        <f t="shared" si="129"/>
        <v>0</v>
      </c>
      <c r="AD98" s="249">
        <f t="shared" si="123"/>
        <v>0</v>
      </c>
      <c r="AG98" s="1079"/>
      <c r="AH98" s="1080"/>
      <c r="AI98" s="1081"/>
      <c r="AJ98" s="1082"/>
      <c r="AK98" s="1080"/>
      <c r="AL98" s="1081"/>
      <c r="AM98" s="1082"/>
      <c r="AN98" s="1080"/>
      <c r="AO98" s="1081"/>
      <c r="AP98" s="1082"/>
      <c r="AQ98" s="1080"/>
      <c r="AR98" s="1081"/>
      <c r="AS98" s="1082"/>
      <c r="AT98" s="1080"/>
      <c r="AU98" s="1081"/>
      <c r="AV98" s="1082"/>
      <c r="AW98" s="1080"/>
      <c r="AX98" s="1081"/>
      <c r="AY98" s="1082"/>
      <c r="AZ98" s="1083"/>
      <c r="BA98" s="1084"/>
      <c r="BB98" s="1108"/>
      <c r="BC98" s="1085"/>
      <c r="BD98" s="1085"/>
      <c r="BE98" s="1085"/>
      <c r="BF98" s="1085"/>
      <c r="BG98" s="1085"/>
      <c r="BH98" s="1085"/>
    </row>
    <row r="99" spans="1:60" s="188" customFormat="1" ht="20.100000000000001" hidden="1" customHeight="1" thickBot="1">
      <c r="A99" s="1346"/>
      <c r="B99" s="1521"/>
      <c r="C99" s="1124" t="str">
        <f t="shared" si="121"/>
        <v>82111-F2W34</v>
      </c>
      <c r="D99" s="302" t="str">
        <f t="shared" si="121"/>
        <v>B 0301</v>
      </c>
      <c r="E99" s="1043"/>
      <c r="F99" s="1044"/>
      <c r="G99" s="1018">
        <f t="shared" si="92"/>
        <v>6</v>
      </c>
      <c r="H99" s="1098">
        <f t="shared" si="97"/>
        <v>0</v>
      </c>
      <c r="I99" s="245">
        <f t="shared" ref="I99:AC99" si="130">$H37*I37</f>
        <v>0</v>
      </c>
      <c r="J99" s="246">
        <f t="shared" si="130"/>
        <v>0</v>
      </c>
      <c r="K99" s="247">
        <f t="shared" si="130"/>
        <v>0</v>
      </c>
      <c r="L99" s="245">
        <f t="shared" si="130"/>
        <v>0</v>
      </c>
      <c r="M99" s="246">
        <f t="shared" si="130"/>
        <v>0</v>
      </c>
      <c r="N99" s="247">
        <f t="shared" si="130"/>
        <v>0</v>
      </c>
      <c r="O99" s="245">
        <f t="shared" si="130"/>
        <v>0</v>
      </c>
      <c r="P99" s="246">
        <f t="shared" si="130"/>
        <v>0</v>
      </c>
      <c r="Q99" s="247">
        <f t="shared" si="130"/>
        <v>0</v>
      </c>
      <c r="R99" s="245">
        <f t="shared" si="130"/>
        <v>0</v>
      </c>
      <c r="S99" s="246">
        <f t="shared" si="130"/>
        <v>0</v>
      </c>
      <c r="T99" s="247">
        <f t="shared" si="130"/>
        <v>0</v>
      </c>
      <c r="U99" s="245">
        <f t="shared" si="130"/>
        <v>0</v>
      </c>
      <c r="V99" s="246">
        <f t="shared" si="130"/>
        <v>0</v>
      </c>
      <c r="W99" s="247">
        <f t="shared" si="130"/>
        <v>0</v>
      </c>
      <c r="X99" s="245">
        <f t="shared" si="130"/>
        <v>0</v>
      </c>
      <c r="Y99" s="246">
        <f t="shared" si="130"/>
        <v>0</v>
      </c>
      <c r="Z99" s="247">
        <f t="shared" si="130"/>
        <v>0</v>
      </c>
      <c r="AA99" s="245">
        <f t="shared" si="130"/>
        <v>0</v>
      </c>
      <c r="AB99" s="625">
        <f t="shared" si="130"/>
        <v>0</v>
      </c>
      <c r="AC99" s="624">
        <f t="shared" si="130"/>
        <v>0</v>
      </c>
      <c r="AD99" s="249">
        <f t="shared" si="123"/>
        <v>0</v>
      </c>
      <c r="AG99" s="1118" t="e">
        <f>#REF!*AG37</f>
        <v>#REF!</v>
      </c>
      <c r="AH99" s="1119">
        <f t="shared" ref="AH99:AY99" si="131">$H37*AH37</f>
        <v>0</v>
      </c>
      <c r="AI99" s="1120">
        <f t="shared" si="131"/>
        <v>0</v>
      </c>
      <c r="AJ99" s="1121">
        <f t="shared" si="131"/>
        <v>0</v>
      </c>
      <c r="AK99" s="1119">
        <f t="shared" si="131"/>
        <v>0</v>
      </c>
      <c r="AL99" s="1120">
        <f t="shared" si="131"/>
        <v>0</v>
      </c>
      <c r="AM99" s="1121">
        <f t="shared" si="131"/>
        <v>0</v>
      </c>
      <c r="AN99" s="1119">
        <f t="shared" si="131"/>
        <v>0</v>
      </c>
      <c r="AO99" s="1120">
        <f t="shared" si="131"/>
        <v>0</v>
      </c>
      <c r="AP99" s="1121">
        <f t="shared" si="131"/>
        <v>0</v>
      </c>
      <c r="AQ99" s="1119">
        <f t="shared" si="131"/>
        <v>0</v>
      </c>
      <c r="AR99" s="1120">
        <f t="shared" si="131"/>
        <v>0</v>
      </c>
      <c r="AS99" s="1121">
        <f t="shared" si="131"/>
        <v>0</v>
      </c>
      <c r="AT99" s="1119">
        <f t="shared" si="131"/>
        <v>0</v>
      </c>
      <c r="AU99" s="1120">
        <f t="shared" si="131"/>
        <v>0</v>
      </c>
      <c r="AV99" s="1121">
        <f t="shared" si="131"/>
        <v>0</v>
      </c>
      <c r="AW99" s="1119">
        <f t="shared" si="131"/>
        <v>0</v>
      </c>
      <c r="AX99" s="1120">
        <f t="shared" si="131"/>
        <v>0</v>
      </c>
      <c r="AY99" s="1121">
        <f t="shared" si="131"/>
        <v>0</v>
      </c>
      <c r="AZ99" s="1122">
        <f>Y99*$F99</f>
        <v>0</v>
      </c>
      <c r="BA99" s="1123">
        <f>AC99*$F99</f>
        <v>0</v>
      </c>
      <c r="BB99" s="195"/>
      <c r="BC99" s="250">
        <f>ROUNDUP(N99/$BC$13,0)</f>
        <v>0</v>
      </c>
      <c r="BD99" s="250">
        <f>ROUNDUP(Q99/$BD$13,0)</f>
        <v>0</v>
      </c>
      <c r="BE99" s="250">
        <f>ROUNDUP(T99/$BE$13,0)</f>
        <v>0</v>
      </c>
      <c r="BF99" s="250">
        <f>ROUNDUP(W99/$BF$13,0)</f>
        <v>0</v>
      </c>
      <c r="BG99" s="250">
        <f>ROUNDUP(Z99/$BG$13,0)</f>
        <v>0</v>
      </c>
      <c r="BH99" s="250">
        <f>ROUNDUP(AC99/$BH$13,0)</f>
        <v>0</v>
      </c>
    </row>
    <row r="100" spans="1:60" s="1077" customFormat="1" ht="20.100000000000001" hidden="1" customHeight="1">
      <c r="A100" s="1346"/>
      <c r="B100" s="1521"/>
      <c r="C100" s="1125" t="str">
        <f t="shared" si="121"/>
        <v>82111-F2W63</v>
      </c>
      <c r="D100" s="302" t="str">
        <f t="shared" si="121"/>
        <v>B 0201</v>
      </c>
      <c r="E100" s="123"/>
      <c r="F100" s="469"/>
      <c r="G100" s="502">
        <f t="shared" si="92"/>
        <v>6</v>
      </c>
      <c r="H100" s="1096">
        <f t="shared" si="97"/>
        <v>2.7348750000000006</v>
      </c>
      <c r="I100" s="934">
        <f t="shared" ref="I100:AC100" si="132">$H38*I38</f>
        <v>0</v>
      </c>
      <c r="J100" s="246">
        <f t="shared" si="132"/>
        <v>0</v>
      </c>
      <c r="K100" s="933">
        <f t="shared" si="132"/>
        <v>0</v>
      </c>
      <c r="L100" s="934">
        <f t="shared" si="132"/>
        <v>0</v>
      </c>
      <c r="M100" s="246">
        <f t="shared" si="132"/>
        <v>0</v>
      </c>
      <c r="N100" s="933">
        <f t="shared" si="132"/>
        <v>0</v>
      </c>
      <c r="O100" s="934">
        <f t="shared" si="132"/>
        <v>0</v>
      </c>
      <c r="P100" s="246">
        <f t="shared" si="132"/>
        <v>0</v>
      </c>
      <c r="Q100" s="933">
        <f t="shared" si="132"/>
        <v>0</v>
      </c>
      <c r="R100" s="934">
        <f t="shared" si="132"/>
        <v>0</v>
      </c>
      <c r="S100" s="246">
        <f t="shared" si="132"/>
        <v>0</v>
      </c>
      <c r="T100" s="933">
        <f t="shared" si="132"/>
        <v>0</v>
      </c>
      <c r="U100" s="934">
        <f t="shared" si="132"/>
        <v>0</v>
      </c>
      <c r="V100" s="246">
        <f t="shared" si="132"/>
        <v>0</v>
      </c>
      <c r="W100" s="933">
        <f t="shared" si="132"/>
        <v>0</v>
      </c>
      <c r="X100" s="934">
        <f t="shared" si="132"/>
        <v>0</v>
      </c>
      <c r="Y100" s="246">
        <f t="shared" si="132"/>
        <v>0</v>
      </c>
      <c r="Z100" s="933">
        <f t="shared" si="132"/>
        <v>0</v>
      </c>
      <c r="AA100" s="934">
        <f t="shared" si="132"/>
        <v>0</v>
      </c>
      <c r="AB100" s="625">
        <f t="shared" si="132"/>
        <v>0</v>
      </c>
      <c r="AC100" s="624">
        <f t="shared" si="132"/>
        <v>0</v>
      </c>
      <c r="AD100" s="249">
        <f t="shared" si="123"/>
        <v>0</v>
      </c>
      <c r="AG100" s="1102" t="e">
        <f>#REF!*AG38</f>
        <v>#REF!</v>
      </c>
      <c r="AH100" s="1103">
        <f t="shared" ref="AH100:AY100" si="133">$H38*AH38</f>
        <v>0</v>
      </c>
      <c r="AI100" s="1104">
        <f t="shared" si="133"/>
        <v>0</v>
      </c>
      <c r="AJ100" s="1105">
        <f t="shared" si="133"/>
        <v>0</v>
      </c>
      <c r="AK100" s="1103">
        <f t="shared" si="133"/>
        <v>0</v>
      </c>
      <c r="AL100" s="1104">
        <f t="shared" si="133"/>
        <v>0</v>
      </c>
      <c r="AM100" s="1105">
        <f t="shared" si="133"/>
        <v>0</v>
      </c>
      <c r="AN100" s="1103">
        <f t="shared" si="133"/>
        <v>0</v>
      </c>
      <c r="AO100" s="1104">
        <f t="shared" si="133"/>
        <v>0</v>
      </c>
      <c r="AP100" s="1105">
        <f t="shared" si="133"/>
        <v>0</v>
      </c>
      <c r="AQ100" s="1103">
        <f t="shared" si="133"/>
        <v>0</v>
      </c>
      <c r="AR100" s="1104">
        <f t="shared" si="133"/>
        <v>0</v>
      </c>
      <c r="AS100" s="1105">
        <f t="shared" si="133"/>
        <v>0</v>
      </c>
      <c r="AT100" s="1103">
        <f t="shared" si="133"/>
        <v>0</v>
      </c>
      <c r="AU100" s="1104">
        <f t="shared" si="133"/>
        <v>0</v>
      </c>
      <c r="AV100" s="1105">
        <f t="shared" si="133"/>
        <v>0</v>
      </c>
      <c r="AW100" s="1103">
        <f t="shared" si="133"/>
        <v>0</v>
      </c>
      <c r="AX100" s="1104">
        <f t="shared" si="133"/>
        <v>0</v>
      </c>
      <c r="AY100" s="1105">
        <f t="shared" si="133"/>
        <v>0</v>
      </c>
      <c r="AZ100" s="1106">
        <f>Y100*$F100</f>
        <v>0</v>
      </c>
      <c r="BA100" s="1107">
        <f>AC100*$F100</f>
        <v>0</v>
      </c>
      <c r="BB100" s="1108"/>
      <c r="BC100" s="1109">
        <f>ROUNDUP(N100/$BC$13,0)</f>
        <v>0</v>
      </c>
      <c r="BD100" s="1109">
        <f>ROUNDUP(Q100/$BD$13,0)</f>
        <v>0</v>
      </c>
      <c r="BE100" s="1109">
        <f>ROUNDUP(T100/$BE$13,0)</f>
        <v>0</v>
      </c>
      <c r="BF100" s="1109">
        <f>ROUNDUP(W100/$BF$13,0)</f>
        <v>0</v>
      </c>
      <c r="BG100" s="1109">
        <f>ROUNDUP(Z100/$BG$13,0)</f>
        <v>0</v>
      </c>
      <c r="BH100" s="1109">
        <f>ROUNDUP(AC100/$BH$13,0)</f>
        <v>0</v>
      </c>
    </row>
    <row r="101" spans="1:60" s="113" customFormat="1" ht="20.100000000000001" hidden="1" customHeight="1" thickBot="1">
      <c r="A101" s="1346"/>
      <c r="B101" s="1521"/>
      <c r="C101" s="1126" t="str">
        <f t="shared" si="121"/>
        <v>82111-F2W83</v>
      </c>
      <c r="D101" s="302" t="str">
        <f t="shared" si="121"/>
        <v>B 0301</v>
      </c>
      <c r="E101" s="302"/>
      <c r="F101" s="1018"/>
      <c r="G101" s="1018">
        <f t="shared" si="92"/>
        <v>6</v>
      </c>
      <c r="H101" s="1098">
        <f t="shared" si="97"/>
        <v>0</v>
      </c>
      <c r="I101" s="245">
        <f t="shared" ref="I101:AC101" si="134">$H39*I39</f>
        <v>0</v>
      </c>
      <c r="J101" s="246">
        <f t="shared" si="134"/>
        <v>0</v>
      </c>
      <c r="K101" s="247">
        <f t="shared" si="134"/>
        <v>0</v>
      </c>
      <c r="L101" s="245">
        <f t="shared" si="134"/>
        <v>0</v>
      </c>
      <c r="M101" s="246">
        <f t="shared" si="134"/>
        <v>0</v>
      </c>
      <c r="N101" s="247">
        <f t="shared" si="134"/>
        <v>0</v>
      </c>
      <c r="O101" s="245">
        <f t="shared" si="134"/>
        <v>0</v>
      </c>
      <c r="P101" s="246">
        <f t="shared" si="134"/>
        <v>0</v>
      </c>
      <c r="Q101" s="247">
        <f t="shared" si="134"/>
        <v>0</v>
      </c>
      <c r="R101" s="245">
        <f t="shared" si="134"/>
        <v>0</v>
      </c>
      <c r="S101" s="246">
        <f t="shared" si="134"/>
        <v>0</v>
      </c>
      <c r="T101" s="247">
        <f t="shared" si="134"/>
        <v>0</v>
      </c>
      <c r="U101" s="245">
        <f t="shared" si="134"/>
        <v>0</v>
      </c>
      <c r="V101" s="246">
        <f t="shared" si="134"/>
        <v>0</v>
      </c>
      <c r="W101" s="247">
        <f t="shared" si="134"/>
        <v>0</v>
      </c>
      <c r="X101" s="245">
        <f t="shared" si="134"/>
        <v>0</v>
      </c>
      <c r="Y101" s="246">
        <f t="shared" si="134"/>
        <v>0</v>
      </c>
      <c r="Z101" s="247">
        <f t="shared" si="134"/>
        <v>0</v>
      </c>
      <c r="AA101" s="245">
        <f t="shared" si="134"/>
        <v>0</v>
      </c>
      <c r="AB101" s="625">
        <f t="shared" si="134"/>
        <v>0</v>
      </c>
      <c r="AC101" s="624">
        <f t="shared" si="134"/>
        <v>0</v>
      </c>
      <c r="AD101" s="249">
        <f t="shared" si="123"/>
        <v>0</v>
      </c>
      <c r="AG101" s="131"/>
      <c r="AH101" s="132"/>
      <c r="AI101" s="133"/>
      <c r="AJ101" s="134"/>
      <c r="AK101" s="132"/>
      <c r="AL101" s="133"/>
      <c r="AM101" s="134"/>
      <c r="AN101" s="132"/>
      <c r="AO101" s="133"/>
      <c r="AP101" s="134"/>
      <c r="AQ101" s="132"/>
      <c r="AR101" s="133"/>
      <c r="AS101" s="134"/>
      <c r="AT101" s="132"/>
      <c r="AU101" s="133"/>
      <c r="AV101" s="134"/>
      <c r="AW101" s="132"/>
      <c r="AX101" s="133"/>
      <c r="AY101" s="134"/>
      <c r="AZ101" s="135"/>
      <c r="BA101" s="136"/>
      <c r="BB101" s="120"/>
      <c r="BC101" s="250"/>
      <c r="BD101" s="250"/>
      <c r="BE101" s="250"/>
      <c r="BF101" s="250"/>
      <c r="BG101" s="250"/>
      <c r="BH101" s="250"/>
    </row>
    <row r="102" spans="1:60" s="1062" customFormat="1" ht="20.100000000000001" hidden="1" customHeight="1" thickBot="1">
      <c r="A102" s="1346"/>
      <c r="B102" s="1401"/>
      <c r="C102" s="1127" t="str">
        <f t="shared" si="121"/>
        <v>82115-F2Y40</v>
      </c>
      <c r="D102" s="1023" t="str">
        <f t="shared" si="121"/>
        <v>B 0201</v>
      </c>
      <c r="E102" s="1023"/>
      <c r="F102" s="1024"/>
      <c r="G102" s="1024">
        <f t="shared" si="92"/>
        <v>6</v>
      </c>
      <c r="H102" s="1099">
        <f t="shared" si="97"/>
        <v>2.8542650000000003</v>
      </c>
      <c r="I102" s="919">
        <f t="shared" ref="I102:AC102" si="135">$H40*I40</f>
        <v>0</v>
      </c>
      <c r="J102" s="1026">
        <f t="shared" si="135"/>
        <v>0</v>
      </c>
      <c r="K102" s="918">
        <f t="shared" si="135"/>
        <v>0</v>
      </c>
      <c r="L102" s="919">
        <f t="shared" si="135"/>
        <v>0</v>
      </c>
      <c r="M102" s="1026">
        <f t="shared" si="135"/>
        <v>0</v>
      </c>
      <c r="N102" s="918">
        <f t="shared" si="135"/>
        <v>0</v>
      </c>
      <c r="O102" s="919">
        <f t="shared" si="135"/>
        <v>0</v>
      </c>
      <c r="P102" s="1026">
        <f t="shared" si="135"/>
        <v>0</v>
      </c>
      <c r="Q102" s="918">
        <f t="shared" si="135"/>
        <v>0</v>
      </c>
      <c r="R102" s="919">
        <f t="shared" si="135"/>
        <v>0</v>
      </c>
      <c r="S102" s="1026">
        <f t="shared" si="135"/>
        <v>0</v>
      </c>
      <c r="T102" s="918">
        <f t="shared" si="135"/>
        <v>0</v>
      </c>
      <c r="U102" s="919">
        <f t="shared" si="135"/>
        <v>0</v>
      </c>
      <c r="V102" s="1026">
        <f t="shared" si="135"/>
        <v>0</v>
      </c>
      <c r="W102" s="918">
        <f t="shared" si="135"/>
        <v>0</v>
      </c>
      <c r="X102" s="919">
        <f t="shared" si="135"/>
        <v>0</v>
      </c>
      <c r="Y102" s="1026">
        <f t="shared" si="135"/>
        <v>0</v>
      </c>
      <c r="Z102" s="918">
        <f t="shared" si="135"/>
        <v>0</v>
      </c>
      <c r="AA102" s="919">
        <f t="shared" si="135"/>
        <v>0</v>
      </c>
      <c r="AB102" s="1027">
        <f t="shared" si="135"/>
        <v>0</v>
      </c>
      <c r="AC102" s="920">
        <f t="shared" si="135"/>
        <v>0</v>
      </c>
      <c r="AD102" s="1028">
        <f t="shared" si="123"/>
        <v>0</v>
      </c>
      <c r="AG102" s="1111"/>
      <c r="AH102" s="1112"/>
      <c r="AI102" s="1113"/>
      <c r="AJ102" s="1114"/>
      <c r="AK102" s="1112"/>
      <c r="AL102" s="1113"/>
      <c r="AM102" s="1114"/>
      <c r="AN102" s="1112"/>
      <c r="AO102" s="1113"/>
      <c r="AP102" s="1114"/>
      <c r="AQ102" s="1112"/>
      <c r="AR102" s="1113"/>
      <c r="AS102" s="1114"/>
      <c r="AT102" s="1112"/>
      <c r="AU102" s="1113"/>
      <c r="AV102" s="1114"/>
      <c r="AW102" s="1112"/>
      <c r="AX102" s="1113"/>
      <c r="AY102" s="1114"/>
      <c r="AZ102" s="1115"/>
      <c r="BA102" s="1116"/>
      <c r="BB102" s="1117"/>
      <c r="BC102" s="1063"/>
      <c r="BD102" s="1063"/>
      <c r="BE102" s="1063"/>
      <c r="BF102" s="1063"/>
      <c r="BG102" s="1063"/>
      <c r="BH102" s="1063"/>
    </row>
    <row r="103" spans="1:60" s="188" customFormat="1" ht="20.100000000000001" hidden="1" customHeight="1" thickBot="1">
      <c r="A103" s="1346"/>
      <c r="B103" s="1400" t="s">
        <v>192</v>
      </c>
      <c r="C103" s="1126" t="str">
        <f t="shared" si="121"/>
        <v>82111-F2132</v>
      </c>
      <c r="D103" s="302" t="str">
        <f t="shared" si="121"/>
        <v>B 0001</v>
      </c>
      <c r="E103" s="1043"/>
      <c r="F103" s="1044"/>
      <c r="G103" s="1018">
        <f t="shared" si="92"/>
        <v>6</v>
      </c>
      <c r="H103" s="1098">
        <f t="shared" si="97"/>
        <v>3.5454450000000004</v>
      </c>
      <c r="I103" s="245">
        <f t="shared" ref="I103:AC103" si="136">$H41*I41</f>
        <v>0</v>
      </c>
      <c r="J103" s="246">
        <f t="shared" si="136"/>
        <v>0</v>
      </c>
      <c r="K103" s="247">
        <f t="shared" si="136"/>
        <v>0</v>
      </c>
      <c r="L103" s="245">
        <f t="shared" si="136"/>
        <v>0</v>
      </c>
      <c r="M103" s="246">
        <f t="shared" si="136"/>
        <v>0</v>
      </c>
      <c r="N103" s="247">
        <f t="shared" si="136"/>
        <v>0</v>
      </c>
      <c r="O103" s="245">
        <f t="shared" si="136"/>
        <v>0</v>
      </c>
      <c r="P103" s="246">
        <f t="shared" si="136"/>
        <v>0</v>
      </c>
      <c r="Q103" s="247">
        <f t="shared" si="136"/>
        <v>0</v>
      </c>
      <c r="R103" s="245">
        <f t="shared" si="136"/>
        <v>0</v>
      </c>
      <c r="S103" s="246">
        <f t="shared" si="136"/>
        <v>0</v>
      </c>
      <c r="T103" s="247">
        <f t="shared" si="136"/>
        <v>0</v>
      </c>
      <c r="U103" s="245">
        <f t="shared" si="136"/>
        <v>0</v>
      </c>
      <c r="V103" s="246">
        <f t="shared" si="136"/>
        <v>0</v>
      </c>
      <c r="W103" s="247">
        <f t="shared" si="136"/>
        <v>0</v>
      </c>
      <c r="X103" s="245">
        <f t="shared" si="136"/>
        <v>0</v>
      </c>
      <c r="Y103" s="246">
        <f t="shared" si="136"/>
        <v>0</v>
      </c>
      <c r="Z103" s="247">
        <f t="shared" si="136"/>
        <v>0</v>
      </c>
      <c r="AA103" s="245">
        <f t="shared" si="136"/>
        <v>0</v>
      </c>
      <c r="AB103" s="625">
        <f t="shared" si="136"/>
        <v>0</v>
      </c>
      <c r="AC103" s="624">
        <f t="shared" si="136"/>
        <v>0</v>
      </c>
      <c r="AD103" s="249">
        <f t="shared" si="123"/>
        <v>0</v>
      </c>
      <c r="AG103" s="1118" t="e">
        <f>#REF!*AG41</f>
        <v>#REF!</v>
      </c>
      <c r="AH103" s="1119">
        <f t="shared" ref="AH103:AY103" si="137">$H41*AH41</f>
        <v>0</v>
      </c>
      <c r="AI103" s="1120">
        <f t="shared" si="137"/>
        <v>0</v>
      </c>
      <c r="AJ103" s="1121">
        <f t="shared" si="137"/>
        <v>0</v>
      </c>
      <c r="AK103" s="1119">
        <f t="shared" si="137"/>
        <v>0</v>
      </c>
      <c r="AL103" s="1120">
        <f t="shared" si="137"/>
        <v>0</v>
      </c>
      <c r="AM103" s="1121">
        <f t="shared" si="137"/>
        <v>0</v>
      </c>
      <c r="AN103" s="1119">
        <f t="shared" si="137"/>
        <v>0</v>
      </c>
      <c r="AO103" s="1120">
        <f t="shared" si="137"/>
        <v>0</v>
      </c>
      <c r="AP103" s="1121">
        <f t="shared" si="137"/>
        <v>0</v>
      </c>
      <c r="AQ103" s="1119">
        <f t="shared" si="137"/>
        <v>0</v>
      </c>
      <c r="AR103" s="1120">
        <f t="shared" si="137"/>
        <v>0</v>
      </c>
      <c r="AS103" s="1121">
        <f t="shared" si="137"/>
        <v>0</v>
      </c>
      <c r="AT103" s="1119">
        <f t="shared" si="137"/>
        <v>0</v>
      </c>
      <c r="AU103" s="1120">
        <f t="shared" si="137"/>
        <v>0</v>
      </c>
      <c r="AV103" s="1121">
        <f t="shared" si="137"/>
        <v>0</v>
      </c>
      <c r="AW103" s="1119">
        <f t="shared" si="137"/>
        <v>0</v>
      </c>
      <c r="AX103" s="1120">
        <f t="shared" si="137"/>
        <v>0</v>
      </c>
      <c r="AY103" s="1121">
        <f t="shared" si="137"/>
        <v>0</v>
      </c>
      <c r="AZ103" s="1122">
        <f>Y103*$F103</f>
        <v>0</v>
      </c>
      <c r="BA103" s="1123">
        <f>AC103*$F103</f>
        <v>0</v>
      </c>
      <c r="BB103" s="195"/>
      <c r="BC103" s="250">
        <f>ROUNDUP(N103/$BC$13,0)</f>
        <v>0</v>
      </c>
      <c r="BD103" s="250">
        <f>ROUNDUP(Q103/$BD$13,0)</f>
        <v>0</v>
      </c>
      <c r="BE103" s="250">
        <f>ROUNDUP(T103/$BE$13,0)</f>
        <v>0</v>
      </c>
      <c r="BF103" s="250">
        <f>ROUNDUP(W103/$BF$13,0)</f>
        <v>0</v>
      </c>
      <c r="BG103" s="250">
        <f>ROUNDUP(Z103/$BG$13,0)</f>
        <v>0</v>
      </c>
      <c r="BH103" s="250">
        <f>ROUNDUP(AC103/$BH$13,0)</f>
        <v>0</v>
      </c>
    </row>
    <row r="104" spans="1:60" s="188" customFormat="1" ht="20.100000000000001" hidden="1" customHeight="1" thickBot="1">
      <c r="A104" s="1346"/>
      <c r="B104" s="1521"/>
      <c r="C104" s="1125" t="str">
        <f t="shared" ref="C104:D106" si="138">C42</f>
        <v>82111-F2152</v>
      </c>
      <c r="D104" s="302" t="str">
        <f t="shared" si="138"/>
        <v>A 0301</v>
      </c>
      <c r="E104" s="180"/>
      <c r="F104" s="469"/>
      <c r="G104" s="502">
        <f t="shared" si="92"/>
        <v>6</v>
      </c>
      <c r="H104" s="1096">
        <f t="shared" si="97"/>
        <v>0</v>
      </c>
      <c r="I104" s="245">
        <f t="shared" ref="I104:AC104" si="139">$H42*I42</f>
        <v>0</v>
      </c>
      <c r="J104" s="246">
        <f t="shared" si="139"/>
        <v>0</v>
      </c>
      <c r="K104" s="247">
        <f t="shared" si="139"/>
        <v>0</v>
      </c>
      <c r="L104" s="245">
        <f t="shared" si="139"/>
        <v>0</v>
      </c>
      <c r="M104" s="246">
        <f t="shared" si="139"/>
        <v>0</v>
      </c>
      <c r="N104" s="247">
        <f t="shared" si="139"/>
        <v>0</v>
      </c>
      <c r="O104" s="245">
        <f t="shared" si="139"/>
        <v>0</v>
      </c>
      <c r="P104" s="246">
        <f t="shared" si="139"/>
        <v>0</v>
      </c>
      <c r="Q104" s="247">
        <f t="shared" si="139"/>
        <v>0</v>
      </c>
      <c r="R104" s="245">
        <f t="shared" si="139"/>
        <v>0</v>
      </c>
      <c r="S104" s="246">
        <f t="shared" si="139"/>
        <v>0</v>
      </c>
      <c r="T104" s="247">
        <f t="shared" si="139"/>
        <v>0</v>
      </c>
      <c r="U104" s="245">
        <f t="shared" si="139"/>
        <v>0</v>
      </c>
      <c r="V104" s="246">
        <f t="shared" si="139"/>
        <v>0</v>
      </c>
      <c r="W104" s="247">
        <f t="shared" si="139"/>
        <v>0</v>
      </c>
      <c r="X104" s="245">
        <f t="shared" si="139"/>
        <v>0</v>
      </c>
      <c r="Y104" s="246">
        <f t="shared" si="139"/>
        <v>0</v>
      </c>
      <c r="Z104" s="247">
        <f t="shared" si="139"/>
        <v>0</v>
      </c>
      <c r="AA104" s="245">
        <f t="shared" si="139"/>
        <v>0</v>
      </c>
      <c r="AB104" s="625">
        <f t="shared" si="139"/>
        <v>0</v>
      </c>
      <c r="AC104" s="624">
        <f t="shared" si="139"/>
        <v>0</v>
      </c>
      <c r="AD104" s="249">
        <f>AD42*$H$14</f>
        <v>0</v>
      </c>
      <c r="AG104" s="189" t="e">
        <f>#REF!*AG42</f>
        <v>#REF!</v>
      </c>
      <c r="AH104" s="190">
        <f t="shared" ref="AH104:AY104" si="140">$H42*AH42</f>
        <v>0</v>
      </c>
      <c r="AI104" s="191">
        <f t="shared" si="140"/>
        <v>0</v>
      </c>
      <c r="AJ104" s="192">
        <f t="shared" si="140"/>
        <v>0</v>
      </c>
      <c r="AK104" s="190">
        <f t="shared" si="140"/>
        <v>0</v>
      </c>
      <c r="AL104" s="191">
        <f t="shared" si="140"/>
        <v>0</v>
      </c>
      <c r="AM104" s="192">
        <f t="shared" si="140"/>
        <v>0</v>
      </c>
      <c r="AN104" s="190">
        <f t="shared" si="140"/>
        <v>0</v>
      </c>
      <c r="AO104" s="191">
        <f t="shared" si="140"/>
        <v>0</v>
      </c>
      <c r="AP104" s="192">
        <f t="shared" si="140"/>
        <v>0</v>
      </c>
      <c r="AQ104" s="190">
        <f t="shared" si="140"/>
        <v>0</v>
      </c>
      <c r="AR104" s="191">
        <f t="shared" si="140"/>
        <v>0</v>
      </c>
      <c r="AS104" s="192">
        <f t="shared" si="140"/>
        <v>0</v>
      </c>
      <c r="AT104" s="190">
        <f t="shared" si="140"/>
        <v>0</v>
      </c>
      <c r="AU104" s="191">
        <f t="shared" si="140"/>
        <v>0</v>
      </c>
      <c r="AV104" s="192">
        <f t="shared" si="140"/>
        <v>0</v>
      </c>
      <c r="AW104" s="190">
        <f t="shared" si="140"/>
        <v>0</v>
      </c>
      <c r="AX104" s="191">
        <f t="shared" si="140"/>
        <v>0</v>
      </c>
      <c r="AY104" s="192">
        <f t="shared" si="140"/>
        <v>0</v>
      </c>
      <c r="AZ104" s="193">
        <f>Y104*$F104</f>
        <v>0</v>
      </c>
      <c r="BA104" s="194">
        <f>AC104*$F104</f>
        <v>0</v>
      </c>
      <c r="BB104" s="195"/>
      <c r="BC104" s="121">
        <f>ROUNDUP(N104/$BC$13,0)</f>
        <v>0</v>
      </c>
      <c r="BD104" s="121">
        <f>ROUNDUP(Q104/$BD$13,0)</f>
        <v>0</v>
      </c>
      <c r="BE104" s="121">
        <f>ROUNDUP(T104/$BE$13,0)</f>
        <v>0</v>
      </c>
      <c r="BF104" s="121">
        <f>ROUNDUP(W104/$BF$13,0)</f>
        <v>0</v>
      </c>
      <c r="BG104" s="121">
        <f>ROUNDUP(Z104/$BG$13,0)</f>
        <v>0</v>
      </c>
      <c r="BH104" s="121">
        <f>ROUNDUP(AC104/$BH$13,0)</f>
        <v>0</v>
      </c>
    </row>
    <row r="105" spans="1:60" s="188" customFormat="1" ht="20.100000000000001" hidden="1" customHeight="1" thickBot="1">
      <c r="A105" s="1346"/>
      <c r="B105" s="1521"/>
      <c r="C105" s="1125" t="str">
        <f t="shared" si="138"/>
        <v>82111-F2X02</v>
      </c>
      <c r="D105" s="302" t="str">
        <f t="shared" si="138"/>
        <v>A 0301</v>
      </c>
      <c r="E105" s="180"/>
      <c r="F105" s="469"/>
      <c r="G105" s="502">
        <f t="shared" si="92"/>
        <v>6</v>
      </c>
      <c r="H105" s="1096">
        <f t="shared" si="97"/>
        <v>0</v>
      </c>
      <c r="I105" s="245">
        <f t="shared" ref="I105:AC106" si="141">$H43*I43</f>
        <v>0</v>
      </c>
      <c r="J105" s="246">
        <f t="shared" si="141"/>
        <v>0</v>
      </c>
      <c r="K105" s="247">
        <f t="shared" si="141"/>
        <v>0</v>
      </c>
      <c r="L105" s="245">
        <f t="shared" si="141"/>
        <v>0</v>
      </c>
      <c r="M105" s="246">
        <f t="shared" si="141"/>
        <v>0</v>
      </c>
      <c r="N105" s="247">
        <f t="shared" si="141"/>
        <v>0</v>
      </c>
      <c r="O105" s="245">
        <f t="shared" si="141"/>
        <v>0</v>
      </c>
      <c r="P105" s="246">
        <f t="shared" si="141"/>
        <v>0</v>
      </c>
      <c r="Q105" s="247">
        <f t="shared" si="141"/>
        <v>0</v>
      </c>
      <c r="R105" s="245">
        <f t="shared" si="141"/>
        <v>0</v>
      </c>
      <c r="S105" s="246">
        <f t="shared" si="141"/>
        <v>0</v>
      </c>
      <c r="T105" s="247">
        <f t="shared" si="141"/>
        <v>0</v>
      </c>
      <c r="U105" s="245">
        <f t="shared" si="141"/>
        <v>0</v>
      </c>
      <c r="V105" s="246">
        <f t="shared" si="141"/>
        <v>0</v>
      </c>
      <c r="W105" s="247">
        <f t="shared" si="141"/>
        <v>0</v>
      </c>
      <c r="X105" s="245">
        <f t="shared" si="141"/>
        <v>0</v>
      </c>
      <c r="Y105" s="246">
        <f t="shared" si="141"/>
        <v>0</v>
      </c>
      <c r="Z105" s="247">
        <f t="shared" si="141"/>
        <v>0</v>
      </c>
      <c r="AA105" s="245">
        <f t="shared" si="141"/>
        <v>0</v>
      </c>
      <c r="AB105" s="625">
        <f t="shared" si="141"/>
        <v>0</v>
      </c>
      <c r="AC105" s="624">
        <f t="shared" si="141"/>
        <v>0</v>
      </c>
      <c r="AD105" s="249">
        <f>AD43*$H$14</f>
        <v>0</v>
      </c>
      <c r="AG105" s="189" t="e">
        <f>#REF!*AG43</f>
        <v>#REF!</v>
      </c>
      <c r="AH105" s="190">
        <f t="shared" ref="AH105:AY106" si="142">$H43*AH43</f>
        <v>0</v>
      </c>
      <c r="AI105" s="191">
        <f t="shared" si="142"/>
        <v>0</v>
      </c>
      <c r="AJ105" s="192">
        <f t="shared" si="142"/>
        <v>0</v>
      </c>
      <c r="AK105" s="190">
        <f t="shared" si="142"/>
        <v>0</v>
      </c>
      <c r="AL105" s="191">
        <f t="shared" si="142"/>
        <v>0</v>
      </c>
      <c r="AM105" s="192">
        <f t="shared" si="142"/>
        <v>0</v>
      </c>
      <c r="AN105" s="190">
        <f t="shared" si="142"/>
        <v>0</v>
      </c>
      <c r="AO105" s="191">
        <f t="shared" si="142"/>
        <v>0</v>
      </c>
      <c r="AP105" s="192">
        <f t="shared" si="142"/>
        <v>0</v>
      </c>
      <c r="AQ105" s="190">
        <f t="shared" si="142"/>
        <v>0</v>
      </c>
      <c r="AR105" s="191">
        <f t="shared" si="142"/>
        <v>0</v>
      </c>
      <c r="AS105" s="192">
        <f t="shared" si="142"/>
        <v>0</v>
      </c>
      <c r="AT105" s="190">
        <f t="shared" si="142"/>
        <v>0</v>
      </c>
      <c r="AU105" s="191">
        <f t="shared" si="142"/>
        <v>0</v>
      </c>
      <c r="AV105" s="192">
        <f t="shared" si="142"/>
        <v>0</v>
      </c>
      <c r="AW105" s="190">
        <f t="shared" si="142"/>
        <v>0</v>
      </c>
      <c r="AX105" s="191">
        <f t="shared" si="142"/>
        <v>0</v>
      </c>
      <c r="AY105" s="192">
        <f t="shared" si="142"/>
        <v>0</v>
      </c>
      <c r="AZ105" s="193">
        <f>Y105*$F105</f>
        <v>0</v>
      </c>
      <c r="BA105" s="194">
        <f>AC105*$F105</f>
        <v>0</v>
      </c>
      <c r="BB105" s="195"/>
      <c r="BC105" s="121">
        <f>ROUNDUP(N105/$BC$13,0)</f>
        <v>0</v>
      </c>
      <c r="BD105" s="121">
        <f>ROUNDUP(Q105/$BD$13,0)</f>
        <v>0</v>
      </c>
      <c r="BE105" s="121">
        <f>ROUNDUP(T105/$BE$13,0)</f>
        <v>0</v>
      </c>
      <c r="BF105" s="121">
        <f>ROUNDUP(W105/$BF$13,0)</f>
        <v>0</v>
      </c>
      <c r="BG105" s="121">
        <f>ROUNDUP(Z105/$BG$13,0)</f>
        <v>0</v>
      </c>
      <c r="BH105" s="121">
        <f>ROUNDUP(AC105/$BH$13,0)</f>
        <v>0</v>
      </c>
    </row>
    <row r="106" spans="1:60" s="188" customFormat="1" ht="20.100000000000001" hidden="1" customHeight="1" thickBot="1">
      <c r="A106" s="1347"/>
      <c r="B106" s="1401"/>
      <c r="C106" s="1127" t="str">
        <f t="shared" si="138"/>
        <v>82111-F2C11</v>
      </c>
      <c r="D106" s="1023" t="str">
        <f t="shared" si="138"/>
        <v>B 0001</v>
      </c>
      <c r="E106" s="1041"/>
      <c r="F106" s="1042"/>
      <c r="G106" s="1024">
        <f t="shared" si="92"/>
        <v>6</v>
      </c>
      <c r="H106" s="1099">
        <f t="shared" si="97"/>
        <v>3.5295433333333337</v>
      </c>
      <c r="I106" s="919">
        <f t="shared" si="141"/>
        <v>0</v>
      </c>
      <c r="J106" s="1026">
        <f t="shared" si="141"/>
        <v>0</v>
      </c>
      <c r="K106" s="918">
        <f t="shared" si="141"/>
        <v>0</v>
      </c>
      <c r="L106" s="919">
        <f t="shared" si="141"/>
        <v>0</v>
      </c>
      <c r="M106" s="1026">
        <f t="shared" si="141"/>
        <v>0</v>
      </c>
      <c r="N106" s="918">
        <f t="shared" si="141"/>
        <v>0</v>
      </c>
      <c r="O106" s="919">
        <f t="shared" si="141"/>
        <v>0</v>
      </c>
      <c r="P106" s="1026">
        <f t="shared" si="141"/>
        <v>0</v>
      </c>
      <c r="Q106" s="918">
        <f t="shared" si="141"/>
        <v>0</v>
      </c>
      <c r="R106" s="919">
        <f t="shared" si="141"/>
        <v>0</v>
      </c>
      <c r="S106" s="1026">
        <f t="shared" si="141"/>
        <v>0</v>
      </c>
      <c r="T106" s="918">
        <f t="shared" si="141"/>
        <v>0</v>
      </c>
      <c r="U106" s="919">
        <f t="shared" si="141"/>
        <v>0</v>
      </c>
      <c r="V106" s="1026">
        <f t="shared" si="141"/>
        <v>0</v>
      </c>
      <c r="W106" s="918">
        <f t="shared" si="141"/>
        <v>0</v>
      </c>
      <c r="X106" s="919">
        <f t="shared" si="141"/>
        <v>0</v>
      </c>
      <c r="Y106" s="1026">
        <f t="shared" si="141"/>
        <v>0</v>
      </c>
      <c r="Z106" s="918">
        <f t="shared" si="141"/>
        <v>0</v>
      </c>
      <c r="AA106" s="919">
        <f t="shared" si="141"/>
        <v>0</v>
      </c>
      <c r="AB106" s="1027">
        <f t="shared" si="141"/>
        <v>0</v>
      </c>
      <c r="AC106" s="920">
        <f t="shared" si="141"/>
        <v>0</v>
      </c>
      <c r="AD106" s="1028">
        <f>AD44*$H$14</f>
        <v>0</v>
      </c>
      <c r="AG106" s="189" t="e">
        <f>#REF!*AG44</f>
        <v>#REF!</v>
      </c>
      <c r="AH106" s="190">
        <f t="shared" si="142"/>
        <v>0</v>
      </c>
      <c r="AI106" s="191">
        <f t="shared" si="142"/>
        <v>0</v>
      </c>
      <c r="AJ106" s="192">
        <f t="shared" si="142"/>
        <v>0</v>
      </c>
      <c r="AK106" s="190">
        <f t="shared" si="142"/>
        <v>0</v>
      </c>
      <c r="AL106" s="191">
        <f t="shared" si="142"/>
        <v>0</v>
      </c>
      <c r="AM106" s="192">
        <f t="shared" si="142"/>
        <v>0</v>
      </c>
      <c r="AN106" s="190">
        <f t="shared" si="142"/>
        <v>0</v>
      </c>
      <c r="AO106" s="191">
        <f t="shared" si="142"/>
        <v>0</v>
      </c>
      <c r="AP106" s="192">
        <f t="shared" si="142"/>
        <v>0</v>
      </c>
      <c r="AQ106" s="190">
        <f t="shared" si="142"/>
        <v>0</v>
      </c>
      <c r="AR106" s="191">
        <f t="shared" si="142"/>
        <v>0</v>
      </c>
      <c r="AS106" s="192">
        <f t="shared" si="142"/>
        <v>0</v>
      </c>
      <c r="AT106" s="190">
        <f t="shared" si="142"/>
        <v>0</v>
      </c>
      <c r="AU106" s="191">
        <f t="shared" si="142"/>
        <v>0</v>
      </c>
      <c r="AV106" s="192">
        <f t="shared" si="142"/>
        <v>0</v>
      </c>
      <c r="AW106" s="190">
        <f t="shared" si="142"/>
        <v>0</v>
      </c>
      <c r="AX106" s="191">
        <f t="shared" si="142"/>
        <v>0</v>
      </c>
      <c r="AY106" s="192">
        <f t="shared" si="142"/>
        <v>0</v>
      </c>
      <c r="AZ106" s="193">
        <f>Y106*$F106</f>
        <v>0</v>
      </c>
      <c r="BA106" s="194">
        <f>AC106*$F106</f>
        <v>0</v>
      </c>
      <c r="BB106" s="195"/>
      <c r="BC106" s="121">
        <f>ROUNDUP(N106/$BC$13,0)</f>
        <v>0</v>
      </c>
      <c r="BD106" s="121">
        <f>ROUNDUP(Q106/$BD$13,0)</f>
        <v>0</v>
      </c>
      <c r="BE106" s="121">
        <f>ROUNDUP(T106/$BE$13,0)</f>
        <v>0</v>
      </c>
      <c r="BF106" s="121">
        <f>ROUNDUP(W106/$BF$13,0)</f>
        <v>0</v>
      </c>
      <c r="BG106" s="121">
        <f>ROUNDUP(Z106/$BG$13,0)</f>
        <v>0</v>
      </c>
      <c r="BH106" s="121">
        <f>ROUNDUP(AC106/$BH$13,0)</f>
        <v>0</v>
      </c>
    </row>
    <row r="107" spans="1:60" s="206" customFormat="1" ht="20.100000000000001" hidden="1" customHeight="1">
      <c r="A107" s="951"/>
      <c r="B107" s="1497"/>
      <c r="C107" s="1037"/>
      <c r="D107" s="104"/>
      <c r="E107" s="104"/>
      <c r="F107" s="1021"/>
      <c r="G107" s="1051"/>
      <c r="H107" s="1022"/>
      <c r="I107" s="108"/>
      <c r="J107" s="109"/>
      <c r="K107" s="110"/>
      <c r="L107" s="108"/>
      <c r="M107" s="109"/>
      <c r="N107" s="110"/>
      <c r="O107" s="108"/>
      <c r="P107" s="109"/>
      <c r="Q107" s="110"/>
      <c r="R107" s="108"/>
      <c r="S107" s="109"/>
      <c r="T107" s="110"/>
      <c r="U107" s="108"/>
      <c r="V107" s="109"/>
      <c r="W107" s="110"/>
      <c r="X107" s="108"/>
      <c r="Y107" s="109"/>
      <c r="Z107" s="110"/>
      <c r="AA107" s="108"/>
      <c r="AB107" s="111"/>
      <c r="AC107" s="507"/>
      <c r="AD107" s="112"/>
      <c r="AG107" s="207"/>
      <c r="AH107" s="208"/>
      <c r="AI107" s="209"/>
      <c r="AJ107" s="210"/>
      <c r="AK107" s="208"/>
      <c r="AL107" s="209"/>
      <c r="AM107" s="210"/>
      <c r="AN107" s="208"/>
      <c r="AO107" s="209"/>
      <c r="AP107" s="210"/>
      <c r="AQ107" s="208"/>
      <c r="AR107" s="209"/>
      <c r="AS107" s="210"/>
      <c r="AT107" s="208"/>
      <c r="AU107" s="209"/>
      <c r="AV107" s="210"/>
      <c r="AW107" s="208"/>
      <c r="AX107" s="209"/>
      <c r="AY107" s="210"/>
      <c r="AZ107" s="211"/>
      <c r="BA107" s="212"/>
      <c r="BB107" s="213"/>
      <c r="BC107" s="241"/>
      <c r="BD107" s="241"/>
      <c r="BE107" s="241"/>
      <c r="BF107" s="241"/>
      <c r="BG107" s="241"/>
      <c r="BH107" s="241"/>
    </row>
    <row r="108" spans="1:60" s="632" customFormat="1" ht="20.100000000000001" hidden="1" customHeight="1" thickBot="1">
      <c r="A108" s="951"/>
      <c r="B108" s="1498"/>
      <c r="C108" s="1040"/>
      <c r="D108" s="1023"/>
      <c r="E108" s="1023"/>
      <c r="F108" s="1024"/>
      <c r="G108" s="1019"/>
      <c r="H108" s="1025"/>
      <c r="I108" s="919"/>
      <c r="J108" s="1026"/>
      <c r="K108" s="918"/>
      <c r="L108" s="919"/>
      <c r="M108" s="1026"/>
      <c r="N108" s="918"/>
      <c r="O108" s="919"/>
      <c r="P108" s="1026"/>
      <c r="Q108" s="918"/>
      <c r="R108" s="919"/>
      <c r="S108" s="1026"/>
      <c r="T108" s="918"/>
      <c r="U108" s="919"/>
      <c r="V108" s="1026"/>
      <c r="W108" s="918"/>
      <c r="X108" s="919"/>
      <c r="Y108" s="1026"/>
      <c r="Z108" s="918"/>
      <c r="AA108" s="919"/>
      <c r="AB108" s="1027"/>
      <c r="AC108" s="920"/>
      <c r="AD108" s="1028"/>
      <c r="AG108" s="633"/>
      <c r="AH108" s="634"/>
      <c r="AI108" s="635"/>
      <c r="AJ108" s="636"/>
      <c r="AK108" s="634"/>
      <c r="AL108" s="635"/>
      <c r="AM108" s="636"/>
      <c r="AN108" s="634"/>
      <c r="AO108" s="635"/>
      <c r="AP108" s="636"/>
      <c r="AQ108" s="634"/>
      <c r="AR108" s="635"/>
      <c r="AS108" s="636"/>
      <c r="AT108" s="634"/>
      <c r="AU108" s="635"/>
      <c r="AV108" s="636"/>
      <c r="AW108" s="634"/>
      <c r="AX108" s="635"/>
      <c r="AY108" s="636"/>
      <c r="AZ108" s="637"/>
      <c r="BA108" s="638"/>
      <c r="BB108" s="639"/>
      <c r="BC108" s="640"/>
      <c r="BD108" s="640"/>
      <c r="BE108" s="640"/>
      <c r="BF108" s="640"/>
      <c r="BG108" s="640"/>
      <c r="BH108" s="640"/>
    </row>
    <row r="109" spans="1:60" s="206" customFormat="1" ht="20.100000000000001" hidden="1" customHeight="1">
      <c r="A109" s="951"/>
      <c r="B109" s="929"/>
      <c r="C109" s="523"/>
      <c r="D109" s="302"/>
      <c r="E109" s="302"/>
      <c r="F109" s="1018"/>
      <c r="G109" s="1019"/>
      <c r="H109" s="1020"/>
      <c r="I109" s="245"/>
      <c r="J109" s="246"/>
      <c r="K109" s="247"/>
      <c r="L109" s="245"/>
      <c r="M109" s="246"/>
      <c r="N109" s="247"/>
      <c r="O109" s="245"/>
      <c r="P109" s="246"/>
      <c r="Q109" s="247"/>
      <c r="R109" s="245"/>
      <c r="S109" s="246"/>
      <c r="T109" s="247"/>
      <c r="U109" s="245"/>
      <c r="V109" s="246"/>
      <c r="W109" s="247"/>
      <c r="X109" s="245"/>
      <c r="Y109" s="246"/>
      <c r="Z109" s="247"/>
      <c r="AA109" s="245"/>
      <c r="AB109" s="625"/>
      <c r="AC109" s="624"/>
      <c r="AD109" s="249"/>
      <c r="AG109" s="207"/>
      <c r="AH109" s="208"/>
      <c r="AI109" s="209"/>
      <c r="AJ109" s="210"/>
      <c r="AK109" s="208"/>
      <c r="AL109" s="209"/>
      <c r="AM109" s="210"/>
      <c r="AN109" s="208"/>
      <c r="AO109" s="209"/>
      <c r="AP109" s="210"/>
      <c r="AQ109" s="208"/>
      <c r="AR109" s="209"/>
      <c r="AS109" s="210"/>
      <c r="AT109" s="208"/>
      <c r="AU109" s="209"/>
      <c r="AV109" s="210"/>
      <c r="AW109" s="208"/>
      <c r="AX109" s="209"/>
      <c r="AY109" s="210"/>
      <c r="AZ109" s="211"/>
      <c r="BA109" s="212"/>
      <c r="BB109" s="213"/>
      <c r="BC109" s="160"/>
      <c r="BD109" s="160"/>
      <c r="BE109" s="160"/>
      <c r="BF109" s="160"/>
      <c r="BG109" s="160"/>
      <c r="BH109" s="160"/>
    </row>
    <row r="110" spans="1:60" s="206" customFormat="1" ht="20.100000000000001" hidden="1" customHeight="1" thickBot="1">
      <c r="A110" s="951"/>
      <c r="B110" s="929"/>
      <c r="C110" s="519"/>
      <c r="D110" s="520"/>
      <c r="E110" s="520"/>
      <c r="F110" s="521"/>
      <c r="G110" s="522"/>
      <c r="H110" s="458"/>
      <c r="I110" s="397"/>
      <c r="J110" s="398"/>
      <c r="K110" s="399"/>
      <c r="L110" s="397"/>
      <c r="M110" s="398"/>
      <c r="N110" s="399"/>
      <c r="O110" s="397"/>
      <c r="P110" s="398"/>
      <c r="Q110" s="399"/>
      <c r="R110" s="397"/>
      <c r="S110" s="398"/>
      <c r="T110" s="399"/>
      <c r="U110" s="397"/>
      <c r="V110" s="398"/>
      <c r="W110" s="399"/>
      <c r="X110" s="397"/>
      <c r="Y110" s="398"/>
      <c r="Z110" s="399"/>
      <c r="AA110" s="397"/>
      <c r="AB110" s="525"/>
      <c r="AC110" s="399"/>
      <c r="AD110" s="401"/>
      <c r="AG110" s="207"/>
      <c r="AH110" s="208"/>
      <c r="AI110" s="209"/>
      <c r="AJ110" s="210"/>
      <c r="AK110" s="208"/>
      <c r="AL110" s="209"/>
      <c r="AM110" s="210"/>
      <c r="AN110" s="208"/>
      <c r="AO110" s="209"/>
      <c r="AP110" s="210"/>
      <c r="AQ110" s="208"/>
      <c r="AR110" s="209"/>
      <c r="AS110" s="210"/>
      <c r="AT110" s="208"/>
      <c r="AU110" s="209"/>
      <c r="AV110" s="210"/>
      <c r="AW110" s="208"/>
      <c r="AX110" s="209"/>
      <c r="AY110" s="210"/>
      <c r="AZ110" s="211"/>
      <c r="BA110" s="212"/>
      <c r="BB110" s="213"/>
      <c r="BC110" s="160"/>
      <c r="BD110" s="160"/>
      <c r="BE110" s="160"/>
      <c r="BF110" s="160"/>
      <c r="BG110" s="160"/>
      <c r="BH110" s="160"/>
    </row>
    <row r="111" spans="1:60" s="152" customFormat="1" ht="20.100000000000001" hidden="1" customHeight="1" thickBot="1">
      <c r="A111" s="951"/>
      <c r="B111" s="929"/>
      <c r="C111" s="513"/>
      <c r="D111" s="214"/>
      <c r="E111" s="214"/>
      <c r="F111" s="288"/>
      <c r="G111" s="514"/>
      <c r="H111" s="296"/>
      <c r="I111" s="174"/>
      <c r="J111" s="175"/>
      <c r="K111" s="176"/>
      <c r="L111" s="515"/>
      <c r="M111" s="511"/>
      <c r="N111" s="516"/>
      <c r="O111" s="532"/>
      <c r="P111" s="511"/>
      <c r="Q111" s="516"/>
      <c r="R111" s="515"/>
      <c r="S111" s="511"/>
      <c r="T111" s="516"/>
      <c r="U111" s="515"/>
      <c r="V111" s="511"/>
      <c r="W111" s="516"/>
      <c r="X111" s="515"/>
      <c r="Y111" s="511"/>
      <c r="Z111" s="516"/>
      <c r="AA111" s="515"/>
      <c r="AB111" s="517"/>
      <c r="AC111" s="518"/>
      <c r="AD111" s="177"/>
      <c r="AG111" s="153"/>
      <c r="AH111" s="154"/>
      <c r="AI111" s="155"/>
      <c r="AJ111" s="156"/>
      <c r="AK111" s="154"/>
      <c r="AL111" s="155"/>
      <c r="AM111" s="156"/>
      <c r="AN111" s="154"/>
      <c r="AO111" s="155"/>
      <c r="AP111" s="156"/>
      <c r="AQ111" s="154"/>
      <c r="AR111" s="155"/>
      <c r="AS111" s="156"/>
      <c r="AT111" s="154"/>
      <c r="AU111" s="155"/>
      <c r="AV111" s="156"/>
      <c r="AW111" s="154"/>
      <c r="AX111" s="155"/>
      <c r="AY111" s="156"/>
      <c r="AZ111" s="157"/>
      <c r="BA111" s="158"/>
      <c r="BB111" s="159"/>
      <c r="BC111" s="160"/>
      <c r="BD111" s="160"/>
      <c r="BE111" s="160"/>
      <c r="BF111" s="160"/>
      <c r="BG111" s="160"/>
      <c r="BH111" s="160"/>
    </row>
    <row r="112" spans="1:60" s="152" customFormat="1" ht="20.100000000000001" hidden="1" customHeight="1" thickBot="1">
      <c r="A112" s="951"/>
      <c r="B112" s="929"/>
      <c r="C112" s="523"/>
      <c r="D112" s="214"/>
      <c r="E112" s="214"/>
      <c r="F112" s="288"/>
      <c r="G112" s="514"/>
      <c r="H112" s="296"/>
      <c r="I112" s="174"/>
      <c r="J112" s="175"/>
      <c r="K112" s="176"/>
      <c r="L112" s="515"/>
      <c r="M112" s="511"/>
      <c r="N112" s="516"/>
      <c r="O112" s="515"/>
      <c r="P112" s="511"/>
      <c r="Q112" s="516"/>
      <c r="R112" s="515"/>
      <c r="S112" s="511"/>
      <c r="T112" s="516"/>
      <c r="U112" s="515"/>
      <c r="V112" s="511"/>
      <c r="W112" s="516"/>
      <c r="X112" s="515"/>
      <c r="Y112" s="511"/>
      <c r="Z112" s="516"/>
      <c r="AA112" s="515"/>
      <c r="AB112" s="517"/>
      <c r="AC112" s="518"/>
      <c r="AD112" s="177"/>
      <c r="AG112" s="153"/>
      <c r="AH112" s="154"/>
      <c r="AI112" s="155"/>
      <c r="AJ112" s="156"/>
      <c r="AK112" s="154"/>
      <c r="AL112" s="155"/>
      <c r="AM112" s="156"/>
      <c r="AN112" s="154"/>
      <c r="AO112" s="155"/>
      <c r="AP112" s="156"/>
      <c r="AQ112" s="154"/>
      <c r="AR112" s="155"/>
      <c r="AS112" s="156"/>
      <c r="AT112" s="154"/>
      <c r="AU112" s="155"/>
      <c r="AV112" s="156"/>
      <c r="AW112" s="154"/>
      <c r="AX112" s="155"/>
      <c r="AY112" s="156"/>
      <c r="AZ112" s="157"/>
      <c r="BA112" s="158"/>
      <c r="BB112" s="159"/>
      <c r="BC112" s="160"/>
      <c r="BD112" s="160"/>
      <c r="BE112" s="160"/>
      <c r="BF112" s="160"/>
      <c r="BG112" s="160"/>
      <c r="BH112" s="160"/>
    </row>
    <row r="113" spans="1:61" s="152" customFormat="1" ht="20.100000000000001" hidden="1" customHeight="1">
      <c r="A113" s="951"/>
      <c r="B113" s="929"/>
      <c r="C113" s="552"/>
      <c r="D113" s="214"/>
      <c r="E113" s="214"/>
      <c r="F113" s="288"/>
      <c r="G113" s="514"/>
      <c r="H113" s="296"/>
      <c r="I113" s="174"/>
      <c r="J113" s="175"/>
      <c r="K113" s="176"/>
      <c r="L113" s="515"/>
      <c r="M113" s="511"/>
      <c r="N113" s="516"/>
      <c r="O113" s="515"/>
      <c r="P113" s="511"/>
      <c r="Q113" s="516"/>
      <c r="R113" s="515"/>
      <c r="S113" s="511"/>
      <c r="T113" s="516"/>
      <c r="U113" s="515"/>
      <c r="V113" s="511"/>
      <c r="W113" s="516"/>
      <c r="X113" s="515"/>
      <c r="Y113" s="511"/>
      <c r="Z113" s="516"/>
      <c r="AA113" s="515"/>
      <c r="AB113" s="517"/>
      <c r="AC113" s="518"/>
      <c r="AD113" s="177"/>
      <c r="AG113" s="153"/>
      <c r="AH113" s="154"/>
      <c r="AI113" s="155"/>
      <c r="AJ113" s="156"/>
      <c r="AK113" s="154"/>
      <c r="AL113" s="155"/>
      <c r="AM113" s="156"/>
      <c r="AN113" s="154"/>
      <c r="AO113" s="155"/>
      <c r="AP113" s="156"/>
      <c r="AQ113" s="154"/>
      <c r="AR113" s="155"/>
      <c r="AS113" s="156"/>
      <c r="AT113" s="154"/>
      <c r="AU113" s="155"/>
      <c r="AV113" s="156"/>
      <c r="AW113" s="154"/>
      <c r="AX113" s="155"/>
      <c r="AY113" s="156"/>
      <c r="AZ113" s="157"/>
      <c r="BA113" s="158"/>
      <c r="BB113" s="159"/>
      <c r="BC113" s="160"/>
      <c r="BD113" s="160"/>
      <c r="BE113" s="160"/>
      <c r="BF113" s="160"/>
      <c r="BG113" s="160"/>
      <c r="BH113" s="160"/>
    </row>
    <row r="114" spans="1:61" s="632" customFormat="1" ht="20.100000000000001" hidden="1" customHeight="1" thickBot="1">
      <c r="A114" s="951"/>
      <c r="B114" s="904"/>
      <c r="C114" s="644"/>
      <c r="D114" s="627"/>
      <c r="E114" s="627"/>
      <c r="F114" s="628"/>
      <c r="G114" s="514"/>
      <c r="H114" s="296"/>
      <c r="I114" s="478"/>
      <c r="J114" s="457"/>
      <c r="K114" s="477"/>
      <c r="L114" s="478"/>
      <c r="M114" s="457"/>
      <c r="N114" s="477"/>
      <c r="O114" s="478"/>
      <c r="P114" s="457"/>
      <c r="Q114" s="477"/>
      <c r="R114" s="478"/>
      <c r="S114" s="457"/>
      <c r="T114" s="477"/>
      <c r="U114" s="478"/>
      <c r="V114" s="457"/>
      <c r="W114" s="477"/>
      <c r="X114" s="478"/>
      <c r="Y114" s="457"/>
      <c r="Z114" s="477"/>
      <c r="AA114" s="478"/>
      <c r="AB114" s="630"/>
      <c r="AC114" s="488"/>
      <c r="AD114" s="631"/>
      <c r="AG114" s="633"/>
      <c r="AH114" s="634"/>
      <c r="AI114" s="635"/>
      <c r="AJ114" s="636"/>
      <c r="AK114" s="634"/>
      <c r="AL114" s="635"/>
      <c r="AM114" s="636"/>
      <c r="AN114" s="634"/>
      <c r="AO114" s="635"/>
      <c r="AP114" s="636"/>
      <c r="AQ114" s="634"/>
      <c r="AR114" s="635"/>
      <c r="AS114" s="636"/>
      <c r="AT114" s="634"/>
      <c r="AU114" s="635"/>
      <c r="AV114" s="636"/>
      <c r="AW114" s="634"/>
      <c r="AX114" s="635"/>
      <c r="AY114" s="636"/>
      <c r="AZ114" s="637"/>
      <c r="BA114" s="638"/>
      <c r="BB114" s="639"/>
      <c r="BC114" s="640"/>
      <c r="BD114" s="640"/>
      <c r="BE114" s="640"/>
      <c r="BF114" s="640"/>
      <c r="BG114" s="640"/>
      <c r="BH114" s="640"/>
    </row>
    <row r="115" spans="1:61" s="152" customFormat="1" ht="20.100000000000001" hidden="1" customHeight="1">
      <c r="A115" s="951"/>
      <c r="B115" s="905" t="s">
        <v>170</v>
      </c>
      <c r="C115" s="428"/>
      <c r="D115" s="627"/>
      <c r="E115" s="498"/>
      <c r="F115" s="283"/>
      <c r="G115" s="500"/>
      <c r="H115" s="459"/>
      <c r="I115" s="148"/>
      <c r="J115" s="149"/>
      <c r="K115" s="150"/>
      <c r="L115" s="478"/>
      <c r="M115" s="457"/>
      <c r="N115" s="477"/>
      <c r="O115" s="478"/>
      <c r="P115" s="457"/>
      <c r="Q115" s="477"/>
      <c r="R115" s="478"/>
      <c r="S115" s="457"/>
      <c r="T115" s="477"/>
      <c r="U115" s="478"/>
      <c r="V115" s="457"/>
      <c r="W115" s="477"/>
      <c r="X115" s="478"/>
      <c r="Y115" s="487"/>
      <c r="Z115" s="477"/>
      <c r="AA115" s="478"/>
      <c r="AB115" s="487"/>
      <c r="AC115" s="488"/>
      <c r="AD115" s="454"/>
      <c r="AE115" s="113"/>
      <c r="AF115" s="113"/>
      <c r="AG115" s="164"/>
      <c r="AH115" s="165"/>
      <c r="AI115" s="166"/>
      <c r="AJ115" s="167"/>
      <c r="AK115" s="165"/>
      <c r="AL115" s="166"/>
      <c r="AM115" s="167"/>
      <c r="AN115" s="165"/>
      <c r="AO115" s="166"/>
      <c r="AP115" s="167"/>
      <c r="AQ115" s="165"/>
      <c r="AR115" s="166"/>
      <c r="AS115" s="167"/>
      <c r="AT115" s="165"/>
      <c r="AU115" s="166"/>
      <c r="AV115" s="167"/>
      <c r="AW115" s="165"/>
      <c r="AX115" s="166"/>
      <c r="AY115" s="167"/>
      <c r="AZ115" s="168"/>
      <c r="BA115" s="169"/>
      <c r="BB115" s="233"/>
      <c r="BC115" s="160"/>
      <c r="BD115" s="160"/>
      <c r="BE115" s="160"/>
      <c r="BF115" s="160"/>
      <c r="BG115" s="160"/>
      <c r="BH115" s="160"/>
      <c r="BI115" s="113"/>
    </row>
    <row r="116" spans="1:61" s="152" customFormat="1" ht="20.100000000000001" hidden="1" customHeight="1">
      <c r="A116" s="951"/>
      <c r="B116" s="906" t="s">
        <v>171</v>
      </c>
      <c r="C116" s="524"/>
      <c r="D116" s="627"/>
      <c r="E116" s="498"/>
      <c r="F116" s="283"/>
      <c r="G116" s="500"/>
      <c r="H116" s="459"/>
      <c r="I116" s="148"/>
      <c r="J116" s="149"/>
      <c r="K116" s="150"/>
      <c r="L116" s="478"/>
      <c r="M116" s="457"/>
      <c r="N116" s="477"/>
      <c r="O116" s="478"/>
      <c r="P116" s="457"/>
      <c r="Q116" s="477"/>
      <c r="R116" s="478"/>
      <c r="S116" s="457"/>
      <c r="T116" s="477"/>
      <c r="U116" s="478"/>
      <c r="V116" s="457"/>
      <c r="W116" s="477"/>
      <c r="X116" s="478"/>
      <c r="Y116" s="487"/>
      <c r="Z116" s="477"/>
      <c r="AA116" s="478"/>
      <c r="AB116" s="487"/>
      <c r="AC116" s="488"/>
      <c r="AD116" s="454"/>
      <c r="AE116" s="113"/>
      <c r="AF116" s="113"/>
      <c r="AG116" s="164"/>
      <c r="AH116" s="165"/>
      <c r="AI116" s="166"/>
      <c r="AJ116" s="167"/>
      <c r="AK116" s="165"/>
      <c r="AL116" s="166"/>
      <c r="AM116" s="167"/>
      <c r="AN116" s="165"/>
      <c r="AO116" s="166"/>
      <c r="AP116" s="167"/>
      <c r="AQ116" s="165"/>
      <c r="AR116" s="166"/>
      <c r="AS116" s="167"/>
      <c r="AT116" s="165"/>
      <c r="AU116" s="166"/>
      <c r="AV116" s="167"/>
      <c r="AW116" s="165"/>
      <c r="AX116" s="166"/>
      <c r="AY116" s="167"/>
      <c r="AZ116" s="168"/>
      <c r="BA116" s="169"/>
      <c r="BB116" s="233"/>
      <c r="BC116" s="160"/>
      <c r="BD116" s="160"/>
      <c r="BE116" s="160"/>
      <c r="BF116" s="160"/>
      <c r="BG116" s="160"/>
      <c r="BH116" s="160"/>
      <c r="BI116" s="113"/>
    </row>
    <row r="117" spans="1:61" s="226" customFormat="1" ht="20.100000000000001" hidden="1" customHeight="1">
      <c r="A117" s="951"/>
      <c r="B117" s="906" t="s">
        <v>172</v>
      </c>
      <c r="C117" s="428"/>
      <c r="D117" s="161"/>
      <c r="E117" s="161"/>
      <c r="F117" s="283"/>
      <c r="G117" s="500"/>
      <c r="H117" s="459"/>
      <c r="I117" s="148"/>
      <c r="J117" s="149"/>
      <c r="K117" s="150"/>
      <c r="L117" s="478"/>
      <c r="M117" s="457"/>
      <c r="N117" s="477"/>
      <c r="O117" s="478"/>
      <c r="P117" s="457"/>
      <c r="Q117" s="477"/>
      <c r="R117" s="478"/>
      <c r="S117" s="457"/>
      <c r="T117" s="477"/>
      <c r="U117" s="478"/>
      <c r="V117" s="457"/>
      <c r="W117" s="477"/>
      <c r="X117" s="478"/>
      <c r="Y117" s="457"/>
      <c r="Z117" s="477"/>
      <c r="AA117" s="478"/>
      <c r="AB117" s="489"/>
      <c r="AC117" s="488"/>
      <c r="AD117" s="151"/>
      <c r="AG117" s="227"/>
      <c r="AH117" s="228"/>
      <c r="AI117" s="229"/>
      <c r="AJ117" s="230"/>
      <c r="AK117" s="228"/>
      <c r="AL117" s="229"/>
      <c r="AM117" s="230"/>
      <c r="AN117" s="228"/>
      <c r="AO117" s="229"/>
      <c r="AP117" s="230"/>
      <c r="AQ117" s="228"/>
      <c r="AR117" s="229"/>
      <c r="AS117" s="230"/>
      <c r="AT117" s="228"/>
      <c r="AU117" s="229"/>
      <c r="AV117" s="230"/>
      <c r="AW117" s="228"/>
      <c r="AX117" s="229"/>
      <c r="AY117" s="230"/>
      <c r="AZ117" s="231"/>
      <c r="BA117" s="232"/>
      <c r="BC117" s="160"/>
      <c r="BD117" s="160"/>
      <c r="BE117" s="160"/>
      <c r="BF117" s="160"/>
      <c r="BG117" s="160"/>
      <c r="BH117" s="160"/>
    </row>
    <row r="118" spans="1:61" s="226" customFormat="1" ht="20.100000000000001" hidden="1" customHeight="1" thickBot="1">
      <c r="A118" s="952"/>
      <c r="B118" s="904"/>
      <c r="C118" s="524"/>
      <c r="D118" s="161"/>
      <c r="E118" s="161"/>
      <c r="F118" s="283"/>
      <c r="G118" s="500"/>
      <c r="H118" s="459"/>
      <c r="I118" s="148"/>
      <c r="J118" s="149"/>
      <c r="K118" s="150"/>
      <c r="L118" s="478"/>
      <c r="M118" s="457"/>
      <c r="N118" s="477"/>
      <c r="O118" s="478"/>
      <c r="P118" s="457"/>
      <c r="Q118" s="477"/>
      <c r="R118" s="478"/>
      <c r="S118" s="457"/>
      <c r="T118" s="477"/>
      <c r="U118" s="478"/>
      <c r="V118" s="457"/>
      <c r="W118" s="477"/>
      <c r="X118" s="478"/>
      <c r="Y118" s="457"/>
      <c r="Z118" s="477"/>
      <c r="AA118" s="478"/>
      <c r="AB118" s="489"/>
      <c r="AC118" s="488"/>
      <c r="AD118" s="151"/>
      <c r="AG118" s="227"/>
      <c r="AH118" s="228"/>
      <c r="AI118" s="229"/>
      <c r="AJ118" s="230"/>
      <c r="AK118" s="228"/>
      <c r="AL118" s="229"/>
      <c r="AM118" s="230"/>
      <c r="AN118" s="228"/>
      <c r="AO118" s="229"/>
      <c r="AP118" s="230"/>
      <c r="AQ118" s="228"/>
      <c r="AR118" s="229"/>
      <c r="AS118" s="230"/>
      <c r="AT118" s="228"/>
      <c r="AU118" s="229"/>
      <c r="AV118" s="230"/>
      <c r="AW118" s="228"/>
      <c r="AX118" s="229"/>
      <c r="AY118" s="230"/>
      <c r="AZ118" s="231"/>
      <c r="BA118" s="232"/>
      <c r="BC118" s="160"/>
      <c r="BD118" s="160"/>
      <c r="BE118" s="160"/>
      <c r="BF118" s="160"/>
      <c r="BG118" s="160"/>
      <c r="BH118" s="160"/>
    </row>
    <row r="119" spans="1:61" s="226" customFormat="1" ht="20.100000000000001" hidden="1" customHeight="1">
      <c r="A119" s="736"/>
      <c r="B119" s="737"/>
      <c r="C119" s="580"/>
      <c r="D119" s="161"/>
      <c r="E119" s="161"/>
      <c r="F119" s="283"/>
      <c r="G119" s="500"/>
      <c r="H119" s="459"/>
      <c r="I119" s="148"/>
      <c r="J119" s="149"/>
      <c r="K119" s="150"/>
      <c r="L119" s="478"/>
      <c r="M119" s="457"/>
      <c r="N119" s="477"/>
      <c r="O119" s="478"/>
      <c r="P119" s="457"/>
      <c r="Q119" s="477"/>
      <c r="R119" s="478"/>
      <c r="S119" s="457"/>
      <c r="T119" s="477"/>
      <c r="U119" s="478"/>
      <c r="V119" s="457"/>
      <c r="W119" s="477"/>
      <c r="X119" s="478"/>
      <c r="Y119" s="457"/>
      <c r="Z119" s="477"/>
      <c r="AA119" s="478"/>
      <c r="AB119" s="489"/>
      <c r="AC119" s="488"/>
      <c r="AD119" s="151"/>
      <c r="AG119" s="227"/>
      <c r="AH119" s="228"/>
      <c r="AI119" s="229"/>
      <c r="AJ119" s="230"/>
      <c r="AK119" s="228"/>
      <c r="AL119" s="229"/>
      <c r="AM119" s="230"/>
      <c r="AN119" s="228"/>
      <c r="AO119" s="229"/>
      <c r="AP119" s="230"/>
      <c r="AQ119" s="228"/>
      <c r="AR119" s="229"/>
      <c r="AS119" s="230"/>
      <c r="AT119" s="228"/>
      <c r="AU119" s="229"/>
      <c r="AV119" s="230"/>
      <c r="AW119" s="228"/>
      <c r="AX119" s="229"/>
      <c r="AY119" s="230"/>
      <c r="AZ119" s="231"/>
      <c r="BA119" s="232"/>
      <c r="BC119" s="160"/>
      <c r="BD119" s="160"/>
      <c r="BE119" s="160"/>
      <c r="BF119" s="160"/>
      <c r="BG119" s="160"/>
      <c r="BH119" s="160"/>
    </row>
    <row r="120" spans="1:61" s="632" customFormat="1" ht="20.100000000000001" hidden="1" customHeight="1">
      <c r="A120" s="736"/>
      <c r="B120" s="737"/>
      <c r="C120" s="644"/>
      <c r="D120" s="627"/>
      <c r="E120" s="627"/>
      <c r="F120" s="628"/>
      <c r="G120" s="500"/>
      <c r="H120" s="629"/>
      <c r="I120" s="478"/>
      <c r="J120" s="457"/>
      <c r="K120" s="477"/>
      <c r="L120" s="478"/>
      <c r="M120" s="457"/>
      <c r="N120" s="477"/>
      <c r="O120" s="478"/>
      <c r="P120" s="457"/>
      <c r="Q120" s="477"/>
      <c r="R120" s="478"/>
      <c r="S120" s="457"/>
      <c r="T120" s="477"/>
      <c r="U120" s="478"/>
      <c r="V120" s="457"/>
      <c r="W120" s="477"/>
      <c r="X120" s="478"/>
      <c r="Y120" s="457"/>
      <c r="Z120" s="477"/>
      <c r="AA120" s="478"/>
      <c r="AB120" s="630"/>
      <c r="AC120" s="488"/>
      <c r="AD120" s="631"/>
      <c r="AG120" s="633"/>
      <c r="AH120" s="634"/>
      <c r="AI120" s="635"/>
      <c r="AJ120" s="636"/>
      <c r="AK120" s="634"/>
      <c r="AL120" s="635"/>
      <c r="AM120" s="636"/>
      <c r="AN120" s="634"/>
      <c r="AO120" s="635"/>
      <c r="AP120" s="636"/>
      <c r="AQ120" s="634"/>
      <c r="AR120" s="635"/>
      <c r="AS120" s="636"/>
      <c r="AT120" s="634"/>
      <c r="AU120" s="635"/>
      <c r="AV120" s="636"/>
      <c r="AW120" s="634"/>
      <c r="AX120" s="635"/>
      <c r="AY120" s="636"/>
      <c r="AZ120" s="637"/>
      <c r="BA120" s="638"/>
      <c r="BB120" s="639"/>
      <c r="BC120" s="640"/>
      <c r="BD120" s="640"/>
      <c r="BE120" s="640"/>
      <c r="BF120" s="640"/>
      <c r="BG120" s="640"/>
      <c r="BH120" s="640"/>
    </row>
    <row r="121" spans="1:61" s="152" customFormat="1" ht="19.5" hidden="1" customHeight="1">
      <c r="A121" s="736"/>
      <c r="B121" s="737"/>
      <c r="C121" s="428"/>
      <c r="D121" s="161"/>
      <c r="E121" s="161"/>
      <c r="F121" s="283"/>
      <c r="G121" s="500"/>
      <c r="H121" s="459"/>
      <c r="I121" s="148"/>
      <c r="J121" s="149"/>
      <c r="K121" s="150"/>
      <c r="L121" s="478"/>
      <c r="M121" s="457"/>
      <c r="N121" s="477"/>
      <c r="O121" s="478"/>
      <c r="P121" s="457"/>
      <c r="Q121" s="477"/>
      <c r="R121" s="478"/>
      <c r="S121" s="457"/>
      <c r="T121" s="477"/>
      <c r="U121" s="478"/>
      <c r="V121" s="457"/>
      <c r="W121" s="477"/>
      <c r="X121" s="478"/>
      <c r="Y121" s="457"/>
      <c r="Z121" s="477"/>
      <c r="AA121" s="478"/>
      <c r="AB121" s="489"/>
      <c r="AC121" s="488"/>
      <c r="AD121" s="151"/>
      <c r="AG121" s="164"/>
      <c r="AH121" s="165"/>
      <c r="AI121" s="166"/>
      <c r="AJ121" s="167"/>
      <c r="AK121" s="165"/>
      <c r="AL121" s="166"/>
      <c r="AM121" s="167"/>
      <c r="AN121" s="165"/>
      <c r="AO121" s="166"/>
      <c r="AP121" s="167"/>
      <c r="AQ121" s="165"/>
      <c r="AR121" s="166"/>
      <c r="AS121" s="167"/>
      <c r="AT121" s="165"/>
      <c r="AU121" s="166"/>
      <c r="AV121" s="167"/>
      <c r="AW121" s="165"/>
      <c r="AX121" s="166"/>
      <c r="AY121" s="167"/>
      <c r="AZ121" s="168"/>
      <c r="BA121" s="169"/>
      <c r="BC121" s="178"/>
      <c r="BD121" s="178"/>
      <c r="BE121" s="178"/>
      <c r="BF121" s="178"/>
      <c r="BG121" s="178"/>
      <c r="BH121" s="178"/>
    </row>
    <row r="122" spans="1:61" s="701" customFormat="1" ht="19.5" hidden="1" customHeight="1" thickBot="1">
      <c r="A122" s="667"/>
      <c r="B122" s="738"/>
      <c r="C122" s="691"/>
      <c r="D122" s="692"/>
      <c r="E122" s="692"/>
      <c r="F122" s="693"/>
      <c r="G122" s="694"/>
      <c r="H122" s="695"/>
      <c r="I122" s="663"/>
      <c r="J122" s="696"/>
      <c r="K122" s="664"/>
      <c r="L122" s="666"/>
      <c r="M122" s="697"/>
      <c r="N122" s="665"/>
      <c r="O122" s="666"/>
      <c r="P122" s="697"/>
      <c r="Q122" s="665"/>
      <c r="R122" s="666"/>
      <c r="S122" s="697"/>
      <c r="T122" s="665"/>
      <c r="U122" s="666"/>
      <c r="V122" s="697"/>
      <c r="W122" s="665"/>
      <c r="X122" s="666"/>
      <c r="Y122" s="697"/>
      <c r="Z122" s="665"/>
      <c r="AA122" s="666"/>
      <c r="AB122" s="698"/>
      <c r="AC122" s="699"/>
      <c r="AD122" s="700"/>
      <c r="AG122" s="702"/>
      <c r="AH122" s="703"/>
      <c r="AI122" s="704"/>
      <c r="AJ122" s="705"/>
      <c r="AK122" s="703"/>
      <c r="AL122" s="704"/>
      <c r="AM122" s="705"/>
      <c r="AN122" s="703"/>
      <c r="AO122" s="704"/>
      <c r="AP122" s="705"/>
      <c r="AQ122" s="703"/>
      <c r="AR122" s="704"/>
      <c r="AS122" s="705"/>
      <c r="AT122" s="703"/>
      <c r="AU122" s="704"/>
      <c r="AV122" s="705"/>
      <c r="AW122" s="703"/>
      <c r="AX122" s="704"/>
      <c r="AY122" s="705"/>
      <c r="AZ122" s="706"/>
      <c r="BA122" s="707"/>
      <c r="BC122" s="708"/>
      <c r="BD122" s="708"/>
      <c r="BE122" s="708"/>
      <c r="BF122" s="708"/>
      <c r="BG122" s="708"/>
      <c r="BH122" s="708"/>
    </row>
    <row r="123" spans="1:61" s="623" customFormat="1" ht="20.100000000000001" hidden="1" customHeight="1">
      <c r="A123" s="739"/>
      <c r="B123" s="740"/>
      <c r="C123" s="678"/>
      <c r="D123" s="287"/>
      <c r="E123" s="679"/>
      <c r="F123" s="680"/>
      <c r="G123" s="514"/>
      <c r="H123" s="296"/>
      <c r="I123" s="515"/>
      <c r="J123" s="511"/>
      <c r="K123" s="516"/>
      <c r="L123" s="515"/>
      <c r="M123" s="511"/>
      <c r="N123" s="516"/>
      <c r="O123" s="515"/>
      <c r="P123" s="511"/>
      <c r="Q123" s="516"/>
      <c r="R123" s="515"/>
      <c r="S123" s="511"/>
      <c r="T123" s="516"/>
      <c r="U123" s="515"/>
      <c r="V123" s="511"/>
      <c r="W123" s="516"/>
      <c r="X123" s="515"/>
      <c r="Y123" s="511"/>
      <c r="Z123" s="516"/>
      <c r="AA123" s="515"/>
      <c r="AB123" s="681"/>
      <c r="AC123" s="518"/>
      <c r="AD123" s="682"/>
      <c r="AG123" s="683"/>
      <c r="AH123" s="684"/>
      <c r="AI123" s="685"/>
      <c r="AJ123" s="686"/>
      <c r="AK123" s="684"/>
      <c r="AL123" s="685"/>
      <c r="AM123" s="686"/>
      <c r="AN123" s="684"/>
      <c r="AO123" s="685"/>
      <c r="AP123" s="686"/>
      <c r="AQ123" s="684"/>
      <c r="AR123" s="685"/>
      <c r="AS123" s="686"/>
      <c r="AT123" s="684"/>
      <c r="AU123" s="685"/>
      <c r="AV123" s="686"/>
      <c r="AW123" s="684"/>
      <c r="AX123" s="685"/>
      <c r="AY123" s="686"/>
      <c r="AZ123" s="687"/>
      <c r="BA123" s="688"/>
      <c r="BB123" s="689"/>
      <c r="BC123" s="690"/>
      <c r="BD123" s="690"/>
      <c r="BE123" s="690"/>
      <c r="BF123" s="690"/>
      <c r="BG123" s="690"/>
      <c r="BH123" s="690"/>
    </row>
    <row r="124" spans="1:61" s="152" customFormat="1" ht="19.5" hidden="1" customHeight="1">
      <c r="A124" s="741"/>
      <c r="B124" s="742"/>
      <c r="C124" s="673"/>
      <c r="D124" s="455"/>
      <c r="E124" s="498"/>
      <c r="F124" s="283"/>
      <c r="G124" s="500"/>
      <c r="H124" s="459"/>
      <c r="I124" s="148"/>
      <c r="J124" s="149"/>
      <c r="K124" s="150"/>
      <c r="L124" s="478"/>
      <c r="M124" s="457"/>
      <c r="N124" s="488"/>
      <c r="O124" s="486"/>
      <c r="P124" s="457"/>
      <c r="Q124" s="477"/>
      <c r="R124" s="478"/>
      <c r="S124" s="457"/>
      <c r="T124" s="477"/>
      <c r="U124" s="478"/>
      <c r="V124" s="457"/>
      <c r="W124" s="477"/>
      <c r="X124" s="478"/>
      <c r="Y124" s="479"/>
      <c r="Z124" s="477"/>
      <c r="AA124" s="478"/>
      <c r="AB124" s="479"/>
      <c r="AC124" s="488"/>
      <c r="AD124" s="454"/>
      <c r="AE124" s="113"/>
      <c r="AF124" s="113"/>
      <c r="AG124" s="164"/>
      <c r="AH124" s="165"/>
      <c r="AI124" s="166"/>
      <c r="AJ124" s="167"/>
      <c r="AK124" s="165"/>
      <c r="AL124" s="166"/>
      <c r="AM124" s="167"/>
      <c r="AN124" s="165"/>
      <c r="AO124" s="166"/>
      <c r="AP124" s="167"/>
      <c r="AQ124" s="165"/>
      <c r="AR124" s="166"/>
      <c r="AS124" s="167"/>
      <c r="AT124" s="165"/>
      <c r="AU124" s="166"/>
      <c r="AV124" s="167"/>
      <c r="AW124" s="165"/>
      <c r="AX124" s="166"/>
      <c r="AY124" s="167"/>
      <c r="AZ124" s="168"/>
      <c r="BA124" s="169"/>
      <c r="BB124" s="456"/>
      <c r="BC124" s="178"/>
      <c r="BD124" s="178"/>
      <c r="BE124" s="178"/>
      <c r="BF124" s="178"/>
      <c r="BG124" s="178"/>
      <c r="BH124" s="178"/>
      <c r="BI124" s="113"/>
    </row>
    <row r="125" spans="1:61" s="152" customFormat="1" ht="19.5" hidden="1" customHeight="1">
      <c r="A125" s="741"/>
      <c r="B125" s="742"/>
      <c r="C125" s="674"/>
      <c r="D125" s="289"/>
      <c r="E125" s="535"/>
      <c r="F125" s="290"/>
      <c r="G125" s="500"/>
      <c r="H125" s="298"/>
      <c r="I125" s="236"/>
      <c r="J125" s="237"/>
      <c r="K125" s="238"/>
      <c r="L125" s="530"/>
      <c r="M125" s="537"/>
      <c r="N125" s="527"/>
      <c r="O125" s="528"/>
      <c r="P125" s="537"/>
      <c r="Q125" s="529"/>
      <c r="R125" s="530"/>
      <c r="S125" s="537"/>
      <c r="T125" s="529"/>
      <c r="U125" s="530"/>
      <c r="V125" s="537"/>
      <c r="W125" s="529"/>
      <c r="X125" s="530"/>
      <c r="Y125" s="526"/>
      <c r="Z125" s="529"/>
      <c r="AA125" s="530"/>
      <c r="AB125" s="526"/>
      <c r="AC125" s="527"/>
      <c r="AD125" s="531"/>
      <c r="AE125" s="113"/>
      <c r="AF125" s="113"/>
      <c r="AG125" s="164"/>
      <c r="AH125" s="165"/>
      <c r="AI125" s="166"/>
      <c r="AJ125" s="167"/>
      <c r="AK125" s="165"/>
      <c r="AL125" s="166"/>
      <c r="AM125" s="167"/>
      <c r="AN125" s="165"/>
      <c r="AO125" s="166"/>
      <c r="AP125" s="167"/>
      <c r="AQ125" s="165"/>
      <c r="AR125" s="166"/>
      <c r="AS125" s="167"/>
      <c r="AT125" s="165"/>
      <c r="AU125" s="166"/>
      <c r="AV125" s="167"/>
      <c r="AW125" s="165"/>
      <c r="AX125" s="166"/>
      <c r="AY125" s="167"/>
      <c r="AZ125" s="168"/>
      <c r="BA125" s="169"/>
      <c r="BB125" s="456"/>
      <c r="BC125" s="553"/>
      <c r="BD125" s="553"/>
      <c r="BE125" s="553"/>
      <c r="BF125" s="553"/>
      <c r="BG125" s="553"/>
      <c r="BH125" s="553"/>
      <c r="BI125" s="113"/>
    </row>
    <row r="126" spans="1:61" s="152" customFormat="1" ht="19.5" hidden="1" customHeight="1">
      <c r="A126" s="741"/>
      <c r="B126" s="742"/>
      <c r="C126" s="675"/>
      <c r="D126" s="289"/>
      <c r="E126" s="535"/>
      <c r="F126" s="290"/>
      <c r="G126" s="500"/>
      <c r="H126" s="298"/>
      <c r="I126" s="236"/>
      <c r="J126" s="237"/>
      <c r="K126" s="238"/>
      <c r="L126" s="530"/>
      <c r="M126" s="537"/>
      <c r="N126" s="527"/>
      <c r="O126" s="528"/>
      <c r="P126" s="537"/>
      <c r="Q126" s="529"/>
      <c r="R126" s="530"/>
      <c r="S126" s="537"/>
      <c r="T126" s="529"/>
      <c r="U126" s="530"/>
      <c r="V126" s="537"/>
      <c r="W126" s="529"/>
      <c r="X126" s="530"/>
      <c r="Y126" s="526"/>
      <c r="Z126" s="529"/>
      <c r="AA126" s="530"/>
      <c r="AB126" s="526"/>
      <c r="AC126" s="527"/>
      <c r="AD126" s="531"/>
      <c r="AE126" s="113"/>
      <c r="AF126" s="113"/>
      <c r="AG126" s="164"/>
      <c r="AH126" s="165"/>
      <c r="AI126" s="166"/>
      <c r="AJ126" s="167"/>
      <c r="AK126" s="165"/>
      <c r="AL126" s="166"/>
      <c r="AM126" s="167"/>
      <c r="AN126" s="165"/>
      <c r="AO126" s="166"/>
      <c r="AP126" s="167"/>
      <c r="AQ126" s="165"/>
      <c r="AR126" s="166"/>
      <c r="AS126" s="167"/>
      <c r="AT126" s="165"/>
      <c r="AU126" s="166"/>
      <c r="AV126" s="167"/>
      <c r="AW126" s="165"/>
      <c r="AX126" s="166"/>
      <c r="AY126" s="167"/>
      <c r="AZ126" s="168"/>
      <c r="BA126" s="169"/>
      <c r="BB126" s="456"/>
      <c r="BC126" s="553"/>
      <c r="BD126" s="553"/>
      <c r="BE126" s="553"/>
      <c r="BF126" s="553"/>
      <c r="BG126" s="553"/>
      <c r="BH126" s="553"/>
      <c r="BI126" s="113"/>
    </row>
    <row r="127" spans="1:61" s="468" customFormat="1" ht="19.5" hidden="1" customHeight="1">
      <c r="A127" s="741"/>
      <c r="B127" s="742"/>
      <c r="C127" s="673"/>
      <c r="D127" s="455"/>
      <c r="E127" s="538"/>
      <c r="F127" s="283"/>
      <c r="G127" s="500"/>
      <c r="H127" s="459"/>
      <c r="I127" s="148"/>
      <c r="J127" s="149"/>
      <c r="K127" s="150"/>
      <c r="L127" s="478"/>
      <c r="M127" s="457"/>
      <c r="N127" s="488"/>
      <c r="O127" s="486"/>
      <c r="P127" s="457"/>
      <c r="Q127" s="477"/>
      <c r="R127" s="478"/>
      <c r="S127" s="457"/>
      <c r="T127" s="477"/>
      <c r="U127" s="478"/>
      <c r="V127" s="457"/>
      <c r="W127" s="477"/>
      <c r="X127" s="478"/>
      <c r="Y127" s="479"/>
      <c r="Z127" s="477"/>
      <c r="AA127" s="478"/>
      <c r="AB127" s="479"/>
      <c r="AC127" s="488"/>
      <c r="AD127" s="454"/>
      <c r="AE127" s="460"/>
      <c r="AF127" s="460"/>
      <c r="AG127" s="461"/>
      <c r="AH127" s="462"/>
      <c r="AI127" s="463"/>
      <c r="AJ127" s="464"/>
      <c r="AK127" s="462"/>
      <c r="AL127" s="463"/>
      <c r="AM127" s="464"/>
      <c r="AN127" s="462"/>
      <c r="AO127" s="463"/>
      <c r="AP127" s="464"/>
      <c r="AQ127" s="462"/>
      <c r="AR127" s="463"/>
      <c r="AS127" s="464"/>
      <c r="AT127" s="462"/>
      <c r="AU127" s="463"/>
      <c r="AV127" s="464"/>
      <c r="AW127" s="462"/>
      <c r="AX127" s="463"/>
      <c r="AY127" s="464"/>
      <c r="AZ127" s="465"/>
      <c r="BA127" s="466"/>
      <c r="BB127" s="144"/>
      <c r="BC127" s="467"/>
      <c r="BD127" s="467"/>
      <c r="BE127" s="467"/>
      <c r="BF127" s="467"/>
      <c r="BG127" s="467"/>
      <c r="BH127" s="467"/>
      <c r="BI127" s="460"/>
    </row>
    <row r="128" spans="1:61" s="551" customFormat="1" ht="19.5" hidden="1" customHeight="1">
      <c r="A128" s="741"/>
      <c r="B128" s="742"/>
      <c r="C128" s="675"/>
      <c r="D128" s="289"/>
      <c r="E128" s="539"/>
      <c r="F128" s="290"/>
      <c r="G128" s="500"/>
      <c r="H128" s="298"/>
      <c r="I128" s="236"/>
      <c r="J128" s="237"/>
      <c r="K128" s="238"/>
      <c r="L128" s="530"/>
      <c r="M128" s="537"/>
      <c r="N128" s="527"/>
      <c r="O128" s="528"/>
      <c r="P128" s="537"/>
      <c r="Q128" s="529"/>
      <c r="R128" s="530"/>
      <c r="S128" s="537"/>
      <c r="T128" s="529"/>
      <c r="U128" s="530"/>
      <c r="V128" s="537"/>
      <c r="W128" s="529"/>
      <c r="X128" s="530"/>
      <c r="Y128" s="526"/>
      <c r="Z128" s="529"/>
      <c r="AA128" s="530"/>
      <c r="AB128" s="526"/>
      <c r="AC128" s="527"/>
      <c r="AD128" s="531"/>
      <c r="AE128" s="543"/>
      <c r="AF128" s="543"/>
      <c r="AG128" s="544"/>
      <c r="AH128" s="545"/>
      <c r="AI128" s="546"/>
      <c r="AJ128" s="547"/>
      <c r="AK128" s="545"/>
      <c r="AL128" s="546"/>
      <c r="AM128" s="547"/>
      <c r="AN128" s="545"/>
      <c r="AO128" s="546"/>
      <c r="AP128" s="547"/>
      <c r="AQ128" s="545"/>
      <c r="AR128" s="546"/>
      <c r="AS128" s="547"/>
      <c r="AT128" s="545"/>
      <c r="AU128" s="546"/>
      <c r="AV128" s="547"/>
      <c r="AW128" s="545"/>
      <c r="AX128" s="546"/>
      <c r="AY128" s="547"/>
      <c r="AZ128" s="548"/>
      <c r="BA128" s="549"/>
      <c r="BB128" s="233"/>
      <c r="BC128" s="550"/>
      <c r="BD128" s="550"/>
      <c r="BE128" s="550"/>
      <c r="BF128" s="550"/>
      <c r="BG128" s="550"/>
      <c r="BH128" s="550"/>
      <c r="BI128" s="543"/>
    </row>
    <row r="129" spans="1:61" s="632" customFormat="1" ht="20.100000000000001" hidden="1" customHeight="1">
      <c r="A129" s="741"/>
      <c r="B129" s="742"/>
      <c r="C129" s="672"/>
      <c r="D129" s="289"/>
      <c r="E129" s="627"/>
      <c r="F129" s="628"/>
      <c r="G129" s="500"/>
      <c r="H129" s="298"/>
      <c r="I129" s="478"/>
      <c r="J129" s="457"/>
      <c r="K129" s="477"/>
      <c r="L129" s="478"/>
      <c r="M129" s="457"/>
      <c r="N129" s="477"/>
      <c r="O129" s="478"/>
      <c r="P129" s="457"/>
      <c r="Q129" s="477"/>
      <c r="R129" s="478"/>
      <c r="S129" s="457"/>
      <c r="T129" s="477"/>
      <c r="U129" s="478"/>
      <c r="V129" s="457"/>
      <c r="W129" s="477"/>
      <c r="X129" s="478"/>
      <c r="Y129" s="457"/>
      <c r="Z129" s="477"/>
      <c r="AA129" s="478"/>
      <c r="AB129" s="630"/>
      <c r="AC129" s="488"/>
      <c r="AD129" s="631"/>
      <c r="AG129" s="633"/>
      <c r="AH129" s="634"/>
      <c r="AI129" s="635"/>
      <c r="AJ129" s="636"/>
      <c r="AK129" s="634"/>
      <c r="AL129" s="635"/>
      <c r="AM129" s="636"/>
      <c r="AN129" s="634"/>
      <c r="AO129" s="635"/>
      <c r="AP129" s="636"/>
      <c r="AQ129" s="634"/>
      <c r="AR129" s="635"/>
      <c r="AS129" s="636"/>
      <c r="AT129" s="634"/>
      <c r="AU129" s="635"/>
      <c r="AV129" s="636"/>
      <c r="AW129" s="634"/>
      <c r="AX129" s="635"/>
      <c r="AY129" s="636"/>
      <c r="AZ129" s="637"/>
      <c r="BA129" s="638"/>
      <c r="BB129" s="639"/>
      <c r="BC129" s="640"/>
      <c r="BD129" s="640"/>
      <c r="BE129" s="640"/>
      <c r="BF129" s="640"/>
      <c r="BG129" s="640"/>
      <c r="BH129" s="640"/>
    </row>
    <row r="130" spans="1:61" s="632" customFormat="1" ht="20.100000000000001" hidden="1" customHeight="1" thickBot="1">
      <c r="A130" s="741"/>
      <c r="B130" s="742"/>
      <c r="C130" s="676"/>
      <c r="D130" s="289"/>
      <c r="E130" s="627"/>
      <c r="F130" s="628"/>
      <c r="G130" s="536"/>
      <c r="H130" s="298"/>
      <c r="I130" s="530"/>
      <c r="J130" s="537"/>
      <c r="K130" s="529"/>
      <c r="L130" s="530"/>
      <c r="M130" s="537"/>
      <c r="N130" s="529"/>
      <c r="O130" s="530"/>
      <c r="P130" s="537"/>
      <c r="Q130" s="529"/>
      <c r="R130" s="530"/>
      <c r="S130" s="537"/>
      <c r="T130" s="529"/>
      <c r="U130" s="530"/>
      <c r="V130" s="537"/>
      <c r="W130" s="529"/>
      <c r="X130" s="530"/>
      <c r="Y130" s="537"/>
      <c r="Z130" s="529"/>
      <c r="AA130" s="530"/>
      <c r="AB130" s="668"/>
      <c r="AC130" s="527"/>
      <c r="AD130" s="669"/>
      <c r="AG130" s="633"/>
      <c r="AH130" s="634"/>
      <c r="AI130" s="635"/>
      <c r="AJ130" s="636"/>
      <c r="AK130" s="634"/>
      <c r="AL130" s="635"/>
      <c r="AM130" s="636"/>
      <c r="AN130" s="634"/>
      <c r="AO130" s="635"/>
      <c r="AP130" s="636"/>
      <c r="AQ130" s="634"/>
      <c r="AR130" s="635"/>
      <c r="AS130" s="636"/>
      <c r="AT130" s="634"/>
      <c r="AU130" s="635"/>
      <c r="AV130" s="636"/>
      <c r="AW130" s="634"/>
      <c r="AX130" s="635"/>
      <c r="AY130" s="636"/>
      <c r="AZ130" s="637"/>
      <c r="BA130" s="638"/>
      <c r="BB130" s="639"/>
      <c r="BC130" s="640"/>
      <c r="BD130" s="640"/>
      <c r="BE130" s="640"/>
      <c r="BF130" s="640"/>
      <c r="BG130" s="640"/>
      <c r="BH130" s="640"/>
    </row>
    <row r="131" spans="1:61" s="569" customFormat="1" ht="19.5" hidden="1" customHeight="1" thickBot="1">
      <c r="A131" s="741"/>
      <c r="B131" s="742"/>
      <c r="C131" s="677"/>
      <c r="D131" s="289"/>
      <c r="E131" s="534"/>
      <c r="F131" s="382"/>
      <c r="G131" s="626"/>
      <c r="H131" s="298"/>
      <c r="I131" s="148"/>
      <c r="J131" s="149"/>
      <c r="K131" s="150"/>
      <c r="L131" s="478"/>
      <c r="M131" s="457"/>
      <c r="N131" s="488"/>
      <c r="O131" s="486"/>
      <c r="P131" s="457"/>
      <c r="Q131" s="477"/>
      <c r="R131" s="478"/>
      <c r="S131" s="457"/>
      <c r="T131" s="477"/>
      <c r="U131" s="478"/>
      <c r="V131" s="457"/>
      <c r="W131" s="477"/>
      <c r="X131" s="478"/>
      <c r="Y131" s="479"/>
      <c r="Z131" s="477"/>
      <c r="AA131" s="478"/>
      <c r="AB131" s="479"/>
      <c r="AC131" s="488"/>
      <c r="AD131" s="454"/>
      <c r="AE131" s="560"/>
      <c r="AF131" s="560"/>
      <c r="AG131" s="561"/>
      <c r="AH131" s="562"/>
      <c r="AI131" s="563"/>
      <c r="AJ131" s="564"/>
      <c r="AK131" s="562"/>
      <c r="AL131" s="563"/>
      <c r="AM131" s="564"/>
      <c r="AN131" s="562"/>
      <c r="AO131" s="563"/>
      <c r="AP131" s="564"/>
      <c r="AQ131" s="562"/>
      <c r="AR131" s="563"/>
      <c r="AS131" s="564"/>
      <c r="AT131" s="562"/>
      <c r="AU131" s="563"/>
      <c r="AV131" s="564"/>
      <c r="AW131" s="562"/>
      <c r="AX131" s="563"/>
      <c r="AY131" s="564"/>
      <c r="AZ131" s="565"/>
      <c r="BA131" s="566"/>
      <c r="BB131" s="567"/>
      <c r="BC131" s="568"/>
      <c r="BD131" s="568"/>
      <c r="BE131" s="568"/>
      <c r="BF131" s="568"/>
      <c r="BG131" s="568"/>
      <c r="BH131" s="568"/>
      <c r="BI131" s="560"/>
    </row>
    <row r="132" spans="1:61" s="569" customFormat="1" ht="19.5" hidden="1" customHeight="1" thickBot="1">
      <c r="A132" s="741"/>
      <c r="B132" s="742"/>
      <c r="C132" s="670"/>
      <c r="D132" s="671"/>
      <c r="E132" s="534"/>
      <c r="F132" s="382"/>
      <c r="G132" s="626"/>
      <c r="H132" s="459"/>
      <c r="I132" s="148"/>
      <c r="J132" s="149"/>
      <c r="K132" s="150"/>
      <c r="L132" s="478"/>
      <c r="M132" s="457"/>
      <c r="N132" s="488"/>
      <c r="O132" s="486"/>
      <c r="P132" s="457"/>
      <c r="Q132" s="477"/>
      <c r="R132" s="478"/>
      <c r="S132" s="457"/>
      <c r="T132" s="477"/>
      <c r="U132" s="478"/>
      <c r="V132" s="457"/>
      <c r="W132" s="477"/>
      <c r="X132" s="478"/>
      <c r="Y132" s="479"/>
      <c r="Z132" s="477"/>
      <c r="AA132" s="478"/>
      <c r="AB132" s="479"/>
      <c r="AC132" s="488"/>
      <c r="AD132" s="454"/>
      <c r="AE132" s="560"/>
      <c r="AF132" s="560"/>
      <c r="AG132" s="561"/>
      <c r="AH132" s="562"/>
      <c r="AI132" s="563"/>
      <c r="AJ132" s="564"/>
      <c r="AK132" s="562"/>
      <c r="AL132" s="563"/>
      <c r="AM132" s="564"/>
      <c r="AN132" s="562"/>
      <c r="AO132" s="563"/>
      <c r="AP132" s="564"/>
      <c r="AQ132" s="562"/>
      <c r="AR132" s="563"/>
      <c r="AS132" s="564"/>
      <c r="AT132" s="562"/>
      <c r="AU132" s="563"/>
      <c r="AV132" s="564"/>
      <c r="AW132" s="562"/>
      <c r="AX132" s="563"/>
      <c r="AY132" s="564"/>
      <c r="AZ132" s="565"/>
      <c r="BA132" s="566"/>
      <c r="BB132" s="567"/>
      <c r="BC132" s="568"/>
      <c r="BD132" s="568"/>
      <c r="BE132" s="568"/>
      <c r="BF132" s="568"/>
      <c r="BG132" s="568"/>
      <c r="BH132" s="568"/>
      <c r="BI132" s="560"/>
    </row>
    <row r="133" spans="1:61" s="569" customFormat="1" ht="19.5" hidden="1" customHeight="1" thickBot="1">
      <c r="A133" s="741"/>
      <c r="B133" s="742"/>
      <c r="C133" s="670"/>
      <c r="D133" s="671"/>
      <c r="E133" s="534"/>
      <c r="F133" s="382"/>
      <c r="G133" s="626"/>
      <c r="H133" s="459"/>
      <c r="I133" s="148"/>
      <c r="J133" s="149"/>
      <c r="K133" s="150"/>
      <c r="L133" s="478"/>
      <c r="M133" s="457"/>
      <c r="N133" s="488"/>
      <c r="O133" s="486"/>
      <c r="P133" s="457"/>
      <c r="Q133" s="477"/>
      <c r="R133" s="478"/>
      <c r="S133" s="457"/>
      <c r="T133" s="477"/>
      <c r="U133" s="478"/>
      <c r="V133" s="457"/>
      <c r="W133" s="477"/>
      <c r="X133" s="478"/>
      <c r="Y133" s="479"/>
      <c r="Z133" s="477"/>
      <c r="AA133" s="478"/>
      <c r="AB133" s="479"/>
      <c r="AC133" s="488"/>
      <c r="AD133" s="454"/>
      <c r="AE133" s="560"/>
      <c r="AF133" s="560"/>
      <c r="AG133" s="561"/>
      <c r="AH133" s="562"/>
      <c r="AI133" s="563"/>
      <c r="AJ133" s="564"/>
      <c r="AK133" s="562"/>
      <c r="AL133" s="563"/>
      <c r="AM133" s="564"/>
      <c r="AN133" s="562"/>
      <c r="AO133" s="563"/>
      <c r="AP133" s="564"/>
      <c r="AQ133" s="562"/>
      <c r="AR133" s="563"/>
      <c r="AS133" s="564"/>
      <c r="AT133" s="562"/>
      <c r="AU133" s="563"/>
      <c r="AV133" s="564"/>
      <c r="AW133" s="562"/>
      <c r="AX133" s="563"/>
      <c r="AY133" s="564"/>
      <c r="AZ133" s="565"/>
      <c r="BA133" s="566"/>
      <c r="BB133" s="567"/>
      <c r="BC133" s="568"/>
      <c r="BD133" s="568"/>
      <c r="BE133" s="568"/>
      <c r="BF133" s="568"/>
      <c r="BG133" s="568"/>
      <c r="BH133" s="568"/>
      <c r="BI133" s="560"/>
    </row>
    <row r="134" spans="1:61" s="569" customFormat="1" ht="19.5" hidden="1" customHeight="1" thickBot="1">
      <c r="A134" s="741"/>
      <c r="B134" s="742"/>
      <c r="C134" s="670"/>
      <c r="D134" s="671"/>
      <c r="E134" s="534"/>
      <c r="F134" s="382"/>
      <c r="G134" s="626"/>
      <c r="H134" s="459"/>
      <c r="I134" s="148"/>
      <c r="J134" s="149"/>
      <c r="K134" s="150"/>
      <c r="L134" s="478"/>
      <c r="M134" s="457"/>
      <c r="N134" s="488"/>
      <c r="O134" s="486"/>
      <c r="P134" s="457"/>
      <c r="Q134" s="477"/>
      <c r="R134" s="478"/>
      <c r="S134" s="457"/>
      <c r="T134" s="477"/>
      <c r="U134" s="478"/>
      <c r="V134" s="457"/>
      <c r="W134" s="477"/>
      <c r="X134" s="478"/>
      <c r="Y134" s="479"/>
      <c r="Z134" s="477"/>
      <c r="AA134" s="478"/>
      <c r="AB134" s="479"/>
      <c r="AC134" s="488"/>
      <c r="AD134" s="454"/>
      <c r="AE134" s="560"/>
      <c r="AF134" s="560"/>
      <c r="AG134" s="561"/>
      <c r="AH134" s="562"/>
      <c r="AI134" s="563"/>
      <c r="AJ134" s="564"/>
      <c r="AK134" s="562"/>
      <c r="AL134" s="563"/>
      <c r="AM134" s="564"/>
      <c r="AN134" s="562"/>
      <c r="AO134" s="563"/>
      <c r="AP134" s="564"/>
      <c r="AQ134" s="562"/>
      <c r="AR134" s="563"/>
      <c r="AS134" s="564"/>
      <c r="AT134" s="562"/>
      <c r="AU134" s="563"/>
      <c r="AV134" s="564"/>
      <c r="AW134" s="562"/>
      <c r="AX134" s="563"/>
      <c r="AY134" s="564"/>
      <c r="AZ134" s="565"/>
      <c r="BA134" s="566"/>
      <c r="BB134" s="567"/>
      <c r="BC134" s="568"/>
      <c r="BD134" s="568"/>
      <c r="BE134" s="568"/>
      <c r="BF134" s="568"/>
      <c r="BG134" s="568"/>
      <c r="BH134" s="568"/>
      <c r="BI134" s="560"/>
    </row>
    <row r="135" spans="1:61" s="569" customFormat="1" ht="19.5" hidden="1" customHeight="1" thickBot="1">
      <c r="A135" s="741"/>
      <c r="B135" s="742"/>
      <c r="C135" s="670"/>
      <c r="D135" s="671"/>
      <c r="E135" s="534"/>
      <c r="F135" s="382"/>
      <c r="G135" s="626"/>
      <c r="H135" s="459"/>
      <c r="I135" s="148"/>
      <c r="J135" s="149"/>
      <c r="K135" s="150"/>
      <c r="L135" s="478"/>
      <c r="M135" s="457"/>
      <c r="N135" s="488"/>
      <c r="O135" s="486"/>
      <c r="P135" s="457"/>
      <c r="Q135" s="477"/>
      <c r="R135" s="478"/>
      <c r="S135" s="457"/>
      <c r="T135" s="477"/>
      <c r="U135" s="478"/>
      <c r="V135" s="457"/>
      <c r="W135" s="477"/>
      <c r="X135" s="478"/>
      <c r="Y135" s="479"/>
      <c r="Z135" s="477"/>
      <c r="AA135" s="478"/>
      <c r="AB135" s="479"/>
      <c r="AC135" s="488"/>
      <c r="AD135" s="454"/>
      <c r="AE135" s="560"/>
      <c r="AF135" s="560"/>
      <c r="AG135" s="561"/>
      <c r="AH135" s="562"/>
      <c r="AI135" s="563"/>
      <c r="AJ135" s="564"/>
      <c r="AK135" s="562"/>
      <c r="AL135" s="563"/>
      <c r="AM135" s="564"/>
      <c r="AN135" s="562"/>
      <c r="AO135" s="563"/>
      <c r="AP135" s="564"/>
      <c r="AQ135" s="562"/>
      <c r="AR135" s="563"/>
      <c r="AS135" s="564"/>
      <c r="AT135" s="562"/>
      <c r="AU135" s="563"/>
      <c r="AV135" s="564"/>
      <c r="AW135" s="562"/>
      <c r="AX135" s="563"/>
      <c r="AY135" s="564"/>
      <c r="AZ135" s="565"/>
      <c r="BA135" s="566"/>
      <c r="BB135" s="567"/>
      <c r="BC135" s="568"/>
      <c r="BD135" s="568"/>
      <c r="BE135" s="568"/>
      <c r="BF135" s="568"/>
      <c r="BG135" s="568"/>
      <c r="BH135" s="568"/>
      <c r="BI135" s="560"/>
    </row>
    <row r="136" spans="1:61" s="569" customFormat="1" ht="19.5" hidden="1" customHeight="1" thickBot="1">
      <c r="A136" s="741"/>
      <c r="B136" s="742"/>
      <c r="C136" s="670"/>
      <c r="D136" s="671"/>
      <c r="E136" s="534"/>
      <c r="F136" s="382"/>
      <c r="G136" s="626"/>
      <c r="H136" s="459"/>
      <c r="I136" s="148"/>
      <c r="J136" s="149"/>
      <c r="K136" s="150"/>
      <c r="L136" s="478"/>
      <c r="M136" s="457"/>
      <c r="N136" s="488"/>
      <c r="O136" s="486"/>
      <c r="P136" s="457"/>
      <c r="Q136" s="477"/>
      <c r="R136" s="478"/>
      <c r="S136" s="457"/>
      <c r="T136" s="477"/>
      <c r="U136" s="478"/>
      <c r="V136" s="457"/>
      <c r="W136" s="477"/>
      <c r="X136" s="478"/>
      <c r="Y136" s="479"/>
      <c r="Z136" s="477"/>
      <c r="AA136" s="478"/>
      <c r="AB136" s="479"/>
      <c r="AC136" s="488"/>
      <c r="AD136" s="454"/>
      <c r="AE136" s="560"/>
      <c r="AF136" s="560"/>
      <c r="AG136" s="561"/>
      <c r="AH136" s="562"/>
      <c r="AI136" s="563"/>
      <c r="AJ136" s="564"/>
      <c r="AK136" s="562"/>
      <c r="AL136" s="563"/>
      <c r="AM136" s="564"/>
      <c r="AN136" s="562"/>
      <c r="AO136" s="563"/>
      <c r="AP136" s="564"/>
      <c r="AQ136" s="562"/>
      <c r="AR136" s="563"/>
      <c r="AS136" s="564"/>
      <c r="AT136" s="562"/>
      <c r="AU136" s="563"/>
      <c r="AV136" s="564"/>
      <c r="AW136" s="562"/>
      <c r="AX136" s="563"/>
      <c r="AY136" s="564"/>
      <c r="AZ136" s="565"/>
      <c r="BA136" s="566"/>
      <c r="BB136" s="567"/>
      <c r="BC136" s="568"/>
      <c r="BD136" s="568"/>
      <c r="BE136" s="568"/>
      <c r="BF136" s="568"/>
      <c r="BG136" s="568"/>
      <c r="BH136" s="568"/>
      <c r="BI136" s="560"/>
    </row>
    <row r="137" spans="1:61" s="569" customFormat="1" ht="19.5" hidden="1" customHeight="1" thickBot="1">
      <c r="A137" s="741"/>
      <c r="B137" s="742"/>
      <c r="C137" s="670"/>
      <c r="D137" s="671"/>
      <c r="E137" s="534"/>
      <c r="F137" s="382"/>
      <c r="G137" s="626"/>
      <c r="H137" s="459"/>
      <c r="I137" s="148"/>
      <c r="J137" s="149"/>
      <c r="K137" s="150"/>
      <c r="L137" s="478"/>
      <c r="M137" s="457"/>
      <c r="N137" s="488"/>
      <c r="O137" s="486"/>
      <c r="P137" s="457"/>
      <c r="Q137" s="477"/>
      <c r="R137" s="478"/>
      <c r="S137" s="457"/>
      <c r="T137" s="477"/>
      <c r="U137" s="478"/>
      <c r="V137" s="457"/>
      <c r="W137" s="477"/>
      <c r="X137" s="478"/>
      <c r="Y137" s="479"/>
      <c r="Z137" s="477"/>
      <c r="AA137" s="478"/>
      <c r="AB137" s="479"/>
      <c r="AC137" s="488"/>
      <c r="AD137" s="454"/>
      <c r="AE137" s="560"/>
      <c r="AF137" s="560"/>
      <c r="AG137" s="561"/>
      <c r="AH137" s="562"/>
      <c r="AI137" s="563"/>
      <c r="AJ137" s="564"/>
      <c r="AK137" s="562"/>
      <c r="AL137" s="563"/>
      <c r="AM137" s="564"/>
      <c r="AN137" s="562"/>
      <c r="AO137" s="563"/>
      <c r="AP137" s="564"/>
      <c r="AQ137" s="562"/>
      <c r="AR137" s="563"/>
      <c r="AS137" s="564"/>
      <c r="AT137" s="562"/>
      <c r="AU137" s="563"/>
      <c r="AV137" s="564"/>
      <c r="AW137" s="562"/>
      <c r="AX137" s="563"/>
      <c r="AY137" s="564"/>
      <c r="AZ137" s="565"/>
      <c r="BA137" s="566"/>
      <c r="BB137" s="567"/>
      <c r="BC137" s="568"/>
      <c r="BD137" s="568"/>
      <c r="BE137" s="568"/>
      <c r="BF137" s="568"/>
      <c r="BG137" s="568"/>
      <c r="BH137" s="568"/>
      <c r="BI137" s="560"/>
    </row>
    <row r="138" spans="1:61" s="569" customFormat="1" ht="19.5" hidden="1" customHeight="1" thickBot="1">
      <c r="A138" s="741"/>
      <c r="B138" s="742"/>
      <c r="C138" s="670"/>
      <c r="D138" s="671"/>
      <c r="E138" s="534"/>
      <c r="F138" s="382"/>
      <c r="G138" s="626"/>
      <c r="H138" s="459"/>
      <c r="I138" s="148"/>
      <c r="J138" s="149"/>
      <c r="K138" s="150"/>
      <c r="L138" s="478"/>
      <c r="M138" s="457"/>
      <c r="N138" s="488"/>
      <c r="O138" s="486"/>
      <c r="P138" s="457"/>
      <c r="Q138" s="477"/>
      <c r="R138" s="478"/>
      <c r="S138" s="457"/>
      <c r="T138" s="477"/>
      <c r="U138" s="478"/>
      <c r="V138" s="457"/>
      <c r="W138" s="477"/>
      <c r="X138" s="478"/>
      <c r="Y138" s="479"/>
      <c r="Z138" s="477"/>
      <c r="AA138" s="478"/>
      <c r="AB138" s="479"/>
      <c r="AC138" s="488"/>
      <c r="AD138" s="454"/>
      <c r="AE138" s="560"/>
      <c r="AF138" s="560"/>
      <c r="AG138" s="561"/>
      <c r="AH138" s="562"/>
      <c r="AI138" s="563"/>
      <c r="AJ138" s="564"/>
      <c r="AK138" s="562"/>
      <c r="AL138" s="563"/>
      <c r="AM138" s="564"/>
      <c r="AN138" s="562"/>
      <c r="AO138" s="563"/>
      <c r="AP138" s="564"/>
      <c r="AQ138" s="562"/>
      <c r="AR138" s="563"/>
      <c r="AS138" s="564"/>
      <c r="AT138" s="562"/>
      <c r="AU138" s="563"/>
      <c r="AV138" s="564"/>
      <c r="AW138" s="562"/>
      <c r="AX138" s="563"/>
      <c r="AY138" s="564"/>
      <c r="AZ138" s="565"/>
      <c r="BA138" s="566"/>
      <c r="BB138" s="567"/>
      <c r="BC138" s="568"/>
      <c r="BD138" s="568"/>
      <c r="BE138" s="568"/>
      <c r="BF138" s="568"/>
      <c r="BG138" s="568"/>
      <c r="BH138" s="568"/>
      <c r="BI138" s="560"/>
    </row>
    <row r="139" spans="1:61" s="569" customFormat="1" ht="19.5" hidden="1" customHeight="1" thickBot="1">
      <c r="A139" s="741"/>
      <c r="B139" s="742"/>
      <c r="C139" s="670"/>
      <c r="D139" s="671"/>
      <c r="E139" s="534"/>
      <c r="F139" s="382"/>
      <c r="G139" s="626"/>
      <c r="H139" s="459"/>
      <c r="I139" s="148"/>
      <c r="J139" s="149"/>
      <c r="K139" s="150"/>
      <c r="L139" s="478"/>
      <c r="M139" s="457"/>
      <c r="N139" s="488"/>
      <c r="O139" s="486"/>
      <c r="P139" s="457"/>
      <c r="Q139" s="477"/>
      <c r="R139" s="478"/>
      <c r="S139" s="457"/>
      <c r="T139" s="477"/>
      <c r="U139" s="478"/>
      <c r="V139" s="457"/>
      <c r="W139" s="477"/>
      <c r="X139" s="478"/>
      <c r="Y139" s="479"/>
      <c r="Z139" s="477"/>
      <c r="AA139" s="478"/>
      <c r="AB139" s="479"/>
      <c r="AC139" s="488"/>
      <c r="AD139" s="454"/>
      <c r="AE139" s="560"/>
      <c r="AF139" s="560"/>
      <c r="AG139" s="561"/>
      <c r="AH139" s="562"/>
      <c r="AI139" s="563"/>
      <c r="AJ139" s="564"/>
      <c r="AK139" s="562"/>
      <c r="AL139" s="563"/>
      <c r="AM139" s="564"/>
      <c r="AN139" s="562"/>
      <c r="AO139" s="563"/>
      <c r="AP139" s="564"/>
      <c r="AQ139" s="562"/>
      <c r="AR139" s="563"/>
      <c r="AS139" s="564"/>
      <c r="AT139" s="562"/>
      <c r="AU139" s="563"/>
      <c r="AV139" s="564"/>
      <c r="AW139" s="562"/>
      <c r="AX139" s="563"/>
      <c r="AY139" s="564"/>
      <c r="AZ139" s="565"/>
      <c r="BA139" s="566"/>
      <c r="BB139" s="567"/>
      <c r="BC139" s="568"/>
      <c r="BD139" s="568"/>
      <c r="BE139" s="568"/>
      <c r="BF139" s="568"/>
      <c r="BG139" s="568"/>
      <c r="BH139" s="568"/>
      <c r="BI139" s="560"/>
    </row>
    <row r="140" spans="1:61" s="569" customFormat="1" ht="19.5" hidden="1" customHeight="1" thickBot="1">
      <c r="A140" s="741"/>
      <c r="B140" s="742"/>
      <c r="C140" s="670"/>
      <c r="D140" s="671"/>
      <c r="E140" s="534"/>
      <c r="F140" s="382"/>
      <c r="G140" s="626"/>
      <c r="H140" s="459"/>
      <c r="I140" s="148"/>
      <c r="J140" s="149"/>
      <c r="K140" s="150"/>
      <c r="L140" s="478"/>
      <c r="M140" s="457"/>
      <c r="N140" s="488"/>
      <c r="O140" s="486"/>
      <c r="P140" s="457"/>
      <c r="Q140" s="477"/>
      <c r="R140" s="478"/>
      <c r="S140" s="457"/>
      <c r="T140" s="477"/>
      <c r="U140" s="478"/>
      <c r="V140" s="457"/>
      <c r="W140" s="477"/>
      <c r="X140" s="478"/>
      <c r="Y140" s="479"/>
      <c r="Z140" s="477"/>
      <c r="AA140" s="478"/>
      <c r="AB140" s="479"/>
      <c r="AC140" s="488"/>
      <c r="AD140" s="454"/>
      <c r="AE140" s="560"/>
      <c r="AF140" s="560"/>
      <c r="AG140" s="561"/>
      <c r="AH140" s="562"/>
      <c r="AI140" s="563"/>
      <c r="AJ140" s="564"/>
      <c r="AK140" s="562"/>
      <c r="AL140" s="563"/>
      <c r="AM140" s="564"/>
      <c r="AN140" s="562"/>
      <c r="AO140" s="563"/>
      <c r="AP140" s="564"/>
      <c r="AQ140" s="562"/>
      <c r="AR140" s="563"/>
      <c r="AS140" s="564"/>
      <c r="AT140" s="562"/>
      <c r="AU140" s="563"/>
      <c r="AV140" s="564"/>
      <c r="AW140" s="562"/>
      <c r="AX140" s="563"/>
      <c r="AY140" s="564"/>
      <c r="AZ140" s="565"/>
      <c r="BA140" s="566"/>
      <c r="BB140" s="567"/>
      <c r="BC140" s="568"/>
      <c r="BD140" s="568"/>
      <c r="BE140" s="568"/>
      <c r="BF140" s="568"/>
      <c r="BG140" s="568"/>
      <c r="BH140" s="568"/>
      <c r="BI140" s="560"/>
    </row>
    <row r="141" spans="1:61" s="569" customFormat="1" ht="19.5" hidden="1" customHeight="1" thickBot="1">
      <c r="A141" s="741"/>
      <c r="B141" s="742"/>
      <c r="C141" s="670"/>
      <c r="D141" s="671"/>
      <c r="E141" s="534"/>
      <c r="F141" s="382"/>
      <c r="G141" s="626"/>
      <c r="H141" s="459"/>
      <c r="I141" s="148"/>
      <c r="J141" s="149"/>
      <c r="K141" s="150"/>
      <c r="L141" s="478"/>
      <c r="M141" s="457"/>
      <c r="N141" s="488"/>
      <c r="O141" s="486"/>
      <c r="P141" s="457"/>
      <c r="Q141" s="477"/>
      <c r="R141" s="478"/>
      <c r="S141" s="457"/>
      <c r="T141" s="477"/>
      <c r="U141" s="478"/>
      <c r="V141" s="457"/>
      <c r="W141" s="477"/>
      <c r="X141" s="478"/>
      <c r="Y141" s="479"/>
      <c r="Z141" s="477"/>
      <c r="AA141" s="478"/>
      <c r="AB141" s="479"/>
      <c r="AC141" s="488"/>
      <c r="AD141" s="454"/>
      <c r="AE141" s="560"/>
      <c r="AF141" s="560"/>
      <c r="AG141" s="561"/>
      <c r="AH141" s="562"/>
      <c r="AI141" s="563"/>
      <c r="AJ141" s="564"/>
      <c r="AK141" s="562"/>
      <c r="AL141" s="563"/>
      <c r="AM141" s="564"/>
      <c r="AN141" s="562"/>
      <c r="AO141" s="563"/>
      <c r="AP141" s="564"/>
      <c r="AQ141" s="562"/>
      <c r="AR141" s="563"/>
      <c r="AS141" s="564"/>
      <c r="AT141" s="562"/>
      <c r="AU141" s="563"/>
      <c r="AV141" s="564"/>
      <c r="AW141" s="562"/>
      <c r="AX141" s="563"/>
      <c r="AY141" s="564"/>
      <c r="AZ141" s="565"/>
      <c r="BA141" s="566"/>
      <c r="BB141" s="567"/>
      <c r="BC141" s="568"/>
      <c r="BD141" s="568"/>
      <c r="BE141" s="568"/>
      <c r="BF141" s="568"/>
      <c r="BG141" s="568"/>
      <c r="BH141" s="568"/>
      <c r="BI141" s="560"/>
    </row>
    <row r="142" spans="1:61" s="569" customFormat="1" ht="19.5" hidden="1" customHeight="1" thickBot="1">
      <c r="A142" s="741"/>
      <c r="B142" s="742"/>
      <c r="C142" s="670"/>
      <c r="D142" s="671"/>
      <c r="E142" s="534"/>
      <c r="F142" s="382"/>
      <c r="G142" s="626"/>
      <c r="H142" s="459"/>
      <c r="I142" s="148"/>
      <c r="J142" s="149"/>
      <c r="K142" s="150"/>
      <c r="L142" s="478"/>
      <c r="M142" s="457"/>
      <c r="N142" s="488"/>
      <c r="O142" s="486"/>
      <c r="P142" s="457"/>
      <c r="Q142" s="477"/>
      <c r="R142" s="478"/>
      <c r="S142" s="457"/>
      <c r="T142" s="477"/>
      <c r="U142" s="478"/>
      <c r="V142" s="457"/>
      <c r="W142" s="477"/>
      <c r="X142" s="478"/>
      <c r="Y142" s="479"/>
      <c r="Z142" s="477"/>
      <c r="AA142" s="478"/>
      <c r="AB142" s="479"/>
      <c r="AC142" s="488"/>
      <c r="AD142" s="454"/>
      <c r="AE142" s="560"/>
      <c r="AF142" s="560"/>
      <c r="AG142" s="561"/>
      <c r="AH142" s="562"/>
      <c r="AI142" s="563"/>
      <c r="AJ142" s="564"/>
      <c r="AK142" s="562"/>
      <c r="AL142" s="563"/>
      <c r="AM142" s="564"/>
      <c r="AN142" s="562"/>
      <c r="AO142" s="563"/>
      <c r="AP142" s="564"/>
      <c r="AQ142" s="562"/>
      <c r="AR142" s="563"/>
      <c r="AS142" s="564"/>
      <c r="AT142" s="562"/>
      <c r="AU142" s="563"/>
      <c r="AV142" s="564"/>
      <c r="AW142" s="562"/>
      <c r="AX142" s="563"/>
      <c r="AY142" s="564"/>
      <c r="AZ142" s="565"/>
      <c r="BA142" s="566"/>
      <c r="BB142" s="567"/>
      <c r="BC142" s="568"/>
      <c r="BD142" s="568"/>
      <c r="BE142" s="568"/>
      <c r="BF142" s="568"/>
      <c r="BG142" s="568"/>
      <c r="BH142" s="568"/>
      <c r="BI142" s="560"/>
    </row>
    <row r="143" spans="1:61" s="569" customFormat="1" ht="19.5" hidden="1" customHeight="1" thickBot="1">
      <c r="A143" s="743"/>
      <c r="B143" s="742"/>
      <c r="C143" s="670"/>
      <c r="D143" s="671"/>
      <c r="E143" s="534"/>
      <c r="F143" s="382"/>
      <c r="G143" s="626"/>
      <c r="H143" s="459"/>
      <c r="I143" s="148"/>
      <c r="J143" s="149"/>
      <c r="K143" s="150"/>
      <c r="L143" s="478"/>
      <c r="M143" s="457"/>
      <c r="N143" s="488"/>
      <c r="O143" s="486"/>
      <c r="P143" s="457"/>
      <c r="Q143" s="477"/>
      <c r="R143" s="478"/>
      <c r="S143" s="457"/>
      <c r="T143" s="477"/>
      <c r="U143" s="478"/>
      <c r="V143" s="457"/>
      <c r="W143" s="477"/>
      <c r="X143" s="478"/>
      <c r="Y143" s="479"/>
      <c r="Z143" s="477"/>
      <c r="AA143" s="478"/>
      <c r="AB143" s="479"/>
      <c r="AC143" s="488"/>
      <c r="AD143" s="454"/>
      <c r="AE143" s="560"/>
      <c r="AF143" s="560"/>
      <c r="AG143" s="561"/>
      <c r="AH143" s="562"/>
      <c r="AI143" s="563"/>
      <c r="AJ143" s="564"/>
      <c r="AK143" s="562"/>
      <c r="AL143" s="563"/>
      <c r="AM143" s="564"/>
      <c r="AN143" s="562"/>
      <c r="AO143" s="563"/>
      <c r="AP143" s="564"/>
      <c r="AQ143" s="562"/>
      <c r="AR143" s="563"/>
      <c r="AS143" s="564"/>
      <c r="AT143" s="562"/>
      <c r="AU143" s="563"/>
      <c r="AV143" s="564"/>
      <c r="AW143" s="562"/>
      <c r="AX143" s="563"/>
      <c r="AY143" s="564"/>
      <c r="AZ143" s="565"/>
      <c r="BA143" s="566"/>
      <c r="BB143" s="567"/>
      <c r="BC143" s="568"/>
      <c r="BD143" s="568"/>
      <c r="BE143" s="568"/>
      <c r="BF143" s="568"/>
      <c r="BG143" s="568"/>
      <c r="BH143" s="568"/>
      <c r="BI143" s="560"/>
    </row>
    <row r="144" spans="1:61" s="569" customFormat="1" ht="19.5" hidden="1" customHeight="1" thickBot="1">
      <c r="A144" s="739"/>
      <c r="B144" s="742"/>
      <c r="C144" s="670"/>
      <c r="D144" s="671"/>
      <c r="E144" s="534"/>
      <c r="F144" s="382"/>
      <c r="G144" s="626"/>
      <c r="H144" s="459"/>
      <c r="I144" s="148"/>
      <c r="J144" s="149"/>
      <c r="K144" s="150"/>
      <c r="L144" s="478"/>
      <c r="M144" s="457"/>
      <c r="N144" s="488"/>
      <c r="O144" s="486"/>
      <c r="P144" s="457"/>
      <c r="Q144" s="477"/>
      <c r="R144" s="478"/>
      <c r="S144" s="457"/>
      <c r="T144" s="477"/>
      <c r="U144" s="478"/>
      <c r="V144" s="457"/>
      <c r="W144" s="477"/>
      <c r="X144" s="478"/>
      <c r="Y144" s="479"/>
      <c r="Z144" s="477"/>
      <c r="AA144" s="478"/>
      <c r="AB144" s="479"/>
      <c r="AC144" s="488"/>
      <c r="AD144" s="454"/>
      <c r="AE144" s="560"/>
      <c r="AF144" s="560"/>
      <c r="AG144" s="561"/>
      <c r="AH144" s="562"/>
      <c r="AI144" s="563"/>
      <c r="AJ144" s="564"/>
      <c r="AK144" s="562"/>
      <c r="AL144" s="563"/>
      <c r="AM144" s="564"/>
      <c r="AN144" s="562"/>
      <c r="AO144" s="563"/>
      <c r="AP144" s="564"/>
      <c r="AQ144" s="562"/>
      <c r="AR144" s="563"/>
      <c r="AS144" s="564"/>
      <c r="AT144" s="562"/>
      <c r="AU144" s="563"/>
      <c r="AV144" s="564"/>
      <c r="AW144" s="562"/>
      <c r="AX144" s="563"/>
      <c r="AY144" s="564"/>
      <c r="AZ144" s="565"/>
      <c r="BA144" s="566"/>
      <c r="BB144" s="567"/>
      <c r="BC144" s="568"/>
      <c r="BD144" s="568"/>
      <c r="BE144" s="568"/>
      <c r="BF144" s="568"/>
      <c r="BG144" s="568"/>
      <c r="BH144" s="568"/>
      <c r="BI144" s="560"/>
    </row>
    <row r="145" spans="1:61" s="569" customFormat="1" ht="19.5" hidden="1" customHeight="1" thickBot="1">
      <c r="A145" s="741"/>
      <c r="B145" s="742"/>
      <c r="C145" s="670"/>
      <c r="D145" s="671"/>
      <c r="E145" s="534"/>
      <c r="F145" s="382"/>
      <c r="G145" s="626"/>
      <c r="H145" s="459"/>
      <c r="I145" s="148"/>
      <c r="J145" s="149"/>
      <c r="K145" s="150"/>
      <c r="L145" s="478"/>
      <c r="M145" s="457"/>
      <c r="N145" s="488"/>
      <c r="O145" s="486"/>
      <c r="P145" s="457"/>
      <c r="Q145" s="477"/>
      <c r="R145" s="478"/>
      <c r="S145" s="457"/>
      <c r="T145" s="477"/>
      <c r="U145" s="478"/>
      <c r="V145" s="457"/>
      <c r="W145" s="477"/>
      <c r="X145" s="478"/>
      <c r="Y145" s="479"/>
      <c r="Z145" s="477"/>
      <c r="AA145" s="478"/>
      <c r="AB145" s="479"/>
      <c r="AC145" s="488"/>
      <c r="AD145" s="454"/>
      <c r="AE145" s="560"/>
      <c r="AF145" s="560"/>
      <c r="AG145" s="561"/>
      <c r="AH145" s="562"/>
      <c r="AI145" s="563"/>
      <c r="AJ145" s="564"/>
      <c r="AK145" s="562"/>
      <c r="AL145" s="563"/>
      <c r="AM145" s="564"/>
      <c r="AN145" s="562"/>
      <c r="AO145" s="563"/>
      <c r="AP145" s="564"/>
      <c r="AQ145" s="562"/>
      <c r="AR145" s="563"/>
      <c r="AS145" s="564"/>
      <c r="AT145" s="562"/>
      <c r="AU145" s="563"/>
      <c r="AV145" s="564"/>
      <c r="AW145" s="562"/>
      <c r="AX145" s="563"/>
      <c r="AY145" s="564"/>
      <c r="AZ145" s="565"/>
      <c r="BA145" s="566"/>
      <c r="BB145" s="567"/>
      <c r="BC145" s="568"/>
      <c r="BD145" s="568"/>
      <c r="BE145" s="568"/>
      <c r="BF145" s="568"/>
      <c r="BG145" s="568"/>
      <c r="BH145" s="568"/>
      <c r="BI145" s="560"/>
    </row>
    <row r="146" spans="1:61" s="569" customFormat="1" ht="19.5" hidden="1" customHeight="1" thickBot="1">
      <c r="A146" s="741"/>
      <c r="B146" s="742"/>
      <c r="C146" s="670"/>
      <c r="D146" s="671"/>
      <c r="E146" s="534"/>
      <c r="F146" s="382"/>
      <c r="G146" s="626"/>
      <c r="H146" s="459"/>
      <c r="I146" s="148"/>
      <c r="J146" s="149"/>
      <c r="K146" s="150"/>
      <c r="L146" s="478"/>
      <c r="M146" s="457"/>
      <c r="N146" s="488"/>
      <c r="O146" s="486"/>
      <c r="P146" s="457"/>
      <c r="Q146" s="477"/>
      <c r="R146" s="478"/>
      <c r="S146" s="457"/>
      <c r="T146" s="477"/>
      <c r="U146" s="478"/>
      <c r="V146" s="457"/>
      <c r="W146" s="477"/>
      <c r="X146" s="478"/>
      <c r="Y146" s="479"/>
      <c r="Z146" s="477"/>
      <c r="AA146" s="478"/>
      <c r="AB146" s="479"/>
      <c r="AC146" s="488"/>
      <c r="AD146" s="454"/>
      <c r="AE146" s="560"/>
      <c r="AF146" s="560"/>
      <c r="AG146" s="561"/>
      <c r="AH146" s="562"/>
      <c r="AI146" s="563"/>
      <c r="AJ146" s="564"/>
      <c r="AK146" s="562"/>
      <c r="AL146" s="563"/>
      <c r="AM146" s="564"/>
      <c r="AN146" s="562"/>
      <c r="AO146" s="563"/>
      <c r="AP146" s="564"/>
      <c r="AQ146" s="562"/>
      <c r="AR146" s="563"/>
      <c r="AS146" s="564"/>
      <c r="AT146" s="562"/>
      <c r="AU146" s="563"/>
      <c r="AV146" s="564"/>
      <c r="AW146" s="562"/>
      <c r="AX146" s="563"/>
      <c r="AY146" s="564"/>
      <c r="AZ146" s="565"/>
      <c r="BA146" s="566"/>
      <c r="BB146" s="567"/>
      <c r="BC146" s="568"/>
      <c r="BD146" s="568"/>
      <c r="BE146" s="568"/>
      <c r="BF146" s="568"/>
      <c r="BG146" s="568"/>
      <c r="BH146" s="568"/>
      <c r="BI146" s="560"/>
    </row>
    <row r="147" spans="1:61" s="569" customFormat="1" ht="19.5" hidden="1" customHeight="1" thickBot="1">
      <c r="A147" s="741"/>
      <c r="B147" s="742"/>
      <c r="C147" s="670"/>
      <c r="D147" s="671"/>
      <c r="E147" s="534"/>
      <c r="F147" s="382"/>
      <c r="G147" s="626"/>
      <c r="H147" s="459"/>
      <c r="I147" s="148"/>
      <c r="J147" s="149"/>
      <c r="K147" s="150"/>
      <c r="L147" s="478"/>
      <c r="M147" s="457"/>
      <c r="N147" s="488"/>
      <c r="O147" s="486"/>
      <c r="P147" s="457"/>
      <c r="Q147" s="477"/>
      <c r="R147" s="478"/>
      <c r="S147" s="457"/>
      <c r="T147" s="477"/>
      <c r="U147" s="478"/>
      <c r="V147" s="457"/>
      <c r="W147" s="477"/>
      <c r="X147" s="478"/>
      <c r="Y147" s="479"/>
      <c r="Z147" s="477"/>
      <c r="AA147" s="478"/>
      <c r="AB147" s="479"/>
      <c r="AC147" s="488"/>
      <c r="AD147" s="454"/>
      <c r="AE147" s="560"/>
      <c r="AF147" s="560"/>
      <c r="AG147" s="561"/>
      <c r="AH147" s="562"/>
      <c r="AI147" s="563"/>
      <c r="AJ147" s="564"/>
      <c r="AK147" s="562"/>
      <c r="AL147" s="563"/>
      <c r="AM147" s="564"/>
      <c r="AN147" s="562"/>
      <c r="AO147" s="563"/>
      <c r="AP147" s="564"/>
      <c r="AQ147" s="562"/>
      <c r="AR147" s="563"/>
      <c r="AS147" s="564"/>
      <c r="AT147" s="562"/>
      <c r="AU147" s="563"/>
      <c r="AV147" s="564"/>
      <c r="AW147" s="562"/>
      <c r="AX147" s="563"/>
      <c r="AY147" s="564"/>
      <c r="AZ147" s="565"/>
      <c r="BA147" s="566"/>
      <c r="BB147" s="567"/>
      <c r="BC147" s="568"/>
      <c r="BD147" s="568"/>
      <c r="BE147" s="568"/>
      <c r="BF147" s="568"/>
      <c r="BG147" s="568"/>
      <c r="BH147" s="568"/>
      <c r="BI147" s="560"/>
    </row>
    <row r="148" spans="1:61" s="569" customFormat="1" ht="19.5" hidden="1" customHeight="1" thickBot="1">
      <c r="A148" s="741"/>
      <c r="B148" s="742"/>
      <c r="C148" s="670"/>
      <c r="D148" s="671"/>
      <c r="E148" s="534"/>
      <c r="F148" s="382"/>
      <c r="G148" s="626"/>
      <c r="H148" s="459"/>
      <c r="I148" s="148"/>
      <c r="J148" s="149"/>
      <c r="K148" s="150"/>
      <c r="L148" s="478"/>
      <c r="M148" s="457"/>
      <c r="N148" s="488"/>
      <c r="O148" s="486"/>
      <c r="P148" s="457"/>
      <c r="Q148" s="477"/>
      <c r="R148" s="478"/>
      <c r="S148" s="457"/>
      <c r="T148" s="477"/>
      <c r="U148" s="478"/>
      <c r="V148" s="457"/>
      <c r="W148" s="477"/>
      <c r="X148" s="478"/>
      <c r="Y148" s="479"/>
      <c r="Z148" s="477"/>
      <c r="AA148" s="478"/>
      <c r="AB148" s="479"/>
      <c r="AC148" s="488"/>
      <c r="AD148" s="454"/>
      <c r="AE148" s="560"/>
      <c r="AF148" s="560"/>
      <c r="AG148" s="561"/>
      <c r="AH148" s="562"/>
      <c r="AI148" s="563"/>
      <c r="AJ148" s="564"/>
      <c r="AK148" s="562"/>
      <c r="AL148" s="563"/>
      <c r="AM148" s="564"/>
      <c r="AN148" s="562"/>
      <c r="AO148" s="563"/>
      <c r="AP148" s="564"/>
      <c r="AQ148" s="562"/>
      <c r="AR148" s="563"/>
      <c r="AS148" s="564"/>
      <c r="AT148" s="562"/>
      <c r="AU148" s="563"/>
      <c r="AV148" s="564"/>
      <c r="AW148" s="562"/>
      <c r="AX148" s="563"/>
      <c r="AY148" s="564"/>
      <c r="AZ148" s="565"/>
      <c r="BA148" s="566"/>
      <c r="BB148" s="567"/>
      <c r="BC148" s="568"/>
      <c r="BD148" s="568"/>
      <c r="BE148" s="568"/>
      <c r="BF148" s="568"/>
      <c r="BG148" s="568"/>
      <c r="BH148" s="568"/>
      <c r="BI148" s="560"/>
    </row>
    <row r="149" spans="1:61" s="569" customFormat="1" ht="19.5" hidden="1" customHeight="1" thickBot="1">
      <c r="A149" s="741"/>
      <c r="B149" s="742"/>
      <c r="C149" s="670"/>
      <c r="D149" s="671"/>
      <c r="E149" s="534"/>
      <c r="F149" s="382"/>
      <c r="G149" s="626"/>
      <c r="H149" s="459"/>
      <c r="I149" s="148"/>
      <c r="J149" s="149"/>
      <c r="K149" s="150"/>
      <c r="L149" s="478"/>
      <c r="M149" s="457"/>
      <c r="N149" s="488"/>
      <c r="O149" s="486"/>
      <c r="P149" s="457"/>
      <c r="Q149" s="477"/>
      <c r="R149" s="478"/>
      <c r="S149" s="457"/>
      <c r="T149" s="477"/>
      <c r="U149" s="478"/>
      <c r="V149" s="457"/>
      <c r="W149" s="477"/>
      <c r="X149" s="478"/>
      <c r="Y149" s="479"/>
      <c r="Z149" s="477"/>
      <c r="AA149" s="478"/>
      <c r="AB149" s="479"/>
      <c r="AC149" s="488"/>
      <c r="AD149" s="454"/>
      <c r="AE149" s="560"/>
      <c r="AF149" s="560"/>
      <c r="AG149" s="561"/>
      <c r="AH149" s="562"/>
      <c r="AI149" s="563"/>
      <c r="AJ149" s="564"/>
      <c r="AK149" s="562"/>
      <c r="AL149" s="563"/>
      <c r="AM149" s="564"/>
      <c r="AN149" s="562"/>
      <c r="AO149" s="563"/>
      <c r="AP149" s="564"/>
      <c r="AQ149" s="562"/>
      <c r="AR149" s="563"/>
      <c r="AS149" s="564"/>
      <c r="AT149" s="562"/>
      <c r="AU149" s="563"/>
      <c r="AV149" s="564"/>
      <c r="AW149" s="562"/>
      <c r="AX149" s="563"/>
      <c r="AY149" s="564"/>
      <c r="AZ149" s="565"/>
      <c r="BA149" s="566"/>
      <c r="BB149" s="567"/>
      <c r="BC149" s="568"/>
      <c r="BD149" s="568"/>
      <c r="BE149" s="568"/>
      <c r="BF149" s="568"/>
      <c r="BG149" s="568"/>
      <c r="BH149" s="568"/>
      <c r="BI149" s="560"/>
    </row>
    <row r="150" spans="1:61" s="569" customFormat="1" ht="19.5" hidden="1" customHeight="1" thickBot="1">
      <c r="A150" s="741"/>
      <c r="B150" s="742"/>
      <c r="C150" s="670"/>
      <c r="D150" s="671"/>
      <c r="E150" s="534"/>
      <c r="F150" s="382"/>
      <c r="G150" s="626"/>
      <c r="H150" s="459"/>
      <c r="I150" s="148"/>
      <c r="J150" s="149"/>
      <c r="K150" s="150"/>
      <c r="L150" s="478"/>
      <c r="M150" s="457"/>
      <c r="N150" s="488"/>
      <c r="O150" s="486"/>
      <c r="P150" s="457"/>
      <c r="Q150" s="477"/>
      <c r="R150" s="478"/>
      <c r="S150" s="457"/>
      <c r="T150" s="477"/>
      <c r="U150" s="478"/>
      <c r="V150" s="457"/>
      <c r="W150" s="477"/>
      <c r="X150" s="478"/>
      <c r="Y150" s="479"/>
      <c r="Z150" s="477"/>
      <c r="AA150" s="478"/>
      <c r="AB150" s="479"/>
      <c r="AC150" s="488"/>
      <c r="AD150" s="454"/>
      <c r="AE150" s="560"/>
      <c r="AF150" s="560"/>
      <c r="AG150" s="561"/>
      <c r="AH150" s="562"/>
      <c r="AI150" s="563"/>
      <c r="AJ150" s="564"/>
      <c r="AK150" s="562"/>
      <c r="AL150" s="563"/>
      <c r="AM150" s="564"/>
      <c r="AN150" s="562"/>
      <c r="AO150" s="563"/>
      <c r="AP150" s="564"/>
      <c r="AQ150" s="562"/>
      <c r="AR150" s="563"/>
      <c r="AS150" s="564"/>
      <c r="AT150" s="562"/>
      <c r="AU150" s="563"/>
      <c r="AV150" s="564"/>
      <c r="AW150" s="562"/>
      <c r="AX150" s="563"/>
      <c r="AY150" s="564"/>
      <c r="AZ150" s="565"/>
      <c r="BA150" s="566"/>
      <c r="BB150" s="567"/>
      <c r="BC150" s="568"/>
      <c r="BD150" s="568"/>
      <c r="BE150" s="568"/>
      <c r="BF150" s="568"/>
      <c r="BG150" s="568"/>
      <c r="BH150" s="568"/>
      <c r="BI150" s="560"/>
    </row>
    <row r="151" spans="1:61" s="569" customFormat="1" ht="19.5" hidden="1" customHeight="1" thickBot="1">
      <c r="A151" s="741"/>
      <c r="B151" s="742"/>
      <c r="C151" s="670"/>
      <c r="D151" s="671"/>
      <c r="E151" s="534"/>
      <c r="F151" s="382"/>
      <c r="G151" s="626"/>
      <c r="H151" s="459"/>
      <c r="I151" s="148"/>
      <c r="J151" s="149"/>
      <c r="K151" s="150"/>
      <c r="L151" s="478"/>
      <c r="M151" s="457"/>
      <c r="N151" s="488"/>
      <c r="O151" s="486"/>
      <c r="P151" s="457"/>
      <c r="Q151" s="477"/>
      <c r="R151" s="478"/>
      <c r="S151" s="457"/>
      <c r="T151" s="477"/>
      <c r="U151" s="478"/>
      <c r="V151" s="457"/>
      <c r="W151" s="477"/>
      <c r="X151" s="478"/>
      <c r="Y151" s="479"/>
      <c r="Z151" s="477"/>
      <c r="AA151" s="478"/>
      <c r="AB151" s="479"/>
      <c r="AC151" s="488"/>
      <c r="AD151" s="454"/>
      <c r="AE151" s="560"/>
      <c r="AF151" s="560"/>
      <c r="AG151" s="561"/>
      <c r="AH151" s="562"/>
      <c r="AI151" s="563"/>
      <c r="AJ151" s="564"/>
      <c r="AK151" s="562"/>
      <c r="AL151" s="563"/>
      <c r="AM151" s="564"/>
      <c r="AN151" s="562"/>
      <c r="AO151" s="563"/>
      <c r="AP151" s="564"/>
      <c r="AQ151" s="562"/>
      <c r="AR151" s="563"/>
      <c r="AS151" s="564"/>
      <c r="AT151" s="562"/>
      <c r="AU151" s="563"/>
      <c r="AV151" s="564"/>
      <c r="AW151" s="562"/>
      <c r="AX151" s="563"/>
      <c r="AY151" s="564"/>
      <c r="AZ151" s="565"/>
      <c r="BA151" s="566"/>
      <c r="BB151" s="567"/>
      <c r="BC151" s="568"/>
      <c r="BD151" s="568"/>
      <c r="BE151" s="568"/>
      <c r="BF151" s="568"/>
      <c r="BG151" s="568"/>
      <c r="BH151" s="568"/>
      <c r="BI151" s="560"/>
    </row>
    <row r="152" spans="1:61" s="569" customFormat="1" ht="19.5" hidden="1" customHeight="1" thickBot="1">
      <c r="A152" s="741"/>
      <c r="B152" s="742"/>
      <c r="C152" s="670"/>
      <c r="D152" s="671"/>
      <c r="E152" s="534"/>
      <c r="F152" s="382"/>
      <c r="G152" s="626"/>
      <c r="H152" s="459"/>
      <c r="I152" s="148"/>
      <c r="J152" s="149"/>
      <c r="K152" s="150"/>
      <c r="L152" s="478"/>
      <c r="M152" s="457"/>
      <c r="N152" s="488"/>
      <c r="O152" s="486"/>
      <c r="P152" s="457"/>
      <c r="Q152" s="477"/>
      <c r="R152" s="478"/>
      <c r="S152" s="457"/>
      <c r="T152" s="477"/>
      <c r="U152" s="478"/>
      <c r="V152" s="457"/>
      <c r="W152" s="477"/>
      <c r="X152" s="478"/>
      <c r="Y152" s="479"/>
      <c r="Z152" s="477"/>
      <c r="AA152" s="478"/>
      <c r="AB152" s="479"/>
      <c r="AC152" s="488"/>
      <c r="AD152" s="454"/>
      <c r="AE152" s="560"/>
      <c r="AF152" s="560"/>
      <c r="AG152" s="561"/>
      <c r="AH152" s="562"/>
      <c r="AI152" s="563"/>
      <c r="AJ152" s="564"/>
      <c r="AK152" s="562"/>
      <c r="AL152" s="563"/>
      <c r="AM152" s="564"/>
      <c r="AN152" s="562"/>
      <c r="AO152" s="563"/>
      <c r="AP152" s="564"/>
      <c r="AQ152" s="562"/>
      <c r="AR152" s="563"/>
      <c r="AS152" s="564"/>
      <c r="AT152" s="562"/>
      <c r="AU152" s="563"/>
      <c r="AV152" s="564"/>
      <c r="AW152" s="562"/>
      <c r="AX152" s="563"/>
      <c r="AY152" s="564"/>
      <c r="AZ152" s="565"/>
      <c r="BA152" s="566"/>
      <c r="BB152" s="567"/>
      <c r="BC152" s="568"/>
      <c r="BD152" s="568"/>
      <c r="BE152" s="568"/>
      <c r="BF152" s="568"/>
      <c r="BG152" s="568"/>
      <c r="BH152" s="568"/>
      <c r="BI152" s="560"/>
    </row>
    <row r="153" spans="1:61" s="569" customFormat="1" ht="19.5" hidden="1" customHeight="1" thickBot="1">
      <c r="A153" s="743"/>
      <c r="B153" s="709"/>
      <c r="C153" s="670"/>
      <c r="D153" s="671"/>
      <c r="E153" s="534"/>
      <c r="F153" s="382"/>
      <c r="G153" s="626"/>
      <c r="H153" s="459"/>
      <c r="I153" s="148"/>
      <c r="J153" s="149"/>
      <c r="K153" s="150"/>
      <c r="L153" s="478"/>
      <c r="M153" s="457"/>
      <c r="N153" s="488"/>
      <c r="O153" s="486"/>
      <c r="P153" s="457"/>
      <c r="Q153" s="477"/>
      <c r="R153" s="478"/>
      <c r="S153" s="457"/>
      <c r="T153" s="477"/>
      <c r="U153" s="478"/>
      <c r="V153" s="457"/>
      <c r="W153" s="477"/>
      <c r="X153" s="478"/>
      <c r="Y153" s="479"/>
      <c r="Z153" s="477"/>
      <c r="AA153" s="478"/>
      <c r="AB153" s="479"/>
      <c r="AC153" s="488"/>
      <c r="AD153" s="454"/>
      <c r="AE153" s="560"/>
      <c r="AF153" s="560"/>
      <c r="AG153" s="561"/>
      <c r="AH153" s="562"/>
      <c r="AI153" s="563"/>
      <c r="AJ153" s="564"/>
      <c r="AK153" s="562"/>
      <c r="AL153" s="563"/>
      <c r="AM153" s="564"/>
      <c r="AN153" s="562"/>
      <c r="AO153" s="563"/>
      <c r="AP153" s="564"/>
      <c r="AQ153" s="562"/>
      <c r="AR153" s="563"/>
      <c r="AS153" s="564"/>
      <c r="AT153" s="562"/>
      <c r="AU153" s="563"/>
      <c r="AV153" s="564"/>
      <c r="AW153" s="562"/>
      <c r="AX153" s="563"/>
      <c r="AY153" s="564"/>
      <c r="AZ153" s="565"/>
      <c r="BA153" s="566"/>
      <c r="BB153" s="567"/>
      <c r="BC153" s="568"/>
      <c r="BD153" s="568"/>
      <c r="BE153" s="568"/>
      <c r="BF153" s="568"/>
      <c r="BG153" s="568"/>
      <c r="BH153" s="568"/>
      <c r="BI153" s="560"/>
    </row>
    <row r="154" spans="1:61" s="569" customFormat="1" ht="19.5" hidden="1" customHeight="1" thickBot="1">
      <c r="A154" s="735"/>
      <c r="B154" s="713"/>
      <c r="C154" s="670"/>
      <c r="D154" s="671"/>
      <c r="E154" s="534"/>
      <c r="F154" s="382"/>
      <c r="G154" s="626"/>
      <c r="H154" s="459"/>
      <c r="I154" s="148"/>
      <c r="J154" s="149"/>
      <c r="K154" s="150"/>
      <c r="L154" s="478"/>
      <c r="M154" s="457"/>
      <c r="N154" s="488"/>
      <c r="O154" s="486"/>
      <c r="P154" s="457"/>
      <c r="Q154" s="477"/>
      <c r="R154" s="478"/>
      <c r="S154" s="457"/>
      <c r="T154" s="477"/>
      <c r="U154" s="478"/>
      <c r="V154" s="457"/>
      <c r="W154" s="477"/>
      <c r="X154" s="478"/>
      <c r="Y154" s="479"/>
      <c r="Z154" s="477"/>
      <c r="AA154" s="478"/>
      <c r="AB154" s="479"/>
      <c r="AC154" s="488"/>
      <c r="AD154" s="454"/>
      <c r="AE154" s="560"/>
      <c r="AF154" s="560"/>
      <c r="AG154" s="561"/>
      <c r="AH154" s="562"/>
      <c r="AI154" s="563"/>
      <c r="AJ154" s="564"/>
      <c r="AK154" s="562"/>
      <c r="AL154" s="563"/>
      <c r="AM154" s="564"/>
      <c r="AN154" s="562"/>
      <c r="AO154" s="563"/>
      <c r="AP154" s="564"/>
      <c r="AQ154" s="562"/>
      <c r="AR154" s="563"/>
      <c r="AS154" s="564"/>
      <c r="AT154" s="562"/>
      <c r="AU154" s="563"/>
      <c r="AV154" s="564"/>
      <c r="AW154" s="562"/>
      <c r="AX154" s="563"/>
      <c r="AY154" s="564"/>
      <c r="AZ154" s="565"/>
      <c r="BA154" s="566"/>
      <c r="BB154" s="567"/>
      <c r="BC154" s="568"/>
      <c r="BD154" s="568"/>
      <c r="BE154" s="568"/>
      <c r="BF154" s="568"/>
      <c r="BG154" s="568"/>
      <c r="BH154" s="568"/>
      <c r="BI154" s="560"/>
    </row>
    <row r="155" spans="1:61" s="569" customFormat="1" ht="19.5" hidden="1" customHeight="1" thickBot="1">
      <c r="A155" s="712"/>
      <c r="B155" s="713"/>
      <c r="C155" s="670"/>
      <c r="D155" s="671"/>
      <c r="E155" s="534"/>
      <c r="F155" s="382"/>
      <c r="G155" s="626"/>
      <c r="H155" s="459"/>
      <c r="I155" s="148"/>
      <c r="J155" s="149"/>
      <c r="K155" s="150"/>
      <c r="L155" s="478"/>
      <c r="M155" s="457"/>
      <c r="N155" s="488"/>
      <c r="O155" s="486"/>
      <c r="P155" s="457"/>
      <c r="Q155" s="477"/>
      <c r="R155" s="478"/>
      <c r="S155" s="457"/>
      <c r="T155" s="477"/>
      <c r="U155" s="478"/>
      <c r="V155" s="457"/>
      <c r="W155" s="477"/>
      <c r="X155" s="478"/>
      <c r="Y155" s="479"/>
      <c r="Z155" s="477"/>
      <c r="AA155" s="478"/>
      <c r="AB155" s="479"/>
      <c r="AC155" s="488"/>
      <c r="AD155" s="454"/>
      <c r="AE155" s="560"/>
      <c r="AF155" s="560"/>
      <c r="AG155" s="561"/>
      <c r="AH155" s="562"/>
      <c r="AI155" s="563"/>
      <c r="AJ155" s="564"/>
      <c r="AK155" s="562"/>
      <c r="AL155" s="563"/>
      <c r="AM155" s="564"/>
      <c r="AN155" s="562"/>
      <c r="AO155" s="563"/>
      <c r="AP155" s="564"/>
      <c r="AQ155" s="562"/>
      <c r="AR155" s="563"/>
      <c r="AS155" s="564"/>
      <c r="AT155" s="562"/>
      <c r="AU155" s="563"/>
      <c r="AV155" s="564"/>
      <c r="AW155" s="562"/>
      <c r="AX155" s="563"/>
      <c r="AY155" s="564"/>
      <c r="AZ155" s="565"/>
      <c r="BA155" s="566"/>
      <c r="BB155" s="567"/>
      <c r="BC155" s="568"/>
      <c r="BD155" s="568"/>
      <c r="BE155" s="568"/>
      <c r="BF155" s="568"/>
      <c r="BG155" s="568"/>
      <c r="BH155" s="568"/>
      <c r="BI155" s="560"/>
    </row>
    <row r="156" spans="1:61" s="579" customFormat="1" ht="19.5" hidden="1" customHeight="1" thickBot="1">
      <c r="A156" s="667"/>
      <c r="B156" s="709"/>
      <c r="C156" s="581"/>
      <c r="D156" s="490"/>
      <c r="E156" s="499"/>
      <c r="F156" s="394"/>
      <c r="G156" s="501"/>
      <c r="H156" s="458"/>
      <c r="I156" s="397"/>
      <c r="J156" s="398"/>
      <c r="K156" s="399"/>
      <c r="L156" s="491"/>
      <c r="M156" s="492"/>
      <c r="N156" s="493"/>
      <c r="O156" s="494"/>
      <c r="P156" s="492"/>
      <c r="Q156" s="495"/>
      <c r="R156" s="491"/>
      <c r="S156" s="492"/>
      <c r="T156" s="495"/>
      <c r="U156" s="491"/>
      <c r="V156" s="492"/>
      <c r="W156" s="495"/>
      <c r="X156" s="491"/>
      <c r="Y156" s="496"/>
      <c r="Z156" s="495"/>
      <c r="AA156" s="491"/>
      <c r="AB156" s="496"/>
      <c r="AC156" s="493"/>
      <c r="AD156" s="497"/>
      <c r="AE156" s="570"/>
      <c r="AF156" s="570"/>
      <c r="AG156" s="571"/>
      <c r="AH156" s="572"/>
      <c r="AI156" s="573"/>
      <c r="AJ156" s="574"/>
      <c r="AK156" s="572"/>
      <c r="AL156" s="573"/>
      <c r="AM156" s="574"/>
      <c r="AN156" s="572"/>
      <c r="AO156" s="573"/>
      <c r="AP156" s="574"/>
      <c r="AQ156" s="572"/>
      <c r="AR156" s="573"/>
      <c r="AS156" s="574"/>
      <c r="AT156" s="572"/>
      <c r="AU156" s="573"/>
      <c r="AV156" s="574"/>
      <c r="AW156" s="572"/>
      <c r="AX156" s="573"/>
      <c r="AY156" s="574"/>
      <c r="AZ156" s="575"/>
      <c r="BA156" s="576"/>
      <c r="BB156" s="577"/>
      <c r="BC156" s="578"/>
      <c r="BD156" s="578"/>
      <c r="BE156" s="578"/>
      <c r="BF156" s="578"/>
      <c r="BG156" s="578"/>
      <c r="BH156" s="578"/>
      <c r="BI156" s="570"/>
    </row>
    <row r="157" spans="1:61" ht="20.100000000000001" customHeight="1" thickBot="1">
      <c r="A157" s="316"/>
      <c r="B157" s="1494" t="s">
        <v>63</v>
      </c>
      <c r="C157" s="1495"/>
      <c r="D157" s="1495"/>
      <c r="E157" s="1495"/>
      <c r="F157" s="1495"/>
      <c r="G157" s="1495"/>
      <c r="H157" s="1496"/>
      <c r="I157" s="554">
        <f>SUM(I76:I106)</f>
        <v>2419.1456366666666</v>
      </c>
      <c r="J157" s="554">
        <f t="shared" ref="J157:AD157" si="143">SUM(J76:J106)</f>
        <v>9937.6804500000017</v>
      </c>
      <c r="K157" s="554">
        <f t="shared" si="143"/>
        <v>9613.0687800000014</v>
      </c>
      <c r="L157" s="554">
        <f t="shared" si="143"/>
        <v>2094.5339666666664</v>
      </c>
      <c r="M157" s="554">
        <f t="shared" si="143"/>
        <v>7389.6063899999999</v>
      </c>
      <c r="N157" s="554">
        <f t="shared" si="143"/>
        <v>7115.7318799999994</v>
      </c>
      <c r="O157" s="554">
        <f t="shared" si="143"/>
        <v>1820.6594566666668</v>
      </c>
      <c r="P157" s="554">
        <f t="shared" si="143"/>
        <v>7315.4804000000004</v>
      </c>
      <c r="Q157" s="554">
        <f t="shared" si="143"/>
        <v>8542.2688500000004</v>
      </c>
      <c r="R157" s="554">
        <f t="shared" si="143"/>
        <v>3047.4479066666668</v>
      </c>
      <c r="S157" s="554">
        <f t="shared" si="143"/>
        <v>8287.4349000000002</v>
      </c>
      <c r="T157" s="554">
        <f t="shared" si="143"/>
        <v>7380.2129200000008</v>
      </c>
      <c r="U157" s="554">
        <f t="shared" si="143"/>
        <v>2140.2259266666665</v>
      </c>
      <c r="V157" s="554">
        <f t="shared" si="143"/>
        <v>8944.2967100000005</v>
      </c>
      <c r="W157" s="554">
        <f t="shared" si="143"/>
        <v>8019.6904000000004</v>
      </c>
      <c r="X157" s="554">
        <f t="shared" si="143"/>
        <v>1215.6196166666666</v>
      </c>
      <c r="Y157" s="554">
        <f t="shared" si="143"/>
        <v>7058.3194699999995</v>
      </c>
      <c r="Z157" s="554">
        <f t="shared" si="143"/>
        <v>7593.5756900000006</v>
      </c>
      <c r="AA157" s="554">
        <f t="shared" si="143"/>
        <v>1750.8758366666668</v>
      </c>
      <c r="AB157" s="554">
        <f t="shared" si="143"/>
        <v>7058.3194699999995</v>
      </c>
      <c r="AC157" s="554">
        <f t="shared" si="143"/>
        <v>5326.8807300000017</v>
      </c>
      <c r="AD157" s="554">
        <f t="shared" si="143"/>
        <v>0</v>
      </c>
      <c r="AG157" s="555" t="e">
        <f>SUM(#REF!)</f>
        <v>#REF!</v>
      </c>
      <c r="AH157" s="556" t="e">
        <f>SUM(#REF!)</f>
        <v>#REF!</v>
      </c>
      <c r="AI157" s="557" t="e">
        <f>SUM(#REF!)</f>
        <v>#REF!</v>
      </c>
      <c r="AJ157" s="558" t="e">
        <f>SUM(#REF!)</f>
        <v>#REF!</v>
      </c>
      <c r="AK157" s="556" t="e">
        <f>SUM(#REF!)</f>
        <v>#REF!</v>
      </c>
      <c r="AL157" s="557" t="e">
        <f>SUM(#REF!)</f>
        <v>#REF!</v>
      </c>
      <c r="AM157" s="555" t="e">
        <f>SUM(#REF!)</f>
        <v>#REF!</v>
      </c>
      <c r="AN157" s="556" t="e">
        <f>SUM(#REF!)</f>
        <v>#REF!</v>
      </c>
      <c r="AO157" s="557" t="e">
        <f>SUM(#REF!)</f>
        <v>#REF!</v>
      </c>
      <c r="AP157" s="555" t="e">
        <f>SUM(#REF!)</f>
        <v>#REF!</v>
      </c>
      <c r="AQ157" s="556" t="e">
        <f>SUM(#REF!)</f>
        <v>#REF!</v>
      </c>
      <c r="AR157" s="557" t="e">
        <f>SUM(#REF!)</f>
        <v>#REF!</v>
      </c>
      <c r="AS157" s="555" t="e">
        <f>SUM(#REF!)</f>
        <v>#REF!</v>
      </c>
      <c r="AT157" s="556" t="e">
        <f>SUM(#REF!)</f>
        <v>#REF!</v>
      </c>
      <c r="AU157" s="557" t="e">
        <f>SUM(#REF!)</f>
        <v>#REF!</v>
      </c>
      <c r="AV157" s="555" t="e">
        <f>SUM(#REF!)</f>
        <v>#REF!</v>
      </c>
      <c r="AW157" s="556" t="e">
        <f>SUM(#REF!)</f>
        <v>#REF!</v>
      </c>
      <c r="AX157" s="557" t="e">
        <f>SUM(#REF!)</f>
        <v>#REF!</v>
      </c>
      <c r="AY157" s="555" t="e">
        <f>SUM(#REF!)</f>
        <v>#REF!</v>
      </c>
      <c r="AZ157" s="556" t="e">
        <f>SUM(#REF!)</f>
        <v>#REF!</v>
      </c>
      <c r="BA157" s="557" t="e">
        <f>SUM(#REF!)</f>
        <v>#REF!</v>
      </c>
      <c r="BB157" s="1" t="s">
        <v>64</v>
      </c>
      <c r="BC157" s="559">
        <f>ROUNDUP(N157/$BC$13,0)</f>
        <v>1779</v>
      </c>
      <c r="BD157" s="559">
        <f>ROUNDUP(Q157/$BD$13,0)</f>
        <v>1709</v>
      </c>
      <c r="BE157" s="559">
        <f>ROUNDUP(T157/$BE$13,0)</f>
        <v>1846</v>
      </c>
      <c r="BF157" s="559">
        <f>ROUNDUP(W157/$BF$13,0)</f>
        <v>1604</v>
      </c>
      <c r="BG157" s="559">
        <f>ROUNDUP(Z157/$BG$13,0)</f>
        <v>1899</v>
      </c>
      <c r="BH157" s="559">
        <f>ROUNDUP(AC157/$BH$13,0)</f>
        <v>1332</v>
      </c>
    </row>
    <row r="158" spans="1:61" ht="20.100000000000001" customHeight="1">
      <c r="B158" s="2"/>
      <c r="C158" s="28"/>
      <c r="D158" s="28"/>
      <c r="E158" s="28"/>
      <c r="F158" s="28"/>
      <c r="G158" s="28"/>
      <c r="H158" s="28"/>
      <c r="I158" s="29"/>
      <c r="J158" s="29"/>
      <c r="K158" s="29"/>
      <c r="L158" s="29"/>
      <c r="O158" s="29"/>
      <c r="P158" s="29"/>
      <c r="Q158" s="29"/>
      <c r="R158" s="29"/>
      <c r="U158" s="2"/>
      <c r="V158" s="2"/>
      <c r="W158" s="2"/>
      <c r="X158" s="2"/>
      <c r="Y158" s="2"/>
      <c r="Z158" s="2"/>
      <c r="AC158" s="1">
        <f>SUM(AC76:AC157)</f>
        <v>10653.761460000003</v>
      </c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61" ht="20.100000000000001" customHeight="1">
      <c r="B159" s="30" t="s">
        <v>26</v>
      </c>
      <c r="C159" s="31"/>
      <c r="D159" s="31"/>
      <c r="E159" s="31"/>
      <c r="F159" s="31"/>
      <c r="G159" s="31"/>
      <c r="H159" s="31"/>
      <c r="I159" s="32"/>
      <c r="J159" s="33"/>
      <c r="K159" s="34"/>
      <c r="L159" s="32"/>
      <c r="M159" s="35"/>
      <c r="O159" s="32"/>
      <c r="Q159" s="35"/>
      <c r="T159" s="35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61" ht="20.100000000000001" customHeight="1">
      <c r="B160" s="30"/>
      <c r="C160" s="31"/>
      <c r="D160" s="31"/>
      <c r="E160" s="31"/>
      <c r="F160" s="31"/>
      <c r="G160" s="31"/>
      <c r="H160" s="31"/>
      <c r="I160" s="32"/>
      <c r="J160" s="33"/>
      <c r="K160" s="34"/>
      <c r="L160" s="32"/>
      <c r="M160" s="35"/>
      <c r="O160" s="32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2:53" ht="36.75" hidden="1" customHeight="1" thickBot="1"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2:53" s="37" customFormat="1" ht="17.100000000000001" hidden="1" customHeight="1" thickBot="1">
      <c r="B162" s="36"/>
      <c r="C162" s="36"/>
      <c r="D162" s="36"/>
      <c r="E162" s="36"/>
      <c r="F162" s="1486"/>
      <c r="G162" s="1486"/>
      <c r="H162" s="1487"/>
      <c r="I162" s="1469" t="str">
        <f>I55</f>
        <v>FEB</v>
      </c>
      <c r="J162" s="1470"/>
      <c r="K162" s="1471"/>
      <c r="L162" s="1469" t="str">
        <f>L55</f>
        <v>MAR</v>
      </c>
      <c r="M162" s="1470"/>
      <c r="N162" s="1471"/>
      <c r="O162" s="1469" t="str">
        <f>O55</f>
        <v>APR</v>
      </c>
      <c r="P162" s="1470"/>
      <c r="Q162" s="1471"/>
      <c r="R162" s="1469" t="str">
        <f>R55</f>
        <v>MAY</v>
      </c>
      <c r="S162" s="1470"/>
      <c r="T162" s="1471"/>
      <c r="U162" s="1469" t="str">
        <f>U55</f>
        <v>JUN</v>
      </c>
      <c r="V162" s="1470"/>
      <c r="W162" s="1475"/>
      <c r="X162" s="1469" t="str">
        <f>X55</f>
        <v>JUL</v>
      </c>
      <c r="Y162" s="1470"/>
      <c r="Z162" s="1475"/>
      <c r="AA162" s="1469" t="str">
        <f>AA55</f>
        <v>AUG</v>
      </c>
      <c r="AB162" s="1470"/>
      <c r="AC162" s="1475"/>
    </row>
    <row r="163" spans="2:53" s="37" customFormat="1" ht="17.100000000000001" hidden="1" customHeight="1" thickBot="1">
      <c r="B163" s="36"/>
      <c r="C163" s="36"/>
      <c r="D163" s="36"/>
      <c r="E163" s="36"/>
      <c r="F163" s="1486"/>
      <c r="G163" s="1486"/>
      <c r="H163" s="1487"/>
      <c r="I163" s="1469">
        <f>'[7] Simulasi 358W'!G59/2</f>
        <v>200</v>
      </c>
      <c r="J163" s="1470"/>
      <c r="K163" s="1471"/>
      <c r="L163" s="1469">
        <f>'[7] Simulasi 358W'!J59/2</f>
        <v>200</v>
      </c>
      <c r="M163" s="1470"/>
      <c r="N163" s="1471"/>
      <c r="O163" s="1469">
        <f>'[7] Simulasi 358W'!M59/2</f>
        <v>200</v>
      </c>
      <c r="P163" s="1470"/>
      <c r="Q163" s="1471"/>
      <c r="R163" s="1469">
        <f>'[7] Simulasi 358W'!P59/2</f>
        <v>270</v>
      </c>
      <c r="S163" s="1470"/>
      <c r="T163" s="1471"/>
      <c r="U163" s="1469">
        <f>'[7] Simulasi 358W'!S59/2</f>
        <v>270</v>
      </c>
      <c r="V163" s="1470"/>
      <c r="W163" s="1471"/>
      <c r="X163" s="1469">
        <f>'[7] Simulasi 358W'!V59/2</f>
        <v>270</v>
      </c>
      <c r="Y163" s="1470"/>
      <c r="Z163" s="1471"/>
      <c r="AA163" s="1469" t="e">
        <f>'[7] Simulasi 358W'!Y59/2</f>
        <v>#REF!</v>
      </c>
      <c r="AB163" s="1470"/>
      <c r="AC163" s="1471"/>
    </row>
    <row r="164" spans="2:53" s="41" customFormat="1" ht="18" hidden="1" customHeight="1" thickBot="1">
      <c r="B164" s="38"/>
      <c r="C164" s="38"/>
      <c r="D164" s="38"/>
      <c r="E164" s="38"/>
      <c r="F164" s="1480"/>
      <c r="G164" s="1480"/>
      <c r="H164" s="1481"/>
      <c r="I164" s="39"/>
      <c r="J164" s="80">
        <f>J54/I163</f>
        <v>16.760000000000002</v>
      </c>
      <c r="K164" s="80">
        <f>K54/I163</f>
        <v>16.11</v>
      </c>
      <c r="L164" s="39"/>
      <c r="M164" s="39">
        <f>M54/L163</f>
        <v>12.39</v>
      </c>
      <c r="N164" s="39">
        <f>N54/L163</f>
        <v>12.06</v>
      </c>
      <c r="O164" s="39"/>
      <c r="P164" s="39">
        <f>P54/O163</f>
        <v>12.3</v>
      </c>
      <c r="Q164" s="39">
        <f>Q54/O163</f>
        <v>14.4</v>
      </c>
      <c r="R164" s="39"/>
      <c r="S164" s="39">
        <f>S54/R163</f>
        <v>10.377777777777778</v>
      </c>
      <c r="T164" s="39">
        <f>T54/R163</f>
        <v>9.2222222222222214</v>
      </c>
      <c r="U164" s="39"/>
      <c r="V164" s="39">
        <f>V54/U163</f>
        <v>11.2</v>
      </c>
      <c r="W164" s="40">
        <f>W54/U163</f>
        <v>9.9777777777777779</v>
      </c>
      <c r="X164" s="39"/>
      <c r="Y164" s="39">
        <f>Y54/X163</f>
        <v>8.844444444444445</v>
      </c>
      <c r="Z164" s="40">
        <f>Z54/X163</f>
        <v>9.5555555555555554</v>
      </c>
      <c r="AA164" s="39"/>
      <c r="AB164" s="39" t="e">
        <f>AB54/AA163</f>
        <v>#REF!</v>
      </c>
      <c r="AC164" s="40" t="e">
        <f>AC54/AA163</f>
        <v>#REF!</v>
      </c>
    </row>
    <row r="165" spans="2:53" s="42" customFormat="1" ht="6.75" hidden="1" customHeight="1" thickBot="1">
      <c r="D165" s="43"/>
      <c r="E165" s="43"/>
      <c r="F165" s="44"/>
      <c r="G165" s="44"/>
      <c r="H165" s="44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</row>
    <row r="166" spans="2:53" s="42" customFormat="1" ht="17.100000000000001" hidden="1" customHeight="1" thickBot="1">
      <c r="D166" s="43"/>
      <c r="E166" s="43"/>
      <c r="F166" s="44"/>
      <c r="G166" s="44"/>
      <c r="H166" s="44"/>
      <c r="I166" s="1472" t="str">
        <f>I162</f>
        <v>FEB</v>
      </c>
      <c r="J166" s="1473"/>
      <c r="K166" s="1476"/>
      <c r="L166" s="1472" t="str">
        <f>L162</f>
        <v>MAR</v>
      </c>
      <c r="M166" s="1473"/>
      <c r="N166" s="1476"/>
      <c r="O166" s="1472" t="str">
        <f>O162</f>
        <v>APR</v>
      </c>
      <c r="P166" s="1473"/>
      <c r="Q166" s="1476"/>
      <c r="R166" s="1472" t="str">
        <f>R162</f>
        <v>MAY</v>
      </c>
      <c r="S166" s="1473"/>
      <c r="T166" s="1476"/>
      <c r="U166" s="1472" t="str">
        <f>U162</f>
        <v>JUN</v>
      </c>
      <c r="V166" s="1473"/>
      <c r="W166" s="1474"/>
      <c r="X166" s="1472" t="str">
        <f>X162</f>
        <v>JUL</v>
      </c>
      <c r="Y166" s="1473"/>
      <c r="Z166" s="1474"/>
      <c r="AA166" s="1472" t="str">
        <f>AA162</f>
        <v>AUG</v>
      </c>
      <c r="AB166" s="1473"/>
      <c r="AC166" s="1474"/>
    </row>
    <row r="167" spans="2:53" s="37" customFormat="1" ht="17.100000000000001" hidden="1" customHeight="1" thickBot="1">
      <c r="F167" s="1486"/>
      <c r="G167" s="1486"/>
      <c r="H167" s="1490"/>
      <c r="I167" s="46"/>
      <c r="J167" s="47" t="s">
        <v>13</v>
      </c>
      <c r="K167" s="47" t="s">
        <v>14</v>
      </c>
      <c r="L167" s="46"/>
      <c r="M167" s="47" t="s">
        <v>13</v>
      </c>
      <c r="N167" s="47" t="s">
        <v>14</v>
      </c>
      <c r="O167" s="46"/>
      <c r="P167" s="47" t="s">
        <v>13</v>
      </c>
      <c r="Q167" s="47" t="s">
        <v>14</v>
      </c>
      <c r="R167" s="46"/>
      <c r="S167" s="47" t="s">
        <v>13</v>
      </c>
      <c r="T167" s="47" t="s">
        <v>14</v>
      </c>
      <c r="U167" s="46"/>
      <c r="V167" s="47" t="s">
        <v>13</v>
      </c>
      <c r="W167" s="48" t="s">
        <v>14</v>
      </c>
      <c r="X167" s="46"/>
      <c r="Y167" s="47" t="s">
        <v>13</v>
      </c>
      <c r="Z167" s="48" t="s">
        <v>14</v>
      </c>
      <c r="AA167" s="46"/>
      <c r="AB167" s="47" t="s">
        <v>13</v>
      </c>
      <c r="AC167" s="48" t="s">
        <v>14</v>
      </c>
    </row>
    <row r="168" spans="2:53" s="41" customFormat="1" ht="18" hidden="1" customHeight="1" thickBot="1">
      <c r="D168" s="49"/>
      <c r="E168" s="49"/>
      <c r="F168" s="1482"/>
      <c r="G168" s="1482"/>
      <c r="H168" s="1483"/>
      <c r="I168" s="50"/>
      <c r="J168" s="51">
        <f>+K164/I56</f>
        <v>0.84789473684210526</v>
      </c>
      <c r="K168" s="52">
        <f>+K164/(I56+I57)</f>
        <v>0.67125000000000001</v>
      </c>
      <c r="L168" s="50"/>
      <c r="M168" s="51">
        <f>+N164/L56</f>
        <v>0.70941176470588241</v>
      </c>
      <c r="N168" s="52">
        <f>+N164/(L56+L57)</f>
        <v>0.60299999999999998</v>
      </c>
      <c r="O168" s="50"/>
      <c r="P168" s="51">
        <f>+Q164/O56</f>
        <v>0.65454545454545454</v>
      </c>
      <c r="Q168" s="52">
        <f>+Q164/(O56+O57)</f>
        <v>0.6</v>
      </c>
      <c r="R168" s="50"/>
      <c r="S168" s="51">
        <f>+T164/R56</f>
        <v>0.51234567901234562</v>
      </c>
      <c r="T168" s="52">
        <f>+T164/(R56+R57)</f>
        <v>0.46111111111111108</v>
      </c>
      <c r="U168" s="50"/>
      <c r="V168" s="51">
        <f>+W164/U56</f>
        <v>0.43381642512077295</v>
      </c>
      <c r="W168" s="53">
        <f>+W164/(U56+U57)</f>
        <v>0.39911111111111114</v>
      </c>
      <c r="X168" s="50"/>
      <c r="Y168" s="51">
        <f>+Z164/X56</f>
        <v>0.43434343434343431</v>
      </c>
      <c r="Z168" s="53">
        <f>+Z164/(X56+X57)</f>
        <v>0.39814814814814814</v>
      </c>
      <c r="AA168" s="50"/>
      <c r="AB168" s="51" t="e">
        <f>+AC164/AA56</f>
        <v>#REF!</v>
      </c>
      <c r="AC168" s="53" t="e">
        <f>+AC164/(AA56+AA57)</f>
        <v>#REF!</v>
      </c>
    </row>
    <row r="169" spans="2:53" s="41" customFormat="1" ht="18" hidden="1" customHeight="1" thickBot="1">
      <c r="I169" s="54"/>
      <c r="J169" s="54">
        <f>SUM(J168:J168)</f>
        <v>0.84789473684210526</v>
      </c>
      <c r="K169" s="54">
        <f>SUM(K168:K168)</f>
        <v>0.67125000000000001</v>
      </c>
      <c r="L169" s="54"/>
      <c r="M169" s="54">
        <f>SUM(M168:M168)</f>
        <v>0.70941176470588241</v>
      </c>
      <c r="N169" s="54">
        <f>SUM(N168:N168)</f>
        <v>0.60299999999999998</v>
      </c>
      <c r="O169" s="54"/>
      <c r="P169" s="54">
        <f>SUM(P168:P168)</f>
        <v>0.65454545454545454</v>
      </c>
      <c r="Q169" s="54">
        <f>SUM(Q168:Q168)</f>
        <v>0.6</v>
      </c>
      <c r="R169" s="54"/>
      <c r="S169" s="54">
        <f>SUM(S168:S168)</f>
        <v>0.51234567901234562</v>
      </c>
      <c r="T169" s="54">
        <f>SUM(T168:T168)</f>
        <v>0.46111111111111108</v>
      </c>
      <c r="U169" s="54"/>
      <c r="V169" s="54">
        <f>SUM(V168:V168)</f>
        <v>0.43381642512077295</v>
      </c>
      <c r="W169" s="55">
        <f>SUM(W168:W168)</f>
        <v>0.39911111111111114</v>
      </c>
      <c r="X169" s="54"/>
      <c r="Y169" s="54">
        <f>SUM(Y168:Y168)</f>
        <v>0.43434343434343431</v>
      </c>
      <c r="Z169" s="55">
        <f>SUM(Z168:Z168)</f>
        <v>0.39814814814814814</v>
      </c>
      <c r="AA169" s="54"/>
      <c r="AB169" s="54" t="e">
        <f>SUM(AB168:AB168)</f>
        <v>#REF!</v>
      </c>
      <c r="AC169" s="55" t="e">
        <f>SUM(AC168:AC168)</f>
        <v>#REF!</v>
      </c>
    </row>
    <row r="170" spans="2:53" ht="24.75" hidden="1" customHeight="1" thickBot="1">
      <c r="B170" s="2"/>
      <c r="F170" s="1488"/>
      <c r="G170" s="1489"/>
      <c r="H170" s="56"/>
      <c r="I170" s="57" t="s">
        <v>121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"/>
      <c r="W170" s="1"/>
      <c r="X170" s="2"/>
      <c r="Y170" s="1"/>
      <c r="Z170" s="1"/>
      <c r="AA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2:53" ht="13.5" hidden="1" customHeight="1" thickBot="1">
      <c r="B171" s="2"/>
      <c r="C171" s="1478" t="s">
        <v>16</v>
      </c>
      <c r="D171" s="1479"/>
      <c r="E171" s="7"/>
      <c r="F171" s="1477"/>
      <c r="G171" s="1477"/>
      <c r="H171" s="58"/>
      <c r="I171" s="59" t="e">
        <f>#REF!</f>
        <v>#REF!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"/>
      <c r="W171" s="1"/>
      <c r="X171" s="2"/>
      <c r="Y171" s="1"/>
      <c r="Z171" s="1"/>
      <c r="AA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2:53" ht="13.5" hidden="1" customHeight="1" thickBot="1">
      <c r="B172" s="2"/>
      <c r="C172" s="1478"/>
      <c r="D172" s="1479"/>
      <c r="E172" s="7"/>
      <c r="F172" s="1484"/>
      <c r="G172" s="1484"/>
      <c r="H172" s="58"/>
      <c r="I172" s="60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"/>
      <c r="W172" s="1"/>
      <c r="X172" s="2"/>
      <c r="Y172" s="1"/>
      <c r="Z172" s="1"/>
      <c r="AA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2:53" ht="13.5" hidden="1" customHeight="1" thickBot="1">
      <c r="B173" s="2"/>
      <c r="C173" s="1478"/>
      <c r="D173" s="1479"/>
      <c r="E173" s="7"/>
      <c r="F173" s="1484"/>
      <c r="G173" s="1484"/>
      <c r="H173" s="61"/>
      <c r="I173" s="6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"/>
      <c r="W173" s="1"/>
      <c r="X173" s="2"/>
      <c r="Y173" s="1"/>
      <c r="Z173" s="1"/>
      <c r="AA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2:53" ht="13.5" hidden="1" customHeight="1" thickBot="1">
      <c r="B174" s="2"/>
      <c r="C174" s="1478"/>
      <c r="D174" s="1479"/>
      <c r="E174" s="305"/>
      <c r="F174" s="1485"/>
      <c r="G174" s="1485"/>
      <c r="H174" s="63"/>
      <c r="I174" s="64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"/>
      <c r="W174" s="1"/>
      <c r="X174" s="2"/>
      <c r="Y174" s="1"/>
      <c r="Z174" s="1"/>
      <c r="AA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2:53" ht="13.5" hidden="1" customHeight="1" thickBot="1">
      <c r="C175" s="1478" t="s">
        <v>17</v>
      </c>
      <c r="D175" s="1479"/>
      <c r="E175" s="7"/>
      <c r="F175" s="1477"/>
      <c r="G175" s="1477"/>
      <c r="H175" s="58"/>
      <c r="I175" s="59" t="e">
        <f>#REF!</f>
        <v>#REF!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"/>
      <c r="W175" s="1"/>
      <c r="X175" s="2"/>
      <c r="Y175" s="1"/>
      <c r="Z175" s="1"/>
      <c r="AA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2:53" ht="13.5" hidden="1" customHeight="1" thickBot="1">
      <c r="C176" s="1478"/>
      <c r="D176" s="1479"/>
      <c r="E176" s="7"/>
      <c r="F176" s="1484"/>
      <c r="G176" s="1484"/>
      <c r="H176" s="58"/>
      <c r="I176" s="60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"/>
      <c r="W176" s="1"/>
      <c r="X176" s="2"/>
      <c r="Y176" s="1"/>
      <c r="Z176" s="1"/>
      <c r="AA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3:53" ht="13.5" hidden="1" customHeight="1" thickBot="1">
      <c r="C177" s="1478"/>
      <c r="D177" s="1479"/>
      <c r="E177" s="7"/>
      <c r="F177" s="1484"/>
      <c r="G177" s="1484"/>
      <c r="H177" s="61"/>
      <c r="I177" s="6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"/>
      <c r="W177" s="1"/>
      <c r="X177" s="2"/>
      <c r="Y177" s="1"/>
      <c r="Z177" s="1"/>
      <c r="AA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3:53" ht="13.5" hidden="1" customHeight="1" thickBot="1">
      <c r="C178" s="1478"/>
      <c r="D178" s="1479"/>
      <c r="E178" s="305"/>
      <c r="F178" s="1485"/>
      <c r="G178" s="1485"/>
      <c r="H178" s="63"/>
      <c r="I178" s="64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"/>
      <c r="W178" s="1"/>
      <c r="X178" s="2"/>
      <c r="Y178" s="1"/>
      <c r="Z178" s="1"/>
      <c r="AA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3:53" ht="13.5" hidden="1" customHeight="1" thickBot="1">
      <c r="C179" s="1478" t="s">
        <v>18</v>
      </c>
      <c r="D179" s="1479"/>
      <c r="E179" s="7"/>
      <c r="F179" s="1477"/>
      <c r="G179" s="1477"/>
      <c r="H179" s="58"/>
      <c r="I179" s="59" t="e">
        <f>#REF!</f>
        <v>#REF!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"/>
      <c r="W179" s="1"/>
      <c r="X179" s="2"/>
      <c r="Y179" s="1"/>
      <c r="Z179" s="1"/>
      <c r="AA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3:53" ht="13.5" hidden="1" customHeight="1" thickBot="1">
      <c r="C180" s="1478"/>
      <c r="D180" s="1479"/>
      <c r="E180" s="7"/>
      <c r="F180" s="1484"/>
      <c r="G180" s="1484"/>
      <c r="H180" s="58"/>
      <c r="I180" s="60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"/>
      <c r="W180" s="1"/>
      <c r="X180" s="2"/>
      <c r="Y180" s="1"/>
      <c r="Z180" s="1"/>
      <c r="AA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3:53" ht="13.5" hidden="1" customHeight="1" thickBot="1">
      <c r="C181" s="1478"/>
      <c r="D181" s="1479"/>
      <c r="E181" s="7"/>
      <c r="F181" s="1484"/>
      <c r="G181" s="1484"/>
      <c r="H181" s="61"/>
      <c r="I181" s="6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"/>
      <c r="W181" s="1"/>
      <c r="X181" s="2"/>
      <c r="Y181" s="1"/>
      <c r="Z181" s="1"/>
      <c r="AA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3:53" ht="13.5" hidden="1" customHeight="1" thickBot="1">
      <c r="C182" s="1478"/>
      <c r="D182" s="1479"/>
      <c r="E182" s="305"/>
      <c r="F182" s="1485"/>
      <c r="G182" s="1485"/>
      <c r="H182" s="63"/>
      <c r="I182" s="64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"/>
      <c r="W182" s="1"/>
      <c r="X182" s="2"/>
      <c r="Y182" s="1"/>
      <c r="Z182" s="1"/>
      <c r="AA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3:53" hidden="1"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"/>
      <c r="W183" s="1"/>
      <c r="X183" s="2"/>
      <c r="Y183" s="1"/>
      <c r="Z183" s="1"/>
      <c r="AA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3:53" hidden="1"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"/>
      <c r="W184" s="1"/>
      <c r="X184" s="2"/>
      <c r="Y184" s="1"/>
      <c r="Z184" s="1"/>
      <c r="AA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3:53" hidden="1"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"/>
      <c r="W185" s="1"/>
      <c r="X185" s="2"/>
      <c r="Y185" s="1"/>
      <c r="Z185" s="1"/>
      <c r="AA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3:53" ht="12.75" hidden="1" customHeight="1">
      <c r="C186" s="1493" t="s">
        <v>119</v>
      </c>
      <c r="D186" s="81"/>
      <c r="E186" s="306"/>
      <c r="F186" s="1492" t="s">
        <v>20</v>
      </c>
      <c r="G186" s="1492"/>
      <c r="H186" s="65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"/>
      <c r="W186" s="1"/>
      <c r="X186" s="2"/>
      <c r="Y186" s="1"/>
      <c r="Z186" s="1"/>
      <c r="AA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3:53" ht="12.75" hidden="1" customHeight="1">
      <c r="C187" s="1493"/>
      <c r="D187" s="81"/>
      <c r="E187" s="306"/>
      <c r="F187" s="1492"/>
      <c r="G187" s="1492"/>
      <c r="H187" s="65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"/>
      <c r="W187" s="1"/>
      <c r="X187" s="2"/>
      <c r="Y187" s="1"/>
      <c r="Z187" s="1"/>
      <c r="AA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3:53" ht="12.75" hidden="1" customHeight="1">
      <c r="C188" s="66" t="s">
        <v>21</v>
      </c>
      <c r="D188" s="5"/>
      <c r="E188" s="301"/>
      <c r="F188" s="1491" t="e">
        <f>(#REF!/8) *1.75</f>
        <v>#REF!</v>
      </c>
      <c r="G188" s="1491"/>
      <c r="H188" s="67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"/>
      <c r="W188" s="1"/>
      <c r="X188" s="2"/>
      <c r="Y188" s="1"/>
      <c r="Z188" s="1"/>
      <c r="AA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3:53" ht="12.75" hidden="1" customHeight="1">
      <c r="C189" s="66" t="s">
        <v>22</v>
      </c>
      <c r="D189" s="5"/>
      <c r="E189" s="301"/>
      <c r="F189" s="1491" t="e">
        <f>(#REF!/8) *1.75</f>
        <v>#REF!</v>
      </c>
      <c r="G189" s="1491"/>
      <c r="H189" s="67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"/>
      <c r="W189" s="1"/>
      <c r="X189" s="2"/>
      <c r="Y189" s="1"/>
      <c r="Z189" s="1"/>
      <c r="AA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3:53" ht="12.75" hidden="1" customHeight="1">
      <c r="C190" s="66" t="s">
        <v>23</v>
      </c>
      <c r="D190" s="5"/>
      <c r="E190" s="301"/>
      <c r="F190" s="1491" t="e">
        <f>(#REF!/8) *1.75</f>
        <v>#REF!</v>
      </c>
      <c r="G190" s="1491"/>
      <c r="H190" s="67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"/>
      <c r="W190" s="1"/>
      <c r="X190" s="2"/>
      <c r="Y190" s="1"/>
      <c r="Z190" s="1"/>
      <c r="AA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3:53" hidden="1"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"/>
      <c r="W191" s="1"/>
      <c r="X191" s="2"/>
      <c r="Y191" s="1"/>
      <c r="Z191" s="1"/>
      <c r="AA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3:53" hidden="1"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"/>
      <c r="W192" s="1"/>
      <c r="X192" s="2"/>
      <c r="Y192" s="1"/>
      <c r="Z192" s="1"/>
      <c r="AA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9:53" hidden="1"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"/>
      <c r="W193" s="1"/>
      <c r="X193" s="2"/>
      <c r="Y193" s="1"/>
      <c r="Z193" s="1"/>
      <c r="AA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9:53" hidden="1"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"/>
      <c r="W194" s="1"/>
      <c r="X194" s="2"/>
      <c r="Y194" s="1"/>
      <c r="Z194" s="1"/>
      <c r="AA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9:53" hidden="1"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"/>
      <c r="W195" s="1"/>
      <c r="X195" s="2"/>
      <c r="Y195" s="1"/>
      <c r="Z195" s="1"/>
      <c r="AA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9:53" hidden="1"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"/>
      <c r="W196" s="1"/>
      <c r="X196" s="2"/>
      <c r="Y196" s="1"/>
      <c r="Z196" s="1"/>
      <c r="AA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9:53" hidden="1">
      <c r="L197" s="2"/>
      <c r="M197" s="29"/>
      <c r="N197" s="29"/>
      <c r="O197" s="2"/>
      <c r="P197" s="2"/>
      <c r="Q197" s="2"/>
      <c r="R197" s="2"/>
      <c r="S197" s="2"/>
      <c r="T197" s="2"/>
      <c r="U197" s="2"/>
      <c r="V197" s="1"/>
      <c r="W197" s="1"/>
      <c r="X197" s="2"/>
      <c r="Y197" s="1"/>
      <c r="Z197" s="1"/>
      <c r="AA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9:53">
      <c r="L198" s="2"/>
      <c r="M198" s="33"/>
      <c r="N198" s="34"/>
      <c r="O198" s="68"/>
      <c r="P198" s="68"/>
      <c r="Q198" s="68"/>
      <c r="R198" s="68"/>
      <c r="S198" s="68"/>
      <c r="T198" s="2"/>
      <c r="U198" s="2"/>
      <c r="V198" s="1"/>
      <c r="W198" s="1"/>
      <c r="X198" s="2"/>
      <c r="Y198" s="1"/>
      <c r="Z198" s="1"/>
      <c r="AA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9:53">
      <c r="I199" s="1052">
        <f>SUM(I77:I81,I90,I98:I102)</f>
        <v>317.04241333333334</v>
      </c>
      <c r="J199" s="1052">
        <f t="shared" ref="J199:AD199" si="144">SUM(J77:J81,J90,J98:J102)</f>
        <v>1505.35952</v>
      </c>
      <c r="K199" s="1052">
        <f t="shared" si="144"/>
        <v>1803.8918699999999</v>
      </c>
      <c r="L199" s="1052">
        <f t="shared" si="144"/>
        <v>615.57476333333329</v>
      </c>
      <c r="M199" s="1052">
        <f t="shared" si="144"/>
        <v>1425.8561300000001</v>
      </c>
      <c r="N199" s="1052">
        <f t="shared" si="144"/>
        <v>996.37239999999997</v>
      </c>
      <c r="O199" s="1052">
        <f t="shared" si="144"/>
        <v>186.09103333333334</v>
      </c>
      <c r="P199" s="1052">
        <f t="shared" si="144"/>
        <v>1175.73675</v>
      </c>
      <c r="Q199" s="1052">
        <f t="shared" si="144"/>
        <v>1189.2935299999999</v>
      </c>
      <c r="R199" s="1052">
        <f t="shared" si="144"/>
        <v>199.64781333333332</v>
      </c>
      <c r="S199" s="1052">
        <f t="shared" si="144"/>
        <v>1192.5844400000001</v>
      </c>
      <c r="T199" s="1052">
        <f t="shared" si="144"/>
        <v>1170.6175399999997</v>
      </c>
      <c r="U199" s="1052">
        <f t="shared" si="144"/>
        <v>177.68091333333334</v>
      </c>
      <c r="V199" s="1052">
        <f t="shared" si="144"/>
        <v>1298.8172399999999</v>
      </c>
      <c r="W199" s="1052">
        <f t="shared" si="144"/>
        <v>1348.1535899999999</v>
      </c>
      <c r="X199" s="1052">
        <f t="shared" si="144"/>
        <v>227.01726333333335</v>
      </c>
      <c r="Y199" s="1052">
        <f t="shared" si="144"/>
        <v>1025.57015</v>
      </c>
      <c r="Z199" s="1052">
        <f t="shared" si="144"/>
        <v>959.6694500000001</v>
      </c>
      <c r="AA199" s="1052">
        <f t="shared" si="144"/>
        <v>161.11656333333335</v>
      </c>
      <c r="AB199" s="1052">
        <f t="shared" si="144"/>
        <v>1025.57015</v>
      </c>
      <c r="AC199" s="1052">
        <f t="shared" si="144"/>
        <v>871.80185000000006</v>
      </c>
      <c r="AD199" s="1052">
        <f t="shared" si="144"/>
        <v>0</v>
      </c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9:53">
      <c r="I200" s="1052">
        <f>SUM(I82:I85,I91:I92,I103:I106)</f>
        <v>1086.1785433333334</v>
      </c>
      <c r="J200" s="1052">
        <f t="shared" ref="J200:AD200" si="145">SUM(J82:J85,J91:J92,J103:J106)</f>
        <v>4809.8212000000003</v>
      </c>
      <c r="K200" s="1052">
        <f t="shared" si="145"/>
        <v>4426.6837200000009</v>
      </c>
      <c r="L200" s="1052">
        <f t="shared" si="145"/>
        <v>703.04106333333334</v>
      </c>
      <c r="M200" s="1052">
        <f t="shared" si="145"/>
        <v>2805.2686000000003</v>
      </c>
      <c r="N200" s="1052">
        <f t="shared" si="145"/>
        <v>2980.8240400000004</v>
      </c>
      <c r="O200" s="1052">
        <f t="shared" si="145"/>
        <v>878.59650333333332</v>
      </c>
      <c r="P200" s="1052">
        <f t="shared" si="145"/>
        <v>3259.79684</v>
      </c>
      <c r="Q200" s="1052">
        <f t="shared" si="145"/>
        <v>3940.0976800000003</v>
      </c>
      <c r="R200" s="1052">
        <f t="shared" si="145"/>
        <v>1558.8973433333333</v>
      </c>
      <c r="S200" s="1052">
        <f t="shared" si="145"/>
        <v>3713.8496</v>
      </c>
      <c r="T200" s="1052">
        <f t="shared" si="145"/>
        <v>3138.1180800000002</v>
      </c>
      <c r="U200" s="1052">
        <f t="shared" si="145"/>
        <v>983.16582333333338</v>
      </c>
      <c r="V200" s="1052">
        <f t="shared" si="145"/>
        <v>3959.9058900000005</v>
      </c>
      <c r="W200" s="1052">
        <f t="shared" si="145"/>
        <v>3522.7500500000001</v>
      </c>
      <c r="X200" s="1052">
        <f t="shared" si="145"/>
        <v>546.00998333333337</v>
      </c>
      <c r="Y200" s="1052">
        <f t="shared" si="145"/>
        <v>3155.03316</v>
      </c>
      <c r="Z200" s="1052">
        <f t="shared" si="145"/>
        <v>3486.5589599999998</v>
      </c>
      <c r="AA200" s="1052">
        <f t="shared" si="145"/>
        <v>877.53578333333326</v>
      </c>
      <c r="AB200" s="1052">
        <f t="shared" si="145"/>
        <v>3155.03316</v>
      </c>
      <c r="AC200" s="1052">
        <f t="shared" si="145"/>
        <v>2283.7638400000001</v>
      </c>
      <c r="AD200" s="1052">
        <f t="shared" si="145"/>
        <v>0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9:53">
      <c r="I201" s="1052">
        <f>SUM(I86:I89,I93:I97)</f>
        <v>1015.9246800000001</v>
      </c>
      <c r="J201" s="1052">
        <f t="shared" ref="J201:AD201" si="146">SUM(J86:J89,J93:J97)</f>
        <v>3622.49973</v>
      </c>
      <c r="K201" s="1052">
        <f t="shared" si="146"/>
        <v>3382.4931900000001</v>
      </c>
      <c r="L201" s="1052">
        <f t="shared" si="146"/>
        <v>775.91813999999999</v>
      </c>
      <c r="M201" s="1052">
        <f t="shared" si="146"/>
        <v>3158.4816599999999</v>
      </c>
      <c r="N201" s="1052">
        <f t="shared" si="146"/>
        <v>3138.5354400000001</v>
      </c>
      <c r="O201" s="1052">
        <f t="shared" si="146"/>
        <v>755.97191999999995</v>
      </c>
      <c r="P201" s="1052">
        <f t="shared" si="146"/>
        <v>2879.9468100000004</v>
      </c>
      <c r="Q201" s="1052">
        <f t="shared" si="146"/>
        <v>3412.8776399999997</v>
      </c>
      <c r="R201" s="1052">
        <f t="shared" si="146"/>
        <v>1288.9027500000002</v>
      </c>
      <c r="S201" s="1052">
        <f t="shared" si="146"/>
        <v>3381.0008600000001</v>
      </c>
      <c r="T201" s="1052">
        <f t="shared" si="146"/>
        <v>3071.4773</v>
      </c>
      <c r="U201" s="1052">
        <f t="shared" si="146"/>
        <v>979.37918999999999</v>
      </c>
      <c r="V201" s="1052">
        <f t="shared" si="146"/>
        <v>3685.5735799999998</v>
      </c>
      <c r="W201" s="1052">
        <f t="shared" si="146"/>
        <v>3148.78676</v>
      </c>
      <c r="X201" s="1052">
        <f t="shared" si="146"/>
        <v>442.59236999999996</v>
      </c>
      <c r="Y201" s="1052">
        <f t="shared" si="146"/>
        <v>2877.7161599999999</v>
      </c>
      <c r="Z201" s="1052">
        <f t="shared" si="146"/>
        <v>3147.34728</v>
      </c>
      <c r="AA201" s="1052">
        <f t="shared" si="146"/>
        <v>712.22348999999997</v>
      </c>
      <c r="AB201" s="1052">
        <f t="shared" si="146"/>
        <v>2877.7161599999999</v>
      </c>
      <c r="AC201" s="1052">
        <f t="shared" si="146"/>
        <v>2171.3150400000004</v>
      </c>
      <c r="AD201" s="1052">
        <f t="shared" si="146"/>
        <v>0</v>
      </c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9:53"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"/>
      <c r="W202" s="1"/>
      <c r="X202" s="2"/>
      <c r="Y202" s="1"/>
      <c r="Z202" s="1"/>
      <c r="AA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9:53">
      <c r="I203" s="1052">
        <f>SUM(I199,I201)</f>
        <v>1332.9670933333334</v>
      </c>
      <c r="J203" s="1052">
        <f t="shared" ref="J203:AC203" si="147">SUM(J199,J201)</f>
        <v>5127.8592499999995</v>
      </c>
      <c r="K203" s="1052">
        <f t="shared" si="147"/>
        <v>5186.3850600000005</v>
      </c>
      <c r="L203" s="1052">
        <f t="shared" si="147"/>
        <v>1391.4929033333333</v>
      </c>
      <c r="M203" s="1052">
        <f t="shared" si="147"/>
        <v>4584.3377899999996</v>
      </c>
      <c r="N203" s="1052">
        <f t="shared" si="147"/>
        <v>4134.9078399999999</v>
      </c>
      <c r="O203" s="1052">
        <f t="shared" si="147"/>
        <v>942.06295333333333</v>
      </c>
      <c r="P203" s="1052">
        <f t="shared" si="147"/>
        <v>4055.6835600000004</v>
      </c>
      <c r="Q203" s="1052">
        <f t="shared" si="147"/>
        <v>4602.1711699999996</v>
      </c>
      <c r="R203" s="1052">
        <f t="shared" si="147"/>
        <v>1488.5505633333335</v>
      </c>
      <c r="S203" s="1052">
        <f t="shared" si="147"/>
        <v>4573.5853000000006</v>
      </c>
      <c r="T203" s="1052">
        <f t="shared" si="147"/>
        <v>4242.0948399999997</v>
      </c>
      <c r="U203" s="1052">
        <f t="shared" si="147"/>
        <v>1157.0601033333332</v>
      </c>
      <c r="V203" s="1052">
        <f t="shared" si="147"/>
        <v>4984.3908199999996</v>
      </c>
      <c r="W203" s="1052">
        <f t="shared" si="147"/>
        <v>4496.9403499999999</v>
      </c>
      <c r="X203" s="1052">
        <f t="shared" si="147"/>
        <v>669.60963333333325</v>
      </c>
      <c r="Y203" s="1052">
        <f t="shared" si="147"/>
        <v>3903.28631</v>
      </c>
      <c r="Z203" s="1052">
        <f t="shared" si="147"/>
        <v>4107.0167300000003</v>
      </c>
      <c r="AA203" s="1052">
        <f t="shared" si="147"/>
        <v>873.34005333333334</v>
      </c>
      <c r="AB203" s="1052">
        <f t="shared" si="147"/>
        <v>3903.28631</v>
      </c>
      <c r="AC203" s="1052">
        <f t="shared" si="147"/>
        <v>3043.1168900000002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9:53"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"/>
      <c r="W204" s="1"/>
      <c r="X204" s="2"/>
      <c r="Y204" s="1"/>
      <c r="Z204" s="1"/>
      <c r="AA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9:53">
      <c r="L205" s="2"/>
      <c r="M205" s="2"/>
      <c r="N205" s="2"/>
      <c r="O205" s="2"/>
      <c r="P205" s="2"/>
      <c r="Q205" s="33"/>
      <c r="R205" s="34"/>
      <c r="S205" s="32"/>
      <c r="V205" s="2"/>
      <c r="W205" s="2"/>
      <c r="X205" s="2"/>
      <c r="Y205" s="2"/>
      <c r="Z205" s="2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9:53">
      <c r="L206" s="2"/>
      <c r="M206" s="2"/>
      <c r="N206" s="2"/>
      <c r="O206" s="2"/>
      <c r="P206" s="2"/>
      <c r="Q206" s="33"/>
      <c r="R206" s="34"/>
      <c r="S206" s="32"/>
      <c r="V206" s="2"/>
      <c r="W206" s="2"/>
      <c r="X206" s="2"/>
      <c r="Y206" s="2"/>
      <c r="Z206" s="2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9:53">
      <c r="L207" s="2"/>
      <c r="M207" s="2"/>
      <c r="N207" s="2"/>
      <c r="O207" s="2"/>
      <c r="P207" s="2"/>
      <c r="AA207" s="3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9:53">
      <c r="V208" s="1"/>
      <c r="W208" s="1"/>
      <c r="Y208" s="1"/>
      <c r="Z208" s="1"/>
      <c r="AA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22:53">
      <c r="V209" s="1"/>
      <c r="W209" s="1"/>
      <c r="Y209" s="1"/>
      <c r="Z209" s="1"/>
      <c r="AA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22:53">
      <c r="V210" s="1"/>
      <c r="W210" s="1"/>
      <c r="Y210" s="1"/>
      <c r="Z210" s="1"/>
      <c r="AA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22:53">
      <c r="V211" s="1"/>
      <c r="W211" s="1"/>
      <c r="Y211" s="1"/>
      <c r="Z211" s="1"/>
      <c r="AA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22:53">
      <c r="V212" s="1"/>
      <c r="W212" s="1"/>
      <c r="Y212" s="1"/>
      <c r="Z212" s="1"/>
      <c r="AA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22:53">
      <c r="V213" s="1"/>
      <c r="W213" s="1"/>
      <c r="Y213" s="1"/>
      <c r="Z213" s="1"/>
      <c r="AA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22:53">
      <c r="V214" s="1"/>
      <c r="W214" s="1"/>
      <c r="Y214" s="1"/>
      <c r="Z214" s="1"/>
      <c r="AA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22:53">
      <c r="V215" s="1"/>
      <c r="W215" s="1"/>
      <c r="Y215" s="1"/>
      <c r="Z215" s="1"/>
      <c r="AA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22:53">
      <c r="V216" s="1"/>
      <c r="W216" s="1"/>
      <c r="Y216" s="1"/>
      <c r="Z216" s="1"/>
      <c r="AA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22:53">
      <c r="V217" s="1"/>
      <c r="W217" s="1"/>
      <c r="Y217" s="1"/>
      <c r="Z217" s="1"/>
      <c r="AA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22:53">
      <c r="V218" s="1"/>
      <c r="W218" s="1"/>
      <c r="Y218" s="1"/>
      <c r="Z218" s="1"/>
      <c r="AA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22:53">
      <c r="V219" s="1"/>
      <c r="W219" s="1"/>
      <c r="Y219" s="1"/>
      <c r="Z219" s="1"/>
      <c r="AA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22:53">
      <c r="V220" s="1"/>
      <c r="W220" s="1"/>
      <c r="Y220" s="1"/>
      <c r="Z220" s="1"/>
      <c r="AA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22:53">
      <c r="V221" s="1"/>
      <c r="W221" s="1"/>
      <c r="Y221" s="1"/>
      <c r="Z221" s="1"/>
      <c r="AA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22:53">
      <c r="V222" s="1"/>
      <c r="W222" s="1"/>
      <c r="Y222" s="1"/>
      <c r="Z222" s="1"/>
      <c r="AA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22:53">
      <c r="V223" s="1"/>
      <c r="W223" s="1"/>
      <c r="Y223" s="1"/>
      <c r="Z223" s="1"/>
      <c r="AA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22:53">
      <c r="V224" s="1"/>
      <c r="W224" s="1"/>
      <c r="Y224" s="1"/>
      <c r="Z224" s="1"/>
      <c r="AA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22:53">
      <c r="V225" s="1"/>
      <c r="W225" s="1"/>
      <c r="Y225" s="1"/>
      <c r="Z225" s="1"/>
      <c r="AA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22:53">
      <c r="V226" s="1"/>
      <c r="W226" s="1"/>
      <c r="Y226" s="1"/>
      <c r="Z226" s="1"/>
      <c r="AA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22:53"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22:53"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22:53"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22:53"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22:53"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22:53"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22:53"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22:53"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22:53"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22:53"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22:53"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22:53"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22:53"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22:53"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33:53"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33:53"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33:53"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33:53"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33:53"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33:53"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33:53"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33:53"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33:53"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33:53"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33:53"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33:53"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33:53"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33:53"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33:53"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33:53"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33:53"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33:53"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33:53"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33:53"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33:53"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33:53"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33:53"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33:53"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33:53"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33:53"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33:53"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33:53"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33:53"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33:53"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33:53"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33:53"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33:53"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33:53"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33:53"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33:53"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33:53"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33:53"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33:53"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33:53"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33:53"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33:53"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33:53"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33:53"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33:53"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33:53"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33:53"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33:53"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33:53"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33:53"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33:53"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33:53"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33:53"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33:53"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33:53"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33:53"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33:53"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</sheetData>
  <mergeCells count="184">
    <mergeCell ref="B157:H157"/>
    <mergeCell ref="B107:B108"/>
    <mergeCell ref="E11:E13"/>
    <mergeCell ref="B54:H54"/>
    <mergeCell ref="A11:B13"/>
    <mergeCell ref="C11:C13"/>
    <mergeCell ref="H12:H13"/>
    <mergeCell ref="G73:G75"/>
    <mergeCell ref="B45:B46"/>
    <mergeCell ref="A76:A92"/>
    <mergeCell ref="G11:G13"/>
    <mergeCell ref="A51:B51"/>
    <mergeCell ref="A52:B52"/>
    <mergeCell ref="A53:B53"/>
    <mergeCell ref="F73:F75"/>
    <mergeCell ref="A45:A46"/>
    <mergeCell ref="D11:D13"/>
    <mergeCell ref="F11:F13"/>
    <mergeCell ref="B55:H55"/>
    <mergeCell ref="B98:B102"/>
    <mergeCell ref="B103:B106"/>
    <mergeCell ref="E73:E75"/>
    <mergeCell ref="B32:B33"/>
    <mergeCell ref="A93:A95"/>
    <mergeCell ref="F190:G190"/>
    <mergeCell ref="F189:G189"/>
    <mergeCell ref="F188:G188"/>
    <mergeCell ref="F176:G176"/>
    <mergeCell ref="F186:G187"/>
    <mergeCell ref="F182:G182"/>
    <mergeCell ref="F178:G178"/>
    <mergeCell ref="F177:G177"/>
    <mergeCell ref="C186:C187"/>
    <mergeCell ref="I162:K162"/>
    <mergeCell ref="C179:D182"/>
    <mergeCell ref="F164:H164"/>
    <mergeCell ref="F168:H168"/>
    <mergeCell ref="F181:G181"/>
    <mergeCell ref="F180:G180"/>
    <mergeCell ref="C175:D178"/>
    <mergeCell ref="F179:G179"/>
    <mergeCell ref="F175:G175"/>
    <mergeCell ref="F174:G174"/>
    <mergeCell ref="F173:G173"/>
    <mergeCell ref="F172:G172"/>
    <mergeCell ref="F163:H163"/>
    <mergeCell ref="F170:G170"/>
    <mergeCell ref="C171:D174"/>
    <mergeCell ref="F167:H167"/>
    <mergeCell ref="F162:H162"/>
    <mergeCell ref="L166:N166"/>
    <mergeCell ref="U163:W163"/>
    <mergeCell ref="F171:G171"/>
    <mergeCell ref="I163:K163"/>
    <mergeCell ref="L163:N163"/>
    <mergeCell ref="O163:Q163"/>
    <mergeCell ref="R163:T163"/>
    <mergeCell ref="I166:K166"/>
    <mergeCell ref="R166:T166"/>
    <mergeCell ref="O166:Q166"/>
    <mergeCell ref="AA166:AC166"/>
    <mergeCell ref="X162:Z162"/>
    <mergeCell ref="AA162:AC162"/>
    <mergeCell ref="AA163:AC163"/>
    <mergeCell ref="AA74:AC74"/>
    <mergeCell ref="U166:W166"/>
    <mergeCell ref="X166:Z166"/>
    <mergeCell ref="U162:W162"/>
    <mergeCell ref="R162:T162"/>
    <mergeCell ref="X74:Z74"/>
    <mergeCell ref="X163:Z163"/>
    <mergeCell ref="R74:T74"/>
    <mergeCell ref="L162:N162"/>
    <mergeCell ref="L73:N73"/>
    <mergeCell ref="O162:Q162"/>
    <mergeCell ref="X73:Z73"/>
    <mergeCell ref="U74:W74"/>
    <mergeCell ref="U73:W73"/>
    <mergeCell ref="K1:Q1"/>
    <mergeCell ref="K3:Q3"/>
    <mergeCell ref="X12:Z12"/>
    <mergeCell ref="O12:Q12"/>
    <mergeCell ref="R55:T55"/>
    <mergeCell ref="R12:T12"/>
    <mergeCell ref="U12:W12"/>
    <mergeCell ref="X56:Z56"/>
    <mergeCell ref="O55:Q55"/>
    <mergeCell ref="L12:N12"/>
    <mergeCell ref="I12:K12"/>
    <mergeCell ref="X55:Z55"/>
    <mergeCell ref="I56:K56"/>
    <mergeCell ref="U55:W55"/>
    <mergeCell ref="L55:N55"/>
    <mergeCell ref="I55:K55"/>
    <mergeCell ref="X57:Z57"/>
    <mergeCell ref="I73:K73"/>
    <mergeCell ref="AC2:AD2"/>
    <mergeCell ref="AA5:AB5"/>
    <mergeCell ref="U7:V7"/>
    <mergeCell ref="AA11:AC11"/>
    <mergeCell ref="K2:Q2"/>
    <mergeCell ref="BD6:BE9"/>
    <mergeCell ref="AS11:AU11"/>
    <mergeCell ref="AV11:AX11"/>
    <mergeCell ref="AY11:BA11"/>
    <mergeCell ref="AA3:AB4"/>
    <mergeCell ref="L11:N11"/>
    <mergeCell ref="O11:Q11"/>
    <mergeCell ref="AP11:AR11"/>
    <mergeCell ref="AM11:AO11"/>
    <mergeCell ref="X11:Z11"/>
    <mergeCell ref="AA2:AB2"/>
    <mergeCell ref="U8:V8"/>
    <mergeCell ref="R11:T11"/>
    <mergeCell ref="U11:W11"/>
    <mergeCell ref="Y7:Z7"/>
    <mergeCell ref="I11:K11"/>
    <mergeCell ref="AS12:AU12"/>
    <mergeCell ref="AD11:AD13"/>
    <mergeCell ref="AA55:AC55"/>
    <mergeCell ref="AJ11:AL11"/>
    <mergeCell ref="AG73:AI73"/>
    <mergeCell ref="AC64:AD64"/>
    <mergeCell ref="AM12:AO12"/>
    <mergeCell ref="AA12:AC12"/>
    <mergeCell ref="AG12:AI12"/>
    <mergeCell ref="AG11:AI11"/>
    <mergeCell ref="AY12:BA12"/>
    <mergeCell ref="AC71:AD71"/>
    <mergeCell ref="AM73:AO73"/>
    <mergeCell ref="AP12:AR12"/>
    <mergeCell ref="AA56:AC56"/>
    <mergeCell ref="AV12:AX12"/>
    <mergeCell ref="AA64:AB64"/>
    <mergeCell ref="AD73:AD75"/>
    <mergeCell ref="AG74:AI74"/>
    <mergeCell ref="AJ74:AL74"/>
    <mergeCell ref="AY74:BA74"/>
    <mergeCell ref="AV73:AX73"/>
    <mergeCell ref="AS73:AU73"/>
    <mergeCell ref="AY73:BA73"/>
    <mergeCell ref="AP73:AR73"/>
    <mergeCell ref="AA57:AC57"/>
    <mergeCell ref="AP74:AR74"/>
    <mergeCell ref="AV74:AX74"/>
    <mergeCell ref="AS74:AU74"/>
    <mergeCell ref="AM74:AO74"/>
    <mergeCell ref="AA71:AB71"/>
    <mergeCell ref="AJ73:AL73"/>
    <mergeCell ref="AA73:AC73"/>
    <mergeCell ref="AJ12:AL12"/>
    <mergeCell ref="U56:W56"/>
    <mergeCell ref="R56:T56"/>
    <mergeCell ref="U57:W57"/>
    <mergeCell ref="R73:T73"/>
    <mergeCell ref="L57:N57"/>
    <mergeCell ref="O57:Q57"/>
    <mergeCell ref="R57:T57"/>
    <mergeCell ref="O56:Q56"/>
    <mergeCell ref="L74:N74"/>
    <mergeCell ref="L56:N56"/>
    <mergeCell ref="L63:Q63"/>
    <mergeCell ref="A14:A30"/>
    <mergeCell ref="B15:B19"/>
    <mergeCell ref="B26:B30"/>
    <mergeCell ref="B20:B25"/>
    <mergeCell ref="A50:B50"/>
    <mergeCell ref="B57:H57"/>
    <mergeCell ref="C73:C75"/>
    <mergeCell ref="D73:D75"/>
    <mergeCell ref="L65:Q65"/>
    <mergeCell ref="O74:Q74"/>
    <mergeCell ref="L64:Q64"/>
    <mergeCell ref="O73:Q73"/>
    <mergeCell ref="B77:B81"/>
    <mergeCell ref="B82:B87"/>
    <mergeCell ref="B88:B92"/>
    <mergeCell ref="B56:H56"/>
    <mergeCell ref="A31:A33"/>
    <mergeCell ref="B94:B95"/>
    <mergeCell ref="I57:K57"/>
    <mergeCell ref="E50:H53"/>
    <mergeCell ref="I74:K74"/>
    <mergeCell ref="B73:B75"/>
  </mergeCells>
  <phoneticPr fontId="5" type="noConversion"/>
  <conditionalFormatting sqref="I181:I182 I177:I178 I173:I174">
    <cfRule type="cellIs" dxfId="22" priority="16" stopIfTrue="1" operator="greaterThan">
      <formula>0</formula>
    </cfRule>
  </conditionalFormatting>
  <conditionalFormatting sqref="I14:AC14 I53:AC53 I50:AD52 I16:AC16 I32:AC49 I18:AC24 I17:N17 P17:AC17">
    <cfRule type="cellIs" dxfId="21" priority="15" stopIfTrue="1" operator="lessThan">
      <formula>0</formula>
    </cfRule>
  </conditionalFormatting>
  <conditionalFormatting sqref="I30:AC30">
    <cfRule type="cellIs" dxfId="20" priority="10" stopIfTrue="1" operator="lessThan">
      <formula>0</formula>
    </cfRule>
  </conditionalFormatting>
  <conditionalFormatting sqref="I31:AC31">
    <cfRule type="cellIs" dxfId="19" priority="9" stopIfTrue="1" operator="lessThan">
      <formula>0</formula>
    </cfRule>
  </conditionalFormatting>
  <conditionalFormatting sqref="I15:N15 S15:AC15 P15:Q15">
    <cfRule type="cellIs" dxfId="18" priority="4" stopIfTrue="1" operator="lessThan">
      <formula>0</formula>
    </cfRule>
  </conditionalFormatting>
  <conditionalFormatting sqref="I25:AC28 N29 Q29 T29 W29 Z29 AC29">
    <cfRule type="cellIs" dxfId="17" priority="7" stopIfTrue="1" operator="lessThan">
      <formula>0</formula>
    </cfRule>
  </conditionalFormatting>
  <conditionalFormatting sqref="I29:M29 O29:P29 R29:S29 U29:V29 X29:Y29 AA29:AB29">
    <cfRule type="cellIs" dxfId="16" priority="5" stopIfTrue="1" operator="lessThan">
      <formula>0</formula>
    </cfRule>
  </conditionalFormatting>
  <conditionalFormatting sqref="R15">
    <cfRule type="cellIs" dxfId="15" priority="3" stopIfTrue="1" operator="lessThan">
      <formula>0</formula>
    </cfRule>
  </conditionalFormatting>
  <conditionalFormatting sqref="O15">
    <cfRule type="cellIs" dxfId="14" priority="2" stopIfTrue="1" operator="lessThan">
      <formula>0</formula>
    </cfRule>
  </conditionalFormatting>
  <conditionalFormatting sqref="O17">
    <cfRule type="cellIs" dxfId="13" priority="1" stopIfTrue="1" operator="lessThan">
      <formula>0</formula>
    </cfRule>
  </conditionalFormatting>
  <printOptions horizontalCentered="1"/>
  <pageMargins left="0" right="0" top="0.6692913385826772" bottom="0.15748031496062992" header="0.35433070866141736" footer="0.15748031496062992"/>
  <pageSetup paperSize="9" scale="30" fitToHeight="2" orientation="portrait" r:id="rId1"/>
  <headerFooter alignWithMargins="0">
    <oddHeader>&amp;LPT. JATIM AUTOCOMP INDONESIA</oddHeader>
    <oddFooter>&amp;LSIX MONTH PRODUCTION PLAN.xls&amp;R&amp;"Times New Roman,Regular"&amp;9&amp;P/&amp;N</oddFooter>
  </headerFooter>
  <rowBreaks count="1" manualBreakCount="1">
    <brk id="58" max="2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251"/>
  <sheetViews>
    <sheetView zoomScale="60" zoomScaleNormal="60" workbookViewId="0">
      <pane xSplit="3" ySplit="13" topLeftCell="N14" activePane="bottomRight" state="frozen"/>
      <selection pane="topRight" activeCell="D1" sqref="D1"/>
      <selection pane="bottomLeft" activeCell="A14" sqref="A14"/>
      <selection pane="bottomRight" activeCell="W46" sqref="W46"/>
    </sheetView>
  </sheetViews>
  <sheetFormatPr defaultColWidth="9.140625" defaultRowHeight="15"/>
  <cols>
    <col min="1" max="1" width="9.140625" style="1"/>
    <col min="2" max="2" width="17.5703125" style="3" customWidth="1"/>
    <col min="3" max="3" width="30.5703125" style="3" customWidth="1"/>
    <col min="4" max="4" width="9.42578125" style="3" customWidth="1"/>
    <col min="5" max="5" width="9.42578125" style="3" hidden="1" customWidth="1"/>
    <col min="6" max="7" width="8.85546875" style="3" customWidth="1"/>
    <col min="8" max="8" width="11.140625" style="3" customWidth="1"/>
    <col min="9" max="9" width="13.140625" style="3" customWidth="1"/>
    <col min="10" max="10" width="9.5703125" style="3" customWidth="1"/>
    <col min="11" max="12" width="10" style="3" customWidth="1"/>
    <col min="13" max="13" width="10.5703125" style="3" customWidth="1"/>
    <col min="14" max="15" width="10" style="3" customWidth="1"/>
    <col min="16" max="16" width="8.85546875" style="3" customWidth="1"/>
    <col min="17" max="17" width="10.7109375" style="3" customWidth="1"/>
    <col min="18" max="27" width="10" style="3" customWidth="1"/>
    <col min="28" max="28" width="7.7109375" style="2" customWidth="1"/>
    <col min="29" max="30" width="9.42578125" style="1" bestFit="1" customWidth="1"/>
    <col min="31" max="32" width="9.140625" style="1"/>
    <col min="33" max="33" width="9.5703125" style="83" customWidth="1"/>
    <col min="34" max="35" width="9.140625" style="83"/>
    <col min="36" max="36" width="9.5703125" style="83" customWidth="1"/>
    <col min="37" max="38" width="9.140625" style="83"/>
    <col min="39" max="39" width="9.5703125" style="83" customWidth="1"/>
    <col min="40" max="44" width="9.140625" style="83"/>
    <col min="45" max="45" width="9.5703125" style="83" customWidth="1"/>
    <col min="46" max="50" width="9.140625" style="83"/>
    <col min="51" max="51" width="9.5703125" style="83" customWidth="1"/>
    <col min="52" max="52" width="11.7109375" style="83" customWidth="1"/>
    <col min="53" max="53" width="10.140625" style="83" customWidth="1"/>
    <col min="54" max="54" width="20.28515625" style="1" customWidth="1"/>
    <col min="55" max="16384" width="9.140625" style="1"/>
  </cols>
  <sheetData>
    <row r="1" spans="1:61" ht="17.25" customHeight="1">
      <c r="B1" s="1440" t="s">
        <v>32</v>
      </c>
      <c r="C1" s="1440"/>
      <c r="D1" s="1440"/>
      <c r="E1" s="1440"/>
      <c r="F1" s="1440"/>
      <c r="G1" s="1440"/>
      <c r="H1" s="1440"/>
      <c r="I1" s="1440"/>
      <c r="J1" s="1440"/>
      <c r="K1" s="1440"/>
      <c r="L1" s="1440"/>
      <c r="M1" s="1440"/>
      <c r="N1" s="1440"/>
      <c r="O1" s="1440"/>
      <c r="P1" s="1440"/>
      <c r="Q1" s="1440"/>
      <c r="R1" s="1440"/>
      <c r="S1" s="1440"/>
      <c r="T1" s="1440"/>
      <c r="U1" s="1440"/>
      <c r="V1" s="1440"/>
      <c r="W1" s="1440"/>
      <c r="X1" s="1440"/>
      <c r="Y1" s="1440"/>
      <c r="Z1" s="1440"/>
      <c r="AA1" s="1440"/>
      <c r="AB1" s="1440"/>
      <c r="AC1" s="1440"/>
      <c r="AD1" s="1440"/>
      <c r="AE1" s="1440"/>
    </row>
    <row r="2" spans="1:61" ht="18.75" customHeight="1">
      <c r="B2" s="2"/>
      <c r="C2" s="2"/>
      <c r="D2" s="2"/>
      <c r="E2" s="2"/>
      <c r="F2" s="74"/>
      <c r="G2" s="74"/>
      <c r="K2" s="75"/>
      <c r="L2" s="1435" t="s">
        <v>83</v>
      </c>
      <c r="M2" s="1435"/>
      <c r="N2" s="1435"/>
      <c r="O2" s="1435"/>
      <c r="P2" s="1435"/>
      <c r="Q2" s="1435"/>
      <c r="R2" s="1435"/>
      <c r="S2" s="75"/>
      <c r="T2" s="75"/>
      <c r="U2" s="75"/>
      <c r="V2" s="75"/>
      <c r="W2" s="71"/>
      <c r="X2" s="70"/>
      <c r="Y2" s="70"/>
      <c r="Z2" s="70"/>
      <c r="AA2" s="70"/>
      <c r="AB2" s="1468" t="s">
        <v>33</v>
      </c>
      <c r="AC2" s="1468"/>
      <c r="AD2" s="1448"/>
      <c r="AE2" s="1448"/>
    </row>
    <row r="3" spans="1:61" ht="17.25" customHeight="1">
      <c r="B3" s="2" t="s">
        <v>117</v>
      </c>
      <c r="C3" s="74"/>
      <c r="D3" s="74"/>
      <c r="E3" s="74"/>
      <c r="F3" s="74"/>
      <c r="G3" s="74"/>
      <c r="H3" s="74"/>
      <c r="I3" s="74"/>
      <c r="K3" s="76"/>
      <c r="L3" s="76"/>
      <c r="M3" s="76" t="s">
        <v>116</v>
      </c>
      <c r="N3" s="76"/>
      <c r="O3" s="76"/>
      <c r="P3" s="76"/>
      <c r="Q3" s="76"/>
      <c r="R3" s="76"/>
      <c r="S3" s="76"/>
      <c r="T3" s="76"/>
      <c r="U3" s="76"/>
      <c r="V3" s="76"/>
      <c r="W3" s="71"/>
      <c r="X3" s="70"/>
      <c r="Y3" s="70"/>
      <c r="Z3" s="70"/>
      <c r="AA3" s="70"/>
      <c r="AB3" s="1464"/>
      <c r="AC3" s="1465"/>
      <c r="AD3" s="72"/>
      <c r="AE3" s="69"/>
    </row>
    <row r="4" spans="1:61" ht="14.1" customHeight="1">
      <c r="B4" s="2" t="s">
        <v>0</v>
      </c>
      <c r="C4" s="2"/>
      <c r="D4" s="2"/>
      <c r="E4" s="2"/>
      <c r="F4" s="2"/>
      <c r="G4" s="2"/>
      <c r="K4" s="8"/>
      <c r="P4" s="7"/>
      <c r="S4" s="7"/>
      <c r="V4" s="2"/>
      <c r="W4" s="2"/>
      <c r="AB4" s="1466"/>
      <c r="AC4" s="1467"/>
      <c r="AD4" s="7"/>
      <c r="AE4" s="2"/>
    </row>
    <row r="5" spans="1:61" ht="12.75" customHeight="1">
      <c r="B5" s="2" t="s">
        <v>118</v>
      </c>
      <c r="C5" s="2"/>
      <c r="D5" s="2"/>
      <c r="E5" s="2"/>
      <c r="F5" s="2"/>
      <c r="G5" s="2"/>
      <c r="K5" s="85"/>
      <c r="L5" s="85"/>
      <c r="M5" s="85"/>
      <c r="N5" s="85"/>
      <c r="O5" s="85"/>
      <c r="P5" s="7"/>
      <c r="S5" s="7"/>
      <c r="V5" s="2"/>
      <c r="W5" s="2"/>
      <c r="AB5" s="1457" t="s">
        <v>34</v>
      </c>
      <c r="AC5" s="1458"/>
      <c r="AD5" s="2"/>
      <c r="AE5" s="2"/>
    </row>
    <row r="6" spans="1:61" ht="12.95" customHeight="1">
      <c r="B6" s="73"/>
      <c r="C6" s="73"/>
      <c r="D6" s="73"/>
      <c r="E6" s="73"/>
      <c r="F6" s="2"/>
      <c r="G6" s="2"/>
      <c r="P6" s="84"/>
      <c r="S6" s="7"/>
      <c r="V6" s="2"/>
      <c r="W6" s="2"/>
      <c r="AC6" s="2"/>
      <c r="AD6" s="2"/>
      <c r="AE6" s="2"/>
      <c r="BD6" s="1463" t="s">
        <v>35</v>
      </c>
      <c r="BE6" s="1463"/>
    </row>
    <row r="7" spans="1:61" ht="3.75" hidden="1" customHeight="1">
      <c r="B7" s="2"/>
      <c r="C7" s="2"/>
      <c r="D7" s="2"/>
      <c r="E7" s="2"/>
      <c r="F7" s="2"/>
      <c r="G7" s="2"/>
      <c r="P7" s="7"/>
      <c r="S7" s="7"/>
      <c r="V7" s="1459"/>
      <c r="W7" s="1459"/>
      <c r="X7" s="5"/>
      <c r="Y7" s="6"/>
      <c r="Z7" s="1457" t="s">
        <v>1</v>
      </c>
      <c r="AA7" s="1415"/>
      <c r="AB7" s="10"/>
      <c r="BD7" s="1463"/>
      <c r="BE7" s="1463"/>
    </row>
    <row r="8" spans="1:61" ht="12" customHeight="1">
      <c r="B8" s="2"/>
      <c r="C8" s="2"/>
      <c r="D8" s="2"/>
      <c r="E8" s="2"/>
      <c r="F8" s="2"/>
      <c r="G8" s="2"/>
      <c r="P8" s="7"/>
      <c r="S8" s="7"/>
      <c r="V8" s="1459"/>
      <c r="W8" s="1459"/>
      <c r="X8" s="11"/>
      <c r="Y8" s="11"/>
      <c r="Z8" s="11"/>
      <c r="AA8" s="11"/>
      <c r="AB8" s="11"/>
      <c r="BD8" s="1463"/>
      <c r="BE8" s="1463"/>
    </row>
    <row r="9" spans="1:61" ht="15.75" customHeight="1">
      <c r="B9" s="2"/>
      <c r="C9" s="2"/>
      <c r="D9" s="2"/>
      <c r="E9" s="2"/>
      <c r="F9" s="2"/>
      <c r="G9" s="2"/>
      <c r="H9" s="328"/>
      <c r="I9" s="3" t="s">
        <v>98</v>
      </c>
      <c r="P9" s="7"/>
      <c r="S9" s="7"/>
      <c r="V9" s="9"/>
      <c r="W9" s="9"/>
      <c r="X9" s="10"/>
      <c r="Y9" s="9"/>
      <c r="Z9" s="9"/>
      <c r="AA9" s="10"/>
      <c r="AB9" s="1450"/>
      <c r="AC9" s="1450"/>
      <c r="AD9" s="1444"/>
      <c r="AE9" s="1444"/>
      <c r="AG9" s="86" t="s">
        <v>31</v>
      </c>
      <c r="BD9" s="1463"/>
      <c r="BE9" s="1463"/>
    </row>
    <row r="10" spans="1:61" ht="14.25" customHeight="1" thickBot="1">
      <c r="B10" s="12" t="s">
        <v>2</v>
      </c>
      <c r="C10" s="77">
        <f ca="1">NOW()</f>
        <v>46093.48149085648</v>
      </c>
      <c r="D10" s="13"/>
      <c r="E10" s="13"/>
      <c r="F10" s="14"/>
      <c r="G10" s="14"/>
      <c r="H10" s="15"/>
      <c r="I10" s="15"/>
      <c r="N10" s="16"/>
      <c r="O10" s="16"/>
      <c r="P10" s="16"/>
      <c r="Q10" s="17"/>
      <c r="T10" s="18"/>
      <c r="W10" s="18"/>
      <c r="Z10" s="18"/>
    </row>
    <row r="11" spans="1:61" ht="15.95" customHeight="1">
      <c r="A11" s="1505" t="s">
        <v>3</v>
      </c>
      <c r="B11" s="1506"/>
      <c r="C11" s="1428" t="s">
        <v>4</v>
      </c>
      <c r="D11" s="1431" t="s">
        <v>5</v>
      </c>
      <c r="E11" s="1499" t="s">
        <v>6</v>
      </c>
      <c r="F11" s="1428" t="s">
        <v>7</v>
      </c>
      <c r="G11" s="1499" t="s">
        <v>30</v>
      </c>
      <c r="H11" s="1535" t="s">
        <v>75</v>
      </c>
      <c r="I11" s="1536"/>
      <c r="J11" s="449" t="str">
        <f>GUM!I11</f>
        <v>FEB</v>
      </c>
      <c r="K11" s="450"/>
      <c r="L11" s="451"/>
      <c r="M11" s="449" t="str">
        <f>GUM!L11</f>
        <v>MAR</v>
      </c>
      <c r="N11" s="450"/>
      <c r="O11" s="451"/>
      <c r="P11" s="449" t="str">
        <f>GUM!O11</f>
        <v>APR</v>
      </c>
      <c r="Q11" s="450"/>
      <c r="R11" s="451"/>
      <c r="S11" s="449" t="str">
        <f>GUM!R11</f>
        <v>MAY</v>
      </c>
      <c r="T11" s="450"/>
      <c r="U11" s="451"/>
      <c r="V11" s="449" t="str">
        <f>GUM!U11</f>
        <v>JUN</v>
      </c>
      <c r="W11" s="450"/>
      <c r="X11" s="451"/>
      <c r="Y11" s="1436" t="str">
        <f>GUM!X11</f>
        <v>JUL</v>
      </c>
      <c r="Z11" s="1437"/>
      <c r="AA11" s="1438"/>
      <c r="AB11" s="1436" t="str">
        <f>GUM!I11</f>
        <v>FEB</v>
      </c>
      <c r="AC11" s="1437"/>
      <c r="AD11" s="1438"/>
      <c r="AE11" s="1428" t="s">
        <v>8</v>
      </c>
      <c r="AG11" s="1445" t="str">
        <f>J11</f>
        <v>FEB</v>
      </c>
      <c r="AH11" s="1446"/>
      <c r="AI11" s="1447"/>
      <c r="AJ11" s="1445" t="str">
        <f>M11</f>
        <v>MAR</v>
      </c>
      <c r="AK11" s="1446"/>
      <c r="AL11" s="1447"/>
      <c r="AM11" s="1445" t="str">
        <f>P11</f>
        <v>APR</v>
      </c>
      <c r="AN11" s="1446"/>
      <c r="AO11" s="1447"/>
      <c r="AP11" s="1445" t="str">
        <f>S11</f>
        <v>MAY</v>
      </c>
      <c r="AQ11" s="1446"/>
      <c r="AR11" s="1447"/>
      <c r="AS11" s="1445" t="str">
        <f>V11</f>
        <v>JUN</v>
      </c>
      <c r="AT11" s="1446"/>
      <c r="AU11" s="1447"/>
      <c r="AV11" s="1445" t="str">
        <f>Y11</f>
        <v>JUL</v>
      </c>
      <c r="AW11" s="1446"/>
      <c r="AX11" s="1447"/>
      <c r="AY11" s="1445" t="str">
        <f>AB11</f>
        <v>FEB</v>
      </c>
      <c r="AZ11" s="1446"/>
      <c r="BA11" s="1447"/>
    </row>
    <row r="12" spans="1:61" s="19" customFormat="1" ht="15.95" customHeight="1">
      <c r="A12" s="1507"/>
      <c r="B12" s="1508"/>
      <c r="C12" s="1429"/>
      <c r="D12" s="1432"/>
      <c r="E12" s="1500"/>
      <c r="F12" s="1429"/>
      <c r="G12" s="1500"/>
      <c r="H12" s="97" t="s">
        <v>29</v>
      </c>
      <c r="I12" s="78" t="s">
        <v>28</v>
      </c>
      <c r="J12" s="1414" t="str">
        <f>VLOOKUP(J11,[8]Calender!$A$324:$I$383,9,0)</f>
        <v>02/FEB ~ 25/FEB</v>
      </c>
      <c r="K12" s="1415"/>
      <c r="L12" s="1416"/>
      <c r="M12" s="1414" t="str">
        <f>VLOOKUP(M11,[8]Calender!$A$324:$I$383,9,0)</f>
        <v>01/MAR ~ 4/APR</v>
      </c>
      <c r="N12" s="1415"/>
      <c r="O12" s="1416"/>
      <c r="P12" s="1414" t="str">
        <f>VLOOKUP(P11,[8]Calender!$A$324:$I$383,9,0)</f>
        <v>05/APR ~ 30/APR</v>
      </c>
      <c r="Q12" s="1415"/>
      <c r="R12" s="1416"/>
      <c r="S12" s="1414" t="str">
        <f>VLOOKUP(S11,[8]Calender!$A$324:$I$383,9,0)</f>
        <v>03/MAY ~ 27/MAY</v>
      </c>
      <c r="T12" s="1415"/>
      <c r="U12" s="1416"/>
      <c r="V12" s="1414" t="e">
        <f>VLOOKUP(V11,[9]Calender!$A$386:$I$400,9,0)</f>
        <v>#N/A</v>
      </c>
      <c r="W12" s="1415"/>
      <c r="X12" s="1416"/>
      <c r="Y12" s="1414" t="e">
        <f>VLOOKUP(Y11,[10]Calender!$A$386:$I$424,9,0)</f>
        <v>#N/A</v>
      </c>
      <c r="Z12" s="1415"/>
      <c r="AA12" s="1416"/>
      <c r="AB12" s="1414" t="str">
        <f>VLOOKUP(AB11,[10]Calender!$A$386:$I$424,9,0)</f>
        <v>01/FEB ~ 28/FEB</v>
      </c>
      <c r="AC12" s="1415"/>
      <c r="AD12" s="1416"/>
      <c r="AE12" s="1429"/>
      <c r="AF12" s="1"/>
      <c r="AG12" s="1449" t="str">
        <f>J12</f>
        <v>02/FEB ~ 25/FEB</v>
      </c>
      <c r="AH12" s="1442"/>
      <c r="AI12" s="1443"/>
      <c r="AJ12" s="1441" t="str">
        <f>M12</f>
        <v>01/MAR ~ 4/APR</v>
      </c>
      <c r="AK12" s="1442"/>
      <c r="AL12" s="1443"/>
      <c r="AM12" s="1441" t="str">
        <f>P12</f>
        <v>05/APR ~ 30/APR</v>
      </c>
      <c r="AN12" s="1442"/>
      <c r="AO12" s="1443"/>
      <c r="AP12" s="1441" t="str">
        <f>S12</f>
        <v>03/MAY ~ 27/MAY</v>
      </c>
      <c r="AQ12" s="1442"/>
      <c r="AR12" s="1443"/>
      <c r="AS12" s="1441" t="e">
        <f>V12</f>
        <v>#N/A</v>
      </c>
      <c r="AT12" s="1442"/>
      <c r="AU12" s="1443"/>
      <c r="AV12" s="1441" t="e">
        <f>Y12</f>
        <v>#N/A</v>
      </c>
      <c r="AW12" s="1442"/>
      <c r="AX12" s="1443"/>
      <c r="AY12" s="1441" t="str">
        <f>AB12</f>
        <v>01/FEB ~ 28/FEB</v>
      </c>
      <c r="AZ12" s="1442"/>
      <c r="BA12" s="1443"/>
      <c r="BC12" s="99" t="str">
        <f>M11</f>
        <v>MAR</v>
      </c>
      <c r="BD12" s="99" t="str">
        <f>P11</f>
        <v>APR</v>
      </c>
      <c r="BE12" s="99" t="str">
        <f>S11</f>
        <v>MAY</v>
      </c>
      <c r="BF12" s="99" t="str">
        <f>V11</f>
        <v>JUN</v>
      </c>
      <c r="BG12" s="100" t="str">
        <f>Y11</f>
        <v>JUL</v>
      </c>
      <c r="BH12" s="100" t="str">
        <f>AB11</f>
        <v>FEB</v>
      </c>
    </row>
    <row r="13" spans="1:61" ht="15.95" customHeight="1" thickBot="1">
      <c r="A13" s="1509"/>
      <c r="B13" s="1510"/>
      <c r="C13" s="1430"/>
      <c r="D13" s="1433"/>
      <c r="E13" s="1501"/>
      <c r="F13" s="1430"/>
      <c r="G13" s="1501"/>
      <c r="H13" s="98">
        <v>2010</v>
      </c>
      <c r="I13" s="79">
        <v>2010</v>
      </c>
      <c r="J13" s="20" t="s">
        <v>8</v>
      </c>
      <c r="K13" s="21" t="s">
        <v>9</v>
      </c>
      <c r="L13" s="22" t="s">
        <v>10</v>
      </c>
      <c r="M13" s="20" t="s">
        <v>8</v>
      </c>
      <c r="N13" s="21" t="s">
        <v>9</v>
      </c>
      <c r="O13" s="22" t="s">
        <v>10</v>
      </c>
      <c r="P13" s="20" t="s">
        <v>8</v>
      </c>
      <c r="Q13" s="21" t="s">
        <v>9</v>
      </c>
      <c r="R13" s="22" t="s">
        <v>10</v>
      </c>
      <c r="S13" s="20" t="s">
        <v>8</v>
      </c>
      <c r="T13" s="21" t="s">
        <v>9</v>
      </c>
      <c r="U13" s="22" t="s">
        <v>10</v>
      </c>
      <c r="V13" s="20" t="s">
        <v>8</v>
      </c>
      <c r="W13" s="21" t="s">
        <v>9</v>
      </c>
      <c r="X13" s="22" t="s">
        <v>10</v>
      </c>
      <c r="Y13" s="20" t="s">
        <v>8</v>
      </c>
      <c r="Z13" s="21" t="s">
        <v>9</v>
      </c>
      <c r="AA13" s="22" t="s">
        <v>10</v>
      </c>
      <c r="AB13" s="20" t="s">
        <v>8</v>
      </c>
      <c r="AC13" s="21" t="s">
        <v>9</v>
      </c>
      <c r="AD13" s="22" t="s">
        <v>10</v>
      </c>
      <c r="AE13" s="1430"/>
      <c r="AG13" s="87" t="str">
        <f>J13</f>
        <v>BAL</v>
      </c>
      <c r="AH13" s="88" t="str">
        <f>K13</f>
        <v>DEL</v>
      </c>
      <c r="AI13" s="89" t="str">
        <f>L13</f>
        <v>PROD</v>
      </c>
      <c r="AJ13" s="90" t="str">
        <f>M13</f>
        <v>BAL</v>
      </c>
      <c r="AK13" s="88" t="str">
        <f>N13</f>
        <v>DEL</v>
      </c>
      <c r="AL13" s="91" t="str">
        <f>O13</f>
        <v>PROD</v>
      </c>
      <c r="AM13" s="87" t="str">
        <f>P13</f>
        <v>BAL</v>
      </c>
      <c r="AN13" s="88" t="str">
        <f>Q13</f>
        <v>DEL</v>
      </c>
      <c r="AO13" s="89" t="str">
        <f>R13</f>
        <v>PROD</v>
      </c>
      <c r="AP13" s="90" t="str">
        <f>S13</f>
        <v>BAL</v>
      </c>
      <c r="AQ13" s="88" t="str">
        <f>T13</f>
        <v>DEL</v>
      </c>
      <c r="AR13" s="91" t="str">
        <f>U13</f>
        <v>PROD</v>
      </c>
      <c r="AS13" s="87" t="str">
        <f>V13</f>
        <v>BAL</v>
      </c>
      <c r="AT13" s="88" t="str">
        <f>W13</f>
        <v>DEL</v>
      </c>
      <c r="AU13" s="89" t="str">
        <f>X13</f>
        <v>PROD</v>
      </c>
      <c r="AV13" s="90" t="str">
        <f>Y13</f>
        <v>BAL</v>
      </c>
      <c r="AW13" s="88" t="str">
        <f>Z13</f>
        <v>DEL</v>
      </c>
      <c r="AX13" s="91" t="str">
        <f>AA13</f>
        <v>PROD</v>
      </c>
      <c r="AY13" s="87" t="str">
        <f>AB13</f>
        <v>BAL</v>
      </c>
      <c r="AZ13" s="88" t="str">
        <f>AC13</f>
        <v>DEL</v>
      </c>
      <c r="BA13" s="89" t="str">
        <f>AD13</f>
        <v>PROD</v>
      </c>
      <c r="BB13" s="82"/>
      <c r="BC13" s="99">
        <v>5</v>
      </c>
      <c r="BD13" s="99">
        <v>4</v>
      </c>
      <c r="BE13" s="99">
        <v>4</v>
      </c>
      <c r="BF13" s="99">
        <v>5</v>
      </c>
      <c r="BG13" s="99">
        <v>4</v>
      </c>
      <c r="BH13" s="99">
        <v>4</v>
      </c>
      <c r="BI13" s="96"/>
    </row>
    <row r="14" spans="1:61" s="113" customFormat="1" ht="20.100000000000001" customHeight="1" thickBot="1">
      <c r="A14" s="1555" t="s">
        <v>65</v>
      </c>
      <c r="B14" s="1557" t="s">
        <v>67</v>
      </c>
      <c r="C14" s="324" t="s">
        <v>76</v>
      </c>
      <c r="D14" s="104" t="str">
        <f>VLOOKUP(C14,[11]PRIUS!$C$3:$I$26,2,0)</f>
        <v>0902</v>
      </c>
      <c r="E14" s="104" t="str">
        <f>VLOOKUP(C14,[12]PRIUS!$C$3:$F$17,4,0)</f>
        <v>A424</v>
      </c>
      <c r="F14" s="105">
        <v>304</v>
      </c>
      <c r="G14" s="105">
        <v>6</v>
      </c>
      <c r="H14" s="106">
        <f>VLOOKUP(C14,[13]PRIUS!$C$3:$I$34,3,0)</f>
        <v>4.148063333333333</v>
      </c>
      <c r="I14" s="107">
        <f>VLOOKUP(C14,[13]PRIUS!$C$3:$I$34,7,0)</f>
        <v>4.1261000000000001</v>
      </c>
      <c r="J14" s="108" t="e">
        <f>(GUM!#REF!-(GUM!#REF!*0.2))</f>
        <v>#REF!</v>
      </c>
      <c r="K14" s="109" t="e">
        <f>(GUM!#REF!-(GUM!#REF!*0.2))</f>
        <v>#REF!</v>
      </c>
      <c r="L14" s="110" t="e">
        <f>(GUM!#REF!-(GUM!#REF!*0.2))</f>
        <v>#REF!</v>
      </c>
      <c r="M14" s="108" t="e">
        <f>(GUM!#REF!-(GUM!#REF!*0.2))</f>
        <v>#REF!</v>
      </c>
      <c r="N14" s="109" t="e">
        <f>(GUM!#REF!-(GUM!#REF!*0.2))</f>
        <v>#REF!</v>
      </c>
      <c r="O14" s="110" t="e">
        <f>(GUM!#REF!-(GUM!#REF!*0.2))</f>
        <v>#REF!</v>
      </c>
      <c r="P14" s="108" t="e">
        <f>(GUM!#REF!-(GUM!#REF!*0.2))</f>
        <v>#REF!</v>
      </c>
      <c r="Q14" s="109" t="e">
        <f>(GUM!#REF!-(GUM!#REF!*0.2))</f>
        <v>#REF!</v>
      </c>
      <c r="R14" s="110" t="e">
        <f>(GUM!#REF!-(GUM!#REF!*0.2))</f>
        <v>#REF!</v>
      </c>
      <c r="S14" s="108" t="e">
        <f>(GUM!#REF!-(GUM!#REF!*0.2))</f>
        <v>#REF!</v>
      </c>
      <c r="T14" s="109" t="e">
        <f>(GUM!#REF!-(GUM!#REF!*0.2))</f>
        <v>#REF!</v>
      </c>
      <c r="U14" s="110" t="e">
        <f>(GUM!#REF!-(GUM!#REF!*0.2))</f>
        <v>#REF!</v>
      </c>
      <c r="V14" s="108" t="e">
        <f>(GUM!#REF!-(GUM!#REF!*0.2))</f>
        <v>#REF!</v>
      </c>
      <c r="W14" s="109" t="e">
        <f>(GUM!#REF!-(GUM!#REF!*0.2))</f>
        <v>#REF!</v>
      </c>
      <c r="X14" s="110" t="e">
        <f>(GUM!#REF!-(GUM!#REF!*0.2))</f>
        <v>#REF!</v>
      </c>
      <c r="Y14" s="108" t="e">
        <f>(GUM!#REF!-(GUM!#REF!*0.2))</f>
        <v>#REF!</v>
      </c>
      <c r="Z14" s="109" t="e">
        <f>(GUM!#REF!-(GUM!#REF!*0.2))</f>
        <v>#REF!</v>
      </c>
      <c r="AA14" s="110" t="e">
        <f>(GUM!#REF!-(GUM!#REF!*0.2))</f>
        <v>#REF!</v>
      </c>
      <c r="AB14" s="108" t="e">
        <f>(GUM!#REF!-(GUM!#REF!*0.2))</f>
        <v>#REF!</v>
      </c>
      <c r="AC14" s="111" t="e">
        <f>(GUM!#REF!-(GUM!#REF!*0.2))</f>
        <v>#REF!</v>
      </c>
      <c r="AD14" s="110" t="e">
        <f>(GUM!#REF!-(GUM!#REF!*0.2))</f>
        <v>#REF!</v>
      </c>
      <c r="AE14" s="112" t="e">
        <f>(GUM!#REF!-(GUM!#REF!*0.2))</f>
        <v>#REF!</v>
      </c>
      <c r="AF14" s="113">
        <v>1</v>
      </c>
      <c r="AG14" s="114" t="e">
        <f t="shared" ref="AG14:AJ29" si="0">J14*$F14</f>
        <v>#REF!</v>
      </c>
      <c r="AH14" s="115" t="e">
        <f t="shared" si="0"/>
        <v>#REF!</v>
      </c>
      <c r="AI14" s="116" t="e">
        <f t="shared" si="0"/>
        <v>#REF!</v>
      </c>
      <c r="AJ14" s="117" t="e">
        <f t="shared" si="0"/>
        <v>#REF!</v>
      </c>
      <c r="AK14" s="115" t="e">
        <f t="shared" ref="AK14:AK19" si="1">K14*$F14</f>
        <v>#REF!</v>
      </c>
      <c r="AL14" s="116" t="e">
        <f t="shared" ref="AL14:AM29" si="2">O14*$F14</f>
        <v>#REF!</v>
      </c>
      <c r="AM14" s="117" t="e">
        <f t="shared" si="2"/>
        <v>#REF!</v>
      </c>
      <c r="AN14" s="115" t="e">
        <f t="shared" ref="AN14:AN19" si="3">N14*$F14</f>
        <v>#REF!</v>
      </c>
      <c r="AO14" s="116" t="e">
        <f t="shared" ref="AO14:AP29" si="4">R14*$F14</f>
        <v>#REF!</v>
      </c>
      <c r="AP14" s="117" t="e">
        <f t="shared" si="4"/>
        <v>#REF!</v>
      </c>
      <c r="AQ14" s="115" t="e">
        <f t="shared" ref="AQ14:AQ19" si="5">Q14*$F14</f>
        <v>#REF!</v>
      </c>
      <c r="AR14" s="116" t="e">
        <f t="shared" ref="AR14:AS29" si="6">U14*$F14</f>
        <v>#REF!</v>
      </c>
      <c r="AS14" s="117" t="e">
        <f t="shared" si="6"/>
        <v>#REF!</v>
      </c>
      <c r="AT14" s="115" t="e">
        <f t="shared" ref="AT14:AT19" si="7">T14*$F14</f>
        <v>#REF!</v>
      </c>
      <c r="AU14" s="116" t="e">
        <f t="shared" ref="AU14:AV29" si="8">X14*$F14</f>
        <v>#REF!</v>
      </c>
      <c r="AV14" s="117" t="e">
        <f t="shared" si="8"/>
        <v>#REF!</v>
      </c>
      <c r="AW14" s="115" t="e">
        <f t="shared" ref="AW14:AW19" si="9">W14*$F14</f>
        <v>#REF!</v>
      </c>
      <c r="AX14" s="116" t="e">
        <f t="shared" ref="AX14:AY29" si="10">AA14*$F14</f>
        <v>#REF!</v>
      </c>
      <c r="AY14" s="117" t="e">
        <f t="shared" si="10"/>
        <v>#REF!</v>
      </c>
      <c r="AZ14" s="118" t="e">
        <f t="shared" ref="AZ14:AZ19" si="11">Z14*$F14</f>
        <v>#REF!</v>
      </c>
      <c r="BA14" s="119" t="e">
        <f t="shared" ref="BA14:BA29" si="12">AD14*$F14</f>
        <v>#REF!</v>
      </c>
      <c r="BB14" s="103" t="s">
        <v>51</v>
      </c>
      <c r="BC14" s="121" t="e">
        <f>ROUNDUP(O14/$BC$13,0)</f>
        <v>#REF!</v>
      </c>
      <c r="BD14" s="121" t="e">
        <f>ROUNDUP(R14/$BD$13,0)</f>
        <v>#REF!</v>
      </c>
      <c r="BE14" s="121" t="e">
        <f>ROUNDUP(U14/$BE$13,0)</f>
        <v>#REF!</v>
      </c>
      <c r="BF14" s="121" t="e">
        <f>ROUNDUP(X14/$BF$13,0)</f>
        <v>#REF!</v>
      </c>
      <c r="BG14" s="121" t="e">
        <f>ROUNDUP(AA14/$BG$13,0)</f>
        <v>#REF!</v>
      </c>
      <c r="BH14" s="121" t="e">
        <f>ROUNDUP(AD14/$BH$13,0)</f>
        <v>#REF!</v>
      </c>
      <c r="BI14" s="113">
        <v>1</v>
      </c>
    </row>
    <row r="15" spans="1:61" s="113" customFormat="1" ht="20.100000000000001" customHeight="1" thickBot="1">
      <c r="A15" s="1556"/>
      <c r="B15" s="1543"/>
      <c r="C15" s="311" t="s">
        <v>77</v>
      </c>
      <c r="D15" s="123" t="str">
        <f>VLOOKUP(C15,[11]PRIUS!$C$3:$I$26,2,0)</f>
        <v>0902</v>
      </c>
      <c r="E15" s="123">
        <f>VLOOKUP(C15,[12]PRIUS!$C$3:$F$17,4,0)</f>
        <v>9911</v>
      </c>
      <c r="F15" s="124">
        <v>323</v>
      </c>
      <c r="G15" s="124">
        <v>6</v>
      </c>
      <c r="H15" s="329">
        <f>VLOOKUP(C15,[13]PRIUS!$C$3:$I$34,3,0)</f>
        <v>4.2796599999999989</v>
      </c>
      <c r="I15" s="107">
        <f>VLOOKUP(C15,[13]PRIUS!$C$3:$I$34,7,0)</f>
        <v>4.2541000000000002</v>
      </c>
      <c r="J15" s="126" t="e">
        <f>(GUM!#REF!-(GUM!#REF!*0.2))</f>
        <v>#REF!</v>
      </c>
      <c r="K15" s="127" t="e">
        <f>(GUM!#REF!-(GUM!#REF!*0.2))</f>
        <v>#REF!</v>
      </c>
      <c r="L15" s="128" t="e">
        <f>(GUM!#REF!-(GUM!#REF!*0.2))</f>
        <v>#REF!</v>
      </c>
      <c r="M15" s="126" t="e">
        <f>(GUM!#REF!-(GUM!#REF!*0.2))</f>
        <v>#REF!</v>
      </c>
      <c r="N15" s="127" t="e">
        <f>(GUM!#REF!-(GUM!#REF!*0.2))</f>
        <v>#REF!</v>
      </c>
      <c r="O15" s="128" t="e">
        <f>(GUM!#REF!-(GUM!#REF!*0.2))</f>
        <v>#REF!</v>
      </c>
      <c r="P15" s="126" t="e">
        <f>(GUM!#REF!-(GUM!#REF!*0.2))</f>
        <v>#REF!</v>
      </c>
      <c r="Q15" s="127" t="e">
        <f>(GUM!#REF!-(GUM!#REF!*0.2))</f>
        <v>#REF!</v>
      </c>
      <c r="R15" s="128" t="e">
        <f>(GUM!#REF!-(GUM!#REF!*0.2))</f>
        <v>#REF!</v>
      </c>
      <c r="S15" s="126" t="e">
        <f>(GUM!#REF!-(GUM!#REF!*0.2))</f>
        <v>#REF!</v>
      </c>
      <c r="T15" s="127" t="e">
        <f>(GUM!#REF!-(GUM!#REF!*0.2))</f>
        <v>#REF!</v>
      </c>
      <c r="U15" s="128" t="e">
        <f>(GUM!#REF!-(GUM!#REF!*0.2))</f>
        <v>#REF!</v>
      </c>
      <c r="V15" s="126" t="e">
        <f>(GUM!#REF!-(GUM!#REF!*0.2))</f>
        <v>#REF!</v>
      </c>
      <c r="W15" s="127" t="e">
        <f>(GUM!#REF!-(GUM!#REF!*0.2))</f>
        <v>#REF!</v>
      </c>
      <c r="X15" s="128" t="e">
        <f>(GUM!#REF!-(GUM!#REF!*0.2))</f>
        <v>#REF!</v>
      </c>
      <c r="Y15" s="126" t="e">
        <f>(GUM!#REF!-(GUM!#REF!*0.2))</f>
        <v>#REF!</v>
      </c>
      <c r="Z15" s="127" t="e">
        <f>(GUM!#REF!-(GUM!#REF!*0.2))</f>
        <v>#REF!</v>
      </c>
      <c r="AA15" s="128" t="e">
        <f>(GUM!#REF!-(GUM!#REF!*0.2))</f>
        <v>#REF!</v>
      </c>
      <c r="AB15" s="126" t="e">
        <f>(GUM!#REF!-(GUM!#REF!*0.2))</f>
        <v>#REF!</v>
      </c>
      <c r="AC15" s="129" t="e">
        <f>(GUM!#REF!-(GUM!#REF!*0.2))</f>
        <v>#REF!</v>
      </c>
      <c r="AD15" s="128" t="e">
        <f>(GUM!#REF!-(GUM!#REF!*0.2))</f>
        <v>#REF!</v>
      </c>
      <c r="AE15" s="130" t="e">
        <f>(GUM!#REF!-(GUM!#REF!*0.2))</f>
        <v>#REF!</v>
      </c>
      <c r="AF15" s="113">
        <f>AF14+1</f>
        <v>2</v>
      </c>
      <c r="AG15" s="114" t="e">
        <f t="shared" si="0"/>
        <v>#REF!</v>
      </c>
      <c r="AH15" s="115" t="e">
        <f t="shared" si="0"/>
        <v>#REF!</v>
      </c>
      <c r="AI15" s="116" t="e">
        <f t="shared" si="0"/>
        <v>#REF!</v>
      </c>
      <c r="AJ15" s="117" t="e">
        <f t="shared" si="0"/>
        <v>#REF!</v>
      </c>
      <c r="AK15" s="115" t="e">
        <f t="shared" si="1"/>
        <v>#REF!</v>
      </c>
      <c r="AL15" s="116" t="e">
        <f t="shared" si="2"/>
        <v>#REF!</v>
      </c>
      <c r="AM15" s="117" t="e">
        <f t="shared" si="2"/>
        <v>#REF!</v>
      </c>
      <c r="AN15" s="115" t="e">
        <f t="shared" si="3"/>
        <v>#REF!</v>
      </c>
      <c r="AO15" s="116" t="e">
        <f t="shared" si="4"/>
        <v>#REF!</v>
      </c>
      <c r="AP15" s="117" t="e">
        <f t="shared" si="4"/>
        <v>#REF!</v>
      </c>
      <c r="AQ15" s="115" t="e">
        <f t="shared" si="5"/>
        <v>#REF!</v>
      </c>
      <c r="AR15" s="116" t="e">
        <f t="shared" si="6"/>
        <v>#REF!</v>
      </c>
      <c r="AS15" s="117" t="e">
        <f t="shared" si="6"/>
        <v>#REF!</v>
      </c>
      <c r="AT15" s="115" t="e">
        <f t="shared" si="7"/>
        <v>#REF!</v>
      </c>
      <c r="AU15" s="116" t="e">
        <f t="shared" si="8"/>
        <v>#REF!</v>
      </c>
      <c r="AV15" s="117" t="e">
        <f t="shared" si="8"/>
        <v>#REF!</v>
      </c>
      <c r="AW15" s="115" t="e">
        <f t="shared" si="9"/>
        <v>#REF!</v>
      </c>
      <c r="AX15" s="116" t="e">
        <f t="shared" si="10"/>
        <v>#REF!</v>
      </c>
      <c r="AY15" s="117" t="e">
        <f t="shared" si="10"/>
        <v>#REF!</v>
      </c>
      <c r="AZ15" s="118" t="e">
        <f t="shared" si="11"/>
        <v>#REF!</v>
      </c>
      <c r="BA15" s="119" t="e">
        <f t="shared" si="12"/>
        <v>#REF!</v>
      </c>
      <c r="BB15" s="122" t="s">
        <v>52</v>
      </c>
      <c r="BC15" s="121" t="e">
        <f t="shared" ref="BC15:BC45" si="13">ROUNDUP(O15/$BC$13,0)</f>
        <v>#REF!</v>
      </c>
      <c r="BD15" s="121" t="e">
        <f>ROUNDUP(R15/$BD$13,0)</f>
        <v>#REF!</v>
      </c>
      <c r="BE15" s="121" t="e">
        <f t="shared" ref="BE15:BE45" si="14">ROUNDUP(U15/$BE$13,0)</f>
        <v>#REF!</v>
      </c>
      <c r="BF15" s="121" t="e">
        <f t="shared" ref="BF15:BF45" si="15">ROUNDUP(X15/$BF$13,0)</f>
        <v>#REF!</v>
      </c>
      <c r="BG15" s="121" t="e">
        <f t="shared" ref="BG15:BG45" si="16">ROUNDUP(AA15/$BG$13,0)</f>
        <v>#REF!</v>
      </c>
      <c r="BH15" s="121" t="e">
        <f t="shared" ref="BH15:BH45" si="17">ROUNDUP(AD15/$BH$13,0)</f>
        <v>#REF!</v>
      </c>
      <c r="BI15" s="113">
        <f>BI14+1</f>
        <v>2</v>
      </c>
    </row>
    <row r="16" spans="1:61" s="268" customFormat="1" ht="20.100000000000001" customHeight="1">
      <c r="A16" s="1556"/>
      <c r="B16" s="1558"/>
      <c r="C16" s="323" t="s">
        <v>73</v>
      </c>
      <c r="D16" s="123" t="str">
        <f>VLOOKUP(C16,[11]PRIUS!$C$3:$I$26,2,0)</f>
        <v>0301</v>
      </c>
      <c r="E16" s="276">
        <f>VLOOKUP(C16,[12]PRIUS!$C$3:$F$17,4,0)</f>
        <v>7887</v>
      </c>
      <c r="F16" s="261"/>
      <c r="G16" s="261">
        <v>6</v>
      </c>
      <c r="H16" s="182">
        <f>VLOOKUP(C16,[13]PRIUS!$C$3:$I$34,3,0)</f>
        <v>4.2561799999999996</v>
      </c>
      <c r="I16" s="330">
        <f>VLOOKUP(C16,[13]PRIUS!$C$3:$I$34,7,0)</f>
        <v>4.2483000000000004</v>
      </c>
      <c r="J16" s="263" t="e">
        <f>(GUM!#REF!-(GUM!#REF!*0.2))</f>
        <v>#REF!</v>
      </c>
      <c r="K16" s="264" t="e">
        <f>(GUM!#REF!-(GUM!#REF!*0.2))</f>
        <v>#REF!</v>
      </c>
      <c r="L16" s="265" t="e">
        <f>(GUM!#REF!-(GUM!#REF!*0.2))</f>
        <v>#REF!</v>
      </c>
      <c r="M16" s="263" t="e">
        <f>(GUM!#REF!-(GUM!#REF!*0.2))</f>
        <v>#REF!</v>
      </c>
      <c r="N16" s="264" t="e">
        <f>(GUM!#REF!-(GUM!#REF!*0.2))</f>
        <v>#REF!</v>
      </c>
      <c r="O16" s="265" t="e">
        <f>(GUM!#REF!-(GUM!#REF!*0.2))</f>
        <v>#REF!</v>
      </c>
      <c r="P16" s="263" t="e">
        <f>(GUM!#REF!-(GUM!#REF!*0.2))</f>
        <v>#REF!</v>
      </c>
      <c r="Q16" s="264" t="e">
        <f>(GUM!#REF!-(GUM!#REF!*0.2))</f>
        <v>#REF!</v>
      </c>
      <c r="R16" s="265" t="e">
        <f>(GUM!#REF!-(GUM!#REF!*0.2))</f>
        <v>#REF!</v>
      </c>
      <c r="S16" s="263" t="e">
        <f>(GUM!#REF!-(GUM!#REF!*0.2))</f>
        <v>#REF!</v>
      </c>
      <c r="T16" s="264" t="e">
        <f>(GUM!#REF!-(GUM!#REF!*0.2))</f>
        <v>#REF!</v>
      </c>
      <c r="U16" s="265" t="e">
        <f>(GUM!#REF!-(GUM!#REF!*0.2))</f>
        <v>#REF!</v>
      </c>
      <c r="V16" s="263" t="e">
        <f>(GUM!#REF!-(GUM!#REF!*0.2))</f>
        <v>#REF!</v>
      </c>
      <c r="W16" s="264" t="e">
        <f>(GUM!#REF!-(GUM!#REF!*0.2))</f>
        <v>#REF!</v>
      </c>
      <c r="X16" s="265" t="e">
        <f>(GUM!#REF!-(GUM!#REF!*0.2))</f>
        <v>#REF!</v>
      </c>
      <c r="Y16" s="263" t="e">
        <f>(GUM!#REF!-(GUM!#REF!*0.2))</f>
        <v>#REF!</v>
      </c>
      <c r="Z16" s="264" t="e">
        <f>(GUM!#REF!-(GUM!#REF!*0.2))</f>
        <v>#REF!</v>
      </c>
      <c r="AA16" s="265" t="e">
        <f>(GUM!#REF!-(GUM!#REF!*0.2))</f>
        <v>#REF!</v>
      </c>
      <c r="AB16" s="263" t="e">
        <f>(GUM!#REF!-(GUM!#REF!*0.2))</f>
        <v>#REF!</v>
      </c>
      <c r="AC16" s="266" t="e">
        <f>(GUM!#REF!-(GUM!#REF!*0.2))</f>
        <v>#REF!</v>
      </c>
      <c r="AD16" s="265" t="e">
        <f>(GUM!#REF!-(GUM!#REF!*0.2))</f>
        <v>#REF!</v>
      </c>
      <c r="AE16" s="267" t="e">
        <f>(GUM!#REF!-(GUM!#REF!*0.2))</f>
        <v>#REF!</v>
      </c>
      <c r="AF16" s="113">
        <f t="shared" ref="AF16:AF54" si="18">AF15+1</f>
        <v>3</v>
      </c>
      <c r="AG16" s="269" t="e">
        <f t="shared" si="0"/>
        <v>#REF!</v>
      </c>
      <c r="AH16" s="270" t="e">
        <f t="shared" si="0"/>
        <v>#REF!</v>
      </c>
      <c r="AI16" s="271" t="e">
        <f t="shared" si="0"/>
        <v>#REF!</v>
      </c>
      <c r="AJ16" s="272" t="e">
        <f t="shared" si="0"/>
        <v>#REF!</v>
      </c>
      <c r="AK16" s="270" t="e">
        <f t="shared" si="1"/>
        <v>#REF!</v>
      </c>
      <c r="AL16" s="271" t="e">
        <f t="shared" si="2"/>
        <v>#REF!</v>
      </c>
      <c r="AM16" s="272" t="e">
        <f t="shared" si="2"/>
        <v>#REF!</v>
      </c>
      <c r="AN16" s="270" t="e">
        <f t="shared" si="3"/>
        <v>#REF!</v>
      </c>
      <c r="AO16" s="271" t="e">
        <f t="shared" si="4"/>
        <v>#REF!</v>
      </c>
      <c r="AP16" s="272" t="e">
        <f t="shared" si="4"/>
        <v>#REF!</v>
      </c>
      <c r="AQ16" s="270" t="e">
        <f t="shared" si="5"/>
        <v>#REF!</v>
      </c>
      <c r="AR16" s="271" t="e">
        <f t="shared" si="6"/>
        <v>#REF!</v>
      </c>
      <c r="AS16" s="272" t="e">
        <f t="shared" si="6"/>
        <v>#REF!</v>
      </c>
      <c r="AT16" s="270" t="e">
        <f t="shared" si="7"/>
        <v>#REF!</v>
      </c>
      <c r="AU16" s="271" t="e">
        <f t="shared" si="8"/>
        <v>#REF!</v>
      </c>
      <c r="AV16" s="272" t="e">
        <f t="shared" si="8"/>
        <v>#REF!</v>
      </c>
      <c r="AW16" s="270" t="e">
        <f t="shared" si="9"/>
        <v>#REF!</v>
      </c>
      <c r="AX16" s="271" t="e">
        <f t="shared" si="10"/>
        <v>#REF!</v>
      </c>
      <c r="AY16" s="272" t="e">
        <f t="shared" si="10"/>
        <v>#REF!</v>
      </c>
      <c r="AZ16" s="273" t="e">
        <f t="shared" si="11"/>
        <v>#REF!</v>
      </c>
      <c r="BA16" s="274" t="e">
        <f t="shared" si="12"/>
        <v>#REF!</v>
      </c>
      <c r="BB16" s="260" t="s">
        <v>53</v>
      </c>
      <c r="BC16" s="275" t="e">
        <f t="shared" si="13"/>
        <v>#REF!</v>
      </c>
      <c r="BD16" s="275" t="e">
        <f t="shared" ref="BD16:BD41" si="19">ROUNDUP(R16/$BD$13,0)</f>
        <v>#REF!</v>
      </c>
      <c r="BE16" s="275" t="e">
        <f t="shared" si="14"/>
        <v>#REF!</v>
      </c>
      <c r="BF16" s="275" t="e">
        <f t="shared" si="15"/>
        <v>#REF!</v>
      </c>
      <c r="BG16" s="275" t="e">
        <f t="shared" si="16"/>
        <v>#REF!</v>
      </c>
      <c r="BH16" s="275" t="e">
        <f t="shared" si="17"/>
        <v>#REF!</v>
      </c>
      <c r="BI16" s="113">
        <f t="shared" ref="BI16:BI36" si="20">BI15+1</f>
        <v>3</v>
      </c>
    </row>
    <row r="17" spans="1:61" s="113" customFormat="1" ht="20.100000000000001" customHeight="1">
      <c r="A17" s="1556"/>
      <c r="B17" s="1559" t="s">
        <v>68</v>
      </c>
      <c r="C17" s="300" t="s">
        <v>78</v>
      </c>
      <c r="D17" s="123" t="str">
        <f>VLOOKUP(C17,[11]PRIUS!$C$3:$I$26,2,0)</f>
        <v>0902</v>
      </c>
      <c r="E17" s="302" t="str">
        <f>VLOOKUP(C17,[12]PRIUS!$C$3:$F$17,4,0)</f>
        <v>A426</v>
      </c>
      <c r="F17" s="243">
        <v>332</v>
      </c>
      <c r="G17" s="243">
        <v>6</v>
      </c>
      <c r="H17" s="279">
        <f>VLOOKUP(C17,[13]PRIUS!$C$3:$I$34,3,0)</f>
        <v>4.3249983333333324</v>
      </c>
      <c r="I17" s="244">
        <f>VLOOKUP(C17,[13]PRIUS!$C$3:$I$34,7,0)</f>
        <v>4.2968000000000002</v>
      </c>
      <c r="J17" s="245" t="e">
        <f>(GUM!#REF!-(GUM!#REF!*0.2))</f>
        <v>#REF!</v>
      </c>
      <c r="K17" s="246" t="e">
        <f>(GUM!#REF!-(GUM!#REF!*0.2))</f>
        <v>#REF!</v>
      </c>
      <c r="L17" s="247" t="e">
        <f>(GUM!#REF!-(GUM!#REF!*0.2))</f>
        <v>#REF!</v>
      </c>
      <c r="M17" s="245" t="e">
        <f>(GUM!#REF!-(GUM!#REF!*0.2))</f>
        <v>#REF!</v>
      </c>
      <c r="N17" s="246" t="e">
        <f>(GUM!#REF!-(GUM!#REF!*0.2))</f>
        <v>#REF!</v>
      </c>
      <c r="O17" s="247" t="e">
        <f>(GUM!#REF!-(GUM!#REF!*0.2))</f>
        <v>#REF!</v>
      </c>
      <c r="P17" s="245" t="e">
        <f>(GUM!#REF!-(GUM!#REF!*0.2))</f>
        <v>#REF!</v>
      </c>
      <c r="Q17" s="246" t="e">
        <f>(GUM!#REF!-(GUM!#REF!*0.2))</f>
        <v>#REF!</v>
      </c>
      <c r="R17" s="247" t="e">
        <f>(GUM!#REF!-(GUM!#REF!*0.2))</f>
        <v>#REF!</v>
      </c>
      <c r="S17" s="245" t="e">
        <f>(GUM!#REF!-(GUM!#REF!*0.2))</f>
        <v>#REF!</v>
      </c>
      <c r="T17" s="246" t="e">
        <f>(GUM!#REF!-(GUM!#REF!*0.2))</f>
        <v>#REF!</v>
      </c>
      <c r="U17" s="247" t="e">
        <f>(GUM!#REF!-(GUM!#REF!*0.2))</f>
        <v>#REF!</v>
      </c>
      <c r="V17" s="245" t="e">
        <f>(GUM!#REF!-(GUM!#REF!*0.2))</f>
        <v>#REF!</v>
      </c>
      <c r="W17" s="246" t="e">
        <f>(GUM!#REF!-(GUM!#REF!*0.2))</f>
        <v>#REF!</v>
      </c>
      <c r="X17" s="247" t="e">
        <f>(GUM!#REF!-(GUM!#REF!*0.2))</f>
        <v>#REF!</v>
      </c>
      <c r="Y17" s="245" t="e">
        <f>(GUM!#REF!-(GUM!#REF!*0.2))</f>
        <v>#REF!</v>
      </c>
      <c r="Z17" s="246" t="e">
        <f>(GUM!#REF!-(GUM!#REF!*0.2))</f>
        <v>#REF!</v>
      </c>
      <c r="AA17" s="247" t="e">
        <f>(GUM!#REF!-(GUM!#REF!*0.2))</f>
        <v>#REF!</v>
      </c>
      <c r="AB17" s="245" t="e">
        <f>(GUM!#REF!-(GUM!#REF!*0.2))</f>
        <v>#REF!</v>
      </c>
      <c r="AC17" s="248" t="e">
        <f>(GUM!#REF!-(GUM!#REF!*0.2))</f>
        <v>#REF!</v>
      </c>
      <c r="AD17" s="247" t="e">
        <f>(GUM!#REF!-(GUM!#REF!*0.2))</f>
        <v>#REF!</v>
      </c>
      <c r="AE17" s="249" t="e">
        <f>(GUM!#REF!-(GUM!#REF!*0.2))</f>
        <v>#REF!</v>
      </c>
      <c r="AF17" s="113">
        <f t="shared" si="18"/>
        <v>4</v>
      </c>
      <c r="AG17" s="131" t="e">
        <f t="shared" si="0"/>
        <v>#REF!</v>
      </c>
      <c r="AH17" s="132" t="e">
        <f t="shared" si="0"/>
        <v>#REF!</v>
      </c>
      <c r="AI17" s="133" t="e">
        <f t="shared" si="0"/>
        <v>#REF!</v>
      </c>
      <c r="AJ17" s="134" t="e">
        <f t="shared" si="0"/>
        <v>#REF!</v>
      </c>
      <c r="AK17" s="132" t="e">
        <f t="shared" si="1"/>
        <v>#REF!</v>
      </c>
      <c r="AL17" s="133" t="e">
        <f t="shared" si="2"/>
        <v>#REF!</v>
      </c>
      <c r="AM17" s="134" t="e">
        <f t="shared" si="2"/>
        <v>#REF!</v>
      </c>
      <c r="AN17" s="132" t="e">
        <f t="shared" si="3"/>
        <v>#REF!</v>
      </c>
      <c r="AO17" s="133" t="e">
        <f t="shared" si="4"/>
        <v>#REF!</v>
      </c>
      <c r="AP17" s="134" t="e">
        <f t="shared" si="4"/>
        <v>#REF!</v>
      </c>
      <c r="AQ17" s="132" t="e">
        <f t="shared" si="5"/>
        <v>#REF!</v>
      </c>
      <c r="AR17" s="133" t="e">
        <f t="shared" si="6"/>
        <v>#REF!</v>
      </c>
      <c r="AS17" s="134" t="e">
        <f t="shared" si="6"/>
        <v>#REF!</v>
      </c>
      <c r="AT17" s="132" t="e">
        <f t="shared" si="7"/>
        <v>#REF!</v>
      </c>
      <c r="AU17" s="133" t="e">
        <f t="shared" si="8"/>
        <v>#REF!</v>
      </c>
      <c r="AV17" s="134" t="e">
        <f t="shared" si="8"/>
        <v>#REF!</v>
      </c>
      <c r="AW17" s="132" t="e">
        <f t="shared" si="9"/>
        <v>#REF!</v>
      </c>
      <c r="AX17" s="133" t="e">
        <f t="shared" si="10"/>
        <v>#REF!</v>
      </c>
      <c r="AY17" s="134" t="e">
        <f t="shared" si="10"/>
        <v>#REF!</v>
      </c>
      <c r="AZ17" s="135" t="e">
        <f t="shared" si="11"/>
        <v>#REF!</v>
      </c>
      <c r="BA17" s="136" t="e">
        <f t="shared" si="12"/>
        <v>#REF!</v>
      </c>
      <c r="BB17" s="242" t="s">
        <v>49</v>
      </c>
      <c r="BC17" s="250" t="e">
        <f t="shared" si="13"/>
        <v>#REF!</v>
      </c>
      <c r="BD17" s="250" t="e">
        <f t="shared" si="19"/>
        <v>#REF!</v>
      </c>
      <c r="BE17" s="250" t="e">
        <f t="shared" si="14"/>
        <v>#REF!</v>
      </c>
      <c r="BF17" s="250" t="e">
        <f t="shared" si="15"/>
        <v>#REF!</v>
      </c>
      <c r="BG17" s="250" t="e">
        <f t="shared" si="16"/>
        <v>#REF!</v>
      </c>
      <c r="BH17" s="250" t="e">
        <f t="shared" si="17"/>
        <v>#REF!</v>
      </c>
      <c r="BI17" s="113">
        <f t="shared" si="20"/>
        <v>4</v>
      </c>
    </row>
    <row r="18" spans="1:61" s="113" customFormat="1" ht="20.100000000000001" customHeight="1" thickBot="1">
      <c r="A18" s="1556"/>
      <c r="B18" s="1560"/>
      <c r="C18" s="299" t="s">
        <v>79</v>
      </c>
      <c r="D18" s="123" t="str">
        <f>VLOOKUP(C18,[11]PRIUS!$C$3:$I$26,2,0)</f>
        <v>0802</v>
      </c>
      <c r="E18" s="123" t="str">
        <f>VLOOKUP(C18,[12]PRIUS!$C$3:$F$17,4,0)</f>
        <v>A427</v>
      </c>
      <c r="F18" s="124">
        <v>351</v>
      </c>
      <c r="G18" s="124">
        <v>6</v>
      </c>
      <c r="H18" s="329">
        <f>VLOOKUP(C18,[13]PRIUS!$C$3:$I$34,3,0)</f>
        <v>4.4175000000000004</v>
      </c>
      <c r="I18" s="329">
        <f>VLOOKUP(C18,[13]PRIUS!$C$3:$I$34,7,0)</f>
        <v>4.3861999999999997</v>
      </c>
      <c r="J18" s="126" t="e">
        <f>(GUM!#REF!-(GUM!#REF!*0.2))</f>
        <v>#REF!</v>
      </c>
      <c r="K18" s="127" t="e">
        <f>(GUM!#REF!-(GUM!#REF!*0.2))</f>
        <v>#REF!</v>
      </c>
      <c r="L18" s="128" t="e">
        <f>(GUM!#REF!-(GUM!#REF!*0.2))</f>
        <v>#REF!</v>
      </c>
      <c r="M18" s="126" t="e">
        <f>(GUM!#REF!-(GUM!#REF!*0.2))</f>
        <v>#REF!</v>
      </c>
      <c r="N18" s="127" t="e">
        <f>(GUM!#REF!-(GUM!#REF!*0.2))</f>
        <v>#REF!</v>
      </c>
      <c r="O18" s="128" t="e">
        <f>(GUM!#REF!-(GUM!#REF!*0.2))</f>
        <v>#REF!</v>
      </c>
      <c r="P18" s="126" t="e">
        <f>(GUM!#REF!-(GUM!#REF!*0.2))</f>
        <v>#REF!</v>
      </c>
      <c r="Q18" s="127" t="e">
        <f>(GUM!#REF!-(GUM!#REF!*0.2))</f>
        <v>#REF!</v>
      </c>
      <c r="R18" s="128" t="e">
        <f>(GUM!#REF!-(GUM!#REF!*0.2))</f>
        <v>#REF!</v>
      </c>
      <c r="S18" s="126" t="e">
        <f>(GUM!#REF!-(GUM!#REF!*0.2))</f>
        <v>#REF!</v>
      </c>
      <c r="T18" s="127" t="e">
        <f>(GUM!#REF!-(GUM!#REF!*0.2))</f>
        <v>#REF!</v>
      </c>
      <c r="U18" s="128" t="e">
        <f>(GUM!#REF!-(GUM!#REF!*0.2))</f>
        <v>#REF!</v>
      </c>
      <c r="V18" s="126" t="e">
        <f>(GUM!#REF!-(GUM!#REF!*0.2))</f>
        <v>#REF!</v>
      </c>
      <c r="W18" s="127" t="e">
        <f>(GUM!#REF!-(GUM!#REF!*0.2))</f>
        <v>#REF!</v>
      </c>
      <c r="X18" s="128" t="e">
        <f>(GUM!#REF!-(GUM!#REF!*0.2))</f>
        <v>#REF!</v>
      </c>
      <c r="Y18" s="126" t="e">
        <f>(GUM!#REF!-(GUM!#REF!*0.2))</f>
        <v>#REF!</v>
      </c>
      <c r="Z18" s="127" t="e">
        <f>(GUM!#REF!-(GUM!#REF!*0.2))</f>
        <v>#REF!</v>
      </c>
      <c r="AA18" s="128" t="e">
        <f>(GUM!#REF!-(GUM!#REF!*0.2))</f>
        <v>#REF!</v>
      </c>
      <c r="AB18" s="126" t="e">
        <f>(GUM!#REF!-(GUM!#REF!*0.2))</f>
        <v>#REF!</v>
      </c>
      <c r="AC18" s="248" t="e">
        <f>(GUM!#REF!-(GUM!#REF!*0.2))</f>
        <v>#REF!</v>
      </c>
      <c r="AD18" s="128" t="e">
        <f>(GUM!#REF!-(GUM!#REF!*0.2))</f>
        <v>#REF!</v>
      </c>
      <c r="AE18" s="130" t="e">
        <f>(GUM!#REF!-(GUM!#REF!*0.2))</f>
        <v>#REF!</v>
      </c>
      <c r="AF18" s="113">
        <f t="shared" si="18"/>
        <v>5</v>
      </c>
      <c r="AG18" s="131" t="e">
        <f t="shared" si="0"/>
        <v>#REF!</v>
      </c>
      <c r="AH18" s="132" t="e">
        <f t="shared" si="0"/>
        <v>#REF!</v>
      </c>
      <c r="AI18" s="133" t="e">
        <f t="shared" si="0"/>
        <v>#REF!</v>
      </c>
      <c r="AJ18" s="134" t="e">
        <f t="shared" si="0"/>
        <v>#REF!</v>
      </c>
      <c r="AK18" s="132" t="e">
        <f t="shared" si="1"/>
        <v>#REF!</v>
      </c>
      <c r="AL18" s="133" t="e">
        <f t="shared" si="2"/>
        <v>#REF!</v>
      </c>
      <c r="AM18" s="134" t="e">
        <f t="shared" si="2"/>
        <v>#REF!</v>
      </c>
      <c r="AN18" s="132" t="e">
        <f t="shared" si="3"/>
        <v>#REF!</v>
      </c>
      <c r="AO18" s="133" t="e">
        <f t="shared" si="4"/>
        <v>#REF!</v>
      </c>
      <c r="AP18" s="134" t="e">
        <f t="shared" si="4"/>
        <v>#REF!</v>
      </c>
      <c r="AQ18" s="132" t="e">
        <f t="shared" si="5"/>
        <v>#REF!</v>
      </c>
      <c r="AR18" s="133" t="e">
        <f t="shared" si="6"/>
        <v>#REF!</v>
      </c>
      <c r="AS18" s="134" t="e">
        <f t="shared" si="6"/>
        <v>#REF!</v>
      </c>
      <c r="AT18" s="132" t="e">
        <f t="shared" si="7"/>
        <v>#REF!</v>
      </c>
      <c r="AU18" s="133" t="e">
        <f t="shared" si="8"/>
        <v>#REF!</v>
      </c>
      <c r="AV18" s="134" t="e">
        <f t="shared" si="8"/>
        <v>#REF!</v>
      </c>
      <c r="AW18" s="132" t="e">
        <f t="shared" si="9"/>
        <v>#REF!</v>
      </c>
      <c r="AX18" s="133" t="e">
        <f t="shared" si="10"/>
        <v>#REF!</v>
      </c>
      <c r="AY18" s="134" t="e">
        <f t="shared" si="10"/>
        <v>#REF!</v>
      </c>
      <c r="AZ18" s="135" t="e">
        <f t="shared" si="11"/>
        <v>#REF!</v>
      </c>
      <c r="BA18" s="136" t="e">
        <f t="shared" si="12"/>
        <v>#REF!</v>
      </c>
      <c r="BB18" s="137" t="s">
        <v>50</v>
      </c>
      <c r="BC18" s="121" t="e">
        <f t="shared" si="13"/>
        <v>#REF!</v>
      </c>
      <c r="BD18" s="121" t="e">
        <f t="shared" si="19"/>
        <v>#REF!</v>
      </c>
      <c r="BE18" s="121" t="e">
        <f t="shared" si="14"/>
        <v>#REF!</v>
      </c>
      <c r="BF18" s="121" t="e">
        <f t="shared" si="15"/>
        <v>#REF!</v>
      </c>
      <c r="BG18" s="121" t="e">
        <f t="shared" si="16"/>
        <v>#REF!</v>
      </c>
      <c r="BH18" s="121" t="e">
        <f t="shared" si="17"/>
        <v>#REF!</v>
      </c>
      <c r="BI18" s="113">
        <f t="shared" si="20"/>
        <v>5</v>
      </c>
    </row>
    <row r="19" spans="1:61" s="113" customFormat="1" ht="20.100000000000001" customHeight="1" thickBot="1">
      <c r="A19" s="1556"/>
      <c r="B19" s="1561"/>
      <c r="C19" s="338" t="s">
        <v>74</v>
      </c>
      <c r="D19" s="339">
        <f>VLOOKUP(C19,[11]PRIUS!$C$3:$I$26,2,0)</f>
        <v>0</v>
      </c>
      <c r="E19" s="340">
        <f>VLOOKUP(C19,[12]PRIUS!$C$3:$F$17,4,0)</f>
        <v>8600</v>
      </c>
      <c r="F19" s="341">
        <v>301</v>
      </c>
      <c r="G19" s="341">
        <v>6</v>
      </c>
      <c r="H19" s="342">
        <f>VLOOKUP(C19,[13]PRIUS!$C$3:$I$34,3,0)</f>
        <v>4.0234249999999996</v>
      </c>
      <c r="I19" s="343">
        <f>VLOOKUP(C19,[13]PRIUS!$C$3:$I$34,7,0)</f>
        <v>4.0234249999999996</v>
      </c>
      <c r="J19" s="332" t="e">
        <f>(GUM!#REF!-(GUM!#REF!*0.2))</f>
        <v>#REF!</v>
      </c>
      <c r="K19" s="333" t="e">
        <f>(GUM!#REF!-(GUM!#REF!*0.2))</f>
        <v>#REF!</v>
      </c>
      <c r="L19" s="334" t="e">
        <f>(GUM!#REF!-(GUM!#REF!*0.2))</f>
        <v>#REF!</v>
      </c>
      <c r="M19" s="332" t="e">
        <f>(GUM!#REF!-(GUM!#REF!*0.2))</f>
        <v>#REF!</v>
      </c>
      <c r="N19" s="333" t="e">
        <f>(GUM!#REF!-(GUM!#REF!*0.2))</f>
        <v>#REF!</v>
      </c>
      <c r="O19" s="334" t="e">
        <f>(GUM!#REF!-(GUM!#REF!*0.2))</f>
        <v>#REF!</v>
      </c>
      <c r="P19" s="332" t="e">
        <f>(GUM!#REF!-(GUM!#REF!*0.2))</f>
        <v>#REF!</v>
      </c>
      <c r="Q19" s="333" t="e">
        <f>(GUM!#REF!-(GUM!#REF!*0.2))</f>
        <v>#REF!</v>
      </c>
      <c r="R19" s="334" t="e">
        <f>(GUM!#REF!-(GUM!#REF!*0.2))</f>
        <v>#REF!</v>
      </c>
      <c r="S19" s="332" t="e">
        <f>(GUM!#REF!-(GUM!#REF!*0.2))</f>
        <v>#REF!</v>
      </c>
      <c r="T19" s="333" t="e">
        <f>(GUM!#REF!-(GUM!#REF!*0.2))</f>
        <v>#REF!</v>
      </c>
      <c r="U19" s="334" t="e">
        <f>(GUM!#REF!-(GUM!#REF!*0.2))</f>
        <v>#REF!</v>
      </c>
      <c r="V19" s="332" t="e">
        <f>(GUM!#REF!-(GUM!#REF!*0.2))</f>
        <v>#REF!</v>
      </c>
      <c r="W19" s="333" t="e">
        <f>(GUM!#REF!-(GUM!#REF!*0.2))</f>
        <v>#REF!</v>
      </c>
      <c r="X19" s="334" t="e">
        <f>(GUM!#REF!-(GUM!#REF!*0.2))</f>
        <v>#REF!</v>
      </c>
      <c r="Y19" s="332" t="e">
        <f>(GUM!#REF!-(GUM!#REF!*0.2))</f>
        <v>#REF!</v>
      </c>
      <c r="Z19" s="333" t="e">
        <f>(GUM!#REF!-(GUM!#REF!*0.2))</f>
        <v>#REF!</v>
      </c>
      <c r="AA19" s="334" t="e">
        <f>(GUM!#REF!-(GUM!#REF!*0.2))</f>
        <v>#REF!</v>
      </c>
      <c r="AB19" s="332" t="e">
        <f>(GUM!#REF!-(GUM!#REF!*0.2))</f>
        <v>#REF!</v>
      </c>
      <c r="AC19" s="344" t="e">
        <f>(GUM!#REF!-(GUM!#REF!*0.2))</f>
        <v>#REF!</v>
      </c>
      <c r="AD19" s="334" t="e">
        <f>(GUM!#REF!-(GUM!#REF!*0.2))</f>
        <v>#REF!</v>
      </c>
      <c r="AE19" s="335" t="e">
        <f>(GUM!#REF!-(GUM!#REF!*0.2))</f>
        <v>#REF!</v>
      </c>
      <c r="AF19" s="113">
        <f t="shared" si="18"/>
        <v>6</v>
      </c>
      <c r="AG19" s="131" t="e">
        <f t="shared" si="0"/>
        <v>#REF!</v>
      </c>
      <c r="AH19" s="132" t="e">
        <f t="shared" si="0"/>
        <v>#REF!</v>
      </c>
      <c r="AI19" s="133" t="e">
        <f t="shared" si="0"/>
        <v>#REF!</v>
      </c>
      <c r="AJ19" s="134" t="e">
        <f t="shared" si="0"/>
        <v>#REF!</v>
      </c>
      <c r="AK19" s="132" t="e">
        <f t="shared" si="1"/>
        <v>#REF!</v>
      </c>
      <c r="AL19" s="133" t="e">
        <f t="shared" si="2"/>
        <v>#REF!</v>
      </c>
      <c r="AM19" s="134" t="e">
        <f t="shared" si="2"/>
        <v>#REF!</v>
      </c>
      <c r="AN19" s="132" t="e">
        <f t="shared" si="3"/>
        <v>#REF!</v>
      </c>
      <c r="AO19" s="133" t="e">
        <f t="shared" si="4"/>
        <v>#REF!</v>
      </c>
      <c r="AP19" s="134" t="e">
        <f t="shared" si="4"/>
        <v>#REF!</v>
      </c>
      <c r="AQ19" s="132" t="e">
        <f t="shared" si="5"/>
        <v>#REF!</v>
      </c>
      <c r="AR19" s="133" t="e">
        <f t="shared" si="6"/>
        <v>#REF!</v>
      </c>
      <c r="AS19" s="134" t="e">
        <f t="shared" si="6"/>
        <v>#REF!</v>
      </c>
      <c r="AT19" s="132" t="e">
        <f t="shared" si="7"/>
        <v>#REF!</v>
      </c>
      <c r="AU19" s="133" t="e">
        <f t="shared" si="8"/>
        <v>#REF!</v>
      </c>
      <c r="AV19" s="134" t="e">
        <f t="shared" si="8"/>
        <v>#REF!</v>
      </c>
      <c r="AW19" s="132" t="e">
        <f t="shared" si="9"/>
        <v>#REF!</v>
      </c>
      <c r="AX19" s="133" t="e">
        <f t="shared" si="10"/>
        <v>#REF!</v>
      </c>
      <c r="AY19" s="134" t="e">
        <f t="shared" si="10"/>
        <v>#REF!</v>
      </c>
      <c r="AZ19" s="135" t="e">
        <f t="shared" si="11"/>
        <v>#REF!</v>
      </c>
      <c r="BA19" s="136" t="e">
        <f t="shared" si="12"/>
        <v>#REF!</v>
      </c>
      <c r="BB19" s="137" t="s">
        <v>50</v>
      </c>
      <c r="BC19" s="121" t="e">
        <f t="shared" si="13"/>
        <v>#REF!</v>
      </c>
      <c r="BD19" s="121" t="e">
        <f t="shared" si="19"/>
        <v>#REF!</v>
      </c>
      <c r="BE19" s="121" t="e">
        <f t="shared" si="14"/>
        <v>#REF!</v>
      </c>
      <c r="BF19" s="121" t="e">
        <f t="shared" si="15"/>
        <v>#REF!</v>
      </c>
      <c r="BG19" s="121" t="e">
        <f t="shared" si="16"/>
        <v>#REF!</v>
      </c>
      <c r="BH19" s="121" t="e">
        <f t="shared" si="17"/>
        <v>#REF!</v>
      </c>
      <c r="BI19" s="113">
        <f t="shared" si="20"/>
        <v>6</v>
      </c>
    </row>
    <row r="20" spans="1:61" s="113" customFormat="1" ht="20.100000000000001" customHeight="1">
      <c r="A20" s="1556"/>
      <c r="B20" s="1562" t="s">
        <v>68</v>
      </c>
      <c r="C20" s="347" t="s">
        <v>105</v>
      </c>
      <c r="D20" s="348" t="e">
        <f>VLOOKUP(C20,[11]PRIUS!$C$3:$I$26,2,0)</f>
        <v>#N/A</v>
      </c>
      <c r="E20" s="348" t="e">
        <f>VLOOKUP(C20,[12]PRIUS!$C$3:$F$17,4,0)</f>
        <v>#N/A</v>
      </c>
      <c r="F20" s="349">
        <v>332</v>
      </c>
      <c r="G20" s="349">
        <v>6</v>
      </c>
      <c r="H20" s="350">
        <f>VLOOKUP(C20,[13]PRIUS!$C$3:$I$34,3,0)</f>
        <v>4.4175000000000004</v>
      </c>
      <c r="I20" s="350">
        <f>VLOOKUP(C20,[13]PRIUS!$C$3:$I$34,7,0)</f>
        <v>4.3971</v>
      </c>
      <c r="J20" s="351" t="e">
        <f>(GUM!#REF!-(GUM!#REF!*0.2))</f>
        <v>#REF!</v>
      </c>
      <c r="K20" s="351" t="e">
        <f>(GUM!#REF!-(GUM!#REF!*0.2))</f>
        <v>#REF!</v>
      </c>
      <c r="L20" s="351" t="e">
        <f>(GUM!#REF!-(GUM!#REF!*0.2))</f>
        <v>#REF!</v>
      </c>
      <c r="M20" s="351" t="e">
        <f>(GUM!#REF!-(GUM!#REF!*0.2))</f>
        <v>#REF!</v>
      </c>
      <c r="N20" s="351" t="e">
        <f>(GUM!#REF!-(GUM!#REF!*0.2))</f>
        <v>#REF!</v>
      </c>
      <c r="O20" s="351" t="e">
        <f>(GUM!#REF!-(GUM!#REF!*0.2))</f>
        <v>#REF!</v>
      </c>
      <c r="P20" s="351" t="e">
        <f>(GUM!#REF!-(GUM!#REF!*0.2))</f>
        <v>#REF!</v>
      </c>
      <c r="Q20" s="351" t="e">
        <f>(GUM!#REF!-(GUM!#REF!*0.2))</f>
        <v>#REF!</v>
      </c>
      <c r="R20" s="351" t="e">
        <f>(GUM!#REF!-(GUM!#REF!*0.2))</f>
        <v>#REF!</v>
      </c>
      <c r="S20" s="351" t="e">
        <f>(GUM!#REF!-(GUM!#REF!*0.2))</f>
        <v>#REF!</v>
      </c>
      <c r="T20" s="351" t="e">
        <f>(GUM!#REF!-(GUM!#REF!*0.2))</f>
        <v>#REF!</v>
      </c>
      <c r="U20" s="351" t="e">
        <f>(GUM!#REF!-(GUM!#REF!*0.2))</f>
        <v>#REF!</v>
      </c>
      <c r="V20" s="351" t="e">
        <f>(GUM!#REF!-(GUM!#REF!*0.2))</f>
        <v>#REF!</v>
      </c>
      <c r="W20" s="351" t="e">
        <f>(GUM!#REF!-(GUM!#REF!*0.2))</f>
        <v>#REF!</v>
      </c>
      <c r="X20" s="351" t="e">
        <f>(GUM!#REF!-(GUM!#REF!*0.2))</f>
        <v>#REF!</v>
      </c>
      <c r="Y20" s="351" t="e">
        <f>(GUM!#REF!-(GUM!#REF!*0.2))</f>
        <v>#REF!</v>
      </c>
      <c r="Z20" s="351" t="e">
        <f>(GUM!#REF!-(GUM!#REF!*0.2))</f>
        <v>#REF!</v>
      </c>
      <c r="AA20" s="351" t="e">
        <f>(GUM!#REF!-(GUM!#REF!*0.2))</f>
        <v>#REF!</v>
      </c>
      <c r="AB20" s="351" t="e">
        <f>(GUM!#REF!-(GUM!#REF!*0.2))</f>
        <v>#REF!</v>
      </c>
      <c r="AC20" s="352" t="e">
        <f>(GUM!#REF!-(GUM!#REF!*0.2))</f>
        <v>#REF!</v>
      </c>
      <c r="AD20" s="351" t="e">
        <f>(GUM!#REF!-(GUM!#REF!*0.2))</f>
        <v>#REF!</v>
      </c>
      <c r="AE20" s="353" t="e">
        <f>(GUM!#REF!-(GUM!#REF!*0.2))</f>
        <v>#REF!</v>
      </c>
      <c r="AF20" s="113">
        <f t="shared" si="18"/>
        <v>7</v>
      </c>
      <c r="AG20" s="131" t="e">
        <f t="shared" si="0"/>
        <v>#REF!</v>
      </c>
      <c r="AH20" s="132" t="e">
        <f t="shared" si="0"/>
        <v>#REF!</v>
      </c>
      <c r="AI20" s="133" t="e">
        <f t="shared" si="0"/>
        <v>#REF!</v>
      </c>
      <c r="AJ20" s="134" t="e">
        <f t="shared" si="0"/>
        <v>#REF!</v>
      </c>
      <c r="AK20" s="132" t="e">
        <f>K20*$F20</f>
        <v>#REF!</v>
      </c>
      <c r="AL20" s="133" t="e">
        <f t="shared" si="2"/>
        <v>#REF!</v>
      </c>
      <c r="AM20" s="134" t="e">
        <f t="shared" si="2"/>
        <v>#REF!</v>
      </c>
      <c r="AN20" s="132" t="e">
        <f>N20*$F20</f>
        <v>#REF!</v>
      </c>
      <c r="AO20" s="133" t="e">
        <f t="shared" si="4"/>
        <v>#REF!</v>
      </c>
      <c r="AP20" s="134" t="e">
        <f t="shared" si="4"/>
        <v>#REF!</v>
      </c>
      <c r="AQ20" s="132" t="e">
        <f>Q20*$F20</f>
        <v>#REF!</v>
      </c>
      <c r="AR20" s="133" t="e">
        <f t="shared" si="6"/>
        <v>#REF!</v>
      </c>
      <c r="AS20" s="134" t="e">
        <f t="shared" si="6"/>
        <v>#REF!</v>
      </c>
      <c r="AT20" s="132" t="e">
        <f>T20*$F20</f>
        <v>#REF!</v>
      </c>
      <c r="AU20" s="133" t="e">
        <f t="shared" si="8"/>
        <v>#REF!</v>
      </c>
      <c r="AV20" s="134" t="e">
        <f t="shared" si="8"/>
        <v>#REF!</v>
      </c>
      <c r="AW20" s="132" t="e">
        <f>W20*$F20</f>
        <v>#REF!</v>
      </c>
      <c r="AX20" s="133" t="e">
        <f t="shared" si="10"/>
        <v>#REF!</v>
      </c>
      <c r="AY20" s="134" t="e">
        <f t="shared" si="10"/>
        <v>#REF!</v>
      </c>
      <c r="AZ20" s="135" t="e">
        <f>Z20*$F20</f>
        <v>#REF!</v>
      </c>
      <c r="BA20" s="136" t="e">
        <f>AD20*$F20</f>
        <v>#REF!</v>
      </c>
      <c r="BB20" s="242" t="s">
        <v>49</v>
      </c>
      <c r="BC20" s="250" t="e">
        <f t="shared" si="13"/>
        <v>#REF!</v>
      </c>
      <c r="BD20" s="250" t="e">
        <f t="shared" si="19"/>
        <v>#REF!</v>
      </c>
      <c r="BE20" s="250" t="e">
        <f t="shared" si="14"/>
        <v>#REF!</v>
      </c>
      <c r="BF20" s="250" t="e">
        <f t="shared" si="15"/>
        <v>#REF!</v>
      </c>
      <c r="BG20" s="250" t="e">
        <f t="shared" si="16"/>
        <v>#REF!</v>
      </c>
      <c r="BH20" s="250" t="e">
        <f t="shared" si="17"/>
        <v>#REF!</v>
      </c>
      <c r="BI20" s="113">
        <f t="shared" si="20"/>
        <v>7</v>
      </c>
    </row>
    <row r="21" spans="1:61" s="113" customFormat="1" ht="20.100000000000001" customHeight="1">
      <c r="A21" s="1556"/>
      <c r="B21" s="1563"/>
      <c r="C21" s="354" t="s">
        <v>106</v>
      </c>
      <c r="D21" s="355" t="e">
        <f>VLOOKUP(C21,[11]PRIUS!$C$3:$I$26,2,0)</f>
        <v>#N/A</v>
      </c>
      <c r="E21" s="355" t="e">
        <f>VLOOKUP(C21,[12]PRIUS!$C$3:$F$17,4,0)</f>
        <v>#N/A</v>
      </c>
      <c r="F21" s="356">
        <v>332</v>
      </c>
      <c r="G21" s="356">
        <v>6</v>
      </c>
      <c r="H21" s="357">
        <f>VLOOKUP(C21,[13]PRIUS!$C$3:$I$34,3,0)</f>
        <v>4.4175000000000004</v>
      </c>
      <c r="I21" s="357">
        <f>VLOOKUP(C21,[13]PRIUS!$C$3:$I$34,7,0)</f>
        <v>4.3971</v>
      </c>
      <c r="J21" s="127">
        <f>(GUM!I14-(GUM!I14*0.2))</f>
        <v>0</v>
      </c>
      <c r="K21" s="127">
        <f>(GUM!J14-(GUM!J14*0.2))</f>
        <v>0</v>
      </c>
      <c r="L21" s="127">
        <f>(GUM!K14-(GUM!K14*0.2))</f>
        <v>0</v>
      </c>
      <c r="M21" s="127">
        <f>(GUM!L14-(GUM!L14*0.2))</f>
        <v>0</v>
      </c>
      <c r="N21" s="127">
        <f>(GUM!M14-(GUM!M14*0.2))</f>
        <v>0</v>
      </c>
      <c r="O21" s="127">
        <f>(GUM!N14-(GUM!N14*0.2))</f>
        <v>0</v>
      </c>
      <c r="P21" s="127">
        <f>(GUM!O14-(GUM!O14*0.2))</f>
        <v>0</v>
      </c>
      <c r="Q21" s="127">
        <f>(GUM!P14-(GUM!P14*0.2))</f>
        <v>0</v>
      </c>
      <c r="R21" s="127">
        <f>(GUM!Q14-(GUM!Q14*0.2))</f>
        <v>0</v>
      </c>
      <c r="S21" s="127">
        <f>(GUM!R14-(GUM!R14*0.2))</f>
        <v>0</v>
      </c>
      <c r="T21" s="127">
        <f>(GUM!S14-(GUM!S14*0.2))</f>
        <v>0</v>
      </c>
      <c r="U21" s="127">
        <f>(GUM!T14-(GUM!T14*0.2))</f>
        <v>0</v>
      </c>
      <c r="V21" s="127">
        <f>(GUM!U14-(GUM!U14*0.2))</f>
        <v>0</v>
      </c>
      <c r="W21" s="127">
        <f>(GUM!V14-(GUM!V14*0.2))</f>
        <v>0</v>
      </c>
      <c r="X21" s="127">
        <f>(GUM!W14-(GUM!W14*0.2))</f>
        <v>0</v>
      </c>
      <c r="Y21" s="127">
        <f>(GUM!X14-(GUM!X14*0.2))</f>
        <v>0</v>
      </c>
      <c r="Z21" s="127">
        <f>(GUM!Y14-(GUM!Y14*0.2))</f>
        <v>0</v>
      </c>
      <c r="AA21" s="127">
        <f>(GUM!Z14-(GUM!Z14*0.2))</f>
        <v>0</v>
      </c>
      <c r="AB21" s="127">
        <f>(GUM!AA14-(GUM!AA14*0.2))</f>
        <v>0</v>
      </c>
      <c r="AC21" s="358">
        <f>(GUM!AB14-(GUM!AB14*0.2))</f>
        <v>0</v>
      </c>
      <c r="AD21" s="127">
        <f>(GUM!AC14-(GUM!AC14*0.2))</f>
        <v>0</v>
      </c>
      <c r="AE21" s="359">
        <f>(GUM!AD14-(GUM!AD14*0.2))</f>
        <v>0</v>
      </c>
      <c r="AF21" s="113">
        <f t="shared" si="18"/>
        <v>8</v>
      </c>
      <c r="AG21" s="131">
        <f t="shared" si="0"/>
        <v>0</v>
      </c>
      <c r="AH21" s="132">
        <f t="shared" si="0"/>
        <v>0</v>
      </c>
      <c r="AI21" s="133">
        <f t="shared" si="0"/>
        <v>0</v>
      </c>
      <c r="AJ21" s="134">
        <f t="shared" si="0"/>
        <v>0</v>
      </c>
      <c r="AK21" s="132">
        <f>K21*$F21</f>
        <v>0</v>
      </c>
      <c r="AL21" s="133">
        <f t="shared" si="2"/>
        <v>0</v>
      </c>
      <c r="AM21" s="134">
        <f t="shared" si="2"/>
        <v>0</v>
      </c>
      <c r="AN21" s="132">
        <f>N21*$F21</f>
        <v>0</v>
      </c>
      <c r="AO21" s="133">
        <f t="shared" si="4"/>
        <v>0</v>
      </c>
      <c r="AP21" s="134">
        <f t="shared" si="4"/>
        <v>0</v>
      </c>
      <c r="AQ21" s="132">
        <f>Q21*$F21</f>
        <v>0</v>
      </c>
      <c r="AR21" s="133">
        <f t="shared" si="6"/>
        <v>0</v>
      </c>
      <c r="AS21" s="134">
        <f t="shared" si="6"/>
        <v>0</v>
      </c>
      <c r="AT21" s="132">
        <f>T21*$F21</f>
        <v>0</v>
      </c>
      <c r="AU21" s="133">
        <f t="shared" si="8"/>
        <v>0</v>
      </c>
      <c r="AV21" s="134">
        <f t="shared" si="8"/>
        <v>0</v>
      </c>
      <c r="AW21" s="132">
        <f>W21*$F21</f>
        <v>0</v>
      </c>
      <c r="AX21" s="133">
        <f t="shared" si="10"/>
        <v>0</v>
      </c>
      <c r="AY21" s="134">
        <f t="shared" si="10"/>
        <v>0</v>
      </c>
      <c r="AZ21" s="135">
        <f>Z21*$F21</f>
        <v>0</v>
      </c>
      <c r="BA21" s="136">
        <f>AD21*$F21</f>
        <v>0</v>
      </c>
      <c r="BB21" s="242" t="s">
        <v>49</v>
      </c>
      <c r="BC21" s="250">
        <f>ROUNDUP(O21/$BC$13,0)</f>
        <v>0</v>
      </c>
      <c r="BD21" s="250">
        <f>ROUNDUP(R21/$BD$13,0)</f>
        <v>0</v>
      </c>
      <c r="BE21" s="250">
        <f>ROUNDUP(U21/$BE$13,0)</f>
        <v>0</v>
      </c>
      <c r="BF21" s="250">
        <f>ROUNDUP(X21/$BF$13,0)</f>
        <v>0</v>
      </c>
      <c r="BG21" s="250">
        <f>ROUNDUP(AA21/$BG$13,0)</f>
        <v>0</v>
      </c>
      <c r="BH21" s="250">
        <f>ROUNDUP(AD21/$BH$13,0)</f>
        <v>0</v>
      </c>
      <c r="BI21" s="113">
        <f t="shared" si="20"/>
        <v>8</v>
      </c>
    </row>
    <row r="22" spans="1:61" s="113" customFormat="1" ht="20.100000000000001" hidden="1" customHeight="1" thickBot="1">
      <c r="A22" s="1556"/>
      <c r="B22" s="1563"/>
      <c r="C22" s="354" t="s">
        <v>90</v>
      </c>
      <c r="D22" s="355">
        <f>VLOOKUP(C22,[11]PRIUS!$C$3:$I$26,2,0)</f>
        <v>0</v>
      </c>
      <c r="E22" s="355" t="e">
        <f>VLOOKUP(C22,[12]PRIUS!$C$3:$F$17,4,0)</f>
        <v>#N/A</v>
      </c>
      <c r="F22" s="356">
        <v>351</v>
      </c>
      <c r="G22" s="356">
        <v>6</v>
      </c>
      <c r="H22" s="360">
        <f>VLOOKUP(C22,[13]PRIUS!$C$3:$I$34,3,0)</f>
        <v>4.2796599999999989</v>
      </c>
      <c r="I22" s="360">
        <f>VLOOKUP(C22,[13]PRIUS!$C$3:$I$34,7,0)</f>
        <v>4.2541000000000002</v>
      </c>
      <c r="J22" s="127" t="e">
        <f>(GUM!#REF!-(GUM!#REF!*0.2))</f>
        <v>#REF!</v>
      </c>
      <c r="K22" s="127" t="e">
        <f>(GUM!#REF!-(GUM!#REF!*0.2))</f>
        <v>#REF!</v>
      </c>
      <c r="L22" s="127" t="e">
        <f>(GUM!#REF!-(GUM!#REF!*0.2))</f>
        <v>#REF!</v>
      </c>
      <c r="M22" s="127" t="e">
        <f>(GUM!#REF!-(GUM!#REF!*0.2))</f>
        <v>#REF!</v>
      </c>
      <c r="N22" s="127" t="e">
        <f>(GUM!#REF!-(GUM!#REF!*0.2))</f>
        <v>#REF!</v>
      </c>
      <c r="O22" s="127" t="e">
        <f>(GUM!#REF!-(GUM!#REF!*0.2))</f>
        <v>#REF!</v>
      </c>
      <c r="P22" s="127" t="e">
        <f>(GUM!#REF!-(GUM!#REF!*0.2))</f>
        <v>#REF!</v>
      </c>
      <c r="Q22" s="127" t="e">
        <f>(GUM!#REF!-(GUM!#REF!*0.2))</f>
        <v>#REF!</v>
      </c>
      <c r="R22" s="127" t="e">
        <f>(GUM!#REF!-(GUM!#REF!*0.2))</f>
        <v>#REF!</v>
      </c>
      <c r="S22" s="127" t="e">
        <f>(GUM!#REF!-(GUM!#REF!*0.2))</f>
        <v>#REF!</v>
      </c>
      <c r="T22" s="127" t="e">
        <f>(GUM!#REF!-(GUM!#REF!*0.2))</f>
        <v>#REF!</v>
      </c>
      <c r="U22" s="127" t="e">
        <f>(GUM!#REF!-(GUM!#REF!*0.2))</f>
        <v>#REF!</v>
      </c>
      <c r="V22" s="127" t="e">
        <f>(GUM!#REF!-(GUM!#REF!*0.2))</f>
        <v>#REF!</v>
      </c>
      <c r="W22" s="127" t="e">
        <f>(GUM!#REF!-(GUM!#REF!*0.2))</f>
        <v>#REF!</v>
      </c>
      <c r="X22" s="127" t="e">
        <f>(GUM!#REF!-(GUM!#REF!*0.2))</f>
        <v>#REF!</v>
      </c>
      <c r="Y22" s="127" t="e">
        <f>(GUM!#REF!-(GUM!#REF!*0.2))</f>
        <v>#REF!</v>
      </c>
      <c r="Z22" s="127" t="e">
        <f>(GUM!#REF!-(GUM!#REF!*0.2))</f>
        <v>#REF!</v>
      </c>
      <c r="AA22" s="127" t="e">
        <f>(GUM!#REF!-(GUM!#REF!*0.2))</f>
        <v>#REF!</v>
      </c>
      <c r="AB22" s="127" t="e">
        <f>(GUM!#REF!-(GUM!#REF!*0.2))</f>
        <v>#REF!</v>
      </c>
      <c r="AC22" s="358" t="e">
        <f>(GUM!#REF!-(GUM!#REF!*0.2))</f>
        <v>#REF!</v>
      </c>
      <c r="AD22" s="127" t="e">
        <f>(GUM!#REF!-(GUM!#REF!*0.2))</f>
        <v>#REF!</v>
      </c>
      <c r="AE22" s="359" t="e">
        <f>(GUM!#REF!-(GUM!#REF!*0.2))</f>
        <v>#REF!</v>
      </c>
      <c r="AF22" s="113">
        <f t="shared" si="18"/>
        <v>9</v>
      </c>
      <c r="AG22" s="131" t="e">
        <f t="shared" si="0"/>
        <v>#REF!</v>
      </c>
      <c r="AH22" s="132" t="e">
        <f t="shared" si="0"/>
        <v>#REF!</v>
      </c>
      <c r="AI22" s="133" t="e">
        <f t="shared" si="0"/>
        <v>#REF!</v>
      </c>
      <c r="AJ22" s="134" t="e">
        <f t="shared" si="0"/>
        <v>#REF!</v>
      </c>
      <c r="AK22" s="132" t="e">
        <f>K22*$F22</f>
        <v>#REF!</v>
      </c>
      <c r="AL22" s="133" t="e">
        <f t="shared" si="2"/>
        <v>#REF!</v>
      </c>
      <c r="AM22" s="134" t="e">
        <f t="shared" si="2"/>
        <v>#REF!</v>
      </c>
      <c r="AN22" s="132" t="e">
        <f>N22*$F22</f>
        <v>#REF!</v>
      </c>
      <c r="AO22" s="133" t="e">
        <f t="shared" si="4"/>
        <v>#REF!</v>
      </c>
      <c r="AP22" s="134" t="e">
        <f t="shared" si="4"/>
        <v>#REF!</v>
      </c>
      <c r="AQ22" s="132" t="e">
        <f>Q22*$F22</f>
        <v>#REF!</v>
      </c>
      <c r="AR22" s="133" t="e">
        <f t="shared" si="6"/>
        <v>#REF!</v>
      </c>
      <c r="AS22" s="134" t="e">
        <f t="shared" si="6"/>
        <v>#REF!</v>
      </c>
      <c r="AT22" s="132" t="e">
        <f>T22*$F22</f>
        <v>#REF!</v>
      </c>
      <c r="AU22" s="133" t="e">
        <f t="shared" si="8"/>
        <v>#REF!</v>
      </c>
      <c r="AV22" s="134" t="e">
        <f t="shared" si="8"/>
        <v>#REF!</v>
      </c>
      <c r="AW22" s="132" t="e">
        <f>W22*$F22</f>
        <v>#REF!</v>
      </c>
      <c r="AX22" s="133" t="e">
        <f t="shared" si="10"/>
        <v>#REF!</v>
      </c>
      <c r="AY22" s="134" t="e">
        <f t="shared" si="10"/>
        <v>#REF!</v>
      </c>
      <c r="AZ22" s="135" t="e">
        <f>Z22*$F22</f>
        <v>#REF!</v>
      </c>
      <c r="BA22" s="136" t="e">
        <f>AD22*$F22</f>
        <v>#REF!</v>
      </c>
      <c r="BB22" s="137" t="s">
        <v>50</v>
      </c>
      <c r="BC22" s="121" t="e">
        <f t="shared" si="13"/>
        <v>#REF!</v>
      </c>
      <c r="BD22" s="121" t="e">
        <f t="shared" si="19"/>
        <v>#REF!</v>
      </c>
      <c r="BE22" s="121" t="e">
        <f t="shared" si="14"/>
        <v>#REF!</v>
      </c>
      <c r="BF22" s="121" t="e">
        <f t="shared" si="15"/>
        <v>#REF!</v>
      </c>
      <c r="BG22" s="121" t="e">
        <f t="shared" si="16"/>
        <v>#REF!</v>
      </c>
      <c r="BH22" s="121" t="e">
        <f t="shared" si="17"/>
        <v>#REF!</v>
      </c>
      <c r="BI22" s="113">
        <f>BI20+1</f>
        <v>8</v>
      </c>
    </row>
    <row r="23" spans="1:61" s="113" customFormat="1" ht="20.100000000000001" customHeight="1" thickBot="1">
      <c r="A23" s="1556"/>
      <c r="B23" s="1563"/>
      <c r="C23" s="354" t="s">
        <v>107</v>
      </c>
      <c r="D23" s="355" t="e">
        <f>VLOOKUP(C23,[11]PRIUS!$C$3:$I$26,2,0)</f>
        <v>#N/A</v>
      </c>
      <c r="E23" s="355" t="e">
        <f>VLOOKUP(C23,[12]PRIUS!$C$3:$F$17,4,0)</f>
        <v>#N/A</v>
      </c>
      <c r="F23" s="356">
        <v>351</v>
      </c>
      <c r="G23" s="356">
        <v>6</v>
      </c>
      <c r="H23" s="360">
        <f>H22</f>
        <v>4.2796599999999989</v>
      </c>
      <c r="I23" s="360">
        <f>I22</f>
        <v>4.2541000000000002</v>
      </c>
      <c r="J23" s="127" t="e">
        <f>(GUM!#REF!-(GUM!#REF!*0.2))</f>
        <v>#REF!</v>
      </c>
      <c r="K23" s="127" t="e">
        <f>(GUM!#REF!-(GUM!#REF!*0.2))</f>
        <v>#REF!</v>
      </c>
      <c r="L23" s="127" t="e">
        <f>(GUM!#REF!-(GUM!#REF!*0.2))</f>
        <v>#REF!</v>
      </c>
      <c r="M23" s="127" t="e">
        <f>(GUM!#REF!-(GUM!#REF!*0.2))</f>
        <v>#REF!</v>
      </c>
      <c r="N23" s="127" t="e">
        <f>(GUM!#REF!-(GUM!#REF!*0.2))</f>
        <v>#REF!</v>
      </c>
      <c r="O23" s="127" t="e">
        <f>(GUM!#REF!-(GUM!#REF!*0.2))</f>
        <v>#REF!</v>
      </c>
      <c r="P23" s="127" t="e">
        <f>(GUM!#REF!-(GUM!#REF!*0.2))</f>
        <v>#REF!</v>
      </c>
      <c r="Q23" s="127" t="e">
        <f>(GUM!#REF!-(GUM!#REF!*0.2))</f>
        <v>#REF!</v>
      </c>
      <c r="R23" s="127" t="e">
        <f>(GUM!#REF!-(GUM!#REF!*0.2))</f>
        <v>#REF!</v>
      </c>
      <c r="S23" s="127" t="e">
        <f>(GUM!#REF!-(GUM!#REF!*0.2))</f>
        <v>#REF!</v>
      </c>
      <c r="T23" s="127" t="e">
        <f>(GUM!#REF!-(GUM!#REF!*0.2))</f>
        <v>#REF!</v>
      </c>
      <c r="U23" s="127" t="e">
        <f>(GUM!#REF!-(GUM!#REF!*0.2))</f>
        <v>#REF!</v>
      </c>
      <c r="V23" s="127" t="e">
        <f>(GUM!#REF!-(GUM!#REF!*0.2))</f>
        <v>#REF!</v>
      </c>
      <c r="W23" s="127" t="e">
        <f>(GUM!#REF!-(GUM!#REF!*0.2))</f>
        <v>#REF!</v>
      </c>
      <c r="X23" s="127" t="e">
        <f>(GUM!#REF!-(GUM!#REF!*0.2))</f>
        <v>#REF!</v>
      </c>
      <c r="Y23" s="127" t="e">
        <f>(GUM!#REF!-(GUM!#REF!*0.2))</f>
        <v>#REF!</v>
      </c>
      <c r="Z23" s="127" t="e">
        <f>(GUM!#REF!-(GUM!#REF!*0.2))</f>
        <v>#REF!</v>
      </c>
      <c r="AA23" s="127" t="e">
        <f>(GUM!#REF!-(GUM!#REF!*0.2))</f>
        <v>#REF!</v>
      </c>
      <c r="AB23" s="127" t="e">
        <f>(GUM!#REF!-(GUM!#REF!*0.2))</f>
        <v>#REF!</v>
      </c>
      <c r="AC23" s="358" t="e">
        <f>(GUM!#REF!-(GUM!#REF!*0.2))</f>
        <v>#REF!</v>
      </c>
      <c r="AD23" s="127" t="e">
        <f>(GUM!#REF!-(GUM!#REF!*0.2))</f>
        <v>#REF!</v>
      </c>
      <c r="AE23" s="359" t="e">
        <f>(GUM!#REF!-(GUM!#REF!*0.2))</f>
        <v>#REF!</v>
      </c>
      <c r="AF23" s="113">
        <f t="shared" si="18"/>
        <v>10</v>
      </c>
      <c r="AG23" s="131" t="e">
        <f t="shared" si="0"/>
        <v>#REF!</v>
      </c>
      <c r="AH23" s="132" t="e">
        <f t="shared" si="0"/>
        <v>#REF!</v>
      </c>
      <c r="AI23" s="133" t="e">
        <f t="shared" si="0"/>
        <v>#REF!</v>
      </c>
      <c r="AJ23" s="134" t="e">
        <f t="shared" si="0"/>
        <v>#REF!</v>
      </c>
      <c r="AK23" s="132" t="e">
        <f>K23*$F23</f>
        <v>#REF!</v>
      </c>
      <c r="AL23" s="133" t="e">
        <f t="shared" si="2"/>
        <v>#REF!</v>
      </c>
      <c r="AM23" s="134" t="e">
        <f t="shared" si="2"/>
        <v>#REF!</v>
      </c>
      <c r="AN23" s="132" t="e">
        <f>N23*$F23</f>
        <v>#REF!</v>
      </c>
      <c r="AO23" s="133" t="e">
        <f t="shared" si="4"/>
        <v>#REF!</v>
      </c>
      <c r="AP23" s="134" t="e">
        <f t="shared" si="4"/>
        <v>#REF!</v>
      </c>
      <c r="AQ23" s="132" t="e">
        <f>Q23*$F23</f>
        <v>#REF!</v>
      </c>
      <c r="AR23" s="133" t="e">
        <f t="shared" si="6"/>
        <v>#REF!</v>
      </c>
      <c r="AS23" s="134" t="e">
        <f t="shared" si="6"/>
        <v>#REF!</v>
      </c>
      <c r="AT23" s="132" t="e">
        <f>T23*$F23</f>
        <v>#REF!</v>
      </c>
      <c r="AU23" s="133" t="e">
        <f t="shared" si="8"/>
        <v>#REF!</v>
      </c>
      <c r="AV23" s="134" t="e">
        <f t="shared" si="8"/>
        <v>#REF!</v>
      </c>
      <c r="AW23" s="132" t="e">
        <f>W23*$F23</f>
        <v>#REF!</v>
      </c>
      <c r="AX23" s="133" t="e">
        <f t="shared" si="10"/>
        <v>#REF!</v>
      </c>
      <c r="AY23" s="134" t="e">
        <f t="shared" si="10"/>
        <v>#REF!</v>
      </c>
      <c r="AZ23" s="135" t="e">
        <f>Z23*$F23</f>
        <v>#REF!</v>
      </c>
      <c r="BA23" s="136" t="e">
        <f>AD23*$F23</f>
        <v>#REF!</v>
      </c>
      <c r="BB23" s="137" t="s">
        <v>50</v>
      </c>
      <c r="BC23" s="121" t="e">
        <f>ROUNDUP(O23/$BC$13,0)</f>
        <v>#REF!</v>
      </c>
      <c r="BD23" s="121" t="e">
        <f>ROUNDUP(R23/$BD$13,0)</f>
        <v>#REF!</v>
      </c>
      <c r="BE23" s="121" t="e">
        <f>ROUNDUP(U23/$BE$13,0)</f>
        <v>#REF!</v>
      </c>
      <c r="BF23" s="121" t="e">
        <f>ROUNDUP(X23/$BF$13,0)</f>
        <v>#REF!</v>
      </c>
      <c r="BG23" s="121" t="e">
        <f>ROUNDUP(AA23/$BG$13,0)</f>
        <v>#REF!</v>
      </c>
      <c r="BH23" s="121" t="e">
        <f>ROUNDUP(AD23/$BH$13,0)</f>
        <v>#REF!</v>
      </c>
      <c r="BI23" s="113">
        <f>BI21+1</f>
        <v>9</v>
      </c>
    </row>
    <row r="24" spans="1:61" s="113" customFormat="1" ht="20.100000000000001" hidden="1" customHeight="1" thickBot="1">
      <c r="A24" s="1556"/>
      <c r="B24" s="1563"/>
      <c r="C24" s="354" t="s">
        <v>91</v>
      </c>
      <c r="D24" s="361">
        <f>VLOOKUP(C24,[11]PRIUS!$C$3:$I$26,2,0)</f>
        <v>0</v>
      </c>
      <c r="E24" s="362" t="e">
        <f>VLOOKUP(C24,[12]PRIUS!$C$3:$F$17,4,0)</f>
        <v>#N/A</v>
      </c>
      <c r="F24" s="363">
        <v>301</v>
      </c>
      <c r="G24" s="363">
        <v>6</v>
      </c>
      <c r="H24" s="364">
        <f>VLOOKUP(C24,[13]PRIUS!$C$3:$I$34,3,0)</f>
        <v>4.3249983333333324</v>
      </c>
      <c r="I24" s="364">
        <f>VLOOKUP(C24,[13]PRIUS!$C$3:$I$34,7,0)</f>
        <v>4.2968000000000002</v>
      </c>
      <c r="J24" s="127" t="e">
        <f>(GUM!#REF!-(GUM!#REF!*0.2))</f>
        <v>#REF!</v>
      </c>
      <c r="K24" s="127" t="e">
        <f>(GUM!#REF!-(GUM!#REF!*0.2))</f>
        <v>#REF!</v>
      </c>
      <c r="L24" s="127" t="e">
        <f>(GUM!#REF!-(GUM!#REF!*0.2))</f>
        <v>#REF!</v>
      </c>
      <c r="M24" s="127" t="e">
        <f>(GUM!#REF!-(GUM!#REF!*0.2))</f>
        <v>#REF!</v>
      </c>
      <c r="N24" s="127" t="e">
        <f>(GUM!#REF!-(GUM!#REF!*0.2))</f>
        <v>#REF!</v>
      </c>
      <c r="O24" s="127" t="e">
        <f>(GUM!#REF!-(GUM!#REF!*0.2))</f>
        <v>#REF!</v>
      </c>
      <c r="P24" s="127" t="e">
        <f>(GUM!#REF!-(GUM!#REF!*0.2))</f>
        <v>#REF!</v>
      </c>
      <c r="Q24" s="127" t="e">
        <f>(GUM!#REF!-(GUM!#REF!*0.2))</f>
        <v>#REF!</v>
      </c>
      <c r="R24" s="127" t="e">
        <f>(GUM!#REF!-(GUM!#REF!*0.2))</f>
        <v>#REF!</v>
      </c>
      <c r="S24" s="127" t="e">
        <f>(GUM!#REF!-(GUM!#REF!*0.2))</f>
        <v>#REF!</v>
      </c>
      <c r="T24" s="127" t="e">
        <f>(GUM!#REF!-(GUM!#REF!*0.2))</f>
        <v>#REF!</v>
      </c>
      <c r="U24" s="127" t="e">
        <f>(GUM!#REF!-(GUM!#REF!*0.2))</f>
        <v>#REF!</v>
      </c>
      <c r="V24" s="127" t="e">
        <f>(GUM!#REF!-(GUM!#REF!*0.2))</f>
        <v>#REF!</v>
      </c>
      <c r="W24" s="127" t="e">
        <f>(GUM!#REF!-(GUM!#REF!*0.2))</f>
        <v>#REF!</v>
      </c>
      <c r="X24" s="127" t="e">
        <f>(GUM!#REF!-(GUM!#REF!*0.2))</f>
        <v>#REF!</v>
      </c>
      <c r="Y24" s="127" t="e">
        <f>(GUM!#REF!-(GUM!#REF!*0.2))</f>
        <v>#REF!</v>
      </c>
      <c r="Z24" s="127" t="e">
        <f>(GUM!#REF!-(GUM!#REF!*0.2))</f>
        <v>#REF!</v>
      </c>
      <c r="AA24" s="127" t="e">
        <f>(GUM!#REF!-(GUM!#REF!*0.2))</f>
        <v>#REF!</v>
      </c>
      <c r="AB24" s="127" t="e">
        <f>(GUM!#REF!-(GUM!#REF!*0.2))</f>
        <v>#REF!</v>
      </c>
      <c r="AC24" s="358" t="e">
        <f>(GUM!#REF!-(GUM!#REF!*0.2))</f>
        <v>#REF!</v>
      </c>
      <c r="AD24" s="127" t="e">
        <f>(GUM!#REF!-(GUM!#REF!*0.2))</f>
        <v>#REF!</v>
      </c>
      <c r="AE24" s="359" t="e">
        <f>(GUM!#REF!-(GUM!#REF!*0.2))</f>
        <v>#REF!</v>
      </c>
      <c r="AF24" s="113">
        <f t="shared" si="18"/>
        <v>11</v>
      </c>
      <c r="AG24" s="131" t="e">
        <f t="shared" si="0"/>
        <v>#REF!</v>
      </c>
      <c r="AH24" s="132" t="e">
        <f t="shared" si="0"/>
        <v>#REF!</v>
      </c>
      <c r="AI24" s="133" t="e">
        <f t="shared" si="0"/>
        <v>#REF!</v>
      </c>
      <c r="AJ24" s="134" t="e">
        <f t="shared" si="0"/>
        <v>#REF!</v>
      </c>
      <c r="AK24" s="132" t="e">
        <f>K24*$F24</f>
        <v>#REF!</v>
      </c>
      <c r="AL24" s="133" t="e">
        <f t="shared" si="2"/>
        <v>#REF!</v>
      </c>
      <c r="AM24" s="134" t="e">
        <f t="shared" si="2"/>
        <v>#REF!</v>
      </c>
      <c r="AN24" s="132" t="e">
        <f>N24*$F24</f>
        <v>#REF!</v>
      </c>
      <c r="AO24" s="133" t="e">
        <f t="shared" si="4"/>
        <v>#REF!</v>
      </c>
      <c r="AP24" s="134" t="e">
        <f t="shared" si="4"/>
        <v>#REF!</v>
      </c>
      <c r="AQ24" s="132" t="e">
        <f>Q24*$F24</f>
        <v>#REF!</v>
      </c>
      <c r="AR24" s="133" t="e">
        <f t="shared" si="6"/>
        <v>#REF!</v>
      </c>
      <c r="AS24" s="134" t="e">
        <f t="shared" si="6"/>
        <v>#REF!</v>
      </c>
      <c r="AT24" s="132" t="e">
        <f>T24*$F24</f>
        <v>#REF!</v>
      </c>
      <c r="AU24" s="133" t="e">
        <f t="shared" si="8"/>
        <v>#REF!</v>
      </c>
      <c r="AV24" s="134" t="e">
        <f t="shared" si="8"/>
        <v>#REF!</v>
      </c>
      <c r="AW24" s="132" t="e">
        <f>W24*$F24</f>
        <v>#REF!</v>
      </c>
      <c r="AX24" s="133" t="e">
        <f t="shared" si="10"/>
        <v>#REF!</v>
      </c>
      <c r="AY24" s="134" t="e">
        <f t="shared" si="10"/>
        <v>#REF!</v>
      </c>
      <c r="AZ24" s="135" t="e">
        <f>Z24*$F24</f>
        <v>#REF!</v>
      </c>
      <c r="BA24" s="136" t="e">
        <f>AD24*$F24</f>
        <v>#REF!</v>
      </c>
      <c r="BB24" s="137" t="s">
        <v>50</v>
      </c>
      <c r="BC24" s="121" t="e">
        <f t="shared" si="13"/>
        <v>#REF!</v>
      </c>
      <c r="BD24" s="121" t="e">
        <f t="shared" si="19"/>
        <v>#REF!</v>
      </c>
      <c r="BE24" s="121" t="e">
        <f t="shared" si="14"/>
        <v>#REF!</v>
      </c>
      <c r="BF24" s="121" t="e">
        <f t="shared" si="15"/>
        <v>#REF!</v>
      </c>
      <c r="BG24" s="121" t="e">
        <f t="shared" si="16"/>
        <v>#REF!</v>
      </c>
      <c r="BH24" s="121" t="e">
        <f t="shared" si="17"/>
        <v>#REF!</v>
      </c>
      <c r="BI24" s="113">
        <f>BI22+1</f>
        <v>9</v>
      </c>
    </row>
    <row r="25" spans="1:61" s="206" customFormat="1" ht="20.100000000000001" hidden="1" customHeight="1">
      <c r="A25" s="1556"/>
      <c r="B25" s="1563"/>
      <c r="C25" s="365" t="s">
        <v>115</v>
      </c>
      <c r="D25" s="362">
        <v>0</v>
      </c>
      <c r="E25" s="362" t="e">
        <f>VLOOKUP(C25,[14]PRIUS!$C$3:$F$17,4,0)</f>
        <v>#N/A</v>
      </c>
      <c r="F25" s="363">
        <v>309</v>
      </c>
      <c r="G25" s="363">
        <v>6</v>
      </c>
      <c r="H25" s="366">
        <f>VLOOKUP(C25,[13]PRIUS!$C$3:$I$34,3,0)</f>
        <v>4.0269066666666662</v>
      </c>
      <c r="I25" s="366">
        <f>VLOOKUP(C25,[13]PRIUS!$C$3:$I$34,7,0)</f>
        <v>4.0590000000000002</v>
      </c>
      <c r="J25" s="149" t="e">
        <f>(GUM!#REF!-(GUM!#REF!*0.2))</f>
        <v>#REF!</v>
      </c>
      <c r="K25" s="149" t="e">
        <f>(GUM!#REF!-(GUM!#REF!*0.2))</f>
        <v>#REF!</v>
      </c>
      <c r="L25" s="149" t="e">
        <f>(GUM!#REF!-(GUM!#REF!*0.2))</f>
        <v>#REF!</v>
      </c>
      <c r="M25" s="149" t="e">
        <f>(GUM!#REF!-(GUM!#REF!*0.2))</f>
        <v>#REF!</v>
      </c>
      <c r="N25" s="149" t="e">
        <f>(GUM!#REF!-(GUM!#REF!*0.2))</f>
        <v>#REF!</v>
      </c>
      <c r="O25" s="149" t="e">
        <f>(GUM!#REF!-(GUM!#REF!*0.2))</f>
        <v>#REF!</v>
      </c>
      <c r="P25" s="149" t="e">
        <f>(GUM!#REF!-(GUM!#REF!*0.2))</f>
        <v>#REF!</v>
      </c>
      <c r="Q25" s="149" t="e">
        <f>(GUM!#REF!-(GUM!#REF!*0.2))</f>
        <v>#REF!</v>
      </c>
      <c r="R25" s="149" t="e">
        <f>(GUM!#REF!-(GUM!#REF!*0.2))</f>
        <v>#REF!</v>
      </c>
      <c r="S25" s="149" t="e">
        <f>(GUM!#REF!-(GUM!#REF!*0.2))</f>
        <v>#REF!</v>
      </c>
      <c r="T25" s="149" t="e">
        <f>(GUM!#REF!-(GUM!#REF!*0.2))</f>
        <v>#REF!</v>
      </c>
      <c r="U25" s="149" t="e">
        <f>(GUM!#REF!-(GUM!#REF!*0.2))</f>
        <v>#REF!</v>
      </c>
      <c r="V25" s="149" t="e">
        <f>(GUM!#REF!-(GUM!#REF!*0.2))</f>
        <v>#REF!</v>
      </c>
      <c r="W25" s="149" t="e">
        <f>(GUM!#REF!-(GUM!#REF!*0.2))</f>
        <v>#REF!</v>
      </c>
      <c r="X25" s="149" t="e">
        <f>(GUM!#REF!-(GUM!#REF!*0.2))</f>
        <v>#REF!</v>
      </c>
      <c r="Y25" s="149" t="e">
        <f>(GUM!#REF!-(GUM!#REF!*0.2))</f>
        <v>#REF!</v>
      </c>
      <c r="Z25" s="149" t="e">
        <f>(GUM!#REF!-(GUM!#REF!*0.2))</f>
        <v>#REF!</v>
      </c>
      <c r="AA25" s="149" t="e">
        <f>(GUM!#REF!-(GUM!#REF!*0.2))</f>
        <v>#REF!</v>
      </c>
      <c r="AB25" s="149" t="e">
        <f>(GUM!#REF!-(GUM!#REF!*0.2))</f>
        <v>#REF!</v>
      </c>
      <c r="AC25" s="162" t="e">
        <f>(GUM!#REF!-(GUM!#REF!*0.2))</f>
        <v>#REF!</v>
      </c>
      <c r="AD25" s="149" t="e">
        <f>(GUM!#REF!-(GUM!#REF!*0.2))</f>
        <v>#REF!</v>
      </c>
      <c r="AE25" s="367" t="e">
        <f>(GUM!#REF!-(GUM!#REF!*0.2))</f>
        <v>#REF!</v>
      </c>
      <c r="AF25" s="113">
        <f t="shared" si="18"/>
        <v>12</v>
      </c>
      <c r="AG25" s="207" t="e">
        <f t="shared" si="0"/>
        <v>#REF!</v>
      </c>
      <c r="AH25" s="208" t="e">
        <f t="shared" si="0"/>
        <v>#REF!</v>
      </c>
      <c r="AI25" s="209" t="e">
        <f t="shared" si="0"/>
        <v>#REF!</v>
      </c>
      <c r="AJ25" s="210" t="e">
        <f t="shared" si="0"/>
        <v>#REF!</v>
      </c>
      <c r="AK25" s="208" t="e">
        <f t="shared" ref="AK25:AK46" si="21">K25*$F25</f>
        <v>#REF!</v>
      </c>
      <c r="AL25" s="209" t="e">
        <f t="shared" si="2"/>
        <v>#REF!</v>
      </c>
      <c r="AM25" s="210" t="e">
        <f t="shared" si="2"/>
        <v>#REF!</v>
      </c>
      <c r="AN25" s="208" t="e">
        <f t="shared" ref="AN25:AN46" si="22">N25*$F25</f>
        <v>#REF!</v>
      </c>
      <c r="AO25" s="209" t="e">
        <f t="shared" si="4"/>
        <v>#REF!</v>
      </c>
      <c r="AP25" s="210" t="e">
        <f t="shared" si="4"/>
        <v>#REF!</v>
      </c>
      <c r="AQ25" s="208" t="e">
        <f t="shared" ref="AQ25:AQ46" si="23">Q25*$F25</f>
        <v>#REF!</v>
      </c>
      <c r="AR25" s="209" t="e">
        <f t="shared" si="6"/>
        <v>#REF!</v>
      </c>
      <c r="AS25" s="210" t="e">
        <f t="shared" si="6"/>
        <v>#REF!</v>
      </c>
      <c r="AT25" s="208" t="e">
        <f t="shared" ref="AT25:AT46" si="24">T25*$F25</f>
        <v>#REF!</v>
      </c>
      <c r="AU25" s="209" t="e">
        <f t="shared" si="8"/>
        <v>#REF!</v>
      </c>
      <c r="AV25" s="210" t="e">
        <f t="shared" si="8"/>
        <v>#REF!</v>
      </c>
      <c r="AW25" s="208" t="e">
        <f t="shared" ref="AW25:AW46" si="25">W25*$F25</f>
        <v>#REF!</v>
      </c>
      <c r="AX25" s="209" t="e">
        <f t="shared" si="10"/>
        <v>#REF!</v>
      </c>
      <c r="AY25" s="210" t="e">
        <f t="shared" si="10"/>
        <v>#REF!</v>
      </c>
      <c r="AZ25" s="211" t="e">
        <f t="shared" ref="AZ25:AZ46" si="26">Z25*$F25</f>
        <v>#REF!</v>
      </c>
      <c r="BA25" s="212" t="e">
        <f t="shared" si="12"/>
        <v>#REF!</v>
      </c>
      <c r="BB25" s="196" t="s">
        <v>40</v>
      </c>
      <c r="BC25" s="160" t="e">
        <f t="shared" si="13"/>
        <v>#REF!</v>
      </c>
      <c r="BD25" s="160" t="e">
        <f t="shared" si="19"/>
        <v>#REF!</v>
      </c>
      <c r="BE25" s="160" t="e">
        <f t="shared" si="14"/>
        <v>#REF!</v>
      </c>
      <c r="BF25" s="160" t="e">
        <f t="shared" si="15"/>
        <v>#REF!</v>
      </c>
      <c r="BG25" s="160" t="e">
        <f t="shared" si="16"/>
        <v>#REF!</v>
      </c>
      <c r="BH25" s="160" t="e">
        <f t="shared" si="17"/>
        <v>#REF!</v>
      </c>
      <c r="BI25" s="113">
        <f t="shared" si="20"/>
        <v>10</v>
      </c>
    </row>
    <row r="26" spans="1:61" s="113" customFormat="1" ht="20.100000000000001" customHeight="1" thickBot="1">
      <c r="A26" s="1556"/>
      <c r="B26" s="1563"/>
      <c r="C26" s="368" t="s">
        <v>108</v>
      </c>
      <c r="D26" s="369" t="e">
        <f>VLOOKUP(C26,[11]PRIUS!$C$3:$I$26,2,0)</f>
        <v>#N/A</v>
      </c>
      <c r="E26" s="370" t="e">
        <f>VLOOKUP(C26,[12]PRIUS!$C$3:$F$17,4,0)</f>
        <v>#N/A</v>
      </c>
      <c r="F26" s="371">
        <v>301</v>
      </c>
      <c r="G26" s="371">
        <v>6</v>
      </c>
      <c r="H26" s="372">
        <f>VLOOKUP(C26,[13]PRIUS!$C$3:$I$34,3,0)</f>
        <v>4.148063333333333</v>
      </c>
      <c r="I26" s="372">
        <f>VLOOKUP(C26,[13]PRIUS!$C$3:$I$34,7,0)</f>
        <v>4.3160999999999996</v>
      </c>
      <c r="J26" s="184">
        <f>(GUM!I19-(GUM!I19*0.2))</f>
        <v>19.2</v>
      </c>
      <c r="K26" s="184">
        <f>(GUM!J19-(GUM!J19*0.2))</f>
        <v>105.6</v>
      </c>
      <c r="L26" s="184">
        <f>(GUM!K19-(GUM!K19*0.2))</f>
        <v>148.80000000000001</v>
      </c>
      <c r="M26" s="184">
        <f>(GUM!L19-(GUM!L19*0.2))</f>
        <v>62.4</v>
      </c>
      <c r="N26" s="184">
        <f>(GUM!M19-(GUM!M19*0.2))</f>
        <v>153.6</v>
      </c>
      <c r="O26" s="184">
        <f>(GUM!N19-(GUM!N19*0.2))</f>
        <v>110.4</v>
      </c>
      <c r="P26" s="184">
        <f>(GUM!O19-(GUM!O19*0.2))</f>
        <v>19.2</v>
      </c>
      <c r="Q26" s="184">
        <f>(GUM!P19-(GUM!P19*0.2))</f>
        <v>168</v>
      </c>
      <c r="R26" s="184">
        <f>(GUM!Q19-(GUM!Q19*0.2))</f>
        <v>177.6</v>
      </c>
      <c r="S26" s="184">
        <f>(GUM!R19-(GUM!R19*0.2))</f>
        <v>28.8</v>
      </c>
      <c r="T26" s="184">
        <f>(GUM!S19-(GUM!S19*0.2))</f>
        <v>168</v>
      </c>
      <c r="U26" s="184">
        <f>(GUM!T19-(GUM!T19*0.2))</f>
        <v>163.19999999999999</v>
      </c>
      <c r="V26" s="184">
        <f>(GUM!U19-(GUM!U19*0.2))</f>
        <v>24</v>
      </c>
      <c r="W26" s="184">
        <f>(GUM!V19-(GUM!V19*0.2))</f>
        <v>182.4</v>
      </c>
      <c r="X26" s="184">
        <f>(GUM!W19-(GUM!W19*0.2))</f>
        <v>206.4</v>
      </c>
      <c r="Y26" s="184">
        <f>(GUM!X19-(GUM!X19*0.2))</f>
        <v>48</v>
      </c>
      <c r="Z26" s="184">
        <f>(GUM!Y19-(GUM!Y19*0.2))</f>
        <v>144</v>
      </c>
      <c r="AA26" s="184">
        <f>(GUM!Z19-(GUM!Z19*0.2))</f>
        <v>129.6</v>
      </c>
      <c r="AB26" s="184">
        <f>(GUM!AA19-(GUM!AA19*0.2))</f>
        <v>33.6</v>
      </c>
      <c r="AC26" s="373">
        <f>(GUM!AB19-(GUM!AB19*0.2))</f>
        <v>144</v>
      </c>
      <c r="AD26" s="184">
        <f>(GUM!AC19-(GUM!AC19*0.2))</f>
        <v>110.4</v>
      </c>
      <c r="AE26" s="374">
        <f>(GUM!AD19-(GUM!AD19*0.2))</f>
        <v>0</v>
      </c>
      <c r="AF26" s="113">
        <f t="shared" si="18"/>
        <v>13</v>
      </c>
      <c r="AG26" s="131">
        <f>J26*$F26</f>
        <v>5779.2</v>
      </c>
      <c r="AH26" s="132">
        <f>K26*$F26</f>
        <v>31785.599999999999</v>
      </c>
      <c r="AI26" s="133">
        <f>L26*$F26</f>
        <v>44788.800000000003</v>
      </c>
      <c r="AJ26" s="134">
        <f>M26*$F26</f>
        <v>18782.399999999998</v>
      </c>
      <c r="AK26" s="132">
        <f t="shared" si="21"/>
        <v>31785.599999999999</v>
      </c>
      <c r="AL26" s="133">
        <f t="shared" si="2"/>
        <v>33230.400000000001</v>
      </c>
      <c r="AM26" s="134">
        <f t="shared" si="2"/>
        <v>5779.2</v>
      </c>
      <c r="AN26" s="132">
        <f t="shared" si="22"/>
        <v>46233.599999999999</v>
      </c>
      <c r="AO26" s="133">
        <f t="shared" si="4"/>
        <v>53457.599999999999</v>
      </c>
      <c r="AP26" s="134">
        <f t="shared" si="4"/>
        <v>8668.8000000000011</v>
      </c>
      <c r="AQ26" s="132">
        <f t="shared" si="23"/>
        <v>50568</v>
      </c>
      <c r="AR26" s="133">
        <f t="shared" si="6"/>
        <v>49123.199999999997</v>
      </c>
      <c r="AS26" s="134">
        <f t="shared" si="6"/>
        <v>7224</v>
      </c>
      <c r="AT26" s="132">
        <f t="shared" si="24"/>
        <v>50568</v>
      </c>
      <c r="AU26" s="133">
        <f t="shared" si="8"/>
        <v>62126.400000000001</v>
      </c>
      <c r="AV26" s="134">
        <f t="shared" si="8"/>
        <v>14448</v>
      </c>
      <c r="AW26" s="132">
        <f t="shared" si="25"/>
        <v>54902.400000000001</v>
      </c>
      <c r="AX26" s="133">
        <f t="shared" si="10"/>
        <v>39009.599999999999</v>
      </c>
      <c r="AY26" s="134">
        <f t="shared" si="10"/>
        <v>10113.6</v>
      </c>
      <c r="AZ26" s="135">
        <f t="shared" si="26"/>
        <v>43344</v>
      </c>
      <c r="BA26" s="136">
        <f t="shared" si="12"/>
        <v>33230.400000000001</v>
      </c>
      <c r="BB26" s="137" t="s">
        <v>50</v>
      </c>
      <c r="BC26" s="121">
        <f t="shared" si="13"/>
        <v>23</v>
      </c>
      <c r="BD26" s="121">
        <f t="shared" si="19"/>
        <v>45</v>
      </c>
      <c r="BE26" s="121">
        <f t="shared" si="14"/>
        <v>41</v>
      </c>
      <c r="BF26" s="121">
        <f t="shared" si="15"/>
        <v>42</v>
      </c>
      <c r="BG26" s="121">
        <f t="shared" si="16"/>
        <v>33</v>
      </c>
      <c r="BH26" s="121">
        <f t="shared" si="17"/>
        <v>28</v>
      </c>
      <c r="BI26" s="113">
        <f>BI24+1</f>
        <v>10</v>
      </c>
    </row>
    <row r="27" spans="1:61" s="152" customFormat="1" ht="20.100000000000001" hidden="1" customHeight="1">
      <c r="A27" s="1564" t="s">
        <v>66</v>
      </c>
      <c r="B27" s="1551" t="s">
        <v>69</v>
      </c>
      <c r="C27" s="345" t="s">
        <v>84</v>
      </c>
      <c r="D27" s="287" t="str">
        <f>VLOOKUP(C27,[11]PRIUS!$C$3:$I$26,2,0)</f>
        <v>0401</v>
      </c>
      <c r="E27" s="287" t="str">
        <f>VLOOKUP(C27,[12]PRIUS!$C$3:$F$17,4,0)</f>
        <v>A430</v>
      </c>
      <c r="F27" s="288">
        <v>315</v>
      </c>
      <c r="G27" s="288">
        <v>6</v>
      </c>
      <c r="H27" s="296">
        <f>VLOOKUP(C27,[13]PRIUS!$C$3:$I$34,3,0)</f>
        <v>4.1404883333333329</v>
      </c>
      <c r="I27" s="296">
        <f>VLOOKUP(C27,[13]PRIUS!$C$3:$I$34,7,0)</f>
        <v>4.1082999999999998</v>
      </c>
      <c r="J27" s="174" t="e">
        <f>(GUM!#REF!-(GUM!#REF!*0.2))</f>
        <v>#REF!</v>
      </c>
      <c r="K27" s="175" t="e">
        <f>(GUM!#REF!-(GUM!#REF!*0.2))</f>
        <v>#REF!</v>
      </c>
      <c r="L27" s="176" t="e">
        <f>(GUM!#REF!-(GUM!#REF!*0.2))</f>
        <v>#REF!</v>
      </c>
      <c r="M27" s="174" t="e">
        <f>(GUM!#REF!-(GUM!#REF!*0.2))</f>
        <v>#REF!</v>
      </c>
      <c r="N27" s="175" t="e">
        <f>(GUM!#REF!-(GUM!#REF!*0.2))</f>
        <v>#REF!</v>
      </c>
      <c r="O27" s="176" t="e">
        <f>(GUM!#REF!-(GUM!#REF!*0.2))</f>
        <v>#REF!</v>
      </c>
      <c r="P27" s="174" t="e">
        <f>(GUM!#REF!-(GUM!#REF!*0.2))</f>
        <v>#REF!</v>
      </c>
      <c r="Q27" s="175" t="e">
        <f>(GUM!#REF!-(GUM!#REF!*0.2))</f>
        <v>#REF!</v>
      </c>
      <c r="R27" s="176" t="e">
        <f>(GUM!#REF!-(GUM!#REF!*0.2))</f>
        <v>#REF!</v>
      </c>
      <c r="S27" s="174" t="e">
        <f>(GUM!#REF!-(GUM!#REF!*0.2))</f>
        <v>#REF!</v>
      </c>
      <c r="T27" s="175" t="e">
        <f>(GUM!#REF!-(GUM!#REF!*0.2))</f>
        <v>#REF!</v>
      </c>
      <c r="U27" s="176" t="e">
        <f>(GUM!#REF!-(GUM!#REF!*0.2))</f>
        <v>#REF!</v>
      </c>
      <c r="V27" s="174" t="e">
        <f>(GUM!#REF!-(GUM!#REF!*0.2))</f>
        <v>#REF!</v>
      </c>
      <c r="W27" s="175" t="e">
        <f>(GUM!#REF!-(GUM!#REF!*0.2))</f>
        <v>#REF!</v>
      </c>
      <c r="X27" s="176" t="e">
        <f>(GUM!#REF!-(GUM!#REF!*0.2))</f>
        <v>#REF!</v>
      </c>
      <c r="Y27" s="174" t="e">
        <f>(GUM!#REF!-(GUM!#REF!*0.2))</f>
        <v>#REF!</v>
      </c>
      <c r="Z27" s="175" t="e">
        <f>(GUM!#REF!-(GUM!#REF!*0.2))</f>
        <v>#REF!</v>
      </c>
      <c r="AA27" s="176" t="e">
        <f>(GUM!#REF!-(GUM!#REF!*0.2))</f>
        <v>#REF!</v>
      </c>
      <c r="AB27" s="174" t="e">
        <f>(GUM!#REF!-(GUM!#REF!*0.2))</f>
        <v>#REF!</v>
      </c>
      <c r="AC27" s="346" t="e">
        <f>(GUM!#REF!-(GUM!#REF!*0.2))</f>
        <v>#REF!</v>
      </c>
      <c r="AD27" s="176" t="e">
        <f>(GUM!#REF!-(GUM!#REF!*0.2))</f>
        <v>#REF!</v>
      </c>
      <c r="AE27" s="177" t="e">
        <f>(GUM!#REF!-(GUM!#REF!*0.2))</f>
        <v>#REF!</v>
      </c>
      <c r="AF27" s="113">
        <f t="shared" si="18"/>
        <v>14</v>
      </c>
      <c r="AG27" s="153" t="e">
        <f t="shared" si="0"/>
        <v>#REF!</v>
      </c>
      <c r="AH27" s="154" t="e">
        <f t="shared" si="0"/>
        <v>#REF!</v>
      </c>
      <c r="AI27" s="155" t="e">
        <f t="shared" si="0"/>
        <v>#REF!</v>
      </c>
      <c r="AJ27" s="156" t="e">
        <f t="shared" si="0"/>
        <v>#REF!</v>
      </c>
      <c r="AK27" s="154" t="e">
        <f t="shared" si="21"/>
        <v>#REF!</v>
      </c>
      <c r="AL27" s="155" t="e">
        <f t="shared" si="2"/>
        <v>#REF!</v>
      </c>
      <c r="AM27" s="156" t="e">
        <f t="shared" si="2"/>
        <v>#REF!</v>
      </c>
      <c r="AN27" s="154" t="e">
        <f t="shared" si="22"/>
        <v>#REF!</v>
      </c>
      <c r="AO27" s="155" t="e">
        <f t="shared" si="4"/>
        <v>#REF!</v>
      </c>
      <c r="AP27" s="156" t="e">
        <f t="shared" si="4"/>
        <v>#REF!</v>
      </c>
      <c r="AQ27" s="154" t="e">
        <f t="shared" si="23"/>
        <v>#REF!</v>
      </c>
      <c r="AR27" s="155" t="e">
        <f t="shared" si="6"/>
        <v>#REF!</v>
      </c>
      <c r="AS27" s="156" t="e">
        <f t="shared" si="6"/>
        <v>#REF!</v>
      </c>
      <c r="AT27" s="154" t="e">
        <f t="shared" si="24"/>
        <v>#REF!</v>
      </c>
      <c r="AU27" s="155" t="e">
        <f t="shared" si="8"/>
        <v>#REF!</v>
      </c>
      <c r="AV27" s="156" t="e">
        <f t="shared" si="8"/>
        <v>#REF!</v>
      </c>
      <c r="AW27" s="154" t="e">
        <f t="shared" si="25"/>
        <v>#REF!</v>
      </c>
      <c r="AX27" s="155" t="e">
        <f t="shared" si="10"/>
        <v>#REF!</v>
      </c>
      <c r="AY27" s="156" t="e">
        <f t="shared" si="10"/>
        <v>#REF!</v>
      </c>
      <c r="AZ27" s="157" t="e">
        <f t="shared" si="26"/>
        <v>#REF!</v>
      </c>
      <c r="BA27" s="158" t="e">
        <f t="shared" si="12"/>
        <v>#REF!</v>
      </c>
      <c r="BB27" s="144" t="s">
        <v>41</v>
      </c>
      <c r="BC27" s="160" t="e">
        <f t="shared" si="13"/>
        <v>#REF!</v>
      </c>
      <c r="BD27" s="160" t="e">
        <f t="shared" si="19"/>
        <v>#REF!</v>
      </c>
      <c r="BE27" s="160" t="e">
        <f t="shared" si="14"/>
        <v>#REF!</v>
      </c>
      <c r="BF27" s="160" t="e">
        <f t="shared" si="15"/>
        <v>#REF!</v>
      </c>
      <c r="BG27" s="160" t="e">
        <f t="shared" si="16"/>
        <v>#REF!</v>
      </c>
      <c r="BH27" s="160" t="e">
        <f t="shared" si="17"/>
        <v>#REF!</v>
      </c>
      <c r="BI27" s="113">
        <f>BI25+1</f>
        <v>11</v>
      </c>
    </row>
    <row r="28" spans="1:61" s="226" customFormat="1" ht="20.100000000000001" hidden="1" customHeight="1">
      <c r="A28" s="1565"/>
      <c r="B28" s="1568"/>
      <c r="C28" s="218" t="s">
        <v>80</v>
      </c>
      <c r="D28" s="284">
        <f>VLOOKUP(C28,[11]PRIUS!$C$3:$I$26,2,0)</f>
        <v>0</v>
      </c>
      <c r="E28" s="284">
        <f>VLOOKUP(C28,[12]PRIUS!$C$3:$F$17,4,0)</f>
        <v>9404</v>
      </c>
      <c r="F28" s="285">
        <v>347</v>
      </c>
      <c r="G28" s="285">
        <v>6</v>
      </c>
      <c r="H28" s="286">
        <f>VLOOKUP(C28,[13]PRIUS!$C$3:$I$34,3,0)</f>
        <v>4.1453516666666665</v>
      </c>
      <c r="I28" s="220">
        <f>VLOOKUP(C28,[13]PRIUS!$C$3:$I$34,7,0)</f>
        <v>4.1453516666666665</v>
      </c>
      <c r="J28" s="221">
        <f>(GUM!I39-(GUM!I39*0.2))</f>
        <v>0</v>
      </c>
      <c r="K28" s="222">
        <f>(GUM!J39-(GUM!J39*0.2))</f>
        <v>0</v>
      </c>
      <c r="L28" s="223">
        <f>(GUM!K39-(GUM!K39*0.2))</f>
        <v>0</v>
      </c>
      <c r="M28" s="221">
        <f>(GUM!L39-(GUM!L39*0.2))</f>
        <v>0</v>
      </c>
      <c r="N28" s="222">
        <f>(GUM!M39-(GUM!M39*0.2))</f>
        <v>0</v>
      </c>
      <c r="O28" s="223">
        <f>(GUM!N39-(GUM!N39*0.2))</f>
        <v>0</v>
      </c>
      <c r="P28" s="221">
        <f>(GUM!O39-(GUM!O39*0.2))</f>
        <v>0</v>
      </c>
      <c r="Q28" s="222">
        <f>(GUM!P39-(GUM!P39*0.2))</f>
        <v>0</v>
      </c>
      <c r="R28" s="223">
        <f>(GUM!Q39-(GUM!Q39*0.2))</f>
        <v>0</v>
      </c>
      <c r="S28" s="221">
        <f>(GUM!R39-(GUM!R39*0.2))</f>
        <v>0</v>
      </c>
      <c r="T28" s="222">
        <f>(GUM!S39-(GUM!S39*0.2))</f>
        <v>0</v>
      </c>
      <c r="U28" s="223">
        <f>(GUM!T39-(GUM!T39*0.2))</f>
        <v>0</v>
      </c>
      <c r="V28" s="221">
        <f>(GUM!U39-(GUM!U39*0.2))</f>
        <v>0</v>
      </c>
      <c r="W28" s="222">
        <f>(GUM!V39-(GUM!V39*0.2))</f>
        <v>0</v>
      </c>
      <c r="X28" s="223">
        <f>(GUM!W39-(GUM!W39*0.2))</f>
        <v>0</v>
      </c>
      <c r="Y28" s="221">
        <f>(GUM!X39-(GUM!X39*0.2))</f>
        <v>0</v>
      </c>
      <c r="Z28" s="222">
        <f>(GUM!Y39-(GUM!Y39*0.2))</f>
        <v>0</v>
      </c>
      <c r="AA28" s="223">
        <f>(GUM!Z39-(GUM!Z39*0.2))</f>
        <v>0</v>
      </c>
      <c r="AB28" s="221">
        <f>(GUM!AA39-(GUM!AA39*0.2))</f>
        <v>0</v>
      </c>
      <c r="AC28" s="224">
        <f>(GUM!AB39-(GUM!AB39*0.2))</f>
        <v>0</v>
      </c>
      <c r="AD28" s="223">
        <f>(GUM!AC39-(GUM!AC39*0.2))</f>
        <v>0</v>
      </c>
      <c r="AE28" s="225">
        <f>(GUM!AD39-(GUM!AD39*0.2))</f>
        <v>0</v>
      </c>
      <c r="AF28" s="113">
        <f t="shared" si="18"/>
        <v>15</v>
      </c>
      <c r="AG28" s="227">
        <f t="shared" si="0"/>
        <v>0</v>
      </c>
      <c r="AH28" s="228">
        <f t="shared" si="0"/>
        <v>0</v>
      </c>
      <c r="AI28" s="229">
        <f t="shared" si="0"/>
        <v>0</v>
      </c>
      <c r="AJ28" s="230">
        <f t="shared" si="0"/>
        <v>0</v>
      </c>
      <c r="AK28" s="228">
        <f t="shared" si="21"/>
        <v>0</v>
      </c>
      <c r="AL28" s="229">
        <f t="shared" si="2"/>
        <v>0</v>
      </c>
      <c r="AM28" s="230">
        <f t="shared" si="2"/>
        <v>0</v>
      </c>
      <c r="AN28" s="228">
        <f t="shared" si="22"/>
        <v>0</v>
      </c>
      <c r="AO28" s="229">
        <f t="shared" si="4"/>
        <v>0</v>
      </c>
      <c r="AP28" s="230">
        <f t="shared" si="4"/>
        <v>0</v>
      </c>
      <c r="AQ28" s="228">
        <f t="shared" si="23"/>
        <v>0</v>
      </c>
      <c r="AR28" s="229">
        <f t="shared" si="6"/>
        <v>0</v>
      </c>
      <c r="AS28" s="230">
        <f t="shared" si="6"/>
        <v>0</v>
      </c>
      <c r="AT28" s="228">
        <f t="shared" si="24"/>
        <v>0</v>
      </c>
      <c r="AU28" s="229">
        <f t="shared" si="8"/>
        <v>0</v>
      </c>
      <c r="AV28" s="230">
        <f t="shared" si="8"/>
        <v>0</v>
      </c>
      <c r="AW28" s="228">
        <f t="shared" si="25"/>
        <v>0</v>
      </c>
      <c r="AX28" s="229">
        <f t="shared" si="10"/>
        <v>0</v>
      </c>
      <c r="AY28" s="230">
        <f t="shared" si="10"/>
        <v>0</v>
      </c>
      <c r="AZ28" s="231">
        <f t="shared" si="26"/>
        <v>0</v>
      </c>
      <c r="BA28" s="232">
        <f t="shared" si="12"/>
        <v>0</v>
      </c>
      <c r="BB28" s="216" t="s">
        <v>42</v>
      </c>
      <c r="BC28" s="160">
        <f t="shared" si="13"/>
        <v>0</v>
      </c>
      <c r="BD28" s="160">
        <f t="shared" si="19"/>
        <v>0</v>
      </c>
      <c r="BE28" s="160">
        <f t="shared" si="14"/>
        <v>0</v>
      </c>
      <c r="BF28" s="160">
        <f t="shared" si="15"/>
        <v>0</v>
      </c>
      <c r="BG28" s="160">
        <f t="shared" si="16"/>
        <v>0</v>
      </c>
      <c r="BH28" s="160">
        <f t="shared" si="17"/>
        <v>0</v>
      </c>
      <c r="BI28" s="113">
        <f t="shared" si="20"/>
        <v>12</v>
      </c>
    </row>
    <row r="29" spans="1:61" s="152" customFormat="1" ht="20.100000000000001" hidden="1" customHeight="1">
      <c r="A29" s="1565"/>
      <c r="B29" s="1543" t="s">
        <v>56</v>
      </c>
      <c r="C29" s="319" t="s">
        <v>85</v>
      </c>
      <c r="D29" s="287" t="str">
        <f>VLOOKUP(C29,[11]PRIUS!$C$3:$I$26,2,0)</f>
        <v>0402</v>
      </c>
      <c r="E29" s="287" t="str">
        <f>VLOOKUP(C29,[12]PRIUS!$C$3:$F$17,4,0)</f>
        <v>A432</v>
      </c>
      <c r="F29" s="288">
        <v>321</v>
      </c>
      <c r="G29" s="288">
        <v>6</v>
      </c>
      <c r="H29" s="295">
        <f>VLOOKUP(C29,[13]PRIUS!$C$3:$I$34,3,0)</f>
        <v>4.1974933333333331</v>
      </c>
      <c r="I29" s="296">
        <f>VLOOKUP(C29,[13]PRIUS!$C$3:$I$34,7,0)</f>
        <v>4.1611000000000002</v>
      </c>
      <c r="J29" s="174">
        <f>(GUM!I46-(GUM!I46*0.2))</f>
        <v>0</v>
      </c>
      <c r="K29" s="175">
        <f>(GUM!J46-(GUM!J46*0.2))</f>
        <v>0</v>
      </c>
      <c r="L29" s="176">
        <f>(GUM!K46-(GUM!K46*0.2))</f>
        <v>0</v>
      </c>
      <c r="M29" s="174">
        <f>(GUM!L46-(GUM!L46*0.2))</f>
        <v>0</v>
      </c>
      <c r="N29" s="175">
        <f>(GUM!M46-(GUM!M46*0.2))</f>
        <v>0</v>
      </c>
      <c r="O29" s="176">
        <f>(GUM!N46-(GUM!N46*0.2))</f>
        <v>0</v>
      </c>
      <c r="P29" s="174">
        <f>(GUM!O46-(GUM!O46*0.2))</f>
        <v>0</v>
      </c>
      <c r="Q29" s="175">
        <f>(GUM!P46-(GUM!P46*0.2))</f>
        <v>0</v>
      </c>
      <c r="R29" s="176">
        <f>(GUM!Q46-(GUM!Q46*0.2))</f>
        <v>0</v>
      </c>
      <c r="S29" s="174">
        <f>(GUM!R46-(GUM!R46*0.2))</f>
        <v>0</v>
      </c>
      <c r="T29" s="175">
        <f>(GUM!S46-(GUM!S46*0.2))</f>
        <v>0</v>
      </c>
      <c r="U29" s="176">
        <f>(GUM!T46-(GUM!T46*0.2))</f>
        <v>0</v>
      </c>
      <c r="V29" s="174">
        <f>(GUM!U46-(GUM!U46*0.2))</f>
        <v>0</v>
      </c>
      <c r="W29" s="175">
        <f>(GUM!V46-(GUM!V46*0.2))</f>
        <v>0</v>
      </c>
      <c r="X29" s="176">
        <f>(GUM!W46-(GUM!W46*0.2))</f>
        <v>0</v>
      </c>
      <c r="Y29" s="174">
        <f>(GUM!X46-(GUM!X46*0.2))</f>
        <v>0</v>
      </c>
      <c r="Z29" s="175">
        <f>(GUM!Y46-(GUM!Y46*0.2))</f>
        <v>0</v>
      </c>
      <c r="AA29" s="176">
        <f>(GUM!Z46-(GUM!Z46*0.2))</f>
        <v>0</v>
      </c>
      <c r="AB29" s="174">
        <f>(GUM!AA46-(GUM!AA46*0.2))</f>
        <v>0</v>
      </c>
      <c r="AC29" s="215">
        <f>(GUM!AB46-(GUM!AB46*0.2))</f>
        <v>0</v>
      </c>
      <c r="AD29" s="176">
        <f>(GUM!AC46-(GUM!AC46*0.2))</f>
        <v>0</v>
      </c>
      <c r="AE29" s="177">
        <f>(GUM!AD46-(GUM!AD46*0.2))</f>
        <v>0</v>
      </c>
      <c r="AF29" s="113">
        <f t="shared" si="18"/>
        <v>16</v>
      </c>
      <c r="AG29" s="164">
        <f t="shared" si="0"/>
        <v>0</v>
      </c>
      <c r="AH29" s="165">
        <f t="shared" si="0"/>
        <v>0</v>
      </c>
      <c r="AI29" s="166">
        <f t="shared" si="0"/>
        <v>0</v>
      </c>
      <c r="AJ29" s="167">
        <f t="shared" si="0"/>
        <v>0</v>
      </c>
      <c r="AK29" s="165">
        <f t="shared" si="21"/>
        <v>0</v>
      </c>
      <c r="AL29" s="166">
        <f t="shared" si="2"/>
        <v>0</v>
      </c>
      <c r="AM29" s="167">
        <f t="shared" si="2"/>
        <v>0</v>
      </c>
      <c r="AN29" s="165">
        <f t="shared" si="22"/>
        <v>0</v>
      </c>
      <c r="AO29" s="166">
        <f t="shared" si="4"/>
        <v>0</v>
      </c>
      <c r="AP29" s="167">
        <f t="shared" si="4"/>
        <v>0</v>
      </c>
      <c r="AQ29" s="165">
        <f t="shared" si="23"/>
        <v>0</v>
      </c>
      <c r="AR29" s="166">
        <f t="shared" si="6"/>
        <v>0</v>
      </c>
      <c r="AS29" s="167">
        <f t="shared" si="6"/>
        <v>0</v>
      </c>
      <c r="AT29" s="165">
        <f t="shared" si="24"/>
        <v>0</v>
      </c>
      <c r="AU29" s="166">
        <f t="shared" si="8"/>
        <v>0</v>
      </c>
      <c r="AV29" s="167">
        <f t="shared" si="8"/>
        <v>0</v>
      </c>
      <c r="AW29" s="165">
        <f t="shared" si="25"/>
        <v>0</v>
      </c>
      <c r="AX29" s="166">
        <f t="shared" si="10"/>
        <v>0</v>
      </c>
      <c r="AY29" s="167">
        <f t="shared" si="10"/>
        <v>0</v>
      </c>
      <c r="AZ29" s="168">
        <f t="shared" si="26"/>
        <v>0</v>
      </c>
      <c r="BA29" s="169">
        <f t="shared" si="12"/>
        <v>0</v>
      </c>
      <c r="BB29" s="171" t="s">
        <v>43</v>
      </c>
      <c r="BC29" s="178">
        <f t="shared" si="13"/>
        <v>0</v>
      </c>
      <c r="BD29" s="178">
        <f t="shared" si="19"/>
        <v>0</v>
      </c>
      <c r="BE29" s="178">
        <f t="shared" si="14"/>
        <v>0</v>
      </c>
      <c r="BF29" s="178">
        <f t="shared" si="15"/>
        <v>0</v>
      </c>
      <c r="BG29" s="178">
        <f t="shared" si="16"/>
        <v>0</v>
      </c>
      <c r="BH29" s="178">
        <f t="shared" si="17"/>
        <v>0</v>
      </c>
      <c r="BI29" s="113">
        <f t="shared" si="20"/>
        <v>13</v>
      </c>
    </row>
    <row r="30" spans="1:61" s="152" customFormat="1" ht="20.100000000000001" hidden="1" customHeight="1">
      <c r="A30" s="1565"/>
      <c r="B30" s="1543"/>
      <c r="C30" s="437" t="s">
        <v>86</v>
      </c>
      <c r="D30" s="289" t="str">
        <f>VLOOKUP(C30,[11]PRIUS!$C$3:$I$26,2,0)</f>
        <v>0402</v>
      </c>
      <c r="E30" s="289">
        <f>VLOOKUP(C30,[12]PRIUS!$C$3:$F$17,4,0)</f>
        <v>9947</v>
      </c>
      <c r="F30" s="290">
        <v>347</v>
      </c>
      <c r="G30" s="290">
        <v>6</v>
      </c>
      <c r="H30" s="297">
        <f>VLOOKUP(C30,[13]PRIUS!$C$3:$I$34,3,0)</f>
        <v>4.2965533333333328</v>
      </c>
      <c r="I30" s="298">
        <f>VLOOKUP(C30,[13]PRIUS!$C$3:$I$34,7,0)</f>
        <v>4.2606999999999999</v>
      </c>
      <c r="J30" s="236" t="e">
        <f>(GUM!#REF!-(GUM!#REF!*0.2))</f>
        <v>#REF!</v>
      </c>
      <c r="K30" s="237" t="e">
        <f>(GUM!#REF!-(GUM!#REF!*0.2))</f>
        <v>#REF!</v>
      </c>
      <c r="L30" s="238" t="e">
        <f>(GUM!#REF!-(GUM!#REF!*0.2))</f>
        <v>#REF!</v>
      </c>
      <c r="M30" s="236" t="e">
        <f>(GUM!#REF!-(GUM!#REF!*0.2))</f>
        <v>#REF!</v>
      </c>
      <c r="N30" s="237" t="e">
        <f>(GUM!#REF!-(GUM!#REF!*0.2))</f>
        <v>#REF!</v>
      </c>
      <c r="O30" s="238" t="e">
        <f>(GUM!#REF!-(GUM!#REF!*0.2))</f>
        <v>#REF!</v>
      </c>
      <c r="P30" s="236" t="e">
        <f>(GUM!#REF!-(GUM!#REF!*0.2))</f>
        <v>#REF!</v>
      </c>
      <c r="Q30" s="237" t="e">
        <f>(GUM!#REF!-(GUM!#REF!*0.2))</f>
        <v>#REF!</v>
      </c>
      <c r="R30" s="238" t="e">
        <f>(GUM!#REF!-(GUM!#REF!*0.2))</f>
        <v>#REF!</v>
      </c>
      <c r="S30" s="236" t="e">
        <f>(GUM!#REF!-(GUM!#REF!*0.2))</f>
        <v>#REF!</v>
      </c>
      <c r="T30" s="237" t="e">
        <f>(GUM!#REF!-(GUM!#REF!*0.2))</f>
        <v>#REF!</v>
      </c>
      <c r="U30" s="238" t="e">
        <f>(GUM!#REF!-(GUM!#REF!*0.2))</f>
        <v>#REF!</v>
      </c>
      <c r="V30" s="236" t="e">
        <f>(GUM!#REF!-(GUM!#REF!*0.2))</f>
        <v>#REF!</v>
      </c>
      <c r="W30" s="237" t="e">
        <f>(GUM!#REF!-(GUM!#REF!*0.2))</f>
        <v>#REF!</v>
      </c>
      <c r="X30" s="238" t="e">
        <f>(GUM!#REF!-(GUM!#REF!*0.2))</f>
        <v>#REF!</v>
      </c>
      <c r="Y30" s="236" t="e">
        <f>(GUM!#REF!-(GUM!#REF!*0.2))</f>
        <v>#REF!</v>
      </c>
      <c r="Z30" s="237" t="e">
        <f>(GUM!#REF!-(GUM!#REF!*0.2))</f>
        <v>#REF!</v>
      </c>
      <c r="AA30" s="238" t="e">
        <f>(GUM!#REF!-(GUM!#REF!*0.2))</f>
        <v>#REF!</v>
      </c>
      <c r="AB30" s="236" t="e">
        <f>(GUM!#REF!-(GUM!#REF!*0.2))</f>
        <v>#REF!</v>
      </c>
      <c r="AC30" s="239" t="e">
        <f>(GUM!#REF!-(GUM!#REF!*0.2))</f>
        <v>#REF!</v>
      </c>
      <c r="AD30" s="238" t="e">
        <f>(GUM!#REF!-(GUM!#REF!*0.2))</f>
        <v>#REF!</v>
      </c>
      <c r="AE30" s="240" t="e">
        <f>(GUM!#REF!-(GUM!#REF!*0.2))</f>
        <v>#REF!</v>
      </c>
      <c r="AF30" s="113">
        <f t="shared" si="18"/>
        <v>17</v>
      </c>
      <c r="AG30" s="164" t="e">
        <f t="shared" ref="AG30:AG46" si="27">J30*$F30</f>
        <v>#REF!</v>
      </c>
      <c r="AH30" s="165" t="e">
        <f t="shared" ref="AH30:AH46" si="28">K30*$F30</f>
        <v>#REF!</v>
      </c>
      <c r="AI30" s="166" t="e">
        <f t="shared" ref="AI30:AI46" si="29">L30*$F30</f>
        <v>#REF!</v>
      </c>
      <c r="AJ30" s="167" t="e">
        <f t="shared" ref="AJ30:AJ46" si="30">M30*$F30</f>
        <v>#REF!</v>
      </c>
      <c r="AK30" s="165" t="e">
        <f t="shared" si="21"/>
        <v>#REF!</v>
      </c>
      <c r="AL30" s="166" t="e">
        <f t="shared" ref="AL30:AL38" si="31">O30*$F30</f>
        <v>#REF!</v>
      </c>
      <c r="AM30" s="167" t="e">
        <f t="shared" ref="AM30:AM38" si="32">P30*$F30</f>
        <v>#REF!</v>
      </c>
      <c r="AN30" s="165" t="e">
        <f t="shared" si="22"/>
        <v>#REF!</v>
      </c>
      <c r="AO30" s="166" t="e">
        <f t="shared" ref="AO30:AO38" si="33">R30*$F30</f>
        <v>#REF!</v>
      </c>
      <c r="AP30" s="167" t="e">
        <f t="shared" ref="AP30:AP38" si="34">S30*$F30</f>
        <v>#REF!</v>
      </c>
      <c r="AQ30" s="165" t="e">
        <f t="shared" si="23"/>
        <v>#REF!</v>
      </c>
      <c r="AR30" s="166" t="e">
        <f t="shared" ref="AR30:AR38" si="35">U30*$F30</f>
        <v>#REF!</v>
      </c>
      <c r="AS30" s="167" t="e">
        <f t="shared" ref="AS30:AS38" si="36">V30*$F30</f>
        <v>#REF!</v>
      </c>
      <c r="AT30" s="165" t="e">
        <f t="shared" si="24"/>
        <v>#REF!</v>
      </c>
      <c r="AU30" s="166" t="e">
        <f t="shared" ref="AU30:AU38" si="37">X30*$F30</f>
        <v>#REF!</v>
      </c>
      <c r="AV30" s="167" t="e">
        <f t="shared" ref="AV30:AV38" si="38">Y30*$F30</f>
        <v>#REF!</v>
      </c>
      <c r="AW30" s="165" t="e">
        <f t="shared" si="25"/>
        <v>#REF!</v>
      </c>
      <c r="AX30" s="166" t="e">
        <f t="shared" ref="AX30:AX38" si="39">AA30*$F30</f>
        <v>#REF!</v>
      </c>
      <c r="AY30" s="167" t="e">
        <f t="shared" ref="AY30:AY38" si="40">AB30*$F30</f>
        <v>#REF!</v>
      </c>
      <c r="AZ30" s="168" t="e">
        <f t="shared" si="26"/>
        <v>#REF!</v>
      </c>
      <c r="BA30" s="169" t="e">
        <f t="shared" ref="BA30:BA46" si="41">AD30*$F30</f>
        <v>#REF!</v>
      </c>
      <c r="BB30" s="233" t="s">
        <v>44</v>
      </c>
      <c r="BC30" s="241" t="e">
        <f t="shared" si="13"/>
        <v>#REF!</v>
      </c>
      <c r="BD30" s="241" t="e">
        <f t="shared" si="19"/>
        <v>#REF!</v>
      </c>
      <c r="BE30" s="241" t="e">
        <f t="shared" si="14"/>
        <v>#REF!</v>
      </c>
      <c r="BF30" s="241" t="e">
        <f t="shared" si="15"/>
        <v>#REF!</v>
      </c>
      <c r="BG30" s="241" t="e">
        <f t="shared" si="16"/>
        <v>#REF!</v>
      </c>
      <c r="BH30" s="241" t="e">
        <f t="shared" si="17"/>
        <v>#REF!</v>
      </c>
      <c r="BI30" s="113">
        <f t="shared" si="20"/>
        <v>14</v>
      </c>
    </row>
    <row r="31" spans="1:61" s="206" customFormat="1" ht="20.100000000000001" hidden="1" customHeight="1">
      <c r="A31" s="1566"/>
      <c r="B31" s="1548" t="s">
        <v>68</v>
      </c>
      <c r="C31" s="417" t="s">
        <v>104</v>
      </c>
      <c r="D31" s="438">
        <v>0</v>
      </c>
      <c r="E31" s="438" t="e">
        <f>VLOOKUP(C31,[12]PRIUS!$C$3:$F$17,4,0)</f>
        <v>#N/A</v>
      </c>
      <c r="F31" s="419">
        <v>313</v>
      </c>
      <c r="G31" s="419">
        <v>6</v>
      </c>
      <c r="H31" s="439">
        <f>VLOOKUP(C31,[13]PRIUS!$C$3:$I$34,3,0)</f>
        <v>4.0314099999999993</v>
      </c>
      <c r="I31" s="440">
        <f>VLOOKUP(C31,[13]PRIUS!$C$3:$I$34,7,0)</f>
        <v>4.0053999999999998</v>
      </c>
      <c r="J31" s="202" t="e">
        <f>(GUM!#REF!-(GUM!#REF!*0.2))</f>
        <v>#REF!</v>
      </c>
      <c r="K31" s="202" t="e">
        <f>(GUM!#REF!-(GUM!#REF!*0.2))</f>
        <v>#REF!</v>
      </c>
      <c r="L31" s="202" t="e">
        <f>(GUM!#REF!-(GUM!#REF!*0.2))</f>
        <v>#REF!</v>
      </c>
      <c r="M31" s="202" t="e">
        <f>(GUM!#REF!-(GUM!#REF!*0.2))</f>
        <v>#REF!</v>
      </c>
      <c r="N31" s="202" t="e">
        <f>(GUM!#REF!-(GUM!#REF!*0.2))</f>
        <v>#REF!</v>
      </c>
      <c r="O31" s="202" t="e">
        <f>(GUM!#REF!-(GUM!#REF!*0.2))</f>
        <v>#REF!</v>
      </c>
      <c r="P31" s="202" t="e">
        <f>(GUM!#REF!-(GUM!#REF!*0.2))</f>
        <v>#REF!</v>
      </c>
      <c r="Q31" s="202" t="e">
        <f>(GUM!#REF!-(GUM!#REF!*0.2))</f>
        <v>#REF!</v>
      </c>
      <c r="R31" s="202" t="e">
        <f>(GUM!#REF!-(GUM!#REF!*0.2))</f>
        <v>#REF!</v>
      </c>
      <c r="S31" s="202" t="e">
        <f>(GUM!#REF!-(GUM!#REF!*0.2))</f>
        <v>#REF!</v>
      </c>
      <c r="T31" s="202" t="e">
        <f>(GUM!#REF!-(GUM!#REF!*0.2))</f>
        <v>#REF!</v>
      </c>
      <c r="U31" s="202" t="e">
        <f>(GUM!#REF!-(GUM!#REF!*0.2))</f>
        <v>#REF!</v>
      </c>
      <c r="V31" s="202" t="e">
        <f>(GUM!#REF!-(GUM!#REF!*0.2))</f>
        <v>#REF!</v>
      </c>
      <c r="W31" s="202" t="e">
        <f>(GUM!#REF!-(GUM!#REF!*0.2))</f>
        <v>#REF!</v>
      </c>
      <c r="X31" s="202" t="e">
        <f>(GUM!#REF!-(GUM!#REF!*0.2))</f>
        <v>#REF!</v>
      </c>
      <c r="Y31" s="202" t="e">
        <f>(GUM!#REF!-(GUM!#REF!*0.2))</f>
        <v>#REF!</v>
      </c>
      <c r="Z31" s="202" t="e">
        <f>(GUM!#REF!-(GUM!#REF!*0.2))</f>
        <v>#REF!</v>
      </c>
      <c r="AA31" s="202" t="e">
        <f>(GUM!#REF!-(GUM!#REF!*0.2))</f>
        <v>#REF!</v>
      </c>
      <c r="AB31" s="202" t="e">
        <f>(GUM!#REF!-(GUM!#REF!*0.2))</f>
        <v>#REF!</v>
      </c>
      <c r="AC31" s="422" t="e">
        <f>(GUM!#REF!-(GUM!#REF!*0.2))</f>
        <v>#REF!</v>
      </c>
      <c r="AD31" s="202" t="e">
        <f>(GUM!#REF!-(GUM!#REF!*0.2))</f>
        <v>#REF!</v>
      </c>
      <c r="AE31" s="423" t="e">
        <f>(GUM!#REF!-(GUM!#REF!*0.2))</f>
        <v>#REF!</v>
      </c>
      <c r="AF31" s="113">
        <f>AF30+1</f>
        <v>18</v>
      </c>
      <c r="AG31" s="207" t="e">
        <f t="shared" si="27"/>
        <v>#REF!</v>
      </c>
      <c r="AH31" s="208" t="e">
        <f t="shared" si="28"/>
        <v>#REF!</v>
      </c>
      <c r="AI31" s="209" t="e">
        <f t="shared" si="29"/>
        <v>#REF!</v>
      </c>
      <c r="AJ31" s="210" t="e">
        <f t="shared" si="30"/>
        <v>#REF!</v>
      </c>
      <c r="AK31" s="208" t="e">
        <f t="shared" si="21"/>
        <v>#REF!</v>
      </c>
      <c r="AL31" s="209" t="e">
        <f t="shared" si="31"/>
        <v>#REF!</v>
      </c>
      <c r="AM31" s="210" t="e">
        <f t="shared" si="32"/>
        <v>#REF!</v>
      </c>
      <c r="AN31" s="208" t="e">
        <f t="shared" si="22"/>
        <v>#REF!</v>
      </c>
      <c r="AO31" s="209" t="e">
        <f t="shared" si="33"/>
        <v>#REF!</v>
      </c>
      <c r="AP31" s="210" t="e">
        <f t="shared" si="34"/>
        <v>#REF!</v>
      </c>
      <c r="AQ31" s="208" t="e">
        <f t="shared" si="23"/>
        <v>#REF!</v>
      </c>
      <c r="AR31" s="209" t="e">
        <f t="shared" si="35"/>
        <v>#REF!</v>
      </c>
      <c r="AS31" s="210" t="e">
        <f t="shared" si="36"/>
        <v>#REF!</v>
      </c>
      <c r="AT31" s="208" t="e">
        <f t="shared" si="24"/>
        <v>#REF!</v>
      </c>
      <c r="AU31" s="209" t="e">
        <f t="shared" si="37"/>
        <v>#REF!</v>
      </c>
      <c r="AV31" s="210" t="e">
        <f t="shared" si="38"/>
        <v>#REF!</v>
      </c>
      <c r="AW31" s="208" t="e">
        <f t="shared" si="25"/>
        <v>#REF!</v>
      </c>
      <c r="AX31" s="209" t="e">
        <f t="shared" si="39"/>
        <v>#REF!</v>
      </c>
      <c r="AY31" s="210" t="e">
        <f t="shared" si="40"/>
        <v>#REF!</v>
      </c>
      <c r="AZ31" s="211" t="e">
        <f t="shared" si="26"/>
        <v>#REF!</v>
      </c>
      <c r="BA31" s="212" t="e">
        <f t="shared" si="41"/>
        <v>#REF!</v>
      </c>
      <c r="BB31" s="196" t="s">
        <v>45</v>
      </c>
      <c r="BC31" s="160" t="e">
        <f t="shared" si="13"/>
        <v>#REF!</v>
      </c>
      <c r="BD31" s="160" t="e">
        <f t="shared" si="19"/>
        <v>#REF!</v>
      </c>
      <c r="BE31" s="160" t="e">
        <f t="shared" si="14"/>
        <v>#REF!</v>
      </c>
      <c r="BF31" s="160" t="e">
        <f t="shared" si="15"/>
        <v>#REF!</v>
      </c>
      <c r="BG31" s="160" t="e">
        <f t="shared" si="16"/>
        <v>#REF!</v>
      </c>
      <c r="BH31" s="160" t="e">
        <f t="shared" si="17"/>
        <v>#REF!</v>
      </c>
      <c r="BI31" s="113">
        <f t="shared" si="20"/>
        <v>15</v>
      </c>
    </row>
    <row r="32" spans="1:61" s="152" customFormat="1" ht="20.100000000000001" hidden="1" customHeight="1">
      <c r="A32" s="1566"/>
      <c r="B32" s="1549"/>
      <c r="C32" s="441" t="s">
        <v>87</v>
      </c>
      <c r="D32" s="429" t="str">
        <f>VLOOKUP(C32,[11]PRIUS!$C$3:$I$26,2,0)</f>
        <v>0401</v>
      </c>
      <c r="E32" s="429" t="str">
        <f>VLOOKUP(C32,[12]PRIUS!$C$3:$F$17,4,0)</f>
        <v>A435</v>
      </c>
      <c r="F32" s="430">
        <v>337</v>
      </c>
      <c r="G32" s="430">
        <v>6</v>
      </c>
      <c r="H32" s="442">
        <f>VLOOKUP(C32,[13]PRIUS!$C$3:$I$34,3,0)</f>
        <v>4.1739333333333333</v>
      </c>
      <c r="I32" s="443">
        <f>VLOOKUP(C32,[13]PRIUS!$C$3:$I$34,7,0)</f>
        <v>4.1443000000000003</v>
      </c>
      <c r="J32" s="149" t="e">
        <f>(GUM!#REF!-(GUM!#REF!*0.2))</f>
        <v>#REF!</v>
      </c>
      <c r="K32" s="149" t="e">
        <f>(GUM!#REF!-(GUM!#REF!*0.2))</f>
        <v>#REF!</v>
      </c>
      <c r="L32" s="149" t="e">
        <f>(GUM!#REF!-(GUM!#REF!*0.2))</f>
        <v>#REF!</v>
      </c>
      <c r="M32" s="149" t="e">
        <f>(GUM!#REF!-(GUM!#REF!*0.2))</f>
        <v>#REF!</v>
      </c>
      <c r="N32" s="149" t="e">
        <f>(GUM!#REF!-(GUM!#REF!*0.2))</f>
        <v>#REF!</v>
      </c>
      <c r="O32" s="149" t="e">
        <f>(GUM!#REF!-(GUM!#REF!*0.2))</f>
        <v>#REF!</v>
      </c>
      <c r="P32" s="149" t="e">
        <f>(GUM!#REF!-(GUM!#REF!*0.2))</f>
        <v>#REF!</v>
      </c>
      <c r="Q32" s="149" t="e">
        <f>(GUM!#REF!-(GUM!#REF!*0.2))</f>
        <v>#REF!</v>
      </c>
      <c r="R32" s="149" t="e">
        <f>(GUM!#REF!-(GUM!#REF!*0.2))</f>
        <v>#REF!</v>
      </c>
      <c r="S32" s="149" t="e">
        <f>(GUM!#REF!-(GUM!#REF!*0.2))</f>
        <v>#REF!</v>
      </c>
      <c r="T32" s="149" t="e">
        <f>(GUM!#REF!-(GUM!#REF!*0.2))</f>
        <v>#REF!</v>
      </c>
      <c r="U32" s="149" t="e">
        <f>(GUM!#REF!-(GUM!#REF!*0.2))</f>
        <v>#REF!</v>
      </c>
      <c r="V32" s="149" t="e">
        <f>(GUM!#REF!-(GUM!#REF!*0.2))</f>
        <v>#REF!</v>
      </c>
      <c r="W32" s="149" t="e">
        <f>(GUM!#REF!-(GUM!#REF!*0.2))</f>
        <v>#REF!</v>
      </c>
      <c r="X32" s="149" t="e">
        <f>(GUM!#REF!-(GUM!#REF!*0.2))</f>
        <v>#REF!</v>
      </c>
      <c r="Y32" s="149" t="e">
        <f>(GUM!#REF!-(GUM!#REF!*0.2))</f>
        <v>#REF!</v>
      </c>
      <c r="Z32" s="149" t="e">
        <f>(GUM!#REF!-(GUM!#REF!*0.2))</f>
        <v>#REF!</v>
      </c>
      <c r="AA32" s="149" t="e">
        <f>(GUM!#REF!-(GUM!#REF!*0.2))</f>
        <v>#REF!</v>
      </c>
      <c r="AB32" s="149" t="e">
        <f>(GUM!#REF!-(GUM!#REF!*0.2))</f>
        <v>#REF!</v>
      </c>
      <c r="AC32" s="163" t="e">
        <f>(GUM!#REF!-(GUM!#REF!*0.2))</f>
        <v>#REF!</v>
      </c>
      <c r="AD32" s="149" t="e">
        <f>(GUM!#REF!-(GUM!#REF!*0.2))</f>
        <v>#REF!</v>
      </c>
      <c r="AE32" s="367" t="e">
        <f>(GUM!#REF!-(GUM!#REF!*0.2))</f>
        <v>#REF!</v>
      </c>
      <c r="AF32" s="113">
        <f t="shared" si="18"/>
        <v>19</v>
      </c>
      <c r="AG32" s="164" t="e">
        <f t="shared" si="27"/>
        <v>#REF!</v>
      </c>
      <c r="AH32" s="165" t="e">
        <f t="shared" si="28"/>
        <v>#REF!</v>
      </c>
      <c r="AI32" s="166" t="e">
        <f t="shared" si="29"/>
        <v>#REF!</v>
      </c>
      <c r="AJ32" s="167" t="e">
        <f t="shared" si="30"/>
        <v>#REF!</v>
      </c>
      <c r="AK32" s="165" t="e">
        <f t="shared" si="21"/>
        <v>#REF!</v>
      </c>
      <c r="AL32" s="166" t="e">
        <f t="shared" si="31"/>
        <v>#REF!</v>
      </c>
      <c r="AM32" s="167" t="e">
        <f t="shared" si="32"/>
        <v>#REF!</v>
      </c>
      <c r="AN32" s="165" t="e">
        <f t="shared" si="22"/>
        <v>#REF!</v>
      </c>
      <c r="AO32" s="166" t="e">
        <f t="shared" si="33"/>
        <v>#REF!</v>
      </c>
      <c r="AP32" s="167" t="e">
        <f t="shared" si="34"/>
        <v>#REF!</v>
      </c>
      <c r="AQ32" s="165" t="e">
        <f t="shared" si="23"/>
        <v>#REF!</v>
      </c>
      <c r="AR32" s="166" t="e">
        <f t="shared" si="35"/>
        <v>#REF!</v>
      </c>
      <c r="AS32" s="167" t="e">
        <f t="shared" si="36"/>
        <v>#REF!</v>
      </c>
      <c r="AT32" s="165" t="e">
        <f t="shared" si="24"/>
        <v>#REF!</v>
      </c>
      <c r="AU32" s="166" t="e">
        <f t="shared" si="37"/>
        <v>#REF!</v>
      </c>
      <c r="AV32" s="167" t="e">
        <f t="shared" si="38"/>
        <v>#REF!</v>
      </c>
      <c r="AW32" s="165" t="e">
        <f t="shared" si="25"/>
        <v>#REF!</v>
      </c>
      <c r="AX32" s="166" t="e">
        <f t="shared" si="39"/>
        <v>#REF!</v>
      </c>
      <c r="AY32" s="167" t="e">
        <f t="shared" si="40"/>
        <v>#REF!</v>
      </c>
      <c r="AZ32" s="168" t="e">
        <f t="shared" si="26"/>
        <v>#REF!</v>
      </c>
      <c r="BA32" s="169" t="e">
        <f t="shared" si="41"/>
        <v>#REF!</v>
      </c>
      <c r="BB32" s="144" t="s">
        <v>46</v>
      </c>
      <c r="BC32" s="160" t="e">
        <f t="shared" si="13"/>
        <v>#REF!</v>
      </c>
      <c r="BD32" s="160" t="e">
        <f t="shared" si="19"/>
        <v>#REF!</v>
      </c>
      <c r="BE32" s="160" t="e">
        <f t="shared" si="14"/>
        <v>#REF!</v>
      </c>
      <c r="BF32" s="160" t="e">
        <f t="shared" si="15"/>
        <v>#REF!</v>
      </c>
      <c r="BG32" s="160" t="e">
        <f t="shared" si="16"/>
        <v>#REF!</v>
      </c>
      <c r="BH32" s="160" t="e">
        <f t="shared" si="17"/>
        <v>#REF!</v>
      </c>
      <c r="BI32" s="113">
        <f t="shared" si="20"/>
        <v>16</v>
      </c>
    </row>
    <row r="33" spans="1:61" s="152" customFormat="1" ht="20.100000000000001" hidden="1" customHeight="1">
      <c r="A33" s="1566"/>
      <c r="B33" s="1549"/>
      <c r="C33" s="428" t="s">
        <v>88</v>
      </c>
      <c r="D33" s="429" t="str">
        <f>VLOOKUP(C33,[11]PRIUS!$C$3:$I$26,2,0)</f>
        <v>0401</v>
      </c>
      <c r="E33" s="429" t="str">
        <f>VLOOKUP(C33,[12]PRIUS!$C$3:$F$17,4,0)</f>
        <v>A436</v>
      </c>
      <c r="F33" s="430">
        <v>313</v>
      </c>
      <c r="G33" s="430">
        <v>6</v>
      </c>
      <c r="H33" s="444">
        <f>VLOOKUP(C33,[13]PRIUS!$C$3:$I$34,3,0)</f>
        <v>4.0314099999999993</v>
      </c>
      <c r="I33" s="443">
        <f>VLOOKUP(C33,[13]PRIUS!$C$3:$I$34,7,0)</f>
        <v>4.0053999999999998</v>
      </c>
      <c r="J33" s="149" t="e">
        <f>(GUM!#REF!-(GUM!#REF!*0.2))</f>
        <v>#REF!</v>
      </c>
      <c r="K33" s="149" t="e">
        <f>(GUM!#REF!-(GUM!#REF!*0.2))</f>
        <v>#REF!</v>
      </c>
      <c r="L33" s="149" t="e">
        <f>(GUM!#REF!-(GUM!#REF!*0.2))</f>
        <v>#REF!</v>
      </c>
      <c r="M33" s="149" t="e">
        <f>(GUM!#REF!-(GUM!#REF!*0.2))</f>
        <v>#REF!</v>
      </c>
      <c r="N33" s="149" t="e">
        <f>(GUM!#REF!-(GUM!#REF!*0.2))</f>
        <v>#REF!</v>
      </c>
      <c r="O33" s="149" t="e">
        <f>(GUM!#REF!-(GUM!#REF!*0.2))</f>
        <v>#REF!</v>
      </c>
      <c r="P33" s="149" t="e">
        <f>(GUM!#REF!-(GUM!#REF!*0.2))</f>
        <v>#REF!</v>
      </c>
      <c r="Q33" s="149" t="e">
        <f>(GUM!#REF!-(GUM!#REF!*0.2))</f>
        <v>#REF!</v>
      </c>
      <c r="R33" s="149" t="e">
        <f>(GUM!#REF!-(GUM!#REF!*0.2))</f>
        <v>#REF!</v>
      </c>
      <c r="S33" s="149" t="e">
        <f>(GUM!#REF!-(GUM!#REF!*0.2))</f>
        <v>#REF!</v>
      </c>
      <c r="T33" s="149" t="e">
        <f>(GUM!#REF!-(GUM!#REF!*0.2))</f>
        <v>#REF!</v>
      </c>
      <c r="U33" s="149" t="e">
        <f>(GUM!#REF!-(GUM!#REF!*0.2))</f>
        <v>#REF!</v>
      </c>
      <c r="V33" s="149" t="e">
        <f>(GUM!#REF!-(GUM!#REF!*0.2))</f>
        <v>#REF!</v>
      </c>
      <c r="W33" s="149" t="e">
        <f>(GUM!#REF!-(GUM!#REF!*0.2))</f>
        <v>#REF!</v>
      </c>
      <c r="X33" s="149" t="e">
        <f>(GUM!#REF!-(GUM!#REF!*0.2))</f>
        <v>#REF!</v>
      </c>
      <c r="Y33" s="149" t="e">
        <f>(GUM!#REF!-(GUM!#REF!*0.2))</f>
        <v>#REF!</v>
      </c>
      <c r="Z33" s="149" t="e">
        <f>(GUM!#REF!-(GUM!#REF!*0.2))</f>
        <v>#REF!</v>
      </c>
      <c r="AA33" s="149" t="e">
        <f>(GUM!#REF!-(GUM!#REF!*0.2))</f>
        <v>#REF!</v>
      </c>
      <c r="AB33" s="149" t="e">
        <f>(GUM!#REF!-(GUM!#REF!*0.2))</f>
        <v>#REF!</v>
      </c>
      <c r="AC33" s="163" t="e">
        <f>(GUM!#REF!-(GUM!#REF!*0.2))</f>
        <v>#REF!</v>
      </c>
      <c r="AD33" s="149" t="e">
        <f>(GUM!#REF!-(GUM!#REF!*0.2))</f>
        <v>#REF!</v>
      </c>
      <c r="AE33" s="367" t="e">
        <f>(GUM!#REF!-(GUM!#REF!*0.2))</f>
        <v>#REF!</v>
      </c>
      <c r="AF33" s="113">
        <f t="shared" si="18"/>
        <v>20</v>
      </c>
      <c r="AG33" s="164" t="e">
        <f t="shared" si="27"/>
        <v>#REF!</v>
      </c>
      <c r="AH33" s="165" t="e">
        <f t="shared" si="28"/>
        <v>#REF!</v>
      </c>
      <c r="AI33" s="166" t="e">
        <f t="shared" si="29"/>
        <v>#REF!</v>
      </c>
      <c r="AJ33" s="167" t="e">
        <f t="shared" si="30"/>
        <v>#REF!</v>
      </c>
      <c r="AK33" s="165" t="e">
        <f t="shared" si="21"/>
        <v>#REF!</v>
      </c>
      <c r="AL33" s="166" t="e">
        <f t="shared" si="31"/>
        <v>#REF!</v>
      </c>
      <c r="AM33" s="167" t="e">
        <f t="shared" si="32"/>
        <v>#REF!</v>
      </c>
      <c r="AN33" s="165" t="e">
        <f t="shared" si="22"/>
        <v>#REF!</v>
      </c>
      <c r="AO33" s="166" t="e">
        <f t="shared" si="33"/>
        <v>#REF!</v>
      </c>
      <c r="AP33" s="167" t="e">
        <f t="shared" si="34"/>
        <v>#REF!</v>
      </c>
      <c r="AQ33" s="165" t="e">
        <f t="shared" si="23"/>
        <v>#REF!</v>
      </c>
      <c r="AR33" s="166" t="e">
        <f t="shared" si="35"/>
        <v>#REF!</v>
      </c>
      <c r="AS33" s="167" t="e">
        <f t="shared" si="36"/>
        <v>#REF!</v>
      </c>
      <c r="AT33" s="165" t="e">
        <f t="shared" si="24"/>
        <v>#REF!</v>
      </c>
      <c r="AU33" s="166" t="e">
        <f t="shared" si="37"/>
        <v>#REF!</v>
      </c>
      <c r="AV33" s="167" t="e">
        <f t="shared" si="38"/>
        <v>#REF!</v>
      </c>
      <c r="AW33" s="165" t="e">
        <f t="shared" si="25"/>
        <v>#REF!</v>
      </c>
      <c r="AX33" s="166" t="e">
        <f t="shared" si="39"/>
        <v>#REF!</v>
      </c>
      <c r="AY33" s="167" t="e">
        <f t="shared" si="40"/>
        <v>#REF!</v>
      </c>
      <c r="AZ33" s="168" t="e">
        <f t="shared" si="26"/>
        <v>#REF!</v>
      </c>
      <c r="BA33" s="169" t="e">
        <f t="shared" si="41"/>
        <v>#REF!</v>
      </c>
      <c r="BB33" s="144" t="s">
        <v>47</v>
      </c>
      <c r="BC33" s="160" t="e">
        <f t="shared" si="13"/>
        <v>#REF!</v>
      </c>
      <c r="BD33" s="160" t="e">
        <f>ROUNDUP(R33/$BD$13,0)</f>
        <v>#REF!</v>
      </c>
      <c r="BE33" s="160" t="e">
        <f t="shared" si="14"/>
        <v>#REF!</v>
      </c>
      <c r="BF33" s="160" t="e">
        <f t="shared" si="15"/>
        <v>#REF!</v>
      </c>
      <c r="BG33" s="160" t="e">
        <f t="shared" si="16"/>
        <v>#REF!</v>
      </c>
      <c r="BH33" s="160" t="e">
        <f t="shared" si="17"/>
        <v>#REF!</v>
      </c>
      <c r="BI33" s="113">
        <f t="shared" si="20"/>
        <v>17</v>
      </c>
    </row>
    <row r="34" spans="1:61" s="226" customFormat="1" ht="20.100000000000001" hidden="1" customHeight="1">
      <c r="A34" s="1566"/>
      <c r="B34" s="1550"/>
      <c r="C34" s="445" t="s">
        <v>89</v>
      </c>
      <c r="D34" s="446" t="str">
        <f>VLOOKUP(C34,[11]PRIUS!$C$3:$I$26,2,0)</f>
        <v>0401</v>
      </c>
      <c r="E34" s="446" t="str">
        <f>VLOOKUP(C34,[12]PRIUS!$C$3:$F$17,4,0)</f>
        <v>A437</v>
      </c>
      <c r="F34" s="447">
        <v>337</v>
      </c>
      <c r="G34" s="447">
        <v>6</v>
      </c>
      <c r="H34" s="448">
        <f>VLOOKUP(C34,[13]PRIUS!$C$3:$I$34,3,0)</f>
        <v>4.1739333333333333</v>
      </c>
      <c r="I34" s="448">
        <f>VLOOKUP(C34,[13]PRIUS!$C$3:$I$34,7,0)</f>
        <v>4.1443000000000003</v>
      </c>
      <c r="J34" s="222" t="e">
        <f>(GUM!#REF!-(GUM!#REF!*0.2))</f>
        <v>#REF!</v>
      </c>
      <c r="K34" s="222" t="e">
        <f>(GUM!#REF!-(GUM!#REF!*0.2))</f>
        <v>#REF!</v>
      </c>
      <c r="L34" s="222" t="e">
        <f>(GUM!#REF!-(GUM!#REF!*0.2))</f>
        <v>#REF!</v>
      </c>
      <c r="M34" s="222" t="e">
        <f>(GUM!#REF!-(GUM!#REF!*0.2))</f>
        <v>#REF!</v>
      </c>
      <c r="N34" s="222" t="e">
        <f>(GUM!#REF!-(GUM!#REF!*0.2))</f>
        <v>#REF!</v>
      </c>
      <c r="O34" s="222" t="e">
        <f>(GUM!#REF!-(GUM!#REF!*0.2))</f>
        <v>#REF!</v>
      </c>
      <c r="P34" s="222" t="e">
        <f>(GUM!#REF!-(GUM!#REF!*0.2))</f>
        <v>#REF!</v>
      </c>
      <c r="Q34" s="222" t="e">
        <f>(GUM!#REF!-(GUM!#REF!*0.2))</f>
        <v>#REF!</v>
      </c>
      <c r="R34" s="222" t="e">
        <f>(GUM!#REF!-(GUM!#REF!*0.2))</f>
        <v>#REF!</v>
      </c>
      <c r="S34" s="222" t="e">
        <f>(GUM!#REF!-(GUM!#REF!*0.2))</f>
        <v>#REF!</v>
      </c>
      <c r="T34" s="222" t="e">
        <f>(GUM!#REF!-(GUM!#REF!*0.2))</f>
        <v>#REF!</v>
      </c>
      <c r="U34" s="222" t="e">
        <f>(GUM!#REF!-(GUM!#REF!*0.2))</f>
        <v>#REF!</v>
      </c>
      <c r="V34" s="222" t="e">
        <f>(GUM!#REF!-(GUM!#REF!*0.2))</f>
        <v>#REF!</v>
      </c>
      <c r="W34" s="222" t="e">
        <f>(GUM!#REF!-(GUM!#REF!*0.2))</f>
        <v>#REF!</v>
      </c>
      <c r="X34" s="222" t="e">
        <f>(GUM!#REF!-(GUM!#REF!*0.2))</f>
        <v>#REF!</v>
      </c>
      <c r="Y34" s="222" t="e">
        <f>(GUM!#REF!-(GUM!#REF!*0.2))</f>
        <v>#REF!</v>
      </c>
      <c r="Z34" s="222" t="e">
        <f>(GUM!#REF!-(GUM!#REF!*0.2))</f>
        <v>#REF!</v>
      </c>
      <c r="AA34" s="222" t="e">
        <f>(GUM!#REF!-(GUM!#REF!*0.2))</f>
        <v>#REF!</v>
      </c>
      <c r="AB34" s="222" t="e">
        <f>(GUM!#REF!-(GUM!#REF!*0.2))</f>
        <v>#REF!</v>
      </c>
      <c r="AC34" s="224" t="e">
        <f>(GUM!#REF!-(GUM!#REF!*0.2))</f>
        <v>#REF!</v>
      </c>
      <c r="AD34" s="222" t="e">
        <f>(GUM!#REF!-(GUM!#REF!*0.2))</f>
        <v>#REF!</v>
      </c>
      <c r="AE34" s="436" t="e">
        <f>(GUM!#REF!-(GUM!#REF!*0.2))</f>
        <v>#REF!</v>
      </c>
      <c r="AF34" s="113">
        <f t="shared" si="18"/>
        <v>21</v>
      </c>
      <c r="AG34" s="227" t="e">
        <f t="shared" si="27"/>
        <v>#REF!</v>
      </c>
      <c r="AH34" s="228" t="e">
        <f t="shared" si="28"/>
        <v>#REF!</v>
      </c>
      <c r="AI34" s="229" t="e">
        <f t="shared" si="29"/>
        <v>#REF!</v>
      </c>
      <c r="AJ34" s="230" t="e">
        <f t="shared" si="30"/>
        <v>#REF!</v>
      </c>
      <c r="AK34" s="228" t="e">
        <f t="shared" si="21"/>
        <v>#REF!</v>
      </c>
      <c r="AL34" s="229" t="e">
        <f t="shared" si="31"/>
        <v>#REF!</v>
      </c>
      <c r="AM34" s="230" t="e">
        <f t="shared" si="32"/>
        <v>#REF!</v>
      </c>
      <c r="AN34" s="228" t="e">
        <f t="shared" si="22"/>
        <v>#REF!</v>
      </c>
      <c r="AO34" s="229" t="e">
        <f t="shared" si="33"/>
        <v>#REF!</v>
      </c>
      <c r="AP34" s="230" t="e">
        <f t="shared" si="34"/>
        <v>#REF!</v>
      </c>
      <c r="AQ34" s="228" t="e">
        <f t="shared" si="23"/>
        <v>#REF!</v>
      </c>
      <c r="AR34" s="229" t="e">
        <f t="shared" si="35"/>
        <v>#REF!</v>
      </c>
      <c r="AS34" s="230" t="e">
        <f t="shared" si="36"/>
        <v>#REF!</v>
      </c>
      <c r="AT34" s="228" t="e">
        <f t="shared" si="24"/>
        <v>#REF!</v>
      </c>
      <c r="AU34" s="229" t="e">
        <f t="shared" si="37"/>
        <v>#REF!</v>
      </c>
      <c r="AV34" s="230" t="e">
        <f t="shared" si="38"/>
        <v>#REF!</v>
      </c>
      <c r="AW34" s="228" t="e">
        <f t="shared" si="25"/>
        <v>#REF!</v>
      </c>
      <c r="AX34" s="229" t="e">
        <f t="shared" si="39"/>
        <v>#REF!</v>
      </c>
      <c r="AY34" s="230" t="e">
        <f t="shared" si="40"/>
        <v>#REF!</v>
      </c>
      <c r="AZ34" s="231" t="e">
        <f t="shared" si="26"/>
        <v>#REF!</v>
      </c>
      <c r="BA34" s="232" t="e">
        <f t="shared" si="41"/>
        <v>#REF!</v>
      </c>
      <c r="BB34" s="216" t="s">
        <v>48</v>
      </c>
      <c r="BC34" s="160" t="e">
        <f t="shared" si="13"/>
        <v>#REF!</v>
      </c>
      <c r="BD34" s="160" t="e">
        <f t="shared" si="19"/>
        <v>#REF!</v>
      </c>
      <c r="BE34" s="160" t="e">
        <f t="shared" si="14"/>
        <v>#REF!</v>
      </c>
      <c r="BF34" s="160" t="e">
        <f t="shared" si="15"/>
        <v>#REF!</v>
      </c>
      <c r="BG34" s="160" t="e">
        <f t="shared" si="16"/>
        <v>#REF!</v>
      </c>
      <c r="BH34" s="160" t="e">
        <f t="shared" si="17"/>
        <v>#REF!</v>
      </c>
      <c r="BI34" s="113">
        <f t="shared" si="20"/>
        <v>18</v>
      </c>
    </row>
    <row r="35" spans="1:61" s="152" customFormat="1" ht="20.100000000000001" hidden="1" customHeight="1">
      <c r="A35" s="1565"/>
      <c r="B35" s="1551" t="s">
        <v>69</v>
      </c>
      <c r="C35" s="345" t="s">
        <v>92</v>
      </c>
      <c r="D35" s="287">
        <f>VLOOKUP(C35,[11]PRIUS!$C$3:$I$26,2,0)</f>
        <v>0</v>
      </c>
      <c r="E35" s="287" t="e">
        <f>VLOOKUP(C35,[12]PRIUS!$C$3:$F$17,4,0)</f>
        <v>#N/A</v>
      </c>
      <c r="F35" s="288">
        <v>321</v>
      </c>
      <c r="G35" s="288">
        <v>6</v>
      </c>
      <c r="H35" s="325">
        <f>VLOOKUP(C35,[13]PRIUS!$C$3:$I$34,3,0)</f>
        <v>4.1404883333333329</v>
      </c>
      <c r="I35" s="326">
        <f>VLOOKUP(C35,[13]PRIUS!$C$3:$I$34,7,0)</f>
        <v>4.1082999999999998</v>
      </c>
      <c r="J35" s="174" t="e">
        <f>(GUM!#REF!-(GUM!#REF!*0.2))</f>
        <v>#REF!</v>
      </c>
      <c r="K35" s="175" t="e">
        <f>(GUM!#REF!-(GUM!#REF!*0.2))</f>
        <v>#REF!</v>
      </c>
      <c r="L35" s="176" t="e">
        <f>(GUM!#REF!-(GUM!#REF!*0.2))</f>
        <v>#REF!</v>
      </c>
      <c r="M35" s="174" t="e">
        <f>(GUM!#REF!-(GUM!#REF!*0.2))</f>
        <v>#REF!</v>
      </c>
      <c r="N35" s="175" t="e">
        <f>(GUM!#REF!-(GUM!#REF!*0.2))</f>
        <v>#REF!</v>
      </c>
      <c r="O35" s="176" t="e">
        <f>(GUM!#REF!-(GUM!#REF!*0.2))</f>
        <v>#REF!</v>
      </c>
      <c r="P35" s="174" t="e">
        <f>(GUM!#REF!-(GUM!#REF!*0.2))</f>
        <v>#REF!</v>
      </c>
      <c r="Q35" s="175" t="e">
        <f>(GUM!#REF!-(GUM!#REF!*0.2))</f>
        <v>#REF!</v>
      </c>
      <c r="R35" s="176" t="e">
        <f>(GUM!#REF!-(GUM!#REF!*0.2))</f>
        <v>#REF!</v>
      </c>
      <c r="S35" s="174" t="e">
        <f>(GUM!#REF!-(GUM!#REF!*0.2))</f>
        <v>#REF!</v>
      </c>
      <c r="T35" s="175" t="e">
        <f>(GUM!#REF!-(GUM!#REF!*0.2))</f>
        <v>#REF!</v>
      </c>
      <c r="U35" s="176" t="e">
        <f>(GUM!#REF!-(GUM!#REF!*0.2))</f>
        <v>#REF!</v>
      </c>
      <c r="V35" s="174" t="e">
        <f>(GUM!#REF!-(GUM!#REF!*0.2))</f>
        <v>#REF!</v>
      </c>
      <c r="W35" s="175" t="e">
        <f>(GUM!#REF!-(GUM!#REF!*0.2))</f>
        <v>#REF!</v>
      </c>
      <c r="X35" s="176" t="e">
        <f>(GUM!#REF!-(GUM!#REF!*0.2))</f>
        <v>#REF!</v>
      </c>
      <c r="Y35" s="174" t="e">
        <f>(GUM!#REF!-(GUM!#REF!*0.2))</f>
        <v>#REF!</v>
      </c>
      <c r="Z35" s="175" t="e">
        <f>(GUM!#REF!-(GUM!#REF!*0.2))</f>
        <v>#REF!</v>
      </c>
      <c r="AA35" s="176" t="e">
        <f>(GUM!#REF!-(GUM!#REF!*0.2))</f>
        <v>#REF!</v>
      </c>
      <c r="AB35" s="174" t="e">
        <f>(GUM!#REF!-(GUM!#REF!*0.2))</f>
        <v>#REF!</v>
      </c>
      <c r="AC35" s="215" t="e">
        <f>(GUM!#REF!-(GUM!#REF!*0.2))</f>
        <v>#REF!</v>
      </c>
      <c r="AD35" s="176" t="e">
        <f>(GUM!#REF!-(GUM!#REF!*0.2))</f>
        <v>#REF!</v>
      </c>
      <c r="AE35" s="177" t="e">
        <f>(GUM!#REF!-(GUM!#REF!*0.2))</f>
        <v>#REF!</v>
      </c>
      <c r="AF35" s="113">
        <f t="shared" si="18"/>
        <v>22</v>
      </c>
      <c r="AG35" s="164" t="e">
        <f t="shared" si="27"/>
        <v>#REF!</v>
      </c>
      <c r="AH35" s="165" t="e">
        <f t="shared" si="28"/>
        <v>#REF!</v>
      </c>
      <c r="AI35" s="166" t="e">
        <f t="shared" si="29"/>
        <v>#REF!</v>
      </c>
      <c r="AJ35" s="167" t="e">
        <f t="shared" si="30"/>
        <v>#REF!</v>
      </c>
      <c r="AK35" s="165" t="e">
        <f t="shared" si="21"/>
        <v>#REF!</v>
      </c>
      <c r="AL35" s="166" t="e">
        <f t="shared" si="31"/>
        <v>#REF!</v>
      </c>
      <c r="AM35" s="167" t="e">
        <f t="shared" si="32"/>
        <v>#REF!</v>
      </c>
      <c r="AN35" s="165" t="e">
        <f t="shared" si="22"/>
        <v>#REF!</v>
      </c>
      <c r="AO35" s="166" t="e">
        <f t="shared" si="33"/>
        <v>#REF!</v>
      </c>
      <c r="AP35" s="167" t="e">
        <f t="shared" si="34"/>
        <v>#REF!</v>
      </c>
      <c r="AQ35" s="165" t="e">
        <f t="shared" si="23"/>
        <v>#REF!</v>
      </c>
      <c r="AR35" s="166" t="e">
        <f t="shared" si="35"/>
        <v>#REF!</v>
      </c>
      <c r="AS35" s="167" t="e">
        <f t="shared" si="36"/>
        <v>#REF!</v>
      </c>
      <c r="AT35" s="165" t="e">
        <f t="shared" si="24"/>
        <v>#REF!</v>
      </c>
      <c r="AU35" s="166" t="e">
        <f t="shared" si="37"/>
        <v>#REF!</v>
      </c>
      <c r="AV35" s="167" t="e">
        <f t="shared" si="38"/>
        <v>#REF!</v>
      </c>
      <c r="AW35" s="165" t="e">
        <f t="shared" si="25"/>
        <v>#REF!</v>
      </c>
      <c r="AX35" s="166" t="e">
        <f t="shared" si="39"/>
        <v>#REF!</v>
      </c>
      <c r="AY35" s="167" t="e">
        <f t="shared" si="40"/>
        <v>#REF!</v>
      </c>
      <c r="AZ35" s="168" t="e">
        <f t="shared" si="26"/>
        <v>#REF!</v>
      </c>
      <c r="BA35" s="169" t="e">
        <f t="shared" si="41"/>
        <v>#REF!</v>
      </c>
      <c r="BB35" s="171" t="s">
        <v>43</v>
      </c>
      <c r="BC35" s="178" t="e">
        <f t="shared" si="13"/>
        <v>#REF!</v>
      </c>
      <c r="BD35" s="178" t="e">
        <f t="shared" si="19"/>
        <v>#REF!</v>
      </c>
      <c r="BE35" s="178" t="e">
        <f t="shared" si="14"/>
        <v>#REF!</v>
      </c>
      <c r="BF35" s="178" t="e">
        <f t="shared" si="15"/>
        <v>#REF!</v>
      </c>
      <c r="BG35" s="178" t="e">
        <f t="shared" si="16"/>
        <v>#REF!</v>
      </c>
      <c r="BH35" s="178" t="e">
        <f t="shared" si="17"/>
        <v>#REF!</v>
      </c>
      <c r="BI35" s="113">
        <f t="shared" si="20"/>
        <v>19</v>
      </c>
    </row>
    <row r="36" spans="1:61" s="152" customFormat="1" ht="20.100000000000001" customHeight="1">
      <c r="A36" s="1565"/>
      <c r="B36" s="1551"/>
      <c r="C36" s="411" t="s">
        <v>109</v>
      </c>
      <c r="D36" s="412" t="e">
        <f>VLOOKUP(C36,[11]PRIUS!$C$3:$I$26,2,0)</f>
        <v>#N/A</v>
      </c>
      <c r="E36" s="412" t="e">
        <f>VLOOKUP(C36,[12]PRIUS!$C$3:$F$17,4,0)</f>
        <v>#N/A</v>
      </c>
      <c r="F36" s="413">
        <v>321</v>
      </c>
      <c r="G36" s="413">
        <v>6</v>
      </c>
      <c r="H36" s="414">
        <f>VLOOKUP(C36,[13]PRIUS!$C$3:$I$34,3,0)</f>
        <v>4.1404883333333329</v>
      </c>
      <c r="I36" s="415">
        <f>VLOOKUP(C36,[13]PRIUS!$C$3:$I$34,7,0)</f>
        <v>4.1192000000000002</v>
      </c>
      <c r="J36" s="375" t="e">
        <f>(GUM!#REF!-(GUM!#REF!*0.2))</f>
        <v>#REF!</v>
      </c>
      <c r="K36" s="376" t="e">
        <f>(GUM!#REF!-(GUM!#REF!*0.2))</f>
        <v>#REF!</v>
      </c>
      <c r="L36" s="377" t="e">
        <f>(GUM!#REF!-(GUM!#REF!*0.2))</f>
        <v>#REF!</v>
      </c>
      <c r="M36" s="375" t="e">
        <f>(GUM!#REF!-(GUM!#REF!*0.2))</f>
        <v>#REF!</v>
      </c>
      <c r="N36" s="376" t="e">
        <f>(GUM!#REF!-(GUM!#REF!*0.2))</f>
        <v>#REF!</v>
      </c>
      <c r="O36" s="377" t="e">
        <f>(GUM!#REF!-(GUM!#REF!*0.2))</f>
        <v>#REF!</v>
      </c>
      <c r="P36" s="375" t="e">
        <f>(GUM!#REF!-(GUM!#REF!*0.2))</f>
        <v>#REF!</v>
      </c>
      <c r="Q36" s="376" t="e">
        <f>(GUM!#REF!-(GUM!#REF!*0.2))</f>
        <v>#REF!</v>
      </c>
      <c r="R36" s="377" t="e">
        <f>(GUM!#REF!-(GUM!#REF!*0.2))</f>
        <v>#REF!</v>
      </c>
      <c r="S36" s="375" t="e">
        <f>(GUM!#REF!-(GUM!#REF!*0.2))</f>
        <v>#REF!</v>
      </c>
      <c r="T36" s="376" t="e">
        <f>(GUM!#REF!-(GUM!#REF!*0.2))</f>
        <v>#REF!</v>
      </c>
      <c r="U36" s="377" t="e">
        <f>(GUM!#REF!-(GUM!#REF!*0.2))</f>
        <v>#REF!</v>
      </c>
      <c r="V36" s="375" t="e">
        <f>(GUM!#REF!-(GUM!#REF!*0.2))</f>
        <v>#REF!</v>
      </c>
      <c r="W36" s="376" t="e">
        <f>(GUM!#REF!-(GUM!#REF!*0.2))</f>
        <v>#REF!</v>
      </c>
      <c r="X36" s="377" t="e">
        <f>(GUM!#REF!-(GUM!#REF!*0.2))</f>
        <v>#REF!</v>
      </c>
      <c r="Y36" s="375" t="e">
        <f>(GUM!#REF!-(GUM!#REF!*0.2))</f>
        <v>#REF!</v>
      </c>
      <c r="Z36" s="376" t="e">
        <f>(GUM!#REF!-(GUM!#REF!*0.2))</f>
        <v>#REF!</v>
      </c>
      <c r="AA36" s="377" t="e">
        <f>(GUM!#REF!-(GUM!#REF!*0.2))</f>
        <v>#REF!</v>
      </c>
      <c r="AB36" s="375" t="e">
        <f>(GUM!#REF!-(GUM!#REF!*0.2))</f>
        <v>#REF!</v>
      </c>
      <c r="AC36" s="416" t="e">
        <f>(GUM!#REF!-(GUM!#REF!*0.2))</f>
        <v>#REF!</v>
      </c>
      <c r="AD36" s="377" t="e">
        <f>(GUM!#REF!-(GUM!#REF!*0.2))</f>
        <v>#REF!</v>
      </c>
      <c r="AE36" s="378" t="e">
        <f>(GUM!#REF!-(GUM!#REF!*0.2))</f>
        <v>#REF!</v>
      </c>
      <c r="AF36" s="113">
        <f t="shared" si="18"/>
        <v>23</v>
      </c>
      <c r="AG36" s="164" t="e">
        <f t="shared" si="27"/>
        <v>#REF!</v>
      </c>
      <c r="AH36" s="165" t="e">
        <f t="shared" si="28"/>
        <v>#REF!</v>
      </c>
      <c r="AI36" s="166" t="e">
        <f t="shared" si="29"/>
        <v>#REF!</v>
      </c>
      <c r="AJ36" s="167" t="e">
        <f t="shared" si="30"/>
        <v>#REF!</v>
      </c>
      <c r="AK36" s="165" t="e">
        <f t="shared" si="21"/>
        <v>#REF!</v>
      </c>
      <c r="AL36" s="166" t="e">
        <f t="shared" si="31"/>
        <v>#REF!</v>
      </c>
      <c r="AM36" s="167" t="e">
        <f t="shared" si="32"/>
        <v>#REF!</v>
      </c>
      <c r="AN36" s="165" t="e">
        <f t="shared" si="22"/>
        <v>#REF!</v>
      </c>
      <c r="AO36" s="166" t="e">
        <f t="shared" si="33"/>
        <v>#REF!</v>
      </c>
      <c r="AP36" s="167" t="e">
        <f t="shared" si="34"/>
        <v>#REF!</v>
      </c>
      <c r="AQ36" s="165" t="e">
        <f t="shared" si="23"/>
        <v>#REF!</v>
      </c>
      <c r="AR36" s="166" t="e">
        <f t="shared" si="35"/>
        <v>#REF!</v>
      </c>
      <c r="AS36" s="167" t="e">
        <f t="shared" si="36"/>
        <v>#REF!</v>
      </c>
      <c r="AT36" s="165" t="e">
        <f t="shared" si="24"/>
        <v>#REF!</v>
      </c>
      <c r="AU36" s="166" t="e">
        <f t="shared" si="37"/>
        <v>#REF!</v>
      </c>
      <c r="AV36" s="167" t="e">
        <f t="shared" si="38"/>
        <v>#REF!</v>
      </c>
      <c r="AW36" s="165" t="e">
        <f t="shared" si="25"/>
        <v>#REF!</v>
      </c>
      <c r="AX36" s="166" t="e">
        <f t="shared" si="39"/>
        <v>#REF!</v>
      </c>
      <c r="AY36" s="167" t="e">
        <f t="shared" si="40"/>
        <v>#REF!</v>
      </c>
      <c r="AZ36" s="168" t="e">
        <f t="shared" si="26"/>
        <v>#REF!</v>
      </c>
      <c r="BA36" s="169" t="e">
        <f t="shared" si="41"/>
        <v>#REF!</v>
      </c>
      <c r="BB36" s="171" t="s">
        <v>43</v>
      </c>
      <c r="BC36" s="178" t="e">
        <f>ROUNDUP(O36/$BC$13,0)</f>
        <v>#REF!</v>
      </c>
      <c r="BD36" s="178" t="e">
        <f>ROUNDUP(R36/$BD$13,0)</f>
        <v>#REF!</v>
      </c>
      <c r="BE36" s="178" t="e">
        <f>ROUNDUP(U36/$BE$13,0)</f>
        <v>#REF!</v>
      </c>
      <c r="BF36" s="178" t="e">
        <f>ROUNDUP(X36/$BF$13,0)</f>
        <v>#REF!</v>
      </c>
      <c r="BG36" s="178" t="e">
        <f>ROUNDUP(AA36/$BG$13,0)</f>
        <v>#REF!</v>
      </c>
      <c r="BH36" s="178" t="e">
        <f>ROUNDUP(AD36/$BH$13,0)</f>
        <v>#REF!</v>
      </c>
      <c r="BI36" s="113">
        <f t="shared" si="20"/>
        <v>20</v>
      </c>
    </row>
    <row r="37" spans="1:61" s="152" customFormat="1" ht="20.100000000000001" hidden="1" customHeight="1">
      <c r="A37" s="1565"/>
      <c r="B37" s="1552" t="s">
        <v>56</v>
      </c>
      <c r="C37" s="417" t="s">
        <v>93</v>
      </c>
      <c r="D37" s="418">
        <f>VLOOKUP(C37,[11]PRIUS!$C$3:$I$26,2,0)</f>
        <v>0</v>
      </c>
      <c r="E37" s="418" t="e">
        <f>VLOOKUP(C37,[12]PRIUS!$C$3:$F$17,4,0)</f>
        <v>#N/A</v>
      </c>
      <c r="F37" s="419">
        <v>347</v>
      </c>
      <c r="G37" s="419">
        <v>6</v>
      </c>
      <c r="H37" s="420">
        <f>VLOOKUP(C37,[13]PRIUS!$C$3:$I$34,3,0)</f>
        <v>4.1974933333333331</v>
      </c>
      <c r="I37" s="421">
        <f>VLOOKUP(C37,[13]PRIUS!$C$3:$I$34,7,0)</f>
        <v>4.1611000000000002</v>
      </c>
      <c r="J37" s="202" t="e">
        <f>(GUM!#REF!-(GUM!#REF!*0.2))</f>
        <v>#REF!</v>
      </c>
      <c r="K37" s="202" t="e">
        <f>(GUM!#REF!-(GUM!#REF!*0.2))</f>
        <v>#REF!</v>
      </c>
      <c r="L37" s="202" t="e">
        <f>(GUM!#REF!-(GUM!#REF!*0.2))</f>
        <v>#REF!</v>
      </c>
      <c r="M37" s="202" t="e">
        <f>(GUM!#REF!-(GUM!#REF!*0.2))</f>
        <v>#REF!</v>
      </c>
      <c r="N37" s="202" t="e">
        <f>(GUM!#REF!-(GUM!#REF!*0.2))</f>
        <v>#REF!</v>
      </c>
      <c r="O37" s="202" t="e">
        <f>(GUM!#REF!-(GUM!#REF!*0.2))</f>
        <v>#REF!</v>
      </c>
      <c r="P37" s="202" t="e">
        <f>(GUM!#REF!-(GUM!#REF!*0.2))</f>
        <v>#REF!</v>
      </c>
      <c r="Q37" s="202" t="e">
        <f>(GUM!#REF!-(GUM!#REF!*0.2))</f>
        <v>#REF!</v>
      </c>
      <c r="R37" s="202" t="e">
        <f>(GUM!#REF!-(GUM!#REF!*0.2))</f>
        <v>#REF!</v>
      </c>
      <c r="S37" s="202" t="e">
        <f>(GUM!#REF!-(GUM!#REF!*0.2))</f>
        <v>#REF!</v>
      </c>
      <c r="T37" s="202" t="e">
        <f>(GUM!#REF!-(GUM!#REF!*0.2))</f>
        <v>#REF!</v>
      </c>
      <c r="U37" s="202" t="e">
        <f>(GUM!#REF!-(GUM!#REF!*0.2))</f>
        <v>#REF!</v>
      </c>
      <c r="V37" s="202" t="e">
        <f>(GUM!#REF!-(GUM!#REF!*0.2))</f>
        <v>#REF!</v>
      </c>
      <c r="W37" s="202" t="e">
        <f>(GUM!#REF!-(GUM!#REF!*0.2))</f>
        <v>#REF!</v>
      </c>
      <c r="X37" s="202" t="e">
        <f>(GUM!#REF!-(GUM!#REF!*0.2))</f>
        <v>#REF!</v>
      </c>
      <c r="Y37" s="202" t="e">
        <f>(GUM!#REF!-(GUM!#REF!*0.2))</f>
        <v>#REF!</v>
      </c>
      <c r="Z37" s="202" t="e">
        <f>(GUM!#REF!-(GUM!#REF!*0.2))</f>
        <v>#REF!</v>
      </c>
      <c r="AA37" s="202" t="e">
        <f>(GUM!#REF!-(GUM!#REF!*0.2))</f>
        <v>#REF!</v>
      </c>
      <c r="AB37" s="202" t="e">
        <f>(GUM!#REF!-(GUM!#REF!*0.2))</f>
        <v>#REF!</v>
      </c>
      <c r="AC37" s="422" t="e">
        <f>(GUM!#REF!-(GUM!#REF!*0.2))</f>
        <v>#REF!</v>
      </c>
      <c r="AD37" s="202" t="e">
        <f>(GUM!#REF!-(GUM!#REF!*0.2))</f>
        <v>#REF!</v>
      </c>
      <c r="AE37" s="423" t="e">
        <f>(GUM!#REF!-(GUM!#REF!*0.2))</f>
        <v>#REF!</v>
      </c>
      <c r="AF37" s="113">
        <f t="shared" si="18"/>
        <v>24</v>
      </c>
      <c r="AG37" s="164" t="e">
        <f t="shared" si="27"/>
        <v>#REF!</v>
      </c>
      <c r="AH37" s="165" t="e">
        <f t="shared" si="28"/>
        <v>#REF!</v>
      </c>
      <c r="AI37" s="166" t="e">
        <f t="shared" si="29"/>
        <v>#REF!</v>
      </c>
      <c r="AJ37" s="167" t="e">
        <f t="shared" si="30"/>
        <v>#REF!</v>
      </c>
      <c r="AK37" s="165" t="e">
        <f t="shared" si="21"/>
        <v>#REF!</v>
      </c>
      <c r="AL37" s="166" t="e">
        <f t="shared" si="31"/>
        <v>#REF!</v>
      </c>
      <c r="AM37" s="167" t="e">
        <f t="shared" si="32"/>
        <v>#REF!</v>
      </c>
      <c r="AN37" s="165" t="e">
        <f t="shared" si="22"/>
        <v>#REF!</v>
      </c>
      <c r="AO37" s="166" t="e">
        <f t="shared" si="33"/>
        <v>#REF!</v>
      </c>
      <c r="AP37" s="167" t="e">
        <f t="shared" si="34"/>
        <v>#REF!</v>
      </c>
      <c r="AQ37" s="165" t="e">
        <f t="shared" si="23"/>
        <v>#REF!</v>
      </c>
      <c r="AR37" s="166" t="e">
        <f t="shared" si="35"/>
        <v>#REF!</v>
      </c>
      <c r="AS37" s="167" t="e">
        <f t="shared" si="36"/>
        <v>#REF!</v>
      </c>
      <c r="AT37" s="165" t="e">
        <f t="shared" si="24"/>
        <v>#REF!</v>
      </c>
      <c r="AU37" s="166" t="e">
        <f t="shared" si="37"/>
        <v>#REF!</v>
      </c>
      <c r="AV37" s="167" t="e">
        <f t="shared" si="38"/>
        <v>#REF!</v>
      </c>
      <c r="AW37" s="165" t="e">
        <f t="shared" si="25"/>
        <v>#REF!</v>
      </c>
      <c r="AX37" s="166" t="e">
        <f t="shared" si="39"/>
        <v>#REF!</v>
      </c>
      <c r="AY37" s="167" t="e">
        <f t="shared" si="40"/>
        <v>#REF!</v>
      </c>
      <c r="AZ37" s="168" t="e">
        <f t="shared" si="26"/>
        <v>#REF!</v>
      </c>
      <c r="BA37" s="169" t="e">
        <f t="shared" si="41"/>
        <v>#REF!</v>
      </c>
      <c r="BB37" s="233" t="s">
        <v>44</v>
      </c>
      <c r="BC37" s="241" t="e">
        <f t="shared" si="13"/>
        <v>#REF!</v>
      </c>
      <c r="BD37" s="241" t="e">
        <f t="shared" si="19"/>
        <v>#REF!</v>
      </c>
      <c r="BE37" s="241" t="e">
        <f t="shared" si="14"/>
        <v>#REF!</v>
      </c>
      <c r="BF37" s="241" t="e">
        <f t="shared" si="15"/>
        <v>#REF!</v>
      </c>
      <c r="BG37" s="241" t="e">
        <f t="shared" si="16"/>
        <v>#REF!</v>
      </c>
      <c r="BH37" s="241" t="e">
        <f t="shared" si="17"/>
        <v>#REF!</v>
      </c>
      <c r="BI37" s="113">
        <f t="shared" ref="BI37:BI46" si="42">BI35+1</f>
        <v>20</v>
      </c>
    </row>
    <row r="38" spans="1:61" s="152" customFormat="1" ht="20.100000000000001" customHeight="1">
      <c r="A38" s="1565"/>
      <c r="B38" s="1553"/>
      <c r="C38" s="424" t="s">
        <v>110</v>
      </c>
      <c r="D38" s="425" t="e">
        <f>VLOOKUP(C38,[11]PRIUS!$C$3:$I$26,2,0)</f>
        <v>#N/A</v>
      </c>
      <c r="E38" s="425" t="e">
        <f>VLOOKUP(C38,[12]PRIUS!$C$3:$F$17,4,0)</f>
        <v>#N/A</v>
      </c>
      <c r="F38" s="426">
        <v>347</v>
      </c>
      <c r="G38" s="426">
        <v>6</v>
      </c>
      <c r="H38" s="427">
        <f>VLOOKUP(C38,[13]PRIUS!$C$3:$I$34,3,0)</f>
        <v>4.1974933333333331</v>
      </c>
      <c r="I38" s="366">
        <f>VLOOKUP(C38,[13]PRIUS!$C$3:$I$34,7,0)</f>
        <v>4.1684000000000001</v>
      </c>
      <c r="J38" s="149" t="e">
        <f>(GUM!#REF!-(GUM!#REF!*0.2))</f>
        <v>#REF!</v>
      </c>
      <c r="K38" s="149" t="e">
        <f>(GUM!#REF!-(GUM!#REF!*0.2))</f>
        <v>#REF!</v>
      </c>
      <c r="L38" s="149" t="e">
        <f>(GUM!#REF!-(GUM!#REF!*0.2))</f>
        <v>#REF!</v>
      </c>
      <c r="M38" s="149" t="e">
        <f>(GUM!#REF!-(GUM!#REF!*0.2))</f>
        <v>#REF!</v>
      </c>
      <c r="N38" s="149" t="e">
        <f>(GUM!#REF!-(GUM!#REF!*0.2))</f>
        <v>#REF!</v>
      </c>
      <c r="O38" s="149" t="e">
        <f>(GUM!#REF!-(GUM!#REF!*0.2))</f>
        <v>#REF!</v>
      </c>
      <c r="P38" s="149" t="e">
        <f>(GUM!#REF!-(GUM!#REF!*0.2))</f>
        <v>#REF!</v>
      </c>
      <c r="Q38" s="149" t="e">
        <f>(GUM!#REF!-(GUM!#REF!*0.2))</f>
        <v>#REF!</v>
      </c>
      <c r="R38" s="149" t="e">
        <f>(GUM!#REF!-(GUM!#REF!*0.2))</f>
        <v>#REF!</v>
      </c>
      <c r="S38" s="149" t="e">
        <f>(GUM!#REF!-(GUM!#REF!*0.2))</f>
        <v>#REF!</v>
      </c>
      <c r="T38" s="149" t="e">
        <f>(GUM!#REF!-(GUM!#REF!*0.2))</f>
        <v>#REF!</v>
      </c>
      <c r="U38" s="149" t="e">
        <f>(GUM!#REF!-(GUM!#REF!*0.2))</f>
        <v>#REF!</v>
      </c>
      <c r="V38" s="149" t="e">
        <f>(GUM!#REF!-(GUM!#REF!*0.2))</f>
        <v>#REF!</v>
      </c>
      <c r="W38" s="149" t="e">
        <f>(GUM!#REF!-(GUM!#REF!*0.2))</f>
        <v>#REF!</v>
      </c>
      <c r="X38" s="149" t="e">
        <f>(GUM!#REF!-(GUM!#REF!*0.2))</f>
        <v>#REF!</v>
      </c>
      <c r="Y38" s="149" t="e">
        <f>(GUM!#REF!-(GUM!#REF!*0.2))</f>
        <v>#REF!</v>
      </c>
      <c r="Z38" s="149" t="e">
        <f>(GUM!#REF!-(GUM!#REF!*0.2))</f>
        <v>#REF!</v>
      </c>
      <c r="AA38" s="149" t="e">
        <f>(GUM!#REF!-(GUM!#REF!*0.2))</f>
        <v>#REF!</v>
      </c>
      <c r="AB38" s="149" t="e">
        <f>(GUM!#REF!-(GUM!#REF!*0.2))</f>
        <v>#REF!</v>
      </c>
      <c r="AC38" s="163" t="e">
        <f>(GUM!#REF!-(GUM!#REF!*0.2))</f>
        <v>#REF!</v>
      </c>
      <c r="AD38" s="149" t="e">
        <f>(GUM!#REF!-(GUM!#REF!*0.2))</f>
        <v>#REF!</v>
      </c>
      <c r="AE38" s="367" t="e">
        <f>(GUM!#REF!-(GUM!#REF!*0.2))</f>
        <v>#REF!</v>
      </c>
      <c r="AF38" s="113">
        <f t="shared" si="18"/>
        <v>25</v>
      </c>
      <c r="AG38" s="164" t="e">
        <f t="shared" si="27"/>
        <v>#REF!</v>
      </c>
      <c r="AH38" s="165" t="e">
        <f t="shared" si="28"/>
        <v>#REF!</v>
      </c>
      <c r="AI38" s="166" t="e">
        <f t="shared" si="29"/>
        <v>#REF!</v>
      </c>
      <c r="AJ38" s="167" t="e">
        <f t="shared" si="30"/>
        <v>#REF!</v>
      </c>
      <c r="AK38" s="165" t="e">
        <f t="shared" si="21"/>
        <v>#REF!</v>
      </c>
      <c r="AL38" s="166" t="e">
        <f t="shared" si="31"/>
        <v>#REF!</v>
      </c>
      <c r="AM38" s="167" t="e">
        <f t="shared" si="32"/>
        <v>#REF!</v>
      </c>
      <c r="AN38" s="165" t="e">
        <f t="shared" si="22"/>
        <v>#REF!</v>
      </c>
      <c r="AO38" s="166" t="e">
        <f t="shared" si="33"/>
        <v>#REF!</v>
      </c>
      <c r="AP38" s="167" t="e">
        <f t="shared" si="34"/>
        <v>#REF!</v>
      </c>
      <c r="AQ38" s="165" t="e">
        <f t="shared" si="23"/>
        <v>#REF!</v>
      </c>
      <c r="AR38" s="166" t="e">
        <f t="shared" si="35"/>
        <v>#REF!</v>
      </c>
      <c r="AS38" s="167" t="e">
        <f t="shared" si="36"/>
        <v>#REF!</v>
      </c>
      <c r="AT38" s="165" t="e">
        <f t="shared" si="24"/>
        <v>#REF!</v>
      </c>
      <c r="AU38" s="166" t="e">
        <f t="shared" si="37"/>
        <v>#REF!</v>
      </c>
      <c r="AV38" s="167" t="e">
        <f t="shared" si="38"/>
        <v>#REF!</v>
      </c>
      <c r="AW38" s="165" t="e">
        <f t="shared" si="25"/>
        <v>#REF!</v>
      </c>
      <c r="AX38" s="166" t="e">
        <f t="shared" si="39"/>
        <v>#REF!</v>
      </c>
      <c r="AY38" s="167" t="e">
        <f t="shared" si="40"/>
        <v>#REF!</v>
      </c>
      <c r="AZ38" s="168" t="e">
        <f t="shared" si="26"/>
        <v>#REF!</v>
      </c>
      <c r="BA38" s="169" t="e">
        <f t="shared" si="41"/>
        <v>#REF!</v>
      </c>
      <c r="BB38" s="233" t="s">
        <v>44</v>
      </c>
      <c r="BC38" s="241" t="e">
        <f>ROUNDUP(O38/$BC$13,0)</f>
        <v>#REF!</v>
      </c>
      <c r="BD38" s="241" t="e">
        <f>ROUNDUP(R38/$BD$13,0)</f>
        <v>#REF!</v>
      </c>
      <c r="BE38" s="241" t="e">
        <f>ROUNDUP(U38/$BE$13,0)</f>
        <v>#REF!</v>
      </c>
      <c r="BF38" s="241" t="e">
        <f>ROUNDUP(X38/$BF$13,0)</f>
        <v>#REF!</v>
      </c>
      <c r="BG38" s="241" t="e">
        <f>ROUNDUP(AA38/$BG$13,0)</f>
        <v>#REF!</v>
      </c>
      <c r="BH38" s="241" t="e">
        <f>ROUNDUP(AD38/$BH$13,0)</f>
        <v>#REF!</v>
      </c>
      <c r="BI38" s="113">
        <f t="shared" si="42"/>
        <v>21</v>
      </c>
    </row>
    <row r="39" spans="1:61" s="206" customFormat="1" ht="20.100000000000001" hidden="1" customHeight="1">
      <c r="A39" s="1565"/>
      <c r="B39" s="1553"/>
      <c r="C39" s="428" t="s">
        <v>94</v>
      </c>
      <c r="D39" s="429">
        <f>VLOOKUP(C39,[11]PRIUS!$C$3:$I$26,2,0)</f>
        <v>0</v>
      </c>
      <c r="E39" s="429" t="e">
        <f>VLOOKUP(C39,[12]PRIUS!$C$3:$F$17,4,0)</f>
        <v>#N/A</v>
      </c>
      <c r="F39" s="430">
        <v>313</v>
      </c>
      <c r="G39" s="430">
        <v>6</v>
      </c>
      <c r="H39" s="364">
        <f>VLOOKUP(C39,[13]PRIUS!$C$3:$I$34,3,0)</f>
        <v>4.2965533333333328</v>
      </c>
      <c r="I39" s="360">
        <f>VLOOKUP(C39,[13]PRIUS!$C$3:$I$34,7,0)</f>
        <v>4.2606999999999999</v>
      </c>
      <c r="J39" s="149" t="e">
        <f>(GUM!#REF!-(GUM!#REF!*0.2))</f>
        <v>#REF!</v>
      </c>
      <c r="K39" s="149" t="e">
        <f>(GUM!#REF!-(GUM!#REF!*0.2))</f>
        <v>#REF!</v>
      </c>
      <c r="L39" s="149" t="e">
        <f>(GUM!#REF!-(GUM!#REF!*0.2))</f>
        <v>#REF!</v>
      </c>
      <c r="M39" s="149" t="e">
        <f>(GUM!#REF!-(GUM!#REF!*0.2))</f>
        <v>#REF!</v>
      </c>
      <c r="N39" s="149" t="e">
        <f>(GUM!#REF!-(GUM!#REF!*0.2))</f>
        <v>#REF!</v>
      </c>
      <c r="O39" s="149" t="e">
        <f>(GUM!#REF!-(GUM!#REF!*0.2))</f>
        <v>#REF!</v>
      </c>
      <c r="P39" s="149" t="e">
        <f>(GUM!#REF!-(GUM!#REF!*0.2))</f>
        <v>#REF!</v>
      </c>
      <c r="Q39" s="149" t="e">
        <f>(GUM!#REF!-(GUM!#REF!*0.2))</f>
        <v>#REF!</v>
      </c>
      <c r="R39" s="149" t="e">
        <f>(GUM!#REF!-(GUM!#REF!*0.2))</f>
        <v>#REF!</v>
      </c>
      <c r="S39" s="149" t="e">
        <f>(GUM!#REF!-(GUM!#REF!*0.2))</f>
        <v>#REF!</v>
      </c>
      <c r="T39" s="149" t="e">
        <f>(GUM!#REF!-(GUM!#REF!*0.2))</f>
        <v>#REF!</v>
      </c>
      <c r="U39" s="149" t="e">
        <f>(GUM!#REF!-(GUM!#REF!*0.2))</f>
        <v>#REF!</v>
      </c>
      <c r="V39" s="149" t="e">
        <f>(GUM!#REF!-(GUM!#REF!*0.2))</f>
        <v>#REF!</v>
      </c>
      <c r="W39" s="149" t="e">
        <f>(GUM!#REF!-(GUM!#REF!*0.2))</f>
        <v>#REF!</v>
      </c>
      <c r="X39" s="149" t="e">
        <f>(GUM!#REF!-(GUM!#REF!*0.2))</f>
        <v>#REF!</v>
      </c>
      <c r="Y39" s="149" t="e">
        <f>(GUM!#REF!-(GUM!#REF!*0.2))</f>
        <v>#REF!</v>
      </c>
      <c r="Z39" s="149" t="e">
        <f>(GUM!#REF!-(GUM!#REF!*0.2))</f>
        <v>#REF!</v>
      </c>
      <c r="AA39" s="149" t="e">
        <f>(GUM!#REF!-(GUM!#REF!*0.2))</f>
        <v>#REF!</v>
      </c>
      <c r="AB39" s="149" t="e">
        <f>(GUM!#REF!-(GUM!#REF!*0.2))</f>
        <v>#REF!</v>
      </c>
      <c r="AC39" s="163" t="e">
        <f>(GUM!#REF!-(GUM!#REF!*0.2))</f>
        <v>#REF!</v>
      </c>
      <c r="AD39" s="149" t="e">
        <f>(GUM!#REF!-(GUM!#REF!*0.2))</f>
        <v>#REF!</v>
      </c>
      <c r="AE39" s="367" t="e">
        <f>(GUM!#REF!-(GUM!#REF!*0.2))</f>
        <v>#REF!</v>
      </c>
      <c r="AF39" s="113">
        <f t="shared" si="18"/>
        <v>26</v>
      </c>
      <c r="AG39" s="207" t="e">
        <f t="shared" si="27"/>
        <v>#REF!</v>
      </c>
      <c r="AH39" s="208" t="e">
        <f t="shared" si="28"/>
        <v>#REF!</v>
      </c>
      <c r="AI39" s="209" t="e">
        <f t="shared" si="29"/>
        <v>#REF!</v>
      </c>
      <c r="AJ39" s="210" t="e">
        <f t="shared" si="30"/>
        <v>#REF!</v>
      </c>
      <c r="AK39" s="208" t="e">
        <f t="shared" si="21"/>
        <v>#REF!</v>
      </c>
      <c r="AL39" s="209" t="e">
        <f t="shared" ref="AL39:AM45" si="43">O39*$F39</f>
        <v>#REF!</v>
      </c>
      <c r="AM39" s="210" t="e">
        <f t="shared" si="43"/>
        <v>#REF!</v>
      </c>
      <c r="AN39" s="208" t="e">
        <f t="shared" si="22"/>
        <v>#REF!</v>
      </c>
      <c r="AO39" s="209" t="e">
        <f t="shared" ref="AO39:AP45" si="44">R39*$F39</f>
        <v>#REF!</v>
      </c>
      <c r="AP39" s="210" t="e">
        <f t="shared" si="44"/>
        <v>#REF!</v>
      </c>
      <c r="AQ39" s="208" t="e">
        <f t="shared" si="23"/>
        <v>#REF!</v>
      </c>
      <c r="AR39" s="209" t="e">
        <f t="shared" ref="AR39:AS45" si="45">U39*$F39</f>
        <v>#REF!</v>
      </c>
      <c r="AS39" s="210" t="e">
        <f t="shared" si="45"/>
        <v>#REF!</v>
      </c>
      <c r="AT39" s="208" t="e">
        <f t="shared" si="24"/>
        <v>#REF!</v>
      </c>
      <c r="AU39" s="209" t="e">
        <f t="shared" ref="AU39:AV45" si="46">X39*$F39</f>
        <v>#REF!</v>
      </c>
      <c r="AV39" s="210" t="e">
        <f t="shared" si="46"/>
        <v>#REF!</v>
      </c>
      <c r="AW39" s="208" t="e">
        <f t="shared" si="25"/>
        <v>#REF!</v>
      </c>
      <c r="AX39" s="209" t="e">
        <f t="shared" ref="AX39:AY45" si="47">AA39*$F39</f>
        <v>#REF!</v>
      </c>
      <c r="AY39" s="210" t="e">
        <f t="shared" si="47"/>
        <v>#REF!</v>
      </c>
      <c r="AZ39" s="211" t="e">
        <f t="shared" si="26"/>
        <v>#REF!</v>
      </c>
      <c r="BA39" s="212" t="e">
        <f t="shared" si="41"/>
        <v>#REF!</v>
      </c>
      <c r="BB39" s="196" t="s">
        <v>45</v>
      </c>
      <c r="BC39" s="160" t="e">
        <f t="shared" si="13"/>
        <v>#REF!</v>
      </c>
      <c r="BD39" s="160" t="e">
        <f t="shared" si="19"/>
        <v>#REF!</v>
      </c>
      <c r="BE39" s="160" t="e">
        <f t="shared" si="14"/>
        <v>#REF!</v>
      </c>
      <c r="BF39" s="160" t="e">
        <f t="shared" si="15"/>
        <v>#REF!</v>
      </c>
      <c r="BG39" s="160" t="e">
        <f t="shared" si="16"/>
        <v>#REF!</v>
      </c>
      <c r="BH39" s="160" t="e">
        <f t="shared" si="17"/>
        <v>#REF!</v>
      </c>
      <c r="BI39" s="113">
        <f t="shared" si="42"/>
        <v>21</v>
      </c>
    </row>
    <row r="40" spans="1:61" s="206" customFormat="1" ht="20.100000000000001" customHeight="1">
      <c r="A40" s="1565"/>
      <c r="B40" s="1554"/>
      <c r="C40" s="431" t="s">
        <v>111</v>
      </c>
      <c r="D40" s="432" t="e">
        <f>VLOOKUP(C40,[11]PRIUS!$C$3:$I$26,2,0)</f>
        <v>#N/A</v>
      </c>
      <c r="E40" s="432" t="e">
        <f>VLOOKUP(C40,[12]PRIUS!$C$3:$F$17,4,0)</f>
        <v>#N/A</v>
      </c>
      <c r="F40" s="433">
        <v>313</v>
      </c>
      <c r="G40" s="433">
        <v>6</v>
      </c>
      <c r="H40" s="434">
        <f>H39</f>
        <v>4.2965533333333328</v>
      </c>
      <c r="I40" s="435">
        <f>I39</f>
        <v>4.2606999999999999</v>
      </c>
      <c r="J40" s="222" t="e">
        <f>(GUM!#REF!-(GUM!#REF!*0.2))</f>
        <v>#REF!</v>
      </c>
      <c r="K40" s="222" t="e">
        <f>(GUM!#REF!-(GUM!#REF!*0.2))</f>
        <v>#REF!</v>
      </c>
      <c r="L40" s="222" t="e">
        <f>(GUM!#REF!-(GUM!#REF!*0.2))</f>
        <v>#REF!</v>
      </c>
      <c r="M40" s="222" t="e">
        <f>(GUM!#REF!-(GUM!#REF!*0.2))</f>
        <v>#REF!</v>
      </c>
      <c r="N40" s="222" t="e">
        <f>(GUM!#REF!-(GUM!#REF!*0.2))</f>
        <v>#REF!</v>
      </c>
      <c r="O40" s="222" t="e">
        <f>(GUM!#REF!-(GUM!#REF!*0.2))</f>
        <v>#REF!</v>
      </c>
      <c r="P40" s="222" t="e">
        <f>(GUM!#REF!-(GUM!#REF!*0.2))</f>
        <v>#REF!</v>
      </c>
      <c r="Q40" s="222" t="e">
        <f>(GUM!#REF!-(GUM!#REF!*0.2))</f>
        <v>#REF!</v>
      </c>
      <c r="R40" s="222" t="e">
        <f>(GUM!#REF!-(GUM!#REF!*0.2))</f>
        <v>#REF!</v>
      </c>
      <c r="S40" s="222" t="e">
        <f>(GUM!#REF!-(GUM!#REF!*0.2))</f>
        <v>#REF!</v>
      </c>
      <c r="T40" s="222" t="e">
        <f>(GUM!#REF!-(GUM!#REF!*0.2))</f>
        <v>#REF!</v>
      </c>
      <c r="U40" s="222" t="e">
        <f>(GUM!#REF!-(GUM!#REF!*0.2))</f>
        <v>#REF!</v>
      </c>
      <c r="V40" s="222" t="e">
        <f>(GUM!#REF!-(GUM!#REF!*0.2))</f>
        <v>#REF!</v>
      </c>
      <c r="W40" s="222" t="e">
        <f>(GUM!#REF!-(GUM!#REF!*0.2))</f>
        <v>#REF!</v>
      </c>
      <c r="X40" s="222" t="e">
        <f>(GUM!#REF!-(GUM!#REF!*0.2))</f>
        <v>#REF!</v>
      </c>
      <c r="Y40" s="222" t="e">
        <f>(GUM!#REF!-(GUM!#REF!*0.2))</f>
        <v>#REF!</v>
      </c>
      <c r="Z40" s="222" t="e">
        <f>(GUM!#REF!-(GUM!#REF!*0.2))</f>
        <v>#REF!</v>
      </c>
      <c r="AA40" s="222" t="e">
        <f>(GUM!#REF!-(GUM!#REF!*0.2))</f>
        <v>#REF!</v>
      </c>
      <c r="AB40" s="222" t="e">
        <f>(GUM!#REF!-(GUM!#REF!*0.2))</f>
        <v>#REF!</v>
      </c>
      <c r="AC40" s="224" t="e">
        <f>(GUM!#REF!-(GUM!#REF!*0.2))</f>
        <v>#REF!</v>
      </c>
      <c r="AD40" s="222" t="e">
        <f>(GUM!#REF!-(GUM!#REF!*0.2))</f>
        <v>#REF!</v>
      </c>
      <c r="AE40" s="436" t="e">
        <f>(GUM!#REF!-(GUM!#REF!*0.2))</f>
        <v>#REF!</v>
      </c>
      <c r="AF40" s="113">
        <f t="shared" si="18"/>
        <v>27</v>
      </c>
      <c r="AG40" s="207" t="e">
        <f t="shared" si="27"/>
        <v>#REF!</v>
      </c>
      <c r="AH40" s="208" t="e">
        <f t="shared" si="28"/>
        <v>#REF!</v>
      </c>
      <c r="AI40" s="209" t="e">
        <f t="shared" si="29"/>
        <v>#REF!</v>
      </c>
      <c r="AJ40" s="210" t="e">
        <f t="shared" si="30"/>
        <v>#REF!</v>
      </c>
      <c r="AK40" s="208" t="e">
        <f t="shared" si="21"/>
        <v>#REF!</v>
      </c>
      <c r="AL40" s="209" t="e">
        <f>O40*$F40</f>
        <v>#REF!</v>
      </c>
      <c r="AM40" s="210" t="e">
        <f>P40*$F40</f>
        <v>#REF!</v>
      </c>
      <c r="AN40" s="208" t="e">
        <f t="shared" si="22"/>
        <v>#REF!</v>
      </c>
      <c r="AO40" s="209" t="e">
        <f>R40*$F40</f>
        <v>#REF!</v>
      </c>
      <c r="AP40" s="210" t="e">
        <f>S40*$F40</f>
        <v>#REF!</v>
      </c>
      <c r="AQ40" s="208" t="e">
        <f t="shared" si="23"/>
        <v>#REF!</v>
      </c>
      <c r="AR40" s="209" t="e">
        <f>U40*$F40</f>
        <v>#REF!</v>
      </c>
      <c r="AS40" s="210" t="e">
        <f>V40*$F40</f>
        <v>#REF!</v>
      </c>
      <c r="AT40" s="208" t="e">
        <f t="shared" si="24"/>
        <v>#REF!</v>
      </c>
      <c r="AU40" s="209" t="e">
        <f>X40*$F40</f>
        <v>#REF!</v>
      </c>
      <c r="AV40" s="210" t="e">
        <f>Y40*$F40</f>
        <v>#REF!</v>
      </c>
      <c r="AW40" s="208" t="e">
        <f t="shared" si="25"/>
        <v>#REF!</v>
      </c>
      <c r="AX40" s="209" t="e">
        <f>AA40*$F40</f>
        <v>#REF!</v>
      </c>
      <c r="AY40" s="210" t="e">
        <f>AB40*$F40</f>
        <v>#REF!</v>
      </c>
      <c r="AZ40" s="211" t="e">
        <f t="shared" si="26"/>
        <v>#REF!</v>
      </c>
      <c r="BA40" s="212" t="e">
        <f t="shared" si="41"/>
        <v>#REF!</v>
      </c>
      <c r="BB40" s="196" t="s">
        <v>45</v>
      </c>
      <c r="BC40" s="160" t="e">
        <f>ROUNDUP(O40/$BC$13,0)</f>
        <v>#REF!</v>
      </c>
      <c r="BD40" s="160" t="e">
        <f>ROUNDUP(R40/$BD$13,0)</f>
        <v>#REF!</v>
      </c>
      <c r="BE40" s="160" t="e">
        <f>ROUNDUP(U40/$BE$13,0)</f>
        <v>#REF!</v>
      </c>
      <c r="BF40" s="160" t="e">
        <f>ROUNDUP(X40/$BF$13,0)</f>
        <v>#REF!</v>
      </c>
      <c r="BG40" s="160" t="e">
        <f>ROUNDUP(AA40/$BG$13,0)</f>
        <v>#REF!</v>
      </c>
      <c r="BH40" s="160" t="e">
        <f>ROUNDUP(AD40/$BH$13,0)</f>
        <v>#REF!</v>
      </c>
      <c r="BI40" s="113">
        <f t="shared" si="42"/>
        <v>22</v>
      </c>
    </row>
    <row r="41" spans="1:61" s="152" customFormat="1" ht="20.100000000000001" hidden="1" customHeight="1">
      <c r="A41" s="1565"/>
      <c r="B41" s="1563" t="s">
        <v>68</v>
      </c>
      <c r="C41" s="345" t="s">
        <v>95</v>
      </c>
      <c r="D41" s="303">
        <f>VLOOKUP(C41,[11]PRIUS!$C$3:$I$26,2,0)</f>
        <v>0</v>
      </c>
      <c r="E41" s="303" t="e">
        <f>VLOOKUP(C41,[12]PRIUS!$C$3:$F$17,4,0)</f>
        <v>#N/A</v>
      </c>
      <c r="F41" s="288">
        <v>337</v>
      </c>
      <c r="G41" s="288">
        <v>6</v>
      </c>
      <c r="H41" s="325">
        <f>VLOOKUP(C41,[13]PRIUS!$C$3:$I$34,3,0)</f>
        <v>4.0314099999999993</v>
      </c>
      <c r="I41" s="326">
        <f>VLOOKUP(C41,[13]PRIUS!$C$3:$I$34,7,0)</f>
        <v>4.0053999999999998</v>
      </c>
      <c r="J41" s="174" t="e">
        <f>(GUM!#REF!-(GUM!#REF!*0.2))</f>
        <v>#REF!</v>
      </c>
      <c r="K41" s="175" t="e">
        <f>(GUM!#REF!-(GUM!#REF!*0.2))</f>
        <v>#REF!</v>
      </c>
      <c r="L41" s="176" t="e">
        <f>(GUM!#REF!-(GUM!#REF!*0.2))</f>
        <v>#REF!</v>
      </c>
      <c r="M41" s="174" t="e">
        <f>(GUM!#REF!-(GUM!#REF!*0.2))</f>
        <v>#REF!</v>
      </c>
      <c r="N41" s="175" t="e">
        <f>(GUM!#REF!-(GUM!#REF!*0.2))</f>
        <v>#REF!</v>
      </c>
      <c r="O41" s="176" t="e">
        <f>(GUM!#REF!-(GUM!#REF!*0.2))</f>
        <v>#REF!</v>
      </c>
      <c r="P41" s="174" t="e">
        <f>(GUM!#REF!-(GUM!#REF!*0.2))</f>
        <v>#REF!</v>
      </c>
      <c r="Q41" s="175" t="e">
        <f>(GUM!#REF!-(GUM!#REF!*0.2))</f>
        <v>#REF!</v>
      </c>
      <c r="R41" s="176" t="e">
        <f>(GUM!#REF!-(GUM!#REF!*0.2))</f>
        <v>#REF!</v>
      </c>
      <c r="S41" s="174" t="e">
        <f>(GUM!#REF!-(GUM!#REF!*0.2))</f>
        <v>#REF!</v>
      </c>
      <c r="T41" s="175" t="e">
        <f>(GUM!#REF!-(GUM!#REF!*0.2))</f>
        <v>#REF!</v>
      </c>
      <c r="U41" s="176" t="e">
        <f>(GUM!#REF!-(GUM!#REF!*0.2))</f>
        <v>#REF!</v>
      </c>
      <c r="V41" s="174" t="e">
        <f>(GUM!#REF!-(GUM!#REF!*0.2))</f>
        <v>#REF!</v>
      </c>
      <c r="W41" s="175" t="e">
        <f>(GUM!#REF!-(GUM!#REF!*0.2))</f>
        <v>#REF!</v>
      </c>
      <c r="X41" s="176" t="e">
        <f>(GUM!#REF!-(GUM!#REF!*0.2))</f>
        <v>#REF!</v>
      </c>
      <c r="Y41" s="174" t="e">
        <f>(GUM!#REF!-(GUM!#REF!*0.2))</f>
        <v>#REF!</v>
      </c>
      <c r="Z41" s="175" t="e">
        <f>(GUM!#REF!-(GUM!#REF!*0.2))</f>
        <v>#REF!</v>
      </c>
      <c r="AA41" s="176" t="e">
        <f>(GUM!#REF!-(GUM!#REF!*0.2))</f>
        <v>#REF!</v>
      </c>
      <c r="AB41" s="174" t="e">
        <f>(GUM!#REF!-(GUM!#REF!*0.2))</f>
        <v>#REF!</v>
      </c>
      <c r="AC41" s="215" t="e">
        <f>(GUM!#REF!-(GUM!#REF!*0.2))</f>
        <v>#REF!</v>
      </c>
      <c r="AD41" s="176" t="e">
        <f>(GUM!#REF!-(GUM!#REF!*0.2))</f>
        <v>#REF!</v>
      </c>
      <c r="AE41" s="177" t="e">
        <f>(GUM!#REF!-(GUM!#REF!*0.2))</f>
        <v>#REF!</v>
      </c>
      <c r="AF41" s="113">
        <f t="shared" si="18"/>
        <v>28</v>
      </c>
      <c r="AG41" s="164" t="e">
        <f t="shared" si="27"/>
        <v>#REF!</v>
      </c>
      <c r="AH41" s="165" t="e">
        <f t="shared" si="28"/>
        <v>#REF!</v>
      </c>
      <c r="AI41" s="166" t="e">
        <f t="shared" si="29"/>
        <v>#REF!</v>
      </c>
      <c r="AJ41" s="167" t="e">
        <f t="shared" si="30"/>
        <v>#REF!</v>
      </c>
      <c r="AK41" s="165" t="e">
        <f t="shared" si="21"/>
        <v>#REF!</v>
      </c>
      <c r="AL41" s="166" t="e">
        <f t="shared" si="43"/>
        <v>#REF!</v>
      </c>
      <c r="AM41" s="167" t="e">
        <f t="shared" si="43"/>
        <v>#REF!</v>
      </c>
      <c r="AN41" s="165" t="e">
        <f t="shared" si="22"/>
        <v>#REF!</v>
      </c>
      <c r="AO41" s="166" t="e">
        <f t="shared" si="44"/>
        <v>#REF!</v>
      </c>
      <c r="AP41" s="167" t="e">
        <f t="shared" si="44"/>
        <v>#REF!</v>
      </c>
      <c r="AQ41" s="165" t="e">
        <f t="shared" si="23"/>
        <v>#REF!</v>
      </c>
      <c r="AR41" s="166" t="e">
        <f t="shared" si="45"/>
        <v>#REF!</v>
      </c>
      <c r="AS41" s="167" t="e">
        <f t="shared" si="45"/>
        <v>#REF!</v>
      </c>
      <c r="AT41" s="165" t="e">
        <f t="shared" si="24"/>
        <v>#REF!</v>
      </c>
      <c r="AU41" s="166" t="e">
        <f t="shared" si="46"/>
        <v>#REF!</v>
      </c>
      <c r="AV41" s="167" t="e">
        <f t="shared" si="46"/>
        <v>#REF!</v>
      </c>
      <c r="AW41" s="165" t="e">
        <f t="shared" si="25"/>
        <v>#REF!</v>
      </c>
      <c r="AX41" s="166" t="e">
        <f t="shared" si="47"/>
        <v>#REF!</v>
      </c>
      <c r="AY41" s="167" t="e">
        <f t="shared" si="47"/>
        <v>#REF!</v>
      </c>
      <c r="AZ41" s="168" t="e">
        <f t="shared" si="26"/>
        <v>#REF!</v>
      </c>
      <c r="BA41" s="169" t="e">
        <f t="shared" si="41"/>
        <v>#REF!</v>
      </c>
      <c r="BB41" s="144" t="s">
        <v>46</v>
      </c>
      <c r="BC41" s="160" t="e">
        <f t="shared" si="13"/>
        <v>#REF!</v>
      </c>
      <c r="BD41" s="160" t="e">
        <f t="shared" si="19"/>
        <v>#REF!</v>
      </c>
      <c r="BE41" s="160" t="e">
        <f t="shared" si="14"/>
        <v>#REF!</v>
      </c>
      <c r="BF41" s="160" t="e">
        <f t="shared" si="15"/>
        <v>#REF!</v>
      </c>
      <c r="BG41" s="160" t="e">
        <f t="shared" si="16"/>
        <v>#REF!</v>
      </c>
      <c r="BH41" s="160" t="e">
        <f t="shared" si="17"/>
        <v>#REF!</v>
      </c>
      <c r="BI41" s="113">
        <f t="shared" si="42"/>
        <v>22</v>
      </c>
    </row>
    <row r="42" spans="1:61" s="152" customFormat="1" ht="20.100000000000001" customHeight="1">
      <c r="A42" s="1565"/>
      <c r="B42" s="1563"/>
      <c r="C42" s="402" t="s">
        <v>112</v>
      </c>
      <c r="D42" s="403" t="e">
        <f>VLOOKUP(C42,[11]PRIUS!$C$3:$I$26,2,0)</f>
        <v>#N/A</v>
      </c>
      <c r="E42" s="403" t="e">
        <f>VLOOKUP(C42,[12]PRIUS!$C$3:$F$17,4,0)</f>
        <v>#N/A</v>
      </c>
      <c r="F42" s="404">
        <v>337</v>
      </c>
      <c r="G42" s="404">
        <v>6</v>
      </c>
      <c r="H42" s="405">
        <f>VLOOKUP(C42,[13]PRIUS!$C$3:$I$34,3,0)</f>
        <v>4.0314099999999993</v>
      </c>
      <c r="I42" s="406">
        <f>VLOOKUP(C42,[13]PRIUS!$C$3:$I$34,7,0)</f>
        <v>4.0335999999999999</v>
      </c>
      <c r="J42" s="148" t="e">
        <f>(GUM!#REF!-(GUM!#REF!*0.2))</f>
        <v>#REF!</v>
      </c>
      <c r="K42" s="149" t="e">
        <f>(GUM!#REF!-(GUM!#REF!*0.2))</f>
        <v>#REF!</v>
      </c>
      <c r="L42" s="150" t="e">
        <f>(GUM!#REF!-(GUM!#REF!*0.2))</f>
        <v>#REF!</v>
      </c>
      <c r="M42" s="148" t="e">
        <f>(GUM!#REF!-(GUM!#REF!*0.2))</f>
        <v>#REF!</v>
      </c>
      <c r="N42" s="149" t="e">
        <f>(GUM!#REF!-(GUM!#REF!*0.2))</f>
        <v>#REF!</v>
      </c>
      <c r="O42" s="150" t="e">
        <f>(GUM!#REF!-(GUM!#REF!*0.2))</f>
        <v>#REF!</v>
      </c>
      <c r="P42" s="148" t="e">
        <f>(GUM!#REF!-(GUM!#REF!*0.2))</f>
        <v>#REF!</v>
      </c>
      <c r="Q42" s="149" t="e">
        <f>(GUM!#REF!-(GUM!#REF!*0.2))</f>
        <v>#REF!</v>
      </c>
      <c r="R42" s="150" t="e">
        <f>(GUM!#REF!-(GUM!#REF!*0.2))</f>
        <v>#REF!</v>
      </c>
      <c r="S42" s="148" t="e">
        <f>(GUM!#REF!-(GUM!#REF!*0.2))</f>
        <v>#REF!</v>
      </c>
      <c r="T42" s="149" t="e">
        <f>(GUM!#REF!-(GUM!#REF!*0.2))</f>
        <v>#REF!</v>
      </c>
      <c r="U42" s="150" t="e">
        <f>(GUM!#REF!-(GUM!#REF!*0.2))</f>
        <v>#REF!</v>
      </c>
      <c r="V42" s="148" t="e">
        <f>(GUM!#REF!-(GUM!#REF!*0.2))</f>
        <v>#REF!</v>
      </c>
      <c r="W42" s="149" t="e">
        <f>(GUM!#REF!-(GUM!#REF!*0.2))</f>
        <v>#REF!</v>
      </c>
      <c r="X42" s="150" t="e">
        <f>(GUM!#REF!-(GUM!#REF!*0.2))</f>
        <v>#REF!</v>
      </c>
      <c r="Y42" s="148" t="e">
        <f>(GUM!#REF!-(GUM!#REF!*0.2))</f>
        <v>#REF!</v>
      </c>
      <c r="Z42" s="149" t="e">
        <f>(GUM!#REF!-(GUM!#REF!*0.2))</f>
        <v>#REF!</v>
      </c>
      <c r="AA42" s="150" t="e">
        <f>(GUM!#REF!-(GUM!#REF!*0.2))</f>
        <v>#REF!</v>
      </c>
      <c r="AB42" s="148" t="e">
        <f>(GUM!#REF!-(GUM!#REF!*0.2))</f>
        <v>#REF!</v>
      </c>
      <c r="AC42" s="163" t="e">
        <f>(GUM!#REF!-(GUM!#REF!*0.2))</f>
        <v>#REF!</v>
      </c>
      <c r="AD42" s="150" t="e">
        <f>(GUM!#REF!-(GUM!#REF!*0.2))</f>
        <v>#REF!</v>
      </c>
      <c r="AE42" s="151" t="e">
        <f>(GUM!#REF!-(GUM!#REF!*0.2))</f>
        <v>#REF!</v>
      </c>
      <c r="AF42" s="113">
        <f>AF41+1</f>
        <v>29</v>
      </c>
      <c r="AG42" s="164" t="e">
        <f t="shared" si="27"/>
        <v>#REF!</v>
      </c>
      <c r="AH42" s="165" t="e">
        <f t="shared" si="28"/>
        <v>#REF!</v>
      </c>
      <c r="AI42" s="166" t="e">
        <f t="shared" si="29"/>
        <v>#REF!</v>
      </c>
      <c r="AJ42" s="167" t="e">
        <f t="shared" si="30"/>
        <v>#REF!</v>
      </c>
      <c r="AK42" s="165" t="e">
        <f t="shared" si="21"/>
        <v>#REF!</v>
      </c>
      <c r="AL42" s="166" t="e">
        <f>O42*$F42</f>
        <v>#REF!</v>
      </c>
      <c r="AM42" s="167" t="e">
        <f>P42*$F42</f>
        <v>#REF!</v>
      </c>
      <c r="AN42" s="165" t="e">
        <f t="shared" si="22"/>
        <v>#REF!</v>
      </c>
      <c r="AO42" s="166" t="e">
        <f>R42*$F42</f>
        <v>#REF!</v>
      </c>
      <c r="AP42" s="167" t="e">
        <f>S42*$F42</f>
        <v>#REF!</v>
      </c>
      <c r="AQ42" s="165" t="e">
        <f t="shared" si="23"/>
        <v>#REF!</v>
      </c>
      <c r="AR42" s="166" t="e">
        <f>U42*$F42</f>
        <v>#REF!</v>
      </c>
      <c r="AS42" s="167" t="e">
        <f>V42*$F42</f>
        <v>#REF!</v>
      </c>
      <c r="AT42" s="165" t="e">
        <f t="shared" si="24"/>
        <v>#REF!</v>
      </c>
      <c r="AU42" s="166" t="e">
        <f>X42*$F42</f>
        <v>#REF!</v>
      </c>
      <c r="AV42" s="167" t="e">
        <f>Y42*$F42</f>
        <v>#REF!</v>
      </c>
      <c r="AW42" s="165" t="e">
        <f t="shared" si="25"/>
        <v>#REF!</v>
      </c>
      <c r="AX42" s="166" t="e">
        <f>AA42*$F42</f>
        <v>#REF!</v>
      </c>
      <c r="AY42" s="167" t="e">
        <f>AB42*$F42</f>
        <v>#REF!</v>
      </c>
      <c r="AZ42" s="168" t="e">
        <f t="shared" si="26"/>
        <v>#REF!</v>
      </c>
      <c r="BA42" s="169" t="e">
        <f t="shared" si="41"/>
        <v>#REF!</v>
      </c>
      <c r="BB42" s="144" t="s">
        <v>46</v>
      </c>
      <c r="BC42" s="160" t="e">
        <f>ROUNDUP(O42/$BC$13,0)</f>
        <v>#REF!</v>
      </c>
      <c r="BD42" s="160" t="e">
        <f>ROUNDUP(R42/$BD$13,0)</f>
        <v>#REF!</v>
      </c>
      <c r="BE42" s="160" t="e">
        <f>ROUNDUP(U42/$BE$13,0)</f>
        <v>#REF!</v>
      </c>
      <c r="BF42" s="160" t="e">
        <f>ROUNDUP(X42/$BF$13,0)</f>
        <v>#REF!</v>
      </c>
      <c r="BG42" s="160" t="e">
        <f>ROUNDUP(AA42/$BG$13,0)</f>
        <v>#REF!</v>
      </c>
      <c r="BH42" s="160" t="e">
        <f>ROUNDUP(AD42/$BH$13,0)</f>
        <v>#REF!</v>
      </c>
      <c r="BI42" s="113">
        <f t="shared" si="42"/>
        <v>23</v>
      </c>
    </row>
    <row r="43" spans="1:61" s="152" customFormat="1" ht="20.100000000000001" hidden="1" customHeight="1">
      <c r="A43" s="1565"/>
      <c r="B43" s="1563"/>
      <c r="C43" s="319" t="s">
        <v>96</v>
      </c>
      <c r="D43" s="291">
        <f>VLOOKUP(C43,[11]PRIUS!$C$3:$I$26,2,0)</f>
        <v>0</v>
      </c>
      <c r="E43" s="291" t="e">
        <f>VLOOKUP(C43,[12]PRIUS!$C$3:$F$17,4,0)</f>
        <v>#N/A</v>
      </c>
      <c r="F43" s="283">
        <v>313</v>
      </c>
      <c r="G43" s="283">
        <v>6</v>
      </c>
      <c r="H43" s="327">
        <f>VLOOKUP(C43,[13]PRIUS!$C$3:$I$34,3,0)</f>
        <v>4.0314099999999993</v>
      </c>
      <c r="I43" s="278">
        <f>VLOOKUP(C43,[13]PRIUS!$C$3:$I$34,7,0)</f>
        <v>4.0053999999999998</v>
      </c>
      <c r="J43" s="148" t="e">
        <f>(GUM!#REF!-(GUM!#REF!*0.2))</f>
        <v>#REF!</v>
      </c>
      <c r="K43" s="149" t="e">
        <f>(GUM!#REF!-(GUM!#REF!*0.2))</f>
        <v>#REF!</v>
      </c>
      <c r="L43" s="150" t="e">
        <f>(GUM!#REF!-(GUM!#REF!*0.2))</f>
        <v>#REF!</v>
      </c>
      <c r="M43" s="148" t="e">
        <f>(GUM!#REF!-(GUM!#REF!*0.2))</f>
        <v>#REF!</v>
      </c>
      <c r="N43" s="149" t="e">
        <f>(GUM!#REF!-(GUM!#REF!*0.2))</f>
        <v>#REF!</v>
      </c>
      <c r="O43" s="150" t="e">
        <f>(GUM!#REF!-(GUM!#REF!*0.2))</f>
        <v>#REF!</v>
      </c>
      <c r="P43" s="148" t="e">
        <f>(GUM!#REF!-(GUM!#REF!*0.2))</f>
        <v>#REF!</v>
      </c>
      <c r="Q43" s="149" t="e">
        <f>(GUM!#REF!-(GUM!#REF!*0.2))</f>
        <v>#REF!</v>
      </c>
      <c r="R43" s="150" t="e">
        <f>(GUM!#REF!-(GUM!#REF!*0.2))</f>
        <v>#REF!</v>
      </c>
      <c r="S43" s="148" t="e">
        <f>(GUM!#REF!-(GUM!#REF!*0.2))</f>
        <v>#REF!</v>
      </c>
      <c r="T43" s="149" t="e">
        <f>(GUM!#REF!-(GUM!#REF!*0.2))</f>
        <v>#REF!</v>
      </c>
      <c r="U43" s="150" t="e">
        <f>(GUM!#REF!-(GUM!#REF!*0.2))</f>
        <v>#REF!</v>
      </c>
      <c r="V43" s="148" t="e">
        <f>(GUM!#REF!-(GUM!#REF!*0.2))</f>
        <v>#REF!</v>
      </c>
      <c r="W43" s="149" t="e">
        <f>(GUM!#REF!-(GUM!#REF!*0.2))</f>
        <v>#REF!</v>
      </c>
      <c r="X43" s="150" t="e">
        <f>(GUM!#REF!-(GUM!#REF!*0.2))</f>
        <v>#REF!</v>
      </c>
      <c r="Y43" s="148" t="e">
        <f>(GUM!#REF!-(GUM!#REF!*0.2))</f>
        <v>#REF!</v>
      </c>
      <c r="Z43" s="149" t="e">
        <f>(GUM!#REF!-(GUM!#REF!*0.2))</f>
        <v>#REF!</v>
      </c>
      <c r="AA43" s="150" t="e">
        <f>(GUM!#REF!-(GUM!#REF!*0.2))</f>
        <v>#REF!</v>
      </c>
      <c r="AB43" s="148" t="e">
        <f>(GUM!#REF!-(GUM!#REF!*0.2))</f>
        <v>#REF!</v>
      </c>
      <c r="AC43" s="170" t="e">
        <f>(GUM!#REF!-(GUM!#REF!*0.2))</f>
        <v>#REF!</v>
      </c>
      <c r="AD43" s="150" t="e">
        <f>(GUM!#REF!-(GUM!#REF!*0.2))</f>
        <v>#REF!</v>
      </c>
      <c r="AE43" s="151" t="e">
        <f>(GUM!#REF!-(GUM!#REF!*0.2))</f>
        <v>#REF!</v>
      </c>
      <c r="AF43" s="113">
        <f t="shared" si="18"/>
        <v>30</v>
      </c>
      <c r="AG43" s="164" t="e">
        <f t="shared" si="27"/>
        <v>#REF!</v>
      </c>
      <c r="AH43" s="165" t="e">
        <f t="shared" si="28"/>
        <v>#REF!</v>
      </c>
      <c r="AI43" s="166" t="e">
        <f t="shared" si="29"/>
        <v>#REF!</v>
      </c>
      <c r="AJ43" s="167" t="e">
        <f t="shared" si="30"/>
        <v>#REF!</v>
      </c>
      <c r="AK43" s="165" t="e">
        <f t="shared" si="21"/>
        <v>#REF!</v>
      </c>
      <c r="AL43" s="166" t="e">
        <f t="shared" si="43"/>
        <v>#REF!</v>
      </c>
      <c r="AM43" s="167" t="e">
        <f t="shared" si="43"/>
        <v>#REF!</v>
      </c>
      <c r="AN43" s="165" t="e">
        <f t="shared" si="22"/>
        <v>#REF!</v>
      </c>
      <c r="AO43" s="166" t="e">
        <f t="shared" si="44"/>
        <v>#REF!</v>
      </c>
      <c r="AP43" s="167" t="e">
        <f t="shared" si="44"/>
        <v>#REF!</v>
      </c>
      <c r="AQ43" s="165" t="e">
        <f t="shared" si="23"/>
        <v>#REF!</v>
      </c>
      <c r="AR43" s="166" t="e">
        <f t="shared" si="45"/>
        <v>#REF!</v>
      </c>
      <c r="AS43" s="167" t="e">
        <f t="shared" si="45"/>
        <v>#REF!</v>
      </c>
      <c r="AT43" s="165" t="e">
        <f t="shared" si="24"/>
        <v>#REF!</v>
      </c>
      <c r="AU43" s="166" t="e">
        <f t="shared" si="46"/>
        <v>#REF!</v>
      </c>
      <c r="AV43" s="167" t="e">
        <f t="shared" si="46"/>
        <v>#REF!</v>
      </c>
      <c r="AW43" s="165" t="e">
        <f t="shared" si="25"/>
        <v>#REF!</v>
      </c>
      <c r="AX43" s="166" t="e">
        <f t="shared" si="47"/>
        <v>#REF!</v>
      </c>
      <c r="AY43" s="167" t="e">
        <f t="shared" si="47"/>
        <v>#REF!</v>
      </c>
      <c r="AZ43" s="168" t="e">
        <f t="shared" si="26"/>
        <v>#REF!</v>
      </c>
      <c r="BA43" s="169" t="e">
        <f t="shared" si="41"/>
        <v>#REF!</v>
      </c>
      <c r="BB43" s="144" t="s">
        <v>47</v>
      </c>
      <c r="BC43" s="160" t="e">
        <f t="shared" si="13"/>
        <v>#REF!</v>
      </c>
      <c r="BD43" s="160" t="e">
        <f>ROUNDUP(R43/$BD$13,0)</f>
        <v>#REF!</v>
      </c>
      <c r="BE43" s="160" t="e">
        <f t="shared" si="14"/>
        <v>#REF!</v>
      </c>
      <c r="BF43" s="160" t="e">
        <f t="shared" si="15"/>
        <v>#REF!</v>
      </c>
      <c r="BG43" s="160" t="e">
        <f t="shared" si="16"/>
        <v>#REF!</v>
      </c>
      <c r="BH43" s="160" t="e">
        <f t="shared" si="17"/>
        <v>#REF!</v>
      </c>
      <c r="BI43" s="113">
        <f t="shared" si="42"/>
        <v>23</v>
      </c>
    </row>
    <row r="44" spans="1:61" s="152" customFormat="1" ht="20.100000000000001" customHeight="1">
      <c r="A44" s="1565"/>
      <c r="B44" s="1563"/>
      <c r="C44" s="402" t="s">
        <v>113</v>
      </c>
      <c r="D44" s="403" t="e">
        <f>VLOOKUP(C44,[11]PRIUS!$C$3:$I$26,2,0)</f>
        <v>#N/A</v>
      </c>
      <c r="E44" s="403" t="e">
        <f>VLOOKUP(C44,[12]PRIUS!$C$3:$F$17,4,0)</f>
        <v>#N/A</v>
      </c>
      <c r="F44" s="404">
        <v>313</v>
      </c>
      <c r="G44" s="404">
        <v>6</v>
      </c>
      <c r="H44" s="407">
        <f>VLOOKUP(C44,[13]PRIUS!$C$3:$I$34,3,0)</f>
        <v>4.0314099999999993</v>
      </c>
      <c r="I44" s="406">
        <f>VLOOKUP(C44,[13]PRIUS!$C$3:$I$34,7,0)</f>
        <v>4.0335999999999999</v>
      </c>
      <c r="J44" s="148" t="e">
        <f>(GUM!#REF!-(GUM!#REF!*0.2))</f>
        <v>#REF!</v>
      </c>
      <c r="K44" s="149" t="e">
        <f>(GUM!#REF!-(GUM!#REF!*0.2))</f>
        <v>#REF!</v>
      </c>
      <c r="L44" s="150" t="e">
        <f>(GUM!#REF!-(GUM!#REF!*0.2))</f>
        <v>#REF!</v>
      </c>
      <c r="M44" s="148" t="e">
        <f>(GUM!#REF!-(GUM!#REF!*0.2))</f>
        <v>#REF!</v>
      </c>
      <c r="N44" s="149" t="e">
        <f>(GUM!#REF!-(GUM!#REF!*0.2))</f>
        <v>#REF!</v>
      </c>
      <c r="O44" s="150" t="e">
        <f>(GUM!#REF!-(GUM!#REF!*0.2))</f>
        <v>#REF!</v>
      </c>
      <c r="P44" s="148" t="e">
        <f>(GUM!#REF!-(GUM!#REF!*0.2))</f>
        <v>#REF!</v>
      </c>
      <c r="Q44" s="149" t="e">
        <f>(GUM!#REF!-(GUM!#REF!*0.2))</f>
        <v>#REF!</v>
      </c>
      <c r="R44" s="150" t="e">
        <f>(GUM!#REF!-(GUM!#REF!*0.2))</f>
        <v>#REF!</v>
      </c>
      <c r="S44" s="148" t="e">
        <f>(GUM!#REF!-(GUM!#REF!*0.2))</f>
        <v>#REF!</v>
      </c>
      <c r="T44" s="149" t="e">
        <f>(GUM!#REF!-(GUM!#REF!*0.2))</f>
        <v>#REF!</v>
      </c>
      <c r="U44" s="150" t="e">
        <f>(GUM!#REF!-(GUM!#REF!*0.2))</f>
        <v>#REF!</v>
      </c>
      <c r="V44" s="148" t="e">
        <f>(GUM!#REF!-(GUM!#REF!*0.2))</f>
        <v>#REF!</v>
      </c>
      <c r="W44" s="149" t="e">
        <f>(GUM!#REF!-(GUM!#REF!*0.2))</f>
        <v>#REF!</v>
      </c>
      <c r="X44" s="150" t="e">
        <f>(GUM!#REF!-(GUM!#REF!*0.2))</f>
        <v>#REF!</v>
      </c>
      <c r="Y44" s="148" t="e">
        <f>(GUM!#REF!-(GUM!#REF!*0.2))</f>
        <v>#REF!</v>
      </c>
      <c r="Z44" s="149" t="e">
        <f>(GUM!#REF!-(GUM!#REF!*0.2))</f>
        <v>#REF!</v>
      </c>
      <c r="AA44" s="150" t="e">
        <f>(GUM!#REF!-(GUM!#REF!*0.2))</f>
        <v>#REF!</v>
      </c>
      <c r="AB44" s="148" t="e">
        <f>(GUM!#REF!-(GUM!#REF!*0.2))</f>
        <v>#REF!</v>
      </c>
      <c r="AC44" s="170" t="e">
        <f>(GUM!#REF!-(GUM!#REF!*0.2))</f>
        <v>#REF!</v>
      </c>
      <c r="AD44" s="150" t="e">
        <f>(GUM!#REF!-(GUM!#REF!*0.2))</f>
        <v>#REF!</v>
      </c>
      <c r="AE44" s="151" t="e">
        <f>(GUM!#REF!-(GUM!#REF!*0.2))</f>
        <v>#REF!</v>
      </c>
      <c r="AF44" s="113">
        <f t="shared" si="18"/>
        <v>31</v>
      </c>
      <c r="AG44" s="164" t="e">
        <f t="shared" si="27"/>
        <v>#REF!</v>
      </c>
      <c r="AH44" s="165" t="e">
        <f t="shared" si="28"/>
        <v>#REF!</v>
      </c>
      <c r="AI44" s="166" t="e">
        <f t="shared" si="29"/>
        <v>#REF!</v>
      </c>
      <c r="AJ44" s="167" t="e">
        <f t="shared" si="30"/>
        <v>#REF!</v>
      </c>
      <c r="AK44" s="165" t="e">
        <f t="shared" si="21"/>
        <v>#REF!</v>
      </c>
      <c r="AL44" s="166" t="e">
        <f>O44*$F44</f>
        <v>#REF!</v>
      </c>
      <c r="AM44" s="167" t="e">
        <f>P44*$F44</f>
        <v>#REF!</v>
      </c>
      <c r="AN44" s="165" t="e">
        <f t="shared" si="22"/>
        <v>#REF!</v>
      </c>
      <c r="AO44" s="166" t="e">
        <f>R44*$F44</f>
        <v>#REF!</v>
      </c>
      <c r="AP44" s="167" t="e">
        <f>S44*$F44</f>
        <v>#REF!</v>
      </c>
      <c r="AQ44" s="165" t="e">
        <f t="shared" si="23"/>
        <v>#REF!</v>
      </c>
      <c r="AR44" s="166" t="e">
        <f>U44*$F44</f>
        <v>#REF!</v>
      </c>
      <c r="AS44" s="167" t="e">
        <f>V44*$F44</f>
        <v>#REF!</v>
      </c>
      <c r="AT44" s="165" t="e">
        <f t="shared" si="24"/>
        <v>#REF!</v>
      </c>
      <c r="AU44" s="166" t="e">
        <f>X44*$F44</f>
        <v>#REF!</v>
      </c>
      <c r="AV44" s="167" t="e">
        <f>Y44*$F44</f>
        <v>#REF!</v>
      </c>
      <c r="AW44" s="165" t="e">
        <f t="shared" si="25"/>
        <v>#REF!</v>
      </c>
      <c r="AX44" s="166" t="e">
        <f>AA44*$F44</f>
        <v>#REF!</v>
      </c>
      <c r="AY44" s="167" t="e">
        <f>AB44*$F44</f>
        <v>#REF!</v>
      </c>
      <c r="AZ44" s="168" t="e">
        <f t="shared" si="26"/>
        <v>#REF!</v>
      </c>
      <c r="BA44" s="169" t="e">
        <f t="shared" si="41"/>
        <v>#REF!</v>
      </c>
      <c r="BB44" s="144" t="s">
        <v>47</v>
      </c>
      <c r="BC44" s="160" t="e">
        <f>ROUNDUP(O44/$BC$13,0)</f>
        <v>#REF!</v>
      </c>
      <c r="BD44" s="160" t="e">
        <f>ROUNDUP(R44/$BD$13,0)</f>
        <v>#REF!</v>
      </c>
      <c r="BE44" s="160" t="e">
        <f>ROUNDUP(U44/$BE$13,0)</f>
        <v>#REF!</v>
      </c>
      <c r="BF44" s="160" t="e">
        <f>ROUNDUP(X44/$BF$13,0)</f>
        <v>#REF!</v>
      </c>
      <c r="BG44" s="160" t="e">
        <f>ROUNDUP(AA44/$BG$13,0)</f>
        <v>#REF!</v>
      </c>
      <c r="BH44" s="160" t="e">
        <f>ROUNDUP(AD44/$BH$13,0)</f>
        <v>#REF!</v>
      </c>
      <c r="BI44" s="113">
        <f t="shared" si="42"/>
        <v>24</v>
      </c>
    </row>
    <row r="45" spans="1:61" s="226" customFormat="1" ht="19.5" hidden="1" customHeight="1">
      <c r="A45" s="1565"/>
      <c r="B45" s="1563"/>
      <c r="C45" s="319" t="s">
        <v>97</v>
      </c>
      <c r="D45" s="291">
        <f>VLOOKUP(C45,[11]PRIUS!$C$3:$I$26,2,0)</f>
        <v>0</v>
      </c>
      <c r="E45" s="304" t="e">
        <f>VLOOKUP(C45,[12]PRIUS!$C$3:$F$17,4,0)</f>
        <v>#N/A</v>
      </c>
      <c r="F45" s="285">
        <v>337</v>
      </c>
      <c r="G45" s="285">
        <v>6</v>
      </c>
      <c r="H45" s="262">
        <f>VLOOKUP(C45,[13]PRIUS!$C$3:$I$34,3,0)</f>
        <v>4.1739333333333333</v>
      </c>
      <c r="I45" s="262">
        <f>VLOOKUP(C45,[13]PRIUS!$C$3:$I$34,7,0)</f>
        <v>4.1443000000000003</v>
      </c>
      <c r="J45" s="221" t="e">
        <f>(GUM!#REF!-(GUM!#REF!*0.2))</f>
        <v>#REF!</v>
      </c>
      <c r="K45" s="222" t="e">
        <f>(GUM!#REF!-(GUM!#REF!*0.2))</f>
        <v>#REF!</v>
      </c>
      <c r="L45" s="223" t="e">
        <f>(GUM!#REF!-(GUM!#REF!*0.2))</f>
        <v>#REF!</v>
      </c>
      <c r="M45" s="221" t="e">
        <f>(GUM!#REF!-(GUM!#REF!*0.2))</f>
        <v>#REF!</v>
      </c>
      <c r="N45" s="222" t="e">
        <f>(GUM!#REF!-(GUM!#REF!*0.2))</f>
        <v>#REF!</v>
      </c>
      <c r="O45" s="223" t="e">
        <f>(GUM!#REF!-(GUM!#REF!*0.2))</f>
        <v>#REF!</v>
      </c>
      <c r="P45" s="221" t="e">
        <f>(GUM!#REF!-(GUM!#REF!*0.2))</f>
        <v>#REF!</v>
      </c>
      <c r="Q45" s="222" t="e">
        <f>(GUM!#REF!-(GUM!#REF!*0.2))</f>
        <v>#REF!</v>
      </c>
      <c r="R45" s="223" t="e">
        <f>(GUM!#REF!-(GUM!#REF!*0.2))</f>
        <v>#REF!</v>
      </c>
      <c r="S45" s="221" t="e">
        <f>(GUM!#REF!-(GUM!#REF!*0.2))</f>
        <v>#REF!</v>
      </c>
      <c r="T45" s="222" t="e">
        <f>(GUM!#REF!-(GUM!#REF!*0.2))</f>
        <v>#REF!</v>
      </c>
      <c r="U45" s="223" t="e">
        <f>(GUM!#REF!-(GUM!#REF!*0.2))</f>
        <v>#REF!</v>
      </c>
      <c r="V45" s="221" t="e">
        <f>(GUM!#REF!-(GUM!#REF!*0.2))</f>
        <v>#REF!</v>
      </c>
      <c r="W45" s="222" t="e">
        <f>(GUM!#REF!-(GUM!#REF!*0.2))</f>
        <v>#REF!</v>
      </c>
      <c r="X45" s="223" t="e">
        <f>(GUM!#REF!-(GUM!#REF!*0.2))</f>
        <v>#REF!</v>
      </c>
      <c r="Y45" s="221" t="e">
        <f>(GUM!#REF!-(GUM!#REF!*0.2))</f>
        <v>#REF!</v>
      </c>
      <c r="Z45" s="222" t="e">
        <f>(GUM!#REF!-(GUM!#REF!*0.2))</f>
        <v>#REF!</v>
      </c>
      <c r="AA45" s="223" t="e">
        <f>(GUM!#REF!-(GUM!#REF!*0.2))</f>
        <v>#REF!</v>
      </c>
      <c r="AB45" s="221" t="e">
        <f>(GUM!#REF!-(GUM!#REF!*0.2))</f>
        <v>#REF!</v>
      </c>
      <c r="AC45" s="253" t="e">
        <f>(GUM!#REF!-(GUM!#REF!*0.2))</f>
        <v>#REF!</v>
      </c>
      <c r="AD45" s="223" t="e">
        <f>(GUM!#REF!-(GUM!#REF!*0.2))</f>
        <v>#REF!</v>
      </c>
      <c r="AE45" s="225" t="e">
        <f>(GUM!#REF!-(GUM!#REF!*0.2))</f>
        <v>#REF!</v>
      </c>
      <c r="AF45" s="113">
        <f t="shared" si="18"/>
        <v>32</v>
      </c>
      <c r="AG45" s="227" t="e">
        <f t="shared" si="27"/>
        <v>#REF!</v>
      </c>
      <c r="AH45" s="228" t="e">
        <f t="shared" si="28"/>
        <v>#REF!</v>
      </c>
      <c r="AI45" s="229" t="e">
        <f t="shared" si="29"/>
        <v>#REF!</v>
      </c>
      <c r="AJ45" s="230" t="e">
        <f t="shared" si="30"/>
        <v>#REF!</v>
      </c>
      <c r="AK45" s="228" t="e">
        <f t="shared" si="21"/>
        <v>#REF!</v>
      </c>
      <c r="AL45" s="229" t="e">
        <f t="shared" si="43"/>
        <v>#REF!</v>
      </c>
      <c r="AM45" s="230" t="e">
        <f t="shared" si="43"/>
        <v>#REF!</v>
      </c>
      <c r="AN45" s="228" t="e">
        <f t="shared" si="22"/>
        <v>#REF!</v>
      </c>
      <c r="AO45" s="229" t="e">
        <f t="shared" si="44"/>
        <v>#REF!</v>
      </c>
      <c r="AP45" s="230" t="e">
        <f t="shared" si="44"/>
        <v>#REF!</v>
      </c>
      <c r="AQ45" s="228" t="e">
        <f t="shared" si="23"/>
        <v>#REF!</v>
      </c>
      <c r="AR45" s="229" t="e">
        <f t="shared" si="45"/>
        <v>#REF!</v>
      </c>
      <c r="AS45" s="230" t="e">
        <f t="shared" si="45"/>
        <v>#REF!</v>
      </c>
      <c r="AT45" s="228" t="e">
        <f t="shared" si="24"/>
        <v>#REF!</v>
      </c>
      <c r="AU45" s="229" t="e">
        <f t="shared" si="46"/>
        <v>#REF!</v>
      </c>
      <c r="AV45" s="230" t="e">
        <f t="shared" si="46"/>
        <v>#REF!</v>
      </c>
      <c r="AW45" s="228" t="e">
        <f t="shared" si="25"/>
        <v>#REF!</v>
      </c>
      <c r="AX45" s="229" t="e">
        <f t="shared" si="47"/>
        <v>#REF!</v>
      </c>
      <c r="AY45" s="230" t="e">
        <f t="shared" si="47"/>
        <v>#REF!</v>
      </c>
      <c r="AZ45" s="231" t="e">
        <f t="shared" si="26"/>
        <v>#REF!</v>
      </c>
      <c r="BA45" s="232" t="e">
        <f t="shared" si="41"/>
        <v>#REF!</v>
      </c>
      <c r="BB45" s="216" t="s">
        <v>48</v>
      </c>
      <c r="BC45" s="160" t="e">
        <f t="shared" si="13"/>
        <v>#REF!</v>
      </c>
      <c r="BD45" s="160" t="e">
        <f>ROUNDUP(R45/$BD$13,0)</f>
        <v>#REF!</v>
      </c>
      <c r="BE45" s="160" t="e">
        <f t="shared" si="14"/>
        <v>#REF!</v>
      </c>
      <c r="BF45" s="160" t="e">
        <f t="shared" si="15"/>
        <v>#REF!</v>
      </c>
      <c r="BG45" s="160" t="e">
        <f t="shared" si="16"/>
        <v>#REF!</v>
      </c>
      <c r="BH45" s="160" t="e">
        <f t="shared" si="17"/>
        <v>#REF!</v>
      </c>
      <c r="BI45" s="113">
        <f t="shared" si="42"/>
        <v>24</v>
      </c>
    </row>
    <row r="46" spans="1:61" s="226" customFormat="1" ht="20.100000000000001" customHeight="1" thickBot="1">
      <c r="A46" s="1567"/>
      <c r="B46" s="1569"/>
      <c r="C46" s="402" t="s">
        <v>114</v>
      </c>
      <c r="D46" s="403" t="e">
        <f>VLOOKUP(C46,[11]PRIUS!$C$3:$I$26,2,0)</f>
        <v>#N/A</v>
      </c>
      <c r="E46" s="408" t="e">
        <f>VLOOKUP(C46,[12]PRIUS!$C$3:$F$17,4,0)</f>
        <v>#N/A</v>
      </c>
      <c r="F46" s="409">
        <v>337</v>
      </c>
      <c r="G46" s="409">
        <v>6</v>
      </c>
      <c r="H46" s="410">
        <f>VLOOKUP(C46,[13]PRIUS!$C$3:$I$34,3,0)</f>
        <v>4.1739333333333333</v>
      </c>
      <c r="I46" s="410">
        <f>VLOOKUP(C46,[13]PRIUS!$C$3:$I$34,7,0)</f>
        <v>4.1650999999999998</v>
      </c>
      <c r="J46" s="221" t="e">
        <f>(GUM!#REF!-(GUM!#REF!*0.2))</f>
        <v>#REF!</v>
      </c>
      <c r="K46" s="222" t="e">
        <f>(GUM!#REF!-(GUM!#REF!*0.2))</f>
        <v>#REF!</v>
      </c>
      <c r="L46" s="223" t="e">
        <f>(GUM!#REF!-(GUM!#REF!*0.2))</f>
        <v>#REF!</v>
      </c>
      <c r="M46" s="221" t="e">
        <f>(GUM!#REF!-(GUM!#REF!*0.2))</f>
        <v>#REF!</v>
      </c>
      <c r="N46" s="222" t="e">
        <f>(GUM!#REF!-(GUM!#REF!*0.2))</f>
        <v>#REF!</v>
      </c>
      <c r="O46" s="223" t="e">
        <f>(GUM!#REF!-(GUM!#REF!*0.2))</f>
        <v>#REF!</v>
      </c>
      <c r="P46" s="221" t="e">
        <f>(GUM!#REF!-(GUM!#REF!*0.2))</f>
        <v>#REF!</v>
      </c>
      <c r="Q46" s="222" t="e">
        <f>(GUM!#REF!-(GUM!#REF!*0.2))</f>
        <v>#REF!</v>
      </c>
      <c r="R46" s="223" t="e">
        <f>(GUM!#REF!-(GUM!#REF!*0.2))</f>
        <v>#REF!</v>
      </c>
      <c r="S46" s="221" t="e">
        <f>(GUM!#REF!-(GUM!#REF!*0.2))</f>
        <v>#REF!</v>
      </c>
      <c r="T46" s="222" t="e">
        <f>(GUM!#REF!-(GUM!#REF!*0.2))</f>
        <v>#REF!</v>
      </c>
      <c r="U46" s="223" t="e">
        <f>(GUM!#REF!-(GUM!#REF!*0.2))</f>
        <v>#REF!</v>
      </c>
      <c r="V46" s="221" t="e">
        <f>(GUM!#REF!-(GUM!#REF!*0.2))</f>
        <v>#REF!</v>
      </c>
      <c r="W46" s="222" t="e">
        <f>(GUM!#REF!-(GUM!#REF!*0.2))</f>
        <v>#REF!</v>
      </c>
      <c r="X46" s="223" t="e">
        <f>(GUM!#REF!-(GUM!#REF!*0.2))</f>
        <v>#REF!</v>
      </c>
      <c r="Y46" s="221" t="e">
        <f>(GUM!#REF!-(GUM!#REF!*0.2))</f>
        <v>#REF!</v>
      </c>
      <c r="Z46" s="222" t="e">
        <f>(GUM!#REF!-(GUM!#REF!*0.2))</f>
        <v>#REF!</v>
      </c>
      <c r="AA46" s="223" t="e">
        <f>(GUM!#REF!-(GUM!#REF!*0.2))</f>
        <v>#REF!</v>
      </c>
      <c r="AB46" s="221" t="e">
        <f>(GUM!#REF!-(GUM!#REF!*0.2))</f>
        <v>#REF!</v>
      </c>
      <c r="AC46" s="253" t="e">
        <f>(GUM!#REF!-(GUM!#REF!*0.2))</f>
        <v>#REF!</v>
      </c>
      <c r="AD46" s="223" t="e">
        <f>(GUM!#REF!-(GUM!#REF!*0.2))</f>
        <v>#REF!</v>
      </c>
      <c r="AE46" s="225" t="e">
        <f>(GUM!#REF!-(GUM!#REF!*0.2))</f>
        <v>#REF!</v>
      </c>
      <c r="AF46" s="113">
        <f t="shared" si="18"/>
        <v>33</v>
      </c>
      <c r="AG46" s="227" t="e">
        <f t="shared" si="27"/>
        <v>#REF!</v>
      </c>
      <c r="AH46" s="228" t="e">
        <f t="shared" si="28"/>
        <v>#REF!</v>
      </c>
      <c r="AI46" s="229" t="e">
        <f t="shared" si="29"/>
        <v>#REF!</v>
      </c>
      <c r="AJ46" s="230" t="e">
        <f t="shared" si="30"/>
        <v>#REF!</v>
      </c>
      <c r="AK46" s="228" t="e">
        <f t="shared" si="21"/>
        <v>#REF!</v>
      </c>
      <c r="AL46" s="229" t="e">
        <f>O46*$F46</f>
        <v>#REF!</v>
      </c>
      <c r="AM46" s="230" t="e">
        <f>P46*$F46</f>
        <v>#REF!</v>
      </c>
      <c r="AN46" s="228" t="e">
        <f t="shared" si="22"/>
        <v>#REF!</v>
      </c>
      <c r="AO46" s="229" t="e">
        <f>R46*$F46</f>
        <v>#REF!</v>
      </c>
      <c r="AP46" s="230" t="e">
        <f>S46*$F46</f>
        <v>#REF!</v>
      </c>
      <c r="AQ46" s="228" t="e">
        <f t="shared" si="23"/>
        <v>#REF!</v>
      </c>
      <c r="AR46" s="229" t="e">
        <f>U46*$F46</f>
        <v>#REF!</v>
      </c>
      <c r="AS46" s="230" t="e">
        <f>V46*$F46</f>
        <v>#REF!</v>
      </c>
      <c r="AT46" s="228" t="e">
        <f t="shared" si="24"/>
        <v>#REF!</v>
      </c>
      <c r="AU46" s="229" t="e">
        <f>X46*$F46</f>
        <v>#REF!</v>
      </c>
      <c r="AV46" s="230" t="e">
        <f>Y46*$F46</f>
        <v>#REF!</v>
      </c>
      <c r="AW46" s="228" t="e">
        <f t="shared" si="25"/>
        <v>#REF!</v>
      </c>
      <c r="AX46" s="229" t="e">
        <f>AA46*$F46</f>
        <v>#REF!</v>
      </c>
      <c r="AY46" s="230" t="e">
        <f>AB46*$F46</f>
        <v>#REF!</v>
      </c>
      <c r="AZ46" s="231" t="e">
        <f t="shared" si="26"/>
        <v>#REF!</v>
      </c>
      <c r="BA46" s="232" t="e">
        <f t="shared" si="41"/>
        <v>#REF!</v>
      </c>
      <c r="BB46" s="216" t="s">
        <v>48</v>
      </c>
      <c r="BC46" s="160" t="e">
        <f>ROUNDUP(O46/$BC$13,0)</f>
        <v>#REF!</v>
      </c>
      <c r="BD46" s="160" t="e">
        <f>ROUNDUP(R46/$BD$13,0)</f>
        <v>#REF!</v>
      </c>
      <c r="BE46" s="160" t="e">
        <f>ROUNDUP(U46/$BE$13,0)</f>
        <v>#REF!</v>
      </c>
      <c r="BF46" s="160" t="e">
        <f>ROUNDUP(X46/$BF$13,0)</f>
        <v>#REF!</v>
      </c>
      <c r="BG46" s="160" t="e">
        <f>ROUNDUP(AA46/$BG$13,0)</f>
        <v>#REF!</v>
      </c>
      <c r="BH46" s="160" t="e">
        <f>ROUNDUP(AD46/$BH$13,0)</f>
        <v>#REF!</v>
      </c>
      <c r="BI46" s="113">
        <f t="shared" si="42"/>
        <v>25</v>
      </c>
    </row>
    <row r="47" spans="1:61" s="113" customFormat="1" ht="20.100000000000001" customHeight="1">
      <c r="A47" s="336"/>
      <c r="B47" s="1540" t="s">
        <v>99</v>
      </c>
      <c r="C47" s="105" t="s">
        <v>71</v>
      </c>
      <c r="D47" s="291" t="s">
        <v>70</v>
      </c>
      <c r="E47" s="303">
        <v>8251</v>
      </c>
      <c r="F47" s="292">
        <v>2</v>
      </c>
      <c r="G47" s="292"/>
      <c r="H47" s="280"/>
      <c r="I47" s="254"/>
      <c r="J47" s="108" t="e">
        <f>+J14+J15+J16+J17+J18+J19</f>
        <v>#REF!</v>
      </c>
      <c r="K47" s="109" t="e">
        <f t="shared" ref="K47:AE47" si="48">+K14+K15+K16+K17+K18+K19</f>
        <v>#REF!</v>
      </c>
      <c r="L47" s="110" t="e">
        <f t="shared" si="48"/>
        <v>#REF!</v>
      </c>
      <c r="M47" s="108" t="e">
        <f t="shared" si="48"/>
        <v>#REF!</v>
      </c>
      <c r="N47" s="109" t="e">
        <f t="shared" si="48"/>
        <v>#REF!</v>
      </c>
      <c r="O47" s="110" t="e">
        <f t="shared" si="48"/>
        <v>#REF!</v>
      </c>
      <c r="P47" s="108" t="e">
        <f t="shared" si="48"/>
        <v>#REF!</v>
      </c>
      <c r="Q47" s="108" t="e">
        <f t="shared" si="48"/>
        <v>#REF!</v>
      </c>
      <c r="R47" s="108" t="e">
        <f t="shared" si="48"/>
        <v>#REF!</v>
      </c>
      <c r="S47" s="108" t="e">
        <f t="shared" si="48"/>
        <v>#REF!</v>
      </c>
      <c r="T47" s="109" t="e">
        <f t="shared" si="48"/>
        <v>#REF!</v>
      </c>
      <c r="U47" s="110" t="e">
        <f t="shared" si="48"/>
        <v>#REF!</v>
      </c>
      <c r="V47" s="108" t="e">
        <f t="shared" si="48"/>
        <v>#REF!</v>
      </c>
      <c r="W47" s="109" t="e">
        <f t="shared" si="48"/>
        <v>#REF!</v>
      </c>
      <c r="X47" s="110" t="e">
        <f t="shared" si="48"/>
        <v>#REF!</v>
      </c>
      <c r="Y47" s="108" t="e">
        <f t="shared" si="48"/>
        <v>#REF!</v>
      </c>
      <c r="Z47" s="109" t="e">
        <f t="shared" si="48"/>
        <v>#REF!</v>
      </c>
      <c r="AA47" s="110" t="e">
        <f t="shared" si="48"/>
        <v>#REF!</v>
      </c>
      <c r="AB47" s="108" t="e">
        <f t="shared" si="48"/>
        <v>#REF!</v>
      </c>
      <c r="AC47" s="111" t="e">
        <f t="shared" si="48"/>
        <v>#REF!</v>
      </c>
      <c r="AD47" s="110" t="e">
        <f t="shared" si="48"/>
        <v>#REF!</v>
      </c>
      <c r="AE47" s="112" t="e">
        <f t="shared" si="48"/>
        <v>#REF!</v>
      </c>
      <c r="AF47" s="113">
        <f t="shared" si="18"/>
        <v>34</v>
      </c>
      <c r="AG47" s="131"/>
      <c r="AH47" s="132"/>
      <c r="AI47" s="133"/>
      <c r="AJ47" s="134"/>
      <c r="AK47" s="132"/>
      <c r="AL47" s="133"/>
      <c r="AM47" s="134"/>
      <c r="AN47" s="132"/>
      <c r="AO47" s="133"/>
      <c r="AP47" s="134"/>
      <c r="AQ47" s="132"/>
      <c r="AR47" s="133"/>
      <c r="AS47" s="134"/>
      <c r="AT47" s="132"/>
      <c r="AU47" s="133"/>
      <c r="AV47" s="134"/>
      <c r="AW47" s="132"/>
      <c r="AX47" s="133"/>
      <c r="AY47" s="134"/>
      <c r="AZ47" s="135"/>
      <c r="BA47" s="136"/>
      <c r="BB47" s="105" t="s">
        <v>59</v>
      </c>
      <c r="BC47" s="121" t="e">
        <f t="shared" ref="BC47:BC55" si="49">ROUNDUP(O47/$BC$13,0)</f>
        <v>#REF!</v>
      </c>
      <c r="BD47" s="121" t="e">
        <f t="shared" ref="BD47:BD55" si="50">ROUNDUP(R47/$BD$13,0)</f>
        <v>#REF!</v>
      </c>
      <c r="BE47" s="121" t="e">
        <f t="shared" ref="BE47:BE55" si="51">ROUNDUP(U47/$BE$13,0)</f>
        <v>#REF!</v>
      </c>
      <c r="BF47" s="121" t="e">
        <f t="shared" ref="BF47:BF55" si="52">ROUNDUP(X47/$BF$13,0)</f>
        <v>#REF!</v>
      </c>
      <c r="BG47" s="121" t="e">
        <f t="shared" ref="BG47:BG55" si="53">ROUNDUP(AA47/$BG$13,0)</f>
        <v>#REF!</v>
      </c>
      <c r="BH47" s="121" t="e">
        <f t="shared" ref="BH47:BH55" si="54">ROUNDUP(AD47/$BH$13,0)</f>
        <v>#REF!</v>
      </c>
    </row>
    <row r="48" spans="1:61" s="113" customFormat="1" ht="20.100000000000001" customHeight="1">
      <c r="A48" s="336"/>
      <c r="B48" s="1541"/>
      <c r="C48" s="124" t="s">
        <v>72</v>
      </c>
      <c r="D48" s="291" t="s">
        <v>70</v>
      </c>
      <c r="E48" s="291">
        <v>8252</v>
      </c>
      <c r="F48" s="293">
        <v>2</v>
      </c>
      <c r="G48" s="293"/>
      <c r="H48" s="281"/>
      <c r="I48" s="255"/>
      <c r="J48" s="126" t="e">
        <f>+J47</f>
        <v>#REF!</v>
      </c>
      <c r="K48" s="127" t="e">
        <f t="shared" ref="K48:AE48" si="55">+K47</f>
        <v>#REF!</v>
      </c>
      <c r="L48" s="128" t="e">
        <f t="shared" si="55"/>
        <v>#REF!</v>
      </c>
      <c r="M48" s="126" t="e">
        <f t="shared" si="55"/>
        <v>#REF!</v>
      </c>
      <c r="N48" s="127" t="e">
        <f t="shared" si="55"/>
        <v>#REF!</v>
      </c>
      <c r="O48" s="128" t="e">
        <f t="shared" si="55"/>
        <v>#REF!</v>
      </c>
      <c r="P48" s="126" t="e">
        <f t="shared" si="55"/>
        <v>#REF!</v>
      </c>
      <c r="Q48" s="127" t="e">
        <f t="shared" si="55"/>
        <v>#REF!</v>
      </c>
      <c r="R48" s="128" t="e">
        <f t="shared" si="55"/>
        <v>#REF!</v>
      </c>
      <c r="S48" s="126" t="e">
        <f t="shared" si="55"/>
        <v>#REF!</v>
      </c>
      <c r="T48" s="127" t="e">
        <f t="shared" si="55"/>
        <v>#REF!</v>
      </c>
      <c r="U48" s="128" t="e">
        <f t="shared" si="55"/>
        <v>#REF!</v>
      </c>
      <c r="V48" s="126" t="e">
        <f t="shared" si="55"/>
        <v>#REF!</v>
      </c>
      <c r="W48" s="127" t="e">
        <f t="shared" si="55"/>
        <v>#REF!</v>
      </c>
      <c r="X48" s="128" t="e">
        <f t="shared" si="55"/>
        <v>#REF!</v>
      </c>
      <c r="Y48" s="126" t="e">
        <f t="shared" si="55"/>
        <v>#REF!</v>
      </c>
      <c r="Z48" s="127" t="e">
        <f t="shared" si="55"/>
        <v>#REF!</v>
      </c>
      <c r="AA48" s="128" t="e">
        <f t="shared" si="55"/>
        <v>#REF!</v>
      </c>
      <c r="AB48" s="126" t="e">
        <f t="shared" si="55"/>
        <v>#REF!</v>
      </c>
      <c r="AC48" s="257" t="e">
        <f t="shared" si="55"/>
        <v>#REF!</v>
      </c>
      <c r="AD48" s="128" t="e">
        <f t="shared" si="55"/>
        <v>#REF!</v>
      </c>
      <c r="AE48" s="130" t="e">
        <f t="shared" si="55"/>
        <v>#REF!</v>
      </c>
      <c r="AF48" s="113">
        <f t="shared" si="18"/>
        <v>35</v>
      </c>
      <c r="AG48" s="131"/>
      <c r="AH48" s="132"/>
      <c r="AI48" s="133"/>
      <c r="AJ48" s="134"/>
      <c r="AK48" s="132"/>
      <c r="AL48" s="133"/>
      <c r="AM48" s="134"/>
      <c r="AN48" s="132"/>
      <c r="AO48" s="133"/>
      <c r="AP48" s="134"/>
      <c r="AQ48" s="132"/>
      <c r="AR48" s="133"/>
      <c r="AS48" s="134"/>
      <c r="AT48" s="132"/>
      <c r="AU48" s="133"/>
      <c r="AV48" s="134"/>
      <c r="AW48" s="132"/>
      <c r="AX48" s="133"/>
      <c r="AY48" s="134"/>
      <c r="AZ48" s="135"/>
      <c r="BA48" s="136"/>
      <c r="BB48" s="124" t="s">
        <v>60</v>
      </c>
      <c r="BC48" s="121" t="e">
        <f t="shared" si="49"/>
        <v>#REF!</v>
      </c>
      <c r="BD48" s="121" t="e">
        <f t="shared" si="50"/>
        <v>#REF!</v>
      </c>
      <c r="BE48" s="121" t="e">
        <f t="shared" si="51"/>
        <v>#REF!</v>
      </c>
      <c r="BF48" s="121" t="e">
        <f t="shared" si="52"/>
        <v>#REF!</v>
      </c>
      <c r="BG48" s="121" t="e">
        <f t="shared" si="53"/>
        <v>#REF!</v>
      </c>
      <c r="BH48" s="121" t="e">
        <f t="shared" si="54"/>
        <v>#REF!</v>
      </c>
    </row>
    <row r="49" spans="1:60" s="113" customFormat="1" ht="20.100000000000001" customHeight="1">
      <c r="A49" s="336"/>
      <c r="B49" s="1541"/>
      <c r="C49" s="124" t="s">
        <v>81</v>
      </c>
      <c r="D49" s="291">
        <v>1011</v>
      </c>
      <c r="E49" s="291">
        <v>9392</v>
      </c>
      <c r="F49" s="293">
        <v>2</v>
      </c>
      <c r="G49" s="293"/>
      <c r="H49" s="281"/>
      <c r="I49" s="255"/>
      <c r="J49" s="126" t="e">
        <f>SUM(J27:J34)</f>
        <v>#REF!</v>
      </c>
      <c r="K49" s="127" t="e">
        <f t="shared" ref="K49:AE49" si="56">SUM(K27:K34)</f>
        <v>#REF!</v>
      </c>
      <c r="L49" s="128" t="e">
        <f t="shared" si="56"/>
        <v>#REF!</v>
      </c>
      <c r="M49" s="126" t="e">
        <f t="shared" si="56"/>
        <v>#REF!</v>
      </c>
      <c r="N49" s="127" t="e">
        <f t="shared" si="56"/>
        <v>#REF!</v>
      </c>
      <c r="O49" s="128" t="e">
        <f t="shared" si="56"/>
        <v>#REF!</v>
      </c>
      <c r="P49" s="126" t="e">
        <f t="shared" si="56"/>
        <v>#REF!</v>
      </c>
      <c r="Q49" s="127" t="e">
        <f>SUM(Q27:Q34)</f>
        <v>#REF!</v>
      </c>
      <c r="R49" s="128" t="e">
        <f t="shared" si="56"/>
        <v>#REF!</v>
      </c>
      <c r="S49" s="126" t="e">
        <f t="shared" si="56"/>
        <v>#REF!</v>
      </c>
      <c r="T49" s="127" t="e">
        <f t="shared" si="56"/>
        <v>#REF!</v>
      </c>
      <c r="U49" s="128" t="e">
        <f t="shared" si="56"/>
        <v>#REF!</v>
      </c>
      <c r="V49" s="126" t="e">
        <f t="shared" si="56"/>
        <v>#REF!</v>
      </c>
      <c r="W49" s="127" t="e">
        <f t="shared" si="56"/>
        <v>#REF!</v>
      </c>
      <c r="X49" s="128" t="e">
        <f t="shared" si="56"/>
        <v>#REF!</v>
      </c>
      <c r="Y49" s="126" t="e">
        <f t="shared" si="56"/>
        <v>#REF!</v>
      </c>
      <c r="Z49" s="127" t="e">
        <f t="shared" si="56"/>
        <v>#REF!</v>
      </c>
      <c r="AA49" s="128" t="e">
        <f t="shared" si="56"/>
        <v>#REF!</v>
      </c>
      <c r="AB49" s="126" t="e">
        <f t="shared" si="56"/>
        <v>#REF!</v>
      </c>
      <c r="AC49" s="257" t="e">
        <f t="shared" si="56"/>
        <v>#REF!</v>
      </c>
      <c r="AD49" s="128" t="e">
        <f t="shared" si="56"/>
        <v>#REF!</v>
      </c>
      <c r="AE49" s="130" t="e">
        <f t="shared" si="56"/>
        <v>#REF!</v>
      </c>
      <c r="AF49" s="113">
        <f t="shared" si="18"/>
        <v>36</v>
      </c>
      <c r="AG49" s="131"/>
      <c r="AH49" s="132"/>
      <c r="AI49" s="133"/>
      <c r="AJ49" s="134"/>
      <c r="AK49" s="132"/>
      <c r="AL49" s="133"/>
      <c r="AM49" s="134"/>
      <c r="AN49" s="132"/>
      <c r="AO49" s="133"/>
      <c r="AP49" s="134"/>
      <c r="AQ49" s="132"/>
      <c r="AR49" s="133"/>
      <c r="AS49" s="134"/>
      <c r="AT49" s="132"/>
      <c r="AU49" s="133"/>
      <c r="AV49" s="134"/>
      <c r="AW49" s="132"/>
      <c r="AX49" s="133"/>
      <c r="AY49" s="134"/>
      <c r="AZ49" s="135"/>
      <c r="BA49" s="136"/>
      <c r="BB49" s="124" t="s">
        <v>61</v>
      </c>
      <c r="BC49" s="121" t="e">
        <f t="shared" si="49"/>
        <v>#REF!</v>
      </c>
      <c r="BD49" s="121" t="e">
        <f t="shared" si="50"/>
        <v>#REF!</v>
      </c>
      <c r="BE49" s="121" t="e">
        <f t="shared" si="51"/>
        <v>#REF!</v>
      </c>
      <c r="BF49" s="121" t="e">
        <f t="shared" si="52"/>
        <v>#REF!</v>
      </c>
      <c r="BG49" s="121" t="e">
        <f t="shared" si="53"/>
        <v>#REF!</v>
      </c>
      <c r="BH49" s="121" t="e">
        <f t="shared" si="54"/>
        <v>#REF!</v>
      </c>
    </row>
    <row r="50" spans="1:60" s="113" customFormat="1" ht="20.100000000000001" customHeight="1" thickBot="1">
      <c r="A50" s="337"/>
      <c r="B50" s="1542"/>
      <c r="C50" s="138" t="s">
        <v>82</v>
      </c>
      <c r="D50" s="291">
        <v>1011</v>
      </c>
      <c r="E50" s="304">
        <v>9393</v>
      </c>
      <c r="F50" s="294">
        <v>2</v>
      </c>
      <c r="G50" s="294"/>
      <c r="H50" s="282"/>
      <c r="I50" s="256"/>
      <c r="J50" s="139" t="e">
        <f>+J49</f>
        <v>#REF!</v>
      </c>
      <c r="K50" s="140" t="e">
        <f t="shared" ref="K50:AE50" si="57">+K49</f>
        <v>#REF!</v>
      </c>
      <c r="L50" s="141" t="e">
        <f t="shared" si="57"/>
        <v>#REF!</v>
      </c>
      <c r="M50" s="139" t="e">
        <f t="shared" si="57"/>
        <v>#REF!</v>
      </c>
      <c r="N50" s="140" t="e">
        <f t="shared" si="57"/>
        <v>#REF!</v>
      </c>
      <c r="O50" s="141" t="e">
        <f t="shared" si="57"/>
        <v>#REF!</v>
      </c>
      <c r="P50" s="139" t="e">
        <f t="shared" si="57"/>
        <v>#REF!</v>
      </c>
      <c r="Q50" s="140" t="e">
        <f t="shared" si="57"/>
        <v>#REF!</v>
      </c>
      <c r="R50" s="141" t="e">
        <f t="shared" si="57"/>
        <v>#REF!</v>
      </c>
      <c r="S50" s="139" t="e">
        <f t="shared" si="57"/>
        <v>#REF!</v>
      </c>
      <c r="T50" s="140" t="e">
        <f t="shared" si="57"/>
        <v>#REF!</v>
      </c>
      <c r="U50" s="141" t="e">
        <f t="shared" si="57"/>
        <v>#REF!</v>
      </c>
      <c r="V50" s="139" t="e">
        <f t="shared" si="57"/>
        <v>#REF!</v>
      </c>
      <c r="W50" s="140" t="e">
        <f t="shared" si="57"/>
        <v>#REF!</v>
      </c>
      <c r="X50" s="141" t="e">
        <f t="shared" si="57"/>
        <v>#REF!</v>
      </c>
      <c r="Y50" s="139" t="e">
        <f t="shared" si="57"/>
        <v>#REF!</v>
      </c>
      <c r="Z50" s="140" t="e">
        <f t="shared" si="57"/>
        <v>#REF!</v>
      </c>
      <c r="AA50" s="141" t="e">
        <f t="shared" si="57"/>
        <v>#REF!</v>
      </c>
      <c r="AB50" s="139" t="e">
        <f t="shared" si="57"/>
        <v>#REF!</v>
      </c>
      <c r="AC50" s="142" t="e">
        <f t="shared" si="57"/>
        <v>#REF!</v>
      </c>
      <c r="AD50" s="141" t="e">
        <f t="shared" si="57"/>
        <v>#REF!</v>
      </c>
      <c r="AE50" s="143" t="e">
        <f t="shared" si="57"/>
        <v>#REF!</v>
      </c>
      <c r="AF50" s="113">
        <f t="shared" si="18"/>
        <v>37</v>
      </c>
      <c r="AG50" s="131"/>
      <c r="AH50" s="132"/>
      <c r="AI50" s="133"/>
      <c r="AJ50" s="134"/>
      <c r="AK50" s="132"/>
      <c r="AL50" s="133"/>
      <c r="AM50" s="134"/>
      <c r="AN50" s="132"/>
      <c r="AO50" s="133"/>
      <c r="AP50" s="134"/>
      <c r="AQ50" s="132"/>
      <c r="AR50" s="133"/>
      <c r="AS50" s="134"/>
      <c r="AT50" s="132"/>
      <c r="AU50" s="133"/>
      <c r="AV50" s="134"/>
      <c r="AW50" s="132"/>
      <c r="AX50" s="133"/>
      <c r="AY50" s="134"/>
      <c r="AZ50" s="135"/>
      <c r="BA50" s="136"/>
      <c r="BB50" s="138" t="s">
        <v>62</v>
      </c>
      <c r="BC50" s="121" t="e">
        <f t="shared" si="49"/>
        <v>#REF!</v>
      </c>
      <c r="BD50" s="121" t="e">
        <f t="shared" si="50"/>
        <v>#REF!</v>
      </c>
      <c r="BE50" s="121" t="e">
        <f t="shared" si="51"/>
        <v>#REF!</v>
      </c>
      <c r="BF50" s="121" t="e">
        <f t="shared" si="52"/>
        <v>#REF!</v>
      </c>
      <c r="BG50" s="121" t="e">
        <f t="shared" si="53"/>
        <v>#REF!</v>
      </c>
      <c r="BH50" s="121" t="e">
        <f t="shared" si="54"/>
        <v>#REF!</v>
      </c>
    </row>
    <row r="51" spans="1:60" s="113" customFormat="1" ht="20.100000000000001" customHeight="1">
      <c r="A51" s="331"/>
      <c r="B51" s="1537" t="s">
        <v>100</v>
      </c>
      <c r="C51" s="379" t="s">
        <v>71</v>
      </c>
      <c r="D51" s="380" t="s">
        <v>102</v>
      </c>
      <c r="E51" s="381">
        <v>8251</v>
      </c>
      <c r="F51" s="382">
        <v>2</v>
      </c>
      <c r="G51" s="382"/>
      <c r="H51" s="383"/>
      <c r="I51" s="384"/>
      <c r="J51" s="385" t="e">
        <f>J20+J22+J24+J21+J23+J26</f>
        <v>#REF!</v>
      </c>
      <c r="K51" s="386" t="e">
        <f t="shared" ref="K51:AE51" si="58">K20+K22+K24+K21+K23+K26</f>
        <v>#REF!</v>
      </c>
      <c r="L51" s="387" t="e">
        <f t="shared" si="58"/>
        <v>#REF!</v>
      </c>
      <c r="M51" s="385" t="e">
        <f t="shared" si="58"/>
        <v>#REF!</v>
      </c>
      <c r="N51" s="386" t="e">
        <f t="shared" si="58"/>
        <v>#REF!</v>
      </c>
      <c r="O51" s="387" t="e">
        <f t="shared" si="58"/>
        <v>#REF!</v>
      </c>
      <c r="P51" s="385" t="e">
        <f t="shared" si="58"/>
        <v>#REF!</v>
      </c>
      <c r="Q51" s="385" t="e">
        <f t="shared" si="58"/>
        <v>#REF!</v>
      </c>
      <c r="R51" s="385" t="e">
        <f t="shared" si="58"/>
        <v>#REF!</v>
      </c>
      <c r="S51" s="385" t="e">
        <f t="shared" si="58"/>
        <v>#REF!</v>
      </c>
      <c r="T51" s="386" t="e">
        <f t="shared" si="58"/>
        <v>#REF!</v>
      </c>
      <c r="U51" s="387" t="e">
        <f t="shared" si="58"/>
        <v>#REF!</v>
      </c>
      <c r="V51" s="385" t="e">
        <f t="shared" si="58"/>
        <v>#REF!</v>
      </c>
      <c r="W51" s="386" t="e">
        <f t="shared" si="58"/>
        <v>#REF!</v>
      </c>
      <c r="X51" s="387" t="e">
        <f t="shared" si="58"/>
        <v>#REF!</v>
      </c>
      <c r="Y51" s="385" t="e">
        <f t="shared" si="58"/>
        <v>#REF!</v>
      </c>
      <c r="Z51" s="386" t="e">
        <f t="shared" si="58"/>
        <v>#REF!</v>
      </c>
      <c r="AA51" s="387" t="e">
        <f t="shared" si="58"/>
        <v>#REF!</v>
      </c>
      <c r="AB51" s="385" t="e">
        <f t="shared" si="58"/>
        <v>#REF!</v>
      </c>
      <c r="AC51" s="388" t="e">
        <f t="shared" si="58"/>
        <v>#REF!</v>
      </c>
      <c r="AD51" s="387" t="e">
        <f t="shared" si="58"/>
        <v>#REF!</v>
      </c>
      <c r="AE51" s="389" t="e">
        <f t="shared" si="58"/>
        <v>#REF!</v>
      </c>
      <c r="AF51" s="113">
        <f t="shared" si="18"/>
        <v>38</v>
      </c>
      <c r="AG51" s="131"/>
      <c r="AH51" s="132"/>
      <c r="AI51" s="133"/>
      <c r="AJ51" s="134"/>
      <c r="AK51" s="132"/>
      <c r="AL51" s="133"/>
      <c r="AM51" s="134"/>
      <c r="AN51" s="132"/>
      <c r="AO51" s="133"/>
      <c r="AP51" s="134"/>
      <c r="AQ51" s="132"/>
      <c r="AR51" s="133"/>
      <c r="AS51" s="134"/>
      <c r="AT51" s="132"/>
      <c r="AU51" s="133"/>
      <c r="AV51" s="134"/>
      <c r="AW51" s="132"/>
      <c r="AX51" s="133"/>
      <c r="AY51" s="134"/>
      <c r="AZ51" s="135"/>
      <c r="BA51" s="136"/>
      <c r="BB51" s="105" t="s">
        <v>59</v>
      </c>
      <c r="BC51" s="121" t="e">
        <f t="shared" si="49"/>
        <v>#REF!</v>
      </c>
      <c r="BD51" s="121" t="e">
        <f t="shared" si="50"/>
        <v>#REF!</v>
      </c>
      <c r="BE51" s="121" t="e">
        <f t="shared" si="51"/>
        <v>#REF!</v>
      </c>
      <c r="BF51" s="121" t="e">
        <f t="shared" si="52"/>
        <v>#REF!</v>
      </c>
      <c r="BG51" s="121" t="e">
        <f t="shared" si="53"/>
        <v>#REF!</v>
      </c>
      <c r="BH51" s="121" t="e">
        <f t="shared" si="54"/>
        <v>#REF!</v>
      </c>
    </row>
    <row r="52" spans="1:60" s="113" customFormat="1" ht="20.100000000000001" customHeight="1">
      <c r="A52" s="331"/>
      <c r="B52" s="1538"/>
      <c r="C52" s="145" t="s">
        <v>72</v>
      </c>
      <c r="D52" s="380" t="s">
        <v>103</v>
      </c>
      <c r="E52" s="380">
        <v>8252</v>
      </c>
      <c r="F52" s="283">
        <v>2</v>
      </c>
      <c r="G52" s="283"/>
      <c r="H52" s="390"/>
      <c r="I52" s="391"/>
      <c r="J52" s="148" t="e">
        <f>+J51</f>
        <v>#REF!</v>
      </c>
      <c r="K52" s="149" t="e">
        <f t="shared" ref="K52:AE52" si="59">+K51</f>
        <v>#REF!</v>
      </c>
      <c r="L52" s="150" t="e">
        <f t="shared" si="59"/>
        <v>#REF!</v>
      </c>
      <c r="M52" s="148" t="e">
        <f t="shared" si="59"/>
        <v>#REF!</v>
      </c>
      <c r="N52" s="149" t="e">
        <f t="shared" si="59"/>
        <v>#REF!</v>
      </c>
      <c r="O52" s="150" t="e">
        <f t="shared" si="59"/>
        <v>#REF!</v>
      </c>
      <c r="P52" s="148" t="e">
        <f t="shared" si="59"/>
        <v>#REF!</v>
      </c>
      <c r="Q52" s="149" t="e">
        <f t="shared" si="59"/>
        <v>#REF!</v>
      </c>
      <c r="R52" s="150" t="e">
        <f t="shared" si="59"/>
        <v>#REF!</v>
      </c>
      <c r="S52" s="148" t="e">
        <f t="shared" si="59"/>
        <v>#REF!</v>
      </c>
      <c r="T52" s="149" t="e">
        <f t="shared" si="59"/>
        <v>#REF!</v>
      </c>
      <c r="U52" s="150" t="e">
        <f t="shared" si="59"/>
        <v>#REF!</v>
      </c>
      <c r="V52" s="148" t="e">
        <f t="shared" si="59"/>
        <v>#REF!</v>
      </c>
      <c r="W52" s="149" t="e">
        <f t="shared" si="59"/>
        <v>#REF!</v>
      </c>
      <c r="X52" s="150" t="e">
        <f t="shared" si="59"/>
        <v>#REF!</v>
      </c>
      <c r="Y52" s="148" t="e">
        <f t="shared" si="59"/>
        <v>#REF!</v>
      </c>
      <c r="Z52" s="149" t="e">
        <f t="shared" si="59"/>
        <v>#REF!</v>
      </c>
      <c r="AA52" s="150" t="e">
        <f t="shared" si="59"/>
        <v>#REF!</v>
      </c>
      <c r="AB52" s="148" t="e">
        <f t="shared" si="59"/>
        <v>#REF!</v>
      </c>
      <c r="AC52" s="170" t="e">
        <f t="shared" si="59"/>
        <v>#REF!</v>
      </c>
      <c r="AD52" s="150" t="e">
        <f t="shared" si="59"/>
        <v>#REF!</v>
      </c>
      <c r="AE52" s="151" t="e">
        <f t="shared" si="59"/>
        <v>#REF!</v>
      </c>
      <c r="AF52" s="113">
        <f t="shared" si="18"/>
        <v>39</v>
      </c>
      <c r="AG52" s="131"/>
      <c r="AH52" s="132"/>
      <c r="AI52" s="133"/>
      <c r="AJ52" s="134"/>
      <c r="AK52" s="132"/>
      <c r="AL52" s="133"/>
      <c r="AM52" s="134"/>
      <c r="AN52" s="132"/>
      <c r="AO52" s="133"/>
      <c r="AP52" s="134"/>
      <c r="AQ52" s="132"/>
      <c r="AR52" s="133"/>
      <c r="AS52" s="134"/>
      <c r="AT52" s="132"/>
      <c r="AU52" s="133"/>
      <c r="AV52" s="134"/>
      <c r="AW52" s="132"/>
      <c r="AX52" s="133"/>
      <c r="AY52" s="134"/>
      <c r="AZ52" s="135"/>
      <c r="BA52" s="136"/>
      <c r="BB52" s="124" t="s">
        <v>60</v>
      </c>
      <c r="BC52" s="121" t="e">
        <f t="shared" si="49"/>
        <v>#REF!</v>
      </c>
      <c r="BD52" s="121" t="e">
        <f t="shared" si="50"/>
        <v>#REF!</v>
      </c>
      <c r="BE52" s="121" t="e">
        <f t="shared" si="51"/>
        <v>#REF!</v>
      </c>
      <c r="BF52" s="121" t="e">
        <f t="shared" si="52"/>
        <v>#REF!</v>
      </c>
      <c r="BG52" s="121" t="e">
        <f t="shared" si="53"/>
        <v>#REF!</v>
      </c>
      <c r="BH52" s="121" t="e">
        <f t="shared" si="54"/>
        <v>#REF!</v>
      </c>
    </row>
    <row r="53" spans="1:60" s="113" customFormat="1" ht="20.100000000000001" customHeight="1">
      <c r="A53" s="331"/>
      <c r="B53" s="1538"/>
      <c r="C53" s="145" t="s">
        <v>81</v>
      </c>
      <c r="D53" s="380" t="s">
        <v>101</v>
      </c>
      <c r="E53" s="380">
        <v>9392</v>
      </c>
      <c r="F53" s="283">
        <v>2</v>
      </c>
      <c r="G53" s="283"/>
      <c r="H53" s="390"/>
      <c r="I53" s="391"/>
      <c r="J53" s="148" t="e">
        <f>SUM(J35:J46)</f>
        <v>#REF!</v>
      </c>
      <c r="K53" s="149" t="e">
        <f t="shared" ref="K53:AE53" si="60">SUM(K35:K46)</f>
        <v>#REF!</v>
      </c>
      <c r="L53" s="150" t="e">
        <f t="shared" si="60"/>
        <v>#REF!</v>
      </c>
      <c r="M53" s="148" t="e">
        <f t="shared" si="60"/>
        <v>#REF!</v>
      </c>
      <c r="N53" s="149" t="e">
        <f t="shared" si="60"/>
        <v>#REF!</v>
      </c>
      <c r="O53" s="150" t="e">
        <f t="shared" si="60"/>
        <v>#REF!</v>
      </c>
      <c r="P53" s="148" t="e">
        <f t="shared" si="60"/>
        <v>#REF!</v>
      </c>
      <c r="Q53" s="149" t="e">
        <f>SUM(Q35:Q46)</f>
        <v>#REF!</v>
      </c>
      <c r="R53" s="150" t="e">
        <f t="shared" si="60"/>
        <v>#REF!</v>
      </c>
      <c r="S53" s="148" t="e">
        <f t="shared" si="60"/>
        <v>#REF!</v>
      </c>
      <c r="T53" s="149" t="e">
        <f t="shared" si="60"/>
        <v>#REF!</v>
      </c>
      <c r="U53" s="150" t="e">
        <f t="shared" si="60"/>
        <v>#REF!</v>
      </c>
      <c r="V53" s="148" t="e">
        <f t="shared" si="60"/>
        <v>#REF!</v>
      </c>
      <c r="W53" s="149" t="e">
        <f t="shared" si="60"/>
        <v>#REF!</v>
      </c>
      <c r="X53" s="150" t="e">
        <f t="shared" si="60"/>
        <v>#REF!</v>
      </c>
      <c r="Y53" s="148" t="e">
        <f t="shared" si="60"/>
        <v>#REF!</v>
      </c>
      <c r="Z53" s="149" t="e">
        <f t="shared" si="60"/>
        <v>#REF!</v>
      </c>
      <c r="AA53" s="150" t="e">
        <f t="shared" si="60"/>
        <v>#REF!</v>
      </c>
      <c r="AB53" s="148" t="e">
        <f t="shared" si="60"/>
        <v>#REF!</v>
      </c>
      <c r="AC53" s="170" t="e">
        <f t="shared" si="60"/>
        <v>#REF!</v>
      </c>
      <c r="AD53" s="150" t="e">
        <f t="shared" si="60"/>
        <v>#REF!</v>
      </c>
      <c r="AE53" s="151" t="e">
        <f t="shared" si="60"/>
        <v>#REF!</v>
      </c>
      <c r="AF53" s="113">
        <f t="shared" si="18"/>
        <v>40</v>
      </c>
      <c r="AG53" s="131"/>
      <c r="AH53" s="132"/>
      <c r="AI53" s="133"/>
      <c r="AJ53" s="134"/>
      <c r="AK53" s="132"/>
      <c r="AL53" s="133"/>
      <c r="AM53" s="134"/>
      <c r="AN53" s="132"/>
      <c r="AO53" s="133"/>
      <c r="AP53" s="134"/>
      <c r="AQ53" s="132"/>
      <c r="AR53" s="133"/>
      <c r="AS53" s="134"/>
      <c r="AT53" s="132"/>
      <c r="AU53" s="133"/>
      <c r="AV53" s="134"/>
      <c r="AW53" s="132"/>
      <c r="AX53" s="133"/>
      <c r="AY53" s="134"/>
      <c r="AZ53" s="135"/>
      <c r="BA53" s="136"/>
      <c r="BB53" s="124" t="s">
        <v>61</v>
      </c>
      <c r="BC53" s="121" t="e">
        <f t="shared" si="49"/>
        <v>#REF!</v>
      </c>
      <c r="BD53" s="121" t="e">
        <f t="shared" si="50"/>
        <v>#REF!</v>
      </c>
      <c r="BE53" s="121" t="e">
        <f t="shared" si="51"/>
        <v>#REF!</v>
      </c>
      <c r="BF53" s="121" t="e">
        <f t="shared" si="52"/>
        <v>#REF!</v>
      </c>
      <c r="BG53" s="121" t="e">
        <f t="shared" si="53"/>
        <v>#REF!</v>
      </c>
      <c r="BH53" s="121" t="e">
        <f t="shared" si="54"/>
        <v>#REF!</v>
      </c>
    </row>
    <row r="54" spans="1:60" s="113" customFormat="1" ht="20.100000000000001" customHeight="1" thickBot="1">
      <c r="A54" s="331"/>
      <c r="B54" s="1539"/>
      <c r="C54" s="392" t="s">
        <v>82</v>
      </c>
      <c r="D54" s="380" t="s">
        <v>101</v>
      </c>
      <c r="E54" s="393">
        <v>9393</v>
      </c>
      <c r="F54" s="394">
        <v>2</v>
      </c>
      <c r="G54" s="394"/>
      <c r="H54" s="395"/>
      <c r="I54" s="396"/>
      <c r="J54" s="397" t="e">
        <f>+J53</f>
        <v>#REF!</v>
      </c>
      <c r="K54" s="398" t="e">
        <f t="shared" ref="K54:AE54" si="61">+K53</f>
        <v>#REF!</v>
      </c>
      <c r="L54" s="399" t="e">
        <f t="shared" si="61"/>
        <v>#REF!</v>
      </c>
      <c r="M54" s="397" t="e">
        <f t="shared" si="61"/>
        <v>#REF!</v>
      </c>
      <c r="N54" s="398" t="e">
        <f t="shared" si="61"/>
        <v>#REF!</v>
      </c>
      <c r="O54" s="399" t="e">
        <f t="shared" si="61"/>
        <v>#REF!</v>
      </c>
      <c r="P54" s="397" t="e">
        <f t="shared" si="61"/>
        <v>#REF!</v>
      </c>
      <c r="Q54" s="398" t="e">
        <f t="shared" si="61"/>
        <v>#REF!</v>
      </c>
      <c r="R54" s="399" t="e">
        <f t="shared" si="61"/>
        <v>#REF!</v>
      </c>
      <c r="S54" s="397" t="e">
        <f t="shared" si="61"/>
        <v>#REF!</v>
      </c>
      <c r="T54" s="398" t="e">
        <f t="shared" si="61"/>
        <v>#REF!</v>
      </c>
      <c r="U54" s="399" t="e">
        <f t="shared" si="61"/>
        <v>#REF!</v>
      </c>
      <c r="V54" s="397" t="e">
        <f t="shared" si="61"/>
        <v>#REF!</v>
      </c>
      <c r="W54" s="398" t="e">
        <f t="shared" si="61"/>
        <v>#REF!</v>
      </c>
      <c r="X54" s="399" t="e">
        <f t="shared" si="61"/>
        <v>#REF!</v>
      </c>
      <c r="Y54" s="397" t="e">
        <f t="shared" si="61"/>
        <v>#REF!</v>
      </c>
      <c r="Z54" s="398" t="e">
        <f t="shared" si="61"/>
        <v>#REF!</v>
      </c>
      <c r="AA54" s="399" t="e">
        <f t="shared" si="61"/>
        <v>#REF!</v>
      </c>
      <c r="AB54" s="397" t="e">
        <f t="shared" si="61"/>
        <v>#REF!</v>
      </c>
      <c r="AC54" s="400" t="e">
        <f t="shared" si="61"/>
        <v>#REF!</v>
      </c>
      <c r="AD54" s="399" t="e">
        <f t="shared" si="61"/>
        <v>#REF!</v>
      </c>
      <c r="AE54" s="401" t="e">
        <f t="shared" si="61"/>
        <v>#REF!</v>
      </c>
      <c r="AF54" s="113">
        <f t="shared" si="18"/>
        <v>41</v>
      </c>
      <c r="AG54" s="131"/>
      <c r="AH54" s="132"/>
      <c r="AI54" s="133"/>
      <c r="AJ54" s="134"/>
      <c r="AK54" s="132"/>
      <c r="AL54" s="133"/>
      <c r="AM54" s="134"/>
      <c r="AN54" s="132"/>
      <c r="AO54" s="133"/>
      <c r="AP54" s="134"/>
      <c r="AQ54" s="132"/>
      <c r="AR54" s="133"/>
      <c r="AS54" s="134"/>
      <c r="AT54" s="132"/>
      <c r="AU54" s="133"/>
      <c r="AV54" s="134"/>
      <c r="AW54" s="132"/>
      <c r="AX54" s="133"/>
      <c r="AY54" s="134"/>
      <c r="AZ54" s="135"/>
      <c r="BA54" s="136"/>
      <c r="BB54" s="138" t="s">
        <v>62</v>
      </c>
      <c r="BC54" s="121" t="e">
        <f t="shared" si="49"/>
        <v>#REF!</v>
      </c>
      <c r="BD54" s="121" t="e">
        <f t="shared" si="50"/>
        <v>#REF!</v>
      </c>
      <c r="BE54" s="121" t="e">
        <f t="shared" si="51"/>
        <v>#REF!</v>
      </c>
      <c r="BF54" s="121" t="e">
        <f t="shared" si="52"/>
        <v>#REF!</v>
      </c>
      <c r="BG54" s="121" t="e">
        <f t="shared" si="53"/>
        <v>#REF!</v>
      </c>
      <c r="BH54" s="121" t="e">
        <f t="shared" si="54"/>
        <v>#REF!</v>
      </c>
    </row>
    <row r="55" spans="1:60" ht="20.100000000000001" customHeight="1" thickBot="1">
      <c r="B55" s="1502" t="s">
        <v>63</v>
      </c>
      <c r="C55" s="1503"/>
      <c r="D55" s="1503"/>
      <c r="E55" s="1503"/>
      <c r="F55" s="1503"/>
      <c r="G55" s="1503"/>
      <c r="H55" s="1503"/>
      <c r="I55" s="1504"/>
      <c r="J55" s="23" t="e">
        <f>SUM(J21:J46)</f>
        <v>#REF!</v>
      </c>
      <c r="K55" s="23" t="e">
        <f t="shared" ref="K55:AD55" si="62">SUM(K21:K46)</f>
        <v>#REF!</v>
      </c>
      <c r="L55" s="23" t="e">
        <f t="shared" si="62"/>
        <v>#REF!</v>
      </c>
      <c r="M55" s="23" t="e">
        <f t="shared" si="62"/>
        <v>#REF!</v>
      </c>
      <c r="N55" s="23" t="e">
        <f t="shared" si="62"/>
        <v>#REF!</v>
      </c>
      <c r="O55" s="23" t="e">
        <f t="shared" si="62"/>
        <v>#REF!</v>
      </c>
      <c r="P55" s="23" t="e">
        <f t="shared" si="62"/>
        <v>#REF!</v>
      </c>
      <c r="Q55" s="23" t="e">
        <f t="shared" si="62"/>
        <v>#REF!</v>
      </c>
      <c r="R55" s="23" t="e">
        <f t="shared" si="62"/>
        <v>#REF!</v>
      </c>
      <c r="S55" s="23" t="e">
        <f t="shared" si="62"/>
        <v>#REF!</v>
      </c>
      <c r="T55" s="23" t="e">
        <f t="shared" si="62"/>
        <v>#REF!</v>
      </c>
      <c r="U55" s="23" t="e">
        <f t="shared" si="62"/>
        <v>#REF!</v>
      </c>
      <c r="V55" s="23" t="e">
        <f t="shared" si="62"/>
        <v>#REF!</v>
      </c>
      <c r="W55" s="23" t="e">
        <f t="shared" si="62"/>
        <v>#REF!</v>
      </c>
      <c r="X55" s="23" t="e">
        <f t="shared" si="62"/>
        <v>#REF!</v>
      </c>
      <c r="Y55" s="23" t="e">
        <f t="shared" si="62"/>
        <v>#REF!</v>
      </c>
      <c r="Z55" s="23" t="e">
        <f t="shared" si="62"/>
        <v>#REF!</v>
      </c>
      <c r="AA55" s="23" t="e">
        <f t="shared" si="62"/>
        <v>#REF!</v>
      </c>
      <c r="AB55" s="23" t="e">
        <f t="shared" si="62"/>
        <v>#REF!</v>
      </c>
      <c r="AC55" s="23" t="e">
        <f t="shared" si="62"/>
        <v>#REF!</v>
      </c>
      <c r="AD55" s="23" t="e">
        <f t="shared" si="62"/>
        <v>#REF!</v>
      </c>
      <c r="AE55" s="27" t="e">
        <f>SUM(AE14:AE34)</f>
        <v>#REF!</v>
      </c>
      <c r="AG55" s="92" t="e">
        <f t="shared" ref="AG55:BA55" si="63">SUM(AG25:AG28)</f>
        <v>#REF!</v>
      </c>
      <c r="AH55" s="93" t="e">
        <f>SUM(AH25:AH28)</f>
        <v>#REF!</v>
      </c>
      <c r="AI55" s="94" t="e">
        <f t="shared" si="63"/>
        <v>#REF!</v>
      </c>
      <c r="AJ55" s="95" t="e">
        <f t="shared" si="63"/>
        <v>#REF!</v>
      </c>
      <c r="AK55" s="93" t="e">
        <f t="shared" si="63"/>
        <v>#REF!</v>
      </c>
      <c r="AL55" s="94" t="e">
        <f t="shared" si="63"/>
        <v>#REF!</v>
      </c>
      <c r="AM55" s="92" t="e">
        <f t="shared" si="63"/>
        <v>#REF!</v>
      </c>
      <c r="AN55" s="93" t="e">
        <f t="shared" si="63"/>
        <v>#REF!</v>
      </c>
      <c r="AO55" s="94" t="e">
        <f t="shared" si="63"/>
        <v>#REF!</v>
      </c>
      <c r="AP55" s="92" t="e">
        <f t="shared" si="63"/>
        <v>#REF!</v>
      </c>
      <c r="AQ55" s="93" t="e">
        <f t="shared" si="63"/>
        <v>#REF!</v>
      </c>
      <c r="AR55" s="94" t="e">
        <f t="shared" si="63"/>
        <v>#REF!</v>
      </c>
      <c r="AS55" s="92" t="e">
        <f t="shared" si="63"/>
        <v>#REF!</v>
      </c>
      <c r="AT55" s="93" t="e">
        <f t="shared" si="63"/>
        <v>#REF!</v>
      </c>
      <c r="AU55" s="94" t="e">
        <f t="shared" si="63"/>
        <v>#REF!</v>
      </c>
      <c r="AV55" s="92" t="e">
        <f t="shared" si="63"/>
        <v>#REF!</v>
      </c>
      <c r="AW55" s="93" t="e">
        <f t="shared" si="63"/>
        <v>#REF!</v>
      </c>
      <c r="AX55" s="94" t="e">
        <f t="shared" si="63"/>
        <v>#REF!</v>
      </c>
      <c r="AY55" s="92" t="e">
        <f t="shared" si="63"/>
        <v>#REF!</v>
      </c>
      <c r="AZ55" s="93" t="e">
        <f t="shared" si="63"/>
        <v>#REF!</v>
      </c>
      <c r="BA55" s="94" t="e">
        <f t="shared" si="63"/>
        <v>#REF!</v>
      </c>
      <c r="BB55" s="1" t="s">
        <v>64</v>
      </c>
      <c r="BC55" s="101" t="e">
        <f t="shared" si="49"/>
        <v>#REF!</v>
      </c>
      <c r="BD55" s="101" t="e">
        <f t="shared" si="50"/>
        <v>#REF!</v>
      </c>
      <c r="BE55" s="101" t="e">
        <f t="shared" si="51"/>
        <v>#REF!</v>
      </c>
      <c r="BF55" s="101" t="e">
        <f t="shared" si="52"/>
        <v>#REF!</v>
      </c>
      <c r="BG55" s="101" t="e">
        <f t="shared" si="53"/>
        <v>#REF!</v>
      </c>
      <c r="BH55" s="101" t="e">
        <f t="shared" si="54"/>
        <v>#REF!</v>
      </c>
    </row>
    <row r="56" spans="1:60" ht="20.100000000000001" customHeight="1">
      <c r="B56" s="1518" t="s">
        <v>25</v>
      </c>
      <c r="C56" s="1519"/>
      <c r="D56" s="1519"/>
      <c r="E56" s="1519"/>
      <c r="F56" s="1519"/>
      <c r="G56" s="1519"/>
      <c r="H56" s="1519"/>
      <c r="I56" s="1520"/>
      <c r="J56" s="1451" t="str">
        <f>J11</f>
        <v>FEB</v>
      </c>
      <c r="K56" s="1452"/>
      <c r="L56" s="1453"/>
      <c r="M56" s="1451" t="str">
        <f>M11</f>
        <v>MAR</v>
      </c>
      <c r="N56" s="1452"/>
      <c r="O56" s="1453"/>
      <c r="P56" s="1451" t="str">
        <f>P11</f>
        <v>APR</v>
      </c>
      <c r="Q56" s="1452"/>
      <c r="R56" s="1453"/>
      <c r="S56" s="1451" t="str">
        <f>S11</f>
        <v>MAY</v>
      </c>
      <c r="T56" s="1452"/>
      <c r="U56" s="1453"/>
      <c r="V56" s="1451" t="str">
        <f>V11</f>
        <v>JUN</v>
      </c>
      <c r="W56" s="1452"/>
      <c r="X56" s="1453"/>
      <c r="Y56" s="1451" t="str">
        <f>Y11</f>
        <v>JUL</v>
      </c>
      <c r="Z56" s="1452"/>
      <c r="AA56" s="1453"/>
      <c r="AB56" s="1451" t="str">
        <f>AB11</f>
        <v>FEB</v>
      </c>
      <c r="AC56" s="1452"/>
      <c r="AD56" s="1453"/>
      <c r="AE56" s="2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C56" s="259" t="e">
        <f t="shared" ref="BC56:BH56" si="64">SUM(BC14:BC54)</f>
        <v>#REF!</v>
      </c>
      <c r="BD56" s="259" t="e">
        <f t="shared" si="64"/>
        <v>#REF!</v>
      </c>
      <c r="BE56" s="259" t="e">
        <f t="shared" si="64"/>
        <v>#REF!</v>
      </c>
      <c r="BF56" s="259" t="e">
        <f t="shared" si="64"/>
        <v>#REF!</v>
      </c>
      <c r="BG56" s="259" t="e">
        <f t="shared" si="64"/>
        <v>#REF!</v>
      </c>
      <c r="BH56" s="259" t="e">
        <f t="shared" si="64"/>
        <v>#REF!</v>
      </c>
    </row>
    <row r="57" spans="1:60" ht="20.100000000000001" customHeight="1">
      <c r="B57" s="1395" t="s">
        <v>11</v>
      </c>
      <c r="C57" s="1396"/>
      <c r="D57" s="1396"/>
      <c r="E57" s="1396"/>
      <c r="F57" s="1396"/>
      <c r="G57" s="1396"/>
      <c r="H57" s="1396"/>
      <c r="I57" s="1397"/>
      <c r="J57" s="1547">
        <f>VLOOKUP(J56,[15]Calender!$A$262:$I$321,2,0)</f>
        <v>21</v>
      </c>
      <c r="K57" s="1547"/>
      <c r="L57" s="1547"/>
      <c r="M57" s="1547">
        <f>VLOOKUP(M56,[15]Calender!$A$262:$I$321,2,0)</f>
        <v>24</v>
      </c>
      <c r="N57" s="1547"/>
      <c r="O57" s="1547"/>
      <c r="P57" s="1547">
        <f>VLOOKUP(P56,[15]Calender!$A$262:$I$321,2,0)</f>
        <v>18</v>
      </c>
      <c r="Q57" s="1547"/>
      <c r="R57" s="1547"/>
      <c r="S57" s="1547">
        <f>VLOOKUP(S56,[15]Calender!$A$324:$I$383,2,0)</f>
        <v>17</v>
      </c>
      <c r="T57" s="1547"/>
      <c r="U57" s="1547"/>
      <c r="V57" s="1547" t="e">
        <f>VLOOKUP(V56,[9]Calender!$A$386:$I$400,2,0)</f>
        <v>#N/A</v>
      </c>
      <c r="W57" s="1547"/>
      <c r="X57" s="1547"/>
      <c r="Y57" s="1547" t="e">
        <f>VLOOKUP(Y56,[9]Calender!$A$386:$I$400,2,0)</f>
        <v>#N/A</v>
      </c>
      <c r="Z57" s="1547"/>
      <c r="AA57" s="1547"/>
      <c r="AB57" s="1547">
        <f>VLOOKUP(AB56,[16]Calender!$A$386:$I$410,2,0)</f>
        <v>19</v>
      </c>
      <c r="AC57" s="1547"/>
      <c r="AD57" s="1547"/>
      <c r="AE57" s="2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60" ht="20.100000000000001" customHeight="1" thickBot="1">
      <c r="B58" s="1425" t="s">
        <v>12</v>
      </c>
      <c r="C58" s="1426"/>
      <c r="D58" s="1426"/>
      <c r="E58" s="1426"/>
      <c r="F58" s="1426"/>
      <c r="G58" s="1426"/>
      <c r="H58" s="1426"/>
      <c r="I58" s="1427"/>
      <c r="J58" s="1544">
        <f>VLOOKUP(J56,[15]Calender!$A$262:$I$321,3,0)</f>
        <v>3</v>
      </c>
      <c r="K58" s="1545"/>
      <c r="L58" s="1546"/>
      <c r="M58" s="1544">
        <f>VLOOKUP(M56,[15]Calender!$A$262:$I$321,3,0)</f>
        <v>4</v>
      </c>
      <c r="N58" s="1545"/>
      <c r="O58" s="1546"/>
      <c r="P58" s="1544">
        <f>VLOOKUP(P56,[15]Calender!$A$262:$I$321,3,0)</f>
        <v>4</v>
      </c>
      <c r="Q58" s="1545"/>
      <c r="R58" s="1546"/>
      <c r="S58" s="1544">
        <f>VLOOKUP(S56,[15]Calender!$A$324:$I$383,3,0)</f>
        <v>4</v>
      </c>
      <c r="T58" s="1545"/>
      <c r="U58" s="1546"/>
      <c r="V58" s="1544" t="e">
        <f>VLOOKUP(V56,[9]Calender!$A$386:$I$400,3,0)</f>
        <v>#N/A</v>
      </c>
      <c r="W58" s="1545"/>
      <c r="X58" s="1546"/>
      <c r="Y58" s="1544" t="e">
        <f>VLOOKUP(Y56,[9]Calender!$A$386:$I$400,3,0)</f>
        <v>#N/A</v>
      </c>
      <c r="Z58" s="1545"/>
      <c r="AA58" s="1546"/>
      <c r="AB58" s="1544">
        <f>VLOOKUP(AB56,[16]Calender!$A$386:$I$410,3,0)</f>
        <v>4</v>
      </c>
      <c r="AC58" s="1545"/>
      <c r="AD58" s="1546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60" ht="20.100000000000001" customHeight="1">
      <c r="B59" s="2"/>
      <c r="C59" s="28"/>
      <c r="D59" s="28"/>
      <c r="E59" s="28"/>
      <c r="F59" s="28"/>
      <c r="G59" s="28"/>
      <c r="H59" s="28"/>
      <c r="I59" s="28"/>
      <c r="J59" s="29"/>
      <c r="K59" s="29"/>
      <c r="L59" s="29"/>
      <c r="M59" s="29"/>
      <c r="P59" s="29"/>
      <c r="Q59" s="29"/>
      <c r="R59" s="29"/>
      <c r="S59" s="29"/>
      <c r="V59" s="2"/>
      <c r="W59" s="2"/>
      <c r="X59" s="2"/>
      <c r="Y59" s="2"/>
      <c r="Z59" s="2"/>
      <c r="AA59" s="2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60" ht="20.100000000000001" customHeight="1">
      <c r="B60" s="30" t="s">
        <v>26</v>
      </c>
      <c r="C60" s="31"/>
      <c r="D60" s="31"/>
      <c r="E60" s="31"/>
      <c r="F60" s="31"/>
      <c r="G60" s="31"/>
      <c r="H60" s="31"/>
      <c r="I60" s="31"/>
      <c r="J60" s="32"/>
      <c r="K60" s="33"/>
      <c r="L60" s="34"/>
      <c r="M60" s="32"/>
      <c r="N60" s="317" t="e">
        <f>(N55-[17]GUM!$N$55)/N55</f>
        <v>#REF!</v>
      </c>
      <c r="P60" s="102"/>
      <c r="Q60" s="317" t="e">
        <f>(Q55-[17]GUM!$N$55)/Q55</f>
        <v>#REF!</v>
      </c>
      <c r="R60" s="317"/>
      <c r="S60" s="317"/>
      <c r="T60" s="317" t="e">
        <f>(T55-[17]GUM!$N$55)/T55</f>
        <v>#REF!</v>
      </c>
      <c r="U60" s="317"/>
      <c r="V60" s="317"/>
      <c r="W60" s="317" t="e">
        <f>(W55-[17]GUM!$N$55)/W55</f>
        <v>#REF!</v>
      </c>
      <c r="X60" s="317"/>
      <c r="Y60" s="317"/>
      <c r="Z60" s="317" t="e">
        <f>(Z55-[17]GUM!$N$55)/Z55</f>
        <v>#REF!</v>
      </c>
      <c r="AA60" s="317"/>
      <c r="AB60" s="318"/>
      <c r="AC60" s="318" t="e">
        <f>(AC55-[17]GUM!$N$55)/AC55</f>
        <v>#REF!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60" ht="20.100000000000001" customHeight="1">
      <c r="B61" s="30"/>
      <c r="C61" s="31"/>
      <c r="D61" s="31"/>
      <c r="E61" s="31"/>
      <c r="F61" s="31"/>
      <c r="G61" s="31"/>
      <c r="H61" s="31"/>
      <c r="I61" s="31"/>
      <c r="J61" s="32"/>
      <c r="K61" s="33"/>
      <c r="L61" s="34"/>
      <c r="M61" s="32"/>
      <c r="N61" s="35"/>
      <c r="P61" s="32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60" ht="20.100000000000001" customHeight="1">
      <c r="B62" s="30"/>
      <c r="C62" s="31"/>
      <c r="D62" s="31"/>
      <c r="E62" s="31"/>
      <c r="F62" s="31"/>
      <c r="G62" s="31"/>
      <c r="H62" s="31"/>
      <c r="I62" s="31"/>
      <c r="J62" s="32"/>
      <c r="K62" s="33"/>
      <c r="L62" s="34"/>
      <c r="M62" s="32"/>
      <c r="N62" s="35"/>
      <c r="P62" s="32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60" ht="20.100000000000001" customHeight="1">
      <c r="B63" s="30"/>
      <c r="C63" s="31"/>
      <c r="D63" s="31"/>
      <c r="E63" s="31"/>
      <c r="F63" s="31"/>
      <c r="G63" s="31"/>
      <c r="H63" s="31"/>
      <c r="I63" s="31"/>
      <c r="J63" s="32"/>
      <c r="K63" s="33"/>
      <c r="L63" s="34"/>
      <c r="M63" s="32"/>
      <c r="N63" s="35"/>
      <c r="P63" s="32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60" ht="17.25" customHeight="1">
      <c r="B64" s="1440" t="s">
        <v>24</v>
      </c>
      <c r="C64" s="1440"/>
      <c r="D64" s="1440"/>
      <c r="E64" s="1440"/>
      <c r="F64" s="1440"/>
      <c r="G64" s="1440"/>
      <c r="H64" s="1440"/>
      <c r="I64" s="1440"/>
      <c r="J64" s="1440"/>
      <c r="K64" s="1440"/>
      <c r="L64" s="1440"/>
      <c r="M64" s="1440"/>
      <c r="N64" s="1440"/>
      <c r="O64" s="1440"/>
      <c r="P64" s="1440"/>
      <c r="Q64" s="1440"/>
      <c r="R64" s="1440"/>
      <c r="S64" s="1440"/>
      <c r="T64" s="1440"/>
      <c r="U64" s="1440"/>
      <c r="V64" s="1440"/>
      <c r="W64" s="1440"/>
      <c r="X64" s="1440"/>
      <c r="Y64" s="1440"/>
      <c r="Z64" s="1440"/>
      <c r="AA64" s="1440"/>
      <c r="AB64" s="1440"/>
      <c r="AC64" s="1440"/>
      <c r="AD64" s="1440"/>
      <c r="AE64" s="1440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61" ht="18.75" customHeight="1">
      <c r="B65" s="2"/>
      <c r="C65" s="2"/>
      <c r="D65" s="2"/>
      <c r="E65" s="2"/>
      <c r="F65" s="74"/>
      <c r="G65" s="74"/>
      <c r="K65" s="75"/>
      <c r="L65" s="75"/>
      <c r="M65" s="1435" t="str">
        <f>L2</f>
        <v>TOYOTA PRIUS (433W )</v>
      </c>
      <c r="N65" s="1435"/>
      <c r="O65" s="1435"/>
      <c r="P65" s="1435"/>
      <c r="Q65" s="1435"/>
      <c r="R65" s="1435"/>
      <c r="S65" s="75"/>
      <c r="T65" s="75"/>
      <c r="U65" s="75"/>
      <c r="V65" s="75"/>
      <c r="W65" s="71"/>
      <c r="X65" s="70"/>
      <c r="Y65" s="70"/>
      <c r="Z65" s="70"/>
      <c r="AA65" s="70"/>
      <c r="AB65" s="1448"/>
      <c r="AC65" s="1448"/>
      <c r="AD65" s="1448"/>
      <c r="AE65" s="1448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61" ht="17.25" customHeight="1">
      <c r="B66" s="2" t="str">
        <f>B3</f>
        <v>S/R NO   : 14-DEC-'10(PRD_52023_32G7_201101_3)</v>
      </c>
      <c r="C66" s="74"/>
      <c r="D66" s="74"/>
      <c r="E66" s="74"/>
      <c r="F66" s="74"/>
      <c r="G66" s="74"/>
      <c r="H66" s="74"/>
      <c r="I66" s="74"/>
      <c r="K66" s="76"/>
      <c r="L66" s="76"/>
      <c r="M66" s="1434" t="str">
        <f>M3</f>
        <v>Periode : DEC PROD  2010 (ACTUAL)</v>
      </c>
      <c r="N66" s="1434"/>
      <c r="O66" s="1434"/>
      <c r="P66" s="1434"/>
      <c r="Q66" s="1434"/>
      <c r="R66" s="1434"/>
      <c r="S66" s="76"/>
      <c r="T66" s="76"/>
      <c r="U66" s="76"/>
      <c r="V66" s="76"/>
      <c r="W66" s="71"/>
      <c r="X66" s="70"/>
      <c r="Y66" s="70"/>
      <c r="Z66" s="70"/>
      <c r="AA66" s="70"/>
      <c r="AB66" s="71"/>
      <c r="AC66" s="71"/>
      <c r="AD66" s="72"/>
      <c r="AE66" s="69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61" ht="14.1" customHeight="1">
      <c r="B67" s="2" t="str">
        <f>B4</f>
        <v>FAX NO   : EMAIL</v>
      </c>
      <c r="C67" s="2"/>
      <c r="D67" s="2"/>
      <c r="E67" s="2"/>
      <c r="F67" s="2"/>
      <c r="G67" s="2"/>
      <c r="K67" s="8"/>
      <c r="P67" s="7"/>
      <c r="S67" s="7"/>
      <c r="V67" s="2"/>
      <c r="W67" s="2"/>
      <c r="AB67" s="4"/>
      <c r="AC67" s="4"/>
      <c r="AD67" s="7"/>
      <c r="AE67" s="2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61" ht="12.75" customHeight="1">
      <c r="B68" s="2" t="str">
        <f>B5</f>
        <v>DATE       :14-DEC-10</v>
      </c>
      <c r="C68" s="2"/>
      <c r="D68" s="2"/>
      <c r="E68" s="2"/>
      <c r="F68" s="2"/>
      <c r="G68" s="2"/>
      <c r="P68" s="7"/>
      <c r="S68" s="7"/>
      <c r="V68" s="2"/>
      <c r="W68" s="2"/>
      <c r="AC68" s="2"/>
      <c r="AD68" s="2"/>
      <c r="AE68" s="2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61" ht="12.95" customHeight="1">
      <c r="B69" s="73"/>
      <c r="C69" s="73"/>
      <c r="D69" s="73"/>
      <c r="E69" s="73"/>
      <c r="F69" s="2"/>
      <c r="G69" s="2"/>
      <c r="P69" s="7"/>
      <c r="S69" s="7"/>
      <c r="V69" s="2"/>
      <c r="W69" s="2"/>
      <c r="AC69" s="2"/>
      <c r="AD69" s="2"/>
      <c r="AE69" s="2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61" ht="3.75" hidden="1" customHeight="1">
      <c r="B70" s="2"/>
      <c r="C70" s="2"/>
      <c r="D70" s="2"/>
      <c r="E70" s="2"/>
      <c r="F70" s="2"/>
      <c r="G70" s="2"/>
      <c r="P70" s="7"/>
      <c r="S70" s="7"/>
      <c r="V70" s="1459"/>
      <c r="W70" s="1459"/>
      <c r="X70" s="5"/>
      <c r="Y70" s="6"/>
      <c r="Z70" s="1457" t="s">
        <v>1</v>
      </c>
      <c r="AA70" s="1415"/>
      <c r="AB70" s="10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61" ht="12" customHeight="1">
      <c r="B71" s="2"/>
      <c r="C71" s="2"/>
      <c r="D71" s="2"/>
      <c r="E71" s="2"/>
      <c r="F71" s="2"/>
      <c r="G71" s="2"/>
      <c r="P71" s="7"/>
      <c r="S71" s="7"/>
      <c r="V71" s="1459"/>
      <c r="W71" s="1459"/>
      <c r="X71" s="11"/>
      <c r="Y71" s="11"/>
      <c r="Z71" s="11"/>
      <c r="AA71" s="11"/>
      <c r="AB71" s="1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61" ht="15.75" customHeight="1">
      <c r="B72" s="2"/>
      <c r="C72" s="2"/>
      <c r="D72" s="2"/>
      <c r="E72" s="2"/>
      <c r="F72" s="2"/>
      <c r="G72" s="2"/>
      <c r="P72" s="7"/>
      <c r="S72" s="7"/>
      <c r="V72" s="9"/>
      <c r="W72" s="9"/>
      <c r="X72" s="10"/>
      <c r="Y72" s="9"/>
      <c r="Z72" s="9"/>
      <c r="AA72" s="10"/>
      <c r="AB72" s="1450"/>
      <c r="AC72" s="1450"/>
      <c r="AD72" s="1444"/>
      <c r="AE72" s="1444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61" ht="14.25" customHeight="1" thickBot="1">
      <c r="B73" s="12" t="s">
        <v>2</v>
      </c>
      <c r="C73" s="77">
        <f ca="1">NOW()</f>
        <v>46093.48149085648</v>
      </c>
      <c r="D73" s="13"/>
      <c r="E73" s="13"/>
      <c r="F73" s="14"/>
      <c r="G73" s="14"/>
      <c r="H73" s="15"/>
      <c r="I73" s="15"/>
      <c r="N73" s="16"/>
      <c r="O73" s="16"/>
      <c r="P73" s="16"/>
      <c r="Q73" s="17"/>
      <c r="T73" s="18"/>
      <c r="W73" s="18"/>
      <c r="Z73" s="18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61" ht="15.95" customHeight="1">
      <c r="A74" s="312"/>
      <c r="B74" s="1417" t="s">
        <v>3</v>
      </c>
      <c r="C74" s="1428" t="s">
        <v>4</v>
      </c>
      <c r="D74" s="1431" t="s">
        <v>5</v>
      </c>
      <c r="E74" s="1499" t="s">
        <v>6</v>
      </c>
      <c r="F74" s="1428" t="s">
        <v>7</v>
      </c>
      <c r="G74" s="1499" t="s">
        <v>30</v>
      </c>
      <c r="H74" s="1535" t="s">
        <v>75</v>
      </c>
      <c r="I74" s="1536"/>
      <c r="J74" s="1436" t="str">
        <f>J11</f>
        <v>FEB</v>
      </c>
      <c r="K74" s="1437"/>
      <c r="L74" s="1438"/>
      <c r="M74" s="1436" t="str">
        <f>M11</f>
        <v>MAR</v>
      </c>
      <c r="N74" s="1437"/>
      <c r="O74" s="1438"/>
      <c r="P74" s="1436" t="str">
        <f>P11</f>
        <v>APR</v>
      </c>
      <c r="Q74" s="1437"/>
      <c r="R74" s="1438"/>
      <c r="S74" s="1436" t="str">
        <f>S11</f>
        <v>MAY</v>
      </c>
      <c r="T74" s="1437"/>
      <c r="U74" s="1438"/>
      <c r="V74" s="1436" t="str">
        <f>V11</f>
        <v>JUN</v>
      </c>
      <c r="W74" s="1437"/>
      <c r="X74" s="1438"/>
      <c r="Y74" s="1436" t="str">
        <f>Y11</f>
        <v>JUL</v>
      </c>
      <c r="Z74" s="1437"/>
      <c r="AA74" s="1438"/>
      <c r="AB74" s="1436" t="str">
        <f>AB11</f>
        <v>FEB</v>
      </c>
      <c r="AC74" s="1437"/>
      <c r="AD74" s="1438"/>
      <c r="AE74" s="1428" t="s">
        <v>8</v>
      </c>
      <c r="AG74" s="1445" t="str">
        <f>J74</f>
        <v>FEB</v>
      </c>
      <c r="AH74" s="1446"/>
      <c r="AI74" s="1447"/>
      <c r="AJ74" s="1445" t="str">
        <f>M74</f>
        <v>MAR</v>
      </c>
      <c r="AK74" s="1446"/>
      <c r="AL74" s="1447"/>
      <c r="AM74" s="1445" t="str">
        <f>P74</f>
        <v>APR</v>
      </c>
      <c r="AN74" s="1446"/>
      <c r="AO74" s="1447"/>
      <c r="AP74" s="1445" t="str">
        <f>S74</f>
        <v>MAY</v>
      </c>
      <c r="AQ74" s="1446"/>
      <c r="AR74" s="1447"/>
      <c r="AS74" s="1445" t="str">
        <f>V74</f>
        <v>JUN</v>
      </c>
      <c r="AT74" s="1446"/>
      <c r="AU74" s="1447"/>
      <c r="AV74" s="1445" t="str">
        <f>Y74</f>
        <v>JUL</v>
      </c>
      <c r="AW74" s="1446"/>
      <c r="AX74" s="1447"/>
      <c r="AY74" s="1445" t="str">
        <f>AB74</f>
        <v>FEB</v>
      </c>
      <c r="AZ74" s="1446"/>
      <c r="BA74" s="1447"/>
    </row>
    <row r="75" spans="1:61" s="19" customFormat="1" ht="15.95" customHeight="1">
      <c r="A75" s="313"/>
      <c r="B75" s="1418"/>
      <c r="C75" s="1429"/>
      <c r="D75" s="1432"/>
      <c r="E75" s="1500"/>
      <c r="F75" s="1429"/>
      <c r="G75" s="1500"/>
      <c r="H75" s="97" t="s">
        <v>29</v>
      </c>
      <c r="I75" s="78" t="s">
        <v>28</v>
      </c>
      <c r="J75" s="1414" t="str">
        <f>J12</f>
        <v>02/FEB ~ 25/FEB</v>
      </c>
      <c r="K75" s="1415"/>
      <c r="L75" s="1416"/>
      <c r="M75" s="1414" t="str">
        <f>M12</f>
        <v>01/MAR ~ 4/APR</v>
      </c>
      <c r="N75" s="1415"/>
      <c r="O75" s="1416"/>
      <c r="P75" s="1414" t="str">
        <f>P12</f>
        <v>05/APR ~ 30/APR</v>
      </c>
      <c r="Q75" s="1415"/>
      <c r="R75" s="1416"/>
      <c r="S75" s="1414" t="str">
        <f>S12</f>
        <v>03/MAY ~ 27/MAY</v>
      </c>
      <c r="T75" s="1415"/>
      <c r="U75" s="1416"/>
      <c r="V75" s="1414" t="e">
        <f>V12</f>
        <v>#N/A</v>
      </c>
      <c r="W75" s="1415"/>
      <c r="X75" s="1416"/>
      <c r="Y75" s="1414" t="e">
        <f>Y12</f>
        <v>#N/A</v>
      </c>
      <c r="Z75" s="1415"/>
      <c r="AA75" s="1416"/>
      <c r="AB75" s="1414" t="str">
        <f>AB12</f>
        <v>01/FEB ~ 28/FEB</v>
      </c>
      <c r="AC75" s="1415"/>
      <c r="AD75" s="1416"/>
      <c r="AE75" s="1429"/>
      <c r="AF75" s="1"/>
      <c r="AG75" s="1449" t="str">
        <f>J75</f>
        <v>02/FEB ~ 25/FEB</v>
      </c>
      <c r="AH75" s="1442"/>
      <c r="AI75" s="1443"/>
      <c r="AJ75" s="1441" t="str">
        <f>M75</f>
        <v>01/MAR ~ 4/APR</v>
      </c>
      <c r="AK75" s="1442"/>
      <c r="AL75" s="1443"/>
      <c r="AM75" s="1441" t="str">
        <f>P75</f>
        <v>05/APR ~ 30/APR</v>
      </c>
      <c r="AN75" s="1442"/>
      <c r="AO75" s="1443"/>
      <c r="AP75" s="1441" t="str">
        <f>S75</f>
        <v>03/MAY ~ 27/MAY</v>
      </c>
      <c r="AQ75" s="1442"/>
      <c r="AR75" s="1443"/>
      <c r="AS75" s="1441" t="e">
        <f>V75</f>
        <v>#N/A</v>
      </c>
      <c r="AT75" s="1442"/>
      <c r="AU75" s="1443"/>
      <c r="AV75" s="1441" t="e">
        <f>Y75</f>
        <v>#N/A</v>
      </c>
      <c r="AW75" s="1442"/>
      <c r="AX75" s="1443"/>
      <c r="AY75" s="1441" t="str">
        <f>AB75</f>
        <v>01/FEB ~ 28/FEB</v>
      </c>
      <c r="AZ75" s="1442"/>
      <c r="BA75" s="1443"/>
      <c r="BC75" s="99" t="str">
        <f>M74</f>
        <v>MAR</v>
      </c>
      <c r="BD75" s="100" t="str">
        <f>P74</f>
        <v>APR</v>
      </c>
      <c r="BE75" s="100" t="str">
        <f>S74</f>
        <v>MAY</v>
      </c>
      <c r="BF75" s="100" t="str">
        <f>V74</f>
        <v>JUN</v>
      </c>
      <c r="BG75" s="100" t="str">
        <f>Y74</f>
        <v>JUL</v>
      </c>
      <c r="BH75" s="100" t="str">
        <f>AB74</f>
        <v>FEB</v>
      </c>
    </row>
    <row r="76" spans="1:61" ht="15.95" customHeight="1" thickBot="1">
      <c r="A76" s="314"/>
      <c r="B76" s="1419"/>
      <c r="C76" s="1430"/>
      <c r="D76" s="1433"/>
      <c r="E76" s="1501"/>
      <c r="F76" s="1430"/>
      <c r="G76" s="1501"/>
      <c r="H76" s="98">
        <v>2009</v>
      </c>
      <c r="I76" s="79">
        <v>2009</v>
      </c>
      <c r="J76" s="20" t="s">
        <v>8</v>
      </c>
      <c r="K76" s="21" t="s">
        <v>9</v>
      </c>
      <c r="L76" s="22" t="s">
        <v>10</v>
      </c>
      <c r="M76" s="20" t="s">
        <v>8</v>
      </c>
      <c r="N76" s="21" t="s">
        <v>9</v>
      </c>
      <c r="O76" s="22" t="s">
        <v>10</v>
      </c>
      <c r="P76" s="20" t="s">
        <v>8</v>
      </c>
      <c r="Q76" s="21" t="s">
        <v>9</v>
      </c>
      <c r="R76" s="22" t="s">
        <v>10</v>
      </c>
      <c r="S76" s="20" t="s">
        <v>8</v>
      </c>
      <c r="T76" s="21" t="s">
        <v>9</v>
      </c>
      <c r="U76" s="22" t="s">
        <v>10</v>
      </c>
      <c r="V76" s="20" t="s">
        <v>8</v>
      </c>
      <c r="W76" s="21" t="s">
        <v>9</v>
      </c>
      <c r="X76" s="22" t="s">
        <v>10</v>
      </c>
      <c r="Y76" s="20" t="s">
        <v>8</v>
      </c>
      <c r="Z76" s="21" t="s">
        <v>9</v>
      </c>
      <c r="AA76" s="22" t="s">
        <v>10</v>
      </c>
      <c r="AB76" s="20" t="s">
        <v>8</v>
      </c>
      <c r="AC76" s="21" t="s">
        <v>9</v>
      </c>
      <c r="AD76" s="22" t="s">
        <v>10</v>
      </c>
      <c r="AE76" s="1430"/>
      <c r="AG76" s="87" t="str">
        <f>J76</f>
        <v>BAL</v>
      </c>
      <c r="AH76" s="88" t="str">
        <f>K76</f>
        <v>DEL</v>
      </c>
      <c r="AI76" s="89" t="str">
        <f>L76</f>
        <v>PROD</v>
      </c>
      <c r="AJ76" s="90" t="str">
        <f>M76</f>
        <v>BAL</v>
      </c>
      <c r="AK76" s="88" t="str">
        <f>N76</f>
        <v>DEL</v>
      </c>
      <c r="AL76" s="91" t="str">
        <f>O76</f>
        <v>PROD</v>
      </c>
      <c r="AM76" s="87" t="str">
        <f>P76</f>
        <v>BAL</v>
      </c>
      <c r="AN76" s="88" t="str">
        <f>Q76</f>
        <v>DEL</v>
      </c>
      <c r="AO76" s="89" t="str">
        <f>R76</f>
        <v>PROD</v>
      </c>
      <c r="AP76" s="90" t="str">
        <f>S76</f>
        <v>BAL</v>
      </c>
      <c r="AQ76" s="88" t="str">
        <f>T76</f>
        <v>DEL</v>
      </c>
      <c r="AR76" s="91" t="str">
        <f>U76</f>
        <v>PROD</v>
      </c>
      <c r="AS76" s="87" t="str">
        <f>V76</f>
        <v>BAL</v>
      </c>
      <c r="AT76" s="88" t="str">
        <f>W76</f>
        <v>DEL</v>
      </c>
      <c r="AU76" s="89" t="str">
        <f>X76</f>
        <v>PROD</v>
      </c>
      <c r="AV76" s="90" t="str">
        <f>Y76</f>
        <v>BAL</v>
      </c>
      <c r="AW76" s="88" t="str">
        <f>Z76</f>
        <v>DEL</v>
      </c>
      <c r="AX76" s="91" t="str">
        <f>AA76</f>
        <v>PROD</v>
      </c>
      <c r="AY76" s="87" t="str">
        <f>AB76</f>
        <v>BAL</v>
      </c>
      <c r="AZ76" s="88" t="str">
        <f>AC76</f>
        <v>DEL</v>
      </c>
      <c r="BA76" s="89" t="str">
        <f>AD76</f>
        <v>PROD</v>
      </c>
      <c r="BB76" s="82"/>
      <c r="BC76" s="99" t="e">
        <f>#REF!</f>
        <v>#REF!</v>
      </c>
      <c r="BD76" s="99" t="e">
        <f>#REF!</f>
        <v>#REF!</v>
      </c>
      <c r="BE76" s="99" t="e">
        <f>#REF!</f>
        <v>#REF!</v>
      </c>
      <c r="BF76" s="99" t="e">
        <f>#REF!</f>
        <v>#REF!</v>
      </c>
      <c r="BG76" s="99">
        <v>4</v>
      </c>
      <c r="BH76" s="99" t="e">
        <f>#REF!</f>
        <v>#REF!</v>
      </c>
      <c r="BI76" s="96"/>
    </row>
    <row r="77" spans="1:61" s="113" customFormat="1" ht="20.100000000000001" customHeight="1" thickBot="1">
      <c r="A77" s="1532" t="s">
        <v>65</v>
      </c>
      <c r="B77" s="1528" t="s">
        <v>54</v>
      </c>
      <c r="C77" s="103" t="str">
        <f t="shared" ref="C77:D88" si="65">C14</f>
        <v xml:space="preserve">82111-47330 H </v>
      </c>
      <c r="D77" s="104" t="str">
        <f t="shared" si="65"/>
        <v>0902</v>
      </c>
      <c r="E77" s="104" t="str">
        <f t="shared" ref="E77:H88" si="66">+E14</f>
        <v>A424</v>
      </c>
      <c r="F77" s="105">
        <f t="shared" si="66"/>
        <v>304</v>
      </c>
      <c r="G77" s="105">
        <f t="shared" si="66"/>
        <v>6</v>
      </c>
      <c r="H77" s="106">
        <f t="shared" si="66"/>
        <v>4.148063333333333</v>
      </c>
      <c r="I77" s="147">
        <f t="shared" ref="I77:I88" si="67">I14</f>
        <v>4.1261000000000001</v>
      </c>
      <c r="J77" s="108" t="e">
        <f t="shared" ref="J77:L88" si="68">$H14*J14</f>
        <v>#REF!</v>
      </c>
      <c r="K77" s="109" t="e">
        <f t="shared" si="68"/>
        <v>#REF!</v>
      </c>
      <c r="L77" s="110" t="e">
        <f t="shared" si="68"/>
        <v>#REF!</v>
      </c>
      <c r="M77" s="108" t="e">
        <f t="shared" ref="M77:AD88" si="69">$I14*M14</f>
        <v>#REF!</v>
      </c>
      <c r="N77" s="109" t="e">
        <f t="shared" si="69"/>
        <v>#REF!</v>
      </c>
      <c r="O77" s="110" t="e">
        <f t="shared" si="69"/>
        <v>#REF!</v>
      </c>
      <c r="P77" s="108" t="e">
        <f t="shared" si="69"/>
        <v>#REF!</v>
      </c>
      <c r="Q77" s="109" t="e">
        <f t="shared" si="69"/>
        <v>#REF!</v>
      </c>
      <c r="R77" s="110" t="e">
        <f t="shared" si="69"/>
        <v>#REF!</v>
      </c>
      <c r="S77" s="108" t="e">
        <f t="shared" si="69"/>
        <v>#REF!</v>
      </c>
      <c r="T77" s="109" t="e">
        <f t="shared" si="69"/>
        <v>#REF!</v>
      </c>
      <c r="U77" s="110" t="e">
        <f t="shared" si="69"/>
        <v>#REF!</v>
      </c>
      <c r="V77" s="108" t="e">
        <f t="shared" si="69"/>
        <v>#REF!</v>
      </c>
      <c r="W77" s="109" t="e">
        <f t="shared" si="69"/>
        <v>#REF!</v>
      </c>
      <c r="X77" s="110" t="e">
        <f t="shared" si="69"/>
        <v>#REF!</v>
      </c>
      <c r="Y77" s="108" t="e">
        <f t="shared" si="69"/>
        <v>#REF!</v>
      </c>
      <c r="Z77" s="109" t="e">
        <f t="shared" si="69"/>
        <v>#REF!</v>
      </c>
      <c r="AA77" s="110" t="e">
        <f t="shared" si="69"/>
        <v>#REF!</v>
      </c>
      <c r="AB77" s="108" t="e">
        <f t="shared" si="69"/>
        <v>#REF!</v>
      </c>
      <c r="AC77" s="111" t="e">
        <f t="shared" si="69"/>
        <v>#REF!</v>
      </c>
      <c r="AD77" s="110" t="e">
        <f t="shared" si="69"/>
        <v>#REF!</v>
      </c>
      <c r="AE77" s="112" t="e">
        <f t="shared" ref="AE77:AE88" si="70">$H14*AE14</f>
        <v>#REF!</v>
      </c>
      <c r="AG77" s="114" t="e">
        <f t="shared" ref="AG77:AJ97" si="71">J77*$F77</f>
        <v>#REF!</v>
      </c>
      <c r="AH77" s="115" t="e">
        <f t="shared" si="71"/>
        <v>#REF!</v>
      </c>
      <c r="AI77" s="116" t="e">
        <f t="shared" si="71"/>
        <v>#REF!</v>
      </c>
      <c r="AJ77" s="117" t="e">
        <f t="shared" si="71"/>
        <v>#REF!</v>
      </c>
      <c r="AK77" s="115" t="e">
        <f t="shared" ref="AK77:AK97" si="72">K77*$F77</f>
        <v>#REF!</v>
      </c>
      <c r="AL77" s="116" t="e">
        <f t="shared" ref="AL77:AM97" si="73">O77*$F77</f>
        <v>#REF!</v>
      </c>
      <c r="AM77" s="117" t="e">
        <f t="shared" si="73"/>
        <v>#REF!</v>
      </c>
      <c r="AN77" s="115" t="e">
        <f t="shared" ref="AN77:AN97" si="74">N77*$F77</f>
        <v>#REF!</v>
      </c>
      <c r="AO77" s="116" t="e">
        <f t="shared" ref="AO77:AP97" si="75">R77*$F77</f>
        <v>#REF!</v>
      </c>
      <c r="AP77" s="117" t="e">
        <f t="shared" si="75"/>
        <v>#REF!</v>
      </c>
      <c r="AQ77" s="115" t="e">
        <f t="shared" ref="AQ77:AQ97" si="76">Q77*$F77</f>
        <v>#REF!</v>
      </c>
      <c r="AR77" s="116" t="e">
        <f t="shared" ref="AR77:AS97" si="77">U77*$F77</f>
        <v>#REF!</v>
      </c>
      <c r="AS77" s="117" t="e">
        <f t="shared" si="77"/>
        <v>#REF!</v>
      </c>
      <c r="AT77" s="115" t="e">
        <f t="shared" ref="AT77:AT97" si="78">T77*$F77</f>
        <v>#REF!</v>
      </c>
      <c r="AU77" s="116" t="e">
        <f t="shared" ref="AU77:AV97" si="79">X77*$F77</f>
        <v>#REF!</v>
      </c>
      <c r="AV77" s="117" t="e">
        <f t="shared" si="79"/>
        <v>#REF!</v>
      </c>
      <c r="AW77" s="115" t="e">
        <f t="shared" ref="AW77:AW97" si="80">W77*$F77</f>
        <v>#REF!</v>
      </c>
      <c r="AX77" s="116" t="e">
        <f t="shared" ref="AX77:AY97" si="81">AA77*$F77</f>
        <v>#REF!</v>
      </c>
      <c r="AY77" s="117" t="e">
        <f t="shared" si="81"/>
        <v>#REF!</v>
      </c>
      <c r="AZ77" s="118" t="e">
        <f t="shared" ref="AZ77:AZ97" si="82">Z77*$F77</f>
        <v>#REF!</v>
      </c>
      <c r="BA77" s="119" t="e">
        <f t="shared" ref="BA77:BA97" si="83">AD77*$F77</f>
        <v>#REF!</v>
      </c>
      <c r="BB77" s="120"/>
      <c r="BC77" s="121" t="e">
        <f t="shared" ref="BC77:BC97" si="84">ROUNDUP(O77/$BC$13,0)</f>
        <v>#REF!</v>
      </c>
      <c r="BD77" s="121" t="e">
        <f t="shared" ref="BD77:BD97" si="85">ROUNDUP(R77/$BD$13,0)</f>
        <v>#REF!</v>
      </c>
      <c r="BE77" s="121" t="e">
        <f t="shared" ref="BE77:BE97" si="86">ROUNDUP(U77/$BE$13,0)</f>
        <v>#REF!</v>
      </c>
      <c r="BF77" s="121" t="e">
        <f t="shared" ref="BF77:BF97" si="87">ROUNDUP(X77/$BF$13,0)</f>
        <v>#REF!</v>
      </c>
      <c r="BG77" s="121" t="e">
        <f t="shared" ref="BG77:BG97" si="88">ROUNDUP(AA77/$BG$13,0)</f>
        <v>#REF!</v>
      </c>
      <c r="BH77" s="121" t="e">
        <f t="shared" ref="BH77:BH97" si="89">ROUNDUP(AD77/$BH$13,0)</f>
        <v>#REF!</v>
      </c>
    </row>
    <row r="78" spans="1:61" s="113" customFormat="1" ht="20.100000000000001" customHeight="1" thickBot="1">
      <c r="A78" s="1533"/>
      <c r="B78" s="1526"/>
      <c r="C78" s="122" t="str">
        <f t="shared" si="65"/>
        <v xml:space="preserve">82111-47340 H </v>
      </c>
      <c r="D78" s="123" t="str">
        <f t="shared" si="65"/>
        <v>0902</v>
      </c>
      <c r="E78" s="123">
        <f t="shared" si="66"/>
        <v>9911</v>
      </c>
      <c r="F78" s="124">
        <f t="shared" si="66"/>
        <v>323</v>
      </c>
      <c r="G78" s="124">
        <f t="shared" si="66"/>
        <v>6</v>
      </c>
      <c r="H78" s="125">
        <f t="shared" si="66"/>
        <v>4.2796599999999989</v>
      </c>
      <c r="I78" s="278">
        <f t="shared" si="67"/>
        <v>4.2541000000000002</v>
      </c>
      <c r="J78" s="126" t="e">
        <f t="shared" si="68"/>
        <v>#REF!</v>
      </c>
      <c r="K78" s="127" t="e">
        <f t="shared" si="68"/>
        <v>#REF!</v>
      </c>
      <c r="L78" s="128" t="e">
        <f t="shared" si="68"/>
        <v>#REF!</v>
      </c>
      <c r="M78" s="126" t="e">
        <f t="shared" si="69"/>
        <v>#REF!</v>
      </c>
      <c r="N78" s="127" t="e">
        <f t="shared" si="69"/>
        <v>#REF!</v>
      </c>
      <c r="O78" s="128" t="e">
        <f t="shared" si="69"/>
        <v>#REF!</v>
      </c>
      <c r="P78" s="126" t="e">
        <f t="shared" si="69"/>
        <v>#REF!</v>
      </c>
      <c r="Q78" s="127" t="e">
        <f t="shared" si="69"/>
        <v>#REF!</v>
      </c>
      <c r="R78" s="128" t="e">
        <f t="shared" si="69"/>
        <v>#REF!</v>
      </c>
      <c r="S78" s="126" t="e">
        <f t="shared" si="69"/>
        <v>#REF!</v>
      </c>
      <c r="T78" s="127" t="e">
        <f t="shared" si="69"/>
        <v>#REF!</v>
      </c>
      <c r="U78" s="128" t="e">
        <f t="shared" si="69"/>
        <v>#REF!</v>
      </c>
      <c r="V78" s="126" t="e">
        <f t="shared" si="69"/>
        <v>#REF!</v>
      </c>
      <c r="W78" s="127" t="e">
        <f t="shared" si="69"/>
        <v>#REF!</v>
      </c>
      <c r="X78" s="128" t="e">
        <f t="shared" si="69"/>
        <v>#REF!</v>
      </c>
      <c r="Y78" s="126" t="e">
        <f t="shared" si="69"/>
        <v>#REF!</v>
      </c>
      <c r="Z78" s="127" t="e">
        <f t="shared" si="69"/>
        <v>#REF!</v>
      </c>
      <c r="AA78" s="128" t="e">
        <f t="shared" si="69"/>
        <v>#REF!</v>
      </c>
      <c r="AB78" s="126" t="e">
        <f t="shared" si="69"/>
        <v>#REF!</v>
      </c>
      <c r="AC78" s="129" t="e">
        <f t="shared" si="69"/>
        <v>#REF!</v>
      </c>
      <c r="AD78" s="128" t="e">
        <f t="shared" si="69"/>
        <v>#REF!</v>
      </c>
      <c r="AE78" s="130" t="e">
        <f t="shared" si="70"/>
        <v>#REF!</v>
      </c>
      <c r="AG78" s="114" t="e">
        <f t="shared" si="71"/>
        <v>#REF!</v>
      </c>
      <c r="AH78" s="115" t="e">
        <f t="shared" si="71"/>
        <v>#REF!</v>
      </c>
      <c r="AI78" s="116" t="e">
        <f t="shared" si="71"/>
        <v>#REF!</v>
      </c>
      <c r="AJ78" s="117" t="e">
        <f t="shared" si="71"/>
        <v>#REF!</v>
      </c>
      <c r="AK78" s="115" t="e">
        <f t="shared" si="72"/>
        <v>#REF!</v>
      </c>
      <c r="AL78" s="116" t="e">
        <f t="shared" si="73"/>
        <v>#REF!</v>
      </c>
      <c r="AM78" s="117" t="e">
        <f t="shared" si="73"/>
        <v>#REF!</v>
      </c>
      <c r="AN78" s="115" t="e">
        <f t="shared" si="74"/>
        <v>#REF!</v>
      </c>
      <c r="AO78" s="116" t="e">
        <f t="shared" si="75"/>
        <v>#REF!</v>
      </c>
      <c r="AP78" s="117" t="e">
        <f t="shared" si="75"/>
        <v>#REF!</v>
      </c>
      <c r="AQ78" s="115" t="e">
        <f t="shared" si="76"/>
        <v>#REF!</v>
      </c>
      <c r="AR78" s="116" t="e">
        <f t="shared" si="77"/>
        <v>#REF!</v>
      </c>
      <c r="AS78" s="117" t="e">
        <f t="shared" si="77"/>
        <v>#REF!</v>
      </c>
      <c r="AT78" s="115" t="e">
        <f t="shared" si="78"/>
        <v>#REF!</v>
      </c>
      <c r="AU78" s="116" t="e">
        <f t="shared" si="79"/>
        <v>#REF!</v>
      </c>
      <c r="AV78" s="117" t="e">
        <f t="shared" si="79"/>
        <v>#REF!</v>
      </c>
      <c r="AW78" s="115" t="e">
        <f t="shared" si="80"/>
        <v>#REF!</v>
      </c>
      <c r="AX78" s="116" t="e">
        <f t="shared" si="81"/>
        <v>#REF!</v>
      </c>
      <c r="AY78" s="117" t="e">
        <f t="shared" si="81"/>
        <v>#REF!</v>
      </c>
      <c r="AZ78" s="118" t="e">
        <f t="shared" si="82"/>
        <v>#REF!</v>
      </c>
      <c r="BA78" s="119" t="e">
        <f t="shared" si="83"/>
        <v>#REF!</v>
      </c>
      <c r="BB78" s="120"/>
      <c r="BC78" s="121" t="e">
        <f t="shared" si="84"/>
        <v>#REF!</v>
      </c>
      <c r="BD78" s="121" t="e">
        <f t="shared" si="85"/>
        <v>#REF!</v>
      </c>
      <c r="BE78" s="121" t="e">
        <f t="shared" si="86"/>
        <v>#REF!</v>
      </c>
      <c r="BF78" s="121" t="e">
        <f t="shared" si="87"/>
        <v>#REF!</v>
      </c>
      <c r="BG78" s="121" t="e">
        <f t="shared" si="88"/>
        <v>#REF!</v>
      </c>
      <c r="BH78" s="121" t="e">
        <f t="shared" si="89"/>
        <v>#REF!</v>
      </c>
    </row>
    <row r="79" spans="1:61" s="188" customFormat="1" ht="20.100000000000001" customHeight="1" thickBot="1">
      <c r="A79" s="1533"/>
      <c r="B79" s="1527"/>
      <c r="C79" s="179" t="str">
        <f t="shared" si="65"/>
        <v xml:space="preserve">82111-47350 A </v>
      </c>
      <c r="D79" s="180" t="str">
        <f t="shared" si="65"/>
        <v>0301</v>
      </c>
      <c r="E79" s="180">
        <f t="shared" si="66"/>
        <v>7887</v>
      </c>
      <c r="F79" s="181">
        <f t="shared" si="66"/>
        <v>0</v>
      </c>
      <c r="G79" s="181">
        <f t="shared" si="66"/>
        <v>6</v>
      </c>
      <c r="H79" s="182">
        <f t="shared" si="66"/>
        <v>4.2561799999999996</v>
      </c>
      <c r="I79" s="147">
        <f t="shared" si="67"/>
        <v>4.2483000000000004</v>
      </c>
      <c r="J79" s="183" t="e">
        <f t="shared" si="68"/>
        <v>#REF!</v>
      </c>
      <c r="K79" s="184" t="e">
        <f t="shared" si="68"/>
        <v>#REF!</v>
      </c>
      <c r="L79" s="185" t="e">
        <f t="shared" si="68"/>
        <v>#REF!</v>
      </c>
      <c r="M79" s="183" t="e">
        <f t="shared" si="69"/>
        <v>#REF!</v>
      </c>
      <c r="N79" s="184" t="e">
        <f t="shared" si="69"/>
        <v>#REF!</v>
      </c>
      <c r="O79" s="185" t="e">
        <f t="shared" si="69"/>
        <v>#REF!</v>
      </c>
      <c r="P79" s="183" t="e">
        <f t="shared" si="69"/>
        <v>#REF!</v>
      </c>
      <c r="Q79" s="184" t="e">
        <f t="shared" si="69"/>
        <v>#REF!</v>
      </c>
      <c r="R79" s="185" t="e">
        <f t="shared" si="69"/>
        <v>#REF!</v>
      </c>
      <c r="S79" s="183" t="e">
        <f t="shared" si="69"/>
        <v>#REF!</v>
      </c>
      <c r="T79" s="184" t="e">
        <f t="shared" si="69"/>
        <v>#REF!</v>
      </c>
      <c r="U79" s="185" t="e">
        <f t="shared" si="69"/>
        <v>#REF!</v>
      </c>
      <c r="V79" s="183" t="e">
        <f t="shared" si="69"/>
        <v>#REF!</v>
      </c>
      <c r="W79" s="184" t="e">
        <f t="shared" si="69"/>
        <v>#REF!</v>
      </c>
      <c r="X79" s="185" t="e">
        <f t="shared" si="69"/>
        <v>#REF!</v>
      </c>
      <c r="Y79" s="183" t="e">
        <f t="shared" si="69"/>
        <v>#REF!</v>
      </c>
      <c r="Z79" s="184" t="e">
        <f t="shared" si="69"/>
        <v>#REF!</v>
      </c>
      <c r="AA79" s="185" t="e">
        <f t="shared" si="69"/>
        <v>#REF!</v>
      </c>
      <c r="AB79" s="183" t="e">
        <f t="shared" si="69"/>
        <v>#REF!</v>
      </c>
      <c r="AC79" s="186" t="e">
        <f t="shared" si="69"/>
        <v>#REF!</v>
      </c>
      <c r="AD79" s="185" t="e">
        <f t="shared" si="69"/>
        <v>#REF!</v>
      </c>
      <c r="AE79" s="187" t="e">
        <f t="shared" si="70"/>
        <v>#REF!</v>
      </c>
      <c r="AG79" s="189" t="e">
        <f t="shared" si="71"/>
        <v>#REF!</v>
      </c>
      <c r="AH79" s="190" t="e">
        <f t="shared" si="71"/>
        <v>#REF!</v>
      </c>
      <c r="AI79" s="191" t="e">
        <f t="shared" si="71"/>
        <v>#REF!</v>
      </c>
      <c r="AJ79" s="192" t="e">
        <f t="shared" si="71"/>
        <v>#REF!</v>
      </c>
      <c r="AK79" s="190" t="e">
        <f t="shared" si="72"/>
        <v>#REF!</v>
      </c>
      <c r="AL79" s="191" t="e">
        <f t="shared" si="73"/>
        <v>#REF!</v>
      </c>
      <c r="AM79" s="192" t="e">
        <f t="shared" si="73"/>
        <v>#REF!</v>
      </c>
      <c r="AN79" s="190" t="e">
        <f t="shared" si="74"/>
        <v>#REF!</v>
      </c>
      <c r="AO79" s="191" t="e">
        <f t="shared" si="75"/>
        <v>#REF!</v>
      </c>
      <c r="AP79" s="192" t="e">
        <f t="shared" si="75"/>
        <v>#REF!</v>
      </c>
      <c r="AQ79" s="190" t="e">
        <f t="shared" si="76"/>
        <v>#REF!</v>
      </c>
      <c r="AR79" s="191" t="e">
        <f t="shared" si="77"/>
        <v>#REF!</v>
      </c>
      <c r="AS79" s="192" t="e">
        <f t="shared" si="77"/>
        <v>#REF!</v>
      </c>
      <c r="AT79" s="190" t="e">
        <f t="shared" si="78"/>
        <v>#REF!</v>
      </c>
      <c r="AU79" s="191" t="e">
        <f t="shared" si="79"/>
        <v>#REF!</v>
      </c>
      <c r="AV79" s="192" t="e">
        <f t="shared" si="79"/>
        <v>#REF!</v>
      </c>
      <c r="AW79" s="190" t="e">
        <f t="shared" si="80"/>
        <v>#REF!</v>
      </c>
      <c r="AX79" s="191" t="e">
        <f t="shared" si="81"/>
        <v>#REF!</v>
      </c>
      <c r="AY79" s="192" t="e">
        <f t="shared" si="81"/>
        <v>#REF!</v>
      </c>
      <c r="AZ79" s="193" t="e">
        <f t="shared" si="82"/>
        <v>#REF!</v>
      </c>
      <c r="BA79" s="194" t="e">
        <f t="shared" si="83"/>
        <v>#REF!</v>
      </c>
      <c r="BB79" s="195"/>
      <c r="BC79" s="121" t="e">
        <f t="shared" si="84"/>
        <v>#REF!</v>
      </c>
      <c r="BD79" s="121" t="e">
        <f t="shared" si="85"/>
        <v>#REF!</v>
      </c>
      <c r="BE79" s="121" t="e">
        <f t="shared" si="86"/>
        <v>#REF!</v>
      </c>
      <c r="BF79" s="121" t="e">
        <f t="shared" si="87"/>
        <v>#REF!</v>
      </c>
      <c r="BG79" s="121" t="e">
        <f t="shared" si="88"/>
        <v>#REF!</v>
      </c>
      <c r="BH79" s="121" t="e">
        <f t="shared" si="89"/>
        <v>#REF!</v>
      </c>
    </row>
    <row r="80" spans="1:61" s="113" customFormat="1" ht="20.100000000000001" customHeight="1" thickBot="1">
      <c r="A80" s="1533"/>
      <c r="B80" s="1528" t="s">
        <v>68</v>
      </c>
      <c r="C80" s="103" t="str">
        <f t="shared" si="65"/>
        <v xml:space="preserve">82111-47450 H </v>
      </c>
      <c r="D80" s="104" t="str">
        <f t="shared" si="65"/>
        <v>0902</v>
      </c>
      <c r="E80" s="104" t="str">
        <f t="shared" si="66"/>
        <v>A426</v>
      </c>
      <c r="F80" s="105">
        <f t="shared" si="66"/>
        <v>332</v>
      </c>
      <c r="G80" s="105">
        <f t="shared" si="66"/>
        <v>6</v>
      </c>
      <c r="H80" s="106">
        <f t="shared" si="66"/>
        <v>4.3249983333333324</v>
      </c>
      <c r="I80" s="147">
        <f t="shared" si="67"/>
        <v>4.2968000000000002</v>
      </c>
      <c r="J80" s="108" t="e">
        <f t="shared" si="68"/>
        <v>#REF!</v>
      </c>
      <c r="K80" s="109" t="e">
        <f t="shared" si="68"/>
        <v>#REF!</v>
      </c>
      <c r="L80" s="110" t="e">
        <f t="shared" si="68"/>
        <v>#REF!</v>
      </c>
      <c r="M80" s="108" t="e">
        <f t="shared" si="69"/>
        <v>#REF!</v>
      </c>
      <c r="N80" s="109" t="e">
        <f t="shared" si="69"/>
        <v>#REF!</v>
      </c>
      <c r="O80" s="110" t="e">
        <f t="shared" si="69"/>
        <v>#REF!</v>
      </c>
      <c r="P80" s="108" t="e">
        <f t="shared" si="69"/>
        <v>#REF!</v>
      </c>
      <c r="Q80" s="109" t="e">
        <f t="shared" si="69"/>
        <v>#REF!</v>
      </c>
      <c r="R80" s="110" t="e">
        <f t="shared" si="69"/>
        <v>#REF!</v>
      </c>
      <c r="S80" s="108" t="e">
        <f t="shared" si="69"/>
        <v>#REF!</v>
      </c>
      <c r="T80" s="109" t="e">
        <f t="shared" si="69"/>
        <v>#REF!</v>
      </c>
      <c r="U80" s="110" t="e">
        <f t="shared" si="69"/>
        <v>#REF!</v>
      </c>
      <c r="V80" s="108" t="e">
        <f t="shared" si="69"/>
        <v>#REF!</v>
      </c>
      <c r="W80" s="109" t="e">
        <f t="shared" si="69"/>
        <v>#REF!</v>
      </c>
      <c r="X80" s="110" t="e">
        <f t="shared" si="69"/>
        <v>#REF!</v>
      </c>
      <c r="Y80" s="108" t="e">
        <f t="shared" si="69"/>
        <v>#REF!</v>
      </c>
      <c r="Z80" s="109" t="e">
        <f t="shared" si="69"/>
        <v>#REF!</v>
      </c>
      <c r="AA80" s="110" t="e">
        <f t="shared" si="69"/>
        <v>#REF!</v>
      </c>
      <c r="AB80" s="108" t="e">
        <f t="shared" si="69"/>
        <v>#REF!</v>
      </c>
      <c r="AC80" s="111" t="e">
        <f t="shared" si="69"/>
        <v>#REF!</v>
      </c>
      <c r="AD80" s="110" t="e">
        <f t="shared" si="69"/>
        <v>#REF!</v>
      </c>
      <c r="AE80" s="112" t="e">
        <f t="shared" si="70"/>
        <v>#REF!</v>
      </c>
      <c r="AG80" s="114" t="e">
        <f t="shared" si="71"/>
        <v>#REF!</v>
      </c>
      <c r="AH80" s="115" t="e">
        <f t="shared" si="71"/>
        <v>#REF!</v>
      </c>
      <c r="AI80" s="116" t="e">
        <f t="shared" si="71"/>
        <v>#REF!</v>
      </c>
      <c r="AJ80" s="117" t="e">
        <f t="shared" si="71"/>
        <v>#REF!</v>
      </c>
      <c r="AK80" s="115" t="e">
        <f t="shared" si="72"/>
        <v>#REF!</v>
      </c>
      <c r="AL80" s="116" t="e">
        <f t="shared" si="73"/>
        <v>#REF!</v>
      </c>
      <c r="AM80" s="117" t="e">
        <f t="shared" si="73"/>
        <v>#REF!</v>
      </c>
      <c r="AN80" s="115" t="e">
        <f t="shared" si="74"/>
        <v>#REF!</v>
      </c>
      <c r="AO80" s="116" t="e">
        <f t="shared" si="75"/>
        <v>#REF!</v>
      </c>
      <c r="AP80" s="117" t="e">
        <f t="shared" si="75"/>
        <v>#REF!</v>
      </c>
      <c r="AQ80" s="115" t="e">
        <f t="shared" si="76"/>
        <v>#REF!</v>
      </c>
      <c r="AR80" s="116" t="e">
        <f t="shared" si="77"/>
        <v>#REF!</v>
      </c>
      <c r="AS80" s="117" t="e">
        <f t="shared" si="77"/>
        <v>#REF!</v>
      </c>
      <c r="AT80" s="115" t="e">
        <f t="shared" si="78"/>
        <v>#REF!</v>
      </c>
      <c r="AU80" s="116" t="e">
        <f t="shared" si="79"/>
        <v>#REF!</v>
      </c>
      <c r="AV80" s="117" t="e">
        <f t="shared" si="79"/>
        <v>#REF!</v>
      </c>
      <c r="AW80" s="115" t="e">
        <f t="shared" si="80"/>
        <v>#REF!</v>
      </c>
      <c r="AX80" s="116" t="e">
        <f t="shared" si="81"/>
        <v>#REF!</v>
      </c>
      <c r="AY80" s="117" t="e">
        <f t="shared" si="81"/>
        <v>#REF!</v>
      </c>
      <c r="AZ80" s="118" t="e">
        <f t="shared" si="82"/>
        <v>#REF!</v>
      </c>
      <c r="BA80" s="119" t="e">
        <f t="shared" si="83"/>
        <v>#REF!</v>
      </c>
      <c r="BB80" s="120"/>
      <c r="BC80" s="121" t="e">
        <f t="shared" si="84"/>
        <v>#REF!</v>
      </c>
      <c r="BD80" s="121" t="e">
        <f t="shared" si="85"/>
        <v>#REF!</v>
      </c>
      <c r="BE80" s="121" t="e">
        <f t="shared" si="86"/>
        <v>#REF!</v>
      </c>
      <c r="BF80" s="121" t="e">
        <f t="shared" si="87"/>
        <v>#REF!</v>
      </c>
      <c r="BG80" s="121" t="e">
        <f t="shared" si="88"/>
        <v>#REF!</v>
      </c>
      <c r="BH80" s="121" t="e">
        <f t="shared" si="89"/>
        <v>#REF!</v>
      </c>
    </row>
    <row r="81" spans="1:60" s="113" customFormat="1" ht="20.100000000000001" customHeight="1" thickBot="1">
      <c r="A81" s="1533"/>
      <c r="B81" s="1526"/>
      <c r="C81" s="122" t="str">
        <f t="shared" si="65"/>
        <v xml:space="preserve">82111-47460 H </v>
      </c>
      <c r="D81" s="123" t="str">
        <f t="shared" si="65"/>
        <v>0802</v>
      </c>
      <c r="E81" s="123" t="str">
        <f t="shared" si="66"/>
        <v>A427</v>
      </c>
      <c r="F81" s="124">
        <f t="shared" si="66"/>
        <v>351</v>
      </c>
      <c r="G81" s="124">
        <f t="shared" si="66"/>
        <v>6</v>
      </c>
      <c r="H81" s="125">
        <f t="shared" si="66"/>
        <v>4.4175000000000004</v>
      </c>
      <c r="I81" s="278">
        <f t="shared" si="67"/>
        <v>4.3861999999999997</v>
      </c>
      <c r="J81" s="126" t="e">
        <f t="shared" si="68"/>
        <v>#REF!</v>
      </c>
      <c r="K81" s="127" t="e">
        <f t="shared" si="68"/>
        <v>#REF!</v>
      </c>
      <c r="L81" s="128" t="e">
        <f t="shared" si="68"/>
        <v>#REF!</v>
      </c>
      <c r="M81" s="126" t="e">
        <f t="shared" si="69"/>
        <v>#REF!</v>
      </c>
      <c r="N81" s="127" t="e">
        <f t="shared" si="69"/>
        <v>#REF!</v>
      </c>
      <c r="O81" s="128" t="e">
        <f t="shared" si="69"/>
        <v>#REF!</v>
      </c>
      <c r="P81" s="126" t="e">
        <f t="shared" si="69"/>
        <v>#REF!</v>
      </c>
      <c r="Q81" s="127" t="e">
        <f t="shared" si="69"/>
        <v>#REF!</v>
      </c>
      <c r="R81" s="128" t="e">
        <f t="shared" si="69"/>
        <v>#REF!</v>
      </c>
      <c r="S81" s="126" t="e">
        <f t="shared" si="69"/>
        <v>#REF!</v>
      </c>
      <c r="T81" s="127" t="e">
        <f t="shared" si="69"/>
        <v>#REF!</v>
      </c>
      <c r="U81" s="128" t="e">
        <f t="shared" si="69"/>
        <v>#REF!</v>
      </c>
      <c r="V81" s="126" t="e">
        <f t="shared" si="69"/>
        <v>#REF!</v>
      </c>
      <c r="W81" s="127" t="e">
        <f t="shared" si="69"/>
        <v>#REF!</v>
      </c>
      <c r="X81" s="128" t="e">
        <f t="shared" si="69"/>
        <v>#REF!</v>
      </c>
      <c r="Y81" s="126" t="e">
        <f t="shared" si="69"/>
        <v>#REF!</v>
      </c>
      <c r="Z81" s="127" t="e">
        <f t="shared" si="69"/>
        <v>#REF!</v>
      </c>
      <c r="AA81" s="128" t="e">
        <f t="shared" si="69"/>
        <v>#REF!</v>
      </c>
      <c r="AB81" s="126" t="e">
        <f t="shared" si="69"/>
        <v>#REF!</v>
      </c>
      <c r="AC81" s="129" t="e">
        <f t="shared" si="69"/>
        <v>#REF!</v>
      </c>
      <c r="AD81" s="128" t="e">
        <f t="shared" si="69"/>
        <v>#REF!</v>
      </c>
      <c r="AE81" s="130" t="e">
        <f t="shared" si="70"/>
        <v>#REF!</v>
      </c>
      <c r="AG81" s="114" t="e">
        <f t="shared" si="71"/>
        <v>#REF!</v>
      </c>
      <c r="AH81" s="115" t="e">
        <f t="shared" si="71"/>
        <v>#REF!</v>
      </c>
      <c r="AI81" s="116" t="e">
        <f t="shared" si="71"/>
        <v>#REF!</v>
      </c>
      <c r="AJ81" s="117" t="e">
        <f t="shared" si="71"/>
        <v>#REF!</v>
      </c>
      <c r="AK81" s="115" t="e">
        <f t="shared" si="72"/>
        <v>#REF!</v>
      </c>
      <c r="AL81" s="116" t="e">
        <f t="shared" si="73"/>
        <v>#REF!</v>
      </c>
      <c r="AM81" s="117" t="e">
        <f t="shared" si="73"/>
        <v>#REF!</v>
      </c>
      <c r="AN81" s="115" t="e">
        <f t="shared" si="74"/>
        <v>#REF!</v>
      </c>
      <c r="AO81" s="116" t="e">
        <f t="shared" si="75"/>
        <v>#REF!</v>
      </c>
      <c r="AP81" s="117" t="e">
        <f t="shared" si="75"/>
        <v>#REF!</v>
      </c>
      <c r="AQ81" s="115" t="e">
        <f t="shared" si="76"/>
        <v>#REF!</v>
      </c>
      <c r="AR81" s="116" t="e">
        <f t="shared" si="77"/>
        <v>#REF!</v>
      </c>
      <c r="AS81" s="117" t="e">
        <f t="shared" si="77"/>
        <v>#REF!</v>
      </c>
      <c r="AT81" s="115" t="e">
        <f t="shared" si="78"/>
        <v>#REF!</v>
      </c>
      <c r="AU81" s="116" t="e">
        <f t="shared" si="79"/>
        <v>#REF!</v>
      </c>
      <c r="AV81" s="117" t="e">
        <f t="shared" si="79"/>
        <v>#REF!</v>
      </c>
      <c r="AW81" s="115" t="e">
        <f t="shared" si="80"/>
        <v>#REF!</v>
      </c>
      <c r="AX81" s="116" t="e">
        <f t="shared" si="81"/>
        <v>#REF!</v>
      </c>
      <c r="AY81" s="117" t="e">
        <f t="shared" si="81"/>
        <v>#REF!</v>
      </c>
      <c r="AZ81" s="118" t="e">
        <f t="shared" si="82"/>
        <v>#REF!</v>
      </c>
      <c r="BA81" s="119" t="e">
        <f t="shared" si="83"/>
        <v>#REF!</v>
      </c>
      <c r="BB81" s="120"/>
      <c r="BC81" s="121" t="e">
        <f t="shared" si="84"/>
        <v>#REF!</v>
      </c>
      <c r="BD81" s="121" t="e">
        <f t="shared" si="85"/>
        <v>#REF!</v>
      </c>
      <c r="BE81" s="121" t="e">
        <f t="shared" si="86"/>
        <v>#REF!</v>
      </c>
      <c r="BF81" s="121" t="e">
        <f t="shared" si="87"/>
        <v>#REF!</v>
      </c>
      <c r="BG81" s="121" t="e">
        <f t="shared" si="88"/>
        <v>#REF!</v>
      </c>
      <c r="BH81" s="121" t="e">
        <f t="shared" si="89"/>
        <v>#REF!</v>
      </c>
    </row>
    <row r="82" spans="1:60" s="188" customFormat="1" ht="20.100000000000001" customHeight="1" thickBot="1">
      <c r="A82" s="1534"/>
      <c r="B82" s="1527"/>
      <c r="C82" s="179" t="str">
        <f t="shared" si="65"/>
        <v xml:space="preserve">82111-47480 B </v>
      </c>
      <c r="D82" s="180">
        <f t="shared" si="65"/>
        <v>0</v>
      </c>
      <c r="E82" s="180">
        <f t="shared" si="66"/>
        <v>8600</v>
      </c>
      <c r="F82" s="181">
        <f t="shared" si="66"/>
        <v>301</v>
      </c>
      <c r="G82" s="181">
        <f t="shared" si="66"/>
        <v>6</v>
      </c>
      <c r="H82" s="182">
        <f t="shared" si="66"/>
        <v>4.0234249999999996</v>
      </c>
      <c r="I82" s="147">
        <f t="shared" si="67"/>
        <v>4.0234249999999996</v>
      </c>
      <c r="J82" s="183" t="e">
        <f t="shared" si="68"/>
        <v>#REF!</v>
      </c>
      <c r="K82" s="184" t="e">
        <f t="shared" si="68"/>
        <v>#REF!</v>
      </c>
      <c r="L82" s="185" t="e">
        <f t="shared" si="68"/>
        <v>#REF!</v>
      </c>
      <c r="M82" s="183" t="e">
        <f t="shared" si="69"/>
        <v>#REF!</v>
      </c>
      <c r="N82" s="184" t="e">
        <f t="shared" si="69"/>
        <v>#REF!</v>
      </c>
      <c r="O82" s="185" t="e">
        <f t="shared" si="69"/>
        <v>#REF!</v>
      </c>
      <c r="P82" s="183" t="e">
        <f t="shared" si="69"/>
        <v>#REF!</v>
      </c>
      <c r="Q82" s="184" t="e">
        <f t="shared" si="69"/>
        <v>#REF!</v>
      </c>
      <c r="R82" s="185" t="e">
        <f t="shared" si="69"/>
        <v>#REF!</v>
      </c>
      <c r="S82" s="183" t="e">
        <f t="shared" si="69"/>
        <v>#REF!</v>
      </c>
      <c r="T82" s="184" t="e">
        <f t="shared" si="69"/>
        <v>#REF!</v>
      </c>
      <c r="U82" s="185" t="e">
        <f t="shared" si="69"/>
        <v>#REF!</v>
      </c>
      <c r="V82" s="183" t="e">
        <f t="shared" si="69"/>
        <v>#REF!</v>
      </c>
      <c r="W82" s="184" t="e">
        <f t="shared" si="69"/>
        <v>#REF!</v>
      </c>
      <c r="X82" s="185" t="e">
        <f t="shared" si="69"/>
        <v>#REF!</v>
      </c>
      <c r="Y82" s="183" t="e">
        <f t="shared" si="69"/>
        <v>#REF!</v>
      </c>
      <c r="Z82" s="184" t="e">
        <f t="shared" si="69"/>
        <v>#REF!</v>
      </c>
      <c r="AA82" s="185" t="e">
        <f t="shared" si="69"/>
        <v>#REF!</v>
      </c>
      <c r="AB82" s="183" t="e">
        <f t="shared" si="69"/>
        <v>#REF!</v>
      </c>
      <c r="AC82" s="186" t="e">
        <f t="shared" si="69"/>
        <v>#REF!</v>
      </c>
      <c r="AD82" s="185" t="e">
        <f t="shared" si="69"/>
        <v>#REF!</v>
      </c>
      <c r="AE82" s="187" t="e">
        <f t="shared" si="70"/>
        <v>#REF!</v>
      </c>
      <c r="AG82" s="189" t="e">
        <f t="shared" si="71"/>
        <v>#REF!</v>
      </c>
      <c r="AH82" s="190" t="e">
        <f t="shared" si="71"/>
        <v>#REF!</v>
      </c>
      <c r="AI82" s="191" t="e">
        <f t="shared" si="71"/>
        <v>#REF!</v>
      </c>
      <c r="AJ82" s="192" t="e">
        <f t="shared" si="71"/>
        <v>#REF!</v>
      </c>
      <c r="AK82" s="190" t="e">
        <f t="shared" si="72"/>
        <v>#REF!</v>
      </c>
      <c r="AL82" s="191" t="e">
        <f t="shared" si="73"/>
        <v>#REF!</v>
      </c>
      <c r="AM82" s="192" t="e">
        <f t="shared" si="73"/>
        <v>#REF!</v>
      </c>
      <c r="AN82" s="190" t="e">
        <f t="shared" si="74"/>
        <v>#REF!</v>
      </c>
      <c r="AO82" s="191" t="e">
        <f t="shared" si="75"/>
        <v>#REF!</v>
      </c>
      <c r="AP82" s="192" t="e">
        <f t="shared" si="75"/>
        <v>#REF!</v>
      </c>
      <c r="AQ82" s="190" t="e">
        <f t="shared" si="76"/>
        <v>#REF!</v>
      </c>
      <c r="AR82" s="191" t="e">
        <f t="shared" si="77"/>
        <v>#REF!</v>
      </c>
      <c r="AS82" s="192" t="e">
        <f t="shared" si="77"/>
        <v>#REF!</v>
      </c>
      <c r="AT82" s="190" t="e">
        <f t="shared" si="78"/>
        <v>#REF!</v>
      </c>
      <c r="AU82" s="191" t="e">
        <f t="shared" si="79"/>
        <v>#REF!</v>
      </c>
      <c r="AV82" s="192" t="e">
        <f t="shared" si="79"/>
        <v>#REF!</v>
      </c>
      <c r="AW82" s="190" t="e">
        <f t="shared" si="80"/>
        <v>#REF!</v>
      </c>
      <c r="AX82" s="191" t="e">
        <f t="shared" si="81"/>
        <v>#REF!</v>
      </c>
      <c r="AY82" s="192" t="e">
        <f t="shared" si="81"/>
        <v>#REF!</v>
      </c>
      <c r="AZ82" s="193" t="e">
        <f t="shared" si="82"/>
        <v>#REF!</v>
      </c>
      <c r="BA82" s="194" t="e">
        <f t="shared" si="83"/>
        <v>#REF!</v>
      </c>
      <c r="BB82" s="195"/>
      <c r="BC82" s="121" t="e">
        <f t="shared" si="84"/>
        <v>#REF!</v>
      </c>
      <c r="BD82" s="121" t="e">
        <f t="shared" si="85"/>
        <v>#REF!</v>
      </c>
      <c r="BE82" s="121" t="e">
        <f t="shared" si="86"/>
        <v>#REF!</v>
      </c>
      <c r="BF82" s="121" t="e">
        <f t="shared" si="87"/>
        <v>#REF!</v>
      </c>
      <c r="BG82" s="121" t="e">
        <f t="shared" si="88"/>
        <v>#REF!</v>
      </c>
      <c r="BH82" s="121" t="e">
        <f t="shared" si="89"/>
        <v>#REF!</v>
      </c>
    </row>
    <row r="83" spans="1:60" s="113" customFormat="1" ht="20.100000000000001" customHeight="1" thickBot="1">
      <c r="A83" s="320"/>
      <c r="B83" s="1528" t="s">
        <v>68</v>
      </c>
      <c r="C83" s="103" t="str">
        <f t="shared" si="65"/>
        <v>82111-47461</v>
      </c>
      <c r="D83" s="104" t="e">
        <f t="shared" si="65"/>
        <v>#N/A</v>
      </c>
      <c r="E83" s="104" t="e">
        <f t="shared" si="66"/>
        <v>#N/A</v>
      </c>
      <c r="F83" s="105">
        <f t="shared" si="66"/>
        <v>332</v>
      </c>
      <c r="G83" s="105">
        <f t="shared" si="66"/>
        <v>6</v>
      </c>
      <c r="H83" s="106">
        <f t="shared" si="66"/>
        <v>4.4175000000000004</v>
      </c>
      <c r="I83" s="147">
        <f t="shared" si="67"/>
        <v>4.3971</v>
      </c>
      <c r="J83" s="108" t="e">
        <f t="shared" si="68"/>
        <v>#REF!</v>
      </c>
      <c r="K83" s="109" t="e">
        <f t="shared" si="68"/>
        <v>#REF!</v>
      </c>
      <c r="L83" s="110" t="e">
        <f t="shared" si="68"/>
        <v>#REF!</v>
      </c>
      <c r="M83" s="108" t="e">
        <f t="shared" si="69"/>
        <v>#REF!</v>
      </c>
      <c r="N83" s="109" t="e">
        <f t="shared" si="69"/>
        <v>#REF!</v>
      </c>
      <c r="O83" s="110" t="e">
        <f t="shared" si="69"/>
        <v>#REF!</v>
      </c>
      <c r="P83" s="108" t="e">
        <f t="shared" si="69"/>
        <v>#REF!</v>
      </c>
      <c r="Q83" s="109" t="e">
        <f t="shared" si="69"/>
        <v>#REF!</v>
      </c>
      <c r="R83" s="110" t="e">
        <f t="shared" si="69"/>
        <v>#REF!</v>
      </c>
      <c r="S83" s="108" t="e">
        <f t="shared" si="69"/>
        <v>#REF!</v>
      </c>
      <c r="T83" s="109" t="e">
        <f t="shared" si="69"/>
        <v>#REF!</v>
      </c>
      <c r="U83" s="110" t="e">
        <f t="shared" si="69"/>
        <v>#REF!</v>
      </c>
      <c r="V83" s="108" t="e">
        <f t="shared" si="69"/>
        <v>#REF!</v>
      </c>
      <c r="W83" s="109" t="e">
        <f t="shared" si="69"/>
        <v>#REF!</v>
      </c>
      <c r="X83" s="110" t="e">
        <f t="shared" si="69"/>
        <v>#REF!</v>
      </c>
      <c r="Y83" s="108" t="e">
        <f t="shared" si="69"/>
        <v>#REF!</v>
      </c>
      <c r="Z83" s="109" t="e">
        <f t="shared" si="69"/>
        <v>#REF!</v>
      </c>
      <c r="AA83" s="110" t="e">
        <f t="shared" si="69"/>
        <v>#REF!</v>
      </c>
      <c r="AB83" s="108" t="e">
        <f t="shared" si="69"/>
        <v>#REF!</v>
      </c>
      <c r="AC83" s="111" t="e">
        <f t="shared" si="69"/>
        <v>#REF!</v>
      </c>
      <c r="AD83" s="110" t="e">
        <f t="shared" si="69"/>
        <v>#REF!</v>
      </c>
      <c r="AE83" s="112" t="e">
        <f t="shared" si="70"/>
        <v>#REF!</v>
      </c>
      <c r="AG83" s="114" t="e">
        <f t="shared" si="71"/>
        <v>#REF!</v>
      </c>
      <c r="AH83" s="115" t="e">
        <f t="shared" si="71"/>
        <v>#REF!</v>
      </c>
      <c r="AI83" s="116" t="e">
        <f t="shared" si="71"/>
        <v>#REF!</v>
      </c>
      <c r="AJ83" s="117" t="e">
        <f t="shared" si="71"/>
        <v>#REF!</v>
      </c>
      <c r="AK83" s="115" t="e">
        <f t="shared" si="72"/>
        <v>#REF!</v>
      </c>
      <c r="AL83" s="116" t="e">
        <f t="shared" si="73"/>
        <v>#REF!</v>
      </c>
      <c r="AM83" s="117" t="e">
        <f t="shared" si="73"/>
        <v>#REF!</v>
      </c>
      <c r="AN83" s="115" t="e">
        <f t="shared" si="74"/>
        <v>#REF!</v>
      </c>
      <c r="AO83" s="116" t="e">
        <f t="shared" si="75"/>
        <v>#REF!</v>
      </c>
      <c r="AP83" s="117" t="e">
        <f t="shared" si="75"/>
        <v>#REF!</v>
      </c>
      <c r="AQ83" s="115" t="e">
        <f t="shared" si="76"/>
        <v>#REF!</v>
      </c>
      <c r="AR83" s="116" t="e">
        <f t="shared" si="77"/>
        <v>#REF!</v>
      </c>
      <c r="AS83" s="117" t="e">
        <f t="shared" si="77"/>
        <v>#REF!</v>
      </c>
      <c r="AT83" s="115" t="e">
        <f t="shared" si="78"/>
        <v>#REF!</v>
      </c>
      <c r="AU83" s="116" t="e">
        <f t="shared" si="79"/>
        <v>#REF!</v>
      </c>
      <c r="AV83" s="117" t="e">
        <f t="shared" si="79"/>
        <v>#REF!</v>
      </c>
      <c r="AW83" s="115" t="e">
        <f t="shared" si="80"/>
        <v>#REF!</v>
      </c>
      <c r="AX83" s="116" t="e">
        <f t="shared" si="81"/>
        <v>#REF!</v>
      </c>
      <c r="AY83" s="117" t="e">
        <f t="shared" si="81"/>
        <v>#REF!</v>
      </c>
      <c r="AZ83" s="118" t="e">
        <f t="shared" si="82"/>
        <v>#REF!</v>
      </c>
      <c r="BA83" s="119" t="e">
        <f t="shared" si="83"/>
        <v>#REF!</v>
      </c>
      <c r="BB83" s="120"/>
      <c r="BC83" s="121" t="e">
        <f t="shared" si="84"/>
        <v>#REF!</v>
      </c>
      <c r="BD83" s="121" t="e">
        <f t="shared" si="85"/>
        <v>#REF!</v>
      </c>
      <c r="BE83" s="121" t="e">
        <f t="shared" si="86"/>
        <v>#REF!</v>
      </c>
      <c r="BF83" s="121" t="e">
        <f t="shared" si="87"/>
        <v>#REF!</v>
      </c>
      <c r="BG83" s="121" t="e">
        <f t="shared" si="88"/>
        <v>#REF!</v>
      </c>
      <c r="BH83" s="121" t="e">
        <f t="shared" si="89"/>
        <v>#REF!</v>
      </c>
    </row>
    <row r="84" spans="1:60" s="113" customFormat="1" ht="20.100000000000001" customHeight="1" thickBot="1">
      <c r="A84" s="320"/>
      <c r="B84" s="1526"/>
      <c r="C84" s="103" t="str">
        <f t="shared" si="65"/>
        <v>82111-47462</v>
      </c>
      <c r="D84" s="104" t="e">
        <f t="shared" si="65"/>
        <v>#N/A</v>
      </c>
      <c r="E84" s="104" t="e">
        <f t="shared" si="66"/>
        <v>#N/A</v>
      </c>
      <c r="F84" s="105">
        <f t="shared" si="66"/>
        <v>332</v>
      </c>
      <c r="G84" s="105">
        <f t="shared" si="66"/>
        <v>6</v>
      </c>
      <c r="H84" s="106">
        <f t="shared" si="66"/>
        <v>4.4175000000000004</v>
      </c>
      <c r="I84" s="147">
        <f t="shared" si="67"/>
        <v>4.3971</v>
      </c>
      <c r="J84" s="108">
        <f t="shared" si="68"/>
        <v>0</v>
      </c>
      <c r="K84" s="109">
        <f t="shared" si="68"/>
        <v>0</v>
      </c>
      <c r="L84" s="110">
        <f t="shared" si="68"/>
        <v>0</v>
      </c>
      <c r="M84" s="108">
        <f t="shared" si="69"/>
        <v>0</v>
      </c>
      <c r="N84" s="109">
        <f t="shared" si="69"/>
        <v>0</v>
      </c>
      <c r="O84" s="110">
        <f t="shared" si="69"/>
        <v>0</v>
      </c>
      <c r="P84" s="108">
        <f t="shared" si="69"/>
        <v>0</v>
      </c>
      <c r="Q84" s="109">
        <f t="shared" si="69"/>
        <v>0</v>
      </c>
      <c r="R84" s="110">
        <f t="shared" si="69"/>
        <v>0</v>
      </c>
      <c r="S84" s="108">
        <f t="shared" si="69"/>
        <v>0</v>
      </c>
      <c r="T84" s="109">
        <f t="shared" si="69"/>
        <v>0</v>
      </c>
      <c r="U84" s="110">
        <f t="shared" si="69"/>
        <v>0</v>
      </c>
      <c r="V84" s="108">
        <f t="shared" si="69"/>
        <v>0</v>
      </c>
      <c r="W84" s="109">
        <f t="shared" si="69"/>
        <v>0</v>
      </c>
      <c r="X84" s="110">
        <f t="shared" si="69"/>
        <v>0</v>
      </c>
      <c r="Y84" s="108">
        <f t="shared" si="69"/>
        <v>0</v>
      </c>
      <c r="Z84" s="109">
        <f t="shared" si="69"/>
        <v>0</v>
      </c>
      <c r="AA84" s="110">
        <f t="shared" si="69"/>
        <v>0</v>
      </c>
      <c r="AB84" s="108">
        <f t="shared" si="69"/>
        <v>0</v>
      </c>
      <c r="AC84" s="111">
        <f t="shared" si="69"/>
        <v>0</v>
      </c>
      <c r="AD84" s="110">
        <f t="shared" si="69"/>
        <v>0</v>
      </c>
      <c r="AE84" s="112">
        <f t="shared" si="70"/>
        <v>0</v>
      </c>
      <c r="AG84" s="114">
        <f t="shared" si="71"/>
        <v>0</v>
      </c>
      <c r="AH84" s="115">
        <f t="shared" si="71"/>
        <v>0</v>
      </c>
      <c r="AI84" s="116">
        <f t="shared" si="71"/>
        <v>0</v>
      </c>
      <c r="AJ84" s="117">
        <f t="shared" si="71"/>
        <v>0</v>
      </c>
      <c r="AK84" s="115">
        <f>K84*$F84</f>
        <v>0</v>
      </c>
      <c r="AL84" s="116">
        <f t="shared" si="73"/>
        <v>0</v>
      </c>
      <c r="AM84" s="117">
        <f t="shared" si="73"/>
        <v>0</v>
      </c>
      <c r="AN84" s="115">
        <f>N84*$F84</f>
        <v>0</v>
      </c>
      <c r="AO84" s="116">
        <f t="shared" si="75"/>
        <v>0</v>
      </c>
      <c r="AP84" s="117">
        <f t="shared" si="75"/>
        <v>0</v>
      </c>
      <c r="AQ84" s="115">
        <f>Q84*$F84</f>
        <v>0</v>
      </c>
      <c r="AR84" s="116">
        <f t="shared" si="77"/>
        <v>0</v>
      </c>
      <c r="AS84" s="117">
        <f t="shared" si="77"/>
        <v>0</v>
      </c>
      <c r="AT84" s="115">
        <f>T84*$F84</f>
        <v>0</v>
      </c>
      <c r="AU84" s="116">
        <f t="shared" si="79"/>
        <v>0</v>
      </c>
      <c r="AV84" s="117">
        <f t="shared" si="79"/>
        <v>0</v>
      </c>
      <c r="AW84" s="115">
        <f>W84*$F84</f>
        <v>0</v>
      </c>
      <c r="AX84" s="116">
        <f t="shared" si="81"/>
        <v>0</v>
      </c>
      <c r="AY84" s="117">
        <f t="shared" si="81"/>
        <v>0</v>
      </c>
      <c r="AZ84" s="118">
        <f>Z84*$F84</f>
        <v>0</v>
      </c>
      <c r="BA84" s="119">
        <f>AD84*$F84</f>
        <v>0</v>
      </c>
      <c r="BB84" s="120"/>
      <c r="BC84" s="121">
        <f>ROUNDUP(O84/$BC$13,0)</f>
        <v>0</v>
      </c>
      <c r="BD84" s="121">
        <f>ROUNDUP(R84/$BD$13,0)</f>
        <v>0</v>
      </c>
      <c r="BE84" s="121">
        <f>ROUNDUP(U84/$BE$13,0)</f>
        <v>0</v>
      </c>
      <c r="BF84" s="121">
        <f>ROUNDUP(X84/$BF$13,0)</f>
        <v>0</v>
      </c>
      <c r="BG84" s="121">
        <f>ROUNDUP(AA84/$BG$13,0)</f>
        <v>0</v>
      </c>
      <c r="BH84" s="121">
        <f>ROUNDUP(AD84/$BH$13,0)</f>
        <v>0</v>
      </c>
    </row>
    <row r="85" spans="1:60" s="113" customFormat="1" ht="20.100000000000001" customHeight="1" thickBot="1">
      <c r="A85" s="320"/>
      <c r="B85" s="1526"/>
      <c r="C85" s="122" t="str">
        <f t="shared" si="65"/>
        <v>82111-47341</v>
      </c>
      <c r="D85" s="123">
        <f t="shared" si="65"/>
        <v>0</v>
      </c>
      <c r="E85" s="123" t="e">
        <f t="shared" si="66"/>
        <v>#N/A</v>
      </c>
      <c r="F85" s="124">
        <f t="shared" si="66"/>
        <v>351</v>
      </c>
      <c r="G85" s="124">
        <f t="shared" si="66"/>
        <v>6</v>
      </c>
      <c r="H85" s="125">
        <f t="shared" si="66"/>
        <v>4.2796599999999989</v>
      </c>
      <c r="I85" s="278">
        <f t="shared" si="67"/>
        <v>4.2541000000000002</v>
      </c>
      <c r="J85" s="126" t="e">
        <f t="shared" si="68"/>
        <v>#REF!</v>
      </c>
      <c r="K85" s="127" t="e">
        <f t="shared" si="68"/>
        <v>#REF!</v>
      </c>
      <c r="L85" s="128" t="e">
        <f t="shared" si="68"/>
        <v>#REF!</v>
      </c>
      <c r="M85" s="126" t="e">
        <f t="shared" si="69"/>
        <v>#REF!</v>
      </c>
      <c r="N85" s="127" t="e">
        <f t="shared" si="69"/>
        <v>#REF!</v>
      </c>
      <c r="O85" s="128" t="e">
        <f t="shared" si="69"/>
        <v>#REF!</v>
      </c>
      <c r="P85" s="126" t="e">
        <f t="shared" si="69"/>
        <v>#REF!</v>
      </c>
      <c r="Q85" s="127" t="e">
        <f t="shared" si="69"/>
        <v>#REF!</v>
      </c>
      <c r="R85" s="128" t="e">
        <f t="shared" si="69"/>
        <v>#REF!</v>
      </c>
      <c r="S85" s="126" t="e">
        <f t="shared" si="69"/>
        <v>#REF!</v>
      </c>
      <c r="T85" s="127" t="e">
        <f t="shared" si="69"/>
        <v>#REF!</v>
      </c>
      <c r="U85" s="128" t="e">
        <f t="shared" si="69"/>
        <v>#REF!</v>
      </c>
      <c r="V85" s="126" t="e">
        <f t="shared" si="69"/>
        <v>#REF!</v>
      </c>
      <c r="W85" s="127" t="e">
        <f t="shared" si="69"/>
        <v>#REF!</v>
      </c>
      <c r="X85" s="128" t="e">
        <f t="shared" si="69"/>
        <v>#REF!</v>
      </c>
      <c r="Y85" s="126" t="e">
        <f t="shared" si="69"/>
        <v>#REF!</v>
      </c>
      <c r="Z85" s="127" t="e">
        <f t="shared" si="69"/>
        <v>#REF!</v>
      </c>
      <c r="AA85" s="128" t="e">
        <f t="shared" si="69"/>
        <v>#REF!</v>
      </c>
      <c r="AB85" s="126" t="e">
        <f t="shared" si="69"/>
        <v>#REF!</v>
      </c>
      <c r="AC85" s="129" t="e">
        <f t="shared" si="69"/>
        <v>#REF!</v>
      </c>
      <c r="AD85" s="128" t="e">
        <f t="shared" si="69"/>
        <v>#REF!</v>
      </c>
      <c r="AE85" s="130" t="e">
        <f t="shared" si="70"/>
        <v>#REF!</v>
      </c>
      <c r="AG85" s="114" t="e">
        <f t="shared" si="71"/>
        <v>#REF!</v>
      </c>
      <c r="AH85" s="115" t="e">
        <f t="shared" si="71"/>
        <v>#REF!</v>
      </c>
      <c r="AI85" s="116" t="e">
        <f t="shared" si="71"/>
        <v>#REF!</v>
      </c>
      <c r="AJ85" s="117" t="e">
        <f t="shared" si="71"/>
        <v>#REF!</v>
      </c>
      <c r="AK85" s="115" t="e">
        <f t="shared" si="72"/>
        <v>#REF!</v>
      </c>
      <c r="AL85" s="116" t="e">
        <f t="shared" si="73"/>
        <v>#REF!</v>
      </c>
      <c r="AM85" s="117" t="e">
        <f t="shared" si="73"/>
        <v>#REF!</v>
      </c>
      <c r="AN85" s="115" t="e">
        <f t="shared" si="74"/>
        <v>#REF!</v>
      </c>
      <c r="AO85" s="116" t="e">
        <f t="shared" si="75"/>
        <v>#REF!</v>
      </c>
      <c r="AP85" s="117" t="e">
        <f t="shared" si="75"/>
        <v>#REF!</v>
      </c>
      <c r="AQ85" s="115" t="e">
        <f t="shared" si="76"/>
        <v>#REF!</v>
      </c>
      <c r="AR85" s="116" t="e">
        <f t="shared" si="77"/>
        <v>#REF!</v>
      </c>
      <c r="AS85" s="117" t="e">
        <f t="shared" si="77"/>
        <v>#REF!</v>
      </c>
      <c r="AT85" s="115" t="e">
        <f t="shared" si="78"/>
        <v>#REF!</v>
      </c>
      <c r="AU85" s="116" t="e">
        <f t="shared" si="79"/>
        <v>#REF!</v>
      </c>
      <c r="AV85" s="117" t="e">
        <f t="shared" si="79"/>
        <v>#REF!</v>
      </c>
      <c r="AW85" s="115" t="e">
        <f t="shared" si="80"/>
        <v>#REF!</v>
      </c>
      <c r="AX85" s="116" t="e">
        <f t="shared" si="81"/>
        <v>#REF!</v>
      </c>
      <c r="AY85" s="117" t="e">
        <f t="shared" si="81"/>
        <v>#REF!</v>
      </c>
      <c r="AZ85" s="118" t="e">
        <f t="shared" si="82"/>
        <v>#REF!</v>
      </c>
      <c r="BA85" s="119" t="e">
        <f t="shared" si="83"/>
        <v>#REF!</v>
      </c>
      <c r="BB85" s="120"/>
      <c r="BC85" s="121" t="e">
        <f t="shared" si="84"/>
        <v>#REF!</v>
      </c>
      <c r="BD85" s="121" t="e">
        <f t="shared" si="85"/>
        <v>#REF!</v>
      </c>
      <c r="BE85" s="121" t="e">
        <f t="shared" si="86"/>
        <v>#REF!</v>
      </c>
      <c r="BF85" s="121" t="e">
        <f t="shared" si="87"/>
        <v>#REF!</v>
      </c>
      <c r="BG85" s="121" t="e">
        <f t="shared" si="88"/>
        <v>#REF!</v>
      </c>
      <c r="BH85" s="121" t="e">
        <f t="shared" si="89"/>
        <v>#REF!</v>
      </c>
    </row>
    <row r="86" spans="1:60" s="113" customFormat="1" ht="20.100000000000001" customHeight="1" thickBot="1">
      <c r="A86" s="320"/>
      <c r="B86" s="1526"/>
      <c r="C86" s="122" t="str">
        <f t="shared" si="65"/>
        <v>82111-47342</v>
      </c>
      <c r="D86" s="123" t="e">
        <f t="shared" si="65"/>
        <v>#N/A</v>
      </c>
      <c r="E86" s="123" t="e">
        <f t="shared" si="66"/>
        <v>#N/A</v>
      </c>
      <c r="F86" s="124">
        <f t="shared" si="66"/>
        <v>351</v>
      </c>
      <c r="G86" s="124">
        <f t="shared" si="66"/>
        <v>6</v>
      </c>
      <c r="H86" s="125">
        <f t="shared" si="66"/>
        <v>4.2796599999999989</v>
      </c>
      <c r="I86" s="278">
        <f t="shared" si="67"/>
        <v>4.2541000000000002</v>
      </c>
      <c r="J86" s="126" t="e">
        <f t="shared" si="68"/>
        <v>#REF!</v>
      </c>
      <c r="K86" s="127" t="e">
        <f t="shared" si="68"/>
        <v>#REF!</v>
      </c>
      <c r="L86" s="128" t="e">
        <f t="shared" si="68"/>
        <v>#REF!</v>
      </c>
      <c r="M86" s="126" t="e">
        <f t="shared" si="69"/>
        <v>#REF!</v>
      </c>
      <c r="N86" s="127" t="e">
        <f t="shared" si="69"/>
        <v>#REF!</v>
      </c>
      <c r="O86" s="128" t="e">
        <f t="shared" si="69"/>
        <v>#REF!</v>
      </c>
      <c r="P86" s="126" t="e">
        <f t="shared" si="69"/>
        <v>#REF!</v>
      </c>
      <c r="Q86" s="127" t="e">
        <f t="shared" si="69"/>
        <v>#REF!</v>
      </c>
      <c r="R86" s="128" t="e">
        <f t="shared" si="69"/>
        <v>#REF!</v>
      </c>
      <c r="S86" s="126" t="e">
        <f t="shared" si="69"/>
        <v>#REF!</v>
      </c>
      <c r="T86" s="127" t="e">
        <f t="shared" si="69"/>
        <v>#REF!</v>
      </c>
      <c r="U86" s="128" t="e">
        <f t="shared" si="69"/>
        <v>#REF!</v>
      </c>
      <c r="V86" s="126" t="e">
        <f t="shared" si="69"/>
        <v>#REF!</v>
      </c>
      <c r="W86" s="127" t="e">
        <f t="shared" si="69"/>
        <v>#REF!</v>
      </c>
      <c r="X86" s="128" t="e">
        <f t="shared" si="69"/>
        <v>#REF!</v>
      </c>
      <c r="Y86" s="126" t="e">
        <f t="shared" si="69"/>
        <v>#REF!</v>
      </c>
      <c r="Z86" s="127" t="e">
        <f t="shared" si="69"/>
        <v>#REF!</v>
      </c>
      <c r="AA86" s="128" t="e">
        <f t="shared" si="69"/>
        <v>#REF!</v>
      </c>
      <c r="AB86" s="126" t="e">
        <f t="shared" si="69"/>
        <v>#REF!</v>
      </c>
      <c r="AC86" s="129" t="e">
        <f t="shared" si="69"/>
        <v>#REF!</v>
      </c>
      <c r="AD86" s="128" t="e">
        <f t="shared" si="69"/>
        <v>#REF!</v>
      </c>
      <c r="AE86" s="130" t="e">
        <f t="shared" si="70"/>
        <v>#REF!</v>
      </c>
      <c r="AG86" s="114" t="e">
        <f t="shared" si="71"/>
        <v>#REF!</v>
      </c>
      <c r="AH86" s="115" t="e">
        <f t="shared" si="71"/>
        <v>#REF!</v>
      </c>
      <c r="AI86" s="116" t="e">
        <f t="shared" si="71"/>
        <v>#REF!</v>
      </c>
      <c r="AJ86" s="117" t="e">
        <f t="shared" si="71"/>
        <v>#REF!</v>
      </c>
      <c r="AK86" s="115" t="e">
        <f>K86*$F86</f>
        <v>#REF!</v>
      </c>
      <c r="AL86" s="116" t="e">
        <f t="shared" si="73"/>
        <v>#REF!</v>
      </c>
      <c r="AM86" s="117" t="e">
        <f t="shared" si="73"/>
        <v>#REF!</v>
      </c>
      <c r="AN86" s="115" t="e">
        <f>N86*$F86</f>
        <v>#REF!</v>
      </c>
      <c r="AO86" s="116" t="e">
        <f t="shared" si="75"/>
        <v>#REF!</v>
      </c>
      <c r="AP86" s="117" t="e">
        <f t="shared" si="75"/>
        <v>#REF!</v>
      </c>
      <c r="AQ86" s="115" t="e">
        <f>Q86*$F86</f>
        <v>#REF!</v>
      </c>
      <c r="AR86" s="116" t="e">
        <f t="shared" si="77"/>
        <v>#REF!</v>
      </c>
      <c r="AS86" s="117" t="e">
        <f t="shared" si="77"/>
        <v>#REF!</v>
      </c>
      <c r="AT86" s="115" t="e">
        <f>T86*$F86</f>
        <v>#REF!</v>
      </c>
      <c r="AU86" s="116" t="e">
        <f t="shared" si="79"/>
        <v>#REF!</v>
      </c>
      <c r="AV86" s="117" t="e">
        <f t="shared" si="79"/>
        <v>#REF!</v>
      </c>
      <c r="AW86" s="115" t="e">
        <f>W86*$F86</f>
        <v>#REF!</v>
      </c>
      <c r="AX86" s="116" t="e">
        <f t="shared" si="81"/>
        <v>#REF!</v>
      </c>
      <c r="AY86" s="117" t="e">
        <f t="shared" si="81"/>
        <v>#REF!</v>
      </c>
      <c r="AZ86" s="118" t="e">
        <f>Z86*$F86</f>
        <v>#REF!</v>
      </c>
      <c r="BA86" s="119" t="e">
        <f>AD86*$F86</f>
        <v>#REF!</v>
      </c>
      <c r="BB86" s="120"/>
      <c r="BC86" s="121" t="e">
        <f>ROUNDUP(O86/$BC$13,0)</f>
        <v>#REF!</v>
      </c>
      <c r="BD86" s="121" t="e">
        <f>ROUNDUP(R86/$BD$13,0)</f>
        <v>#REF!</v>
      </c>
      <c r="BE86" s="121" t="e">
        <f>ROUNDUP(U86/$BE$13,0)</f>
        <v>#REF!</v>
      </c>
      <c r="BF86" s="121" t="e">
        <f>ROUNDUP(X86/$BF$13,0)</f>
        <v>#REF!</v>
      </c>
      <c r="BG86" s="121" t="e">
        <f>ROUNDUP(AA86/$BG$13,0)</f>
        <v>#REF!</v>
      </c>
      <c r="BH86" s="121" t="e">
        <f>ROUNDUP(AD86/$BH$13,0)</f>
        <v>#REF!</v>
      </c>
    </row>
    <row r="87" spans="1:60" s="188" customFormat="1" ht="20.100000000000001" customHeight="1" thickBot="1">
      <c r="A87" s="320"/>
      <c r="B87" s="1527"/>
      <c r="C87" s="179" t="str">
        <f t="shared" si="65"/>
        <v>82111-47451</v>
      </c>
      <c r="D87" s="180">
        <f t="shared" si="65"/>
        <v>0</v>
      </c>
      <c r="E87" s="180" t="e">
        <f t="shared" si="66"/>
        <v>#N/A</v>
      </c>
      <c r="F87" s="181">
        <f t="shared" si="66"/>
        <v>301</v>
      </c>
      <c r="G87" s="181">
        <f t="shared" si="66"/>
        <v>6</v>
      </c>
      <c r="H87" s="182">
        <f t="shared" si="66"/>
        <v>4.3249983333333324</v>
      </c>
      <c r="I87" s="147">
        <f t="shared" si="67"/>
        <v>4.2968000000000002</v>
      </c>
      <c r="J87" s="183" t="e">
        <f t="shared" si="68"/>
        <v>#REF!</v>
      </c>
      <c r="K87" s="184" t="e">
        <f t="shared" si="68"/>
        <v>#REF!</v>
      </c>
      <c r="L87" s="185" t="e">
        <f t="shared" si="68"/>
        <v>#REF!</v>
      </c>
      <c r="M87" s="183" t="e">
        <f t="shared" si="69"/>
        <v>#REF!</v>
      </c>
      <c r="N87" s="184" t="e">
        <f t="shared" si="69"/>
        <v>#REF!</v>
      </c>
      <c r="O87" s="185" t="e">
        <f t="shared" si="69"/>
        <v>#REF!</v>
      </c>
      <c r="P87" s="183" t="e">
        <f t="shared" si="69"/>
        <v>#REF!</v>
      </c>
      <c r="Q87" s="184" t="e">
        <f t="shared" si="69"/>
        <v>#REF!</v>
      </c>
      <c r="R87" s="185" t="e">
        <f t="shared" si="69"/>
        <v>#REF!</v>
      </c>
      <c r="S87" s="183" t="e">
        <f t="shared" si="69"/>
        <v>#REF!</v>
      </c>
      <c r="T87" s="184" t="e">
        <f t="shared" si="69"/>
        <v>#REF!</v>
      </c>
      <c r="U87" s="185" t="e">
        <f t="shared" si="69"/>
        <v>#REF!</v>
      </c>
      <c r="V87" s="183" t="e">
        <f t="shared" si="69"/>
        <v>#REF!</v>
      </c>
      <c r="W87" s="184" t="e">
        <f t="shared" si="69"/>
        <v>#REF!</v>
      </c>
      <c r="X87" s="185" t="e">
        <f t="shared" si="69"/>
        <v>#REF!</v>
      </c>
      <c r="Y87" s="183" t="e">
        <f t="shared" si="69"/>
        <v>#REF!</v>
      </c>
      <c r="Z87" s="184" t="e">
        <f t="shared" si="69"/>
        <v>#REF!</v>
      </c>
      <c r="AA87" s="185" t="e">
        <f t="shared" si="69"/>
        <v>#REF!</v>
      </c>
      <c r="AB87" s="183" t="e">
        <f t="shared" si="69"/>
        <v>#REF!</v>
      </c>
      <c r="AC87" s="186" t="e">
        <f t="shared" si="69"/>
        <v>#REF!</v>
      </c>
      <c r="AD87" s="185" t="e">
        <f t="shared" si="69"/>
        <v>#REF!</v>
      </c>
      <c r="AE87" s="187" t="e">
        <f t="shared" si="70"/>
        <v>#REF!</v>
      </c>
      <c r="AG87" s="189" t="e">
        <f t="shared" si="71"/>
        <v>#REF!</v>
      </c>
      <c r="AH87" s="190" t="e">
        <f t="shared" si="71"/>
        <v>#REF!</v>
      </c>
      <c r="AI87" s="191" t="e">
        <f t="shared" si="71"/>
        <v>#REF!</v>
      </c>
      <c r="AJ87" s="192" t="e">
        <f t="shared" si="71"/>
        <v>#REF!</v>
      </c>
      <c r="AK87" s="190" t="e">
        <f t="shared" si="72"/>
        <v>#REF!</v>
      </c>
      <c r="AL87" s="191" t="e">
        <f t="shared" si="73"/>
        <v>#REF!</v>
      </c>
      <c r="AM87" s="192" t="e">
        <f t="shared" si="73"/>
        <v>#REF!</v>
      </c>
      <c r="AN87" s="190" t="e">
        <f t="shared" si="74"/>
        <v>#REF!</v>
      </c>
      <c r="AO87" s="191" t="e">
        <f t="shared" si="75"/>
        <v>#REF!</v>
      </c>
      <c r="AP87" s="192" t="e">
        <f t="shared" si="75"/>
        <v>#REF!</v>
      </c>
      <c r="AQ87" s="190" t="e">
        <f t="shared" si="76"/>
        <v>#REF!</v>
      </c>
      <c r="AR87" s="191" t="e">
        <f t="shared" si="77"/>
        <v>#REF!</v>
      </c>
      <c r="AS87" s="192" t="e">
        <f t="shared" si="77"/>
        <v>#REF!</v>
      </c>
      <c r="AT87" s="190" t="e">
        <f t="shared" si="78"/>
        <v>#REF!</v>
      </c>
      <c r="AU87" s="191" t="e">
        <f t="shared" si="79"/>
        <v>#REF!</v>
      </c>
      <c r="AV87" s="192" t="e">
        <f t="shared" si="79"/>
        <v>#REF!</v>
      </c>
      <c r="AW87" s="190" t="e">
        <f t="shared" si="80"/>
        <v>#REF!</v>
      </c>
      <c r="AX87" s="191" t="e">
        <f t="shared" si="81"/>
        <v>#REF!</v>
      </c>
      <c r="AY87" s="192" t="e">
        <f t="shared" si="81"/>
        <v>#REF!</v>
      </c>
      <c r="AZ87" s="193" t="e">
        <f t="shared" si="82"/>
        <v>#REF!</v>
      </c>
      <c r="BA87" s="194" t="e">
        <f t="shared" si="83"/>
        <v>#REF!</v>
      </c>
      <c r="BB87" s="195"/>
      <c r="BC87" s="121" t="e">
        <f t="shared" si="84"/>
        <v>#REF!</v>
      </c>
      <c r="BD87" s="121" t="e">
        <f t="shared" si="85"/>
        <v>#REF!</v>
      </c>
      <c r="BE87" s="121" t="e">
        <f t="shared" si="86"/>
        <v>#REF!</v>
      </c>
      <c r="BF87" s="121" t="e">
        <f t="shared" si="87"/>
        <v>#REF!</v>
      </c>
      <c r="BG87" s="121" t="e">
        <f t="shared" si="88"/>
        <v>#REF!</v>
      </c>
      <c r="BH87" s="121" t="e">
        <f t="shared" si="89"/>
        <v>#REF!</v>
      </c>
    </row>
    <row r="88" spans="1:60" s="188" customFormat="1" ht="20.100000000000001" customHeight="1">
      <c r="A88" s="320"/>
      <c r="B88" s="322"/>
      <c r="C88" s="179" t="str">
        <f t="shared" si="65"/>
        <v xml:space="preserve">82111-47360 J </v>
      </c>
      <c r="D88" s="180">
        <f t="shared" si="65"/>
        <v>0</v>
      </c>
      <c r="E88" s="180" t="e">
        <f t="shared" si="66"/>
        <v>#N/A</v>
      </c>
      <c r="F88" s="181">
        <f t="shared" si="66"/>
        <v>309</v>
      </c>
      <c r="G88" s="181">
        <f t="shared" si="66"/>
        <v>6</v>
      </c>
      <c r="H88" s="182">
        <f t="shared" si="66"/>
        <v>4.0269066666666662</v>
      </c>
      <c r="I88" s="147">
        <f t="shared" si="67"/>
        <v>4.0590000000000002</v>
      </c>
      <c r="J88" s="183" t="e">
        <f t="shared" si="68"/>
        <v>#REF!</v>
      </c>
      <c r="K88" s="184" t="e">
        <f t="shared" si="68"/>
        <v>#REF!</v>
      </c>
      <c r="L88" s="185" t="e">
        <f t="shared" si="68"/>
        <v>#REF!</v>
      </c>
      <c r="M88" s="183" t="e">
        <f t="shared" si="69"/>
        <v>#REF!</v>
      </c>
      <c r="N88" s="184" t="e">
        <f t="shared" si="69"/>
        <v>#REF!</v>
      </c>
      <c r="O88" s="185" t="e">
        <f t="shared" si="69"/>
        <v>#REF!</v>
      </c>
      <c r="P88" s="183" t="e">
        <f t="shared" si="69"/>
        <v>#REF!</v>
      </c>
      <c r="Q88" s="184" t="e">
        <f t="shared" si="69"/>
        <v>#REF!</v>
      </c>
      <c r="R88" s="185" t="e">
        <f t="shared" si="69"/>
        <v>#REF!</v>
      </c>
      <c r="S88" s="183" t="e">
        <f t="shared" si="69"/>
        <v>#REF!</v>
      </c>
      <c r="T88" s="184" t="e">
        <f t="shared" si="69"/>
        <v>#REF!</v>
      </c>
      <c r="U88" s="185" t="e">
        <f t="shared" si="69"/>
        <v>#REF!</v>
      </c>
      <c r="V88" s="183" t="e">
        <f t="shared" si="69"/>
        <v>#REF!</v>
      </c>
      <c r="W88" s="184" t="e">
        <f t="shared" si="69"/>
        <v>#REF!</v>
      </c>
      <c r="X88" s="185" t="e">
        <f t="shared" si="69"/>
        <v>#REF!</v>
      </c>
      <c r="Y88" s="183" t="e">
        <f t="shared" si="69"/>
        <v>#REF!</v>
      </c>
      <c r="Z88" s="184" t="e">
        <f t="shared" si="69"/>
        <v>#REF!</v>
      </c>
      <c r="AA88" s="185" t="e">
        <f t="shared" si="69"/>
        <v>#REF!</v>
      </c>
      <c r="AB88" s="183" t="e">
        <f t="shared" si="69"/>
        <v>#REF!</v>
      </c>
      <c r="AC88" s="186" t="e">
        <f t="shared" si="69"/>
        <v>#REF!</v>
      </c>
      <c r="AD88" s="185" t="e">
        <f t="shared" si="69"/>
        <v>#REF!</v>
      </c>
      <c r="AE88" s="187" t="e">
        <f t="shared" si="70"/>
        <v>#REF!</v>
      </c>
      <c r="AG88" s="189" t="e">
        <f t="shared" si="71"/>
        <v>#REF!</v>
      </c>
      <c r="AH88" s="190" t="e">
        <f t="shared" si="71"/>
        <v>#REF!</v>
      </c>
      <c r="AI88" s="191" t="e">
        <f t="shared" si="71"/>
        <v>#REF!</v>
      </c>
      <c r="AJ88" s="192" t="e">
        <f t="shared" si="71"/>
        <v>#REF!</v>
      </c>
      <c r="AK88" s="190" t="e">
        <f>K88*$F88</f>
        <v>#REF!</v>
      </c>
      <c r="AL88" s="191" t="e">
        <f t="shared" si="73"/>
        <v>#REF!</v>
      </c>
      <c r="AM88" s="192" t="e">
        <f t="shared" si="73"/>
        <v>#REF!</v>
      </c>
      <c r="AN88" s="190" t="e">
        <f>N88*$F88</f>
        <v>#REF!</v>
      </c>
      <c r="AO88" s="191" t="e">
        <f t="shared" si="75"/>
        <v>#REF!</v>
      </c>
      <c r="AP88" s="192" t="e">
        <f t="shared" si="75"/>
        <v>#REF!</v>
      </c>
      <c r="AQ88" s="190" t="e">
        <f>Q88*$F88</f>
        <v>#REF!</v>
      </c>
      <c r="AR88" s="191" t="e">
        <f t="shared" si="77"/>
        <v>#REF!</v>
      </c>
      <c r="AS88" s="192" t="e">
        <f t="shared" si="77"/>
        <v>#REF!</v>
      </c>
      <c r="AT88" s="190" t="e">
        <f>T88*$F88</f>
        <v>#REF!</v>
      </c>
      <c r="AU88" s="191" t="e">
        <f t="shared" si="79"/>
        <v>#REF!</v>
      </c>
      <c r="AV88" s="192" t="e">
        <f t="shared" si="79"/>
        <v>#REF!</v>
      </c>
      <c r="AW88" s="190" t="e">
        <f>W88*$F88</f>
        <v>#REF!</v>
      </c>
      <c r="AX88" s="191" t="e">
        <f t="shared" si="81"/>
        <v>#REF!</v>
      </c>
      <c r="AY88" s="192" t="e">
        <f t="shared" si="81"/>
        <v>#REF!</v>
      </c>
      <c r="AZ88" s="193" t="e">
        <f>Z88*$F88</f>
        <v>#REF!</v>
      </c>
      <c r="BA88" s="194" t="e">
        <f>AD88*$F88</f>
        <v>#REF!</v>
      </c>
      <c r="BB88" s="195"/>
      <c r="BC88" s="121" t="e">
        <f>ROUNDUP(O88/$BC$13,0)</f>
        <v>#REF!</v>
      </c>
      <c r="BD88" s="121" t="e">
        <f>ROUNDUP(R88/$BD$13,0)</f>
        <v>#REF!</v>
      </c>
      <c r="BE88" s="121" t="e">
        <f>ROUNDUP(U88/$BE$13,0)</f>
        <v>#REF!</v>
      </c>
      <c r="BF88" s="121" t="e">
        <f>ROUNDUP(X88/$BF$13,0)</f>
        <v>#REF!</v>
      </c>
      <c r="BG88" s="121" t="e">
        <f>ROUNDUP(AA88/$BG$13,0)</f>
        <v>#REF!</v>
      </c>
      <c r="BH88" s="121" t="e">
        <f>ROUNDUP(AD88/$BH$13,0)</f>
        <v>#REF!</v>
      </c>
    </row>
    <row r="89" spans="1:60" s="206" customFormat="1" ht="20.100000000000001" customHeight="1" thickBot="1">
      <c r="A89" s="1529" t="s">
        <v>66</v>
      </c>
      <c r="B89" s="1525" t="s">
        <v>55</v>
      </c>
      <c r="C89" s="196" t="str">
        <f>C25</f>
        <v xml:space="preserve">82111-47360 J </v>
      </c>
      <c r="D89" s="197">
        <f>D25</f>
        <v>0</v>
      </c>
      <c r="E89" s="197" t="e">
        <f>+E25</f>
        <v>#N/A</v>
      </c>
      <c r="F89" s="198">
        <f>+F25</f>
        <v>309</v>
      </c>
      <c r="G89" s="198">
        <f>+G25</f>
        <v>6</v>
      </c>
      <c r="H89" s="199">
        <f>+H25</f>
        <v>4.0269066666666662</v>
      </c>
      <c r="I89" s="220">
        <f>I25</f>
        <v>4.0590000000000002</v>
      </c>
      <c r="J89" s="201" t="e">
        <f>$H25*J25</f>
        <v>#REF!</v>
      </c>
      <c r="K89" s="202" t="e">
        <f>$H25*K25</f>
        <v>#REF!</v>
      </c>
      <c r="L89" s="203" t="e">
        <f>$H25*L25</f>
        <v>#REF!</v>
      </c>
      <c r="M89" s="201" t="e">
        <f t="shared" ref="M89:AD89" si="90">$I25*M25</f>
        <v>#REF!</v>
      </c>
      <c r="N89" s="202" t="e">
        <f t="shared" si="90"/>
        <v>#REF!</v>
      </c>
      <c r="O89" s="203" t="e">
        <f t="shared" si="90"/>
        <v>#REF!</v>
      </c>
      <c r="P89" s="201" t="e">
        <f t="shared" si="90"/>
        <v>#REF!</v>
      </c>
      <c r="Q89" s="202" t="e">
        <f t="shared" si="90"/>
        <v>#REF!</v>
      </c>
      <c r="R89" s="203" t="e">
        <f t="shared" si="90"/>
        <v>#REF!</v>
      </c>
      <c r="S89" s="201" t="e">
        <f t="shared" si="90"/>
        <v>#REF!</v>
      </c>
      <c r="T89" s="202" t="e">
        <f t="shared" si="90"/>
        <v>#REF!</v>
      </c>
      <c r="U89" s="203" t="e">
        <f t="shared" si="90"/>
        <v>#REF!</v>
      </c>
      <c r="V89" s="201" t="e">
        <f t="shared" si="90"/>
        <v>#REF!</v>
      </c>
      <c r="W89" s="202" t="e">
        <f t="shared" si="90"/>
        <v>#REF!</v>
      </c>
      <c r="X89" s="203" t="e">
        <f t="shared" si="90"/>
        <v>#REF!</v>
      </c>
      <c r="Y89" s="201" t="e">
        <f t="shared" si="90"/>
        <v>#REF!</v>
      </c>
      <c r="Z89" s="202" t="e">
        <f t="shared" si="90"/>
        <v>#REF!</v>
      </c>
      <c r="AA89" s="203" t="e">
        <f t="shared" si="90"/>
        <v>#REF!</v>
      </c>
      <c r="AB89" s="201" t="e">
        <f t="shared" si="90"/>
        <v>#REF!</v>
      </c>
      <c r="AC89" s="204" t="e">
        <f t="shared" si="90"/>
        <v>#REF!</v>
      </c>
      <c r="AD89" s="203" t="e">
        <f t="shared" si="90"/>
        <v>#REF!</v>
      </c>
      <c r="AE89" s="205" t="e">
        <f>$H25*AE25</f>
        <v>#REF!</v>
      </c>
      <c r="AG89" s="207" t="e">
        <f t="shared" si="71"/>
        <v>#REF!</v>
      </c>
      <c r="AH89" s="208" t="e">
        <f t="shared" si="71"/>
        <v>#REF!</v>
      </c>
      <c r="AI89" s="209" t="e">
        <f t="shared" si="71"/>
        <v>#REF!</v>
      </c>
      <c r="AJ89" s="210" t="e">
        <f t="shared" si="71"/>
        <v>#REF!</v>
      </c>
      <c r="AK89" s="208" t="e">
        <f t="shared" si="72"/>
        <v>#REF!</v>
      </c>
      <c r="AL89" s="209" t="e">
        <f t="shared" si="73"/>
        <v>#REF!</v>
      </c>
      <c r="AM89" s="210" t="e">
        <f t="shared" si="73"/>
        <v>#REF!</v>
      </c>
      <c r="AN89" s="208" t="e">
        <f t="shared" si="74"/>
        <v>#REF!</v>
      </c>
      <c r="AO89" s="209" t="e">
        <f t="shared" si="75"/>
        <v>#REF!</v>
      </c>
      <c r="AP89" s="210" t="e">
        <f t="shared" si="75"/>
        <v>#REF!</v>
      </c>
      <c r="AQ89" s="208" t="e">
        <f t="shared" si="76"/>
        <v>#REF!</v>
      </c>
      <c r="AR89" s="209" t="e">
        <f t="shared" si="77"/>
        <v>#REF!</v>
      </c>
      <c r="AS89" s="210" t="e">
        <f t="shared" si="77"/>
        <v>#REF!</v>
      </c>
      <c r="AT89" s="208" t="e">
        <f t="shared" si="78"/>
        <v>#REF!</v>
      </c>
      <c r="AU89" s="209" t="e">
        <f t="shared" si="79"/>
        <v>#REF!</v>
      </c>
      <c r="AV89" s="210" t="e">
        <f t="shared" si="79"/>
        <v>#REF!</v>
      </c>
      <c r="AW89" s="208" t="e">
        <f t="shared" si="80"/>
        <v>#REF!</v>
      </c>
      <c r="AX89" s="209" t="e">
        <f t="shared" si="81"/>
        <v>#REF!</v>
      </c>
      <c r="AY89" s="210" t="e">
        <f t="shared" si="81"/>
        <v>#REF!</v>
      </c>
      <c r="AZ89" s="211" t="e">
        <f t="shared" si="82"/>
        <v>#REF!</v>
      </c>
      <c r="BA89" s="212" t="e">
        <f t="shared" si="83"/>
        <v>#REF!</v>
      </c>
      <c r="BB89" s="213"/>
      <c r="BC89" s="160" t="e">
        <f t="shared" si="84"/>
        <v>#REF!</v>
      </c>
      <c r="BD89" s="160" t="e">
        <f t="shared" si="85"/>
        <v>#REF!</v>
      </c>
      <c r="BE89" s="160" t="e">
        <f t="shared" si="86"/>
        <v>#REF!</v>
      </c>
      <c r="BF89" s="160" t="e">
        <f t="shared" si="87"/>
        <v>#REF!</v>
      </c>
      <c r="BG89" s="160" t="e">
        <f t="shared" si="88"/>
        <v>#REF!</v>
      </c>
      <c r="BH89" s="160" t="e">
        <f t="shared" si="89"/>
        <v>#REF!</v>
      </c>
    </row>
    <row r="90" spans="1:60" s="152" customFormat="1" ht="20.100000000000001" customHeight="1">
      <c r="A90" s="1530"/>
      <c r="B90" s="1526"/>
      <c r="C90" s="144" t="str">
        <f t="shared" ref="C90:D105" si="91">C27</f>
        <v xml:space="preserve">82111-47370 J </v>
      </c>
      <c r="D90" s="161" t="str">
        <f t="shared" si="91"/>
        <v>0401</v>
      </c>
      <c r="E90" s="161" t="str">
        <f t="shared" ref="E90:H105" si="92">+E27</f>
        <v>A430</v>
      </c>
      <c r="F90" s="145">
        <f t="shared" si="92"/>
        <v>315</v>
      </c>
      <c r="G90" s="145">
        <f t="shared" si="92"/>
        <v>6</v>
      </c>
      <c r="H90" s="146">
        <f t="shared" si="92"/>
        <v>4.1404883333333329</v>
      </c>
      <c r="I90" s="220">
        <f t="shared" ref="I90:I109" si="93">I27</f>
        <v>4.1082999999999998</v>
      </c>
      <c r="J90" s="148" t="e">
        <f t="shared" ref="J90:L105" si="94">$H27*J27</f>
        <v>#REF!</v>
      </c>
      <c r="K90" s="149" t="e">
        <f t="shared" si="94"/>
        <v>#REF!</v>
      </c>
      <c r="L90" s="150" t="e">
        <f t="shared" si="94"/>
        <v>#REF!</v>
      </c>
      <c r="M90" s="148" t="e">
        <f t="shared" ref="M90:AD104" si="95">$I27*M27</f>
        <v>#REF!</v>
      </c>
      <c r="N90" s="149" t="e">
        <f t="shared" si="95"/>
        <v>#REF!</v>
      </c>
      <c r="O90" s="150" t="e">
        <f t="shared" si="95"/>
        <v>#REF!</v>
      </c>
      <c r="P90" s="148" t="e">
        <f t="shared" si="95"/>
        <v>#REF!</v>
      </c>
      <c r="Q90" s="149" t="e">
        <f t="shared" si="95"/>
        <v>#REF!</v>
      </c>
      <c r="R90" s="150" t="e">
        <f t="shared" si="95"/>
        <v>#REF!</v>
      </c>
      <c r="S90" s="148" t="e">
        <f t="shared" si="95"/>
        <v>#REF!</v>
      </c>
      <c r="T90" s="149" t="e">
        <f t="shared" si="95"/>
        <v>#REF!</v>
      </c>
      <c r="U90" s="150" t="e">
        <f t="shared" si="95"/>
        <v>#REF!</v>
      </c>
      <c r="V90" s="148" t="e">
        <f t="shared" si="95"/>
        <v>#REF!</v>
      </c>
      <c r="W90" s="149" t="e">
        <f t="shared" si="95"/>
        <v>#REF!</v>
      </c>
      <c r="X90" s="150" t="e">
        <f t="shared" si="95"/>
        <v>#REF!</v>
      </c>
      <c r="Y90" s="148" t="e">
        <f t="shared" si="95"/>
        <v>#REF!</v>
      </c>
      <c r="Z90" s="149" t="e">
        <f t="shared" si="95"/>
        <v>#REF!</v>
      </c>
      <c r="AA90" s="150" t="e">
        <f t="shared" si="95"/>
        <v>#REF!</v>
      </c>
      <c r="AB90" s="148" t="e">
        <f t="shared" si="95"/>
        <v>#REF!</v>
      </c>
      <c r="AC90" s="162" t="e">
        <f t="shared" si="95"/>
        <v>#REF!</v>
      </c>
      <c r="AD90" s="150" t="e">
        <f t="shared" si="95"/>
        <v>#REF!</v>
      </c>
      <c r="AE90" s="151" t="e">
        <f t="shared" ref="AE90:AE110" si="96">$H27*AE27</f>
        <v>#REF!</v>
      </c>
      <c r="AG90" s="153" t="e">
        <f t="shared" si="71"/>
        <v>#REF!</v>
      </c>
      <c r="AH90" s="154" t="e">
        <f t="shared" si="71"/>
        <v>#REF!</v>
      </c>
      <c r="AI90" s="155" t="e">
        <f t="shared" si="71"/>
        <v>#REF!</v>
      </c>
      <c r="AJ90" s="156" t="e">
        <f t="shared" si="71"/>
        <v>#REF!</v>
      </c>
      <c r="AK90" s="154" t="e">
        <f t="shared" si="72"/>
        <v>#REF!</v>
      </c>
      <c r="AL90" s="155" t="e">
        <f t="shared" si="73"/>
        <v>#REF!</v>
      </c>
      <c r="AM90" s="156" t="e">
        <f t="shared" si="73"/>
        <v>#REF!</v>
      </c>
      <c r="AN90" s="154" t="e">
        <f t="shared" si="74"/>
        <v>#REF!</v>
      </c>
      <c r="AO90" s="155" t="e">
        <f t="shared" si="75"/>
        <v>#REF!</v>
      </c>
      <c r="AP90" s="156" t="e">
        <f t="shared" si="75"/>
        <v>#REF!</v>
      </c>
      <c r="AQ90" s="154" t="e">
        <f t="shared" si="76"/>
        <v>#REF!</v>
      </c>
      <c r="AR90" s="155" t="e">
        <f t="shared" si="77"/>
        <v>#REF!</v>
      </c>
      <c r="AS90" s="156" t="e">
        <f t="shared" si="77"/>
        <v>#REF!</v>
      </c>
      <c r="AT90" s="154" t="e">
        <f t="shared" si="78"/>
        <v>#REF!</v>
      </c>
      <c r="AU90" s="155" t="e">
        <f t="shared" si="79"/>
        <v>#REF!</v>
      </c>
      <c r="AV90" s="156" t="e">
        <f t="shared" si="79"/>
        <v>#REF!</v>
      </c>
      <c r="AW90" s="154" t="e">
        <f t="shared" si="80"/>
        <v>#REF!</v>
      </c>
      <c r="AX90" s="155" t="e">
        <f t="shared" si="81"/>
        <v>#REF!</v>
      </c>
      <c r="AY90" s="156" t="e">
        <f t="shared" si="81"/>
        <v>#REF!</v>
      </c>
      <c r="AZ90" s="157" t="e">
        <f t="shared" si="82"/>
        <v>#REF!</v>
      </c>
      <c r="BA90" s="158" t="e">
        <f t="shared" si="83"/>
        <v>#REF!</v>
      </c>
      <c r="BB90" s="159"/>
      <c r="BC90" s="160" t="e">
        <f t="shared" si="84"/>
        <v>#REF!</v>
      </c>
      <c r="BD90" s="160" t="e">
        <f t="shared" si="85"/>
        <v>#REF!</v>
      </c>
      <c r="BE90" s="160" t="e">
        <f t="shared" si="86"/>
        <v>#REF!</v>
      </c>
      <c r="BF90" s="160" t="e">
        <f t="shared" si="87"/>
        <v>#REF!</v>
      </c>
      <c r="BG90" s="160" t="e">
        <f t="shared" si="88"/>
        <v>#REF!</v>
      </c>
      <c r="BH90" s="160" t="e">
        <f t="shared" si="89"/>
        <v>#REF!</v>
      </c>
    </row>
    <row r="91" spans="1:60" s="226" customFormat="1" ht="20.100000000000001" customHeight="1">
      <c r="A91" s="1530"/>
      <c r="B91" s="1527"/>
      <c r="C91" s="216" t="str">
        <f t="shared" si="91"/>
        <v xml:space="preserve">82111-47380 H  </v>
      </c>
      <c r="D91" s="217">
        <f t="shared" si="91"/>
        <v>0</v>
      </c>
      <c r="E91" s="217">
        <f t="shared" si="92"/>
        <v>9404</v>
      </c>
      <c r="F91" s="218">
        <f t="shared" si="92"/>
        <v>347</v>
      </c>
      <c r="G91" s="218">
        <f t="shared" si="92"/>
        <v>6</v>
      </c>
      <c r="H91" s="219">
        <f t="shared" si="92"/>
        <v>4.1453516666666665</v>
      </c>
      <c r="I91" s="262">
        <f t="shared" si="93"/>
        <v>4.1453516666666665</v>
      </c>
      <c r="J91" s="221">
        <f t="shared" si="94"/>
        <v>0</v>
      </c>
      <c r="K91" s="222">
        <f t="shared" si="94"/>
        <v>0</v>
      </c>
      <c r="L91" s="223">
        <f t="shared" si="94"/>
        <v>0</v>
      </c>
      <c r="M91" s="221">
        <f t="shared" si="95"/>
        <v>0</v>
      </c>
      <c r="N91" s="222">
        <f t="shared" si="95"/>
        <v>0</v>
      </c>
      <c r="O91" s="223">
        <f t="shared" si="95"/>
        <v>0</v>
      </c>
      <c r="P91" s="221">
        <f t="shared" si="95"/>
        <v>0</v>
      </c>
      <c r="Q91" s="222">
        <f t="shared" si="95"/>
        <v>0</v>
      </c>
      <c r="R91" s="223">
        <f t="shared" si="95"/>
        <v>0</v>
      </c>
      <c r="S91" s="221">
        <f t="shared" si="95"/>
        <v>0</v>
      </c>
      <c r="T91" s="222">
        <f t="shared" si="95"/>
        <v>0</v>
      </c>
      <c r="U91" s="223">
        <f t="shared" si="95"/>
        <v>0</v>
      </c>
      <c r="V91" s="221">
        <f t="shared" si="95"/>
        <v>0</v>
      </c>
      <c r="W91" s="222">
        <f t="shared" si="95"/>
        <v>0</v>
      </c>
      <c r="X91" s="223">
        <f t="shared" si="95"/>
        <v>0</v>
      </c>
      <c r="Y91" s="221">
        <f t="shared" si="95"/>
        <v>0</v>
      </c>
      <c r="Z91" s="222">
        <f t="shared" si="95"/>
        <v>0</v>
      </c>
      <c r="AA91" s="223">
        <f t="shared" si="95"/>
        <v>0</v>
      </c>
      <c r="AB91" s="221">
        <f t="shared" si="95"/>
        <v>0</v>
      </c>
      <c r="AC91" s="224">
        <f t="shared" si="95"/>
        <v>0</v>
      </c>
      <c r="AD91" s="223">
        <f t="shared" si="95"/>
        <v>0</v>
      </c>
      <c r="AE91" s="225">
        <f t="shared" si="96"/>
        <v>0</v>
      </c>
      <c r="AG91" s="227">
        <f t="shared" si="71"/>
        <v>0</v>
      </c>
      <c r="AH91" s="228">
        <f t="shared" si="71"/>
        <v>0</v>
      </c>
      <c r="AI91" s="229">
        <f t="shared" si="71"/>
        <v>0</v>
      </c>
      <c r="AJ91" s="230">
        <f t="shared" si="71"/>
        <v>0</v>
      </c>
      <c r="AK91" s="228">
        <f t="shared" si="72"/>
        <v>0</v>
      </c>
      <c r="AL91" s="229">
        <f t="shared" si="73"/>
        <v>0</v>
      </c>
      <c r="AM91" s="230">
        <f t="shared" si="73"/>
        <v>0</v>
      </c>
      <c r="AN91" s="228">
        <f t="shared" si="74"/>
        <v>0</v>
      </c>
      <c r="AO91" s="229">
        <f t="shared" si="75"/>
        <v>0</v>
      </c>
      <c r="AP91" s="230">
        <f t="shared" si="75"/>
        <v>0</v>
      </c>
      <c r="AQ91" s="228">
        <f t="shared" si="76"/>
        <v>0</v>
      </c>
      <c r="AR91" s="229">
        <f t="shared" si="77"/>
        <v>0</v>
      </c>
      <c r="AS91" s="230">
        <f t="shared" si="77"/>
        <v>0</v>
      </c>
      <c r="AT91" s="228">
        <f t="shared" si="78"/>
        <v>0</v>
      </c>
      <c r="AU91" s="229">
        <f t="shared" si="79"/>
        <v>0</v>
      </c>
      <c r="AV91" s="230">
        <f t="shared" si="79"/>
        <v>0</v>
      </c>
      <c r="AW91" s="228">
        <f t="shared" si="80"/>
        <v>0</v>
      </c>
      <c r="AX91" s="229">
        <f t="shared" si="81"/>
        <v>0</v>
      </c>
      <c r="AY91" s="230">
        <f t="shared" si="81"/>
        <v>0</v>
      </c>
      <c r="AZ91" s="231">
        <f t="shared" si="82"/>
        <v>0</v>
      </c>
      <c r="BA91" s="232">
        <f t="shared" si="83"/>
        <v>0</v>
      </c>
      <c r="BC91" s="160">
        <f t="shared" si="84"/>
        <v>0</v>
      </c>
      <c r="BD91" s="160">
        <f t="shared" si="85"/>
        <v>0</v>
      </c>
      <c r="BE91" s="160">
        <f t="shared" si="86"/>
        <v>0</v>
      </c>
      <c r="BF91" s="160">
        <f t="shared" si="87"/>
        <v>0</v>
      </c>
      <c r="BG91" s="160">
        <f t="shared" si="88"/>
        <v>0</v>
      </c>
      <c r="BH91" s="160">
        <f t="shared" si="89"/>
        <v>0</v>
      </c>
    </row>
    <row r="92" spans="1:60" s="152" customFormat="1" ht="20.100000000000001" customHeight="1">
      <c r="A92" s="1530"/>
      <c r="B92" s="1526" t="s">
        <v>56</v>
      </c>
      <c r="C92" s="171" t="str">
        <f t="shared" si="91"/>
        <v xml:space="preserve">82111-47390 J </v>
      </c>
      <c r="D92" s="214" t="str">
        <f t="shared" si="91"/>
        <v>0402</v>
      </c>
      <c r="E92" s="214" t="str">
        <f t="shared" si="92"/>
        <v>A432</v>
      </c>
      <c r="F92" s="172">
        <f t="shared" si="92"/>
        <v>321</v>
      </c>
      <c r="G92" s="172">
        <f t="shared" si="92"/>
        <v>6</v>
      </c>
      <c r="H92" s="173">
        <f t="shared" si="92"/>
        <v>4.1974933333333331</v>
      </c>
      <c r="I92" s="220">
        <f t="shared" si="93"/>
        <v>4.1611000000000002</v>
      </c>
      <c r="J92" s="174">
        <f t="shared" si="94"/>
        <v>0</v>
      </c>
      <c r="K92" s="175">
        <f t="shared" si="94"/>
        <v>0</v>
      </c>
      <c r="L92" s="176">
        <f t="shared" si="94"/>
        <v>0</v>
      </c>
      <c r="M92" s="174">
        <f t="shared" si="95"/>
        <v>0</v>
      </c>
      <c r="N92" s="175">
        <f t="shared" si="95"/>
        <v>0</v>
      </c>
      <c r="O92" s="176">
        <f t="shared" si="95"/>
        <v>0</v>
      </c>
      <c r="P92" s="174">
        <f t="shared" si="95"/>
        <v>0</v>
      </c>
      <c r="Q92" s="175">
        <f t="shared" si="95"/>
        <v>0</v>
      </c>
      <c r="R92" s="176">
        <f t="shared" si="95"/>
        <v>0</v>
      </c>
      <c r="S92" s="174">
        <f t="shared" si="95"/>
        <v>0</v>
      </c>
      <c r="T92" s="175">
        <f t="shared" si="95"/>
        <v>0</v>
      </c>
      <c r="U92" s="176">
        <f t="shared" si="95"/>
        <v>0</v>
      </c>
      <c r="V92" s="174">
        <f t="shared" si="95"/>
        <v>0</v>
      </c>
      <c r="W92" s="175">
        <f t="shared" si="95"/>
        <v>0</v>
      </c>
      <c r="X92" s="176">
        <f t="shared" si="95"/>
        <v>0</v>
      </c>
      <c r="Y92" s="174">
        <f t="shared" si="95"/>
        <v>0</v>
      </c>
      <c r="Z92" s="175">
        <f t="shared" si="95"/>
        <v>0</v>
      </c>
      <c r="AA92" s="176">
        <f t="shared" si="95"/>
        <v>0</v>
      </c>
      <c r="AB92" s="174">
        <f t="shared" si="95"/>
        <v>0</v>
      </c>
      <c r="AC92" s="215">
        <f t="shared" si="95"/>
        <v>0</v>
      </c>
      <c r="AD92" s="176">
        <f t="shared" si="95"/>
        <v>0</v>
      </c>
      <c r="AE92" s="177">
        <f t="shared" si="96"/>
        <v>0</v>
      </c>
      <c r="AG92" s="164">
        <f t="shared" si="71"/>
        <v>0</v>
      </c>
      <c r="AH92" s="165">
        <f t="shared" si="71"/>
        <v>0</v>
      </c>
      <c r="AI92" s="166">
        <f t="shared" si="71"/>
        <v>0</v>
      </c>
      <c r="AJ92" s="167">
        <f t="shared" si="71"/>
        <v>0</v>
      </c>
      <c r="AK92" s="165">
        <f t="shared" si="72"/>
        <v>0</v>
      </c>
      <c r="AL92" s="166">
        <f t="shared" si="73"/>
        <v>0</v>
      </c>
      <c r="AM92" s="167">
        <f t="shared" si="73"/>
        <v>0</v>
      </c>
      <c r="AN92" s="165">
        <f t="shared" si="74"/>
        <v>0</v>
      </c>
      <c r="AO92" s="166">
        <f t="shared" si="75"/>
        <v>0</v>
      </c>
      <c r="AP92" s="167">
        <f t="shared" si="75"/>
        <v>0</v>
      </c>
      <c r="AQ92" s="165">
        <f t="shared" si="76"/>
        <v>0</v>
      </c>
      <c r="AR92" s="166">
        <f t="shared" si="77"/>
        <v>0</v>
      </c>
      <c r="AS92" s="167">
        <f t="shared" si="77"/>
        <v>0</v>
      </c>
      <c r="AT92" s="165">
        <f t="shared" si="78"/>
        <v>0</v>
      </c>
      <c r="AU92" s="166">
        <f t="shared" si="79"/>
        <v>0</v>
      </c>
      <c r="AV92" s="167">
        <f t="shared" si="79"/>
        <v>0</v>
      </c>
      <c r="AW92" s="165">
        <f t="shared" si="80"/>
        <v>0</v>
      </c>
      <c r="AX92" s="166">
        <f t="shared" si="81"/>
        <v>0</v>
      </c>
      <c r="AY92" s="167">
        <f t="shared" si="81"/>
        <v>0</v>
      </c>
      <c r="AZ92" s="168">
        <f t="shared" si="82"/>
        <v>0</v>
      </c>
      <c r="BA92" s="169">
        <f t="shared" si="83"/>
        <v>0</v>
      </c>
      <c r="BC92" s="178">
        <f t="shared" si="84"/>
        <v>0</v>
      </c>
      <c r="BD92" s="178">
        <f t="shared" si="85"/>
        <v>0</v>
      </c>
      <c r="BE92" s="178">
        <f t="shared" si="86"/>
        <v>0</v>
      </c>
      <c r="BF92" s="178">
        <f t="shared" si="87"/>
        <v>0</v>
      </c>
      <c r="BG92" s="178">
        <f t="shared" si="88"/>
        <v>0</v>
      </c>
      <c r="BH92" s="178">
        <f t="shared" si="89"/>
        <v>0</v>
      </c>
    </row>
    <row r="93" spans="1:60" s="152" customFormat="1" ht="20.100000000000001" customHeight="1">
      <c r="A93" s="1530"/>
      <c r="B93" s="1526"/>
      <c r="C93" s="233" t="str">
        <f t="shared" si="91"/>
        <v xml:space="preserve">82111-47400 J </v>
      </c>
      <c r="D93" s="234" t="str">
        <f t="shared" si="91"/>
        <v>0402</v>
      </c>
      <c r="E93" s="234">
        <f t="shared" si="92"/>
        <v>9947</v>
      </c>
      <c r="F93" s="235">
        <f t="shared" si="92"/>
        <v>347</v>
      </c>
      <c r="G93" s="235">
        <f t="shared" si="92"/>
        <v>6</v>
      </c>
      <c r="H93" s="307">
        <f t="shared" si="92"/>
        <v>4.2965533333333328</v>
      </c>
      <c r="I93" s="220">
        <f t="shared" si="93"/>
        <v>4.2606999999999999</v>
      </c>
      <c r="J93" s="236" t="e">
        <f t="shared" si="94"/>
        <v>#REF!</v>
      </c>
      <c r="K93" s="237" t="e">
        <f t="shared" si="94"/>
        <v>#REF!</v>
      </c>
      <c r="L93" s="238" t="e">
        <f t="shared" si="94"/>
        <v>#REF!</v>
      </c>
      <c r="M93" s="236" t="e">
        <f t="shared" si="95"/>
        <v>#REF!</v>
      </c>
      <c r="N93" s="237" t="e">
        <f t="shared" si="95"/>
        <v>#REF!</v>
      </c>
      <c r="O93" s="238" t="e">
        <f t="shared" si="95"/>
        <v>#REF!</v>
      </c>
      <c r="P93" s="236" t="e">
        <f t="shared" si="95"/>
        <v>#REF!</v>
      </c>
      <c r="Q93" s="237" t="e">
        <f t="shared" si="95"/>
        <v>#REF!</v>
      </c>
      <c r="R93" s="238" t="e">
        <f t="shared" si="95"/>
        <v>#REF!</v>
      </c>
      <c r="S93" s="236" t="e">
        <f t="shared" si="95"/>
        <v>#REF!</v>
      </c>
      <c r="T93" s="237" t="e">
        <f t="shared" si="95"/>
        <v>#REF!</v>
      </c>
      <c r="U93" s="238" t="e">
        <f t="shared" si="95"/>
        <v>#REF!</v>
      </c>
      <c r="V93" s="236" t="e">
        <f t="shared" si="95"/>
        <v>#REF!</v>
      </c>
      <c r="W93" s="237" t="e">
        <f t="shared" si="95"/>
        <v>#REF!</v>
      </c>
      <c r="X93" s="238" t="e">
        <f t="shared" si="95"/>
        <v>#REF!</v>
      </c>
      <c r="Y93" s="236" t="e">
        <f t="shared" si="95"/>
        <v>#REF!</v>
      </c>
      <c r="Z93" s="237" t="e">
        <f t="shared" si="95"/>
        <v>#REF!</v>
      </c>
      <c r="AA93" s="238" t="e">
        <f t="shared" si="95"/>
        <v>#REF!</v>
      </c>
      <c r="AB93" s="236" t="e">
        <f t="shared" si="95"/>
        <v>#REF!</v>
      </c>
      <c r="AC93" s="239" t="e">
        <f t="shared" si="95"/>
        <v>#REF!</v>
      </c>
      <c r="AD93" s="238" t="e">
        <f t="shared" si="95"/>
        <v>#REF!</v>
      </c>
      <c r="AE93" s="240" t="e">
        <f t="shared" si="96"/>
        <v>#REF!</v>
      </c>
      <c r="AG93" s="164" t="e">
        <f t="shared" si="71"/>
        <v>#REF!</v>
      </c>
      <c r="AH93" s="165" t="e">
        <f t="shared" si="71"/>
        <v>#REF!</v>
      </c>
      <c r="AI93" s="166" t="e">
        <f t="shared" si="71"/>
        <v>#REF!</v>
      </c>
      <c r="AJ93" s="167" t="e">
        <f t="shared" si="71"/>
        <v>#REF!</v>
      </c>
      <c r="AK93" s="165" t="e">
        <f t="shared" si="72"/>
        <v>#REF!</v>
      </c>
      <c r="AL93" s="166" t="e">
        <f t="shared" si="73"/>
        <v>#REF!</v>
      </c>
      <c r="AM93" s="167" t="e">
        <f t="shared" si="73"/>
        <v>#REF!</v>
      </c>
      <c r="AN93" s="165" t="e">
        <f t="shared" si="74"/>
        <v>#REF!</v>
      </c>
      <c r="AO93" s="166" t="e">
        <f t="shared" si="75"/>
        <v>#REF!</v>
      </c>
      <c r="AP93" s="167" t="e">
        <f t="shared" si="75"/>
        <v>#REF!</v>
      </c>
      <c r="AQ93" s="165" t="e">
        <f t="shared" si="76"/>
        <v>#REF!</v>
      </c>
      <c r="AR93" s="166" t="e">
        <f t="shared" si="77"/>
        <v>#REF!</v>
      </c>
      <c r="AS93" s="167" t="e">
        <f t="shared" si="77"/>
        <v>#REF!</v>
      </c>
      <c r="AT93" s="165" t="e">
        <f t="shared" si="78"/>
        <v>#REF!</v>
      </c>
      <c r="AU93" s="166" t="e">
        <f t="shared" si="79"/>
        <v>#REF!</v>
      </c>
      <c r="AV93" s="167" t="e">
        <f t="shared" si="79"/>
        <v>#REF!</v>
      </c>
      <c r="AW93" s="165" t="e">
        <f t="shared" si="80"/>
        <v>#REF!</v>
      </c>
      <c r="AX93" s="166" t="e">
        <f t="shared" si="81"/>
        <v>#REF!</v>
      </c>
      <c r="AY93" s="167" t="e">
        <f t="shared" si="81"/>
        <v>#REF!</v>
      </c>
      <c r="AZ93" s="168" t="e">
        <f t="shared" si="82"/>
        <v>#REF!</v>
      </c>
      <c r="BA93" s="169" t="e">
        <f t="shared" si="83"/>
        <v>#REF!</v>
      </c>
      <c r="BC93" s="241" t="e">
        <f t="shared" si="84"/>
        <v>#REF!</v>
      </c>
      <c r="BD93" s="241" t="e">
        <f t="shared" si="85"/>
        <v>#REF!</v>
      </c>
      <c r="BE93" s="241" t="e">
        <f t="shared" si="86"/>
        <v>#REF!</v>
      </c>
      <c r="BF93" s="241" t="e">
        <f t="shared" si="87"/>
        <v>#REF!</v>
      </c>
      <c r="BG93" s="241" t="e">
        <f t="shared" si="88"/>
        <v>#REF!</v>
      </c>
      <c r="BH93" s="241" t="e">
        <f t="shared" si="89"/>
        <v>#REF!</v>
      </c>
    </row>
    <row r="94" spans="1:60" s="206" customFormat="1" ht="20.100000000000001" customHeight="1">
      <c r="A94" s="1530"/>
      <c r="B94" s="1525" t="s">
        <v>57</v>
      </c>
      <c r="C94" s="196" t="str">
        <f t="shared" si="91"/>
        <v xml:space="preserve">82111-47410 J </v>
      </c>
      <c r="D94" s="251">
        <f t="shared" si="91"/>
        <v>0</v>
      </c>
      <c r="E94" s="251" t="e">
        <f t="shared" si="92"/>
        <v>#N/A</v>
      </c>
      <c r="F94" s="198">
        <f t="shared" si="92"/>
        <v>313</v>
      </c>
      <c r="G94" s="198">
        <f t="shared" si="92"/>
        <v>6</v>
      </c>
      <c r="H94" s="308">
        <f t="shared" si="92"/>
        <v>4.0314099999999993</v>
      </c>
      <c r="I94" s="277">
        <f t="shared" si="93"/>
        <v>4.0053999999999998</v>
      </c>
      <c r="J94" s="201" t="e">
        <f t="shared" si="94"/>
        <v>#REF!</v>
      </c>
      <c r="K94" s="202" t="e">
        <f t="shared" si="94"/>
        <v>#REF!</v>
      </c>
      <c r="L94" s="203" t="e">
        <f t="shared" si="94"/>
        <v>#REF!</v>
      </c>
      <c r="M94" s="201" t="e">
        <f t="shared" si="95"/>
        <v>#REF!</v>
      </c>
      <c r="N94" s="202" t="e">
        <f t="shared" si="95"/>
        <v>#REF!</v>
      </c>
      <c r="O94" s="203" t="e">
        <f t="shared" si="95"/>
        <v>#REF!</v>
      </c>
      <c r="P94" s="201" t="e">
        <f t="shared" si="95"/>
        <v>#REF!</v>
      </c>
      <c r="Q94" s="202" t="e">
        <f t="shared" si="95"/>
        <v>#REF!</v>
      </c>
      <c r="R94" s="203" t="e">
        <f t="shared" si="95"/>
        <v>#REF!</v>
      </c>
      <c r="S94" s="201" t="e">
        <f t="shared" si="95"/>
        <v>#REF!</v>
      </c>
      <c r="T94" s="202" t="e">
        <f t="shared" si="95"/>
        <v>#REF!</v>
      </c>
      <c r="U94" s="203" t="e">
        <f t="shared" si="95"/>
        <v>#REF!</v>
      </c>
      <c r="V94" s="201" t="e">
        <f t="shared" si="95"/>
        <v>#REF!</v>
      </c>
      <c r="W94" s="202" t="e">
        <f t="shared" si="95"/>
        <v>#REF!</v>
      </c>
      <c r="X94" s="203" t="e">
        <f t="shared" si="95"/>
        <v>#REF!</v>
      </c>
      <c r="Y94" s="201" t="e">
        <f t="shared" si="95"/>
        <v>#REF!</v>
      </c>
      <c r="Z94" s="202" t="e">
        <f t="shared" si="95"/>
        <v>#REF!</v>
      </c>
      <c r="AA94" s="203" t="e">
        <f t="shared" si="95"/>
        <v>#REF!</v>
      </c>
      <c r="AB94" s="201" t="e">
        <f t="shared" si="95"/>
        <v>#REF!</v>
      </c>
      <c r="AC94" s="252" t="e">
        <f t="shared" si="95"/>
        <v>#REF!</v>
      </c>
      <c r="AD94" s="203" t="e">
        <f t="shared" si="95"/>
        <v>#REF!</v>
      </c>
      <c r="AE94" s="205" t="e">
        <f t="shared" si="96"/>
        <v>#REF!</v>
      </c>
      <c r="AG94" s="207" t="e">
        <f t="shared" si="71"/>
        <v>#REF!</v>
      </c>
      <c r="AH94" s="208" t="e">
        <f t="shared" si="71"/>
        <v>#REF!</v>
      </c>
      <c r="AI94" s="209" t="e">
        <f t="shared" si="71"/>
        <v>#REF!</v>
      </c>
      <c r="AJ94" s="210" t="e">
        <f t="shared" si="71"/>
        <v>#REF!</v>
      </c>
      <c r="AK94" s="208" t="e">
        <f t="shared" si="72"/>
        <v>#REF!</v>
      </c>
      <c r="AL94" s="209" t="e">
        <f t="shared" si="73"/>
        <v>#REF!</v>
      </c>
      <c r="AM94" s="210" t="e">
        <f t="shared" si="73"/>
        <v>#REF!</v>
      </c>
      <c r="AN94" s="208" t="e">
        <f t="shared" si="74"/>
        <v>#REF!</v>
      </c>
      <c r="AO94" s="209" t="e">
        <f t="shared" si="75"/>
        <v>#REF!</v>
      </c>
      <c r="AP94" s="210" t="e">
        <f t="shared" si="75"/>
        <v>#REF!</v>
      </c>
      <c r="AQ94" s="208" t="e">
        <f t="shared" si="76"/>
        <v>#REF!</v>
      </c>
      <c r="AR94" s="209" t="e">
        <f t="shared" si="77"/>
        <v>#REF!</v>
      </c>
      <c r="AS94" s="210" t="e">
        <f t="shared" si="77"/>
        <v>#REF!</v>
      </c>
      <c r="AT94" s="208" t="e">
        <f t="shared" si="78"/>
        <v>#REF!</v>
      </c>
      <c r="AU94" s="209" t="e">
        <f t="shared" si="79"/>
        <v>#REF!</v>
      </c>
      <c r="AV94" s="210" t="e">
        <f t="shared" si="79"/>
        <v>#REF!</v>
      </c>
      <c r="AW94" s="208" t="e">
        <f t="shared" si="80"/>
        <v>#REF!</v>
      </c>
      <c r="AX94" s="209" t="e">
        <f t="shared" si="81"/>
        <v>#REF!</v>
      </c>
      <c r="AY94" s="210" t="e">
        <f t="shared" si="81"/>
        <v>#REF!</v>
      </c>
      <c r="AZ94" s="211" t="e">
        <f t="shared" si="82"/>
        <v>#REF!</v>
      </c>
      <c r="BA94" s="212" t="e">
        <f t="shared" si="83"/>
        <v>#REF!</v>
      </c>
      <c r="BC94" s="160" t="e">
        <f t="shared" si="84"/>
        <v>#REF!</v>
      </c>
      <c r="BD94" s="160" t="e">
        <f t="shared" si="85"/>
        <v>#REF!</v>
      </c>
      <c r="BE94" s="160" t="e">
        <f t="shared" si="86"/>
        <v>#REF!</v>
      </c>
      <c r="BF94" s="160" t="e">
        <f t="shared" si="87"/>
        <v>#REF!</v>
      </c>
      <c r="BG94" s="160" t="e">
        <f t="shared" si="88"/>
        <v>#REF!</v>
      </c>
      <c r="BH94" s="160" t="e">
        <f t="shared" si="89"/>
        <v>#REF!</v>
      </c>
    </row>
    <row r="95" spans="1:60" s="152" customFormat="1" ht="20.100000000000001" customHeight="1">
      <c r="A95" s="1530"/>
      <c r="B95" s="1526"/>
      <c r="C95" s="144" t="str">
        <f t="shared" si="91"/>
        <v xml:space="preserve">82111-47420 J </v>
      </c>
      <c r="D95" s="161" t="str">
        <f t="shared" si="91"/>
        <v>0401</v>
      </c>
      <c r="E95" s="161" t="str">
        <f t="shared" si="92"/>
        <v>A435</v>
      </c>
      <c r="F95" s="145">
        <f t="shared" si="92"/>
        <v>337</v>
      </c>
      <c r="G95" s="145">
        <f t="shared" si="92"/>
        <v>6</v>
      </c>
      <c r="H95" s="146">
        <f t="shared" si="92"/>
        <v>4.1739333333333333</v>
      </c>
      <c r="I95" s="200">
        <f t="shared" si="93"/>
        <v>4.1443000000000003</v>
      </c>
      <c r="J95" s="148" t="e">
        <f t="shared" si="94"/>
        <v>#REF!</v>
      </c>
      <c r="K95" s="149" t="e">
        <f t="shared" si="94"/>
        <v>#REF!</v>
      </c>
      <c r="L95" s="150" t="e">
        <f t="shared" si="94"/>
        <v>#REF!</v>
      </c>
      <c r="M95" s="148" t="e">
        <f t="shared" si="95"/>
        <v>#REF!</v>
      </c>
      <c r="N95" s="149" t="e">
        <f t="shared" si="95"/>
        <v>#REF!</v>
      </c>
      <c r="O95" s="150" t="e">
        <f t="shared" si="95"/>
        <v>#REF!</v>
      </c>
      <c r="P95" s="148" t="e">
        <f t="shared" si="95"/>
        <v>#REF!</v>
      </c>
      <c r="Q95" s="149" t="e">
        <f t="shared" si="95"/>
        <v>#REF!</v>
      </c>
      <c r="R95" s="150" t="e">
        <f t="shared" si="95"/>
        <v>#REF!</v>
      </c>
      <c r="S95" s="148" t="e">
        <f t="shared" si="95"/>
        <v>#REF!</v>
      </c>
      <c r="T95" s="149" t="e">
        <f t="shared" si="95"/>
        <v>#REF!</v>
      </c>
      <c r="U95" s="150" t="e">
        <f t="shared" si="95"/>
        <v>#REF!</v>
      </c>
      <c r="V95" s="148" t="e">
        <f t="shared" si="95"/>
        <v>#REF!</v>
      </c>
      <c r="W95" s="149" t="e">
        <f t="shared" si="95"/>
        <v>#REF!</v>
      </c>
      <c r="X95" s="150" t="e">
        <f t="shared" si="95"/>
        <v>#REF!</v>
      </c>
      <c r="Y95" s="148" t="e">
        <f t="shared" si="95"/>
        <v>#REF!</v>
      </c>
      <c r="Z95" s="149" t="e">
        <f t="shared" si="95"/>
        <v>#REF!</v>
      </c>
      <c r="AA95" s="150" t="e">
        <f t="shared" si="95"/>
        <v>#REF!</v>
      </c>
      <c r="AB95" s="148" t="e">
        <f t="shared" si="95"/>
        <v>#REF!</v>
      </c>
      <c r="AC95" s="163" t="e">
        <f t="shared" si="95"/>
        <v>#REF!</v>
      </c>
      <c r="AD95" s="150" t="e">
        <f t="shared" si="95"/>
        <v>#REF!</v>
      </c>
      <c r="AE95" s="151" t="e">
        <f t="shared" si="96"/>
        <v>#REF!</v>
      </c>
      <c r="AG95" s="164" t="e">
        <f t="shared" si="71"/>
        <v>#REF!</v>
      </c>
      <c r="AH95" s="165" t="e">
        <f t="shared" si="71"/>
        <v>#REF!</v>
      </c>
      <c r="AI95" s="166" t="e">
        <f t="shared" si="71"/>
        <v>#REF!</v>
      </c>
      <c r="AJ95" s="167" t="e">
        <f t="shared" si="71"/>
        <v>#REF!</v>
      </c>
      <c r="AK95" s="165" t="e">
        <f t="shared" si="72"/>
        <v>#REF!</v>
      </c>
      <c r="AL95" s="166" t="e">
        <f t="shared" si="73"/>
        <v>#REF!</v>
      </c>
      <c r="AM95" s="167" t="e">
        <f t="shared" si="73"/>
        <v>#REF!</v>
      </c>
      <c r="AN95" s="165" t="e">
        <f t="shared" si="74"/>
        <v>#REF!</v>
      </c>
      <c r="AO95" s="166" t="e">
        <f t="shared" si="75"/>
        <v>#REF!</v>
      </c>
      <c r="AP95" s="167" t="e">
        <f t="shared" si="75"/>
        <v>#REF!</v>
      </c>
      <c r="AQ95" s="165" t="e">
        <f t="shared" si="76"/>
        <v>#REF!</v>
      </c>
      <c r="AR95" s="166" t="e">
        <f t="shared" si="77"/>
        <v>#REF!</v>
      </c>
      <c r="AS95" s="167" t="e">
        <f t="shared" si="77"/>
        <v>#REF!</v>
      </c>
      <c r="AT95" s="165" t="e">
        <f t="shared" si="78"/>
        <v>#REF!</v>
      </c>
      <c r="AU95" s="166" t="e">
        <f t="shared" si="79"/>
        <v>#REF!</v>
      </c>
      <c r="AV95" s="167" t="e">
        <f t="shared" si="79"/>
        <v>#REF!</v>
      </c>
      <c r="AW95" s="165" t="e">
        <f t="shared" si="80"/>
        <v>#REF!</v>
      </c>
      <c r="AX95" s="166" t="e">
        <f t="shared" si="81"/>
        <v>#REF!</v>
      </c>
      <c r="AY95" s="167" t="e">
        <f t="shared" si="81"/>
        <v>#REF!</v>
      </c>
      <c r="AZ95" s="168" t="e">
        <f t="shared" si="82"/>
        <v>#REF!</v>
      </c>
      <c r="BA95" s="169" t="e">
        <f t="shared" si="83"/>
        <v>#REF!</v>
      </c>
      <c r="BC95" s="160" t="e">
        <f t="shared" si="84"/>
        <v>#REF!</v>
      </c>
      <c r="BD95" s="160" t="e">
        <f t="shared" si="85"/>
        <v>#REF!</v>
      </c>
      <c r="BE95" s="160" t="e">
        <f t="shared" si="86"/>
        <v>#REF!</v>
      </c>
      <c r="BF95" s="160" t="e">
        <f t="shared" si="87"/>
        <v>#REF!</v>
      </c>
      <c r="BG95" s="160" t="e">
        <f t="shared" si="88"/>
        <v>#REF!</v>
      </c>
      <c r="BH95" s="160" t="e">
        <f t="shared" si="89"/>
        <v>#REF!</v>
      </c>
    </row>
    <row r="96" spans="1:60" s="152" customFormat="1" ht="20.100000000000001" customHeight="1">
      <c r="A96" s="1530"/>
      <c r="B96" s="1526"/>
      <c r="C96" s="144" t="str">
        <f t="shared" si="91"/>
        <v>82111-47430 J</v>
      </c>
      <c r="D96" s="161" t="str">
        <f t="shared" si="91"/>
        <v>0401</v>
      </c>
      <c r="E96" s="161" t="str">
        <f t="shared" si="92"/>
        <v>A436</v>
      </c>
      <c r="F96" s="145">
        <f t="shared" si="92"/>
        <v>313</v>
      </c>
      <c r="G96" s="145">
        <f t="shared" si="92"/>
        <v>6</v>
      </c>
      <c r="H96" s="309">
        <f t="shared" si="92"/>
        <v>4.0314099999999993</v>
      </c>
      <c r="I96" s="200">
        <f t="shared" si="93"/>
        <v>4.0053999999999998</v>
      </c>
      <c r="J96" s="148" t="e">
        <f t="shared" si="94"/>
        <v>#REF!</v>
      </c>
      <c r="K96" s="149" t="e">
        <f t="shared" si="94"/>
        <v>#REF!</v>
      </c>
      <c r="L96" s="150" t="e">
        <f t="shared" si="94"/>
        <v>#REF!</v>
      </c>
      <c r="M96" s="148" t="e">
        <f t="shared" si="95"/>
        <v>#REF!</v>
      </c>
      <c r="N96" s="149" t="e">
        <f t="shared" si="95"/>
        <v>#REF!</v>
      </c>
      <c r="O96" s="150" t="e">
        <f t="shared" si="95"/>
        <v>#REF!</v>
      </c>
      <c r="P96" s="148" t="e">
        <f t="shared" si="95"/>
        <v>#REF!</v>
      </c>
      <c r="Q96" s="149" t="e">
        <f t="shared" si="95"/>
        <v>#REF!</v>
      </c>
      <c r="R96" s="150" t="e">
        <f t="shared" si="95"/>
        <v>#REF!</v>
      </c>
      <c r="S96" s="148" t="e">
        <f t="shared" si="95"/>
        <v>#REF!</v>
      </c>
      <c r="T96" s="149" t="e">
        <f t="shared" si="95"/>
        <v>#REF!</v>
      </c>
      <c r="U96" s="150" t="e">
        <f t="shared" si="95"/>
        <v>#REF!</v>
      </c>
      <c r="V96" s="148" t="e">
        <f t="shared" si="95"/>
        <v>#REF!</v>
      </c>
      <c r="W96" s="149" t="e">
        <f t="shared" si="95"/>
        <v>#REF!</v>
      </c>
      <c r="X96" s="150" t="e">
        <f t="shared" si="95"/>
        <v>#REF!</v>
      </c>
      <c r="Y96" s="148" t="e">
        <f t="shared" si="95"/>
        <v>#REF!</v>
      </c>
      <c r="Z96" s="149" t="e">
        <f t="shared" si="95"/>
        <v>#REF!</v>
      </c>
      <c r="AA96" s="150" t="e">
        <f t="shared" si="95"/>
        <v>#REF!</v>
      </c>
      <c r="AB96" s="148" t="e">
        <f t="shared" si="95"/>
        <v>#REF!</v>
      </c>
      <c r="AC96" s="170" t="e">
        <f t="shared" si="95"/>
        <v>#REF!</v>
      </c>
      <c r="AD96" s="150" t="e">
        <f t="shared" si="95"/>
        <v>#REF!</v>
      </c>
      <c r="AE96" s="151" t="e">
        <f t="shared" si="96"/>
        <v>#REF!</v>
      </c>
      <c r="AG96" s="164" t="e">
        <f t="shared" si="71"/>
        <v>#REF!</v>
      </c>
      <c r="AH96" s="165" t="e">
        <f t="shared" si="71"/>
        <v>#REF!</v>
      </c>
      <c r="AI96" s="166" t="e">
        <f t="shared" si="71"/>
        <v>#REF!</v>
      </c>
      <c r="AJ96" s="167" t="e">
        <f t="shared" si="71"/>
        <v>#REF!</v>
      </c>
      <c r="AK96" s="165" t="e">
        <f t="shared" si="72"/>
        <v>#REF!</v>
      </c>
      <c r="AL96" s="166" t="e">
        <f t="shared" si="73"/>
        <v>#REF!</v>
      </c>
      <c r="AM96" s="167" t="e">
        <f t="shared" si="73"/>
        <v>#REF!</v>
      </c>
      <c r="AN96" s="165" t="e">
        <f t="shared" si="74"/>
        <v>#REF!</v>
      </c>
      <c r="AO96" s="166" t="e">
        <f t="shared" si="75"/>
        <v>#REF!</v>
      </c>
      <c r="AP96" s="167" t="e">
        <f t="shared" si="75"/>
        <v>#REF!</v>
      </c>
      <c r="AQ96" s="165" t="e">
        <f t="shared" si="76"/>
        <v>#REF!</v>
      </c>
      <c r="AR96" s="166" t="e">
        <f t="shared" si="77"/>
        <v>#REF!</v>
      </c>
      <c r="AS96" s="167" t="e">
        <f t="shared" si="77"/>
        <v>#REF!</v>
      </c>
      <c r="AT96" s="165" t="e">
        <f t="shared" si="78"/>
        <v>#REF!</v>
      </c>
      <c r="AU96" s="166" t="e">
        <f t="shared" si="79"/>
        <v>#REF!</v>
      </c>
      <c r="AV96" s="167" t="e">
        <f t="shared" si="79"/>
        <v>#REF!</v>
      </c>
      <c r="AW96" s="165" t="e">
        <f t="shared" si="80"/>
        <v>#REF!</v>
      </c>
      <c r="AX96" s="166" t="e">
        <f t="shared" si="81"/>
        <v>#REF!</v>
      </c>
      <c r="AY96" s="167" t="e">
        <f t="shared" si="81"/>
        <v>#REF!</v>
      </c>
      <c r="AZ96" s="168" t="e">
        <f t="shared" si="82"/>
        <v>#REF!</v>
      </c>
      <c r="BA96" s="169" t="e">
        <f t="shared" si="83"/>
        <v>#REF!</v>
      </c>
      <c r="BC96" s="160" t="e">
        <f t="shared" si="84"/>
        <v>#REF!</v>
      </c>
      <c r="BD96" s="160" t="e">
        <f t="shared" si="85"/>
        <v>#REF!</v>
      </c>
      <c r="BE96" s="160" t="e">
        <f t="shared" si="86"/>
        <v>#REF!</v>
      </c>
      <c r="BF96" s="160" t="e">
        <f t="shared" si="87"/>
        <v>#REF!</v>
      </c>
      <c r="BG96" s="160" t="e">
        <f t="shared" si="88"/>
        <v>#REF!</v>
      </c>
      <c r="BH96" s="160" t="e">
        <f t="shared" si="89"/>
        <v>#REF!</v>
      </c>
    </row>
    <row r="97" spans="1:60" s="226" customFormat="1" ht="20.100000000000001" customHeight="1">
      <c r="A97" s="1531"/>
      <c r="B97" s="1527"/>
      <c r="C97" s="216" t="str">
        <f t="shared" si="91"/>
        <v xml:space="preserve">82111-47440 J </v>
      </c>
      <c r="D97" s="217" t="str">
        <f t="shared" si="91"/>
        <v>0401</v>
      </c>
      <c r="E97" s="217" t="str">
        <f t="shared" si="92"/>
        <v>A437</v>
      </c>
      <c r="F97" s="218">
        <f t="shared" si="92"/>
        <v>337</v>
      </c>
      <c r="G97" s="218">
        <f t="shared" si="92"/>
        <v>6</v>
      </c>
      <c r="H97" s="310">
        <f t="shared" si="92"/>
        <v>4.1739333333333333</v>
      </c>
      <c r="I97" s="200">
        <f t="shared" si="93"/>
        <v>4.1443000000000003</v>
      </c>
      <c r="J97" s="221" t="e">
        <f t="shared" si="94"/>
        <v>#REF!</v>
      </c>
      <c r="K97" s="222" t="e">
        <f t="shared" si="94"/>
        <v>#REF!</v>
      </c>
      <c r="L97" s="223" t="e">
        <f t="shared" si="94"/>
        <v>#REF!</v>
      </c>
      <c r="M97" s="221" t="e">
        <f t="shared" si="95"/>
        <v>#REF!</v>
      </c>
      <c r="N97" s="222" t="e">
        <f t="shared" si="95"/>
        <v>#REF!</v>
      </c>
      <c r="O97" s="223" t="e">
        <f t="shared" si="95"/>
        <v>#REF!</v>
      </c>
      <c r="P97" s="221" t="e">
        <f t="shared" si="95"/>
        <v>#REF!</v>
      </c>
      <c r="Q97" s="222" t="e">
        <f t="shared" si="95"/>
        <v>#REF!</v>
      </c>
      <c r="R97" s="223" t="e">
        <f t="shared" si="95"/>
        <v>#REF!</v>
      </c>
      <c r="S97" s="221" t="e">
        <f t="shared" si="95"/>
        <v>#REF!</v>
      </c>
      <c r="T97" s="222" t="e">
        <f t="shared" si="95"/>
        <v>#REF!</v>
      </c>
      <c r="U97" s="223" t="e">
        <f t="shared" si="95"/>
        <v>#REF!</v>
      </c>
      <c r="V97" s="221" t="e">
        <f t="shared" si="95"/>
        <v>#REF!</v>
      </c>
      <c r="W97" s="222" t="e">
        <f t="shared" si="95"/>
        <v>#REF!</v>
      </c>
      <c r="X97" s="223" t="e">
        <f t="shared" si="95"/>
        <v>#REF!</v>
      </c>
      <c r="Y97" s="221" t="e">
        <f t="shared" si="95"/>
        <v>#REF!</v>
      </c>
      <c r="Z97" s="222" t="e">
        <f t="shared" si="95"/>
        <v>#REF!</v>
      </c>
      <c r="AA97" s="223" t="e">
        <f t="shared" si="95"/>
        <v>#REF!</v>
      </c>
      <c r="AB97" s="221" t="e">
        <f t="shared" si="95"/>
        <v>#REF!</v>
      </c>
      <c r="AC97" s="253" t="e">
        <f t="shared" si="95"/>
        <v>#REF!</v>
      </c>
      <c r="AD97" s="223" t="e">
        <f t="shared" si="95"/>
        <v>#REF!</v>
      </c>
      <c r="AE97" s="225" t="e">
        <f t="shared" si="96"/>
        <v>#REF!</v>
      </c>
      <c r="AG97" s="227" t="e">
        <f t="shared" si="71"/>
        <v>#REF!</v>
      </c>
      <c r="AH97" s="228" t="e">
        <f t="shared" si="71"/>
        <v>#REF!</v>
      </c>
      <c r="AI97" s="229" t="e">
        <f t="shared" si="71"/>
        <v>#REF!</v>
      </c>
      <c r="AJ97" s="230" t="e">
        <f t="shared" si="71"/>
        <v>#REF!</v>
      </c>
      <c r="AK97" s="228" t="e">
        <f t="shared" si="72"/>
        <v>#REF!</v>
      </c>
      <c r="AL97" s="229" t="e">
        <f t="shared" si="73"/>
        <v>#REF!</v>
      </c>
      <c r="AM97" s="230" t="e">
        <f t="shared" si="73"/>
        <v>#REF!</v>
      </c>
      <c r="AN97" s="228" t="e">
        <f t="shared" si="74"/>
        <v>#REF!</v>
      </c>
      <c r="AO97" s="229" t="e">
        <f t="shared" si="75"/>
        <v>#REF!</v>
      </c>
      <c r="AP97" s="230" t="e">
        <f t="shared" si="75"/>
        <v>#REF!</v>
      </c>
      <c r="AQ97" s="228" t="e">
        <f t="shared" si="76"/>
        <v>#REF!</v>
      </c>
      <c r="AR97" s="229" t="e">
        <f t="shared" si="77"/>
        <v>#REF!</v>
      </c>
      <c r="AS97" s="230" t="e">
        <f t="shared" si="77"/>
        <v>#REF!</v>
      </c>
      <c r="AT97" s="228" t="e">
        <f t="shared" si="78"/>
        <v>#REF!</v>
      </c>
      <c r="AU97" s="229" t="e">
        <f t="shared" si="79"/>
        <v>#REF!</v>
      </c>
      <c r="AV97" s="230" t="e">
        <f t="shared" si="79"/>
        <v>#REF!</v>
      </c>
      <c r="AW97" s="228" t="e">
        <f t="shared" si="80"/>
        <v>#REF!</v>
      </c>
      <c r="AX97" s="229" t="e">
        <f t="shared" si="81"/>
        <v>#REF!</v>
      </c>
      <c r="AY97" s="230" t="e">
        <f t="shared" si="81"/>
        <v>#REF!</v>
      </c>
      <c r="AZ97" s="231" t="e">
        <f t="shared" si="82"/>
        <v>#REF!</v>
      </c>
      <c r="BA97" s="232" t="e">
        <f t="shared" si="83"/>
        <v>#REF!</v>
      </c>
      <c r="BC97" s="160" t="e">
        <f t="shared" si="84"/>
        <v>#REF!</v>
      </c>
      <c r="BD97" s="160" t="e">
        <f t="shared" si="85"/>
        <v>#REF!</v>
      </c>
      <c r="BE97" s="160" t="e">
        <f t="shared" si="86"/>
        <v>#REF!</v>
      </c>
      <c r="BF97" s="160" t="e">
        <f t="shared" si="87"/>
        <v>#REF!</v>
      </c>
      <c r="BG97" s="160" t="e">
        <f t="shared" si="88"/>
        <v>#REF!</v>
      </c>
      <c r="BH97" s="160" t="e">
        <f t="shared" si="89"/>
        <v>#REF!</v>
      </c>
    </row>
    <row r="98" spans="1:60" s="226" customFormat="1" ht="20.100000000000001" customHeight="1">
      <c r="A98" s="321"/>
      <c r="B98" s="322"/>
      <c r="C98" s="216" t="str">
        <f t="shared" si="91"/>
        <v>82111-47371</v>
      </c>
      <c r="D98" s="217">
        <f t="shared" si="91"/>
        <v>0</v>
      </c>
      <c r="E98" s="217" t="e">
        <f t="shared" si="92"/>
        <v>#N/A</v>
      </c>
      <c r="F98" s="218">
        <f t="shared" si="92"/>
        <v>321</v>
      </c>
      <c r="G98" s="218">
        <f t="shared" si="92"/>
        <v>6</v>
      </c>
      <c r="H98" s="310">
        <f t="shared" si="92"/>
        <v>4.1404883333333329</v>
      </c>
      <c r="I98" s="200">
        <f t="shared" si="93"/>
        <v>4.1082999999999998</v>
      </c>
      <c r="J98" s="221" t="e">
        <f t="shared" si="94"/>
        <v>#REF!</v>
      </c>
      <c r="K98" s="222" t="e">
        <f t="shared" si="94"/>
        <v>#REF!</v>
      </c>
      <c r="L98" s="223" t="e">
        <f t="shared" si="94"/>
        <v>#REF!</v>
      </c>
      <c r="M98" s="221" t="e">
        <f t="shared" si="95"/>
        <v>#REF!</v>
      </c>
      <c r="N98" s="222" t="e">
        <f t="shared" si="95"/>
        <v>#REF!</v>
      </c>
      <c r="O98" s="223" t="e">
        <f t="shared" si="95"/>
        <v>#REF!</v>
      </c>
      <c r="P98" s="221" t="e">
        <f t="shared" si="95"/>
        <v>#REF!</v>
      </c>
      <c r="Q98" s="222" t="e">
        <f t="shared" si="95"/>
        <v>#REF!</v>
      </c>
      <c r="R98" s="223" t="e">
        <f t="shared" si="95"/>
        <v>#REF!</v>
      </c>
      <c r="S98" s="221" t="e">
        <f t="shared" si="95"/>
        <v>#REF!</v>
      </c>
      <c r="T98" s="222" t="e">
        <f t="shared" si="95"/>
        <v>#REF!</v>
      </c>
      <c r="U98" s="223" t="e">
        <f t="shared" si="95"/>
        <v>#REF!</v>
      </c>
      <c r="V98" s="221" t="e">
        <f t="shared" si="95"/>
        <v>#REF!</v>
      </c>
      <c r="W98" s="222" t="e">
        <f t="shared" si="95"/>
        <v>#REF!</v>
      </c>
      <c r="X98" s="223" t="e">
        <f t="shared" si="95"/>
        <v>#REF!</v>
      </c>
      <c r="Y98" s="221" t="e">
        <f t="shared" si="95"/>
        <v>#REF!</v>
      </c>
      <c r="Z98" s="222" t="e">
        <f t="shared" si="95"/>
        <v>#REF!</v>
      </c>
      <c r="AA98" s="223" t="e">
        <f t="shared" si="95"/>
        <v>#REF!</v>
      </c>
      <c r="AB98" s="221" t="e">
        <f t="shared" si="95"/>
        <v>#REF!</v>
      </c>
      <c r="AC98" s="253" t="e">
        <f t="shared" si="95"/>
        <v>#REF!</v>
      </c>
      <c r="AD98" s="223" t="e">
        <f t="shared" si="95"/>
        <v>#REF!</v>
      </c>
      <c r="AE98" s="225" t="e">
        <f t="shared" si="96"/>
        <v>#REF!</v>
      </c>
      <c r="AG98" s="227" t="e">
        <f t="shared" ref="AG98:AJ110" si="97">J98*$F98</f>
        <v>#REF!</v>
      </c>
      <c r="AH98" s="228" t="e">
        <f t="shared" si="97"/>
        <v>#REF!</v>
      </c>
      <c r="AI98" s="229" t="e">
        <f t="shared" si="97"/>
        <v>#REF!</v>
      </c>
      <c r="AJ98" s="230" t="e">
        <f t="shared" si="97"/>
        <v>#REF!</v>
      </c>
      <c r="AK98" s="228" t="e">
        <f>K98*$F98</f>
        <v>#REF!</v>
      </c>
      <c r="AL98" s="229" t="e">
        <f>O98*$F98</f>
        <v>#REF!</v>
      </c>
      <c r="AM98" s="230" t="e">
        <f>P98*$F98</f>
        <v>#REF!</v>
      </c>
      <c r="AN98" s="228" t="e">
        <f>N98*$F98</f>
        <v>#REF!</v>
      </c>
      <c r="AO98" s="229" t="e">
        <f>R98*$F98</f>
        <v>#REF!</v>
      </c>
      <c r="AP98" s="230" t="e">
        <f>S98*$F98</f>
        <v>#REF!</v>
      </c>
      <c r="AQ98" s="228" t="e">
        <f>Q98*$F98</f>
        <v>#REF!</v>
      </c>
      <c r="AR98" s="229" t="e">
        <f>U98*$F98</f>
        <v>#REF!</v>
      </c>
      <c r="AS98" s="230" t="e">
        <f>V98*$F98</f>
        <v>#REF!</v>
      </c>
      <c r="AT98" s="228" t="e">
        <f>T98*$F98</f>
        <v>#REF!</v>
      </c>
      <c r="AU98" s="229" t="e">
        <f>X98*$F98</f>
        <v>#REF!</v>
      </c>
      <c r="AV98" s="230" t="e">
        <f>Y98*$F98</f>
        <v>#REF!</v>
      </c>
      <c r="AW98" s="228" t="e">
        <f>W98*$F98</f>
        <v>#REF!</v>
      </c>
      <c r="AX98" s="229" t="e">
        <f>AA98*$F98</f>
        <v>#REF!</v>
      </c>
      <c r="AY98" s="230" t="e">
        <f>AB98*$F98</f>
        <v>#REF!</v>
      </c>
      <c r="AZ98" s="231" t="e">
        <f>Z98*$F98</f>
        <v>#REF!</v>
      </c>
      <c r="BA98" s="232" t="e">
        <f>AD98*$F98</f>
        <v>#REF!</v>
      </c>
      <c r="BC98" s="160" t="e">
        <f>ROUNDUP(O98/$BC$13,0)</f>
        <v>#REF!</v>
      </c>
      <c r="BD98" s="160" t="e">
        <f>ROUNDUP(R98/$BD$13,0)</f>
        <v>#REF!</v>
      </c>
      <c r="BE98" s="160" t="e">
        <f>ROUNDUP(U98/$BE$13,0)</f>
        <v>#REF!</v>
      </c>
      <c r="BF98" s="160" t="e">
        <f>ROUNDUP(X98/$BF$13,0)</f>
        <v>#REF!</v>
      </c>
      <c r="BG98" s="160" t="e">
        <f>ROUNDUP(AA98/$BG$13,0)</f>
        <v>#REF!</v>
      </c>
      <c r="BH98" s="160" t="e">
        <f>ROUNDUP(AD98/$BH$13,0)</f>
        <v>#REF!</v>
      </c>
    </row>
    <row r="99" spans="1:60" s="226" customFormat="1" ht="20.100000000000001" customHeight="1">
      <c r="A99" s="321"/>
      <c r="B99" s="322"/>
      <c r="C99" s="216" t="str">
        <f t="shared" si="91"/>
        <v>82111-47372</v>
      </c>
      <c r="D99" s="217" t="e">
        <f t="shared" si="91"/>
        <v>#N/A</v>
      </c>
      <c r="E99" s="217" t="e">
        <f t="shared" si="92"/>
        <v>#N/A</v>
      </c>
      <c r="F99" s="218">
        <f t="shared" si="92"/>
        <v>321</v>
      </c>
      <c r="G99" s="218">
        <f t="shared" si="92"/>
        <v>6</v>
      </c>
      <c r="H99" s="310">
        <f t="shared" si="92"/>
        <v>4.1404883333333329</v>
      </c>
      <c r="I99" s="200">
        <f t="shared" si="93"/>
        <v>4.1192000000000002</v>
      </c>
      <c r="J99" s="221" t="e">
        <f t="shared" si="94"/>
        <v>#REF!</v>
      </c>
      <c r="K99" s="222" t="e">
        <f t="shared" si="94"/>
        <v>#REF!</v>
      </c>
      <c r="L99" s="223" t="e">
        <f t="shared" si="94"/>
        <v>#REF!</v>
      </c>
      <c r="M99" s="221" t="e">
        <f t="shared" si="95"/>
        <v>#REF!</v>
      </c>
      <c r="N99" s="222" t="e">
        <f t="shared" si="95"/>
        <v>#REF!</v>
      </c>
      <c r="O99" s="223" t="e">
        <f t="shared" si="95"/>
        <v>#REF!</v>
      </c>
      <c r="P99" s="221" t="e">
        <f t="shared" si="95"/>
        <v>#REF!</v>
      </c>
      <c r="Q99" s="222" t="e">
        <f t="shared" si="95"/>
        <v>#REF!</v>
      </c>
      <c r="R99" s="223" t="e">
        <f t="shared" si="95"/>
        <v>#REF!</v>
      </c>
      <c r="S99" s="221" t="e">
        <f t="shared" si="95"/>
        <v>#REF!</v>
      </c>
      <c r="T99" s="222" t="e">
        <f t="shared" si="95"/>
        <v>#REF!</v>
      </c>
      <c r="U99" s="223" t="e">
        <f t="shared" si="95"/>
        <v>#REF!</v>
      </c>
      <c r="V99" s="221" t="e">
        <f t="shared" si="95"/>
        <v>#REF!</v>
      </c>
      <c r="W99" s="222" t="e">
        <f t="shared" si="95"/>
        <v>#REF!</v>
      </c>
      <c r="X99" s="223" t="e">
        <f t="shared" si="95"/>
        <v>#REF!</v>
      </c>
      <c r="Y99" s="221" t="e">
        <f t="shared" si="95"/>
        <v>#REF!</v>
      </c>
      <c r="Z99" s="222" t="e">
        <f t="shared" si="95"/>
        <v>#REF!</v>
      </c>
      <c r="AA99" s="223" t="e">
        <f t="shared" si="95"/>
        <v>#REF!</v>
      </c>
      <c r="AB99" s="221" t="e">
        <f t="shared" si="95"/>
        <v>#REF!</v>
      </c>
      <c r="AC99" s="253" t="e">
        <f t="shared" si="95"/>
        <v>#REF!</v>
      </c>
      <c r="AD99" s="223" t="e">
        <f t="shared" si="95"/>
        <v>#REF!</v>
      </c>
      <c r="AE99" s="225" t="e">
        <f t="shared" si="96"/>
        <v>#REF!</v>
      </c>
      <c r="AG99" s="227" t="e">
        <f t="shared" si="97"/>
        <v>#REF!</v>
      </c>
      <c r="AH99" s="228" t="e">
        <f t="shared" si="97"/>
        <v>#REF!</v>
      </c>
      <c r="AI99" s="229" t="e">
        <f t="shared" si="97"/>
        <v>#REF!</v>
      </c>
      <c r="AJ99" s="230" t="e">
        <f t="shared" si="97"/>
        <v>#REF!</v>
      </c>
      <c r="AK99" s="228" t="e">
        <f>K99*$F99</f>
        <v>#REF!</v>
      </c>
      <c r="AL99" s="229" t="e">
        <f>O99*$F99</f>
        <v>#REF!</v>
      </c>
      <c r="AM99" s="230" t="e">
        <f>P99*$F99</f>
        <v>#REF!</v>
      </c>
      <c r="AN99" s="228" t="e">
        <f>N99*$F99</f>
        <v>#REF!</v>
      </c>
      <c r="AO99" s="229" t="e">
        <f>R99*$F99</f>
        <v>#REF!</v>
      </c>
      <c r="AP99" s="230" t="e">
        <f>S99*$F99</f>
        <v>#REF!</v>
      </c>
      <c r="AQ99" s="228" t="e">
        <f>Q99*$F99</f>
        <v>#REF!</v>
      </c>
      <c r="AR99" s="229" t="e">
        <f>U99*$F99</f>
        <v>#REF!</v>
      </c>
      <c r="AS99" s="230" t="e">
        <f>V99*$F99</f>
        <v>#REF!</v>
      </c>
      <c r="AT99" s="228" t="e">
        <f>T99*$F99</f>
        <v>#REF!</v>
      </c>
      <c r="AU99" s="229" t="e">
        <f>X99*$F99</f>
        <v>#REF!</v>
      </c>
      <c r="AV99" s="230" t="e">
        <f>Y99*$F99</f>
        <v>#REF!</v>
      </c>
      <c r="AW99" s="228" t="e">
        <f>W99*$F99</f>
        <v>#REF!</v>
      </c>
      <c r="AX99" s="229" t="e">
        <f>AA99*$F99</f>
        <v>#REF!</v>
      </c>
      <c r="AY99" s="230" t="e">
        <f>AB99*$F99</f>
        <v>#REF!</v>
      </c>
      <c r="AZ99" s="231" t="e">
        <f>Z99*$F99</f>
        <v>#REF!</v>
      </c>
      <c r="BA99" s="232" t="e">
        <f>AD99*$F99</f>
        <v>#REF!</v>
      </c>
      <c r="BC99" s="160" t="e">
        <f>ROUNDUP(O99/$BC$13,0)</f>
        <v>#REF!</v>
      </c>
      <c r="BD99" s="160" t="e">
        <f>ROUNDUP(R99/$BD$13,0)</f>
        <v>#REF!</v>
      </c>
      <c r="BE99" s="160" t="e">
        <f>ROUNDUP(U99/$BE$13,0)</f>
        <v>#REF!</v>
      </c>
      <c r="BF99" s="160" t="e">
        <f>ROUNDUP(X99/$BF$13,0)</f>
        <v>#REF!</v>
      </c>
      <c r="BG99" s="160" t="e">
        <f>ROUNDUP(AA99/$BG$13,0)</f>
        <v>#REF!</v>
      </c>
      <c r="BH99" s="160" t="e">
        <f>ROUNDUP(AD99/$BH$13,0)</f>
        <v>#REF!</v>
      </c>
    </row>
    <row r="100" spans="1:60" s="152" customFormat="1" ht="20.100000000000001" customHeight="1">
      <c r="A100" s="315"/>
      <c r="B100" s="1526"/>
      <c r="C100" s="171" t="str">
        <f t="shared" si="91"/>
        <v>82111-47391</v>
      </c>
      <c r="D100" s="214">
        <f t="shared" si="91"/>
        <v>0</v>
      </c>
      <c r="E100" s="214" t="e">
        <f t="shared" si="92"/>
        <v>#N/A</v>
      </c>
      <c r="F100" s="172">
        <f t="shared" si="92"/>
        <v>347</v>
      </c>
      <c r="G100" s="172">
        <f t="shared" si="92"/>
        <v>6</v>
      </c>
      <c r="H100" s="173">
        <f t="shared" si="92"/>
        <v>4.1974933333333331</v>
      </c>
      <c r="I100" s="220">
        <f t="shared" si="93"/>
        <v>4.1611000000000002</v>
      </c>
      <c r="J100" s="174" t="e">
        <f t="shared" si="94"/>
        <v>#REF!</v>
      </c>
      <c r="K100" s="175" t="e">
        <f t="shared" si="94"/>
        <v>#REF!</v>
      </c>
      <c r="L100" s="176" t="e">
        <f t="shared" si="94"/>
        <v>#REF!</v>
      </c>
      <c r="M100" s="174" t="e">
        <f t="shared" si="95"/>
        <v>#REF!</v>
      </c>
      <c r="N100" s="175" t="e">
        <f t="shared" si="95"/>
        <v>#REF!</v>
      </c>
      <c r="O100" s="176" t="e">
        <f t="shared" si="95"/>
        <v>#REF!</v>
      </c>
      <c r="P100" s="174" t="e">
        <f t="shared" si="95"/>
        <v>#REF!</v>
      </c>
      <c r="Q100" s="175" t="e">
        <f t="shared" si="95"/>
        <v>#REF!</v>
      </c>
      <c r="R100" s="176" t="e">
        <f t="shared" si="95"/>
        <v>#REF!</v>
      </c>
      <c r="S100" s="174" t="e">
        <f t="shared" si="95"/>
        <v>#REF!</v>
      </c>
      <c r="T100" s="175" t="e">
        <f t="shared" si="95"/>
        <v>#REF!</v>
      </c>
      <c r="U100" s="176" t="e">
        <f t="shared" si="95"/>
        <v>#REF!</v>
      </c>
      <c r="V100" s="174" t="e">
        <f t="shared" si="95"/>
        <v>#REF!</v>
      </c>
      <c r="W100" s="175" t="e">
        <f t="shared" si="95"/>
        <v>#REF!</v>
      </c>
      <c r="X100" s="176" t="e">
        <f t="shared" si="95"/>
        <v>#REF!</v>
      </c>
      <c r="Y100" s="174" t="e">
        <f t="shared" si="95"/>
        <v>#REF!</v>
      </c>
      <c r="Z100" s="175" t="e">
        <f t="shared" si="95"/>
        <v>#REF!</v>
      </c>
      <c r="AA100" s="176" t="e">
        <f t="shared" si="95"/>
        <v>#REF!</v>
      </c>
      <c r="AB100" s="174" t="e">
        <f t="shared" si="95"/>
        <v>#REF!</v>
      </c>
      <c r="AC100" s="215" t="e">
        <f t="shared" si="95"/>
        <v>#REF!</v>
      </c>
      <c r="AD100" s="176" t="e">
        <f t="shared" si="95"/>
        <v>#REF!</v>
      </c>
      <c r="AE100" s="177" t="e">
        <f t="shared" si="96"/>
        <v>#REF!</v>
      </c>
      <c r="AG100" s="164" t="e">
        <f t="shared" si="97"/>
        <v>#REF!</v>
      </c>
      <c r="AH100" s="165" t="e">
        <f t="shared" si="97"/>
        <v>#REF!</v>
      </c>
      <c r="AI100" s="166" t="e">
        <f t="shared" si="97"/>
        <v>#REF!</v>
      </c>
      <c r="AJ100" s="167" t="e">
        <f t="shared" si="97"/>
        <v>#REF!</v>
      </c>
      <c r="AK100" s="165" t="e">
        <f t="shared" ref="AK100:AK110" si="98">K100*$F100</f>
        <v>#REF!</v>
      </c>
      <c r="AL100" s="166" t="e">
        <f t="shared" ref="AL100:AM110" si="99">O100*$F100</f>
        <v>#REF!</v>
      </c>
      <c r="AM100" s="167" t="e">
        <f t="shared" si="99"/>
        <v>#REF!</v>
      </c>
      <c r="AN100" s="165" t="e">
        <f t="shared" ref="AN100:AN110" si="100">N100*$F100</f>
        <v>#REF!</v>
      </c>
      <c r="AO100" s="166" t="e">
        <f t="shared" ref="AO100:AP110" si="101">R100*$F100</f>
        <v>#REF!</v>
      </c>
      <c r="AP100" s="167" t="e">
        <f t="shared" si="101"/>
        <v>#REF!</v>
      </c>
      <c r="AQ100" s="165" t="e">
        <f t="shared" ref="AQ100:AQ110" si="102">Q100*$F100</f>
        <v>#REF!</v>
      </c>
      <c r="AR100" s="166" t="e">
        <f t="shared" ref="AR100:AS110" si="103">U100*$F100</f>
        <v>#REF!</v>
      </c>
      <c r="AS100" s="167" t="e">
        <f t="shared" si="103"/>
        <v>#REF!</v>
      </c>
      <c r="AT100" s="165" t="e">
        <f t="shared" ref="AT100:AT110" si="104">T100*$F100</f>
        <v>#REF!</v>
      </c>
      <c r="AU100" s="166" t="e">
        <f t="shared" ref="AU100:AV110" si="105">X100*$F100</f>
        <v>#REF!</v>
      </c>
      <c r="AV100" s="167" t="e">
        <f t="shared" si="105"/>
        <v>#REF!</v>
      </c>
      <c r="AW100" s="165" t="e">
        <f t="shared" ref="AW100:AW110" si="106">W100*$F100</f>
        <v>#REF!</v>
      </c>
      <c r="AX100" s="166" t="e">
        <f t="shared" ref="AX100:AY110" si="107">AA100*$F100</f>
        <v>#REF!</v>
      </c>
      <c r="AY100" s="167" t="e">
        <f t="shared" si="107"/>
        <v>#REF!</v>
      </c>
      <c r="AZ100" s="168" t="e">
        <f t="shared" ref="AZ100:AZ110" si="108">Z100*$F100</f>
        <v>#REF!</v>
      </c>
      <c r="BA100" s="169" t="e">
        <f t="shared" ref="BA100:BA110" si="109">AD100*$F100</f>
        <v>#REF!</v>
      </c>
      <c r="BC100" s="178" t="e">
        <f t="shared" ref="BC100:BC110" si="110">ROUNDUP(O100/$BC$13,0)</f>
        <v>#REF!</v>
      </c>
      <c r="BD100" s="178" t="e">
        <f t="shared" ref="BD100:BD110" si="111">ROUNDUP(R100/$BD$13,0)</f>
        <v>#REF!</v>
      </c>
      <c r="BE100" s="178" t="e">
        <f t="shared" ref="BE100:BE110" si="112">ROUNDUP(U100/$BE$13,0)</f>
        <v>#REF!</v>
      </c>
      <c r="BF100" s="178" t="e">
        <f t="shared" ref="BF100:BF110" si="113">ROUNDUP(X100/$BF$13,0)</f>
        <v>#REF!</v>
      </c>
      <c r="BG100" s="178" t="e">
        <f t="shared" ref="BG100:BG110" si="114">ROUNDUP(AA100/$BG$13,0)</f>
        <v>#REF!</v>
      </c>
      <c r="BH100" s="178" t="e">
        <f t="shared" ref="BH100:BH110" si="115">ROUNDUP(AD100/$BH$13,0)</f>
        <v>#REF!</v>
      </c>
    </row>
    <row r="101" spans="1:60" s="152" customFormat="1" ht="20.100000000000001" customHeight="1">
      <c r="A101" s="315"/>
      <c r="B101" s="1526"/>
      <c r="C101" s="171" t="str">
        <f t="shared" si="91"/>
        <v>82111-47392</v>
      </c>
      <c r="D101" s="214" t="e">
        <f t="shared" si="91"/>
        <v>#N/A</v>
      </c>
      <c r="E101" s="214" t="e">
        <f t="shared" si="92"/>
        <v>#N/A</v>
      </c>
      <c r="F101" s="172">
        <f t="shared" si="92"/>
        <v>347</v>
      </c>
      <c r="G101" s="172">
        <f t="shared" si="92"/>
        <v>6</v>
      </c>
      <c r="H101" s="173">
        <f t="shared" si="92"/>
        <v>4.1974933333333331</v>
      </c>
      <c r="I101" s="220">
        <f t="shared" si="93"/>
        <v>4.1684000000000001</v>
      </c>
      <c r="J101" s="174" t="e">
        <f t="shared" si="94"/>
        <v>#REF!</v>
      </c>
      <c r="K101" s="175" t="e">
        <f t="shared" si="94"/>
        <v>#REF!</v>
      </c>
      <c r="L101" s="176" t="e">
        <f t="shared" si="94"/>
        <v>#REF!</v>
      </c>
      <c r="M101" s="174" t="e">
        <f t="shared" si="95"/>
        <v>#REF!</v>
      </c>
      <c r="N101" s="175" t="e">
        <f t="shared" si="95"/>
        <v>#REF!</v>
      </c>
      <c r="O101" s="176" t="e">
        <f t="shared" si="95"/>
        <v>#REF!</v>
      </c>
      <c r="P101" s="174" t="e">
        <f t="shared" si="95"/>
        <v>#REF!</v>
      </c>
      <c r="Q101" s="175" t="e">
        <f t="shared" si="95"/>
        <v>#REF!</v>
      </c>
      <c r="R101" s="176" t="e">
        <f t="shared" si="95"/>
        <v>#REF!</v>
      </c>
      <c r="S101" s="174" t="e">
        <f t="shared" si="95"/>
        <v>#REF!</v>
      </c>
      <c r="T101" s="175" t="e">
        <f t="shared" si="95"/>
        <v>#REF!</v>
      </c>
      <c r="U101" s="176" t="e">
        <f t="shared" si="95"/>
        <v>#REF!</v>
      </c>
      <c r="V101" s="174" t="e">
        <f t="shared" si="95"/>
        <v>#REF!</v>
      </c>
      <c r="W101" s="175" t="e">
        <f t="shared" si="95"/>
        <v>#REF!</v>
      </c>
      <c r="X101" s="176" t="e">
        <f t="shared" si="95"/>
        <v>#REF!</v>
      </c>
      <c r="Y101" s="174" t="e">
        <f t="shared" si="95"/>
        <v>#REF!</v>
      </c>
      <c r="Z101" s="175" t="e">
        <f t="shared" si="95"/>
        <v>#REF!</v>
      </c>
      <c r="AA101" s="176" t="e">
        <f t="shared" si="95"/>
        <v>#REF!</v>
      </c>
      <c r="AB101" s="174" t="e">
        <f t="shared" si="95"/>
        <v>#REF!</v>
      </c>
      <c r="AC101" s="215" t="e">
        <f t="shared" si="95"/>
        <v>#REF!</v>
      </c>
      <c r="AD101" s="176" t="e">
        <f t="shared" si="95"/>
        <v>#REF!</v>
      </c>
      <c r="AE101" s="177" t="e">
        <f t="shared" si="96"/>
        <v>#REF!</v>
      </c>
      <c r="AG101" s="164" t="e">
        <f>J101*$F101</f>
        <v>#REF!</v>
      </c>
      <c r="AH101" s="165" t="e">
        <f>K101*$F101</f>
        <v>#REF!</v>
      </c>
      <c r="AI101" s="166" t="e">
        <f>L101*$F101</f>
        <v>#REF!</v>
      </c>
      <c r="AJ101" s="167" t="e">
        <f>M101*$F101</f>
        <v>#REF!</v>
      </c>
      <c r="AK101" s="165" t="e">
        <f>K101*$F101</f>
        <v>#REF!</v>
      </c>
      <c r="AL101" s="166" t="e">
        <f>O101*$F101</f>
        <v>#REF!</v>
      </c>
      <c r="AM101" s="167" t="e">
        <f>P101*$F101</f>
        <v>#REF!</v>
      </c>
      <c r="AN101" s="165" t="e">
        <f>N101*$F101</f>
        <v>#REF!</v>
      </c>
      <c r="AO101" s="166" t="e">
        <f>R101*$F101</f>
        <v>#REF!</v>
      </c>
      <c r="AP101" s="167" t="e">
        <f>S101*$F101</f>
        <v>#REF!</v>
      </c>
      <c r="AQ101" s="165" t="e">
        <f>Q101*$F101</f>
        <v>#REF!</v>
      </c>
      <c r="AR101" s="166" t="e">
        <f>U101*$F101</f>
        <v>#REF!</v>
      </c>
      <c r="AS101" s="167" t="e">
        <f>V101*$F101</f>
        <v>#REF!</v>
      </c>
      <c r="AT101" s="165" t="e">
        <f>T101*$F101</f>
        <v>#REF!</v>
      </c>
      <c r="AU101" s="166" t="e">
        <f>X101*$F101</f>
        <v>#REF!</v>
      </c>
      <c r="AV101" s="167" t="e">
        <f>Y101*$F101</f>
        <v>#REF!</v>
      </c>
      <c r="AW101" s="165" t="e">
        <f>W101*$F101</f>
        <v>#REF!</v>
      </c>
      <c r="AX101" s="166" t="e">
        <f>AA101*$F101</f>
        <v>#REF!</v>
      </c>
      <c r="AY101" s="167" t="e">
        <f>AB101*$F101</f>
        <v>#REF!</v>
      </c>
      <c r="AZ101" s="168" t="e">
        <f>Z101*$F101</f>
        <v>#REF!</v>
      </c>
      <c r="BA101" s="169" t="e">
        <f>AD101*$F101</f>
        <v>#REF!</v>
      </c>
      <c r="BC101" s="178" t="e">
        <f>ROUNDUP(O101/$BC$13,0)</f>
        <v>#REF!</v>
      </c>
      <c r="BD101" s="178" t="e">
        <f>ROUNDUP(R101/$BD$13,0)</f>
        <v>#REF!</v>
      </c>
      <c r="BE101" s="178" t="e">
        <f>ROUNDUP(U101/$BE$13,0)</f>
        <v>#REF!</v>
      </c>
      <c r="BF101" s="178" t="e">
        <f>ROUNDUP(X101/$BF$13,0)</f>
        <v>#REF!</v>
      </c>
      <c r="BG101" s="178" t="e">
        <f>ROUNDUP(AA101/$BG$13,0)</f>
        <v>#REF!</v>
      </c>
      <c r="BH101" s="178" t="e">
        <f>ROUNDUP(AD101/$BH$13,0)</f>
        <v>#REF!</v>
      </c>
    </row>
    <row r="102" spans="1:60" s="152" customFormat="1" ht="20.100000000000001" customHeight="1">
      <c r="A102" s="315"/>
      <c r="B102" s="1526"/>
      <c r="C102" s="233" t="str">
        <f t="shared" si="91"/>
        <v>82111-47401</v>
      </c>
      <c r="D102" s="234">
        <f t="shared" si="91"/>
        <v>0</v>
      </c>
      <c r="E102" s="234" t="e">
        <f t="shared" si="92"/>
        <v>#N/A</v>
      </c>
      <c r="F102" s="235">
        <f t="shared" si="92"/>
        <v>313</v>
      </c>
      <c r="G102" s="235">
        <f t="shared" si="92"/>
        <v>6</v>
      </c>
      <c r="H102" s="307">
        <f t="shared" si="92"/>
        <v>4.2965533333333328</v>
      </c>
      <c r="I102" s="220">
        <f t="shared" si="93"/>
        <v>4.2606999999999999</v>
      </c>
      <c r="J102" s="236" t="e">
        <f t="shared" si="94"/>
        <v>#REF!</v>
      </c>
      <c r="K102" s="237" t="e">
        <f t="shared" si="94"/>
        <v>#REF!</v>
      </c>
      <c r="L102" s="238" t="e">
        <f t="shared" si="94"/>
        <v>#REF!</v>
      </c>
      <c r="M102" s="236" t="e">
        <f t="shared" si="95"/>
        <v>#REF!</v>
      </c>
      <c r="N102" s="237" t="e">
        <f t="shared" si="95"/>
        <v>#REF!</v>
      </c>
      <c r="O102" s="238" t="e">
        <f t="shared" si="95"/>
        <v>#REF!</v>
      </c>
      <c r="P102" s="236" t="e">
        <f t="shared" si="95"/>
        <v>#REF!</v>
      </c>
      <c r="Q102" s="237" t="e">
        <f t="shared" si="95"/>
        <v>#REF!</v>
      </c>
      <c r="R102" s="238" t="e">
        <f t="shared" si="95"/>
        <v>#REF!</v>
      </c>
      <c r="S102" s="236" t="e">
        <f t="shared" si="95"/>
        <v>#REF!</v>
      </c>
      <c r="T102" s="237" t="e">
        <f t="shared" si="95"/>
        <v>#REF!</v>
      </c>
      <c r="U102" s="238" t="e">
        <f t="shared" si="95"/>
        <v>#REF!</v>
      </c>
      <c r="V102" s="236" t="e">
        <f t="shared" si="95"/>
        <v>#REF!</v>
      </c>
      <c r="W102" s="237" t="e">
        <f t="shared" si="95"/>
        <v>#REF!</v>
      </c>
      <c r="X102" s="238" t="e">
        <f t="shared" si="95"/>
        <v>#REF!</v>
      </c>
      <c r="Y102" s="236" t="e">
        <f t="shared" si="95"/>
        <v>#REF!</v>
      </c>
      <c r="Z102" s="237" t="e">
        <f t="shared" si="95"/>
        <v>#REF!</v>
      </c>
      <c r="AA102" s="238" t="e">
        <f t="shared" si="95"/>
        <v>#REF!</v>
      </c>
      <c r="AB102" s="236" t="e">
        <f t="shared" si="95"/>
        <v>#REF!</v>
      </c>
      <c r="AC102" s="239" t="e">
        <f t="shared" si="95"/>
        <v>#REF!</v>
      </c>
      <c r="AD102" s="238" t="e">
        <f t="shared" si="95"/>
        <v>#REF!</v>
      </c>
      <c r="AE102" s="240" t="e">
        <f t="shared" si="96"/>
        <v>#REF!</v>
      </c>
      <c r="AG102" s="164" t="e">
        <f t="shared" si="97"/>
        <v>#REF!</v>
      </c>
      <c r="AH102" s="165" t="e">
        <f t="shared" si="97"/>
        <v>#REF!</v>
      </c>
      <c r="AI102" s="166" t="e">
        <f t="shared" si="97"/>
        <v>#REF!</v>
      </c>
      <c r="AJ102" s="167" t="e">
        <f t="shared" si="97"/>
        <v>#REF!</v>
      </c>
      <c r="AK102" s="165" t="e">
        <f t="shared" si="98"/>
        <v>#REF!</v>
      </c>
      <c r="AL102" s="166" t="e">
        <f t="shared" si="99"/>
        <v>#REF!</v>
      </c>
      <c r="AM102" s="167" t="e">
        <f t="shared" si="99"/>
        <v>#REF!</v>
      </c>
      <c r="AN102" s="165" t="e">
        <f t="shared" si="100"/>
        <v>#REF!</v>
      </c>
      <c r="AO102" s="166" t="e">
        <f t="shared" si="101"/>
        <v>#REF!</v>
      </c>
      <c r="AP102" s="167" t="e">
        <f t="shared" si="101"/>
        <v>#REF!</v>
      </c>
      <c r="AQ102" s="165" t="e">
        <f t="shared" si="102"/>
        <v>#REF!</v>
      </c>
      <c r="AR102" s="166" t="e">
        <f t="shared" si="103"/>
        <v>#REF!</v>
      </c>
      <c r="AS102" s="167" t="e">
        <f t="shared" si="103"/>
        <v>#REF!</v>
      </c>
      <c r="AT102" s="165" t="e">
        <f t="shared" si="104"/>
        <v>#REF!</v>
      </c>
      <c r="AU102" s="166" t="e">
        <f t="shared" si="105"/>
        <v>#REF!</v>
      </c>
      <c r="AV102" s="167" t="e">
        <f t="shared" si="105"/>
        <v>#REF!</v>
      </c>
      <c r="AW102" s="165" t="e">
        <f t="shared" si="106"/>
        <v>#REF!</v>
      </c>
      <c r="AX102" s="166" t="e">
        <f t="shared" si="107"/>
        <v>#REF!</v>
      </c>
      <c r="AY102" s="167" t="e">
        <f t="shared" si="107"/>
        <v>#REF!</v>
      </c>
      <c r="AZ102" s="168" t="e">
        <f t="shared" si="108"/>
        <v>#REF!</v>
      </c>
      <c r="BA102" s="169" t="e">
        <f t="shared" si="109"/>
        <v>#REF!</v>
      </c>
      <c r="BC102" s="241" t="e">
        <f t="shared" si="110"/>
        <v>#REF!</v>
      </c>
      <c r="BD102" s="241" t="e">
        <f t="shared" si="111"/>
        <v>#REF!</v>
      </c>
      <c r="BE102" s="241" t="e">
        <f t="shared" si="112"/>
        <v>#REF!</v>
      </c>
      <c r="BF102" s="241" t="e">
        <f t="shared" si="113"/>
        <v>#REF!</v>
      </c>
      <c r="BG102" s="241" t="e">
        <f t="shared" si="114"/>
        <v>#REF!</v>
      </c>
      <c r="BH102" s="241" t="e">
        <f t="shared" si="115"/>
        <v>#REF!</v>
      </c>
    </row>
    <row r="103" spans="1:60" s="152" customFormat="1" ht="20.100000000000001" customHeight="1">
      <c r="A103" s="315"/>
      <c r="B103" s="322"/>
      <c r="C103" s="233" t="str">
        <f t="shared" si="91"/>
        <v>82111-47402</v>
      </c>
      <c r="D103" s="234" t="e">
        <f t="shared" si="91"/>
        <v>#N/A</v>
      </c>
      <c r="E103" s="234" t="e">
        <f t="shared" si="92"/>
        <v>#N/A</v>
      </c>
      <c r="F103" s="235">
        <f t="shared" si="92"/>
        <v>313</v>
      </c>
      <c r="G103" s="235">
        <f t="shared" si="92"/>
        <v>6</v>
      </c>
      <c r="H103" s="307">
        <f t="shared" si="92"/>
        <v>4.2965533333333328</v>
      </c>
      <c r="I103" s="220">
        <f t="shared" si="93"/>
        <v>4.2606999999999999</v>
      </c>
      <c r="J103" s="236" t="e">
        <f t="shared" si="94"/>
        <v>#REF!</v>
      </c>
      <c r="K103" s="237" t="e">
        <f t="shared" si="94"/>
        <v>#REF!</v>
      </c>
      <c r="L103" s="238" t="e">
        <f t="shared" si="94"/>
        <v>#REF!</v>
      </c>
      <c r="M103" s="236" t="e">
        <f t="shared" si="95"/>
        <v>#REF!</v>
      </c>
      <c r="N103" s="237" t="e">
        <f t="shared" si="95"/>
        <v>#REF!</v>
      </c>
      <c r="O103" s="238" t="e">
        <f t="shared" si="95"/>
        <v>#REF!</v>
      </c>
      <c r="P103" s="236" t="e">
        <f t="shared" si="95"/>
        <v>#REF!</v>
      </c>
      <c r="Q103" s="237" t="e">
        <f t="shared" si="95"/>
        <v>#REF!</v>
      </c>
      <c r="R103" s="238" t="e">
        <f t="shared" si="95"/>
        <v>#REF!</v>
      </c>
      <c r="S103" s="236" t="e">
        <f t="shared" si="95"/>
        <v>#REF!</v>
      </c>
      <c r="T103" s="237" t="e">
        <f t="shared" si="95"/>
        <v>#REF!</v>
      </c>
      <c r="U103" s="238" t="e">
        <f t="shared" si="95"/>
        <v>#REF!</v>
      </c>
      <c r="V103" s="236" t="e">
        <f t="shared" si="95"/>
        <v>#REF!</v>
      </c>
      <c r="W103" s="237" t="e">
        <f t="shared" si="95"/>
        <v>#REF!</v>
      </c>
      <c r="X103" s="238" t="e">
        <f t="shared" si="95"/>
        <v>#REF!</v>
      </c>
      <c r="Y103" s="236" t="e">
        <f t="shared" si="95"/>
        <v>#REF!</v>
      </c>
      <c r="Z103" s="237" t="e">
        <f t="shared" si="95"/>
        <v>#REF!</v>
      </c>
      <c r="AA103" s="238" t="e">
        <f t="shared" si="95"/>
        <v>#REF!</v>
      </c>
      <c r="AB103" s="236" t="e">
        <f t="shared" si="95"/>
        <v>#REF!</v>
      </c>
      <c r="AC103" s="239" t="e">
        <f t="shared" si="95"/>
        <v>#REF!</v>
      </c>
      <c r="AD103" s="238" t="e">
        <f t="shared" si="95"/>
        <v>#REF!</v>
      </c>
      <c r="AE103" s="240" t="e">
        <f t="shared" si="96"/>
        <v>#REF!</v>
      </c>
      <c r="AG103" s="164" t="e">
        <f>J103*$F103</f>
        <v>#REF!</v>
      </c>
      <c r="AH103" s="165" t="e">
        <f>K103*$F103</f>
        <v>#REF!</v>
      </c>
      <c r="AI103" s="166" t="e">
        <f>L103*$F103</f>
        <v>#REF!</v>
      </c>
      <c r="AJ103" s="167" t="e">
        <f>M103*$F103</f>
        <v>#REF!</v>
      </c>
      <c r="AK103" s="165" t="e">
        <f>K103*$F103</f>
        <v>#REF!</v>
      </c>
      <c r="AL103" s="166" t="e">
        <f>O103*$F103</f>
        <v>#REF!</v>
      </c>
      <c r="AM103" s="167" t="e">
        <f>P103*$F103</f>
        <v>#REF!</v>
      </c>
      <c r="AN103" s="165" t="e">
        <f>N103*$F103</f>
        <v>#REF!</v>
      </c>
      <c r="AO103" s="166" t="e">
        <f>R103*$F103</f>
        <v>#REF!</v>
      </c>
      <c r="AP103" s="167" t="e">
        <f>S103*$F103</f>
        <v>#REF!</v>
      </c>
      <c r="AQ103" s="165" t="e">
        <f>Q103*$F103</f>
        <v>#REF!</v>
      </c>
      <c r="AR103" s="166" t="e">
        <f>U103*$F103</f>
        <v>#REF!</v>
      </c>
      <c r="AS103" s="167" t="e">
        <f>V103*$F103</f>
        <v>#REF!</v>
      </c>
      <c r="AT103" s="165" t="e">
        <f>T103*$F103</f>
        <v>#REF!</v>
      </c>
      <c r="AU103" s="166" t="e">
        <f>X103*$F103</f>
        <v>#REF!</v>
      </c>
      <c r="AV103" s="167" t="e">
        <f>Y103*$F103</f>
        <v>#REF!</v>
      </c>
      <c r="AW103" s="165" t="e">
        <f>W103*$F103</f>
        <v>#REF!</v>
      </c>
      <c r="AX103" s="166" t="e">
        <f>AA103*$F103</f>
        <v>#REF!</v>
      </c>
      <c r="AY103" s="167" t="e">
        <f>AB103*$F103</f>
        <v>#REF!</v>
      </c>
      <c r="AZ103" s="168" t="e">
        <f>Z103*$F103</f>
        <v>#REF!</v>
      </c>
      <c r="BA103" s="169" t="e">
        <f>AD103*$F103</f>
        <v>#REF!</v>
      </c>
      <c r="BC103" s="241" t="e">
        <f>ROUNDUP(O103/$BC$13,0)</f>
        <v>#REF!</v>
      </c>
      <c r="BD103" s="241" t="e">
        <f>ROUNDUP(R103/$BD$13,0)</f>
        <v>#REF!</v>
      </c>
      <c r="BE103" s="241" t="e">
        <f>ROUNDUP(U103/$BE$13,0)</f>
        <v>#REF!</v>
      </c>
      <c r="BF103" s="241" t="e">
        <f>ROUNDUP(X103/$BF$13,0)</f>
        <v>#REF!</v>
      </c>
      <c r="BG103" s="241" t="e">
        <f>ROUNDUP(AA103/$BG$13,0)</f>
        <v>#REF!</v>
      </c>
      <c r="BH103" s="241" t="e">
        <f>ROUNDUP(AD103/$BH$13,0)</f>
        <v>#REF!</v>
      </c>
    </row>
    <row r="104" spans="1:60" s="206" customFormat="1" ht="20.100000000000001" customHeight="1">
      <c r="A104" s="315"/>
      <c r="B104" s="1525"/>
      <c r="C104" s="196" t="str">
        <f t="shared" si="91"/>
        <v>82111-47411</v>
      </c>
      <c r="D104" s="251">
        <f t="shared" si="91"/>
        <v>0</v>
      </c>
      <c r="E104" s="251" t="e">
        <f t="shared" si="92"/>
        <v>#N/A</v>
      </c>
      <c r="F104" s="198">
        <f t="shared" si="92"/>
        <v>337</v>
      </c>
      <c r="G104" s="198">
        <f t="shared" si="92"/>
        <v>6</v>
      </c>
      <c r="H104" s="308">
        <f t="shared" si="92"/>
        <v>4.0314099999999993</v>
      </c>
      <c r="I104" s="277">
        <f t="shared" si="93"/>
        <v>4.0053999999999998</v>
      </c>
      <c r="J104" s="201" t="e">
        <f t="shared" si="94"/>
        <v>#REF!</v>
      </c>
      <c r="K104" s="202" t="e">
        <f t="shared" si="94"/>
        <v>#REF!</v>
      </c>
      <c r="L104" s="203" t="e">
        <f t="shared" si="94"/>
        <v>#REF!</v>
      </c>
      <c r="M104" s="201" t="e">
        <f t="shared" si="95"/>
        <v>#REF!</v>
      </c>
      <c r="N104" s="202" t="e">
        <f t="shared" si="95"/>
        <v>#REF!</v>
      </c>
      <c r="O104" s="203" t="e">
        <f t="shared" si="95"/>
        <v>#REF!</v>
      </c>
      <c r="P104" s="201" t="e">
        <f t="shared" ref="P104:AD104" si="116">$I41*P41</f>
        <v>#REF!</v>
      </c>
      <c r="Q104" s="202" t="e">
        <f t="shared" si="116"/>
        <v>#REF!</v>
      </c>
      <c r="R104" s="203" t="e">
        <f t="shared" si="116"/>
        <v>#REF!</v>
      </c>
      <c r="S104" s="201" t="e">
        <f t="shared" si="116"/>
        <v>#REF!</v>
      </c>
      <c r="T104" s="202" t="e">
        <f t="shared" si="116"/>
        <v>#REF!</v>
      </c>
      <c r="U104" s="203" t="e">
        <f t="shared" si="116"/>
        <v>#REF!</v>
      </c>
      <c r="V104" s="201" t="e">
        <f t="shared" si="116"/>
        <v>#REF!</v>
      </c>
      <c r="W104" s="202" t="e">
        <f t="shared" si="116"/>
        <v>#REF!</v>
      </c>
      <c r="X104" s="203" t="e">
        <f t="shared" si="116"/>
        <v>#REF!</v>
      </c>
      <c r="Y104" s="201" t="e">
        <f t="shared" si="116"/>
        <v>#REF!</v>
      </c>
      <c r="Z104" s="202" t="e">
        <f t="shared" si="116"/>
        <v>#REF!</v>
      </c>
      <c r="AA104" s="203" t="e">
        <f t="shared" si="116"/>
        <v>#REF!</v>
      </c>
      <c r="AB104" s="201" t="e">
        <f t="shared" si="116"/>
        <v>#REF!</v>
      </c>
      <c r="AC104" s="252" t="e">
        <f t="shared" si="116"/>
        <v>#REF!</v>
      </c>
      <c r="AD104" s="203" t="e">
        <f t="shared" si="116"/>
        <v>#REF!</v>
      </c>
      <c r="AE104" s="205" t="e">
        <f t="shared" si="96"/>
        <v>#REF!</v>
      </c>
      <c r="AG104" s="207" t="e">
        <f t="shared" si="97"/>
        <v>#REF!</v>
      </c>
      <c r="AH104" s="208" t="e">
        <f t="shared" si="97"/>
        <v>#REF!</v>
      </c>
      <c r="AI104" s="209" t="e">
        <f t="shared" si="97"/>
        <v>#REF!</v>
      </c>
      <c r="AJ104" s="210" t="e">
        <f t="shared" si="97"/>
        <v>#REF!</v>
      </c>
      <c r="AK104" s="208" t="e">
        <f t="shared" si="98"/>
        <v>#REF!</v>
      </c>
      <c r="AL104" s="209" t="e">
        <f t="shared" si="99"/>
        <v>#REF!</v>
      </c>
      <c r="AM104" s="210" t="e">
        <f t="shared" si="99"/>
        <v>#REF!</v>
      </c>
      <c r="AN104" s="208" t="e">
        <f t="shared" si="100"/>
        <v>#REF!</v>
      </c>
      <c r="AO104" s="209" t="e">
        <f t="shared" si="101"/>
        <v>#REF!</v>
      </c>
      <c r="AP104" s="210" t="e">
        <f t="shared" si="101"/>
        <v>#REF!</v>
      </c>
      <c r="AQ104" s="208" t="e">
        <f t="shared" si="102"/>
        <v>#REF!</v>
      </c>
      <c r="AR104" s="209" t="e">
        <f t="shared" si="103"/>
        <v>#REF!</v>
      </c>
      <c r="AS104" s="210" t="e">
        <f t="shared" si="103"/>
        <v>#REF!</v>
      </c>
      <c r="AT104" s="208" t="e">
        <f t="shared" si="104"/>
        <v>#REF!</v>
      </c>
      <c r="AU104" s="209" t="e">
        <f t="shared" si="105"/>
        <v>#REF!</v>
      </c>
      <c r="AV104" s="210" t="e">
        <f t="shared" si="105"/>
        <v>#REF!</v>
      </c>
      <c r="AW104" s="208" t="e">
        <f t="shared" si="106"/>
        <v>#REF!</v>
      </c>
      <c r="AX104" s="209" t="e">
        <f t="shared" si="107"/>
        <v>#REF!</v>
      </c>
      <c r="AY104" s="210" t="e">
        <f t="shared" si="107"/>
        <v>#REF!</v>
      </c>
      <c r="AZ104" s="211" t="e">
        <f t="shared" si="108"/>
        <v>#REF!</v>
      </c>
      <c r="BA104" s="212" t="e">
        <f t="shared" si="109"/>
        <v>#REF!</v>
      </c>
      <c r="BC104" s="160" t="e">
        <f t="shared" si="110"/>
        <v>#REF!</v>
      </c>
      <c r="BD104" s="160" t="e">
        <f t="shared" si="111"/>
        <v>#REF!</v>
      </c>
      <c r="BE104" s="160" t="e">
        <f t="shared" si="112"/>
        <v>#REF!</v>
      </c>
      <c r="BF104" s="160" t="e">
        <f t="shared" si="113"/>
        <v>#REF!</v>
      </c>
      <c r="BG104" s="160" t="e">
        <f t="shared" si="114"/>
        <v>#REF!</v>
      </c>
      <c r="BH104" s="160" t="e">
        <f t="shared" si="115"/>
        <v>#REF!</v>
      </c>
    </row>
    <row r="105" spans="1:60" s="206" customFormat="1" ht="20.100000000000001" customHeight="1">
      <c r="A105" s="315"/>
      <c r="B105" s="1526"/>
      <c r="C105" s="196" t="str">
        <f t="shared" si="91"/>
        <v>82111-47412</v>
      </c>
      <c r="D105" s="251" t="e">
        <f t="shared" si="91"/>
        <v>#N/A</v>
      </c>
      <c r="E105" s="251" t="e">
        <f t="shared" si="92"/>
        <v>#N/A</v>
      </c>
      <c r="F105" s="198">
        <f t="shared" si="92"/>
        <v>337</v>
      </c>
      <c r="G105" s="198">
        <f t="shared" si="92"/>
        <v>6</v>
      </c>
      <c r="H105" s="308">
        <f t="shared" si="92"/>
        <v>4.0314099999999993</v>
      </c>
      <c r="I105" s="277">
        <f t="shared" si="93"/>
        <v>4.0335999999999999</v>
      </c>
      <c r="J105" s="201" t="e">
        <f t="shared" si="94"/>
        <v>#REF!</v>
      </c>
      <c r="K105" s="202" t="e">
        <f t="shared" si="94"/>
        <v>#REF!</v>
      </c>
      <c r="L105" s="203" t="e">
        <f t="shared" si="94"/>
        <v>#REF!</v>
      </c>
      <c r="M105" s="201" t="e">
        <f t="shared" ref="M105:AB110" si="117">$I42*M42</f>
        <v>#REF!</v>
      </c>
      <c r="N105" s="202" t="e">
        <f t="shared" si="117"/>
        <v>#REF!</v>
      </c>
      <c r="O105" s="203" t="e">
        <f t="shared" si="117"/>
        <v>#REF!</v>
      </c>
      <c r="P105" s="201" t="e">
        <f t="shared" si="117"/>
        <v>#REF!</v>
      </c>
      <c r="Q105" s="202" t="e">
        <f t="shared" si="117"/>
        <v>#REF!</v>
      </c>
      <c r="R105" s="203" t="e">
        <f t="shared" si="117"/>
        <v>#REF!</v>
      </c>
      <c r="S105" s="201" t="e">
        <f t="shared" si="117"/>
        <v>#REF!</v>
      </c>
      <c r="T105" s="202" t="e">
        <f t="shared" si="117"/>
        <v>#REF!</v>
      </c>
      <c r="U105" s="203" t="e">
        <f t="shared" si="117"/>
        <v>#REF!</v>
      </c>
      <c r="V105" s="201" t="e">
        <f t="shared" si="117"/>
        <v>#REF!</v>
      </c>
      <c r="W105" s="202" t="e">
        <f t="shared" si="117"/>
        <v>#REF!</v>
      </c>
      <c r="X105" s="203" t="e">
        <f t="shared" si="117"/>
        <v>#REF!</v>
      </c>
      <c r="Y105" s="201" t="e">
        <f t="shared" si="117"/>
        <v>#REF!</v>
      </c>
      <c r="Z105" s="202" t="e">
        <f t="shared" si="117"/>
        <v>#REF!</v>
      </c>
      <c r="AA105" s="203" t="e">
        <f t="shared" si="117"/>
        <v>#REF!</v>
      </c>
      <c r="AB105" s="201" t="e">
        <f t="shared" si="117"/>
        <v>#REF!</v>
      </c>
      <c r="AC105" s="252" t="e">
        <f t="shared" ref="AC105:AD110" si="118">$I42*AC42</f>
        <v>#REF!</v>
      </c>
      <c r="AD105" s="203" t="e">
        <f t="shared" si="118"/>
        <v>#REF!</v>
      </c>
      <c r="AE105" s="205" t="e">
        <f t="shared" si="96"/>
        <v>#REF!</v>
      </c>
      <c r="AG105" s="207" t="e">
        <f>J105*$F105</f>
        <v>#REF!</v>
      </c>
      <c r="AH105" s="208" t="e">
        <f>K105*$F105</f>
        <v>#REF!</v>
      </c>
      <c r="AI105" s="209" t="e">
        <f>L105*$F105</f>
        <v>#REF!</v>
      </c>
      <c r="AJ105" s="210" t="e">
        <f>M105*$F105</f>
        <v>#REF!</v>
      </c>
      <c r="AK105" s="208" t="e">
        <f>K105*$F105</f>
        <v>#REF!</v>
      </c>
      <c r="AL105" s="209" t="e">
        <f>O105*$F105</f>
        <v>#REF!</v>
      </c>
      <c r="AM105" s="210" t="e">
        <f>P105*$F105</f>
        <v>#REF!</v>
      </c>
      <c r="AN105" s="208" t="e">
        <f>N105*$F105</f>
        <v>#REF!</v>
      </c>
      <c r="AO105" s="209" t="e">
        <f>R105*$F105</f>
        <v>#REF!</v>
      </c>
      <c r="AP105" s="210" t="e">
        <f>S105*$F105</f>
        <v>#REF!</v>
      </c>
      <c r="AQ105" s="208" t="e">
        <f>Q105*$F105</f>
        <v>#REF!</v>
      </c>
      <c r="AR105" s="209" t="e">
        <f>U105*$F105</f>
        <v>#REF!</v>
      </c>
      <c r="AS105" s="210" t="e">
        <f>V105*$F105</f>
        <v>#REF!</v>
      </c>
      <c r="AT105" s="208" t="e">
        <f>T105*$F105</f>
        <v>#REF!</v>
      </c>
      <c r="AU105" s="209" t="e">
        <f>X105*$F105</f>
        <v>#REF!</v>
      </c>
      <c r="AV105" s="210" t="e">
        <f>Y105*$F105</f>
        <v>#REF!</v>
      </c>
      <c r="AW105" s="208" t="e">
        <f>W105*$F105</f>
        <v>#REF!</v>
      </c>
      <c r="AX105" s="209" t="e">
        <f>AA105*$F105</f>
        <v>#REF!</v>
      </c>
      <c r="AY105" s="210" t="e">
        <f>AB105*$F105</f>
        <v>#REF!</v>
      </c>
      <c r="AZ105" s="211" t="e">
        <f>Z105*$F105</f>
        <v>#REF!</v>
      </c>
      <c r="BA105" s="212" t="e">
        <f>AD105*$F105</f>
        <v>#REF!</v>
      </c>
      <c r="BC105" s="160" t="e">
        <f>ROUNDUP(O105/$BC$13,0)</f>
        <v>#REF!</v>
      </c>
      <c r="BD105" s="160" t="e">
        <f>ROUNDUP(R105/$BD$13,0)</f>
        <v>#REF!</v>
      </c>
      <c r="BE105" s="160" t="e">
        <f>ROUNDUP(U105/$BE$13,0)</f>
        <v>#REF!</v>
      </c>
      <c r="BF105" s="160" t="e">
        <f>ROUNDUP(X105/$BF$13,0)</f>
        <v>#REF!</v>
      </c>
      <c r="BG105" s="160" t="e">
        <f>ROUNDUP(AA105/$BG$13,0)</f>
        <v>#REF!</v>
      </c>
      <c r="BH105" s="160" t="e">
        <f>ROUNDUP(AD105/$BH$13,0)</f>
        <v>#REF!</v>
      </c>
    </row>
    <row r="106" spans="1:60" s="152" customFormat="1" ht="20.100000000000001" customHeight="1">
      <c r="A106" s="315"/>
      <c r="B106" s="1526"/>
      <c r="C106" s="144" t="str">
        <f t="shared" ref="C106:D110" si="119">C43</f>
        <v>82111-47431</v>
      </c>
      <c r="D106" s="161">
        <f t="shared" si="119"/>
        <v>0</v>
      </c>
      <c r="E106" s="161" t="e">
        <f t="shared" ref="E106:H109" si="120">+E43</f>
        <v>#N/A</v>
      </c>
      <c r="F106" s="145">
        <f t="shared" si="120"/>
        <v>313</v>
      </c>
      <c r="G106" s="145">
        <f t="shared" si="120"/>
        <v>6</v>
      </c>
      <c r="H106" s="146">
        <f t="shared" si="120"/>
        <v>4.0314099999999993</v>
      </c>
      <c r="I106" s="200">
        <f t="shared" si="93"/>
        <v>4.0053999999999998</v>
      </c>
      <c r="J106" s="148" t="e">
        <f t="shared" ref="J106:L110" si="121">$H43*J43</f>
        <v>#REF!</v>
      </c>
      <c r="K106" s="149" t="e">
        <f t="shared" si="121"/>
        <v>#REF!</v>
      </c>
      <c r="L106" s="150" t="e">
        <f t="shared" si="121"/>
        <v>#REF!</v>
      </c>
      <c r="M106" s="148" t="e">
        <f t="shared" si="117"/>
        <v>#REF!</v>
      </c>
      <c r="N106" s="149" t="e">
        <f t="shared" si="117"/>
        <v>#REF!</v>
      </c>
      <c r="O106" s="150" t="e">
        <f t="shared" si="117"/>
        <v>#REF!</v>
      </c>
      <c r="P106" s="148" t="e">
        <f t="shared" si="117"/>
        <v>#REF!</v>
      </c>
      <c r="Q106" s="149" t="e">
        <f t="shared" si="117"/>
        <v>#REF!</v>
      </c>
      <c r="R106" s="150" t="e">
        <f t="shared" si="117"/>
        <v>#REF!</v>
      </c>
      <c r="S106" s="148" t="e">
        <f t="shared" si="117"/>
        <v>#REF!</v>
      </c>
      <c r="T106" s="149" t="e">
        <f t="shared" si="117"/>
        <v>#REF!</v>
      </c>
      <c r="U106" s="150" t="e">
        <f t="shared" si="117"/>
        <v>#REF!</v>
      </c>
      <c r="V106" s="148" t="e">
        <f t="shared" si="117"/>
        <v>#REF!</v>
      </c>
      <c r="W106" s="149" t="e">
        <f t="shared" si="117"/>
        <v>#REF!</v>
      </c>
      <c r="X106" s="150" t="e">
        <f t="shared" si="117"/>
        <v>#REF!</v>
      </c>
      <c r="Y106" s="148" t="e">
        <f t="shared" si="117"/>
        <v>#REF!</v>
      </c>
      <c r="Z106" s="149" t="e">
        <f t="shared" si="117"/>
        <v>#REF!</v>
      </c>
      <c r="AA106" s="150" t="e">
        <f t="shared" si="117"/>
        <v>#REF!</v>
      </c>
      <c r="AB106" s="148" t="e">
        <f t="shared" si="117"/>
        <v>#REF!</v>
      </c>
      <c r="AC106" s="163" t="e">
        <f t="shared" si="118"/>
        <v>#REF!</v>
      </c>
      <c r="AD106" s="150" t="e">
        <f t="shared" si="118"/>
        <v>#REF!</v>
      </c>
      <c r="AE106" s="151" t="e">
        <f t="shared" si="96"/>
        <v>#REF!</v>
      </c>
      <c r="AG106" s="164" t="e">
        <f t="shared" si="97"/>
        <v>#REF!</v>
      </c>
      <c r="AH106" s="165" t="e">
        <f t="shared" si="97"/>
        <v>#REF!</v>
      </c>
      <c r="AI106" s="166" t="e">
        <f t="shared" si="97"/>
        <v>#REF!</v>
      </c>
      <c r="AJ106" s="167" t="e">
        <f t="shared" si="97"/>
        <v>#REF!</v>
      </c>
      <c r="AK106" s="165" t="e">
        <f t="shared" si="98"/>
        <v>#REF!</v>
      </c>
      <c r="AL106" s="166" t="e">
        <f t="shared" si="99"/>
        <v>#REF!</v>
      </c>
      <c r="AM106" s="167" t="e">
        <f t="shared" si="99"/>
        <v>#REF!</v>
      </c>
      <c r="AN106" s="165" t="e">
        <f t="shared" si="100"/>
        <v>#REF!</v>
      </c>
      <c r="AO106" s="166" t="e">
        <f t="shared" si="101"/>
        <v>#REF!</v>
      </c>
      <c r="AP106" s="167" t="e">
        <f t="shared" si="101"/>
        <v>#REF!</v>
      </c>
      <c r="AQ106" s="165" t="e">
        <f t="shared" si="102"/>
        <v>#REF!</v>
      </c>
      <c r="AR106" s="166" t="e">
        <f t="shared" si="103"/>
        <v>#REF!</v>
      </c>
      <c r="AS106" s="167" t="e">
        <f t="shared" si="103"/>
        <v>#REF!</v>
      </c>
      <c r="AT106" s="165" t="e">
        <f t="shared" si="104"/>
        <v>#REF!</v>
      </c>
      <c r="AU106" s="166" t="e">
        <f t="shared" si="105"/>
        <v>#REF!</v>
      </c>
      <c r="AV106" s="167" t="e">
        <f t="shared" si="105"/>
        <v>#REF!</v>
      </c>
      <c r="AW106" s="165" t="e">
        <f t="shared" si="106"/>
        <v>#REF!</v>
      </c>
      <c r="AX106" s="166" t="e">
        <f t="shared" si="107"/>
        <v>#REF!</v>
      </c>
      <c r="AY106" s="167" t="e">
        <f t="shared" si="107"/>
        <v>#REF!</v>
      </c>
      <c r="AZ106" s="168" t="e">
        <f t="shared" si="108"/>
        <v>#REF!</v>
      </c>
      <c r="BA106" s="169" t="e">
        <f t="shared" si="109"/>
        <v>#REF!</v>
      </c>
      <c r="BC106" s="160" t="e">
        <f t="shared" si="110"/>
        <v>#REF!</v>
      </c>
      <c r="BD106" s="160" t="e">
        <f t="shared" si="111"/>
        <v>#REF!</v>
      </c>
      <c r="BE106" s="160" t="e">
        <f t="shared" si="112"/>
        <v>#REF!</v>
      </c>
      <c r="BF106" s="160" t="e">
        <f t="shared" si="113"/>
        <v>#REF!</v>
      </c>
      <c r="BG106" s="160" t="e">
        <f t="shared" si="114"/>
        <v>#REF!</v>
      </c>
      <c r="BH106" s="160" t="e">
        <f t="shared" si="115"/>
        <v>#REF!</v>
      </c>
    </row>
    <row r="107" spans="1:60" s="152" customFormat="1" ht="20.100000000000001" customHeight="1">
      <c r="A107" s="315"/>
      <c r="B107" s="1526"/>
      <c r="C107" s="144" t="str">
        <f t="shared" si="119"/>
        <v>82111-47432</v>
      </c>
      <c r="D107" s="161" t="e">
        <f t="shared" si="119"/>
        <v>#N/A</v>
      </c>
      <c r="E107" s="161" t="e">
        <f t="shared" si="120"/>
        <v>#N/A</v>
      </c>
      <c r="F107" s="145">
        <f t="shared" si="120"/>
        <v>313</v>
      </c>
      <c r="G107" s="145">
        <f t="shared" si="120"/>
        <v>6</v>
      </c>
      <c r="H107" s="146">
        <f t="shared" si="120"/>
        <v>4.0314099999999993</v>
      </c>
      <c r="I107" s="200">
        <f t="shared" si="93"/>
        <v>4.0335999999999999</v>
      </c>
      <c r="J107" s="148" t="e">
        <f t="shared" si="121"/>
        <v>#REF!</v>
      </c>
      <c r="K107" s="149" t="e">
        <f t="shared" si="121"/>
        <v>#REF!</v>
      </c>
      <c r="L107" s="150" t="e">
        <f t="shared" si="121"/>
        <v>#REF!</v>
      </c>
      <c r="M107" s="148" t="e">
        <f t="shared" si="117"/>
        <v>#REF!</v>
      </c>
      <c r="N107" s="149" t="e">
        <f t="shared" si="117"/>
        <v>#REF!</v>
      </c>
      <c r="O107" s="150" t="e">
        <f t="shared" si="117"/>
        <v>#REF!</v>
      </c>
      <c r="P107" s="148" t="e">
        <f t="shared" si="117"/>
        <v>#REF!</v>
      </c>
      <c r="Q107" s="149" t="e">
        <f t="shared" si="117"/>
        <v>#REF!</v>
      </c>
      <c r="R107" s="150" t="e">
        <f t="shared" si="117"/>
        <v>#REF!</v>
      </c>
      <c r="S107" s="148" t="e">
        <f t="shared" si="117"/>
        <v>#REF!</v>
      </c>
      <c r="T107" s="149" t="e">
        <f t="shared" si="117"/>
        <v>#REF!</v>
      </c>
      <c r="U107" s="150" t="e">
        <f t="shared" si="117"/>
        <v>#REF!</v>
      </c>
      <c r="V107" s="148" t="e">
        <f t="shared" si="117"/>
        <v>#REF!</v>
      </c>
      <c r="W107" s="149" t="e">
        <f t="shared" si="117"/>
        <v>#REF!</v>
      </c>
      <c r="X107" s="150" t="e">
        <f t="shared" si="117"/>
        <v>#REF!</v>
      </c>
      <c r="Y107" s="148" t="e">
        <f t="shared" si="117"/>
        <v>#REF!</v>
      </c>
      <c r="Z107" s="149" t="e">
        <f t="shared" si="117"/>
        <v>#REF!</v>
      </c>
      <c r="AA107" s="150" t="e">
        <f t="shared" si="117"/>
        <v>#REF!</v>
      </c>
      <c r="AB107" s="148" t="e">
        <f t="shared" si="117"/>
        <v>#REF!</v>
      </c>
      <c r="AC107" s="163" t="e">
        <f t="shared" si="118"/>
        <v>#REF!</v>
      </c>
      <c r="AD107" s="150" t="e">
        <f t="shared" si="118"/>
        <v>#REF!</v>
      </c>
      <c r="AE107" s="151" t="e">
        <f t="shared" si="96"/>
        <v>#REF!</v>
      </c>
      <c r="AG107" s="164" t="e">
        <f>J107*$F107</f>
        <v>#REF!</v>
      </c>
      <c r="AH107" s="165" t="e">
        <f>K107*$F107</f>
        <v>#REF!</v>
      </c>
      <c r="AI107" s="166" t="e">
        <f>L107*$F107</f>
        <v>#REF!</v>
      </c>
      <c r="AJ107" s="167" t="e">
        <f>M107*$F107</f>
        <v>#REF!</v>
      </c>
      <c r="AK107" s="165" t="e">
        <f>K107*$F107</f>
        <v>#REF!</v>
      </c>
      <c r="AL107" s="166" t="e">
        <f>O107*$F107</f>
        <v>#REF!</v>
      </c>
      <c r="AM107" s="167" t="e">
        <f>P107*$F107</f>
        <v>#REF!</v>
      </c>
      <c r="AN107" s="165" t="e">
        <f>N107*$F107</f>
        <v>#REF!</v>
      </c>
      <c r="AO107" s="166" t="e">
        <f>R107*$F107</f>
        <v>#REF!</v>
      </c>
      <c r="AP107" s="167" t="e">
        <f>S107*$F107</f>
        <v>#REF!</v>
      </c>
      <c r="AQ107" s="165" t="e">
        <f>Q107*$F107</f>
        <v>#REF!</v>
      </c>
      <c r="AR107" s="166" t="e">
        <f>U107*$F107</f>
        <v>#REF!</v>
      </c>
      <c r="AS107" s="167" t="e">
        <f>V107*$F107</f>
        <v>#REF!</v>
      </c>
      <c r="AT107" s="165" t="e">
        <f>T107*$F107</f>
        <v>#REF!</v>
      </c>
      <c r="AU107" s="166" t="e">
        <f>X107*$F107</f>
        <v>#REF!</v>
      </c>
      <c r="AV107" s="167" t="e">
        <f>Y107*$F107</f>
        <v>#REF!</v>
      </c>
      <c r="AW107" s="165" t="e">
        <f>W107*$F107</f>
        <v>#REF!</v>
      </c>
      <c r="AX107" s="166" t="e">
        <f>AA107*$F107</f>
        <v>#REF!</v>
      </c>
      <c r="AY107" s="167" t="e">
        <f>AB107*$F107</f>
        <v>#REF!</v>
      </c>
      <c r="AZ107" s="168" t="e">
        <f>Z107*$F107</f>
        <v>#REF!</v>
      </c>
      <c r="BA107" s="169" t="e">
        <f>AD107*$F107</f>
        <v>#REF!</v>
      </c>
      <c r="BC107" s="160" t="e">
        <f>ROUNDUP(O107/$BC$13,0)</f>
        <v>#REF!</v>
      </c>
      <c r="BD107" s="160" t="e">
        <f>ROUNDUP(R107/$BD$13,0)</f>
        <v>#REF!</v>
      </c>
      <c r="BE107" s="160" t="e">
        <f>ROUNDUP(U107/$BE$13,0)</f>
        <v>#REF!</v>
      </c>
      <c r="BF107" s="160" t="e">
        <f>ROUNDUP(X107/$BF$13,0)</f>
        <v>#REF!</v>
      </c>
      <c r="BG107" s="160" t="e">
        <f>ROUNDUP(AA107/$BG$13,0)</f>
        <v>#REF!</v>
      </c>
      <c r="BH107" s="160" t="e">
        <f>ROUNDUP(AD107/$BH$13,0)</f>
        <v>#REF!</v>
      </c>
    </row>
    <row r="108" spans="1:60" s="152" customFormat="1" ht="20.100000000000001" customHeight="1">
      <c r="A108" s="315"/>
      <c r="B108" s="1526"/>
      <c r="C108" s="144" t="str">
        <f t="shared" si="119"/>
        <v>82111-47441</v>
      </c>
      <c r="D108" s="161">
        <f t="shared" si="119"/>
        <v>0</v>
      </c>
      <c r="E108" s="161" t="e">
        <f t="shared" si="120"/>
        <v>#N/A</v>
      </c>
      <c r="F108" s="145">
        <f t="shared" si="120"/>
        <v>337</v>
      </c>
      <c r="G108" s="145">
        <f t="shared" si="120"/>
        <v>6</v>
      </c>
      <c r="H108" s="309">
        <f t="shared" si="120"/>
        <v>4.1739333333333333</v>
      </c>
      <c r="I108" s="200">
        <f t="shared" si="93"/>
        <v>4.1443000000000003</v>
      </c>
      <c r="J108" s="148" t="e">
        <f t="shared" si="121"/>
        <v>#REF!</v>
      </c>
      <c r="K108" s="149" t="e">
        <f t="shared" si="121"/>
        <v>#REF!</v>
      </c>
      <c r="L108" s="150" t="e">
        <f t="shared" si="121"/>
        <v>#REF!</v>
      </c>
      <c r="M108" s="148" t="e">
        <f t="shared" si="117"/>
        <v>#REF!</v>
      </c>
      <c r="N108" s="149" t="e">
        <f t="shared" si="117"/>
        <v>#REF!</v>
      </c>
      <c r="O108" s="150" t="e">
        <f t="shared" si="117"/>
        <v>#REF!</v>
      </c>
      <c r="P108" s="148" t="e">
        <f t="shared" si="117"/>
        <v>#REF!</v>
      </c>
      <c r="Q108" s="149" t="e">
        <f t="shared" si="117"/>
        <v>#REF!</v>
      </c>
      <c r="R108" s="150" t="e">
        <f t="shared" si="117"/>
        <v>#REF!</v>
      </c>
      <c r="S108" s="148" t="e">
        <f t="shared" si="117"/>
        <v>#REF!</v>
      </c>
      <c r="T108" s="149" t="e">
        <f t="shared" si="117"/>
        <v>#REF!</v>
      </c>
      <c r="U108" s="150" t="e">
        <f t="shared" si="117"/>
        <v>#REF!</v>
      </c>
      <c r="V108" s="148" t="e">
        <f t="shared" si="117"/>
        <v>#REF!</v>
      </c>
      <c r="W108" s="149" t="e">
        <f t="shared" si="117"/>
        <v>#REF!</v>
      </c>
      <c r="X108" s="150" t="e">
        <f t="shared" si="117"/>
        <v>#REF!</v>
      </c>
      <c r="Y108" s="148" t="e">
        <f t="shared" si="117"/>
        <v>#REF!</v>
      </c>
      <c r="Z108" s="149" t="e">
        <f t="shared" si="117"/>
        <v>#REF!</v>
      </c>
      <c r="AA108" s="150" t="e">
        <f t="shared" si="117"/>
        <v>#REF!</v>
      </c>
      <c r="AB108" s="148" t="e">
        <f t="shared" si="117"/>
        <v>#REF!</v>
      </c>
      <c r="AC108" s="170" t="e">
        <f t="shared" si="118"/>
        <v>#REF!</v>
      </c>
      <c r="AD108" s="150" t="e">
        <f t="shared" si="118"/>
        <v>#REF!</v>
      </c>
      <c r="AE108" s="151" t="e">
        <f t="shared" si="96"/>
        <v>#REF!</v>
      </c>
      <c r="AG108" s="164" t="e">
        <f t="shared" si="97"/>
        <v>#REF!</v>
      </c>
      <c r="AH108" s="165" t="e">
        <f t="shared" si="97"/>
        <v>#REF!</v>
      </c>
      <c r="AI108" s="166" t="e">
        <f t="shared" si="97"/>
        <v>#REF!</v>
      </c>
      <c r="AJ108" s="167" t="e">
        <f t="shared" si="97"/>
        <v>#REF!</v>
      </c>
      <c r="AK108" s="165" t="e">
        <f t="shared" si="98"/>
        <v>#REF!</v>
      </c>
      <c r="AL108" s="166" t="e">
        <f t="shared" si="99"/>
        <v>#REF!</v>
      </c>
      <c r="AM108" s="167" t="e">
        <f t="shared" si="99"/>
        <v>#REF!</v>
      </c>
      <c r="AN108" s="165" t="e">
        <f t="shared" si="100"/>
        <v>#REF!</v>
      </c>
      <c r="AO108" s="166" t="e">
        <f t="shared" si="101"/>
        <v>#REF!</v>
      </c>
      <c r="AP108" s="167" t="e">
        <f t="shared" si="101"/>
        <v>#REF!</v>
      </c>
      <c r="AQ108" s="165" t="e">
        <f t="shared" si="102"/>
        <v>#REF!</v>
      </c>
      <c r="AR108" s="166" t="e">
        <f t="shared" si="103"/>
        <v>#REF!</v>
      </c>
      <c r="AS108" s="167" t="e">
        <f t="shared" si="103"/>
        <v>#REF!</v>
      </c>
      <c r="AT108" s="165" t="e">
        <f t="shared" si="104"/>
        <v>#REF!</v>
      </c>
      <c r="AU108" s="166" t="e">
        <f t="shared" si="105"/>
        <v>#REF!</v>
      </c>
      <c r="AV108" s="167" t="e">
        <f t="shared" si="105"/>
        <v>#REF!</v>
      </c>
      <c r="AW108" s="165" t="e">
        <f t="shared" si="106"/>
        <v>#REF!</v>
      </c>
      <c r="AX108" s="166" t="e">
        <f t="shared" si="107"/>
        <v>#REF!</v>
      </c>
      <c r="AY108" s="167" t="e">
        <f t="shared" si="107"/>
        <v>#REF!</v>
      </c>
      <c r="AZ108" s="168" t="e">
        <f t="shared" si="108"/>
        <v>#REF!</v>
      </c>
      <c r="BA108" s="169" t="e">
        <f t="shared" si="109"/>
        <v>#REF!</v>
      </c>
      <c r="BC108" s="160" t="e">
        <f t="shared" si="110"/>
        <v>#REF!</v>
      </c>
      <c r="BD108" s="160" t="e">
        <f t="shared" si="111"/>
        <v>#REF!</v>
      </c>
      <c r="BE108" s="160" t="e">
        <f t="shared" si="112"/>
        <v>#REF!</v>
      </c>
      <c r="BF108" s="160" t="e">
        <f t="shared" si="113"/>
        <v>#REF!</v>
      </c>
      <c r="BG108" s="160" t="e">
        <f t="shared" si="114"/>
        <v>#REF!</v>
      </c>
      <c r="BH108" s="160" t="e">
        <f t="shared" si="115"/>
        <v>#REF!</v>
      </c>
    </row>
    <row r="109" spans="1:60" s="152" customFormat="1" ht="20.100000000000001" customHeight="1">
      <c r="A109" s="315"/>
      <c r="B109" s="1526"/>
      <c r="C109" s="144" t="str">
        <f t="shared" si="119"/>
        <v>82111-47442</v>
      </c>
      <c r="D109" s="161" t="e">
        <f t="shared" si="119"/>
        <v>#N/A</v>
      </c>
      <c r="E109" s="161" t="e">
        <f t="shared" si="120"/>
        <v>#N/A</v>
      </c>
      <c r="F109" s="145">
        <f t="shared" si="120"/>
        <v>337</v>
      </c>
      <c r="G109" s="145">
        <f t="shared" si="120"/>
        <v>6</v>
      </c>
      <c r="H109" s="309">
        <f t="shared" si="120"/>
        <v>4.1739333333333333</v>
      </c>
      <c r="I109" s="200">
        <f t="shared" si="93"/>
        <v>4.1650999999999998</v>
      </c>
      <c r="J109" s="148" t="e">
        <f t="shared" si="121"/>
        <v>#REF!</v>
      </c>
      <c r="K109" s="149" t="e">
        <f t="shared" si="121"/>
        <v>#REF!</v>
      </c>
      <c r="L109" s="150" t="e">
        <f t="shared" si="121"/>
        <v>#REF!</v>
      </c>
      <c r="M109" s="148" t="e">
        <f t="shared" si="117"/>
        <v>#REF!</v>
      </c>
      <c r="N109" s="149" t="e">
        <f t="shared" si="117"/>
        <v>#REF!</v>
      </c>
      <c r="O109" s="150" t="e">
        <f t="shared" si="117"/>
        <v>#REF!</v>
      </c>
      <c r="P109" s="148" t="e">
        <f t="shared" si="117"/>
        <v>#REF!</v>
      </c>
      <c r="Q109" s="149" t="e">
        <f t="shared" si="117"/>
        <v>#REF!</v>
      </c>
      <c r="R109" s="150" t="e">
        <f t="shared" si="117"/>
        <v>#REF!</v>
      </c>
      <c r="S109" s="148" t="e">
        <f t="shared" si="117"/>
        <v>#REF!</v>
      </c>
      <c r="T109" s="149" t="e">
        <f t="shared" si="117"/>
        <v>#REF!</v>
      </c>
      <c r="U109" s="150" t="e">
        <f t="shared" si="117"/>
        <v>#REF!</v>
      </c>
      <c r="V109" s="148" t="e">
        <f t="shared" si="117"/>
        <v>#REF!</v>
      </c>
      <c r="W109" s="149" t="e">
        <f t="shared" si="117"/>
        <v>#REF!</v>
      </c>
      <c r="X109" s="150" t="e">
        <f t="shared" si="117"/>
        <v>#REF!</v>
      </c>
      <c r="Y109" s="148" t="e">
        <f t="shared" si="117"/>
        <v>#REF!</v>
      </c>
      <c r="Z109" s="149" t="e">
        <f t="shared" si="117"/>
        <v>#REF!</v>
      </c>
      <c r="AA109" s="150" t="e">
        <f t="shared" si="117"/>
        <v>#REF!</v>
      </c>
      <c r="AB109" s="148" t="e">
        <f t="shared" si="117"/>
        <v>#REF!</v>
      </c>
      <c r="AC109" s="170" t="e">
        <f t="shared" si="118"/>
        <v>#REF!</v>
      </c>
      <c r="AD109" s="150" t="e">
        <f t="shared" si="118"/>
        <v>#REF!</v>
      </c>
      <c r="AE109" s="151" t="e">
        <f t="shared" si="96"/>
        <v>#REF!</v>
      </c>
      <c r="AG109" s="164" t="e">
        <f>J109*$F109</f>
        <v>#REF!</v>
      </c>
      <c r="AH109" s="165" t="e">
        <f>K109*$F109</f>
        <v>#REF!</v>
      </c>
      <c r="AI109" s="166" t="e">
        <f>L109*$F109</f>
        <v>#REF!</v>
      </c>
      <c r="AJ109" s="167" t="e">
        <f>M109*$F109</f>
        <v>#REF!</v>
      </c>
      <c r="AK109" s="165" t="e">
        <f>K109*$F109</f>
        <v>#REF!</v>
      </c>
      <c r="AL109" s="166" t="e">
        <f>O109*$F109</f>
        <v>#REF!</v>
      </c>
      <c r="AM109" s="167" t="e">
        <f>P109*$F109</f>
        <v>#REF!</v>
      </c>
      <c r="AN109" s="165" t="e">
        <f>N109*$F109</f>
        <v>#REF!</v>
      </c>
      <c r="AO109" s="166" t="e">
        <f>R109*$F109</f>
        <v>#REF!</v>
      </c>
      <c r="AP109" s="167" t="e">
        <f>S109*$F109</f>
        <v>#REF!</v>
      </c>
      <c r="AQ109" s="165" t="e">
        <f>Q109*$F109</f>
        <v>#REF!</v>
      </c>
      <c r="AR109" s="166" t="e">
        <f>U109*$F109</f>
        <v>#REF!</v>
      </c>
      <c r="AS109" s="167" t="e">
        <f>V109*$F109</f>
        <v>#REF!</v>
      </c>
      <c r="AT109" s="165" t="e">
        <f>T109*$F109</f>
        <v>#REF!</v>
      </c>
      <c r="AU109" s="166" t="e">
        <f>X109*$F109</f>
        <v>#REF!</v>
      </c>
      <c r="AV109" s="167" t="e">
        <f>Y109*$F109</f>
        <v>#REF!</v>
      </c>
      <c r="AW109" s="165" t="e">
        <f>W109*$F109</f>
        <v>#REF!</v>
      </c>
      <c r="AX109" s="166" t="e">
        <f>AA109*$F109</f>
        <v>#REF!</v>
      </c>
      <c r="AY109" s="167" t="e">
        <f>AB109*$F109</f>
        <v>#REF!</v>
      </c>
      <c r="AZ109" s="168" t="e">
        <f>Z109*$F109</f>
        <v>#REF!</v>
      </c>
      <c r="BA109" s="169" t="e">
        <f>AD109*$F109</f>
        <v>#REF!</v>
      </c>
      <c r="BC109" s="160" t="e">
        <f>ROUNDUP(O109/$BC$13,0)</f>
        <v>#REF!</v>
      </c>
      <c r="BD109" s="160" t="e">
        <f>ROUNDUP(R109/$BD$13,0)</f>
        <v>#REF!</v>
      </c>
      <c r="BE109" s="160" t="e">
        <f>ROUNDUP(U109/$BE$13,0)</f>
        <v>#REF!</v>
      </c>
      <c r="BF109" s="160" t="e">
        <f>ROUNDUP(X109/$BF$13,0)</f>
        <v>#REF!</v>
      </c>
      <c r="BG109" s="160" t="e">
        <f>ROUNDUP(AA109/$BG$13,0)</f>
        <v>#REF!</v>
      </c>
      <c r="BH109" s="160" t="e">
        <f>ROUNDUP(AD109/$BH$13,0)</f>
        <v>#REF!</v>
      </c>
    </row>
    <row r="110" spans="1:60" s="226" customFormat="1" ht="19.5" customHeight="1" thickBot="1">
      <c r="A110" s="315"/>
      <c r="B110" s="1527"/>
      <c r="C110" s="216" t="str">
        <f t="shared" si="119"/>
        <v xml:space="preserve">AB111-47330-1 D </v>
      </c>
      <c r="D110" s="217" t="str">
        <f t="shared" si="119"/>
        <v>0001</v>
      </c>
      <c r="E110" s="217">
        <f>+E47</f>
        <v>8251</v>
      </c>
      <c r="F110" s="218">
        <f>+F47</f>
        <v>2</v>
      </c>
      <c r="G110" s="218">
        <f>+G47</f>
        <v>0</v>
      </c>
      <c r="H110" s="310">
        <f>+H47</f>
        <v>0</v>
      </c>
      <c r="I110" s="200">
        <f>I47</f>
        <v>0</v>
      </c>
      <c r="J110" s="221" t="e">
        <f>$H47*J47</f>
        <v>#REF!</v>
      </c>
      <c r="K110" s="222" t="e">
        <f t="shared" si="121"/>
        <v>#REF!</v>
      </c>
      <c r="L110" s="223" t="e">
        <f t="shared" si="121"/>
        <v>#REF!</v>
      </c>
      <c r="M110" s="221" t="e">
        <f>$I47*M47</f>
        <v>#REF!</v>
      </c>
      <c r="N110" s="222" t="e">
        <f t="shared" si="117"/>
        <v>#REF!</v>
      </c>
      <c r="O110" s="223" t="e">
        <f t="shared" si="117"/>
        <v>#REF!</v>
      </c>
      <c r="P110" s="221" t="e">
        <f t="shared" si="117"/>
        <v>#REF!</v>
      </c>
      <c r="Q110" s="222" t="e">
        <f t="shared" si="117"/>
        <v>#REF!</v>
      </c>
      <c r="R110" s="223" t="e">
        <f t="shared" si="117"/>
        <v>#REF!</v>
      </c>
      <c r="S110" s="221" t="e">
        <f t="shared" si="117"/>
        <v>#REF!</v>
      </c>
      <c r="T110" s="222" t="e">
        <f t="shared" si="117"/>
        <v>#REF!</v>
      </c>
      <c r="U110" s="223" t="e">
        <f t="shared" si="117"/>
        <v>#REF!</v>
      </c>
      <c r="V110" s="221" t="e">
        <f t="shared" si="117"/>
        <v>#REF!</v>
      </c>
      <c r="W110" s="222" t="e">
        <f t="shared" si="117"/>
        <v>#REF!</v>
      </c>
      <c r="X110" s="223" t="e">
        <f t="shared" si="117"/>
        <v>#REF!</v>
      </c>
      <c r="Y110" s="221" t="e">
        <f t="shared" si="117"/>
        <v>#REF!</v>
      </c>
      <c r="Z110" s="222" t="e">
        <f t="shared" si="117"/>
        <v>#REF!</v>
      </c>
      <c r="AA110" s="223" t="e">
        <f t="shared" si="117"/>
        <v>#REF!</v>
      </c>
      <c r="AB110" s="221" t="e">
        <f t="shared" si="117"/>
        <v>#REF!</v>
      </c>
      <c r="AC110" s="253" t="e">
        <f t="shared" si="118"/>
        <v>#REF!</v>
      </c>
      <c r="AD110" s="223" t="e">
        <f t="shared" si="118"/>
        <v>#REF!</v>
      </c>
      <c r="AE110" s="225" t="e">
        <f t="shared" si="96"/>
        <v>#REF!</v>
      </c>
      <c r="AG110" s="227" t="e">
        <f t="shared" si="97"/>
        <v>#REF!</v>
      </c>
      <c r="AH110" s="228" t="e">
        <f t="shared" si="97"/>
        <v>#REF!</v>
      </c>
      <c r="AI110" s="229" t="e">
        <f t="shared" si="97"/>
        <v>#REF!</v>
      </c>
      <c r="AJ110" s="230" t="e">
        <f t="shared" si="97"/>
        <v>#REF!</v>
      </c>
      <c r="AK110" s="228" t="e">
        <f t="shared" si="98"/>
        <v>#REF!</v>
      </c>
      <c r="AL110" s="229" t="e">
        <f t="shared" si="99"/>
        <v>#REF!</v>
      </c>
      <c r="AM110" s="230" t="e">
        <f t="shared" si="99"/>
        <v>#REF!</v>
      </c>
      <c r="AN110" s="228" t="e">
        <f t="shared" si="100"/>
        <v>#REF!</v>
      </c>
      <c r="AO110" s="229" t="e">
        <f t="shared" si="101"/>
        <v>#REF!</v>
      </c>
      <c r="AP110" s="230" t="e">
        <f t="shared" si="101"/>
        <v>#REF!</v>
      </c>
      <c r="AQ110" s="228" t="e">
        <f t="shared" si="102"/>
        <v>#REF!</v>
      </c>
      <c r="AR110" s="229" t="e">
        <f t="shared" si="103"/>
        <v>#REF!</v>
      </c>
      <c r="AS110" s="230" t="e">
        <f t="shared" si="103"/>
        <v>#REF!</v>
      </c>
      <c r="AT110" s="228" t="e">
        <f t="shared" si="104"/>
        <v>#REF!</v>
      </c>
      <c r="AU110" s="229" t="e">
        <f t="shared" si="105"/>
        <v>#REF!</v>
      </c>
      <c r="AV110" s="230" t="e">
        <f t="shared" si="105"/>
        <v>#REF!</v>
      </c>
      <c r="AW110" s="228" t="e">
        <f t="shared" si="106"/>
        <v>#REF!</v>
      </c>
      <c r="AX110" s="229" t="e">
        <f t="shared" si="107"/>
        <v>#REF!</v>
      </c>
      <c r="AY110" s="230" t="e">
        <f t="shared" si="107"/>
        <v>#REF!</v>
      </c>
      <c r="AZ110" s="231" t="e">
        <f t="shared" si="108"/>
        <v>#REF!</v>
      </c>
      <c r="BA110" s="232" t="e">
        <f t="shared" si="109"/>
        <v>#REF!</v>
      </c>
      <c r="BC110" s="160" t="e">
        <f t="shared" si="110"/>
        <v>#REF!</v>
      </c>
      <c r="BD110" s="160" t="e">
        <f t="shared" si="111"/>
        <v>#REF!</v>
      </c>
      <c r="BE110" s="160" t="e">
        <f t="shared" si="112"/>
        <v>#REF!</v>
      </c>
      <c r="BF110" s="160" t="e">
        <f t="shared" si="113"/>
        <v>#REF!</v>
      </c>
      <c r="BG110" s="160" t="e">
        <f t="shared" si="114"/>
        <v>#REF!</v>
      </c>
      <c r="BH110" s="160" t="e">
        <f t="shared" si="115"/>
        <v>#REF!</v>
      </c>
    </row>
    <row r="111" spans="1:60" ht="20.100000000000001" customHeight="1" thickBot="1">
      <c r="A111" s="316"/>
      <c r="B111" s="1502" t="s">
        <v>63</v>
      </c>
      <c r="C111" s="1503"/>
      <c r="D111" s="1503"/>
      <c r="E111" s="1503"/>
      <c r="F111" s="1503"/>
      <c r="G111" s="1503"/>
      <c r="H111" s="1503"/>
      <c r="I111" s="1504"/>
      <c r="J111" s="23" t="e">
        <f>SUM(J77:J110)</f>
        <v>#REF!</v>
      </c>
      <c r="K111" s="24" t="e">
        <f t="shared" ref="K111:AD111" si="122">SUM(K77:K110)</f>
        <v>#REF!</v>
      </c>
      <c r="L111" s="25" t="e">
        <f t="shared" si="122"/>
        <v>#REF!</v>
      </c>
      <c r="M111" s="26" t="e">
        <f t="shared" si="122"/>
        <v>#REF!</v>
      </c>
      <c r="N111" s="24" t="e">
        <f t="shared" si="122"/>
        <v>#REF!</v>
      </c>
      <c r="O111" s="25" t="e">
        <f t="shared" si="122"/>
        <v>#REF!</v>
      </c>
      <c r="P111" s="23" t="e">
        <f t="shared" si="122"/>
        <v>#REF!</v>
      </c>
      <c r="Q111" s="24" t="e">
        <f t="shared" si="122"/>
        <v>#REF!</v>
      </c>
      <c r="R111" s="25" t="e">
        <f t="shared" si="122"/>
        <v>#REF!</v>
      </c>
      <c r="S111" s="23" t="e">
        <f t="shared" si="122"/>
        <v>#REF!</v>
      </c>
      <c r="T111" s="24" t="e">
        <f t="shared" si="122"/>
        <v>#REF!</v>
      </c>
      <c r="U111" s="25" t="e">
        <f t="shared" si="122"/>
        <v>#REF!</v>
      </c>
      <c r="V111" s="23" t="e">
        <f t="shared" si="122"/>
        <v>#REF!</v>
      </c>
      <c r="W111" s="24" t="e">
        <f t="shared" si="122"/>
        <v>#REF!</v>
      </c>
      <c r="X111" s="25" t="e">
        <f t="shared" si="122"/>
        <v>#REF!</v>
      </c>
      <c r="Y111" s="23" t="e">
        <f t="shared" si="122"/>
        <v>#REF!</v>
      </c>
      <c r="Z111" s="24" t="e">
        <f t="shared" si="122"/>
        <v>#REF!</v>
      </c>
      <c r="AA111" s="25" t="e">
        <f t="shared" si="122"/>
        <v>#REF!</v>
      </c>
      <c r="AB111" s="23" t="e">
        <f t="shared" si="122"/>
        <v>#REF!</v>
      </c>
      <c r="AC111" s="24" t="e">
        <f t="shared" si="122"/>
        <v>#REF!</v>
      </c>
      <c r="AD111" s="25" t="e">
        <f t="shared" si="122"/>
        <v>#REF!</v>
      </c>
      <c r="AE111" s="27" t="e">
        <f>SUM(AE77:AE97)</f>
        <v>#REF!</v>
      </c>
      <c r="AG111" s="92" t="e">
        <f t="shared" ref="AG111:BA111" si="123">SUM(AG80:AG82)</f>
        <v>#REF!</v>
      </c>
      <c r="AH111" s="93" t="e">
        <f t="shared" si="123"/>
        <v>#REF!</v>
      </c>
      <c r="AI111" s="94" t="e">
        <f t="shared" si="123"/>
        <v>#REF!</v>
      </c>
      <c r="AJ111" s="95" t="e">
        <f t="shared" si="123"/>
        <v>#REF!</v>
      </c>
      <c r="AK111" s="93" t="e">
        <f t="shared" si="123"/>
        <v>#REF!</v>
      </c>
      <c r="AL111" s="94" t="e">
        <f t="shared" si="123"/>
        <v>#REF!</v>
      </c>
      <c r="AM111" s="92" t="e">
        <f t="shared" si="123"/>
        <v>#REF!</v>
      </c>
      <c r="AN111" s="93" t="e">
        <f t="shared" si="123"/>
        <v>#REF!</v>
      </c>
      <c r="AO111" s="94" t="e">
        <f t="shared" si="123"/>
        <v>#REF!</v>
      </c>
      <c r="AP111" s="92" t="e">
        <f t="shared" si="123"/>
        <v>#REF!</v>
      </c>
      <c r="AQ111" s="93" t="e">
        <f t="shared" si="123"/>
        <v>#REF!</v>
      </c>
      <c r="AR111" s="94" t="e">
        <f t="shared" si="123"/>
        <v>#REF!</v>
      </c>
      <c r="AS111" s="92" t="e">
        <f t="shared" si="123"/>
        <v>#REF!</v>
      </c>
      <c r="AT111" s="93" t="e">
        <f t="shared" si="123"/>
        <v>#REF!</v>
      </c>
      <c r="AU111" s="94" t="e">
        <f t="shared" si="123"/>
        <v>#REF!</v>
      </c>
      <c r="AV111" s="92" t="e">
        <f t="shared" si="123"/>
        <v>#REF!</v>
      </c>
      <c r="AW111" s="93" t="e">
        <f t="shared" si="123"/>
        <v>#REF!</v>
      </c>
      <c r="AX111" s="94" t="e">
        <f t="shared" si="123"/>
        <v>#REF!</v>
      </c>
      <c r="AY111" s="92" t="e">
        <f t="shared" si="123"/>
        <v>#REF!</v>
      </c>
      <c r="AZ111" s="93" t="e">
        <f t="shared" si="123"/>
        <v>#REF!</v>
      </c>
      <c r="BA111" s="94" t="e">
        <f t="shared" si="123"/>
        <v>#REF!</v>
      </c>
      <c r="BB111" s="1" t="s">
        <v>64</v>
      </c>
      <c r="BC111" s="101" t="e">
        <f>ROUNDUP(O111/$BC$13,0)</f>
        <v>#REF!</v>
      </c>
      <c r="BD111" s="101" t="e">
        <f>ROUNDUP(R111/$BD$13,0)</f>
        <v>#REF!</v>
      </c>
      <c r="BE111" s="101" t="e">
        <f>ROUNDUP(U111/$BE$13,0)</f>
        <v>#REF!</v>
      </c>
      <c r="BF111" s="101" t="e">
        <f>ROUNDUP(X111/$BF$13,0)</f>
        <v>#REF!</v>
      </c>
      <c r="BG111" s="101" t="e">
        <f>ROUNDUP(AA111/$BG$13,0)</f>
        <v>#REF!</v>
      </c>
      <c r="BH111" s="101" t="e">
        <f>ROUNDUP(AD111/$BH$13,0)</f>
        <v>#REF!</v>
      </c>
    </row>
    <row r="112" spans="1:60" ht="20.100000000000001" customHeight="1">
      <c r="B112" s="2"/>
      <c r="C112" s="28"/>
      <c r="D112" s="28"/>
      <c r="E112" s="28"/>
      <c r="F112" s="28"/>
      <c r="G112" s="28"/>
      <c r="H112" s="28"/>
      <c r="I112" s="28"/>
      <c r="J112" s="29"/>
      <c r="K112" s="29"/>
      <c r="L112" s="29"/>
      <c r="M112" s="29"/>
      <c r="P112" s="29"/>
      <c r="Q112" s="29"/>
      <c r="R112" s="29"/>
      <c r="S112" s="29"/>
      <c r="V112" s="2"/>
      <c r="W112" s="2"/>
      <c r="X112" s="2"/>
      <c r="Y112" s="2"/>
      <c r="Z112" s="2"/>
      <c r="AA112" s="2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2:53" ht="20.100000000000001" customHeight="1">
      <c r="B113" s="30" t="s">
        <v>26</v>
      </c>
      <c r="C113" s="31"/>
      <c r="D113" s="31"/>
      <c r="E113" s="31"/>
      <c r="F113" s="31"/>
      <c r="G113" s="31"/>
      <c r="H113" s="31"/>
      <c r="I113" s="31"/>
      <c r="J113" s="32"/>
      <c r="K113" s="33"/>
      <c r="L113" s="34"/>
      <c r="M113" s="32"/>
      <c r="N113" s="35"/>
      <c r="P113" s="32"/>
      <c r="R113" s="35"/>
      <c r="U113" s="35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2:53" ht="20.100000000000001" customHeight="1">
      <c r="B114" s="30"/>
      <c r="C114" s="31"/>
      <c r="D114" s="31"/>
      <c r="E114" s="31"/>
      <c r="F114" s="31"/>
      <c r="G114" s="31"/>
      <c r="H114" s="31"/>
      <c r="I114" s="31"/>
      <c r="J114" s="32"/>
      <c r="K114" s="33"/>
      <c r="L114" s="34"/>
      <c r="M114" s="32"/>
      <c r="N114" s="35"/>
      <c r="P114" s="32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2:53" ht="36.75" hidden="1" customHeight="1" thickBot="1"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2:53" s="37" customFormat="1" ht="17.100000000000001" hidden="1" customHeight="1" thickBot="1">
      <c r="B116" s="36"/>
      <c r="C116" s="36"/>
      <c r="D116" s="36"/>
      <c r="E116" s="36"/>
      <c r="F116" s="1486"/>
      <c r="G116" s="1486"/>
      <c r="H116" s="1486"/>
      <c r="I116" s="1487"/>
      <c r="J116" s="1469" t="str">
        <f>J56</f>
        <v>FEB</v>
      </c>
      <c r="K116" s="1470"/>
      <c r="L116" s="1471"/>
      <c r="M116" s="1469" t="str">
        <f>M56</f>
        <v>MAR</v>
      </c>
      <c r="N116" s="1470"/>
      <c r="O116" s="1471"/>
      <c r="P116" s="1469" t="str">
        <f>P56</f>
        <v>APR</v>
      </c>
      <c r="Q116" s="1470"/>
      <c r="R116" s="1471"/>
      <c r="S116" s="1469" t="str">
        <f>S56</f>
        <v>MAY</v>
      </c>
      <c r="T116" s="1470"/>
      <c r="U116" s="1471"/>
      <c r="V116" s="1469" t="str">
        <f>V56</f>
        <v>JUN</v>
      </c>
      <c r="W116" s="1470"/>
      <c r="X116" s="1475"/>
      <c r="Y116" s="1469" t="str">
        <f>Y56</f>
        <v>JUL</v>
      </c>
      <c r="Z116" s="1470"/>
      <c r="AA116" s="1475"/>
      <c r="AB116" s="1469" t="str">
        <f>AB56</f>
        <v>FEB</v>
      </c>
      <c r="AC116" s="1470"/>
      <c r="AD116" s="1475"/>
    </row>
    <row r="117" spans="2:53" s="37" customFormat="1" ht="17.100000000000001" hidden="1" customHeight="1" thickBot="1">
      <c r="B117" s="36"/>
      <c r="C117" s="36"/>
      <c r="D117" s="36"/>
      <c r="E117" s="36"/>
      <c r="F117" s="1486"/>
      <c r="G117" s="1486"/>
      <c r="H117" s="1486"/>
      <c r="I117" s="1487"/>
      <c r="J117" s="1469">
        <f>'[7] Simulasi 358W'!G59/2</f>
        <v>200</v>
      </c>
      <c r="K117" s="1470"/>
      <c r="L117" s="1471"/>
      <c r="M117" s="1469">
        <f>'[7] Simulasi 358W'!J59/2</f>
        <v>200</v>
      </c>
      <c r="N117" s="1470"/>
      <c r="O117" s="1471"/>
      <c r="P117" s="1469">
        <f>'[7] Simulasi 358W'!M59/2</f>
        <v>200</v>
      </c>
      <c r="Q117" s="1470"/>
      <c r="R117" s="1471"/>
      <c r="S117" s="1469">
        <f>'[7] Simulasi 358W'!P59/2</f>
        <v>270</v>
      </c>
      <c r="T117" s="1470"/>
      <c r="U117" s="1471"/>
      <c r="V117" s="1469">
        <f>'[7] Simulasi 358W'!S59/2</f>
        <v>270</v>
      </c>
      <c r="W117" s="1470"/>
      <c r="X117" s="1471"/>
      <c r="Y117" s="1469">
        <f>'[7] Simulasi 358W'!V59/2</f>
        <v>270</v>
      </c>
      <c r="Z117" s="1470"/>
      <c r="AA117" s="1471"/>
      <c r="AB117" s="1469" t="e">
        <f>'[7] Simulasi 358W'!Y59/2</f>
        <v>#REF!</v>
      </c>
      <c r="AC117" s="1470"/>
      <c r="AD117" s="1471"/>
    </row>
    <row r="118" spans="2:53" s="41" customFormat="1" ht="18" hidden="1" customHeight="1" thickBot="1">
      <c r="B118" s="38"/>
      <c r="C118" s="38"/>
      <c r="D118" s="38"/>
      <c r="E118" s="38"/>
      <c r="F118" s="1480"/>
      <c r="G118" s="1480"/>
      <c r="H118" s="1480"/>
      <c r="I118" s="1481"/>
      <c r="J118" s="39"/>
      <c r="K118" s="80" t="e">
        <f>K55/J117</f>
        <v>#REF!</v>
      </c>
      <c r="L118" s="80" t="e">
        <f>L55/J117</f>
        <v>#REF!</v>
      </c>
      <c r="M118" s="39"/>
      <c r="N118" s="39" t="e">
        <f>N55/M117</f>
        <v>#REF!</v>
      </c>
      <c r="O118" s="39" t="e">
        <f>O55/M117</f>
        <v>#REF!</v>
      </c>
      <c r="P118" s="39"/>
      <c r="Q118" s="39" t="e">
        <f>Q55/P117</f>
        <v>#REF!</v>
      </c>
      <c r="R118" s="39" t="e">
        <f>R55/P117</f>
        <v>#REF!</v>
      </c>
      <c r="S118" s="39"/>
      <c r="T118" s="39" t="e">
        <f>T55/S117</f>
        <v>#REF!</v>
      </c>
      <c r="U118" s="39" t="e">
        <f>U55/S117</f>
        <v>#REF!</v>
      </c>
      <c r="V118" s="39"/>
      <c r="W118" s="39" t="e">
        <f>W55/V117</f>
        <v>#REF!</v>
      </c>
      <c r="X118" s="40" t="e">
        <f>X55/V117</f>
        <v>#REF!</v>
      </c>
      <c r="Y118" s="39"/>
      <c r="Z118" s="39" t="e">
        <f>Z55/Y117</f>
        <v>#REF!</v>
      </c>
      <c r="AA118" s="40" t="e">
        <f>AA55/Y117</f>
        <v>#REF!</v>
      </c>
      <c r="AB118" s="39"/>
      <c r="AC118" s="39" t="e">
        <f>AC55/AB117</f>
        <v>#REF!</v>
      </c>
      <c r="AD118" s="40" t="e">
        <f>AD55/AB117</f>
        <v>#REF!</v>
      </c>
    </row>
    <row r="119" spans="2:53" s="42" customFormat="1" ht="6.75" hidden="1" customHeight="1" thickBot="1">
      <c r="D119" s="43"/>
      <c r="E119" s="43"/>
      <c r="F119" s="44"/>
      <c r="G119" s="44"/>
      <c r="H119" s="44"/>
      <c r="I119" s="44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</row>
    <row r="120" spans="2:53" s="42" customFormat="1" ht="17.100000000000001" hidden="1" customHeight="1" thickBot="1">
      <c r="D120" s="43"/>
      <c r="E120" s="43"/>
      <c r="F120" s="44"/>
      <c r="G120" s="44"/>
      <c r="H120" s="44"/>
      <c r="I120" s="44"/>
      <c r="J120" s="1472" t="str">
        <f>J116</f>
        <v>FEB</v>
      </c>
      <c r="K120" s="1473"/>
      <c r="L120" s="1476"/>
      <c r="M120" s="1472" t="str">
        <f>M116</f>
        <v>MAR</v>
      </c>
      <c r="N120" s="1473"/>
      <c r="O120" s="1476"/>
      <c r="P120" s="1472" t="str">
        <f>P116</f>
        <v>APR</v>
      </c>
      <c r="Q120" s="1473"/>
      <c r="R120" s="1476"/>
      <c r="S120" s="1472" t="str">
        <f>S116</f>
        <v>MAY</v>
      </c>
      <c r="T120" s="1473"/>
      <c r="U120" s="1476"/>
      <c r="V120" s="1472" t="str">
        <f>V116</f>
        <v>JUN</v>
      </c>
      <c r="W120" s="1473"/>
      <c r="X120" s="1474"/>
      <c r="Y120" s="1472" t="str">
        <f>Y116</f>
        <v>JUL</v>
      </c>
      <c r="Z120" s="1473"/>
      <c r="AA120" s="1474"/>
      <c r="AB120" s="1472" t="str">
        <f>AB116</f>
        <v>FEB</v>
      </c>
      <c r="AC120" s="1473"/>
      <c r="AD120" s="1474"/>
    </row>
    <row r="121" spans="2:53" s="37" customFormat="1" ht="17.100000000000001" hidden="1" customHeight="1" thickBot="1">
      <c r="F121" s="1486"/>
      <c r="G121" s="1486"/>
      <c r="H121" s="1486"/>
      <c r="I121" s="1490"/>
      <c r="J121" s="46"/>
      <c r="K121" s="47" t="s">
        <v>13</v>
      </c>
      <c r="L121" s="47" t="s">
        <v>14</v>
      </c>
      <c r="M121" s="46"/>
      <c r="N121" s="47" t="s">
        <v>13</v>
      </c>
      <c r="O121" s="47" t="s">
        <v>14</v>
      </c>
      <c r="P121" s="46"/>
      <c r="Q121" s="47" t="s">
        <v>13</v>
      </c>
      <c r="R121" s="47" t="s">
        <v>14</v>
      </c>
      <c r="S121" s="46"/>
      <c r="T121" s="47" t="s">
        <v>13</v>
      </c>
      <c r="U121" s="47" t="s">
        <v>14</v>
      </c>
      <c r="V121" s="46"/>
      <c r="W121" s="47" t="s">
        <v>13</v>
      </c>
      <c r="X121" s="48" t="s">
        <v>14</v>
      </c>
      <c r="Y121" s="46"/>
      <c r="Z121" s="47" t="s">
        <v>13</v>
      </c>
      <c r="AA121" s="48" t="s">
        <v>14</v>
      </c>
      <c r="AB121" s="46"/>
      <c r="AC121" s="47" t="s">
        <v>13</v>
      </c>
      <c r="AD121" s="48" t="s">
        <v>14</v>
      </c>
    </row>
    <row r="122" spans="2:53" s="41" customFormat="1" ht="18" hidden="1" customHeight="1" thickBot="1">
      <c r="D122" s="49"/>
      <c r="E122" s="49"/>
      <c r="F122" s="1482"/>
      <c r="G122" s="1482"/>
      <c r="H122" s="1482"/>
      <c r="I122" s="1483"/>
      <c r="J122" s="50"/>
      <c r="K122" s="51" t="e">
        <f>+L118/J57</f>
        <v>#REF!</v>
      </c>
      <c r="L122" s="52" t="e">
        <f>+L118/(J57+J58)</f>
        <v>#REF!</v>
      </c>
      <c r="M122" s="50"/>
      <c r="N122" s="51" t="e">
        <f>+O118/M57</f>
        <v>#REF!</v>
      </c>
      <c r="O122" s="52" t="e">
        <f>+O118/(M57+M58)</f>
        <v>#REF!</v>
      </c>
      <c r="P122" s="50"/>
      <c r="Q122" s="51" t="e">
        <f>+R118/P57</f>
        <v>#REF!</v>
      </c>
      <c r="R122" s="52" t="e">
        <f>+R118/(P57+P58)</f>
        <v>#REF!</v>
      </c>
      <c r="S122" s="50"/>
      <c r="T122" s="51" t="e">
        <f>+U118/S57</f>
        <v>#REF!</v>
      </c>
      <c r="U122" s="52" t="e">
        <f>+U118/(S57+S58)</f>
        <v>#REF!</v>
      </c>
      <c r="V122" s="50"/>
      <c r="W122" s="51" t="e">
        <f>+X118/V57</f>
        <v>#REF!</v>
      </c>
      <c r="X122" s="53" t="e">
        <f>+X118/(V57+V58)</f>
        <v>#REF!</v>
      </c>
      <c r="Y122" s="50"/>
      <c r="Z122" s="51" t="e">
        <f>+AA118/Y57</f>
        <v>#REF!</v>
      </c>
      <c r="AA122" s="53" t="e">
        <f>+AA118/(Y57+Y58)</f>
        <v>#REF!</v>
      </c>
      <c r="AB122" s="50"/>
      <c r="AC122" s="51" t="e">
        <f>+AD118/AB57</f>
        <v>#REF!</v>
      </c>
      <c r="AD122" s="53" t="e">
        <f>+AD118/(AB57+AB58)</f>
        <v>#REF!</v>
      </c>
    </row>
    <row r="123" spans="2:53" s="41" customFormat="1" ht="18" hidden="1" customHeight="1" thickBot="1">
      <c r="J123" s="54"/>
      <c r="K123" s="54" t="e">
        <f>SUM(K122:K122)</f>
        <v>#REF!</v>
      </c>
      <c r="L123" s="54" t="e">
        <f>SUM(L122:L122)</f>
        <v>#REF!</v>
      </c>
      <c r="M123" s="54"/>
      <c r="N123" s="54" t="e">
        <f>SUM(N122:N122)</f>
        <v>#REF!</v>
      </c>
      <c r="O123" s="54" t="e">
        <f>SUM(O122:O122)</f>
        <v>#REF!</v>
      </c>
      <c r="P123" s="54"/>
      <c r="Q123" s="54" t="e">
        <f>SUM(Q122:Q122)</f>
        <v>#REF!</v>
      </c>
      <c r="R123" s="54" t="e">
        <f>SUM(R122:R122)</f>
        <v>#REF!</v>
      </c>
      <c r="S123" s="54"/>
      <c r="T123" s="54" t="e">
        <f>SUM(T122:T122)</f>
        <v>#REF!</v>
      </c>
      <c r="U123" s="54" t="e">
        <f>SUM(U122:U122)</f>
        <v>#REF!</v>
      </c>
      <c r="V123" s="54"/>
      <c r="W123" s="54" t="e">
        <f>SUM(W122:W122)</f>
        <v>#REF!</v>
      </c>
      <c r="X123" s="55" t="e">
        <f>SUM(X122:X122)</f>
        <v>#REF!</v>
      </c>
      <c r="Y123" s="54"/>
      <c r="Z123" s="54" t="e">
        <f>SUM(Z122:Z122)</f>
        <v>#REF!</v>
      </c>
      <c r="AA123" s="55" t="e">
        <f>SUM(AA122:AA122)</f>
        <v>#REF!</v>
      </c>
      <c r="AB123" s="54"/>
      <c r="AC123" s="54" t="e">
        <f>SUM(AC122:AC122)</f>
        <v>#REF!</v>
      </c>
      <c r="AD123" s="55" t="e">
        <f>SUM(AD122:AD122)</f>
        <v>#REF!</v>
      </c>
    </row>
    <row r="124" spans="2:53" ht="24.75" hidden="1" customHeight="1" thickBot="1">
      <c r="B124" s="2"/>
      <c r="F124" s="1488"/>
      <c r="G124" s="1489"/>
      <c r="H124" s="1524"/>
      <c r="I124" s="56"/>
      <c r="J124" s="57" t="s">
        <v>15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1"/>
      <c r="X124" s="1"/>
      <c r="Y124" s="2"/>
      <c r="Z124" s="1"/>
      <c r="AA124" s="1"/>
      <c r="AB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2:53" ht="13.5" hidden="1" customHeight="1" thickBot="1">
      <c r="B125" s="2"/>
      <c r="C125" s="1478" t="s">
        <v>16</v>
      </c>
      <c r="D125" s="1479"/>
      <c r="E125" s="7"/>
      <c r="F125" s="1477"/>
      <c r="G125" s="1477"/>
      <c r="H125" s="1477"/>
      <c r="I125" s="58"/>
      <c r="J125" s="59" t="e">
        <f>#REF!</f>
        <v>#REF!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1"/>
      <c r="X125" s="1"/>
      <c r="Y125" s="2"/>
      <c r="Z125" s="1"/>
      <c r="AA125" s="1"/>
      <c r="AB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2:53" ht="13.5" hidden="1" customHeight="1" thickBot="1">
      <c r="B126" s="2"/>
      <c r="C126" s="1478"/>
      <c r="D126" s="1479"/>
      <c r="E126" s="7"/>
      <c r="F126" s="1484"/>
      <c r="G126" s="1484"/>
      <c r="H126" s="1484"/>
      <c r="I126" s="58"/>
      <c r="J126" s="60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1"/>
      <c r="X126" s="1"/>
      <c r="Y126" s="2"/>
      <c r="Z126" s="1"/>
      <c r="AA126" s="1"/>
      <c r="AB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2:53" ht="13.5" hidden="1" customHeight="1" thickBot="1">
      <c r="B127" s="2"/>
      <c r="C127" s="1478"/>
      <c r="D127" s="1479"/>
      <c r="E127" s="7"/>
      <c r="F127" s="1484"/>
      <c r="G127" s="1484"/>
      <c r="H127" s="1484"/>
      <c r="I127" s="61"/>
      <c r="J127" s="6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1"/>
      <c r="X127" s="1"/>
      <c r="Y127" s="2"/>
      <c r="Z127" s="1"/>
      <c r="AA127" s="1"/>
      <c r="AB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2:53" ht="13.5" hidden="1" customHeight="1" thickBot="1">
      <c r="B128" s="2"/>
      <c r="C128" s="1478"/>
      <c r="D128" s="1479"/>
      <c r="E128" s="305"/>
      <c r="F128" s="1485"/>
      <c r="G128" s="1485"/>
      <c r="H128" s="1485"/>
      <c r="I128" s="63"/>
      <c r="J128" s="6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1"/>
      <c r="X128" s="1"/>
      <c r="Y128" s="2"/>
      <c r="Z128" s="1"/>
      <c r="AA128" s="1"/>
      <c r="AB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3:53" ht="13.5" hidden="1" customHeight="1" thickBot="1">
      <c r="C129" s="1478" t="s">
        <v>17</v>
      </c>
      <c r="D129" s="1479"/>
      <c r="E129" s="7"/>
      <c r="F129" s="1477"/>
      <c r="G129" s="1477"/>
      <c r="H129" s="1477"/>
      <c r="I129" s="58"/>
      <c r="J129" s="59" t="e">
        <f>#REF!</f>
        <v>#REF!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1"/>
      <c r="X129" s="1"/>
      <c r="Y129" s="2"/>
      <c r="Z129" s="1"/>
      <c r="AA129" s="1"/>
      <c r="AB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3:53" ht="13.5" hidden="1" customHeight="1" thickBot="1">
      <c r="C130" s="1478"/>
      <c r="D130" s="1479"/>
      <c r="E130" s="7"/>
      <c r="F130" s="1484"/>
      <c r="G130" s="1484"/>
      <c r="H130" s="1484"/>
      <c r="I130" s="58"/>
      <c r="J130" s="60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1"/>
      <c r="X130" s="1"/>
      <c r="Y130" s="2"/>
      <c r="Z130" s="1"/>
      <c r="AA130" s="1"/>
      <c r="AB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3:53" ht="13.5" hidden="1" customHeight="1" thickBot="1">
      <c r="C131" s="1478"/>
      <c r="D131" s="1479"/>
      <c r="E131" s="7"/>
      <c r="F131" s="1484"/>
      <c r="G131" s="1484"/>
      <c r="H131" s="1484"/>
      <c r="I131" s="61"/>
      <c r="J131" s="6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1"/>
      <c r="X131" s="1"/>
      <c r="Y131" s="2"/>
      <c r="Z131" s="1"/>
      <c r="AA131" s="1"/>
      <c r="AB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3:53" ht="13.5" hidden="1" customHeight="1" thickBot="1">
      <c r="C132" s="1478"/>
      <c r="D132" s="1479"/>
      <c r="E132" s="305"/>
      <c r="F132" s="1485"/>
      <c r="G132" s="1485"/>
      <c r="H132" s="1485"/>
      <c r="I132" s="63"/>
      <c r="J132" s="6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1"/>
      <c r="X132" s="1"/>
      <c r="Y132" s="2"/>
      <c r="Z132" s="1"/>
      <c r="AA132" s="1"/>
      <c r="AB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3:53" ht="13.5" hidden="1" customHeight="1" thickBot="1">
      <c r="C133" s="1478" t="s">
        <v>18</v>
      </c>
      <c r="D133" s="1479"/>
      <c r="E133" s="7"/>
      <c r="F133" s="1477"/>
      <c r="G133" s="1477"/>
      <c r="H133" s="1477"/>
      <c r="I133" s="58"/>
      <c r="J133" s="59" t="e">
        <f>#REF!</f>
        <v>#REF!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1"/>
      <c r="X133" s="1"/>
      <c r="Y133" s="2"/>
      <c r="Z133" s="1"/>
      <c r="AA133" s="1"/>
      <c r="AB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3:53" ht="13.5" hidden="1" customHeight="1" thickBot="1">
      <c r="C134" s="1478"/>
      <c r="D134" s="1479"/>
      <c r="E134" s="7"/>
      <c r="F134" s="1484"/>
      <c r="G134" s="1484"/>
      <c r="H134" s="1484"/>
      <c r="I134" s="58"/>
      <c r="J134" s="60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1"/>
      <c r="X134" s="1"/>
      <c r="Y134" s="2"/>
      <c r="Z134" s="1"/>
      <c r="AA134" s="1"/>
      <c r="AB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3:53" ht="13.5" hidden="1" customHeight="1" thickBot="1">
      <c r="C135" s="1478"/>
      <c r="D135" s="1479"/>
      <c r="E135" s="7"/>
      <c r="F135" s="1484"/>
      <c r="G135" s="1484"/>
      <c r="H135" s="1484"/>
      <c r="I135" s="61"/>
      <c r="J135" s="6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1"/>
      <c r="X135" s="1"/>
      <c r="Y135" s="2"/>
      <c r="Z135" s="1"/>
      <c r="AA135" s="1"/>
      <c r="AB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3:53" ht="13.5" hidden="1" customHeight="1" thickBot="1">
      <c r="C136" s="1478"/>
      <c r="D136" s="1479"/>
      <c r="E136" s="305"/>
      <c r="F136" s="1485"/>
      <c r="G136" s="1485"/>
      <c r="H136" s="1485"/>
      <c r="I136" s="63"/>
      <c r="J136" s="6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1"/>
      <c r="X136" s="1"/>
      <c r="Y136" s="2"/>
      <c r="Z136" s="1"/>
      <c r="AA136" s="1"/>
      <c r="AB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3:53" hidden="1"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1"/>
      <c r="X137" s="1"/>
      <c r="Y137" s="2"/>
      <c r="Z137" s="1"/>
      <c r="AA137" s="1"/>
      <c r="AB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3:53" hidden="1"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1"/>
      <c r="X138" s="1"/>
      <c r="Y138" s="2"/>
      <c r="Z138" s="1"/>
      <c r="AA138" s="1"/>
      <c r="AB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3:53" hidden="1"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1"/>
      <c r="X139" s="1"/>
      <c r="Y139" s="2"/>
      <c r="Z139" s="1"/>
      <c r="AA139" s="1"/>
      <c r="AB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3:53" ht="12.75" hidden="1" customHeight="1">
      <c r="C140" s="1493" t="s">
        <v>19</v>
      </c>
      <c r="D140" s="81"/>
      <c r="E140" s="306"/>
      <c r="F140" s="1492" t="s">
        <v>20</v>
      </c>
      <c r="G140" s="1492"/>
      <c r="H140" s="1492"/>
      <c r="I140" s="65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1"/>
      <c r="X140" s="1"/>
      <c r="Y140" s="2"/>
      <c r="Z140" s="1"/>
      <c r="AA140" s="1"/>
      <c r="AB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3:53" ht="12.75" hidden="1" customHeight="1">
      <c r="C141" s="1493"/>
      <c r="D141" s="81"/>
      <c r="E141" s="306"/>
      <c r="F141" s="1492"/>
      <c r="G141" s="1492"/>
      <c r="H141" s="1492"/>
      <c r="I141" s="65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1"/>
      <c r="X141" s="1"/>
      <c r="Y141" s="2"/>
      <c r="Z141" s="1"/>
      <c r="AA141" s="1"/>
      <c r="AB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3:53" ht="12.75" hidden="1" customHeight="1">
      <c r="C142" s="66" t="s">
        <v>21</v>
      </c>
      <c r="D142" s="5"/>
      <c r="E142" s="301"/>
      <c r="F142" s="1491" t="e">
        <f>(#REF!/8) *1.75</f>
        <v>#REF!</v>
      </c>
      <c r="G142" s="1491"/>
      <c r="H142" s="1491"/>
      <c r="I142" s="6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1"/>
      <c r="X142" s="1"/>
      <c r="Y142" s="2"/>
      <c r="Z142" s="1"/>
      <c r="AA142" s="1"/>
      <c r="AB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3:53" ht="12.75" hidden="1" customHeight="1">
      <c r="C143" s="66" t="s">
        <v>22</v>
      </c>
      <c r="D143" s="5"/>
      <c r="E143" s="301"/>
      <c r="F143" s="1491" t="e">
        <f>(#REF!/8) *1.75</f>
        <v>#REF!</v>
      </c>
      <c r="G143" s="1491"/>
      <c r="H143" s="1491"/>
      <c r="I143" s="6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1"/>
      <c r="X143" s="1"/>
      <c r="Y143" s="2"/>
      <c r="Z143" s="1"/>
      <c r="AA143" s="1"/>
      <c r="AB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3:53" ht="12.75" hidden="1" customHeight="1">
      <c r="C144" s="66" t="s">
        <v>23</v>
      </c>
      <c r="D144" s="5"/>
      <c r="E144" s="301"/>
      <c r="F144" s="1491" t="e">
        <f>(#REF!/8) *1.75</f>
        <v>#REF!</v>
      </c>
      <c r="G144" s="1491"/>
      <c r="H144" s="1491"/>
      <c r="I144" s="6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1"/>
      <c r="X144" s="1"/>
      <c r="Y144" s="2"/>
      <c r="Z144" s="1"/>
      <c r="AA144" s="1"/>
      <c r="AB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3:53" hidden="1"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1"/>
      <c r="X145" s="1"/>
      <c r="Y145" s="2"/>
      <c r="Z145" s="1"/>
      <c r="AA145" s="1"/>
      <c r="AB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3:53" hidden="1"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1"/>
      <c r="X146" s="1"/>
      <c r="Y146" s="2"/>
      <c r="Z146" s="1"/>
      <c r="AA146" s="1"/>
      <c r="AB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3:53" hidden="1"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1"/>
      <c r="X147" s="1"/>
      <c r="Y147" s="2"/>
      <c r="Z147" s="1"/>
      <c r="AA147" s="1"/>
      <c r="AB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3:53" hidden="1"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1"/>
      <c r="X148" s="1"/>
      <c r="Y148" s="2"/>
      <c r="Z148" s="1"/>
      <c r="AA148" s="1"/>
      <c r="AB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3:53" hidden="1"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1"/>
      <c r="X149" s="1"/>
      <c r="Y149" s="2"/>
      <c r="Z149" s="1"/>
      <c r="AA149" s="1"/>
      <c r="AB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3:53" hidden="1"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1"/>
      <c r="X150" s="1"/>
      <c r="Y150" s="2"/>
      <c r="Z150" s="1"/>
      <c r="AA150" s="1"/>
      <c r="AB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3:53" hidden="1">
      <c r="M151" s="2"/>
      <c r="N151" s="29"/>
      <c r="O151" s="29"/>
      <c r="P151" s="2"/>
      <c r="Q151" s="2"/>
      <c r="R151" s="2"/>
      <c r="S151" s="2"/>
      <c r="T151" s="2"/>
      <c r="U151" s="2"/>
      <c r="V151" s="2"/>
      <c r="W151" s="1"/>
      <c r="X151" s="1"/>
      <c r="Y151" s="2"/>
      <c r="Z151" s="1"/>
      <c r="AA151" s="1"/>
      <c r="AB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3:53">
      <c r="M152" s="2"/>
      <c r="N152" s="33"/>
      <c r="O152" s="34"/>
      <c r="P152" s="68"/>
      <c r="Q152" s="68"/>
      <c r="R152" s="68"/>
      <c r="S152" s="68"/>
      <c r="T152" s="68"/>
      <c r="U152" s="2"/>
      <c r="V152" s="2"/>
      <c r="W152" s="1"/>
      <c r="X152" s="1"/>
      <c r="Y152" s="2"/>
      <c r="Z152" s="1"/>
      <c r="AA152" s="1"/>
      <c r="AB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3:53">
      <c r="M153" s="2"/>
      <c r="N153" s="33"/>
      <c r="O153" s="34"/>
      <c r="P153" s="2"/>
      <c r="Q153" s="2"/>
      <c r="R153" s="2"/>
      <c r="S153" s="2"/>
      <c r="T153" s="2"/>
      <c r="U153" s="2"/>
      <c r="V153" s="2"/>
      <c r="W153" s="1"/>
      <c r="X153" s="1"/>
      <c r="Y153" s="2"/>
      <c r="Z153" s="1"/>
      <c r="AA153" s="1"/>
      <c r="AB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3:53">
      <c r="M154" s="2"/>
      <c r="P154" s="2"/>
      <c r="Q154" s="2"/>
      <c r="R154" s="2"/>
      <c r="S154" s="2"/>
      <c r="T154" s="2"/>
      <c r="U154" s="2"/>
      <c r="V154" s="2"/>
      <c r="W154" s="1"/>
      <c r="X154" s="1"/>
      <c r="Y154" s="2"/>
      <c r="Z154" s="1"/>
      <c r="AA154" s="1"/>
      <c r="AB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3:53"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1"/>
      <c r="X155" s="1"/>
      <c r="Y155" s="2"/>
      <c r="Z155" s="1"/>
      <c r="AA155" s="1"/>
      <c r="AB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3:53"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1"/>
      <c r="X156" s="1"/>
      <c r="Y156" s="2"/>
      <c r="Z156" s="1"/>
      <c r="AA156" s="1"/>
      <c r="AB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3:53"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1"/>
      <c r="X157" s="1"/>
      <c r="Y157" s="2"/>
      <c r="Z157" s="1"/>
      <c r="AA157" s="1"/>
      <c r="AB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3:53"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1"/>
      <c r="X158" s="1"/>
      <c r="Y158" s="2"/>
      <c r="Z158" s="1"/>
      <c r="AA158" s="1"/>
      <c r="AB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3:53">
      <c r="M159" s="2"/>
      <c r="N159" s="2"/>
      <c r="O159" s="2"/>
      <c r="P159" s="2"/>
      <c r="Q159" s="2"/>
      <c r="R159" s="33"/>
      <c r="S159" s="34"/>
      <c r="T159" s="32"/>
      <c r="W159" s="2"/>
      <c r="X159" s="2"/>
      <c r="Y159" s="2"/>
      <c r="Z159" s="2"/>
      <c r="AA159" s="2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3:53">
      <c r="M160" s="2"/>
      <c r="N160" s="2"/>
      <c r="O160" s="2"/>
      <c r="P160" s="2"/>
      <c r="Q160" s="2"/>
      <c r="R160" s="33"/>
      <c r="S160" s="34"/>
      <c r="T160" s="32"/>
      <c r="W160" s="2"/>
      <c r="X160" s="2"/>
      <c r="Y160" s="2"/>
      <c r="Z160" s="2"/>
      <c r="AA160" s="2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3:53">
      <c r="M161" s="2"/>
      <c r="N161" s="2"/>
      <c r="O161" s="2"/>
      <c r="P161" s="2"/>
      <c r="Q161" s="2"/>
      <c r="AB161" s="3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3:53">
      <c r="W162" s="1"/>
      <c r="X162" s="1"/>
      <c r="Z162" s="1"/>
      <c r="AA162" s="1"/>
      <c r="AB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3:53">
      <c r="W163" s="1"/>
      <c r="X163" s="1"/>
      <c r="Z163" s="1"/>
      <c r="AA163" s="1"/>
      <c r="AB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3:53">
      <c r="W164" s="1"/>
      <c r="X164" s="1"/>
      <c r="Z164" s="1"/>
      <c r="AA164" s="1"/>
      <c r="AB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3:53">
      <c r="W165" s="1"/>
      <c r="X165" s="1"/>
      <c r="Z165" s="1"/>
      <c r="AA165" s="1"/>
      <c r="AB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3:53">
      <c r="W166" s="1"/>
      <c r="X166" s="1"/>
      <c r="Z166" s="1"/>
      <c r="AA166" s="1"/>
      <c r="AB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3:53">
      <c r="W167" s="1"/>
      <c r="X167" s="1"/>
      <c r="Z167" s="1"/>
      <c r="AA167" s="1"/>
      <c r="AB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3:53">
      <c r="W168" s="1"/>
      <c r="X168" s="1"/>
      <c r="Z168" s="1"/>
      <c r="AA168" s="1"/>
      <c r="AB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3:53">
      <c r="W169" s="1"/>
      <c r="X169" s="1"/>
      <c r="Z169" s="1"/>
      <c r="AA169" s="1"/>
      <c r="AB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3:53">
      <c r="W170" s="1"/>
      <c r="X170" s="1"/>
      <c r="Z170" s="1"/>
      <c r="AA170" s="1"/>
      <c r="AB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3:53">
      <c r="W171" s="1"/>
      <c r="X171" s="1"/>
      <c r="Z171" s="1"/>
      <c r="AA171" s="1"/>
      <c r="AB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3:53">
      <c r="W172" s="1"/>
      <c r="X172" s="1"/>
      <c r="Z172" s="1"/>
      <c r="AA172" s="1"/>
      <c r="AB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3:53">
      <c r="W173" s="1"/>
      <c r="X173" s="1"/>
      <c r="Z173" s="1"/>
      <c r="AA173" s="1"/>
      <c r="AB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3:53">
      <c r="W174" s="1"/>
      <c r="X174" s="1"/>
      <c r="Z174" s="1"/>
      <c r="AA174" s="1"/>
      <c r="AB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3:53">
      <c r="W175" s="1"/>
      <c r="X175" s="1"/>
      <c r="Z175" s="1"/>
      <c r="AA175" s="1"/>
      <c r="AB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3:53">
      <c r="W176" s="1"/>
      <c r="X176" s="1"/>
      <c r="Z176" s="1"/>
      <c r="AA176" s="1"/>
      <c r="AB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23:53">
      <c r="W177" s="1"/>
      <c r="X177" s="1"/>
      <c r="Z177" s="1"/>
      <c r="AA177" s="1"/>
      <c r="AB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23:53">
      <c r="W178" s="1"/>
      <c r="X178" s="1"/>
      <c r="Z178" s="1"/>
      <c r="AA178" s="1"/>
      <c r="AB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23:53">
      <c r="W179" s="1"/>
      <c r="X179" s="1"/>
      <c r="Z179" s="1"/>
      <c r="AA179" s="1"/>
      <c r="AB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23:53">
      <c r="W180" s="1"/>
      <c r="X180" s="1"/>
      <c r="Z180" s="1"/>
      <c r="AA180" s="1"/>
      <c r="AB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23:53"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23:53"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23:53"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23:53"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23:53"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23:53"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23:53"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23:53"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23:53"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23:53"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23:53"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23:53"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33:53"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33:53"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33:53"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33:53"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33:53"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33:53"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33:53"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33:53"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33:53"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33:53"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33:53"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33:53"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33:53"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33:53"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33:53"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33:53"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33:53"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33:53"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33:53"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33:53"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33:53"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33:53"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33:53"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33:53"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33:53"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33:53"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33:53"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33:53"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33:53"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33:53"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33:53"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33:53"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33:53"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33:53"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33:53"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33:53"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33:53"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33:53"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33:53"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33:53"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33:53"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33:53"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33:53"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33:53"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33:53"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33:53"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33:53"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33:53"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33:53"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33:53"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33:53"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33:53"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33:53"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33:53"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33:53"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33:53"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33:53"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33:53"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33:53"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</sheetData>
  <mergeCells count="185">
    <mergeCell ref="B31:B34"/>
    <mergeCell ref="B35:B36"/>
    <mergeCell ref="B37:B40"/>
    <mergeCell ref="E11:E13"/>
    <mergeCell ref="G11:G13"/>
    <mergeCell ref="F11:F13"/>
    <mergeCell ref="H11:I11"/>
    <mergeCell ref="A11:B13"/>
    <mergeCell ref="C11:C13"/>
    <mergeCell ref="D11:D13"/>
    <mergeCell ref="A14:A26"/>
    <mergeCell ref="B14:B16"/>
    <mergeCell ref="B17:B19"/>
    <mergeCell ref="B20:B26"/>
    <mergeCell ref="A27:A46"/>
    <mergeCell ref="B27:B28"/>
    <mergeCell ref="B41:B46"/>
    <mergeCell ref="BD6:BE9"/>
    <mergeCell ref="V7:W7"/>
    <mergeCell ref="Z7:AA7"/>
    <mergeCell ref="V8:W8"/>
    <mergeCell ref="AB9:AC9"/>
    <mergeCell ref="AD9:AE9"/>
    <mergeCell ref="AY11:BA11"/>
    <mergeCell ref="AM12:AO12"/>
    <mergeCell ref="AP12:AR12"/>
    <mergeCell ref="AY12:BA12"/>
    <mergeCell ref="AS12:AU12"/>
    <mergeCell ref="AV12:AX12"/>
    <mergeCell ref="AS11:AU11"/>
    <mergeCell ref="AV11:AX11"/>
    <mergeCell ref="AM11:AO11"/>
    <mergeCell ref="AP11:AR11"/>
    <mergeCell ref="AG12:AI12"/>
    <mergeCell ref="AJ12:AL12"/>
    <mergeCell ref="AG11:AI11"/>
    <mergeCell ref="AJ11:AL11"/>
    <mergeCell ref="V57:X57"/>
    <mergeCell ref="Y57:AA57"/>
    <mergeCell ref="AB57:AD57"/>
    <mergeCell ref="P56:R56"/>
    <mergeCell ref="S56:U56"/>
    <mergeCell ref="V56:X56"/>
    <mergeCell ref="Y56:AA56"/>
    <mergeCell ref="M56:O56"/>
    <mergeCell ref="B1:AE1"/>
    <mergeCell ref="L2:R2"/>
    <mergeCell ref="AB2:AC2"/>
    <mergeCell ref="AD2:AE2"/>
    <mergeCell ref="AB3:AC4"/>
    <mergeCell ref="AB5:AC5"/>
    <mergeCell ref="J12:L12"/>
    <mergeCell ref="M12:O12"/>
    <mergeCell ref="P12:R12"/>
    <mergeCell ref="S12:U12"/>
    <mergeCell ref="V12:X12"/>
    <mergeCell ref="Y11:AA11"/>
    <mergeCell ref="Y12:AA12"/>
    <mergeCell ref="AB12:AD12"/>
    <mergeCell ref="AB11:AD11"/>
    <mergeCell ref="AE11:AE13"/>
    <mergeCell ref="B51:B54"/>
    <mergeCell ref="B55:I55"/>
    <mergeCell ref="B56:I56"/>
    <mergeCell ref="B47:B50"/>
    <mergeCell ref="B29:B30"/>
    <mergeCell ref="M65:R65"/>
    <mergeCell ref="AB65:AC65"/>
    <mergeCell ref="AD65:AE65"/>
    <mergeCell ref="B58:I58"/>
    <mergeCell ref="J58:L58"/>
    <mergeCell ref="M58:O58"/>
    <mergeCell ref="P58:R58"/>
    <mergeCell ref="S58:U58"/>
    <mergeCell ref="V58:X58"/>
    <mergeCell ref="Y58:AA58"/>
    <mergeCell ref="AB58:AD58"/>
    <mergeCell ref="B64:AE64"/>
    <mergeCell ref="J56:L56"/>
    <mergeCell ref="AB56:AD56"/>
    <mergeCell ref="B57:I57"/>
    <mergeCell ref="J57:L57"/>
    <mergeCell ref="M57:O57"/>
    <mergeCell ref="P57:R57"/>
    <mergeCell ref="S57:U57"/>
    <mergeCell ref="M66:R66"/>
    <mergeCell ref="AJ75:AL75"/>
    <mergeCell ref="G74:G76"/>
    <mergeCell ref="H74:I74"/>
    <mergeCell ref="J74:L74"/>
    <mergeCell ref="M74:O74"/>
    <mergeCell ref="P74:R74"/>
    <mergeCell ref="AB72:AC72"/>
    <mergeCell ref="AD72:AE72"/>
    <mergeCell ref="B74:B76"/>
    <mergeCell ref="C74:C76"/>
    <mergeCell ref="D74:D76"/>
    <mergeCell ref="E74:E76"/>
    <mergeCell ref="F74:F76"/>
    <mergeCell ref="S74:U74"/>
    <mergeCell ref="V70:W70"/>
    <mergeCell ref="Z70:AA70"/>
    <mergeCell ref="V71:W71"/>
    <mergeCell ref="Y75:AA75"/>
    <mergeCell ref="AY74:BA74"/>
    <mergeCell ref="J75:L75"/>
    <mergeCell ref="M75:O75"/>
    <mergeCell ref="P75:R75"/>
    <mergeCell ref="S75:U75"/>
    <mergeCell ref="V75:X75"/>
    <mergeCell ref="V74:X74"/>
    <mergeCell ref="Y74:AA74"/>
    <mergeCell ref="AM75:AO75"/>
    <mergeCell ref="AY75:BA75"/>
    <mergeCell ref="AV75:AX75"/>
    <mergeCell ref="AV74:AX74"/>
    <mergeCell ref="AM74:AO74"/>
    <mergeCell ref="AG74:AI74"/>
    <mergeCell ref="AP75:AR75"/>
    <mergeCell ref="AS75:AU75"/>
    <mergeCell ref="AB75:AD75"/>
    <mergeCell ref="AB74:AD74"/>
    <mergeCell ref="AP74:AR74"/>
    <mergeCell ref="AS74:AU74"/>
    <mergeCell ref="AJ74:AL74"/>
    <mergeCell ref="AG75:AI75"/>
    <mergeCell ref="AE74:AE76"/>
    <mergeCell ref="B83:B87"/>
    <mergeCell ref="A89:A97"/>
    <mergeCell ref="B89:B91"/>
    <mergeCell ref="B92:B93"/>
    <mergeCell ref="B94:B97"/>
    <mergeCell ref="A77:A82"/>
    <mergeCell ref="B77:B79"/>
    <mergeCell ref="B80:B82"/>
    <mergeCell ref="B100:B102"/>
    <mergeCell ref="Y117:AA117"/>
    <mergeCell ref="M120:O120"/>
    <mergeCell ref="P120:R120"/>
    <mergeCell ref="S120:U120"/>
    <mergeCell ref="V120:X120"/>
    <mergeCell ref="Y120:AA120"/>
    <mergeCell ref="AB120:AD120"/>
    <mergeCell ref="F126:H126"/>
    <mergeCell ref="B104:B110"/>
    <mergeCell ref="B111:I111"/>
    <mergeCell ref="S116:U116"/>
    <mergeCell ref="F116:I116"/>
    <mergeCell ref="J116:L116"/>
    <mergeCell ref="M116:O116"/>
    <mergeCell ref="P116:R116"/>
    <mergeCell ref="AB116:AD116"/>
    <mergeCell ref="V117:X117"/>
    <mergeCell ref="AB117:AD117"/>
    <mergeCell ref="V116:X116"/>
    <mergeCell ref="Y116:AA116"/>
    <mergeCell ref="F127:H127"/>
    <mergeCell ref="F128:H128"/>
    <mergeCell ref="S117:U117"/>
    <mergeCell ref="F121:I121"/>
    <mergeCell ref="F117:I117"/>
    <mergeCell ref="J117:L117"/>
    <mergeCell ref="M117:O117"/>
    <mergeCell ref="P117:R117"/>
    <mergeCell ref="C140:C141"/>
    <mergeCell ref="F140:H141"/>
    <mergeCell ref="F118:I118"/>
    <mergeCell ref="J120:L120"/>
    <mergeCell ref="F134:H134"/>
    <mergeCell ref="F135:H135"/>
    <mergeCell ref="F136:H136"/>
    <mergeCell ref="F124:H124"/>
    <mergeCell ref="C125:D128"/>
    <mergeCell ref="F125:H125"/>
    <mergeCell ref="F122:I122"/>
    <mergeCell ref="F142:H142"/>
    <mergeCell ref="F143:H143"/>
    <mergeCell ref="F144:H144"/>
    <mergeCell ref="C129:D132"/>
    <mergeCell ref="F129:H129"/>
    <mergeCell ref="F130:H130"/>
    <mergeCell ref="F131:H131"/>
    <mergeCell ref="F132:H132"/>
    <mergeCell ref="C133:D136"/>
    <mergeCell ref="F133:H133"/>
  </mergeCells>
  <phoneticPr fontId="5" type="noConversion"/>
  <conditionalFormatting sqref="J135:J136 J131:J132 J127:J128">
    <cfRule type="cellIs" dxfId="12" priority="1" stopIfTrue="1" operator="greaterThan">
      <formula>0</formula>
    </cfRule>
  </conditionalFormatting>
  <printOptions horizontalCentered="1"/>
  <pageMargins left="0" right="0" top="0.66929133858267698" bottom="0.15748031496063" header="0.35433070866141703" footer="0.15748031496063"/>
  <pageSetup paperSize="9" scale="43" orientation="landscape" r:id="rId1"/>
  <headerFooter alignWithMargins="0">
    <oddHeader>&amp;LPT. JATIM AUTOCOMP INDONESIA&amp;RS/R 26 Dec 2007</oddHeader>
    <oddFooter>&amp;LSIX MONTH PRODUCTION PLAN.xls&amp;R&amp;"Times New Roman,Regular"&amp;9&amp;P/&amp;N</oddFooter>
  </headerFooter>
  <rowBreaks count="2" manualBreakCount="2">
    <brk id="58" max="30" man="1"/>
    <brk id="115" min="1" max="29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EI56"/>
  <sheetViews>
    <sheetView zoomScaleNormal="100" workbookViewId="0">
      <pane xSplit="2" ySplit="7" topLeftCell="C23" activePane="bottomRight" state="frozen"/>
      <selection pane="topRight" activeCell="C1" sqref="C1"/>
      <selection pane="bottomLeft" activeCell="A8" sqref="A8"/>
      <selection pane="bottomRight" activeCell="Q3" sqref="Q3"/>
    </sheetView>
  </sheetViews>
  <sheetFormatPr defaultRowHeight="12.75"/>
  <cols>
    <col min="1" max="1" width="12.42578125" customWidth="1"/>
    <col min="2" max="2" width="21.140625" customWidth="1"/>
    <col min="4" max="9" width="9.28515625" hidden="1" customWidth="1"/>
    <col min="10" max="10" width="10.5703125" hidden="1" customWidth="1"/>
    <col min="11" max="11" width="10.85546875" hidden="1" customWidth="1"/>
    <col min="12" max="12" width="9.28515625" hidden="1" customWidth="1"/>
    <col min="13" max="16" width="9.28515625" bestFit="1" customWidth="1"/>
    <col min="18" max="19" width="9.28515625" bestFit="1" customWidth="1"/>
    <col min="20" max="20" width="10.85546875" bestFit="1" customWidth="1"/>
    <col min="21" max="28" width="9.28515625" bestFit="1" customWidth="1"/>
    <col min="29" max="29" width="10.85546875" bestFit="1" customWidth="1"/>
    <col min="30" max="37" width="9.28515625" bestFit="1" customWidth="1"/>
    <col min="38" max="38" width="10.85546875" bestFit="1" customWidth="1"/>
    <col min="39" max="46" width="9.28515625" bestFit="1" customWidth="1"/>
    <col min="47" max="47" width="10.85546875" bestFit="1" customWidth="1"/>
    <col min="48" max="51" width="9.28515625" bestFit="1" customWidth="1"/>
    <col min="52" max="52" width="11.7109375" bestFit="1" customWidth="1"/>
    <col min="53" max="55" width="9.28515625" bestFit="1" customWidth="1"/>
    <col min="56" max="56" width="10.85546875" bestFit="1" customWidth="1"/>
    <col min="57" max="57" width="9.28515625" bestFit="1" customWidth="1"/>
    <col min="58" max="58" width="9.7109375" bestFit="1" customWidth="1"/>
    <col min="59" max="63" width="9.28515625" bestFit="1" customWidth="1"/>
  </cols>
  <sheetData>
    <row r="1" spans="1:63" s="762" customFormat="1" ht="15.75">
      <c r="A1" s="758"/>
      <c r="B1" s="759"/>
      <c r="C1" s="760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  <c r="S1" s="761"/>
      <c r="T1" s="761"/>
      <c r="U1" s="761"/>
      <c r="V1" s="761"/>
      <c r="W1" s="761"/>
      <c r="X1" s="761"/>
      <c r="Y1" s="761"/>
      <c r="Z1" s="761"/>
      <c r="AA1" s="761"/>
      <c r="AB1" s="761"/>
      <c r="AC1" s="761"/>
      <c r="AD1" s="761"/>
      <c r="AE1" s="761"/>
      <c r="AF1" s="761"/>
      <c r="AG1" s="761"/>
      <c r="AH1" s="761"/>
      <c r="AI1" s="761"/>
      <c r="AJ1" s="761"/>
      <c r="AK1" s="761"/>
      <c r="AL1" s="761"/>
      <c r="AM1" s="761"/>
      <c r="AN1" s="761"/>
      <c r="AO1" s="761"/>
      <c r="AP1" s="761"/>
      <c r="AQ1" s="761"/>
      <c r="AR1" s="761"/>
      <c r="AS1" s="761"/>
      <c r="AT1" s="761"/>
      <c r="AU1" s="761"/>
      <c r="AV1" s="761"/>
      <c r="AW1" s="761"/>
      <c r="AX1" s="761"/>
      <c r="AY1" s="761"/>
      <c r="AZ1" s="761"/>
      <c r="BA1" s="761"/>
      <c r="BB1" s="761"/>
      <c r="BC1" s="761"/>
      <c r="BD1" s="761"/>
      <c r="BE1" s="761"/>
    </row>
    <row r="2" spans="1:63" s="762" customFormat="1" ht="15">
      <c r="A2" s="758"/>
      <c r="B2" s="759"/>
      <c r="C2" s="760"/>
      <c r="D2" s="590"/>
      <c r="E2" s="590"/>
      <c r="F2" s="590"/>
      <c r="G2" s="590"/>
      <c r="H2" s="590"/>
      <c r="I2" s="590"/>
      <c r="J2" s="590"/>
      <c r="K2" s="590"/>
      <c r="L2" s="590"/>
      <c r="M2" s="590"/>
      <c r="N2" s="590"/>
      <c r="O2" s="590"/>
      <c r="P2" s="590"/>
      <c r="Q2" s="590"/>
      <c r="R2" s="590"/>
      <c r="S2" s="590"/>
      <c r="T2" s="590"/>
      <c r="U2" s="590"/>
      <c r="V2" s="590"/>
      <c r="W2" s="590"/>
      <c r="X2" s="590"/>
      <c r="Y2" s="590"/>
      <c r="Z2" s="590"/>
      <c r="AA2" s="590"/>
      <c r="AB2" s="590"/>
      <c r="AC2" s="590"/>
      <c r="AD2" s="590"/>
      <c r="AE2" s="590"/>
      <c r="AF2" s="590"/>
      <c r="AG2" s="590"/>
      <c r="AH2" s="590"/>
      <c r="AI2" s="590"/>
      <c r="AJ2" s="590"/>
      <c r="AK2" s="590"/>
      <c r="AL2" s="590"/>
      <c r="AM2" s="590"/>
      <c r="AN2" s="590"/>
      <c r="AO2" s="590"/>
      <c r="AP2" s="590"/>
      <c r="AQ2" s="590"/>
      <c r="AR2" s="590"/>
      <c r="AS2" s="590"/>
      <c r="AT2" s="590"/>
      <c r="AU2" s="590"/>
      <c r="AV2" s="590"/>
      <c r="AW2" s="590"/>
      <c r="AX2" s="590"/>
      <c r="AY2" s="590"/>
      <c r="AZ2" s="590"/>
      <c r="BA2" s="590"/>
      <c r="BB2" s="590"/>
      <c r="BC2" s="590"/>
      <c r="BD2" s="590"/>
      <c r="BE2" s="590"/>
    </row>
    <row r="3" spans="1:63" s="762" customFormat="1" ht="15">
      <c r="A3" s="763"/>
      <c r="B3" s="759"/>
      <c r="C3" s="760"/>
      <c r="D3" s="590">
        <v>4</v>
      </c>
      <c r="E3" s="590"/>
      <c r="F3" s="590"/>
      <c r="G3" s="590"/>
      <c r="H3" s="590"/>
      <c r="I3" s="590"/>
      <c r="J3" s="590"/>
      <c r="K3" s="590"/>
      <c r="L3" s="590"/>
      <c r="M3" s="590">
        <f>VLOOKUP(M$5,WEEK!$A$3:$D$14,4,0)</f>
        <v>5</v>
      </c>
      <c r="N3" s="590"/>
      <c r="O3" s="590"/>
      <c r="P3" s="590"/>
      <c r="Q3" s="590"/>
      <c r="R3" s="590"/>
      <c r="S3" s="590"/>
      <c r="T3" s="590"/>
      <c r="U3" s="590"/>
      <c r="V3" s="590">
        <f>VLOOKUP(V$5,WEEK!$A$3:$D$14,4,0)</f>
        <v>4</v>
      </c>
      <c r="W3" s="590"/>
      <c r="X3" s="590"/>
      <c r="Y3" s="590"/>
      <c r="Z3" s="590"/>
      <c r="AA3" s="590"/>
      <c r="AB3" s="590"/>
      <c r="AC3" s="590"/>
      <c r="AD3" s="590"/>
      <c r="AE3" s="590">
        <f>VLOOKUP(AE$5,WEEK!$A$3:$D$14,4,0)</f>
        <v>4</v>
      </c>
      <c r="AF3" s="590"/>
      <c r="AG3" s="590"/>
      <c r="AH3" s="590"/>
      <c r="AI3" s="590"/>
      <c r="AJ3" s="590"/>
      <c r="AK3" s="590"/>
      <c r="AL3" s="590"/>
      <c r="AM3" s="590"/>
      <c r="AN3" s="590">
        <f>VLOOKUP(AN$5,WEEK!$A$3:$D$14,4,0)</f>
        <v>5</v>
      </c>
      <c r="AO3" s="590"/>
      <c r="AP3" s="590"/>
      <c r="AQ3" s="590"/>
      <c r="AR3" s="590"/>
      <c r="AS3" s="590"/>
      <c r="AT3" s="590"/>
      <c r="AU3" s="590"/>
      <c r="AV3" s="590"/>
      <c r="AW3" s="590">
        <f>VLOOKUP(AW$5,WEEK!A3:D14,4,0)</f>
        <v>4</v>
      </c>
      <c r="AX3" s="590"/>
      <c r="AY3" s="590"/>
      <c r="AZ3" s="590"/>
      <c r="BA3" s="590"/>
      <c r="BB3" s="590"/>
      <c r="BC3" s="590"/>
      <c r="BD3" s="590"/>
      <c r="BE3" s="590"/>
    </row>
    <row r="4" spans="1:63" s="762" customFormat="1" ht="15.75" thickBot="1">
      <c r="A4" s="591" t="s">
        <v>123</v>
      </c>
      <c r="B4" s="957">
        <f ca="1">NOW()</f>
        <v>46093.48149085648</v>
      </c>
      <c r="C4" s="764"/>
      <c r="D4" s="765" t="s">
        <v>125</v>
      </c>
      <c r="E4" s="765"/>
      <c r="F4" s="765"/>
      <c r="G4" s="765"/>
      <c r="H4" s="765"/>
      <c r="I4" s="765"/>
      <c r="J4" s="765"/>
      <c r="K4" s="765"/>
      <c r="L4" s="765"/>
      <c r="M4" s="765" t="s">
        <v>126</v>
      </c>
      <c r="N4" s="765"/>
      <c r="O4" s="765"/>
      <c r="P4" s="765"/>
      <c r="Q4" s="765"/>
      <c r="R4" s="765"/>
      <c r="S4" s="765"/>
      <c r="T4" s="765"/>
      <c r="U4" s="765"/>
      <c r="V4" s="765" t="s">
        <v>127</v>
      </c>
      <c r="W4" s="765"/>
      <c r="X4" s="765"/>
      <c r="Y4" s="765"/>
      <c r="Z4" s="765"/>
      <c r="AA4" s="765"/>
      <c r="AB4" s="765"/>
      <c r="AC4" s="765"/>
      <c r="AD4" s="765"/>
      <c r="AE4" s="765" t="s">
        <v>128</v>
      </c>
      <c r="AF4" s="765"/>
      <c r="AG4" s="765"/>
      <c r="AH4" s="765"/>
      <c r="AI4" s="765"/>
      <c r="AJ4" s="765"/>
      <c r="AK4" s="765"/>
      <c r="AL4" s="765"/>
      <c r="AM4" s="765"/>
      <c r="AN4" s="765" t="s">
        <v>128</v>
      </c>
      <c r="AO4" s="765"/>
      <c r="AP4" s="765"/>
      <c r="AQ4" s="765"/>
      <c r="AR4" s="765"/>
      <c r="AS4" s="765"/>
      <c r="AT4" s="765"/>
      <c r="AU4" s="765"/>
      <c r="AV4" s="765"/>
      <c r="AW4" s="765" t="s">
        <v>128</v>
      </c>
      <c r="AX4" s="765"/>
      <c r="AY4" s="765"/>
      <c r="AZ4" s="765"/>
      <c r="BA4" s="765"/>
      <c r="BB4" s="765"/>
      <c r="BC4" s="765"/>
      <c r="BD4" s="765"/>
      <c r="BE4" s="765"/>
    </row>
    <row r="5" spans="1:63" s="767" customFormat="1" ht="14.25" customHeight="1" thickTop="1" thickBot="1">
      <c r="A5" s="1584" t="s">
        <v>3</v>
      </c>
      <c r="B5" s="1584" t="s">
        <v>4</v>
      </c>
      <c r="C5" s="1594" t="s">
        <v>5</v>
      </c>
      <c r="D5" s="1576" t="str">
        <f>+GUM!L11</f>
        <v>MAR</v>
      </c>
      <c r="E5" s="1577"/>
      <c r="F5" s="1577"/>
      <c r="G5" s="1577"/>
      <c r="H5" s="1577"/>
      <c r="I5" s="1577"/>
      <c r="J5" s="1577"/>
      <c r="K5" s="1577"/>
      <c r="L5" s="1577"/>
      <c r="M5" s="1579" t="str">
        <f>+GUM!O11</f>
        <v>APR</v>
      </c>
      <c r="N5" s="1577"/>
      <c r="O5" s="1577"/>
      <c r="P5" s="1577"/>
      <c r="Q5" s="1577"/>
      <c r="R5" s="1577"/>
      <c r="S5" s="1577"/>
      <c r="T5" s="1577"/>
      <c r="U5" s="1580"/>
      <c r="V5" s="1579" t="str">
        <f>+GUM!R11</f>
        <v>MAY</v>
      </c>
      <c r="W5" s="1577"/>
      <c r="X5" s="1577"/>
      <c r="Y5" s="1577"/>
      <c r="Z5" s="1577"/>
      <c r="AA5" s="1577"/>
      <c r="AB5" s="1577"/>
      <c r="AC5" s="1577"/>
      <c r="AD5" s="1580"/>
      <c r="AE5" s="1579" t="str">
        <f>+GUM!U11</f>
        <v>JUN</v>
      </c>
      <c r="AF5" s="1577"/>
      <c r="AG5" s="1577"/>
      <c r="AH5" s="1577"/>
      <c r="AI5" s="1577"/>
      <c r="AJ5" s="1577"/>
      <c r="AK5" s="1577"/>
      <c r="AL5" s="1577"/>
      <c r="AM5" s="1580"/>
      <c r="AN5" s="1579" t="str">
        <f>+GUM!X11</f>
        <v>JUL</v>
      </c>
      <c r="AO5" s="1577"/>
      <c r="AP5" s="1577"/>
      <c r="AQ5" s="1577"/>
      <c r="AR5" s="1577"/>
      <c r="AS5" s="1577"/>
      <c r="AT5" s="1577"/>
      <c r="AU5" s="1577"/>
      <c r="AV5" s="1577"/>
      <c r="AW5" s="1570" t="str">
        <f>+GUM!AA11</f>
        <v>AUG</v>
      </c>
      <c r="AX5" s="1571"/>
      <c r="AY5" s="1571"/>
      <c r="AZ5" s="1571"/>
      <c r="BA5" s="1571"/>
      <c r="BB5" s="1571"/>
      <c r="BC5" s="1571"/>
      <c r="BD5" s="1571"/>
      <c r="BE5" s="1572"/>
      <c r="BF5" s="766"/>
    </row>
    <row r="6" spans="1:63" s="767" customFormat="1" ht="14.25" customHeight="1" thickTop="1" thickBot="1">
      <c r="A6" s="1584"/>
      <c r="B6" s="1584"/>
      <c r="C6" s="1594"/>
      <c r="D6" s="1578"/>
      <c r="E6" s="1574"/>
      <c r="F6" s="1574"/>
      <c r="G6" s="1574"/>
      <c r="H6" s="1574"/>
      <c r="I6" s="1574"/>
      <c r="J6" s="1574"/>
      <c r="K6" s="1574"/>
      <c r="L6" s="1574"/>
      <c r="M6" s="1573"/>
      <c r="N6" s="1574"/>
      <c r="O6" s="1574"/>
      <c r="P6" s="1574"/>
      <c r="Q6" s="1574"/>
      <c r="R6" s="1574"/>
      <c r="S6" s="1574"/>
      <c r="T6" s="1574"/>
      <c r="U6" s="1575"/>
      <c r="V6" s="1573"/>
      <c r="W6" s="1574"/>
      <c r="X6" s="1574"/>
      <c r="Y6" s="1574"/>
      <c r="Z6" s="1574"/>
      <c r="AA6" s="1574"/>
      <c r="AB6" s="1574"/>
      <c r="AC6" s="1574"/>
      <c r="AD6" s="1575"/>
      <c r="AE6" s="1573"/>
      <c r="AF6" s="1574"/>
      <c r="AG6" s="1574"/>
      <c r="AH6" s="1574"/>
      <c r="AI6" s="1574"/>
      <c r="AJ6" s="1574"/>
      <c r="AK6" s="1574"/>
      <c r="AL6" s="1574"/>
      <c r="AM6" s="1575"/>
      <c r="AN6" s="1573"/>
      <c r="AO6" s="1574"/>
      <c r="AP6" s="1574"/>
      <c r="AQ6" s="1574"/>
      <c r="AR6" s="1574"/>
      <c r="AS6" s="1574"/>
      <c r="AT6" s="1574"/>
      <c r="AU6" s="1574"/>
      <c r="AV6" s="1574"/>
      <c r="AW6" s="1573"/>
      <c r="AX6" s="1574"/>
      <c r="AY6" s="1574"/>
      <c r="AZ6" s="1574"/>
      <c r="BA6" s="1574"/>
      <c r="BB6" s="1574"/>
      <c r="BC6" s="1574"/>
      <c r="BD6" s="1574"/>
      <c r="BE6" s="1575"/>
      <c r="BF6" s="766"/>
    </row>
    <row r="7" spans="1:63" s="1263" customFormat="1" ht="19.5" thickTop="1" thickBot="1">
      <c r="A7" s="1585"/>
      <c r="B7" s="1585"/>
      <c r="C7" s="1595"/>
      <c r="D7" s="1256">
        <v>1</v>
      </c>
      <c r="E7" s="1257">
        <v>2</v>
      </c>
      <c r="F7" s="1257">
        <v>3</v>
      </c>
      <c r="G7" s="1257">
        <v>4</v>
      </c>
      <c r="H7" s="1257">
        <v>5</v>
      </c>
      <c r="I7" s="1258" t="s">
        <v>129</v>
      </c>
      <c r="J7" s="1258" t="s">
        <v>130</v>
      </c>
      <c r="K7" s="1258" t="s">
        <v>8</v>
      </c>
      <c r="L7" s="1259" t="s">
        <v>131</v>
      </c>
      <c r="M7" s="1256">
        <v>1</v>
      </c>
      <c r="N7" s="1257">
        <v>2</v>
      </c>
      <c r="O7" s="1257">
        <v>3</v>
      </c>
      <c r="P7" s="1257">
        <v>4</v>
      </c>
      <c r="Q7" s="1257">
        <v>5</v>
      </c>
      <c r="R7" s="1258" t="s">
        <v>129</v>
      </c>
      <c r="S7" s="1258" t="s">
        <v>130</v>
      </c>
      <c r="T7" s="1258" t="s">
        <v>8</v>
      </c>
      <c r="U7" s="1260" t="s">
        <v>131</v>
      </c>
      <c r="V7" s="1256">
        <v>1</v>
      </c>
      <c r="W7" s="1257">
        <v>2</v>
      </c>
      <c r="X7" s="1257">
        <v>3</v>
      </c>
      <c r="Y7" s="1257">
        <v>4</v>
      </c>
      <c r="Z7" s="1257">
        <v>5</v>
      </c>
      <c r="AA7" s="1258" t="s">
        <v>129</v>
      </c>
      <c r="AB7" s="1258" t="s">
        <v>130</v>
      </c>
      <c r="AC7" s="1258" t="s">
        <v>8</v>
      </c>
      <c r="AD7" s="1260" t="s">
        <v>131</v>
      </c>
      <c r="AE7" s="1256">
        <v>1</v>
      </c>
      <c r="AF7" s="1257">
        <v>2</v>
      </c>
      <c r="AG7" s="1257">
        <v>3</v>
      </c>
      <c r="AH7" s="1257">
        <v>4</v>
      </c>
      <c r="AI7" s="1257">
        <v>5</v>
      </c>
      <c r="AJ7" s="1258" t="s">
        <v>129</v>
      </c>
      <c r="AK7" s="1258" t="s">
        <v>130</v>
      </c>
      <c r="AL7" s="1258" t="s">
        <v>8</v>
      </c>
      <c r="AM7" s="1260" t="s">
        <v>131</v>
      </c>
      <c r="AN7" s="1256">
        <v>1</v>
      </c>
      <c r="AO7" s="1257">
        <v>2</v>
      </c>
      <c r="AP7" s="1257">
        <v>3</v>
      </c>
      <c r="AQ7" s="1257">
        <v>4</v>
      </c>
      <c r="AR7" s="1257">
        <v>5</v>
      </c>
      <c r="AS7" s="1258" t="s">
        <v>129</v>
      </c>
      <c r="AT7" s="1258" t="s">
        <v>130</v>
      </c>
      <c r="AU7" s="1258" t="s">
        <v>8</v>
      </c>
      <c r="AV7" s="1259" t="s">
        <v>131</v>
      </c>
      <c r="AW7" s="1256">
        <v>1</v>
      </c>
      <c r="AX7" s="1257">
        <v>2</v>
      </c>
      <c r="AY7" s="1257">
        <v>3</v>
      </c>
      <c r="AZ7" s="1257">
        <v>4</v>
      </c>
      <c r="BA7" s="1257">
        <v>5</v>
      </c>
      <c r="BB7" s="1258" t="s">
        <v>129</v>
      </c>
      <c r="BC7" s="1258" t="s">
        <v>130</v>
      </c>
      <c r="BD7" s="1258" t="s">
        <v>8</v>
      </c>
      <c r="BE7" s="1260" t="s">
        <v>131</v>
      </c>
      <c r="BF7" s="1261" t="e">
        <f>+#REF!</f>
        <v>#REF!</v>
      </c>
      <c r="BG7" s="1262">
        <f>+J5</f>
        <v>0</v>
      </c>
      <c r="BH7" s="1262">
        <f>+S5</f>
        <v>0</v>
      </c>
      <c r="BI7" s="1262">
        <f>+AB5</f>
        <v>0</v>
      </c>
      <c r="BJ7" s="1262">
        <f>+AK5</f>
        <v>0</v>
      </c>
    </row>
    <row r="8" spans="1:63" s="762" customFormat="1" ht="16.5" hidden="1" customHeight="1" thickTop="1" thickBot="1">
      <c r="A8" s="1246"/>
      <c r="B8" s="1247">
        <f>+GUM!C14</f>
        <v>0</v>
      </c>
      <c r="C8" s="1248">
        <f>GUM!D14</f>
        <v>0</v>
      </c>
      <c r="D8" s="1249" t="e">
        <f>+VLOOKUP($B8,[18]Sheet1!$B$8:$AC$55,3,0)</f>
        <v>#N/A</v>
      </c>
      <c r="E8" s="1249" t="e">
        <f>+VLOOKUP($B8,[18]Sheet1!$B$8:$AC$55,4,0)</f>
        <v>#N/A</v>
      </c>
      <c r="F8" s="1249" t="e">
        <f>+VLOOKUP($B8,[18]Sheet1!$B$8:$AC$55,5,0)</f>
        <v>#N/A</v>
      </c>
      <c r="G8" s="1249" t="e">
        <f>+VLOOKUP($B8,[18]Sheet1!$B$8:$AC$55,6,0)</f>
        <v>#N/A</v>
      </c>
      <c r="H8" s="1249"/>
      <c r="I8" s="872" t="e">
        <f t="shared" ref="I8:I16" si="0">SUM(D8:H8)</f>
        <v>#N/A</v>
      </c>
      <c r="J8" s="872" t="e">
        <f>+VLOOKUP($B8,GUM!C14:AD49,12,0)</f>
        <v>#N/A</v>
      </c>
      <c r="K8" s="872" t="e">
        <f>ROUNDUP((J8-I8)/$D$3,0)</f>
        <v>#N/A</v>
      </c>
      <c r="L8" s="1250"/>
      <c r="M8" s="1251"/>
      <c r="N8" s="1252"/>
      <c r="O8" s="1252"/>
      <c r="P8" s="1252"/>
      <c r="Q8" s="1252"/>
      <c r="R8" s="872"/>
      <c r="S8" s="872"/>
      <c r="T8" s="872"/>
      <c r="U8" s="1253"/>
      <c r="V8" s="1254"/>
      <c r="W8" s="872"/>
      <c r="X8" s="872"/>
      <c r="Y8" s="872"/>
      <c r="Z8" s="872"/>
      <c r="AA8" s="872"/>
      <c r="AB8" s="872"/>
      <c r="AC8" s="872"/>
      <c r="AD8" s="1253"/>
      <c r="AE8" s="1254"/>
      <c r="AF8" s="872"/>
      <c r="AG8" s="872"/>
      <c r="AH8" s="872"/>
      <c r="AI8" s="872"/>
      <c r="AJ8" s="872"/>
      <c r="AK8" s="872"/>
      <c r="AL8" s="872"/>
      <c r="AM8" s="1253"/>
      <c r="AN8" s="1254"/>
      <c r="AO8" s="872"/>
      <c r="AP8" s="872"/>
      <c r="AQ8" s="872"/>
      <c r="AR8" s="872"/>
      <c r="AS8" s="872"/>
      <c r="AT8" s="872"/>
      <c r="AU8" s="872"/>
      <c r="AV8" s="1250"/>
      <c r="AW8" s="1255"/>
      <c r="AX8" s="1250"/>
      <c r="AY8" s="1250"/>
      <c r="AZ8" s="1250"/>
      <c r="BA8" s="872"/>
      <c r="BB8" s="872"/>
      <c r="BC8" s="872"/>
      <c r="BD8" s="872"/>
      <c r="BE8" s="1253"/>
      <c r="BF8" s="590" t="e">
        <f>+#REF!*#REF!</f>
        <v>#REF!</v>
      </c>
      <c r="BG8" s="590" t="e">
        <f t="shared" ref="BG8:BG21" si="1">+D8*D$8</f>
        <v>#N/A</v>
      </c>
      <c r="BH8" s="590">
        <f t="shared" ref="BH8:BH21" si="2">+M8*M$8</f>
        <v>0</v>
      </c>
      <c r="BI8" s="590">
        <f t="shared" ref="BI8:BI21" si="3">+V8*V$8</f>
        <v>0</v>
      </c>
      <c r="BJ8" s="590">
        <f t="shared" ref="BJ8:BJ21" si="4">+AE8*AE$8</f>
        <v>0</v>
      </c>
      <c r="BK8" s="762">
        <v>1</v>
      </c>
    </row>
    <row r="9" spans="1:63" s="880" customFormat="1" ht="15" customHeight="1">
      <c r="A9" s="1599" t="s">
        <v>192</v>
      </c>
      <c r="B9" s="1216" t="str">
        <f>+GUM!C15</f>
        <v>82111-FET00</v>
      </c>
      <c r="C9" s="958" t="str">
        <f>GUM!D15</f>
        <v>A 0101</v>
      </c>
      <c r="D9" s="863" t="e">
        <f>+VLOOKUP($B9,[18]Sheet1!$B$8:$AC$55,3,0)</f>
        <v>#N/A</v>
      </c>
      <c r="E9" s="771" t="e">
        <f>+VLOOKUP($B9,[18]Sheet1!$B$8:$AC$55,4,0)</f>
        <v>#N/A</v>
      </c>
      <c r="F9" s="771" t="e">
        <f>+VLOOKUP($B9,[18]Sheet1!$B$8:$AC$55,5,0)</f>
        <v>#N/A</v>
      </c>
      <c r="G9" s="771" t="e">
        <f>+VLOOKUP($B9,[18]Sheet1!$B$8:$AC$55,6,0)</f>
        <v>#N/A</v>
      </c>
      <c r="H9" s="771"/>
      <c r="I9" s="771" t="e">
        <f t="shared" si="0"/>
        <v>#N/A</v>
      </c>
      <c r="J9" s="771">
        <f>+VLOOKUP($B9,GUM!C14:AD49,12,0)</f>
        <v>0</v>
      </c>
      <c r="K9" s="771" t="e">
        <f>ROUNDUP((J9-I9)/$D$3,0)</f>
        <v>#N/A</v>
      </c>
      <c r="L9" s="1172"/>
      <c r="M9" s="942">
        <f>VLOOKUP($B9,[1]Sheet1!$B$23:$AG$80,9,0)</f>
        <v>0</v>
      </c>
      <c r="N9" s="943">
        <f>VLOOKUP($B9,[1]Sheet1!$B$23:$AG$80,10,0)</f>
        <v>0</v>
      </c>
      <c r="O9" s="794">
        <f>VLOOKUP($B9,[1]Sheet1!$B$23:$AG$80,11,0)</f>
        <v>0</v>
      </c>
      <c r="P9" s="943">
        <f>VLOOKUP($B9,[1]Sheet1!$B$23:$AG$80,12,0)</f>
        <v>0</v>
      </c>
      <c r="Q9" s="943">
        <f>VLOOKUP($B9,[1]Sheet1!$B$23:$AG$80,13,0)</f>
        <v>0</v>
      </c>
      <c r="R9" s="771">
        <f>SUM(M9:Q9)</f>
        <v>0</v>
      </c>
      <c r="S9" s="771">
        <f>+VLOOKUP($B9,GUM!$C$14:$AD$49,15,0)</f>
        <v>0</v>
      </c>
      <c r="T9" s="771">
        <f>ROUNDUP((S9-R9)/$M$3,0)</f>
        <v>0</v>
      </c>
      <c r="U9" s="1173"/>
      <c r="V9" s="962">
        <f>VLOOKUP($B9,[1]Sheet1!$B$23:$AG$80,15,0)</f>
        <v>0</v>
      </c>
      <c r="W9" s="943">
        <f>VLOOKUP($B9,[1]Sheet1!$B$23:$AG$80,16,0)</f>
        <v>0</v>
      </c>
      <c r="X9" s="794">
        <f>VLOOKUP($B9,[1]Sheet1!$B$23:$AG$80,17,0)</f>
        <v>0</v>
      </c>
      <c r="Y9" s="794">
        <f>VLOOKUP($B9,[1]Sheet1!$B$23:$AG$80,18,0)</f>
        <v>0</v>
      </c>
      <c r="Z9" s="794">
        <f>VLOOKUP($B9,[1]Sheet1!$B$23:$AG$80,19,0)</f>
        <v>0</v>
      </c>
      <c r="AA9" s="771">
        <f>SUM(V9:Z9)</f>
        <v>0</v>
      </c>
      <c r="AB9" s="771">
        <f>+VLOOKUP($B9,GUM!$C$14:$AD$49,18,0)</f>
        <v>0</v>
      </c>
      <c r="AC9" s="771">
        <f>ROUNDUP((AB9-AA9)/$V$3,0)</f>
        <v>0</v>
      </c>
      <c r="AD9" s="1173"/>
      <c r="AE9" s="962">
        <f>VLOOKUP($B9,[1]Sheet1!$B$23:$AG$80,21,0)</f>
        <v>0</v>
      </c>
      <c r="AF9" s="771">
        <f>VLOOKUP($B9,[1]Sheet1!$B$23:$AG$80,22,0)</f>
        <v>0</v>
      </c>
      <c r="AG9" s="771">
        <f>VLOOKUP($B9,[1]Sheet1!$B$23:$AG$80,23,0)</f>
        <v>0</v>
      </c>
      <c r="AH9" s="943">
        <f>VLOOKUP($B9,[1]Sheet1!$B$23:$AG$80,24,0)</f>
        <v>0</v>
      </c>
      <c r="AI9" s="943">
        <f>VLOOKUP($B9,[1]Sheet1!$B$23:$AG$80,25,0)</f>
        <v>0</v>
      </c>
      <c r="AJ9" s="771">
        <f>SUM(AE9:AI9)</f>
        <v>0</v>
      </c>
      <c r="AK9" s="771">
        <f>+VLOOKUP($B9,GUM!$C$14:$AD$49,21,0)</f>
        <v>0</v>
      </c>
      <c r="AL9" s="771">
        <f>ROUNDUP((AK9-AJ9)/$AE$3,)</f>
        <v>0</v>
      </c>
      <c r="AM9" s="1173"/>
      <c r="AN9" s="770">
        <f>VLOOKUP($B9,[1]Sheet1!$B$23:$AG$80,27,0)</f>
        <v>0</v>
      </c>
      <c r="AO9" s="771">
        <f>VLOOKUP($B9,[1]Sheet1!$B$23:$AG$80,28,0)</f>
        <v>0</v>
      </c>
      <c r="AP9" s="771">
        <f>VLOOKUP($B9,[1]Sheet1!$B$23:$AG$80,29,0)</f>
        <v>0</v>
      </c>
      <c r="AQ9" s="943">
        <f>VLOOKUP($B9,[1]Sheet1!$B$23:$AG$80,30,0)</f>
        <v>0</v>
      </c>
      <c r="AR9" s="943">
        <f>VLOOKUP($B9,[1]Sheet1!$B$23:$AG$80,31,0)</f>
        <v>0</v>
      </c>
      <c r="AS9" s="771">
        <f>SUM(AN9:AR9)</f>
        <v>0</v>
      </c>
      <c r="AT9" s="771">
        <f>+VLOOKUP($B9,GUM!$C$14:$AD$49,24,0)</f>
        <v>0</v>
      </c>
      <c r="AU9" s="771">
        <f>ROUNDUP((AT9-AS9)/$AE$3,)</f>
        <v>0</v>
      </c>
      <c r="AV9" s="1172"/>
      <c r="AW9" s="1212">
        <f>+AN9</f>
        <v>0</v>
      </c>
      <c r="AX9" s="947">
        <f>+AO9</f>
        <v>0</v>
      </c>
      <c r="AY9" s="947">
        <f>+AP9</f>
        <v>0</v>
      </c>
      <c r="AZ9" s="947">
        <f>+AQ9</f>
        <v>0</v>
      </c>
      <c r="BA9" s="947">
        <f>+AR9</f>
        <v>0</v>
      </c>
      <c r="BB9" s="771">
        <f>SUM(AW9:BA9)</f>
        <v>0</v>
      </c>
      <c r="BC9" s="771">
        <f>+VLOOKUP($B9,GUM!$C$14:$AD$49,27,0)</f>
        <v>0</v>
      </c>
      <c r="BD9" s="771">
        <f>ROUNDUP((BC9-BB9)/$AE$3,)</f>
        <v>0</v>
      </c>
      <c r="BE9" s="1173"/>
      <c r="BF9" s="1213" t="e">
        <f>+#REF!*#REF!</f>
        <v>#REF!</v>
      </c>
      <c r="BG9" s="1213" t="e">
        <f t="shared" si="1"/>
        <v>#N/A</v>
      </c>
      <c r="BH9" s="1213">
        <f t="shared" si="2"/>
        <v>0</v>
      </c>
      <c r="BI9" s="1213">
        <f t="shared" si="3"/>
        <v>0</v>
      </c>
      <c r="BJ9" s="1213">
        <f t="shared" si="4"/>
        <v>0</v>
      </c>
      <c r="BK9" s="880">
        <f>BK8+1</f>
        <v>2</v>
      </c>
    </row>
    <row r="10" spans="1:63" s="762" customFormat="1" ht="15" customHeight="1">
      <c r="A10" s="1600"/>
      <c r="B10" s="1217" t="str">
        <f>+GUM!C16</f>
        <v>82111-FET10</v>
      </c>
      <c r="C10" s="658" t="str">
        <f>GUM!D16</f>
        <v>A 0101</v>
      </c>
      <c r="D10" s="773" t="e">
        <f>+VLOOKUP($B10,[18]Sheet1!$B$8:$AC$55,3,0)</f>
        <v>#N/A</v>
      </c>
      <c r="E10" s="774" t="e">
        <f>+VLOOKUP($B10,[18]Sheet1!$B$8:$AC$55,4,0)</f>
        <v>#N/A</v>
      </c>
      <c r="F10" s="774" t="e">
        <f>+VLOOKUP($B10,[18]Sheet1!$B$8:$AC$55,5,0)</f>
        <v>#N/A</v>
      </c>
      <c r="G10" s="774" t="e">
        <f>+VLOOKUP($B10,[18]Sheet1!$B$8:$AC$55,6,0)</f>
        <v>#N/A</v>
      </c>
      <c r="H10" s="774"/>
      <c r="I10" s="774" t="e">
        <f t="shared" si="0"/>
        <v>#N/A</v>
      </c>
      <c r="J10" s="774">
        <f>+VLOOKUP($B10,GUM!C16:AD49,12,0)</f>
        <v>0</v>
      </c>
      <c r="K10" s="774" t="e">
        <f t="shared" ref="K10:K16" si="5">ROUNDUP((J10-I10)/$D$3,0)</f>
        <v>#N/A</v>
      </c>
      <c r="L10" s="775"/>
      <c r="M10" s="796">
        <f>VLOOKUP($B10,[1]Sheet1!$B$23:$AG$80,9,0)</f>
        <v>0</v>
      </c>
      <c r="N10" s="794">
        <f>VLOOKUP($B10,[1]Sheet1!$B$23:$AG$80,10,0)</f>
        <v>0</v>
      </c>
      <c r="O10" s="794">
        <f>VLOOKUP($B10,[1]Sheet1!$B$23:$AG$80,11,0)</f>
        <v>0</v>
      </c>
      <c r="P10" s="794">
        <f>VLOOKUP($B10,[1]Sheet1!$B$23:$AG$80,12,0)</f>
        <v>0</v>
      </c>
      <c r="Q10" s="794">
        <f>VLOOKUP($B10,[1]Sheet1!$B$23:$AG$80,13,0)</f>
        <v>0</v>
      </c>
      <c r="R10" s="774">
        <f t="shared" ref="R10:R27" si="6">SUM(M10:Q10)</f>
        <v>0</v>
      </c>
      <c r="S10" s="774">
        <f>+VLOOKUP($B10,GUM!$C$14:$AD$49,15,0)</f>
        <v>0</v>
      </c>
      <c r="T10" s="774">
        <f t="shared" ref="T10:T27" si="7">ROUNDUP((S10-R10)/$M$3,0)</f>
        <v>0</v>
      </c>
      <c r="U10" s="776"/>
      <c r="V10" s="800">
        <f>VLOOKUP($B10,[1]Sheet1!$B$23:$AG$80,15,0)</f>
        <v>0</v>
      </c>
      <c r="W10" s="794">
        <f>VLOOKUP($B10,[1]Sheet1!$B$23:$AG$80,16,0)</f>
        <v>0</v>
      </c>
      <c r="X10" s="794">
        <f>VLOOKUP($B10,[1]Sheet1!$B$23:$AG$80,17,0)</f>
        <v>0</v>
      </c>
      <c r="Y10" s="794">
        <f>VLOOKUP($B10,[1]Sheet1!$B$23:$AG$80,18,0)</f>
        <v>0</v>
      </c>
      <c r="Z10" s="794">
        <f>VLOOKUP($B10,[1]Sheet1!$B$23:$AG$80,19,0)</f>
        <v>0</v>
      </c>
      <c r="AA10" s="774">
        <f t="shared" ref="AA10:AA27" si="8">SUM(V10:Z10)</f>
        <v>0</v>
      </c>
      <c r="AB10" s="774">
        <f>+VLOOKUP($B10,GUM!$C$14:$AD$49,18,0)</f>
        <v>0</v>
      </c>
      <c r="AC10" s="774">
        <f t="shared" ref="AC10:AC27" si="9">ROUNDUP((AB10-AA10)/$V$3,0)</f>
        <v>0</v>
      </c>
      <c r="AD10" s="776"/>
      <c r="AE10" s="800">
        <f>VLOOKUP($B10,[1]Sheet1!$B$23:$AG$80,21,0)</f>
        <v>0</v>
      </c>
      <c r="AF10" s="794">
        <f>VLOOKUP($B10,[1]Sheet1!$B$23:$AG$80,22,0)</f>
        <v>0</v>
      </c>
      <c r="AG10" s="794">
        <f>VLOOKUP($B10,[1]Sheet1!$B$23:$AG$80,23,0)</f>
        <v>0</v>
      </c>
      <c r="AH10" s="794">
        <f>VLOOKUP($B10,[1]Sheet1!$B$23:$AG$80,24,0)</f>
        <v>0</v>
      </c>
      <c r="AI10" s="794">
        <f>VLOOKUP($B10,[1]Sheet1!$B$23:$AG$80,25,0)</f>
        <v>0</v>
      </c>
      <c r="AJ10" s="774">
        <f t="shared" ref="AJ10:AJ27" si="10">SUM(AE10:AI10)</f>
        <v>0</v>
      </c>
      <c r="AK10" s="774">
        <f>+VLOOKUP($B10,GUM!$C$14:$AD$49,21,0)</f>
        <v>0</v>
      </c>
      <c r="AL10" s="774">
        <f t="shared" ref="AL10:AL27" si="11">ROUNDUP((AK10-AJ10)/$AE$3,)</f>
        <v>0</v>
      </c>
      <c r="AM10" s="776"/>
      <c r="AN10" s="777">
        <f>VLOOKUP($B10,[1]Sheet1!$B$23:$AG$80,27,0)</f>
        <v>0</v>
      </c>
      <c r="AO10" s="774">
        <f>VLOOKUP($B10,[1]Sheet1!$B$23:$AG$80,28,0)</f>
        <v>0</v>
      </c>
      <c r="AP10" s="774">
        <f>VLOOKUP($B10,[1]Sheet1!$B$23:$AG$80,29,0)</f>
        <v>0</v>
      </c>
      <c r="AQ10" s="794">
        <f>VLOOKUP($B10,[1]Sheet1!$B$23:$AG$80,30,0)</f>
        <v>0</v>
      </c>
      <c r="AR10" s="794">
        <f>VLOOKUP($B10,[1]Sheet1!$B$23:$AG$80,31,0)</f>
        <v>0</v>
      </c>
      <c r="AS10" s="774">
        <f t="shared" ref="AS10:AS27" si="12">SUM(AN10:AR10)</f>
        <v>0</v>
      </c>
      <c r="AT10" s="774">
        <f>+VLOOKUP($B10,GUM!$C$14:$AD$49,24,0)</f>
        <v>0</v>
      </c>
      <c r="AU10" s="774">
        <f t="shared" ref="AU10:AU27" si="13">ROUNDUP((AT10-AS10)/$AE$3,)</f>
        <v>0</v>
      </c>
      <c r="AV10" s="775"/>
      <c r="AW10" s="948">
        <f t="shared" ref="AW10:AW27" si="14">+AN10</f>
        <v>0</v>
      </c>
      <c r="AX10" s="945">
        <f t="shared" ref="AX10:AX27" si="15">+AO10</f>
        <v>0</v>
      </c>
      <c r="AY10" s="945">
        <f t="shared" ref="AY10:AY27" si="16">+AP10</f>
        <v>0</v>
      </c>
      <c r="AZ10" s="945">
        <f t="shared" ref="AZ10:AZ27" si="17">+AQ10</f>
        <v>0</v>
      </c>
      <c r="BA10" s="945">
        <f t="shared" ref="BA10:BA27" si="18">+AR10</f>
        <v>0</v>
      </c>
      <c r="BB10" s="774">
        <f t="shared" ref="BB10:BB27" si="19">SUM(AW10:BA10)</f>
        <v>0</v>
      </c>
      <c r="BC10" s="774">
        <f>+VLOOKUP($B10,GUM!$C$14:$AD$49,27,0)</f>
        <v>0</v>
      </c>
      <c r="BD10" s="774">
        <f t="shared" ref="BD10:BD27" si="20">ROUNDUP((BC10-BB10)/$AE$3,)</f>
        <v>0</v>
      </c>
      <c r="BE10" s="776"/>
      <c r="BF10" s="590" t="e">
        <f>+#REF!*#REF!</f>
        <v>#REF!</v>
      </c>
      <c r="BG10" s="590" t="e">
        <f t="shared" si="1"/>
        <v>#N/A</v>
      </c>
      <c r="BH10" s="590">
        <f t="shared" si="2"/>
        <v>0</v>
      </c>
      <c r="BI10" s="590">
        <f t="shared" si="3"/>
        <v>0</v>
      </c>
      <c r="BJ10" s="590">
        <f t="shared" si="4"/>
        <v>0</v>
      </c>
      <c r="BK10" s="762" t="e">
        <f>#REF!+1</f>
        <v>#REF!</v>
      </c>
    </row>
    <row r="11" spans="1:63" s="779" customFormat="1" ht="15.75" customHeight="1">
      <c r="A11" s="1600"/>
      <c r="B11" s="1217" t="str">
        <f>+GUM!C17</f>
        <v>82116-0ZY10</v>
      </c>
      <c r="C11" s="658" t="str">
        <f>GUM!D17</f>
        <v>A 0101</v>
      </c>
      <c r="D11" s="773" t="e">
        <f>+VLOOKUP($B11,[18]Sheet1!$B$8:$AC$55,3,0)</f>
        <v>#N/A</v>
      </c>
      <c r="E11" s="774" t="e">
        <f>+VLOOKUP($B11,[18]Sheet1!$B$8:$AC$55,4,0)</f>
        <v>#N/A</v>
      </c>
      <c r="F11" s="774" t="e">
        <f>+VLOOKUP($B11,[18]Sheet1!$B$8:$AC$55,5,0)</f>
        <v>#N/A</v>
      </c>
      <c r="G11" s="774" t="e">
        <f>+VLOOKUP($B11,[18]Sheet1!$B$8:$AC$55,6,0)</f>
        <v>#N/A</v>
      </c>
      <c r="H11" s="774"/>
      <c r="I11" s="774" t="e">
        <f t="shared" si="0"/>
        <v>#N/A</v>
      </c>
      <c r="J11" s="774">
        <f>+VLOOKUP($B11,GUM!C16:AD52,12,0)</f>
        <v>96</v>
      </c>
      <c r="K11" s="774" t="e">
        <f t="shared" si="5"/>
        <v>#N/A</v>
      </c>
      <c r="L11" s="775"/>
      <c r="M11" s="796">
        <f>VLOOKUP($B11,[1]Sheet1!$B$23:$AG$80,9,0)</f>
        <v>24</v>
      </c>
      <c r="N11" s="794">
        <f>VLOOKUP($B11,[1]Sheet1!$B$23:$AG$80,10,0)</f>
        <v>24</v>
      </c>
      <c r="O11" s="794">
        <f>VLOOKUP($B11,[1]Sheet1!$B$23:$AG$80,11,0)</f>
        <v>24</v>
      </c>
      <c r="P11" s="794">
        <f>VLOOKUP($B11,[1]Sheet1!$B$23:$AG$80,12,0)</f>
        <v>24</v>
      </c>
      <c r="Q11" s="794">
        <f>VLOOKUP($B11,[1]Sheet1!$B$23:$AG$80,13,0)</f>
        <v>0</v>
      </c>
      <c r="R11" s="774">
        <f t="shared" si="6"/>
        <v>96</v>
      </c>
      <c r="S11" s="774">
        <f>+VLOOKUP($B11,GUM!$C$14:$AD$49,15,0)</f>
        <v>102</v>
      </c>
      <c r="T11" s="774">
        <f t="shared" si="7"/>
        <v>2</v>
      </c>
      <c r="U11" s="776"/>
      <c r="V11" s="800">
        <f>VLOOKUP($B11,[1]Sheet1!$B$23:$AG$80,15,0)</f>
        <v>24</v>
      </c>
      <c r="W11" s="794">
        <f>VLOOKUP($B11,[1]Sheet1!$B$23:$AG$80,16,0)</f>
        <v>24</v>
      </c>
      <c r="X11" s="794">
        <f>VLOOKUP($B11,[1]Sheet1!$B$23:$AG$80,17,0)</f>
        <v>24</v>
      </c>
      <c r="Y11" s="794">
        <f>VLOOKUP($B11,[1]Sheet1!$B$23:$AG$80,18,0)</f>
        <v>24</v>
      </c>
      <c r="Z11" s="794">
        <f>VLOOKUP($B11,[1]Sheet1!$B$23:$AG$80,19,0)</f>
        <v>0</v>
      </c>
      <c r="AA11" s="774">
        <f t="shared" si="8"/>
        <v>96</v>
      </c>
      <c r="AB11" s="774">
        <f>+VLOOKUP($B11,GUM!$C$14:$AD$49,18,0)</f>
        <v>96</v>
      </c>
      <c r="AC11" s="774">
        <f t="shared" si="9"/>
        <v>0</v>
      </c>
      <c r="AD11" s="776"/>
      <c r="AE11" s="800">
        <f>VLOOKUP($B11,[1]Sheet1!$B$23:$AG$80,21,0)</f>
        <v>30</v>
      </c>
      <c r="AF11" s="794">
        <f>VLOOKUP($B11,[1]Sheet1!$B$23:$AG$80,22,0)</f>
        <v>30</v>
      </c>
      <c r="AG11" s="794">
        <f>VLOOKUP($B11,[1]Sheet1!$B$23:$AG$80,23,0)</f>
        <v>24</v>
      </c>
      <c r="AH11" s="794">
        <f>VLOOKUP($B11,[1]Sheet1!$B$23:$AG$80,24,0)</f>
        <v>24</v>
      </c>
      <c r="AI11" s="794">
        <f>VLOOKUP($B11,[1]Sheet1!$B$23:$AG$80,25,0)</f>
        <v>0</v>
      </c>
      <c r="AJ11" s="774">
        <f t="shared" si="10"/>
        <v>108</v>
      </c>
      <c r="AK11" s="774">
        <f>+VLOOKUP($B11,GUM!$C$14:$AD$49,21,0)</f>
        <v>90</v>
      </c>
      <c r="AL11" s="774">
        <f t="shared" si="11"/>
        <v>-5</v>
      </c>
      <c r="AM11" s="776"/>
      <c r="AN11" s="777">
        <f>VLOOKUP($B11,[1]Sheet1!$B$23:$AG$80,27,0)</f>
        <v>24</v>
      </c>
      <c r="AO11" s="774">
        <f>VLOOKUP($B11,[1]Sheet1!$B$23:$AG$80,28,0)</f>
        <v>24</v>
      </c>
      <c r="AP11" s="774">
        <f>VLOOKUP($B11,[1]Sheet1!$B$23:$AG$80,29,0)</f>
        <v>18</v>
      </c>
      <c r="AQ11" s="794">
        <f>VLOOKUP($B11,[1]Sheet1!$B$23:$AG$80,30,0)</f>
        <v>18</v>
      </c>
      <c r="AR11" s="794">
        <f>VLOOKUP($B11,[1]Sheet1!$B$23:$AG$80,31,0)</f>
        <v>0</v>
      </c>
      <c r="AS11" s="774">
        <f t="shared" si="12"/>
        <v>84</v>
      </c>
      <c r="AT11" s="774">
        <f>+VLOOKUP($B11,GUM!$C$14:$AD$49,24,0)</f>
        <v>84</v>
      </c>
      <c r="AU11" s="774">
        <f t="shared" si="13"/>
        <v>0</v>
      </c>
      <c r="AV11" s="775"/>
      <c r="AW11" s="948">
        <f t="shared" si="14"/>
        <v>24</v>
      </c>
      <c r="AX11" s="945">
        <f t="shared" si="15"/>
        <v>24</v>
      </c>
      <c r="AY11" s="945">
        <f t="shared" si="16"/>
        <v>18</v>
      </c>
      <c r="AZ11" s="945">
        <f t="shared" si="17"/>
        <v>18</v>
      </c>
      <c r="BA11" s="945">
        <f t="shared" si="18"/>
        <v>0</v>
      </c>
      <c r="BB11" s="774">
        <f t="shared" si="19"/>
        <v>84</v>
      </c>
      <c r="BC11" s="774">
        <f>+VLOOKUP($B11,GUM!$C$14:$AD$49,27,0)</f>
        <v>84</v>
      </c>
      <c r="BD11" s="774">
        <f t="shared" si="20"/>
        <v>0</v>
      </c>
      <c r="BE11" s="776"/>
      <c r="BF11" s="778" t="e">
        <f>+#REF!*#REF!</f>
        <v>#REF!</v>
      </c>
      <c r="BG11" s="778" t="e">
        <f t="shared" si="1"/>
        <v>#N/A</v>
      </c>
      <c r="BH11" s="778">
        <f t="shared" si="2"/>
        <v>0</v>
      </c>
      <c r="BI11" s="778">
        <f t="shared" si="3"/>
        <v>0</v>
      </c>
      <c r="BJ11" s="778">
        <f t="shared" si="4"/>
        <v>0</v>
      </c>
      <c r="BK11" s="779" t="e">
        <f>BK10+1</f>
        <v>#REF!</v>
      </c>
    </row>
    <row r="12" spans="1:63" s="779" customFormat="1" ht="15" customHeight="1">
      <c r="A12" s="1600"/>
      <c r="B12" s="1217" t="str">
        <f>+GUM!C18</f>
        <v>82115-F2840</v>
      </c>
      <c r="C12" s="658" t="str">
        <f>GUM!D18</f>
        <v>0001</v>
      </c>
      <c r="D12" s="773" t="e">
        <f>+VLOOKUP($B12,[18]Sheet1!$B$8:$AC$55,3,0)</f>
        <v>#N/A</v>
      </c>
      <c r="E12" s="774" t="e">
        <f>+VLOOKUP($B12,[18]Sheet1!$B$8:$AC$55,4,0)</f>
        <v>#N/A</v>
      </c>
      <c r="F12" s="774" t="e">
        <f>+VLOOKUP($B12,[18]Sheet1!$B$8:$AC$55,5,0)</f>
        <v>#N/A</v>
      </c>
      <c r="G12" s="774" t="e">
        <f>+VLOOKUP($B12,[18]Sheet1!$B$8:$AC$55,6,0)</f>
        <v>#N/A</v>
      </c>
      <c r="H12" s="774"/>
      <c r="I12" s="774" t="e">
        <f>SUM(D12:H12)</f>
        <v>#N/A</v>
      </c>
      <c r="J12" s="774">
        <f>+VLOOKUP($B12,GUM!C17:AD53,12,0)</f>
        <v>0</v>
      </c>
      <c r="K12" s="774" t="e">
        <f>ROUNDUP((J12-I12)/$D$3,0)</f>
        <v>#N/A</v>
      </c>
      <c r="L12" s="775"/>
      <c r="M12" s="796">
        <f>VLOOKUP($B12,[1]Sheet1!$B$23:$AG$80,9,0)</f>
        <v>0</v>
      </c>
      <c r="N12" s="794">
        <f>VLOOKUP($B12,[1]Sheet1!$B$23:$AG$80,10,0)</f>
        <v>0</v>
      </c>
      <c r="O12" s="794">
        <f>VLOOKUP($B12,[1]Sheet1!$B$23:$AG$80,11,0)</f>
        <v>0</v>
      </c>
      <c r="P12" s="794">
        <f>VLOOKUP($B12,[1]Sheet1!$B$23:$AG$80,12,0)</f>
        <v>0</v>
      </c>
      <c r="Q12" s="794">
        <f>VLOOKUP($B12,[1]Sheet1!$B$23:$AG$80,13,0)</f>
        <v>0</v>
      </c>
      <c r="R12" s="774">
        <f t="shared" si="6"/>
        <v>0</v>
      </c>
      <c r="S12" s="774">
        <f>+VLOOKUP($B12,GUM!$C$14:$AD$49,15,0)</f>
        <v>0</v>
      </c>
      <c r="T12" s="774">
        <f t="shared" si="7"/>
        <v>0</v>
      </c>
      <c r="U12" s="776"/>
      <c r="V12" s="800">
        <f>VLOOKUP($B12,[1]Sheet1!$B$23:$AG$80,15,0)</f>
        <v>0</v>
      </c>
      <c r="W12" s="794">
        <f>VLOOKUP($B12,[1]Sheet1!$B$23:$AG$80,16,0)</f>
        <v>0</v>
      </c>
      <c r="X12" s="794">
        <f>VLOOKUP($B12,[1]Sheet1!$B$23:$AG$80,17,0)</f>
        <v>0</v>
      </c>
      <c r="Y12" s="794">
        <f>VLOOKUP($B12,[1]Sheet1!$B$23:$AG$80,18,0)</f>
        <v>0</v>
      </c>
      <c r="Z12" s="794">
        <f>VLOOKUP($B12,[1]Sheet1!$B$23:$AG$80,19,0)</f>
        <v>0</v>
      </c>
      <c r="AA12" s="774">
        <f t="shared" si="8"/>
        <v>0</v>
      </c>
      <c r="AB12" s="774">
        <f>+VLOOKUP($B12,GUM!$C$14:$AD$49,18,0)</f>
        <v>0</v>
      </c>
      <c r="AC12" s="774">
        <f t="shared" si="9"/>
        <v>0</v>
      </c>
      <c r="AD12" s="776"/>
      <c r="AE12" s="800">
        <f>VLOOKUP($B12,[1]Sheet1!$B$23:$AG$80,21,0)</f>
        <v>0</v>
      </c>
      <c r="AF12" s="794">
        <f>VLOOKUP($B12,[1]Sheet1!$B$23:$AG$80,22,0)</f>
        <v>0</v>
      </c>
      <c r="AG12" s="794">
        <f>VLOOKUP($B12,[1]Sheet1!$B$23:$AG$80,23,0)</f>
        <v>0</v>
      </c>
      <c r="AH12" s="794">
        <f>VLOOKUP($B12,[1]Sheet1!$B$23:$AG$80,24,0)</f>
        <v>0</v>
      </c>
      <c r="AI12" s="794">
        <f>VLOOKUP($B12,[1]Sheet1!$B$23:$AG$80,25,0)</f>
        <v>0</v>
      </c>
      <c r="AJ12" s="774">
        <f t="shared" si="10"/>
        <v>0</v>
      </c>
      <c r="AK12" s="774">
        <f>+VLOOKUP($B12,GUM!$C$14:$AD$49,21,0)</f>
        <v>0</v>
      </c>
      <c r="AL12" s="774">
        <f t="shared" si="11"/>
        <v>0</v>
      </c>
      <c r="AM12" s="776"/>
      <c r="AN12" s="777">
        <f>VLOOKUP($B12,[1]Sheet1!$B$23:$AG$80,27,0)</f>
        <v>0</v>
      </c>
      <c r="AO12" s="774">
        <f>VLOOKUP($B12,[1]Sheet1!$B$23:$AG$80,28,0)</f>
        <v>0</v>
      </c>
      <c r="AP12" s="774">
        <f>VLOOKUP($B12,[1]Sheet1!$B$23:$AG$80,29,0)</f>
        <v>0</v>
      </c>
      <c r="AQ12" s="794">
        <f>VLOOKUP($B12,[1]Sheet1!$B$23:$AG$80,30,0)</f>
        <v>0</v>
      </c>
      <c r="AR12" s="794">
        <f>VLOOKUP($B12,[1]Sheet1!$B$23:$AG$80,31,0)</f>
        <v>0</v>
      </c>
      <c r="AS12" s="774">
        <f t="shared" si="12"/>
        <v>0</v>
      </c>
      <c r="AT12" s="774">
        <f>+VLOOKUP($B12,GUM!$C$14:$AD$49,24,0)</f>
        <v>0</v>
      </c>
      <c r="AU12" s="774">
        <f t="shared" si="13"/>
        <v>0</v>
      </c>
      <c r="AV12" s="775"/>
      <c r="AW12" s="1045">
        <f t="shared" si="14"/>
        <v>0</v>
      </c>
      <c r="AX12" s="1046">
        <f t="shared" si="15"/>
        <v>0</v>
      </c>
      <c r="AY12" s="1046">
        <f t="shared" si="16"/>
        <v>0</v>
      </c>
      <c r="AZ12" s="1046">
        <f t="shared" si="17"/>
        <v>0</v>
      </c>
      <c r="BA12" s="1046">
        <f t="shared" si="18"/>
        <v>0</v>
      </c>
      <c r="BB12" s="774">
        <f t="shared" si="19"/>
        <v>0</v>
      </c>
      <c r="BC12" s="774">
        <f>+VLOOKUP($B12,GUM!$C$14:$AD$49,27,0)</f>
        <v>0</v>
      </c>
      <c r="BD12" s="774">
        <f t="shared" si="20"/>
        <v>0</v>
      </c>
      <c r="BE12" s="776"/>
      <c r="BF12" s="778" t="e">
        <f>+#REF!*#REF!</f>
        <v>#REF!</v>
      </c>
      <c r="BG12" s="778" t="e">
        <f t="shared" si="1"/>
        <v>#N/A</v>
      </c>
      <c r="BH12" s="778">
        <f t="shared" si="2"/>
        <v>0</v>
      </c>
      <c r="BI12" s="778">
        <f t="shared" si="3"/>
        <v>0</v>
      </c>
      <c r="BJ12" s="778">
        <f t="shared" si="4"/>
        <v>0</v>
      </c>
      <c r="BK12" s="779" t="e">
        <f>BK11+1</f>
        <v>#REF!</v>
      </c>
    </row>
    <row r="13" spans="1:63" s="1215" customFormat="1" ht="15" customHeight="1" thickBot="1">
      <c r="A13" s="1601"/>
      <c r="B13" s="1218" t="str">
        <f>+GUM!C19</f>
        <v>82116-0ZW70</v>
      </c>
      <c r="C13" s="1002" t="str">
        <f>GUM!D19</f>
        <v>A 0101</v>
      </c>
      <c r="D13" s="922" t="e">
        <f>+VLOOKUP($B13,[18]Sheet1!$B$8:$AC$55,3,0)</f>
        <v>#N/A</v>
      </c>
      <c r="E13" s="923" t="e">
        <f>+VLOOKUP($B13,[18]Sheet1!$B$8:$AC$55,4,0)</f>
        <v>#N/A</v>
      </c>
      <c r="F13" s="923" t="e">
        <f>+VLOOKUP($B13,[18]Sheet1!$B$8:$AC$55,5,0)</f>
        <v>#N/A</v>
      </c>
      <c r="G13" s="923" t="e">
        <f>+VLOOKUP($B13,[18]Sheet1!$B$8:$AC$55,6,0)</f>
        <v>#N/A</v>
      </c>
      <c r="H13" s="923"/>
      <c r="I13" s="923" t="e">
        <f t="shared" si="0"/>
        <v>#N/A</v>
      </c>
      <c r="J13" s="923">
        <f>+VLOOKUP($B13,GUM!C16:AD52,12,0)</f>
        <v>138</v>
      </c>
      <c r="K13" s="923" t="e">
        <f t="shared" si="5"/>
        <v>#N/A</v>
      </c>
      <c r="L13" s="924"/>
      <c r="M13" s="1003">
        <f>VLOOKUP($B13,[1]Sheet1!$B$23:$AG$80,9,0)</f>
        <v>54</v>
      </c>
      <c r="N13" s="926">
        <f>VLOOKUP($B13,[1]Sheet1!$B$23:$AG$80,10,0)</f>
        <v>54</v>
      </c>
      <c r="O13" s="926">
        <f>VLOOKUP($B13,[1]Sheet1!$B$23:$AG$80,11,0)</f>
        <v>54</v>
      </c>
      <c r="P13" s="926">
        <f>VLOOKUP($B13,[1]Sheet1!$B$23:$AG$80,12,0)</f>
        <v>48</v>
      </c>
      <c r="Q13" s="926">
        <f>VLOOKUP($B13,[1]Sheet1!$B$23:$AG$80,13,0)</f>
        <v>0</v>
      </c>
      <c r="R13" s="923">
        <f t="shared" si="6"/>
        <v>210</v>
      </c>
      <c r="S13" s="923">
        <f>+VLOOKUP($B13,GUM!$C$14:$AD$49,15,0)</f>
        <v>222</v>
      </c>
      <c r="T13" s="923">
        <f t="shared" si="7"/>
        <v>3</v>
      </c>
      <c r="U13" s="927"/>
      <c r="V13" s="817">
        <f>VLOOKUP($B13,[1]Sheet1!$B$23:$AG$80,15,0)</f>
        <v>54</v>
      </c>
      <c r="W13" s="926">
        <f>VLOOKUP($B13,[1]Sheet1!$B$23:$AG$80,16,0)</f>
        <v>54</v>
      </c>
      <c r="X13" s="926">
        <f>VLOOKUP($B13,[1]Sheet1!$B$23:$AG$80,17,0)</f>
        <v>54</v>
      </c>
      <c r="Y13" s="926">
        <f>VLOOKUP($B13,[1]Sheet1!$B$23:$AG$80,18,0)</f>
        <v>48</v>
      </c>
      <c r="Z13" s="926">
        <f>VLOOKUP($B13,[1]Sheet1!$B$23:$AG$80,19,0)</f>
        <v>0</v>
      </c>
      <c r="AA13" s="923">
        <f t="shared" si="8"/>
        <v>210</v>
      </c>
      <c r="AB13" s="923">
        <f>+VLOOKUP($B13,GUM!$C$14:$AD$49,18,0)</f>
        <v>204</v>
      </c>
      <c r="AC13" s="923">
        <f t="shared" si="9"/>
        <v>-2</v>
      </c>
      <c r="AD13" s="927"/>
      <c r="AE13" s="817">
        <f>VLOOKUP($B13,[1]Sheet1!$B$23:$AG$80,21,0)</f>
        <v>48</v>
      </c>
      <c r="AF13" s="926">
        <f>VLOOKUP($B13,[1]Sheet1!$B$23:$AG$80,22,0)</f>
        <v>48</v>
      </c>
      <c r="AG13" s="926">
        <f>VLOOKUP($B13,[1]Sheet1!$B$23:$AG$80,23,0)</f>
        <v>48</v>
      </c>
      <c r="AH13" s="926">
        <f>VLOOKUP($B13,[1]Sheet1!$B$23:$AG$80,24,0)</f>
        <v>42</v>
      </c>
      <c r="AI13" s="926">
        <f>VLOOKUP($B13,[1]Sheet1!$B$23:$AG$80,25,0)</f>
        <v>42</v>
      </c>
      <c r="AJ13" s="923">
        <f t="shared" si="10"/>
        <v>228</v>
      </c>
      <c r="AK13" s="923">
        <f>+VLOOKUP($B13,GUM!$C$14:$AD$49,21,0)</f>
        <v>258</v>
      </c>
      <c r="AL13" s="923">
        <f t="shared" si="11"/>
        <v>8</v>
      </c>
      <c r="AM13" s="927"/>
      <c r="AN13" s="928">
        <f>VLOOKUP($B13,[1]Sheet1!$B$23:$AG$80,27,0)</f>
        <v>48</v>
      </c>
      <c r="AO13" s="923">
        <f>VLOOKUP($B13,[1]Sheet1!$B$23:$AG$80,28,0)</f>
        <v>48</v>
      </c>
      <c r="AP13" s="923">
        <f>VLOOKUP($B13,[1]Sheet1!$B$23:$AG$80,29,0)</f>
        <v>42</v>
      </c>
      <c r="AQ13" s="926">
        <f>VLOOKUP($B13,[1]Sheet1!$B$23:$AG$80,30,0)</f>
        <v>42</v>
      </c>
      <c r="AR13" s="926">
        <f>VLOOKUP($B13,[1]Sheet1!$B$23:$AG$80,31,0)</f>
        <v>0</v>
      </c>
      <c r="AS13" s="923">
        <f t="shared" si="12"/>
        <v>180</v>
      </c>
      <c r="AT13" s="923">
        <f>+VLOOKUP($B13,GUM!$C$14:$AD$49,24,0)</f>
        <v>162</v>
      </c>
      <c r="AU13" s="923">
        <f t="shared" si="13"/>
        <v>-5</v>
      </c>
      <c r="AV13" s="924"/>
      <c r="AW13" s="928">
        <f t="shared" si="14"/>
        <v>48</v>
      </c>
      <c r="AX13" s="923">
        <f t="shared" si="15"/>
        <v>48</v>
      </c>
      <c r="AY13" s="923">
        <f t="shared" si="16"/>
        <v>42</v>
      </c>
      <c r="AZ13" s="923">
        <f t="shared" si="17"/>
        <v>42</v>
      </c>
      <c r="BA13" s="923">
        <f t="shared" si="18"/>
        <v>0</v>
      </c>
      <c r="BB13" s="923">
        <f t="shared" si="19"/>
        <v>180</v>
      </c>
      <c r="BC13" s="923">
        <f>+VLOOKUP($B13,GUM!$C$14:$AD$49,27,0)</f>
        <v>138</v>
      </c>
      <c r="BD13" s="923">
        <f t="shared" si="20"/>
        <v>-11</v>
      </c>
      <c r="BE13" s="927"/>
      <c r="BF13" s="1214" t="e">
        <f>+#REF!*#REF!</f>
        <v>#REF!</v>
      </c>
      <c r="BG13" s="1214" t="e">
        <f t="shared" si="1"/>
        <v>#N/A</v>
      </c>
      <c r="BH13" s="1214">
        <f t="shared" si="2"/>
        <v>0</v>
      </c>
      <c r="BI13" s="1214">
        <f t="shared" si="3"/>
        <v>0</v>
      </c>
      <c r="BJ13" s="1214">
        <f t="shared" si="4"/>
        <v>0</v>
      </c>
      <c r="BK13" s="1129" t="e">
        <f>BK10+1</f>
        <v>#REF!</v>
      </c>
    </row>
    <row r="14" spans="1:63" s="880" customFormat="1" ht="15" customHeight="1">
      <c r="A14" s="1599" t="s">
        <v>169</v>
      </c>
      <c r="B14" s="1216" t="str">
        <f>+GUM!C20</f>
        <v>82115-F2390</v>
      </c>
      <c r="C14" s="958" t="str">
        <f>GUM!D20</f>
        <v>B 0101</v>
      </c>
      <c r="D14" s="863" t="e">
        <f>+VLOOKUP($B14,[18]Sheet1!$B$8:$AC$55,3,0)</f>
        <v>#N/A</v>
      </c>
      <c r="E14" s="771" t="e">
        <f>+VLOOKUP($B14,[18]Sheet1!$B$8:$AC$55,4,0)</f>
        <v>#N/A</v>
      </c>
      <c r="F14" s="771" t="e">
        <f>+VLOOKUP($B14,[18]Sheet1!$B$8:$AC$55,5,0)</f>
        <v>#N/A</v>
      </c>
      <c r="G14" s="771" t="e">
        <f>+VLOOKUP($B14,[18]Sheet1!$B$8:$AC$55,6,0)</f>
        <v>#N/A</v>
      </c>
      <c r="H14" s="771"/>
      <c r="I14" s="771" t="e">
        <f t="shared" si="0"/>
        <v>#N/A</v>
      </c>
      <c r="J14" s="771">
        <f>+VLOOKUP($B14,GUM!C19:AD53,12,0)</f>
        <v>12</v>
      </c>
      <c r="K14" s="771" t="e">
        <f t="shared" si="5"/>
        <v>#N/A</v>
      </c>
      <c r="L14" s="1172"/>
      <c r="M14" s="942">
        <f>VLOOKUP($B14,[1]Sheet1!$B$23:$AG$80,9,0)</f>
        <v>12</v>
      </c>
      <c r="N14" s="943">
        <f>VLOOKUP($B14,[1]Sheet1!$B$23:$AG$80,10,0)</f>
        <v>0</v>
      </c>
      <c r="O14" s="794">
        <f>VLOOKUP($B14,[1]Sheet1!$B$23:$AG$80,11,0)</f>
        <v>0</v>
      </c>
      <c r="P14" s="943">
        <f>VLOOKUP($B14,[1]Sheet1!$B$23:$AG$80,12,0)</f>
        <v>0</v>
      </c>
      <c r="Q14" s="943">
        <f>VLOOKUP($B14,[1]Sheet1!$B$23:$AG$80,13,0)</f>
        <v>0</v>
      </c>
      <c r="R14" s="771">
        <f t="shared" si="6"/>
        <v>12</v>
      </c>
      <c r="S14" s="771">
        <f>+VLOOKUP($B14,GUM!$C$14:$AD$49,15,0)</f>
        <v>12</v>
      </c>
      <c r="T14" s="771">
        <f t="shared" si="7"/>
        <v>0</v>
      </c>
      <c r="U14" s="1173"/>
      <c r="V14" s="962">
        <f>VLOOKUP($B14,[1]Sheet1!$B$23:$AG$80,15,0)</f>
        <v>12</v>
      </c>
      <c r="W14" s="943">
        <f>VLOOKUP($B14,[1]Sheet1!$B$23:$AG$80,16,0)</f>
        <v>0</v>
      </c>
      <c r="X14" s="943">
        <f>VLOOKUP($B14,[1]Sheet1!$B$23:$AG$80,17,0)</f>
        <v>0</v>
      </c>
      <c r="Y14" s="943">
        <f>VLOOKUP($B14,[1]Sheet1!$B$23:$AG$80,18,0)</f>
        <v>0</v>
      </c>
      <c r="Z14" s="943">
        <f>VLOOKUP($B14,[1]Sheet1!$B$23:$AG$80,19,0)</f>
        <v>0</v>
      </c>
      <c r="AA14" s="771">
        <f t="shared" si="8"/>
        <v>12</v>
      </c>
      <c r="AB14" s="771">
        <f>+VLOOKUP($B14,GUM!$C$14:$AD$49,18,0)</f>
        <v>12</v>
      </c>
      <c r="AC14" s="771">
        <f t="shared" si="9"/>
        <v>0</v>
      </c>
      <c r="AD14" s="1173"/>
      <c r="AE14" s="962">
        <f>VLOOKUP($B14,[1]Sheet1!$B$23:$AG$80,21,0)</f>
        <v>12</v>
      </c>
      <c r="AF14" s="943">
        <f>VLOOKUP($B14,[1]Sheet1!$B$23:$AG$80,22,0)</f>
        <v>12</v>
      </c>
      <c r="AG14" s="943">
        <f>VLOOKUP($B14,[1]Sheet1!$B$23:$AG$80,23,0)</f>
        <v>0</v>
      </c>
      <c r="AH14" s="943">
        <f>VLOOKUP($B14,[1]Sheet1!$B$23:$AG$80,24,0)</f>
        <v>0</v>
      </c>
      <c r="AI14" s="943">
        <f>VLOOKUP($B14,[1]Sheet1!$B$23:$AG$80,25,0)</f>
        <v>0</v>
      </c>
      <c r="AJ14" s="771">
        <f t="shared" si="10"/>
        <v>24</v>
      </c>
      <c r="AK14" s="771">
        <f>+VLOOKUP($B14,GUM!$C$14:$AD$49,21,0)</f>
        <v>24</v>
      </c>
      <c r="AL14" s="771">
        <f t="shared" si="11"/>
        <v>0</v>
      </c>
      <c r="AM14" s="1173"/>
      <c r="AN14" s="770">
        <f>VLOOKUP($B14,[1]Sheet1!$B$23:$AG$80,27,0)</f>
        <v>6</v>
      </c>
      <c r="AO14" s="771">
        <f>VLOOKUP($B14,[1]Sheet1!$B$23:$AG$80,28,0)</f>
        <v>0</v>
      </c>
      <c r="AP14" s="771">
        <f>VLOOKUP($B14,[1]Sheet1!$B$23:$AG$80,29,0)</f>
        <v>0</v>
      </c>
      <c r="AQ14" s="943">
        <f>VLOOKUP($B14,[1]Sheet1!$B$23:$AG$80,30,0)</f>
        <v>0</v>
      </c>
      <c r="AR14" s="943">
        <f>VLOOKUP($B14,[1]Sheet1!$B$23:$AG$80,31,0)</f>
        <v>0</v>
      </c>
      <c r="AS14" s="771">
        <f t="shared" si="12"/>
        <v>6</v>
      </c>
      <c r="AT14" s="771">
        <f>+VLOOKUP($B14,GUM!$C$14:$AD$49,24,0)</f>
        <v>6</v>
      </c>
      <c r="AU14" s="771">
        <f t="shared" si="13"/>
        <v>0</v>
      </c>
      <c r="AV14" s="1172"/>
      <c r="AW14" s="1212">
        <f t="shared" si="14"/>
        <v>6</v>
      </c>
      <c r="AX14" s="947">
        <f t="shared" si="15"/>
        <v>0</v>
      </c>
      <c r="AY14" s="947">
        <f t="shared" si="16"/>
        <v>0</v>
      </c>
      <c r="AZ14" s="947">
        <f t="shared" si="17"/>
        <v>0</v>
      </c>
      <c r="BA14" s="947">
        <f t="shared" si="18"/>
        <v>0</v>
      </c>
      <c r="BB14" s="771">
        <f t="shared" si="19"/>
        <v>6</v>
      </c>
      <c r="BC14" s="771">
        <f>+VLOOKUP($B14,GUM!$C$14:$AD$49,27,0)</f>
        <v>6</v>
      </c>
      <c r="BD14" s="771">
        <f t="shared" si="20"/>
        <v>0</v>
      </c>
      <c r="BE14" s="1173"/>
      <c r="BF14" s="1213" t="e">
        <f>+#REF!*#REF!</f>
        <v>#REF!</v>
      </c>
      <c r="BG14" s="1213" t="e">
        <f t="shared" si="1"/>
        <v>#N/A</v>
      </c>
      <c r="BH14" s="1213">
        <f t="shared" si="2"/>
        <v>0</v>
      </c>
      <c r="BI14" s="1213">
        <f t="shared" si="3"/>
        <v>0</v>
      </c>
      <c r="BJ14" s="1213">
        <f t="shared" si="4"/>
        <v>0</v>
      </c>
      <c r="BK14" s="880" t="e">
        <f>BK13+1</f>
        <v>#REF!</v>
      </c>
    </row>
    <row r="15" spans="1:63" s="762" customFormat="1" ht="15.75" customHeight="1">
      <c r="A15" s="1600"/>
      <c r="B15" s="1217" t="str">
        <f>+GUM!C21</f>
        <v>82111-FET20</v>
      </c>
      <c r="C15" s="658" t="str">
        <f>GUM!D21</f>
        <v>A 0101</v>
      </c>
      <c r="D15" s="773" t="e">
        <f>+VLOOKUP($B15,[18]Sheet1!$B$8:$AC$55,3,0)</f>
        <v>#N/A</v>
      </c>
      <c r="E15" s="774" t="e">
        <f>+VLOOKUP($B15,[18]Sheet1!$B$8:$AC$55,4,0)</f>
        <v>#N/A</v>
      </c>
      <c r="F15" s="774" t="e">
        <f>+VLOOKUP($B15,[18]Sheet1!$B$8:$AC$55,5,0)</f>
        <v>#N/A</v>
      </c>
      <c r="G15" s="774" t="e">
        <f>+VLOOKUP($B15,[18]Sheet1!$B$8:$AC$55,6,0)</f>
        <v>#N/A</v>
      </c>
      <c r="H15" s="774"/>
      <c r="I15" s="774" t="e">
        <f t="shared" si="0"/>
        <v>#N/A</v>
      </c>
      <c r="J15" s="774">
        <f>+VLOOKUP($B15,GUM!C17:AD53,12,0)</f>
        <v>0</v>
      </c>
      <c r="K15" s="774" t="e">
        <f t="shared" si="5"/>
        <v>#N/A</v>
      </c>
      <c r="L15" s="775"/>
      <c r="M15" s="796">
        <f>VLOOKUP($B15,[1]Sheet1!$B$23:$AG$80,9,0)</f>
        <v>0</v>
      </c>
      <c r="N15" s="794">
        <f>VLOOKUP($B15,[1]Sheet1!$B$23:$AG$80,10,0)</f>
        <v>0</v>
      </c>
      <c r="O15" s="794">
        <f>VLOOKUP($B15,[1]Sheet1!$B$23:$AG$80,11,0)</f>
        <v>0</v>
      </c>
      <c r="P15" s="794">
        <f>VLOOKUP($B15,[1]Sheet1!$B$23:$AG$80,12,0)</f>
        <v>0</v>
      </c>
      <c r="Q15" s="794">
        <f>VLOOKUP($B15,[1]Sheet1!$B$23:$AG$80,13,0)</f>
        <v>0</v>
      </c>
      <c r="R15" s="774">
        <f t="shared" si="6"/>
        <v>0</v>
      </c>
      <c r="S15" s="774">
        <f>+VLOOKUP($B15,GUM!$C$14:$AD$49,15,0)</f>
        <v>0</v>
      </c>
      <c r="T15" s="774">
        <f t="shared" si="7"/>
        <v>0</v>
      </c>
      <c r="U15" s="776"/>
      <c r="V15" s="800">
        <f>VLOOKUP($B15,[1]Sheet1!$B$23:$AG$80,15,0)</f>
        <v>0</v>
      </c>
      <c r="W15" s="794">
        <f>VLOOKUP($B15,[1]Sheet1!$B$23:$AG$80,16,0)</f>
        <v>0</v>
      </c>
      <c r="X15" s="794">
        <f>VLOOKUP($B15,[1]Sheet1!$B$23:$AG$80,17,0)</f>
        <v>0</v>
      </c>
      <c r="Y15" s="794">
        <f>VLOOKUP($B15,[1]Sheet1!$B$23:$AG$80,18,0)</f>
        <v>0</v>
      </c>
      <c r="Z15" s="794">
        <f>VLOOKUP($B15,[1]Sheet1!$B$23:$AG$80,19,0)</f>
        <v>0</v>
      </c>
      <c r="AA15" s="774">
        <f t="shared" si="8"/>
        <v>0</v>
      </c>
      <c r="AB15" s="774">
        <f>+VLOOKUP($B15,GUM!$C$14:$AD$49,18,0)</f>
        <v>0</v>
      </c>
      <c r="AC15" s="774">
        <f t="shared" si="9"/>
        <v>0</v>
      </c>
      <c r="AD15" s="776"/>
      <c r="AE15" s="800">
        <f>VLOOKUP($B15,[1]Sheet1!$B$23:$AG$80,21,0)</f>
        <v>0</v>
      </c>
      <c r="AF15" s="794">
        <f>VLOOKUP($B15,[1]Sheet1!$B$23:$AG$80,22,0)</f>
        <v>0</v>
      </c>
      <c r="AG15" s="794">
        <f>VLOOKUP($B15,[1]Sheet1!$B$23:$AG$80,23,0)</f>
        <v>0</v>
      </c>
      <c r="AH15" s="794">
        <f>VLOOKUP($B15,[1]Sheet1!$B$23:$AG$80,24,0)</f>
        <v>0</v>
      </c>
      <c r="AI15" s="794">
        <f>VLOOKUP($B15,[1]Sheet1!$B$23:$AG$80,25,0)</f>
        <v>0</v>
      </c>
      <c r="AJ15" s="774">
        <f t="shared" si="10"/>
        <v>0</v>
      </c>
      <c r="AK15" s="774">
        <f>+VLOOKUP($B15,GUM!$C$14:$AD$49,21,0)</f>
        <v>0</v>
      </c>
      <c r="AL15" s="774">
        <f t="shared" si="11"/>
        <v>0</v>
      </c>
      <c r="AM15" s="776"/>
      <c r="AN15" s="777">
        <f>VLOOKUP($B15,[1]Sheet1!$B$23:$AG$80,27,0)</f>
        <v>0</v>
      </c>
      <c r="AO15" s="774">
        <f>VLOOKUP($B15,[1]Sheet1!$B$23:$AG$80,28,0)</f>
        <v>0</v>
      </c>
      <c r="AP15" s="774">
        <f>VLOOKUP($B15,[1]Sheet1!$B$23:$AG$80,29,0)</f>
        <v>0</v>
      </c>
      <c r="AQ15" s="794">
        <f>VLOOKUP($B15,[1]Sheet1!$B$23:$AG$80,30,0)</f>
        <v>0</v>
      </c>
      <c r="AR15" s="794">
        <f>VLOOKUP($B15,[1]Sheet1!$B$23:$AG$80,31,0)</f>
        <v>0</v>
      </c>
      <c r="AS15" s="774">
        <f t="shared" si="12"/>
        <v>0</v>
      </c>
      <c r="AT15" s="774">
        <f>+VLOOKUP($B15,GUM!$C$14:$AD$49,24,0)</f>
        <v>0</v>
      </c>
      <c r="AU15" s="774">
        <f t="shared" si="13"/>
        <v>0</v>
      </c>
      <c r="AV15" s="775"/>
      <c r="AW15" s="948">
        <f t="shared" si="14"/>
        <v>0</v>
      </c>
      <c r="AX15" s="945">
        <f t="shared" si="15"/>
        <v>0</v>
      </c>
      <c r="AY15" s="945">
        <f t="shared" si="16"/>
        <v>0</v>
      </c>
      <c r="AZ15" s="945">
        <f t="shared" si="17"/>
        <v>0</v>
      </c>
      <c r="BA15" s="945">
        <f t="shared" si="18"/>
        <v>0</v>
      </c>
      <c r="BB15" s="774">
        <f t="shared" si="19"/>
        <v>0</v>
      </c>
      <c r="BC15" s="774">
        <f>+VLOOKUP($B15,GUM!$C$14:$AD$49,27,0)</f>
        <v>0</v>
      </c>
      <c r="BD15" s="774">
        <f t="shared" si="20"/>
        <v>0</v>
      </c>
      <c r="BE15" s="776"/>
      <c r="BF15" s="590" t="e">
        <f>+#REF!*#REF!</f>
        <v>#REF!</v>
      </c>
      <c r="BG15" s="590" t="e">
        <f t="shared" si="1"/>
        <v>#N/A</v>
      </c>
      <c r="BH15" s="590">
        <f t="shared" si="2"/>
        <v>0</v>
      </c>
      <c r="BI15" s="590">
        <f t="shared" si="3"/>
        <v>0</v>
      </c>
      <c r="BJ15" s="590">
        <f t="shared" si="4"/>
        <v>0</v>
      </c>
      <c r="BK15" s="762" t="e">
        <f>BK13+1</f>
        <v>#REF!</v>
      </c>
    </row>
    <row r="16" spans="1:63" s="1135" customFormat="1" ht="15" customHeight="1">
      <c r="A16" s="1600"/>
      <c r="B16" s="1217" t="str">
        <f>+GUM!C22</f>
        <v>82111-FET30</v>
      </c>
      <c r="C16" s="658" t="str">
        <f>GUM!D22</f>
        <v>A 0101</v>
      </c>
      <c r="D16" s="773" t="e">
        <f>+VLOOKUP($B16,[18]Sheet1!$B$8:$AC$55,3,0)</f>
        <v>#N/A</v>
      </c>
      <c r="E16" s="774" t="e">
        <f>+VLOOKUP($B16,[18]Sheet1!$B$8:$AC$55,4,0)</f>
        <v>#N/A</v>
      </c>
      <c r="F16" s="774" t="e">
        <f>+VLOOKUP($B16,[18]Sheet1!$B$8:$AC$55,5,0)</f>
        <v>#N/A</v>
      </c>
      <c r="G16" s="774" t="e">
        <f>+VLOOKUP($B16,[18]Sheet1!$B$8:$AC$55,6,0)</f>
        <v>#N/A</v>
      </c>
      <c r="H16" s="774"/>
      <c r="I16" s="774" t="e">
        <f t="shared" si="0"/>
        <v>#N/A</v>
      </c>
      <c r="J16" s="774">
        <f>+VLOOKUP($B16,GUM!C19:AD53,12,0)</f>
        <v>348</v>
      </c>
      <c r="K16" s="774" t="e">
        <f t="shared" si="5"/>
        <v>#N/A</v>
      </c>
      <c r="L16" s="775"/>
      <c r="M16" s="796">
        <f>VLOOKUP($B16,[1]Sheet1!$B$23:$AG$80,9,0)</f>
        <v>90</v>
      </c>
      <c r="N16" s="794">
        <f>VLOOKUP($B16,[1]Sheet1!$B$23:$AG$80,10,0)</f>
        <v>90</v>
      </c>
      <c r="O16" s="794">
        <f>VLOOKUP($B16,[1]Sheet1!$B$23:$AG$80,11,0)</f>
        <v>90</v>
      </c>
      <c r="P16" s="794">
        <f>VLOOKUP($B16,[1]Sheet1!$B$23:$AG$80,12,0)</f>
        <v>84</v>
      </c>
      <c r="Q16" s="794">
        <f>VLOOKUP($B16,[1]Sheet1!$B$23:$AG$80,13,0)</f>
        <v>0</v>
      </c>
      <c r="R16" s="774">
        <f t="shared" si="6"/>
        <v>354</v>
      </c>
      <c r="S16" s="774">
        <f>+VLOOKUP($B16,GUM!$C$14:$AD$49,15,0)</f>
        <v>384</v>
      </c>
      <c r="T16" s="774">
        <f t="shared" si="7"/>
        <v>6</v>
      </c>
      <c r="U16" s="776"/>
      <c r="V16" s="800">
        <f>VLOOKUP($B16,[1]Sheet1!$B$23:$AG$80,15,0)</f>
        <v>96</v>
      </c>
      <c r="W16" s="794">
        <f>VLOOKUP($B16,[1]Sheet1!$B$23:$AG$80,16,0)</f>
        <v>96</v>
      </c>
      <c r="X16" s="794">
        <f>VLOOKUP($B16,[1]Sheet1!$B$23:$AG$80,17,0)</f>
        <v>90</v>
      </c>
      <c r="Y16" s="794">
        <f>VLOOKUP($B16,[1]Sheet1!$B$23:$AG$80,18,0)</f>
        <v>90</v>
      </c>
      <c r="Z16" s="794">
        <f>VLOOKUP($B16,[1]Sheet1!$B$23:$AG$80,19,0)</f>
        <v>0</v>
      </c>
      <c r="AA16" s="774">
        <f t="shared" si="8"/>
        <v>372</v>
      </c>
      <c r="AB16" s="774">
        <f>+VLOOKUP($B16,GUM!$C$14:$AD$49,18,0)</f>
        <v>360</v>
      </c>
      <c r="AC16" s="774">
        <f t="shared" si="9"/>
        <v>-3</v>
      </c>
      <c r="AD16" s="776"/>
      <c r="AE16" s="800">
        <f>VLOOKUP($B16,[1]Sheet1!$B$23:$AG$80,21,0)</f>
        <v>84</v>
      </c>
      <c r="AF16" s="794">
        <f>VLOOKUP($B16,[1]Sheet1!$B$23:$AG$80,22,0)</f>
        <v>84</v>
      </c>
      <c r="AG16" s="794">
        <f>VLOOKUP($B16,[1]Sheet1!$B$23:$AG$80,23,0)</f>
        <v>78</v>
      </c>
      <c r="AH16" s="794">
        <f>VLOOKUP($B16,[1]Sheet1!$B$23:$AG$80,24,0)</f>
        <v>78</v>
      </c>
      <c r="AI16" s="794">
        <f>VLOOKUP($B16,[1]Sheet1!$B$23:$AG$80,25,0)</f>
        <v>78</v>
      </c>
      <c r="AJ16" s="774">
        <f t="shared" si="10"/>
        <v>402</v>
      </c>
      <c r="AK16" s="774">
        <f>+VLOOKUP($B16,GUM!$C$14:$AD$49,21,0)</f>
        <v>342</v>
      </c>
      <c r="AL16" s="774">
        <f t="shared" si="11"/>
        <v>-15</v>
      </c>
      <c r="AM16" s="776"/>
      <c r="AN16" s="777">
        <f>VLOOKUP($B16,[1]Sheet1!$B$23:$AG$80,27,0)</f>
        <v>84</v>
      </c>
      <c r="AO16" s="774">
        <f>VLOOKUP($B16,[1]Sheet1!$B$23:$AG$80,28,0)</f>
        <v>84</v>
      </c>
      <c r="AP16" s="774">
        <f>VLOOKUP($B16,[1]Sheet1!$B$23:$AG$80,29,0)</f>
        <v>78</v>
      </c>
      <c r="AQ16" s="794">
        <f>VLOOKUP($B16,[1]Sheet1!$B$23:$AG$80,30,0)</f>
        <v>78</v>
      </c>
      <c r="AR16" s="794">
        <f>VLOOKUP($B16,[1]Sheet1!$B$23:$AG$80,31,0)</f>
        <v>0</v>
      </c>
      <c r="AS16" s="774">
        <f t="shared" si="12"/>
        <v>324</v>
      </c>
      <c r="AT16" s="774">
        <f>+VLOOKUP($B16,GUM!$C$14:$AD$49,24,0)</f>
        <v>414</v>
      </c>
      <c r="AU16" s="774">
        <f t="shared" si="13"/>
        <v>23</v>
      </c>
      <c r="AV16" s="775"/>
      <c r="AW16" s="1045">
        <f t="shared" si="14"/>
        <v>84</v>
      </c>
      <c r="AX16" s="1046">
        <f t="shared" si="15"/>
        <v>84</v>
      </c>
      <c r="AY16" s="1046">
        <f t="shared" si="16"/>
        <v>78</v>
      </c>
      <c r="AZ16" s="1046">
        <f t="shared" si="17"/>
        <v>78</v>
      </c>
      <c r="BA16" s="1046">
        <f t="shared" si="18"/>
        <v>0</v>
      </c>
      <c r="BB16" s="774">
        <f t="shared" si="19"/>
        <v>324</v>
      </c>
      <c r="BC16" s="774">
        <f>+VLOOKUP($B16,GUM!$C$14:$AD$49,27,0)</f>
        <v>186</v>
      </c>
      <c r="BD16" s="774">
        <f t="shared" si="20"/>
        <v>-35</v>
      </c>
      <c r="BE16" s="776"/>
      <c r="BF16" s="869" t="e">
        <f>+#REF!*#REF!</f>
        <v>#REF!</v>
      </c>
      <c r="BG16" s="869" t="e">
        <f t="shared" si="1"/>
        <v>#N/A</v>
      </c>
      <c r="BH16" s="869">
        <f t="shared" si="2"/>
        <v>0</v>
      </c>
      <c r="BI16" s="869">
        <f t="shared" si="3"/>
        <v>0</v>
      </c>
      <c r="BJ16" s="869">
        <f t="shared" si="4"/>
        <v>0</v>
      </c>
      <c r="BK16" s="1135" t="e">
        <f>BK15+1</f>
        <v>#REF!</v>
      </c>
    </row>
    <row r="17" spans="1:63" s="1135" customFormat="1" ht="15.75" customHeight="1">
      <c r="A17" s="1600"/>
      <c r="B17" s="1219" t="str">
        <f>+GUM!C23</f>
        <v>82111-FET40</v>
      </c>
      <c r="C17" s="964" t="str">
        <f>GUM!D23</f>
        <v>A 0101</v>
      </c>
      <c r="D17" s="870">
        <v>0</v>
      </c>
      <c r="E17" s="868">
        <v>0</v>
      </c>
      <c r="F17" s="868">
        <v>0</v>
      </c>
      <c r="G17" s="868">
        <v>0</v>
      </c>
      <c r="H17" s="868">
        <v>0</v>
      </c>
      <c r="I17" s="868">
        <f>SUM(D17:H17)</f>
        <v>0</v>
      </c>
      <c r="J17" s="868">
        <v>0</v>
      </c>
      <c r="K17" s="868">
        <v>0</v>
      </c>
      <c r="L17" s="944"/>
      <c r="M17" s="787">
        <f>VLOOKUP($B17,[1]Sheet1!$B$23:$AG$80,9,0)</f>
        <v>138</v>
      </c>
      <c r="N17" s="785">
        <f>VLOOKUP($B17,[1]Sheet1!$B$23:$AG$80,10,0)</f>
        <v>138</v>
      </c>
      <c r="O17" s="785">
        <f>VLOOKUP($B17,[1]Sheet1!$B$23:$AG$80,11,0)</f>
        <v>138</v>
      </c>
      <c r="P17" s="785">
        <f>VLOOKUP($B17,[1]Sheet1!$B$23:$AG$80,12,0)</f>
        <v>132</v>
      </c>
      <c r="Q17" s="785">
        <f>VLOOKUP($B17,[1]Sheet1!$B$23:$AG$80,13,0)</f>
        <v>0</v>
      </c>
      <c r="R17" s="868">
        <f t="shared" si="6"/>
        <v>546</v>
      </c>
      <c r="S17" s="868">
        <f>+VLOOKUP($B17,GUM!$C$14:$AD$49,15,0)</f>
        <v>702</v>
      </c>
      <c r="T17" s="868">
        <f t="shared" si="7"/>
        <v>32</v>
      </c>
      <c r="U17" s="940"/>
      <c r="V17" s="789">
        <f>VLOOKUP($B17,[1]Sheet1!$B$23:$AG$80,15,0)</f>
        <v>162</v>
      </c>
      <c r="W17" s="785">
        <f>VLOOKUP($B17,[1]Sheet1!$B$23:$AG$80,16,0)</f>
        <v>162</v>
      </c>
      <c r="X17" s="794">
        <f>VLOOKUP($B17,[1]Sheet1!$B$23:$AG$80,17,0)</f>
        <v>156</v>
      </c>
      <c r="Y17" s="794">
        <f>VLOOKUP($B17,[1]Sheet1!$B$23:$AG$80,18,0)</f>
        <v>156</v>
      </c>
      <c r="Z17" s="785">
        <f>VLOOKUP($B17,[1]Sheet1!$B$23:$AG$80,19,0)</f>
        <v>0</v>
      </c>
      <c r="AA17" s="868">
        <f t="shared" si="8"/>
        <v>636</v>
      </c>
      <c r="AB17" s="868">
        <f>+VLOOKUP($B17,GUM!$C$14:$AD$49,18,0)</f>
        <v>498</v>
      </c>
      <c r="AC17" s="868">
        <f t="shared" si="9"/>
        <v>-35</v>
      </c>
      <c r="AD17" s="940"/>
      <c r="AE17" s="789">
        <f>VLOOKUP($B17,[1]Sheet1!$B$23:$AG$80,21,0)</f>
        <v>144</v>
      </c>
      <c r="AF17" s="785">
        <f>VLOOKUP($B17,[1]Sheet1!$B$23:$AG$80,22,0)</f>
        <v>138</v>
      </c>
      <c r="AG17" s="785">
        <f>VLOOKUP($B17,[1]Sheet1!$B$23:$AG$80,23,0)</f>
        <v>138</v>
      </c>
      <c r="AH17" s="785">
        <f>VLOOKUP($B17,[1]Sheet1!$B$23:$AG$80,24,0)</f>
        <v>138</v>
      </c>
      <c r="AI17" s="785">
        <f>VLOOKUP($B17,[1]Sheet1!$B$23:$AG$80,25,0)</f>
        <v>138</v>
      </c>
      <c r="AJ17" s="868">
        <f t="shared" si="10"/>
        <v>696</v>
      </c>
      <c r="AK17" s="868">
        <f>+VLOOKUP($B17,GUM!$C$14:$AD$49,21,0)</f>
        <v>654</v>
      </c>
      <c r="AL17" s="868">
        <f t="shared" si="11"/>
        <v>-11</v>
      </c>
      <c r="AM17" s="940"/>
      <c r="AN17" s="938">
        <f>VLOOKUP($B17,[1]Sheet1!$B$23:$AG$80,27,0)</f>
        <v>138</v>
      </c>
      <c r="AO17" s="868">
        <f>VLOOKUP($B17,[1]Sheet1!$B$23:$AG$80,28,0)</f>
        <v>138</v>
      </c>
      <c r="AP17" s="868">
        <f>VLOOKUP($B17,[1]Sheet1!$B$23:$AG$80,29,0)</f>
        <v>138</v>
      </c>
      <c r="AQ17" s="785">
        <f>VLOOKUP($B17,[1]Sheet1!$B$23:$AG$80,30,0)</f>
        <v>132</v>
      </c>
      <c r="AR17" s="785">
        <f>VLOOKUP($B17,[1]Sheet1!$B$23:$AG$80,31,0)</f>
        <v>0</v>
      </c>
      <c r="AS17" s="868">
        <f t="shared" si="12"/>
        <v>546</v>
      </c>
      <c r="AT17" s="868">
        <f>+VLOOKUP($B17,GUM!$C$14:$AD$49,24,0)</f>
        <v>570</v>
      </c>
      <c r="AU17" s="868">
        <f t="shared" si="13"/>
        <v>6</v>
      </c>
      <c r="AV17" s="944"/>
      <c r="AW17" s="938">
        <f t="shared" si="14"/>
        <v>138</v>
      </c>
      <c r="AX17" s="868">
        <f t="shared" si="15"/>
        <v>138</v>
      </c>
      <c r="AY17" s="868">
        <f t="shared" si="16"/>
        <v>138</v>
      </c>
      <c r="AZ17" s="868">
        <f t="shared" si="17"/>
        <v>132</v>
      </c>
      <c r="BA17" s="868">
        <f t="shared" si="18"/>
        <v>0</v>
      </c>
      <c r="BB17" s="868">
        <f t="shared" si="19"/>
        <v>546</v>
      </c>
      <c r="BC17" s="868">
        <f>+VLOOKUP($B17,GUM!$C$14:$AD$49,27,0)</f>
        <v>384</v>
      </c>
      <c r="BD17" s="868">
        <f t="shared" si="20"/>
        <v>-41</v>
      </c>
      <c r="BE17" s="940"/>
      <c r="BF17" s="869" t="e">
        <f>+#REF!*#REF!</f>
        <v>#REF!</v>
      </c>
      <c r="BG17" s="869" t="e">
        <f>+D17*D$8</f>
        <v>#N/A</v>
      </c>
      <c r="BH17" s="869">
        <f>+M17*M$8</f>
        <v>0</v>
      </c>
      <c r="BI17" s="869">
        <f>+V17*V$8</f>
        <v>0</v>
      </c>
      <c r="BJ17" s="869">
        <f>+AE17*AE$8</f>
        <v>0</v>
      </c>
      <c r="BK17" s="1135" t="e">
        <f>BK13+1</f>
        <v>#REF!</v>
      </c>
    </row>
    <row r="18" spans="1:63" s="1129" customFormat="1" ht="15" customHeight="1" thickBot="1">
      <c r="A18" s="1600"/>
      <c r="B18" s="1219" t="str">
        <f>+GUM!C24</f>
        <v>82116-0ZX70</v>
      </c>
      <c r="C18" s="964" t="str">
        <f>GUM!D24</f>
        <v>A 0101</v>
      </c>
      <c r="D18" s="870"/>
      <c r="E18" s="868"/>
      <c r="F18" s="868"/>
      <c r="G18" s="868"/>
      <c r="H18" s="868"/>
      <c r="I18" s="868"/>
      <c r="J18" s="868"/>
      <c r="K18" s="868"/>
      <c r="L18" s="944"/>
      <c r="M18" s="787">
        <f>VLOOKUP($B18,[1]Sheet1!$B$23:$AG$80,9,0)</f>
        <v>6</v>
      </c>
      <c r="N18" s="785">
        <f>VLOOKUP($B18,[1]Sheet1!$B$23:$AG$80,10,0)</f>
        <v>0</v>
      </c>
      <c r="O18" s="785">
        <f>VLOOKUP($B18,[1]Sheet1!$B$23:$AG$80,11,0)</f>
        <v>0</v>
      </c>
      <c r="P18" s="785">
        <f>VLOOKUP($B18,[1]Sheet1!$B$23:$AG$80,12,0)</f>
        <v>0</v>
      </c>
      <c r="Q18" s="785">
        <f>VLOOKUP($B18,[1]Sheet1!$B$23:$AG$80,13,0)</f>
        <v>0</v>
      </c>
      <c r="R18" s="868">
        <f t="shared" si="6"/>
        <v>6</v>
      </c>
      <c r="S18" s="868">
        <f>+VLOOKUP($B18,GUM!$C$14:$AD$49,15,0)</f>
        <v>6</v>
      </c>
      <c r="T18" s="868">
        <f t="shared" si="7"/>
        <v>0</v>
      </c>
      <c r="U18" s="940"/>
      <c r="V18" s="789">
        <f>VLOOKUP($B18,[1]Sheet1!$B$23:$AG$80,15,0)</f>
        <v>6</v>
      </c>
      <c r="W18" s="785">
        <f>VLOOKUP($B18,[1]Sheet1!$B$23:$AG$80,16,0)</f>
        <v>0</v>
      </c>
      <c r="X18" s="794">
        <f>VLOOKUP($B18,[1]Sheet1!$B$23:$AG$80,17,0)</f>
        <v>0</v>
      </c>
      <c r="Y18" s="794">
        <f>VLOOKUP($B18,[1]Sheet1!$B$23:$AG$80,18,0)</f>
        <v>0</v>
      </c>
      <c r="Z18" s="785">
        <f>VLOOKUP($B18,[1]Sheet1!$B$23:$AG$80,19,0)</f>
        <v>0</v>
      </c>
      <c r="AA18" s="868">
        <f t="shared" si="8"/>
        <v>6</v>
      </c>
      <c r="AB18" s="868">
        <f>+VLOOKUP($B18,GUM!$C$14:$AD$49,18,0)</f>
        <v>6</v>
      </c>
      <c r="AC18" s="868">
        <f t="shared" si="9"/>
        <v>0</v>
      </c>
      <c r="AD18" s="940"/>
      <c r="AE18" s="789">
        <f>VLOOKUP($B18,[1]Sheet1!$B$23:$AG$80,21,0)</f>
        <v>6</v>
      </c>
      <c r="AF18" s="785">
        <f>VLOOKUP($B18,[1]Sheet1!$B$23:$AG$80,22,0)</f>
        <v>0</v>
      </c>
      <c r="AG18" s="785">
        <f>VLOOKUP($B18,[1]Sheet1!$B$23:$AG$80,23,0)</f>
        <v>0</v>
      </c>
      <c r="AH18" s="785">
        <f>VLOOKUP($B18,[1]Sheet1!$B$23:$AG$80,24,0)</f>
        <v>0</v>
      </c>
      <c r="AI18" s="785">
        <f>VLOOKUP($B18,[1]Sheet1!$B$23:$AG$80,25,0)</f>
        <v>0</v>
      </c>
      <c r="AJ18" s="868">
        <f t="shared" si="10"/>
        <v>6</v>
      </c>
      <c r="AK18" s="868">
        <f>+VLOOKUP($B18,GUM!$C$14:$AD$49,21,0)</f>
        <v>6</v>
      </c>
      <c r="AL18" s="868">
        <f t="shared" si="11"/>
        <v>0</v>
      </c>
      <c r="AM18" s="940"/>
      <c r="AN18" s="938">
        <f>VLOOKUP($B18,[1]Sheet1!$B$23:$AG$80,27,0)</f>
        <v>6</v>
      </c>
      <c r="AO18" s="868">
        <f>VLOOKUP($B18,[1]Sheet1!$B$23:$AG$80,28,0)</f>
        <v>0</v>
      </c>
      <c r="AP18" s="868">
        <f>VLOOKUP($B18,[1]Sheet1!$B$23:$AG$80,29,0)</f>
        <v>0</v>
      </c>
      <c r="AQ18" s="785">
        <f>VLOOKUP($B18,[1]Sheet1!$B$23:$AG$80,30,0)</f>
        <v>0</v>
      </c>
      <c r="AR18" s="785">
        <f>VLOOKUP($B18,[1]Sheet1!$B$23:$AG$80,31,0)</f>
        <v>0</v>
      </c>
      <c r="AS18" s="868">
        <f t="shared" si="12"/>
        <v>6</v>
      </c>
      <c r="AT18" s="868">
        <f>+VLOOKUP($B18,GUM!$C$14:$AD$49,24,0)</f>
        <v>6</v>
      </c>
      <c r="AU18" s="868">
        <f t="shared" si="13"/>
        <v>0</v>
      </c>
      <c r="AV18" s="944"/>
      <c r="AW18" s="938">
        <f t="shared" si="14"/>
        <v>6</v>
      </c>
      <c r="AX18" s="868">
        <f t="shared" si="15"/>
        <v>0</v>
      </c>
      <c r="AY18" s="868">
        <f t="shared" si="16"/>
        <v>0</v>
      </c>
      <c r="AZ18" s="868">
        <f t="shared" si="17"/>
        <v>0</v>
      </c>
      <c r="BA18" s="868">
        <f t="shared" si="18"/>
        <v>0</v>
      </c>
      <c r="BB18" s="868">
        <f t="shared" si="19"/>
        <v>6</v>
      </c>
      <c r="BC18" s="868">
        <f>+VLOOKUP($B18,GUM!$C$14:$AD$49,27,0)</f>
        <v>6</v>
      </c>
      <c r="BD18" s="868">
        <f t="shared" si="20"/>
        <v>0</v>
      </c>
      <c r="BE18" s="940"/>
      <c r="BF18" s="1011" t="e">
        <f>+#REF!*#REF!</f>
        <v>#REF!</v>
      </c>
      <c r="BG18" s="1011" t="e">
        <f t="shared" si="1"/>
        <v>#N/A</v>
      </c>
      <c r="BH18" s="1011">
        <f t="shared" si="2"/>
        <v>0</v>
      </c>
      <c r="BI18" s="1011">
        <f t="shared" si="3"/>
        <v>0</v>
      </c>
      <c r="BJ18" s="1011">
        <f t="shared" si="4"/>
        <v>0</v>
      </c>
      <c r="BK18" s="1129" t="e">
        <f>#REF!+1</f>
        <v>#REF!</v>
      </c>
    </row>
    <row r="19" spans="1:63" s="1129" customFormat="1" ht="15" customHeight="1" thickBot="1">
      <c r="A19" s="1601"/>
      <c r="B19" s="1218" t="str">
        <f>+GUM!C25</f>
        <v>82116-0ZY00</v>
      </c>
      <c r="C19" s="1002" t="str">
        <f>GUM!D25</f>
        <v>A 0101</v>
      </c>
      <c r="D19" s="922"/>
      <c r="E19" s="923"/>
      <c r="F19" s="923"/>
      <c r="G19" s="923"/>
      <c r="H19" s="923"/>
      <c r="I19" s="923"/>
      <c r="J19" s="923"/>
      <c r="K19" s="923"/>
      <c r="L19" s="924"/>
      <c r="M19" s="1003">
        <f>VLOOKUP($B19,[1]Sheet1!$B$23:$AG$80,9,0)</f>
        <v>150</v>
      </c>
      <c r="N19" s="926">
        <f>VLOOKUP($B19,[1]Sheet1!$B$23:$AG$80,10,0)</f>
        <v>150</v>
      </c>
      <c r="O19" s="926">
        <f>VLOOKUP($B19,[1]Sheet1!$B$23:$AG$80,11,0)</f>
        <v>144</v>
      </c>
      <c r="P19" s="926">
        <f>VLOOKUP($B19,[1]Sheet1!$B$23:$AG$80,12,0)</f>
        <v>144</v>
      </c>
      <c r="Q19" s="926">
        <f>VLOOKUP($B19,[1]Sheet1!$B$23:$AG$80,13,0)</f>
        <v>0</v>
      </c>
      <c r="R19" s="923">
        <f t="shared" si="6"/>
        <v>588</v>
      </c>
      <c r="S19" s="923">
        <f>+VLOOKUP($B19,GUM!$C$14:$AD$49,15,0)</f>
        <v>732</v>
      </c>
      <c r="T19" s="923">
        <f t="shared" si="7"/>
        <v>29</v>
      </c>
      <c r="U19" s="927"/>
      <c r="V19" s="817">
        <f>VLOOKUP($B19,[1]Sheet1!$B$23:$AG$80,15,0)</f>
        <v>174</v>
      </c>
      <c r="W19" s="926">
        <f>VLOOKUP($B19,[1]Sheet1!$B$23:$AG$80,16,0)</f>
        <v>174</v>
      </c>
      <c r="X19" s="813">
        <f>VLOOKUP($B19,[1]Sheet1!$B$23:$AG$80,17,0)</f>
        <v>168</v>
      </c>
      <c r="Y19" s="813">
        <f>VLOOKUP($B19,[1]Sheet1!$B$23:$AG$80,18,0)</f>
        <v>168</v>
      </c>
      <c r="Z19" s="926">
        <f>VLOOKUP($B19,[1]Sheet1!$B$23:$AG$80,19,0)</f>
        <v>0</v>
      </c>
      <c r="AA19" s="923">
        <f t="shared" si="8"/>
        <v>684</v>
      </c>
      <c r="AB19" s="923">
        <f>+VLOOKUP($B19,GUM!$C$14:$AD$49,18,0)</f>
        <v>600</v>
      </c>
      <c r="AC19" s="923">
        <f t="shared" si="9"/>
        <v>-21</v>
      </c>
      <c r="AD19" s="927"/>
      <c r="AE19" s="817">
        <f>VLOOKUP($B19,[1]Sheet1!$B$23:$AG$80,21,0)</f>
        <v>150</v>
      </c>
      <c r="AF19" s="926">
        <f>VLOOKUP($B19,[1]Sheet1!$B$23:$AG$80,22,0)</f>
        <v>150</v>
      </c>
      <c r="AG19" s="926">
        <f>VLOOKUP($B19,[1]Sheet1!$B$23:$AG$80,23,0)</f>
        <v>150</v>
      </c>
      <c r="AH19" s="926">
        <f>VLOOKUP($B19,[1]Sheet1!$B$23:$AG$80,24,0)</f>
        <v>150</v>
      </c>
      <c r="AI19" s="926">
        <f>VLOOKUP($B19,[1]Sheet1!$B$23:$AG$80,25,0)</f>
        <v>144</v>
      </c>
      <c r="AJ19" s="923">
        <f t="shared" si="10"/>
        <v>744</v>
      </c>
      <c r="AK19" s="923">
        <f>+VLOOKUP($B19,GUM!$C$14:$AD$49,21,0)</f>
        <v>660</v>
      </c>
      <c r="AL19" s="923">
        <f t="shared" si="11"/>
        <v>-21</v>
      </c>
      <c r="AM19" s="927"/>
      <c r="AN19" s="928">
        <f>VLOOKUP($B19,[1]Sheet1!$B$23:$AG$80,27,0)</f>
        <v>150</v>
      </c>
      <c r="AO19" s="923">
        <f>VLOOKUP($B19,[1]Sheet1!$B$23:$AG$80,28,0)</f>
        <v>144</v>
      </c>
      <c r="AP19" s="923">
        <f>VLOOKUP($B19,[1]Sheet1!$B$23:$AG$80,29,0)</f>
        <v>144</v>
      </c>
      <c r="AQ19" s="926">
        <f>VLOOKUP($B19,[1]Sheet1!$B$23:$AG$80,30,0)</f>
        <v>144</v>
      </c>
      <c r="AR19" s="926">
        <f>VLOOKUP($B19,[1]Sheet1!$B$23:$AG$80,31,0)</f>
        <v>0</v>
      </c>
      <c r="AS19" s="923">
        <f t="shared" si="12"/>
        <v>582</v>
      </c>
      <c r="AT19" s="923">
        <f>+VLOOKUP($B19,GUM!$C$14:$AD$49,24,0)</f>
        <v>630</v>
      </c>
      <c r="AU19" s="923">
        <f t="shared" si="13"/>
        <v>12</v>
      </c>
      <c r="AV19" s="924"/>
      <c r="AW19" s="928">
        <f t="shared" si="14"/>
        <v>150</v>
      </c>
      <c r="AX19" s="923">
        <f t="shared" si="15"/>
        <v>144</v>
      </c>
      <c r="AY19" s="923">
        <f t="shared" si="16"/>
        <v>144</v>
      </c>
      <c r="AZ19" s="923">
        <f t="shared" si="17"/>
        <v>144</v>
      </c>
      <c r="BA19" s="923">
        <f t="shared" si="18"/>
        <v>0</v>
      </c>
      <c r="BB19" s="923">
        <f t="shared" si="19"/>
        <v>582</v>
      </c>
      <c r="BC19" s="923">
        <f>+VLOOKUP($B19,GUM!$C$14:$AD$49,27,0)</f>
        <v>384</v>
      </c>
      <c r="BD19" s="923">
        <f t="shared" si="20"/>
        <v>-50</v>
      </c>
      <c r="BE19" s="927"/>
      <c r="BF19" s="1011" t="e">
        <f>+#REF!*#REF!</f>
        <v>#REF!</v>
      </c>
      <c r="BG19" s="1011" t="e">
        <f t="shared" si="1"/>
        <v>#N/A</v>
      </c>
      <c r="BH19" s="1011">
        <f t="shared" si="2"/>
        <v>0</v>
      </c>
      <c r="BI19" s="1011">
        <f t="shared" si="3"/>
        <v>0</v>
      </c>
      <c r="BJ19" s="1011">
        <f t="shared" si="4"/>
        <v>0</v>
      </c>
      <c r="BK19" s="1129" t="e">
        <f>BK18+1</f>
        <v>#REF!</v>
      </c>
    </row>
    <row r="20" spans="1:63" s="1129" customFormat="1" ht="15" customHeight="1" thickBot="1">
      <c r="A20" s="1596" t="s">
        <v>168</v>
      </c>
      <c r="B20" s="1219" t="str">
        <f>+GUM!C26</f>
        <v>82116-0ZW80</v>
      </c>
      <c r="C20" s="964" t="str">
        <f>GUM!D26</f>
        <v>A 0101</v>
      </c>
      <c r="D20" s="870"/>
      <c r="E20" s="868"/>
      <c r="F20" s="868"/>
      <c r="G20" s="868"/>
      <c r="H20" s="868"/>
      <c r="I20" s="868"/>
      <c r="J20" s="868"/>
      <c r="K20" s="868"/>
      <c r="L20" s="944"/>
      <c r="M20" s="787">
        <f>VLOOKUP($B20,[1]Sheet1!$B$23:$AG$80,9,0)</f>
        <v>0</v>
      </c>
      <c r="N20" s="785">
        <f>VLOOKUP($B20,[1]Sheet1!$B$23:$AG$80,10,0)</f>
        <v>0</v>
      </c>
      <c r="O20" s="785">
        <f>VLOOKUP($B20,[1]Sheet1!$B$23:$AG$80,11,0)</f>
        <v>0</v>
      </c>
      <c r="P20" s="785">
        <f>VLOOKUP($B20,[1]Sheet1!$B$23:$AG$80,12,0)</f>
        <v>0</v>
      </c>
      <c r="Q20" s="785">
        <f>VLOOKUP($B20,[1]Sheet1!$B$23:$AG$80,13,0)</f>
        <v>0</v>
      </c>
      <c r="R20" s="868">
        <f t="shared" si="6"/>
        <v>0</v>
      </c>
      <c r="S20" s="868">
        <f>+VLOOKUP($B20,GUM!$C$14:$AD$49,15,0)</f>
        <v>0</v>
      </c>
      <c r="T20" s="868">
        <f t="shared" si="7"/>
        <v>0</v>
      </c>
      <c r="U20" s="939"/>
      <c r="V20" s="789">
        <f>VLOOKUP($B20,[1]Sheet1!$B$23:$AG$80,15,0)</f>
        <v>0</v>
      </c>
      <c r="W20" s="785">
        <f>VLOOKUP($B20,[1]Sheet1!$B$23:$AG$80,16,0)</f>
        <v>0</v>
      </c>
      <c r="X20" s="785">
        <f>VLOOKUP($B20,[1]Sheet1!$B$23:$AG$80,17,0)</f>
        <v>0</v>
      </c>
      <c r="Y20" s="785">
        <f>VLOOKUP($B20,[1]Sheet1!$B$23:$AG$80,18,0)</f>
        <v>0</v>
      </c>
      <c r="Z20" s="785">
        <f>VLOOKUP($B20,[1]Sheet1!$B$23:$AG$80,19,0)</f>
        <v>0</v>
      </c>
      <c r="AA20" s="868">
        <f t="shared" si="8"/>
        <v>0</v>
      </c>
      <c r="AB20" s="868">
        <f>+VLOOKUP($B20,GUM!$C$14:$AD$49,18,0)</f>
        <v>0</v>
      </c>
      <c r="AC20" s="868">
        <f t="shared" si="9"/>
        <v>0</v>
      </c>
      <c r="AD20" s="940"/>
      <c r="AE20" s="789">
        <f>VLOOKUP($B20,[1]Sheet1!$B$23:$AG$80,21,0)</f>
        <v>0</v>
      </c>
      <c r="AF20" s="785">
        <f>VLOOKUP($B20,[1]Sheet1!$B$23:$AG$80,22,0)</f>
        <v>0</v>
      </c>
      <c r="AG20" s="785">
        <f>VLOOKUP($B20,[1]Sheet1!$B$23:$AG$80,23,0)</f>
        <v>0</v>
      </c>
      <c r="AH20" s="785">
        <f>VLOOKUP($B20,[1]Sheet1!$B$23:$AG$80,24,0)</f>
        <v>0</v>
      </c>
      <c r="AI20" s="785">
        <f>VLOOKUP($B20,[1]Sheet1!$B$23:$AG$80,25,0)</f>
        <v>0</v>
      </c>
      <c r="AJ20" s="868">
        <f t="shared" si="10"/>
        <v>0</v>
      </c>
      <c r="AK20" s="868">
        <f>+VLOOKUP($B20,GUM!$C$14:$AD$49,21,0)</f>
        <v>0</v>
      </c>
      <c r="AL20" s="868">
        <f t="shared" si="11"/>
        <v>0</v>
      </c>
      <c r="AM20" s="940"/>
      <c r="AN20" s="938">
        <f>VLOOKUP($B20,[1]Sheet1!$B$23:$AG$80,27,0)</f>
        <v>0</v>
      </c>
      <c r="AO20" s="868">
        <f>VLOOKUP($B20,[1]Sheet1!$B$23:$AG$80,28,0)</f>
        <v>0</v>
      </c>
      <c r="AP20" s="868">
        <f>VLOOKUP($B20,[1]Sheet1!$B$23:$AG$80,29,0)</f>
        <v>0</v>
      </c>
      <c r="AQ20" s="785">
        <f>VLOOKUP($B20,[1]Sheet1!$B$23:$AG$80,30,0)</f>
        <v>0</v>
      </c>
      <c r="AR20" s="785">
        <f>VLOOKUP($B20,[1]Sheet1!$B$23:$AG$80,31,0)</f>
        <v>0</v>
      </c>
      <c r="AS20" s="868">
        <f t="shared" si="12"/>
        <v>0</v>
      </c>
      <c r="AT20" s="868">
        <f>+VLOOKUP($B20,GUM!$C$14:$AD$49,24,0)</f>
        <v>0</v>
      </c>
      <c r="AU20" s="868">
        <f t="shared" si="13"/>
        <v>0</v>
      </c>
      <c r="AV20" s="944"/>
      <c r="AW20" s="938">
        <f t="shared" si="14"/>
        <v>0</v>
      </c>
      <c r="AX20" s="868">
        <f t="shared" si="15"/>
        <v>0</v>
      </c>
      <c r="AY20" s="868">
        <f t="shared" si="16"/>
        <v>0</v>
      </c>
      <c r="AZ20" s="868">
        <f t="shared" si="17"/>
        <v>0</v>
      </c>
      <c r="BA20" s="868">
        <f t="shared" si="18"/>
        <v>0</v>
      </c>
      <c r="BB20" s="868">
        <f t="shared" si="19"/>
        <v>0</v>
      </c>
      <c r="BC20" s="868">
        <f>+VLOOKUP($B20,GUM!$C$14:$AD$49,27,0)</f>
        <v>0</v>
      </c>
      <c r="BD20" s="868">
        <f t="shared" si="20"/>
        <v>0</v>
      </c>
      <c r="BE20" s="940"/>
      <c r="BF20" s="1011" t="e">
        <f>+#REF!*#REF!</f>
        <v>#REF!</v>
      </c>
      <c r="BG20" s="1011" t="e">
        <f t="shared" si="1"/>
        <v>#N/A</v>
      </c>
      <c r="BH20" s="1011">
        <f t="shared" si="2"/>
        <v>0</v>
      </c>
      <c r="BI20" s="1011">
        <f t="shared" si="3"/>
        <v>0</v>
      </c>
      <c r="BJ20" s="1011">
        <f t="shared" si="4"/>
        <v>0</v>
      </c>
      <c r="BK20" s="1129" t="e">
        <f>BK18+1</f>
        <v>#REF!</v>
      </c>
    </row>
    <row r="21" spans="1:63" s="1168" customFormat="1" ht="15.75" customHeight="1" thickBot="1">
      <c r="A21" s="1597"/>
      <c r="B21" s="1219" t="str">
        <f>+GUM!C27</f>
        <v>82116-0ZW90</v>
      </c>
      <c r="C21" s="964" t="str">
        <f>GUM!D27</f>
        <v>A 0101</v>
      </c>
      <c r="D21" s="870"/>
      <c r="E21" s="868"/>
      <c r="F21" s="868"/>
      <c r="G21" s="868"/>
      <c r="H21" s="868"/>
      <c r="I21" s="868"/>
      <c r="J21" s="868"/>
      <c r="K21" s="868"/>
      <c r="L21" s="944"/>
      <c r="M21" s="787">
        <f>VLOOKUP($B21,[1]Sheet1!$B$23:$AG$80,9,0)</f>
        <v>90</v>
      </c>
      <c r="N21" s="785">
        <f>VLOOKUP($B21,[1]Sheet1!$B$23:$AG$80,10,0)</f>
        <v>90</v>
      </c>
      <c r="O21" s="785">
        <f>VLOOKUP($B21,[1]Sheet1!$B$23:$AG$80,11,0)</f>
        <v>90</v>
      </c>
      <c r="P21" s="785">
        <f>VLOOKUP($B21,[1]Sheet1!$B$23:$AG$80,12,0)</f>
        <v>90</v>
      </c>
      <c r="Q21" s="785">
        <f>VLOOKUP($B21,[1]Sheet1!$B$23:$AG$80,13,0)</f>
        <v>0</v>
      </c>
      <c r="R21" s="868">
        <f t="shared" si="6"/>
        <v>360</v>
      </c>
      <c r="S21" s="868">
        <f>+VLOOKUP($B21,GUM!$C$14:$AD$49,15,0)</f>
        <v>402</v>
      </c>
      <c r="T21" s="868">
        <f t="shared" si="7"/>
        <v>9</v>
      </c>
      <c r="U21" s="940"/>
      <c r="V21" s="789">
        <f>VLOOKUP($B21,[1]Sheet1!$B$23:$AG$80,15,0)</f>
        <v>114</v>
      </c>
      <c r="W21" s="785">
        <f>VLOOKUP($B21,[1]Sheet1!$B$23:$AG$80,16,0)</f>
        <v>114</v>
      </c>
      <c r="X21" s="785">
        <f>VLOOKUP($B21,[1]Sheet1!$B$23:$AG$80,17,0)</f>
        <v>114</v>
      </c>
      <c r="Y21" s="785">
        <f>VLOOKUP($B21,[1]Sheet1!$B$23:$AG$80,18,0)</f>
        <v>108</v>
      </c>
      <c r="Z21" s="785">
        <f>VLOOKUP($B21,[1]Sheet1!$B$23:$AG$80,19,0)</f>
        <v>0</v>
      </c>
      <c r="AA21" s="868">
        <f t="shared" si="8"/>
        <v>450</v>
      </c>
      <c r="AB21" s="868">
        <f>+VLOOKUP($B21,GUM!$C$14:$AD$49,18,0)</f>
        <v>426</v>
      </c>
      <c r="AC21" s="868">
        <f t="shared" si="9"/>
        <v>-6</v>
      </c>
      <c r="AD21" s="940"/>
      <c r="AE21" s="789">
        <f>VLOOKUP($B21,[1]Sheet1!$B$23:$AG$80,21,0)</f>
        <v>102</v>
      </c>
      <c r="AF21" s="785">
        <f>VLOOKUP($B21,[1]Sheet1!$B$23:$AG$80,22,0)</f>
        <v>102</v>
      </c>
      <c r="AG21" s="785">
        <f>VLOOKUP($B21,[1]Sheet1!$B$23:$AG$80,23,0)</f>
        <v>102</v>
      </c>
      <c r="AH21" s="785">
        <f>VLOOKUP($B21,[1]Sheet1!$B$23:$AG$80,24,0)</f>
        <v>96</v>
      </c>
      <c r="AI21" s="785">
        <f>VLOOKUP($B21,[1]Sheet1!$B$23:$AG$80,25,0)</f>
        <v>96</v>
      </c>
      <c r="AJ21" s="868">
        <f t="shared" si="10"/>
        <v>498</v>
      </c>
      <c r="AK21" s="868">
        <f>+VLOOKUP($B21,GUM!$C$14:$AD$49,21,0)</f>
        <v>390</v>
      </c>
      <c r="AL21" s="868">
        <f t="shared" si="11"/>
        <v>-27</v>
      </c>
      <c r="AM21" s="940"/>
      <c r="AN21" s="938">
        <f>VLOOKUP($B21,[1]Sheet1!$B$23:$AG$80,27,0)</f>
        <v>102</v>
      </c>
      <c r="AO21" s="868">
        <f>VLOOKUP($B21,[1]Sheet1!$B$23:$AG$80,28,0)</f>
        <v>96</v>
      </c>
      <c r="AP21" s="868">
        <f>VLOOKUP($B21,[1]Sheet1!$B$23:$AG$80,29,0)</f>
        <v>96</v>
      </c>
      <c r="AQ21" s="785">
        <f>VLOOKUP($B21,[1]Sheet1!$B$23:$AG$80,30,0)</f>
        <v>96</v>
      </c>
      <c r="AR21" s="785">
        <f>VLOOKUP($B21,[1]Sheet1!$B$23:$AG$80,31,0)</f>
        <v>0</v>
      </c>
      <c r="AS21" s="868">
        <f t="shared" si="12"/>
        <v>390</v>
      </c>
      <c r="AT21" s="868">
        <f>+VLOOKUP($B21,GUM!$C$14:$AD$49,24,0)</f>
        <v>438</v>
      </c>
      <c r="AU21" s="868">
        <f t="shared" si="13"/>
        <v>12</v>
      </c>
      <c r="AV21" s="944"/>
      <c r="AW21" s="938">
        <f t="shared" si="14"/>
        <v>102</v>
      </c>
      <c r="AX21" s="868">
        <f t="shared" si="15"/>
        <v>96</v>
      </c>
      <c r="AY21" s="868">
        <f t="shared" si="16"/>
        <v>96</v>
      </c>
      <c r="AZ21" s="868">
        <f t="shared" si="17"/>
        <v>96</v>
      </c>
      <c r="BA21" s="868">
        <f t="shared" si="18"/>
        <v>0</v>
      </c>
      <c r="BB21" s="868">
        <f t="shared" si="19"/>
        <v>390</v>
      </c>
      <c r="BC21" s="868">
        <f>+VLOOKUP($B21,GUM!$C$14:$AD$49,27,0)</f>
        <v>342</v>
      </c>
      <c r="BD21" s="868">
        <f t="shared" si="20"/>
        <v>-12</v>
      </c>
      <c r="BE21" s="940"/>
      <c r="BF21" s="1167" t="e">
        <f>+#REF!*#REF!</f>
        <v>#REF!</v>
      </c>
      <c r="BG21" s="1167" t="e">
        <f t="shared" si="1"/>
        <v>#N/A</v>
      </c>
      <c r="BH21" s="1167">
        <f t="shared" si="2"/>
        <v>0</v>
      </c>
      <c r="BI21" s="1167">
        <f t="shared" si="3"/>
        <v>0</v>
      </c>
      <c r="BJ21" s="1167">
        <f t="shared" si="4"/>
        <v>0</v>
      </c>
      <c r="BK21" s="1168" t="e">
        <f>BK20+1</f>
        <v>#REF!</v>
      </c>
    </row>
    <row r="22" spans="1:63" s="1174" customFormat="1" ht="16.5" customHeight="1">
      <c r="A22" s="1597"/>
      <c r="B22" s="1219" t="str">
        <f>+GUM!C28</f>
        <v>82111-FE460</v>
      </c>
      <c r="C22" s="936" t="str">
        <f>GUM!D28</f>
        <v>0001</v>
      </c>
      <c r="D22" s="870"/>
      <c r="E22" s="870"/>
      <c r="F22" s="870"/>
      <c r="G22" s="870"/>
      <c r="H22" s="870"/>
      <c r="I22" s="868"/>
      <c r="J22" s="868"/>
      <c r="K22" s="868"/>
      <c r="L22" s="944"/>
      <c r="M22" s="787">
        <f>VLOOKUP($B22,[1]Sheet1!$B$23:$AG$80,9,0)</f>
        <v>18</v>
      </c>
      <c r="N22" s="785">
        <f>VLOOKUP($B22,[1]Sheet1!$B$23:$AG$80,10,0)</f>
        <v>12</v>
      </c>
      <c r="O22" s="785">
        <f>VLOOKUP($B22,[1]Sheet1!$B$23:$AG$80,11,0)</f>
        <v>0</v>
      </c>
      <c r="P22" s="785">
        <f>VLOOKUP($B22,[1]Sheet1!$B$23:$AG$80,12,0)</f>
        <v>0</v>
      </c>
      <c r="Q22" s="785">
        <f>VLOOKUP($B22,[1]Sheet1!$B$23:$AG$80,13,0)</f>
        <v>0</v>
      </c>
      <c r="R22" s="868">
        <f t="shared" si="6"/>
        <v>30</v>
      </c>
      <c r="S22" s="868">
        <f>+VLOOKUP($B22,GUM!$C$14:$AD$49,15,0)</f>
        <v>12</v>
      </c>
      <c r="T22" s="868">
        <f t="shared" si="7"/>
        <v>-4</v>
      </c>
      <c r="U22" s="940"/>
      <c r="V22" s="789">
        <f>VLOOKUP($B22,[1]Sheet1!$B$23:$AG$80,15,0)</f>
        <v>18</v>
      </c>
      <c r="W22" s="785">
        <f>VLOOKUP($B22,[1]Sheet1!$B$23:$AG$80,16,0)</f>
        <v>18</v>
      </c>
      <c r="X22" s="785">
        <f>VLOOKUP($B22,[1]Sheet1!$B$23:$AG$80,17,0)</f>
        <v>0</v>
      </c>
      <c r="Y22" s="785">
        <f>VLOOKUP($B22,[1]Sheet1!$B$23:$AG$80,18,0)</f>
        <v>0</v>
      </c>
      <c r="Z22" s="785">
        <f>VLOOKUP($B22,[1]Sheet1!$B$23:$AG$80,19,0)</f>
        <v>0</v>
      </c>
      <c r="AA22" s="868">
        <f t="shared" si="8"/>
        <v>36</v>
      </c>
      <c r="AB22" s="868">
        <f>+VLOOKUP($B22,GUM!$C$14:$AD$49,18,0)</f>
        <v>36</v>
      </c>
      <c r="AC22" s="868">
        <f t="shared" si="9"/>
        <v>0</v>
      </c>
      <c r="AD22" s="940"/>
      <c r="AE22" s="789">
        <f>VLOOKUP($B22,[1]Sheet1!$B$23:$AG$80,21,0)</f>
        <v>18</v>
      </c>
      <c r="AF22" s="785">
        <f>VLOOKUP($B22,[1]Sheet1!$B$23:$AG$80,22,0)</f>
        <v>18</v>
      </c>
      <c r="AG22" s="785">
        <f>VLOOKUP($B22,[1]Sheet1!$B$23:$AG$80,23,0)</f>
        <v>0</v>
      </c>
      <c r="AH22" s="785">
        <f>VLOOKUP($B22,[1]Sheet1!$B$23:$AG$80,24,0)</f>
        <v>0</v>
      </c>
      <c r="AI22" s="785">
        <f>VLOOKUP($B22,[1]Sheet1!$B$23:$AG$80,25,0)</f>
        <v>0</v>
      </c>
      <c r="AJ22" s="868">
        <f t="shared" si="10"/>
        <v>36</v>
      </c>
      <c r="AK22" s="868">
        <f>+VLOOKUP($B22,GUM!$C$14:$AD$49,21,0)</f>
        <v>36</v>
      </c>
      <c r="AL22" s="868">
        <f t="shared" si="11"/>
        <v>0</v>
      </c>
      <c r="AM22" s="940"/>
      <c r="AN22" s="938">
        <f>VLOOKUP($B22,[1]Sheet1!$B$23:$AG$80,27,0)</f>
        <v>18</v>
      </c>
      <c r="AO22" s="868">
        <f>VLOOKUP($B22,[1]Sheet1!$B$23:$AG$80,28,0)</f>
        <v>12</v>
      </c>
      <c r="AP22" s="868">
        <f>VLOOKUP($B22,[1]Sheet1!$B$23:$AG$80,29,0)</f>
        <v>0</v>
      </c>
      <c r="AQ22" s="785">
        <f>VLOOKUP($B22,[1]Sheet1!$B$23:$AG$80,30,0)</f>
        <v>0</v>
      </c>
      <c r="AR22" s="785">
        <f>VLOOKUP($B22,[1]Sheet1!$B$23:$AG$80,31,0)</f>
        <v>0</v>
      </c>
      <c r="AS22" s="868">
        <f t="shared" si="12"/>
        <v>30</v>
      </c>
      <c r="AT22" s="868">
        <f>+VLOOKUP($B22,GUM!$C$14:$AD$49,24,0)</f>
        <v>30</v>
      </c>
      <c r="AU22" s="868">
        <f t="shared" si="13"/>
        <v>0</v>
      </c>
      <c r="AV22" s="944"/>
      <c r="AW22" s="867">
        <f t="shared" si="14"/>
        <v>18</v>
      </c>
      <c r="AX22" s="944">
        <f t="shared" si="15"/>
        <v>12</v>
      </c>
      <c r="AY22" s="944">
        <f t="shared" si="16"/>
        <v>0</v>
      </c>
      <c r="AZ22" s="944">
        <f t="shared" si="17"/>
        <v>0</v>
      </c>
      <c r="BA22" s="868">
        <f t="shared" si="18"/>
        <v>0</v>
      </c>
      <c r="BB22" s="868">
        <f t="shared" si="19"/>
        <v>30</v>
      </c>
      <c r="BC22" s="868">
        <f>+VLOOKUP($B22,GUM!$C$14:$AD$49,27,0)</f>
        <v>30</v>
      </c>
      <c r="BD22" s="868">
        <f t="shared" si="20"/>
        <v>0</v>
      </c>
      <c r="BE22" s="940"/>
      <c r="BF22" s="862" t="e">
        <f>+#REF!*#REF!</f>
        <v>#REF!</v>
      </c>
      <c r="BG22" s="862" t="e">
        <f t="shared" ref="BG22:BG33" si="21">+D22*D$8</f>
        <v>#N/A</v>
      </c>
      <c r="BH22" s="862">
        <f t="shared" ref="BH22:BH33" si="22">+M22*M$8</f>
        <v>0</v>
      </c>
      <c r="BI22" s="862">
        <f t="shared" ref="BI22:BI33" si="23">+V22*V$8</f>
        <v>0</v>
      </c>
      <c r="BJ22" s="862">
        <f t="shared" ref="BJ22:BJ33" si="24">+AE22*AE$8</f>
        <v>0</v>
      </c>
      <c r="BK22" s="1174">
        <v>1</v>
      </c>
    </row>
    <row r="23" spans="1:63" s="762" customFormat="1" ht="15" customHeight="1">
      <c r="A23" s="1597"/>
      <c r="B23" s="1219" t="str">
        <f>+GUM!C29</f>
        <v>82111-FE470</v>
      </c>
      <c r="C23" s="964" t="str">
        <f>GUM!D29</f>
        <v>0001</v>
      </c>
      <c r="D23" s="870"/>
      <c r="E23" s="868"/>
      <c r="F23" s="868"/>
      <c r="G23" s="868"/>
      <c r="H23" s="868"/>
      <c r="I23" s="868"/>
      <c r="J23" s="868"/>
      <c r="K23" s="868"/>
      <c r="L23" s="944"/>
      <c r="M23" s="787">
        <f>VLOOKUP($B23,[1]Sheet1!$B$23:$AG$80,9,0)</f>
        <v>48</v>
      </c>
      <c r="N23" s="785">
        <f>VLOOKUP($B23,[1]Sheet1!$B$23:$AG$80,10,0)</f>
        <v>48</v>
      </c>
      <c r="O23" s="785">
        <f>VLOOKUP($B23,[1]Sheet1!$B$23:$AG$80,11,0)</f>
        <v>42</v>
      </c>
      <c r="P23" s="785">
        <f>VLOOKUP($B23,[1]Sheet1!$B$23:$AG$80,12,0)</f>
        <v>42</v>
      </c>
      <c r="Q23" s="785">
        <f>VLOOKUP($B23,[1]Sheet1!$B$23:$AG$80,13,0)</f>
        <v>0</v>
      </c>
      <c r="R23" s="868">
        <f t="shared" si="6"/>
        <v>180</v>
      </c>
      <c r="S23" s="868">
        <f>+VLOOKUP($B23,GUM!$C$14:$AD$49,15,0)</f>
        <v>228</v>
      </c>
      <c r="T23" s="868">
        <f t="shared" si="7"/>
        <v>10</v>
      </c>
      <c r="U23" s="940"/>
      <c r="V23" s="789">
        <f>VLOOKUP($B23,[1]Sheet1!$B$23:$AG$80,15,0)</f>
        <v>60</v>
      </c>
      <c r="W23" s="785">
        <f>VLOOKUP($B23,[1]Sheet1!$B$23:$AG$80,16,0)</f>
        <v>60</v>
      </c>
      <c r="X23" s="785">
        <f>VLOOKUP($B23,[1]Sheet1!$B$23:$AG$80,17,0)</f>
        <v>54</v>
      </c>
      <c r="Y23" s="785">
        <f>VLOOKUP($B23,[1]Sheet1!$B$23:$AG$80,18,0)</f>
        <v>54</v>
      </c>
      <c r="Z23" s="785">
        <f>VLOOKUP($B23,[1]Sheet1!$B$23:$AG$80,19,0)</f>
        <v>0</v>
      </c>
      <c r="AA23" s="868">
        <f t="shared" si="8"/>
        <v>228</v>
      </c>
      <c r="AB23" s="868">
        <f>+VLOOKUP($B23,GUM!$C$14:$AD$49,18,0)</f>
        <v>180</v>
      </c>
      <c r="AC23" s="868">
        <f t="shared" si="9"/>
        <v>-12</v>
      </c>
      <c r="AD23" s="940"/>
      <c r="AE23" s="789">
        <f>VLOOKUP($B23,[1]Sheet1!$B$23:$AG$80,21,0)</f>
        <v>42</v>
      </c>
      <c r="AF23" s="785">
        <f>VLOOKUP($B23,[1]Sheet1!$B$23:$AG$80,22,0)</f>
        <v>42</v>
      </c>
      <c r="AG23" s="785">
        <f>VLOOKUP($B23,[1]Sheet1!$B$23:$AG$80,23,0)</f>
        <v>42</v>
      </c>
      <c r="AH23" s="785">
        <f>VLOOKUP($B23,[1]Sheet1!$B$23:$AG$80,24,0)</f>
        <v>42</v>
      </c>
      <c r="AI23" s="785">
        <f>VLOOKUP($B23,[1]Sheet1!$B$23:$AG$80,25,0)</f>
        <v>42</v>
      </c>
      <c r="AJ23" s="868">
        <f t="shared" si="10"/>
        <v>210</v>
      </c>
      <c r="AK23" s="868">
        <f>+VLOOKUP($B23,GUM!$C$14:$AD$49,21,0)</f>
        <v>162</v>
      </c>
      <c r="AL23" s="868">
        <f t="shared" si="11"/>
        <v>-12</v>
      </c>
      <c r="AM23" s="940"/>
      <c r="AN23" s="938">
        <f>VLOOKUP($B23,[1]Sheet1!$B$23:$AG$80,27,0)</f>
        <v>48</v>
      </c>
      <c r="AO23" s="868">
        <f>VLOOKUP($B23,[1]Sheet1!$B$23:$AG$80,28,0)</f>
        <v>48</v>
      </c>
      <c r="AP23" s="868">
        <f>VLOOKUP($B23,[1]Sheet1!$B$23:$AG$80,29,0)</f>
        <v>48</v>
      </c>
      <c r="AQ23" s="785">
        <f>VLOOKUP($B23,[1]Sheet1!$B$23:$AG$80,30,0)</f>
        <v>42</v>
      </c>
      <c r="AR23" s="785">
        <f>VLOOKUP($B23,[1]Sheet1!$B$23:$AG$80,31,0)</f>
        <v>0</v>
      </c>
      <c r="AS23" s="868">
        <f t="shared" si="12"/>
        <v>186</v>
      </c>
      <c r="AT23" s="868">
        <f>+VLOOKUP($B23,GUM!$C$14:$AD$49,24,0)</f>
        <v>186</v>
      </c>
      <c r="AU23" s="868">
        <f t="shared" si="13"/>
        <v>0</v>
      </c>
      <c r="AV23" s="944"/>
      <c r="AW23" s="1000">
        <f t="shared" si="14"/>
        <v>48</v>
      </c>
      <c r="AX23" s="1001">
        <f t="shared" si="15"/>
        <v>48</v>
      </c>
      <c r="AY23" s="1001">
        <f t="shared" si="16"/>
        <v>48</v>
      </c>
      <c r="AZ23" s="1001">
        <f t="shared" si="17"/>
        <v>42</v>
      </c>
      <c r="BA23" s="1001">
        <f t="shared" si="18"/>
        <v>0</v>
      </c>
      <c r="BB23" s="868">
        <f t="shared" si="19"/>
        <v>186</v>
      </c>
      <c r="BC23" s="868">
        <f>+VLOOKUP($B23,GUM!$C$14:$AD$49,27,0)</f>
        <v>186</v>
      </c>
      <c r="BD23" s="868">
        <f t="shared" si="20"/>
        <v>0</v>
      </c>
      <c r="BE23" s="940"/>
      <c r="BF23" s="590" t="e">
        <f>+#REF!*#REF!</f>
        <v>#REF!</v>
      </c>
      <c r="BG23" s="590" t="e">
        <f t="shared" si="21"/>
        <v>#N/A</v>
      </c>
      <c r="BH23" s="590">
        <f t="shared" si="22"/>
        <v>0</v>
      </c>
      <c r="BI23" s="590">
        <f t="shared" si="23"/>
        <v>0</v>
      </c>
      <c r="BJ23" s="590">
        <f t="shared" si="24"/>
        <v>0</v>
      </c>
      <c r="BK23" s="762">
        <f>BK22+1</f>
        <v>2</v>
      </c>
    </row>
    <row r="24" spans="1:63" s="1129" customFormat="1" ht="15" customHeight="1" thickBot="1">
      <c r="A24" s="1598"/>
      <c r="B24" s="1220" t="str">
        <f>+GUM!C30</f>
        <v>82116-0ZX90</v>
      </c>
      <c r="C24" s="894" t="str">
        <f>GUM!D30</f>
        <v>A 0101</v>
      </c>
      <c r="D24" s="976"/>
      <c r="E24" s="974"/>
      <c r="F24" s="974"/>
      <c r="G24" s="974"/>
      <c r="H24" s="974"/>
      <c r="I24" s="974"/>
      <c r="J24" s="974"/>
      <c r="K24" s="974"/>
      <c r="L24" s="1013"/>
      <c r="M24" s="815">
        <f>VLOOKUP($B24,[1]Sheet1!$B$23:$AG$80,9,0)</f>
        <v>18</v>
      </c>
      <c r="N24" s="813">
        <f>VLOOKUP($B24,[1]Sheet1!$B$23:$AG$80,10,0)</f>
        <v>12</v>
      </c>
      <c r="O24" s="813">
        <f>VLOOKUP($B24,[1]Sheet1!$B$23:$AG$80,11,0)</f>
        <v>0</v>
      </c>
      <c r="P24" s="813">
        <f>VLOOKUP($B24,[1]Sheet1!$B$23:$AG$80,12,0)</f>
        <v>0</v>
      </c>
      <c r="Q24" s="813">
        <f>VLOOKUP($B24,[1]Sheet1!$B$23:$AG$80,13,0)</f>
        <v>0</v>
      </c>
      <c r="R24" s="974">
        <f t="shared" si="6"/>
        <v>30</v>
      </c>
      <c r="S24" s="974">
        <f>+VLOOKUP($B24,GUM!$C$14:$AD$49,15,0)</f>
        <v>30</v>
      </c>
      <c r="T24" s="974">
        <f t="shared" si="7"/>
        <v>0</v>
      </c>
      <c r="U24" s="1014"/>
      <c r="V24" s="819">
        <f>VLOOKUP($B24,[1]Sheet1!$B$23:$AG$80,15,0)</f>
        <v>18</v>
      </c>
      <c r="W24" s="813">
        <f>VLOOKUP($B24,[1]Sheet1!$B$23:$AG$80,16,0)</f>
        <v>12</v>
      </c>
      <c r="X24" s="813">
        <f>VLOOKUP($B24,[1]Sheet1!$B$23:$AG$80,17,0)</f>
        <v>0</v>
      </c>
      <c r="Y24" s="813">
        <f>VLOOKUP($B24,[1]Sheet1!$B$23:$AG$80,18,0)</f>
        <v>0</v>
      </c>
      <c r="Z24" s="813">
        <f>VLOOKUP($B24,[1]Sheet1!$B$23:$AG$80,19,0)</f>
        <v>0</v>
      </c>
      <c r="AA24" s="974">
        <f t="shared" si="8"/>
        <v>30</v>
      </c>
      <c r="AB24" s="974">
        <f>+VLOOKUP($B24,GUM!$C$14:$AD$49,18,0)</f>
        <v>30</v>
      </c>
      <c r="AC24" s="974">
        <f t="shared" si="9"/>
        <v>0</v>
      </c>
      <c r="AD24" s="1014"/>
      <c r="AE24" s="819">
        <f>VLOOKUP($B24,[1]Sheet1!$B$23:$AG$80,21,0)</f>
        <v>18</v>
      </c>
      <c r="AF24" s="974">
        <f>VLOOKUP($B24,[1]Sheet1!$B$23:$AG$80,22,0)</f>
        <v>12</v>
      </c>
      <c r="AG24" s="974">
        <f>VLOOKUP($B24,[1]Sheet1!$B$23:$AG$80,23,0)</f>
        <v>0</v>
      </c>
      <c r="AH24" s="813">
        <f>VLOOKUP($B24,[1]Sheet1!$B$23:$AG$80,24,0)</f>
        <v>0</v>
      </c>
      <c r="AI24" s="813">
        <f>VLOOKUP($B24,[1]Sheet1!$B$23:$AG$80,25,0)</f>
        <v>0</v>
      </c>
      <c r="AJ24" s="974">
        <f t="shared" si="10"/>
        <v>30</v>
      </c>
      <c r="AK24" s="974">
        <f>+VLOOKUP($B24,GUM!$C$14:$AD$49,21,0)</f>
        <v>30</v>
      </c>
      <c r="AL24" s="974">
        <f t="shared" si="11"/>
        <v>0</v>
      </c>
      <c r="AM24" s="1014"/>
      <c r="AN24" s="1015">
        <f>VLOOKUP($B24,[1]Sheet1!$B$23:$AG$80,27,0)</f>
        <v>12</v>
      </c>
      <c r="AO24" s="974">
        <f>VLOOKUP($B24,[1]Sheet1!$B$23:$AG$80,28,0)</f>
        <v>12</v>
      </c>
      <c r="AP24" s="974">
        <f>VLOOKUP($B24,[1]Sheet1!$B$23:$AG$80,29,0)</f>
        <v>0</v>
      </c>
      <c r="AQ24" s="813">
        <f>VLOOKUP($B24,[1]Sheet1!$B$23:$AG$80,30,0)</f>
        <v>0</v>
      </c>
      <c r="AR24" s="813">
        <f>VLOOKUP($B24,[1]Sheet1!$B$23:$AG$80,31,0)</f>
        <v>0</v>
      </c>
      <c r="AS24" s="974">
        <f t="shared" si="12"/>
        <v>24</v>
      </c>
      <c r="AT24" s="974">
        <f>+VLOOKUP($B24,GUM!$C$14:$AD$49,24,0)</f>
        <v>24</v>
      </c>
      <c r="AU24" s="974">
        <f t="shared" si="13"/>
        <v>0</v>
      </c>
      <c r="AV24" s="1013"/>
      <c r="AW24" s="949">
        <f t="shared" si="14"/>
        <v>12</v>
      </c>
      <c r="AX24" s="883">
        <f t="shared" si="15"/>
        <v>12</v>
      </c>
      <c r="AY24" s="883">
        <f t="shared" si="16"/>
        <v>0</v>
      </c>
      <c r="AZ24" s="883">
        <f t="shared" si="17"/>
        <v>0</v>
      </c>
      <c r="BA24" s="883">
        <f t="shared" si="18"/>
        <v>0</v>
      </c>
      <c r="BB24" s="974">
        <f t="shared" si="19"/>
        <v>24</v>
      </c>
      <c r="BC24" s="974">
        <f>+VLOOKUP($B24,GUM!$C$14:$AD$49,27,0)</f>
        <v>24</v>
      </c>
      <c r="BD24" s="974">
        <f t="shared" si="20"/>
        <v>0</v>
      </c>
      <c r="BE24" s="1014"/>
      <c r="BF24" s="1011" t="e">
        <f>+#REF!*#REF!</f>
        <v>#REF!</v>
      </c>
      <c r="BG24" s="1011" t="e">
        <f t="shared" si="21"/>
        <v>#N/A</v>
      </c>
      <c r="BH24" s="1011">
        <f t="shared" si="22"/>
        <v>0</v>
      </c>
      <c r="BI24" s="1011">
        <f t="shared" si="23"/>
        <v>0</v>
      </c>
      <c r="BJ24" s="1011">
        <f t="shared" si="24"/>
        <v>0</v>
      </c>
      <c r="BK24" s="1129">
        <f>BK22+1</f>
        <v>2</v>
      </c>
    </row>
    <row r="25" spans="1:63" s="762" customFormat="1" ht="15" customHeight="1">
      <c r="A25" s="1586" t="s">
        <v>255</v>
      </c>
      <c r="B25" s="1355" t="str">
        <f>+GUM!C31</f>
        <v>82111-FE150</v>
      </c>
      <c r="C25" s="964" t="str">
        <f>GUM!D31</f>
        <v>0001</v>
      </c>
      <c r="D25" s="870"/>
      <c r="E25" s="868"/>
      <c r="F25" s="868"/>
      <c r="G25" s="868"/>
      <c r="H25" s="868"/>
      <c r="I25" s="868"/>
      <c r="J25" s="868"/>
      <c r="K25" s="868"/>
      <c r="L25" s="944"/>
      <c r="M25" s="787">
        <f>VLOOKUP($B25,[1]Sheet1!$B$23:$AG$80,9,0)</f>
        <v>18</v>
      </c>
      <c r="N25" s="785">
        <f>VLOOKUP($B25,[1]Sheet1!$B$23:$AG$80,10,0)</f>
        <v>18</v>
      </c>
      <c r="O25" s="785">
        <f>VLOOKUP($B25,[1]Sheet1!$B$23:$AG$80,11,0)</f>
        <v>12</v>
      </c>
      <c r="P25" s="785">
        <f>VLOOKUP($B25,[1]Sheet1!$B$23:$AG$80,12,0)</f>
        <v>0</v>
      </c>
      <c r="Q25" s="785">
        <f>VLOOKUP($B25,[1]Sheet1!$B$23:$AG$80,13,0)</f>
        <v>0</v>
      </c>
      <c r="R25" s="868">
        <f t="shared" si="6"/>
        <v>48</v>
      </c>
      <c r="S25" s="868">
        <f>+VLOOKUP($B25,GUM!$C$14:$AD$49,15,0)</f>
        <v>48</v>
      </c>
      <c r="T25" s="868">
        <f t="shared" si="7"/>
        <v>0</v>
      </c>
      <c r="U25" s="940"/>
      <c r="V25" s="789">
        <f>VLOOKUP($B25,[1]Sheet1!$B$23:$AG$80,15,0)</f>
        <v>24</v>
      </c>
      <c r="W25" s="785">
        <f>VLOOKUP($B25,[1]Sheet1!$B$23:$AG$80,16,0)</f>
        <v>18</v>
      </c>
      <c r="X25" s="785">
        <f>VLOOKUP($B25,[1]Sheet1!$B$23:$AG$80,17,0)</f>
        <v>0</v>
      </c>
      <c r="Y25" s="785">
        <f>VLOOKUP($B25,[1]Sheet1!$B$23:$AG$80,18,0)</f>
        <v>0</v>
      </c>
      <c r="Z25" s="785">
        <f>VLOOKUP($B25,[1]Sheet1!$B$23:$AG$80,19,0)</f>
        <v>0</v>
      </c>
      <c r="AA25" s="868">
        <f t="shared" si="8"/>
        <v>42</v>
      </c>
      <c r="AB25" s="868">
        <f>+VLOOKUP($B25,GUM!$C$14:$AD$49,18,0)</f>
        <v>42</v>
      </c>
      <c r="AC25" s="868">
        <f t="shared" si="9"/>
        <v>0</v>
      </c>
      <c r="AD25" s="940"/>
      <c r="AE25" s="789">
        <f>VLOOKUP($B25,[1]Sheet1!$B$23:$AG$80,21,0)</f>
        <v>24</v>
      </c>
      <c r="AF25" s="868">
        <f>VLOOKUP($B25,[1]Sheet1!$B$23:$AG$80,22,0)</f>
        <v>18</v>
      </c>
      <c r="AG25" s="868">
        <f>VLOOKUP($B25,[1]Sheet1!$B$23:$AG$80,23,0)</f>
        <v>0</v>
      </c>
      <c r="AH25" s="785">
        <f>VLOOKUP($B25,[1]Sheet1!$B$23:$AG$80,24,0)</f>
        <v>0</v>
      </c>
      <c r="AI25" s="785">
        <f>VLOOKUP($B25,[1]Sheet1!$B$23:$AG$80,25,0)</f>
        <v>0</v>
      </c>
      <c r="AJ25" s="868">
        <f t="shared" si="10"/>
        <v>42</v>
      </c>
      <c r="AK25" s="868">
        <f>+VLOOKUP($B25,GUM!$C$14:$AD$49,21,0)</f>
        <v>42</v>
      </c>
      <c r="AL25" s="868">
        <f t="shared" si="11"/>
        <v>0</v>
      </c>
      <c r="AM25" s="940"/>
      <c r="AN25" s="938">
        <f>VLOOKUP($B25,[1]Sheet1!$B$23:$AG$80,27,0)</f>
        <v>18</v>
      </c>
      <c r="AO25" s="868">
        <f>VLOOKUP($B25,[1]Sheet1!$B$23:$AG$80,28,0)</f>
        <v>12</v>
      </c>
      <c r="AP25" s="868">
        <f>VLOOKUP($B25,[1]Sheet1!$B$23:$AG$80,29,0)</f>
        <v>0</v>
      </c>
      <c r="AQ25" s="785">
        <f>VLOOKUP($B25,[1]Sheet1!$B$23:$AG$80,30,0)</f>
        <v>0</v>
      </c>
      <c r="AR25" s="785">
        <f>VLOOKUP($B25,[1]Sheet1!$B$23:$AG$80,31,0)</f>
        <v>0</v>
      </c>
      <c r="AS25" s="868">
        <f t="shared" si="12"/>
        <v>30</v>
      </c>
      <c r="AT25" s="868">
        <f>+VLOOKUP($B25,GUM!$C$14:$AD$49,24,0)</f>
        <v>30</v>
      </c>
      <c r="AU25" s="868">
        <f t="shared" si="13"/>
        <v>0</v>
      </c>
      <c r="AV25" s="944"/>
      <c r="AW25" s="1000">
        <f t="shared" si="14"/>
        <v>18</v>
      </c>
      <c r="AX25" s="1001">
        <f t="shared" si="15"/>
        <v>12</v>
      </c>
      <c r="AY25" s="1001">
        <f t="shared" si="16"/>
        <v>0</v>
      </c>
      <c r="AZ25" s="1001">
        <f t="shared" si="17"/>
        <v>0</v>
      </c>
      <c r="BA25" s="1001">
        <f t="shared" si="18"/>
        <v>0</v>
      </c>
      <c r="BB25" s="868">
        <f t="shared" si="19"/>
        <v>30</v>
      </c>
      <c r="BC25" s="868">
        <f>+VLOOKUP($B25,GUM!$C$14:$AD$49,27,0)</f>
        <v>30</v>
      </c>
      <c r="BD25" s="868">
        <f t="shared" si="20"/>
        <v>0</v>
      </c>
      <c r="BE25" s="940"/>
      <c r="BF25" s="590" t="e">
        <f>+#REF!*#REF!</f>
        <v>#REF!</v>
      </c>
      <c r="BG25" s="590" t="e">
        <f t="shared" si="21"/>
        <v>#N/A</v>
      </c>
      <c r="BH25" s="590">
        <f t="shared" si="22"/>
        <v>0</v>
      </c>
      <c r="BI25" s="590">
        <f t="shared" si="23"/>
        <v>0</v>
      </c>
      <c r="BJ25" s="590">
        <f t="shared" si="24"/>
        <v>0</v>
      </c>
      <c r="BK25" s="762">
        <f>BK24+1</f>
        <v>3</v>
      </c>
    </row>
    <row r="26" spans="1:63" s="1134" customFormat="1" ht="15" customHeight="1">
      <c r="A26" s="1587"/>
      <c r="B26" s="1356" t="str">
        <f>+GUM!C32</f>
        <v>82111-FE200</v>
      </c>
      <c r="C26" s="658" t="str">
        <f>GUM!D32</f>
        <v>0001</v>
      </c>
      <c r="D26" s="773" t="e">
        <f>+VLOOKUP($B26,[18]Sheet1!$B$8:$AC$55,3,0)</f>
        <v>#N/A</v>
      </c>
      <c r="E26" s="774" t="e">
        <f>+VLOOKUP($B26,[18]Sheet1!$B$8:$AC$55,4,0)</f>
        <v>#N/A</v>
      </c>
      <c r="F26" s="774" t="e">
        <f>+VLOOKUP($B26,[18]Sheet1!$B$8:$AC$55,5,0)</f>
        <v>#N/A</v>
      </c>
      <c r="G26" s="774" t="e">
        <f>+VLOOKUP($B26,[18]Sheet1!$B$8:$AC$55,6,0)</f>
        <v>#N/A</v>
      </c>
      <c r="H26" s="774"/>
      <c r="I26" s="774" t="e">
        <f t="shared" ref="I26:I31" si="25">SUM(D26:H26)</f>
        <v>#N/A</v>
      </c>
      <c r="J26" s="774">
        <f>+VLOOKUP($B26,GUM!C32:AD68,12,0)</f>
        <v>0</v>
      </c>
      <c r="K26" s="774" t="e">
        <f>ROUNDUP((J26-I26)/$D$3,0)</f>
        <v>#N/A</v>
      </c>
      <c r="L26" s="775"/>
      <c r="M26" s="796">
        <f>VLOOKUP($B26,[1]Sheet1!$B$23:$AG$80,9,0)</f>
        <v>0</v>
      </c>
      <c r="N26" s="794">
        <f>VLOOKUP($B26,[1]Sheet1!$B$23:$AG$80,10,0)</f>
        <v>0</v>
      </c>
      <c r="O26" s="794">
        <f>VLOOKUP($B26,[1]Sheet1!$B$23:$AG$80,11,0)</f>
        <v>0</v>
      </c>
      <c r="P26" s="794">
        <f>VLOOKUP($B26,[1]Sheet1!$B$23:$AG$80,12,0)</f>
        <v>0</v>
      </c>
      <c r="Q26" s="794">
        <f>VLOOKUP($B26,[1]Sheet1!$B$23:$AG$80,13,0)</f>
        <v>0</v>
      </c>
      <c r="R26" s="774">
        <f t="shared" si="6"/>
        <v>0</v>
      </c>
      <c r="S26" s="774">
        <f>+VLOOKUP($B26,GUM!$C$14:$AD$49,15,0)</f>
        <v>0</v>
      </c>
      <c r="T26" s="774">
        <f t="shared" si="7"/>
        <v>0</v>
      </c>
      <c r="U26" s="776"/>
      <c r="V26" s="777">
        <f>VLOOKUP($B26,[1]Sheet1!$B$23:$AG$80,15,0)</f>
        <v>0</v>
      </c>
      <c r="W26" s="774">
        <f>VLOOKUP($B26,[1]Sheet1!$B$23:$AG$80,16,0)</f>
        <v>0</v>
      </c>
      <c r="X26" s="774">
        <f>VLOOKUP($B26,[1]Sheet1!$B$23:$AG$80,17,0)</f>
        <v>0</v>
      </c>
      <c r="Y26" s="794">
        <f>VLOOKUP($B26,[1]Sheet1!$B$23:$AG$80,18,0)</f>
        <v>0</v>
      </c>
      <c r="Z26" s="794">
        <f>VLOOKUP($B26,[1]Sheet1!$B$23:$AG$80,19,0)</f>
        <v>0</v>
      </c>
      <c r="AA26" s="774">
        <f t="shared" si="8"/>
        <v>0</v>
      </c>
      <c r="AB26" s="774">
        <f>+VLOOKUP($B26,GUM!$C$14:$AD$49,18,0)</f>
        <v>0</v>
      </c>
      <c r="AC26" s="774">
        <f t="shared" si="9"/>
        <v>0</v>
      </c>
      <c r="AD26" s="776"/>
      <c r="AE26" s="800">
        <f>VLOOKUP($B26,[1]Sheet1!$B$23:$AG$80,21,0)</f>
        <v>0</v>
      </c>
      <c r="AF26" s="774">
        <f>VLOOKUP($B26,[1]Sheet1!$B$23:$AG$80,22,0)</f>
        <v>0</v>
      </c>
      <c r="AG26" s="774">
        <f>VLOOKUP($B26,[1]Sheet1!$B$23:$AG$80,23,0)</f>
        <v>0</v>
      </c>
      <c r="AH26" s="794">
        <f>VLOOKUP($B26,[1]Sheet1!$B$23:$AG$80,24,0)</f>
        <v>0</v>
      </c>
      <c r="AI26" s="794">
        <f>VLOOKUP($B26,[1]Sheet1!$B$23:$AG$80,25,0)</f>
        <v>0</v>
      </c>
      <c r="AJ26" s="774">
        <f t="shared" si="10"/>
        <v>0</v>
      </c>
      <c r="AK26" s="774">
        <f>+VLOOKUP($B26,GUM!$C$14:$AD$49,21,0)</f>
        <v>0</v>
      </c>
      <c r="AL26" s="774">
        <f t="shared" si="11"/>
        <v>0</v>
      </c>
      <c r="AM26" s="776"/>
      <c r="AN26" s="777">
        <f>VLOOKUP($B26,[1]Sheet1!$B$23:$AG$80,27,0)</f>
        <v>0</v>
      </c>
      <c r="AO26" s="774">
        <f>VLOOKUP($B26,[1]Sheet1!$B$23:$AG$80,28,0)</f>
        <v>0</v>
      </c>
      <c r="AP26" s="774">
        <f>VLOOKUP($B26,[1]Sheet1!$B$23:$AG$80,29,0)</f>
        <v>0</v>
      </c>
      <c r="AQ26" s="794">
        <f>VLOOKUP($B26,[1]Sheet1!$B$23:$AG$80,30,0)</f>
        <v>0</v>
      </c>
      <c r="AR26" s="794">
        <f>VLOOKUP($B26,[1]Sheet1!$B$23:$AG$80,31,0)</f>
        <v>0</v>
      </c>
      <c r="AS26" s="774">
        <f t="shared" si="12"/>
        <v>0</v>
      </c>
      <c r="AT26" s="774">
        <f>+VLOOKUP($B26,GUM!$C$14:$AD$49,24,0)</f>
        <v>0</v>
      </c>
      <c r="AU26" s="774">
        <f t="shared" si="13"/>
        <v>0</v>
      </c>
      <c r="AV26" s="775"/>
      <c r="AW26" s="1045">
        <f t="shared" si="14"/>
        <v>0</v>
      </c>
      <c r="AX26" s="1046">
        <f t="shared" si="15"/>
        <v>0</v>
      </c>
      <c r="AY26" s="1046">
        <f t="shared" si="16"/>
        <v>0</v>
      </c>
      <c r="AZ26" s="1046">
        <f t="shared" si="17"/>
        <v>0</v>
      </c>
      <c r="BA26" s="1046">
        <f t="shared" si="18"/>
        <v>0</v>
      </c>
      <c r="BB26" s="774">
        <f t="shared" si="19"/>
        <v>0</v>
      </c>
      <c r="BC26" s="774">
        <f>+VLOOKUP($B26,GUM!$C$14:$AD$49,27,0)</f>
        <v>0</v>
      </c>
      <c r="BD26" s="774">
        <f t="shared" si="20"/>
        <v>0</v>
      </c>
      <c r="BE26" s="776"/>
      <c r="BF26" s="865" t="e">
        <f>+#REF!*#REF!</f>
        <v>#REF!</v>
      </c>
      <c r="BG26" s="865" t="e">
        <f t="shared" si="21"/>
        <v>#N/A</v>
      </c>
      <c r="BH26" s="865">
        <f t="shared" si="22"/>
        <v>0</v>
      </c>
      <c r="BI26" s="865">
        <f t="shared" si="23"/>
        <v>0</v>
      </c>
      <c r="BJ26" s="865">
        <f t="shared" si="24"/>
        <v>0</v>
      </c>
      <c r="BK26" s="1134" t="e">
        <f>#REF!+1</f>
        <v>#REF!</v>
      </c>
    </row>
    <row r="27" spans="1:63" s="781" customFormat="1" ht="15" customHeight="1" thickBot="1">
      <c r="A27" s="1587"/>
      <c r="B27" s="1355" t="str">
        <f>+GUM!C33</f>
        <v>82111-FE210</v>
      </c>
      <c r="C27" s="964" t="str">
        <f>GUM!D33</f>
        <v>0001</v>
      </c>
      <c r="D27" s="870" t="e">
        <f>+VLOOKUP($B27,[18]Sheet1!$B$8:$AC$55,3,0)</f>
        <v>#N/A</v>
      </c>
      <c r="E27" s="868" t="e">
        <f>+VLOOKUP($B27,[18]Sheet1!$B$8:$AC$55,4,0)</f>
        <v>#N/A</v>
      </c>
      <c r="F27" s="868" t="e">
        <f>+VLOOKUP($B27,[18]Sheet1!$B$8:$AC$55,5,0)</f>
        <v>#N/A</v>
      </c>
      <c r="G27" s="868" t="e">
        <f>+VLOOKUP($B27,[18]Sheet1!$B$8:$AC$55,6,0)</f>
        <v>#N/A</v>
      </c>
      <c r="H27" s="868"/>
      <c r="I27" s="868" t="e">
        <f t="shared" si="25"/>
        <v>#N/A</v>
      </c>
      <c r="J27" s="868">
        <f>+VLOOKUP($B27,GUM!C31:AD67,12,0)</f>
        <v>0</v>
      </c>
      <c r="K27" s="868" t="e">
        <f>ROUNDUP((J27-I27)/$D$3,0)</f>
        <v>#N/A</v>
      </c>
      <c r="L27" s="944"/>
      <c r="M27" s="787">
        <f>VLOOKUP($B27,[1]Sheet1!$B$23:$AG$80,9,0)</f>
        <v>0</v>
      </c>
      <c r="N27" s="785">
        <f>VLOOKUP($B27,[1]Sheet1!$B$23:$AG$80,10,0)</f>
        <v>0</v>
      </c>
      <c r="O27" s="785">
        <f>VLOOKUP($B27,[1]Sheet1!$B$23:$AG$80,11,0)</f>
        <v>0</v>
      </c>
      <c r="P27" s="785">
        <f>VLOOKUP($B27,[1]Sheet1!$B$23:$AG$80,12,0)</f>
        <v>0</v>
      </c>
      <c r="Q27" s="785">
        <f>VLOOKUP($B27,[1]Sheet1!$B$23:$AG$80,13,0)</f>
        <v>0</v>
      </c>
      <c r="R27" s="868">
        <f t="shared" si="6"/>
        <v>0</v>
      </c>
      <c r="S27" s="868">
        <f>+VLOOKUP($B27,GUM!$C$14:$AD$49,15,0)</f>
        <v>0</v>
      </c>
      <c r="T27" s="868">
        <f t="shared" si="7"/>
        <v>0</v>
      </c>
      <c r="U27" s="940"/>
      <c r="V27" s="938">
        <f>VLOOKUP($B27,[1]Sheet1!$B$23:$AG$80,15,0)</f>
        <v>0</v>
      </c>
      <c r="W27" s="868">
        <f>VLOOKUP($B27,[1]Sheet1!$B$23:$AG$80,16,0)</f>
        <v>0</v>
      </c>
      <c r="X27" s="868">
        <f>VLOOKUP($B27,[1]Sheet1!$B$23:$AG$80,17,0)</f>
        <v>0</v>
      </c>
      <c r="Y27" s="785">
        <f>VLOOKUP($B27,[1]Sheet1!$B$23:$AG$80,18,0)</f>
        <v>0</v>
      </c>
      <c r="Z27" s="785">
        <f>VLOOKUP($B27,[1]Sheet1!$B$23:$AG$80,19,0)</f>
        <v>0</v>
      </c>
      <c r="AA27" s="868">
        <f t="shared" si="8"/>
        <v>0</v>
      </c>
      <c r="AB27" s="868">
        <f>+VLOOKUP($B27,GUM!$C$14:$AD$49,18,0)</f>
        <v>0</v>
      </c>
      <c r="AC27" s="868">
        <f t="shared" si="9"/>
        <v>0</v>
      </c>
      <c r="AD27" s="940"/>
      <c r="AE27" s="789">
        <f>VLOOKUP($B27,[1]Sheet1!$B$23:$AG$80,21,0)</f>
        <v>0</v>
      </c>
      <c r="AF27" s="868">
        <f>VLOOKUP($B27,[1]Sheet1!$B$23:$AG$80,22,0)</f>
        <v>0</v>
      </c>
      <c r="AG27" s="868">
        <f>VLOOKUP($B27,[1]Sheet1!$B$23:$AG$80,23,0)</f>
        <v>0</v>
      </c>
      <c r="AH27" s="785">
        <f>VLOOKUP($B27,[1]Sheet1!$B$23:$AG$80,24,0)</f>
        <v>0</v>
      </c>
      <c r="AI27" s="785">
        <f>VLOOKUP($B27,[1]Sheet1!$B$23:$AG$80,25,0)</f>
        <v>0</v>
      </c>
      <c r="AJ27" s="868">
        <f t="shared" si="10"/>
        <v>0</v>
      </c>
      <c r="AK27" s="868">
        <f>+VLOOKUP($B27,GUM!$C$14:$AD$49,21,0)</f>
        <v>0</v>
      </c>
      <c r="AL27" s="868">
        <f t="shared" si="11"/>
        <v>0</v>
      </c>
      <c r="AM27" s="940"/>
      <c r="AN27" s="938">
        <f>VLOOKUP($B27,[1]Sheet1!$B$23:$AG$80,27,0)</f>
        <v>0</v>
      </c>
      <c r="AO27" s="868">
        <f>VLOOKUP($B27,[1]Sheet1!$B$23:$AG$80,28,0)</f>
        <v>0</v>
      </c>
      <c r="AP27" s="868">
        <f>VLOOKUP($B27,[1]Sheet1!$B$23:$AG$80,29,0)</f>
        <v>0</v>
      </c>
      <c r="AQ27" s="785">
        <f>VLOOKUP($B27,[1]Sheet1!$B$23:$AG$80,30,0)</f>
        <v>0</v>
      </c>
      <c r="AR27" s="785">
        <f>VLOOKUP($B27,[1]Sheet1!$B$23:$AG$80,31,0)</f>
        <v>0</v>
      </c>
      <c r="AS27" s="868">
        <f t="shared" si="12"/>
        <v>0</v>
      </c>
      <c r="AT27" s="868">
        <f>+VLOOKUP($B27,GUM!$C$14:$AD$49,24,0)</f>
        <v>0</v>
      </c>
      <c r="AU27" s="868">
        <f t="shared" si="13"/>
        <v>0</v>
      </c>
      <c r="AV27" s="944"/>
      <c r="AW27" s="1000">
        <f t="shared" si="14"/>
        <v>0</v>
      </c>
      <c r="AX27" s="1001">
        <f t="shared" si="15"/>
        <v>0</v>
      </c>
      <c r="AY27" s="1001">
        <f t="shared" si="16"/>
        <v>0</v>
      </c>
      <c r="AZ27" s="1001">
        <f t="shared" si="17"/>
        <v>0</v>
      </c>
      <c r="BA27" s="1001">
        <f t="shared" si="18"/>
        <v>0</v>
      </c>
      <c r="BB27" s="868">
        <f t="shared" si="19"/>
        <v>0</v>
      </c>
      <c r="BC27" s="868">
        <f>+VLOOKUP($B27,GUM!$C$14:$AD$49,27,0)</f>
        <v>0</v>
      </c>
      <c r="BD27" s="868">
        <f t="shared" si="20"/>
        <v>0</v>
      </c>
      <c r="BE27" s="940"/>
      <c r="BF27" s="780" t="e">
        <f>+#REF!*#REF!</f>
        <v>#REF!</v>
      </c>
      <c r="BG27" s="780" t="e">
        <f t="shared" si="21"/>
        <v>#N/A</v>
      </c>
      <c r="BH27" s="780">
        <f t="shared" si="22"/>
        <v>0</v>
      </c>
      <c r="BI27" s="780">
        <f t="shared" si="23"/>
        <v>0</v>
      </c>
      <c r="BJ27" s="780">
        <f t="shared" si="24"/>
        <v>0</v>
      </c>
      <c r="BK27" s="762">
        <f>BK25+1</f>
        <v>4</v>
      </c>
    </row>
    <row r="28" spans="1:63" s="779" customFormat="1" ht="15" hidden="1" customHeight="1">
      <c r="A28" s="1587"/>
      <c r="B28" s="1356" t="str">
        <f>+GUM!C34</f>
        <v>82111-F2W42</v>
      </c>
      <c r="C28" s="658" t="str">
        <f>GUM!D34</f>
        <v>C 0101</v>
      </c>
      <c r="D28" s="773" t="e">
        <f>+VLOOKUP($B28,[18]Sheet1!$B$8:$AC$55,3,0)</f>
        <v>#N/A</v>
      </c>
      <c r="E28" s="774" t="e">
        <f>+VLOOKUP($B28,[18]Sheet1!$B$8:$AC$55,4,0)</f>
        <v>#N/A</v>
      </c>
      <c r="F28" s="774" t="e">
        <f>+VLOOKUP($B28,[18]Sheet1!$B$8:$AC$55,5,0)</f>
        <v>#N/A</v>
      </c>
      <c r="G28" s="774" t="e">
        <f>+VLOOKUP($B28,[18]Sheet1!$B$8:$AC$55,6,0)</f>
        <v>#N/A</v>
      </c>
      <c r="H28" s="774"/>
      <c r="I28" s="774" t="e">
        <f t="shared" si="25"/>
        <v>#N/A</v>
      </c>
      <c r="J28" s="774">
        <f>+VLOOKUP($B28,GUM!C33:AD68,12,0)</f>
        <v>0</v>
      </c>
      <c r="K28" s="774" t="e">
        <f>ROUNDUP((J28-I28)/$D$3,0)</f>
        <v>#N/A</v>
      </c>
      <c r="L28" s="775"/>
      <c r="M28" s="796">
        <f>VLOOKUP($B28,[1]Sheet1!$B$23:$AG$80,9,0)</f>
        <v>0</v>
      </c>
      <c r="N28" s="794">
        <f>VLOOKUP($B28,[1]Sheet1!$B$23:$AG$80,10,0)</f>
        <v>0</v>
      </c>
      <c r="O28" s="794">
        <f>VLOOKUP($B28,[1]Sheet1!$B$23:$AG$80,11,0)</f>
        <v>0</v>
      </c>
      <c r="P28" s="794">
        <f>VLOOKUP($B28,[1]Sheet1!$B$23:$AG$80,12,0)</f>
        <v>0</v>
      </c>
      <c r="Q28" s="794">
        <f>VLOOKUP($B28,[1]Sheet1!$B$23:$AG$80,13,0)</f>
        <v>0</v>
      </c>
      <c r="R28" s="774">
        <f t="shared" ref="R28:R38" si="26">SUM(M28:Q28)</f>
        <v>0</v>
      </c>
      <c r="S28" s="774">
        <f>+VLOOKUP($B28,GUM!$C$14:$AD$49,15,0)</f>
        <v>0</v>
      </c>
      <c r="T28" s="774">
        <f t="shared" ref="T28:T38" si="27">ROUNDUP((S28-R28)/$M$3,0)</f>
        <v>0</v>
      </c>
      <c r="U28" s="776"/>
      <c r="V28" s="777">
        <f>VLOOKUP($B28,[1]Sheet1!$B$23:$AG$80,15,0)</f>
        <v>0</v>
      </c>
      <c r="W28" s="774">
        <f>VLOOKUP($B28,[1]Sheet1!$B$23:$AG$80,16,0)</f>
        <v>0</v>
      </c>
      <c r="X28" s="774">
        <f>VLOOKUP($B28,[1]Sheet1!$B$23:$AG$80,17,0)</f>
        <v>0</v>
      </c>
      <c r="Y28" s="774">
        <f>VLOOKUP($B28,[1]Sheet1!$B$23:$AG$80,18,0)</f>
        <v>0</v>
      </c>
      <c r="Z28" s="774">
        <f>VLOOKUP($B28,[1]Sheet1!$B$23:$AG$80,19,0)</f>
        <v>0</v>
      </c>
      <c r="AA28" s="774">
        <f t="shared" ref="AA28:AA38" si="28">SUM(V28:Z28)</f>
        <v>0</v>
      </c>
      <c r="AB28" s="774">
        <f>+VLOOKUP($B28,GUM!$C$14:$AD$49,18,0)</f>
        <v>0</v>
      </c>
      <c r="AC28" s="774">
        <f t="shared" ref="AC28:AC38" si="29">ROUNDUP((AB28-AA28)/$V$3,0)</f>
        <v>0</v>
      </c>
      <c r="AD28" s="776"/>
      <c r="AE28" s="800">
        <f>VLOOKUP($B28,[1]Sheet1!$B$23:$AG$80,21,0)</f>
        <v>0</v>
      </c>
      <c r="AF28" s="774">
        <f>VLOOKUP($B28,[1]Sheet1!$B$23:$AG$80,22,0)</f>
        <v>0</v>
      </c>
      <c r="AG28" s="774">
        <f>VLOOKUP($B28,[1]Sheet1!$B$23:$AG$80,23,0)</f>
        <v>0</v>
      </c>
      <c r="AH28" s="794">
        <f>VLOOKUP($B28,[1]Sheet1!$B$23:$AG$80,24,0)</f>
        <v>0</v>
      </c>
      <c r="AI28" s="794">
        <f>VLOOKUP($B28,[1]Sheet1!$B$23:$AG$80,25,0)</f>
        <v>0</v>
      </c>
      <c r="AJ28" s="774">
        <f t="shared" ref="AJ28:AJ38" si="30">SUM(AE28:AI28)</f>
        <v>0</v>
      </c>
      <c r="AK28" s="774">
        <f>+VLOOKUP($B28,GUM!$C$14:$AD$49,21,0)</f>
        <v>0</v>
      </c>
      <c r="AL28" s="774">
        <f t="shared" ref="AL28:AL38" si="31">ROUNDUP((AK28-AJ28)/$AE$3,)</f>
        <v>0</v>
      </c>
      <c r="AM28" s="776"/>
      <c r="AN28" s="777">
        <f>VLOOKUP($B28,[1]Sheet1!$B$23:$AG$80,27,0)</f>
        <v>0</v>
      </c>
      <c r="AO28" s="774">
        <f>VLOOKUP($B28,[1]Sheet1!$B$23:$AG$80,28,0)</f>
        <v>0</v>
      </c>
      <c r="AP28" s="774">
        <f>VLOOKUP($B28,[1]Sheet1!$B$23:$AG$80,29,0)</f>
        <v>0</v>
      </c>
      <c r="AQ28" s="1385">
        <f>VLOOKUP($B28,[1]Sheet1!$B$23:$AG$80,31,0)</f>
        <v>0</v>
      </c>
      <c r="AR28" s="1385">
        <f>VLOOKUP($B28,[1]Sheet1!$B$23:$AG$80,30,0)</f>
        <v>0</v>
      </c>
      <c r="AS28" s="774">
        <f t="shared" ref="AS28:AS38" si="32">SUM(AN28:AR28)</f>
        <v>0</v>
      </c>
      <c r="AT28" s="774">
        <f>+VLOOKUP($B28,GUM!$C$14:$AD$49,24,0)</f>
        <v>0</v>
      </c>
      <c r="AU28" s="774">
        <f t="shared" ref="AU28:AU38" si="33">ROUNDUP((AT28-AS28)/$AE$3,)</f>
        <v>0</v>
      </c>
      <c r="AV28" s="775"/>
      <c r="AW28" s="948">
        <f t="shared" ref="AW28:AW38" si="34">+AN28</f>
        <v>0</v>
      </c>
      <c r="AX28" s="945">
        <f t="shared" ref="AX28:AX38" si="35">+AO28</f>
        <v>0</v>
      </c>
      <c r="AY28" s="945">
        <f t="shared" ref="AY28:AY38" si="36">+AP28</f>
        <v>0</v>
      </c>
      <c r="AZ28" s="945">
        <f t="shared" ref="AZ28:AZ38" si="37">+AQ28</f>
        <v>0</v>
      </c>
      <c r="BA28" s="945">
        <f t="shared" ref="BA28:BA38" si="38">+AR28</f>
        <v>0</v>
      </c>
      <c r="BB28" s="774">
        <f t="shared" ref="BB28:BB38" si="39">SUM(AW28:BA28)</f>
        <v>0</v>
      </c>
      <c r="BC28" s="774">
        <f>+VLOOKUP($B28,GUM!$C$14:$AD$49,27,0)</f>
        <v>0</v>
      </c>
      <c r="BD28" s="774">
        <f t="shared" ref="BD28:BD38" si="40">ROUNDUP((BC28-BB28)/$AE$3,)</f>
        <v>0</v>
      </c>
      <c r="BE28" s="776"/>
      <c r="BF28" s="778" t="e">
        <f>+#REF!*#REF!</f>
        <v>#REF!</v>
      </c>
      <c r="BG28" s="778" t="e">
        <f t="shared" si="21"/>
        <v>#N/A</v>
      </c>
      <c r="BH28" s="778">
        <f t="shared" si="22"/>
        <v>0</v>
      </c>
      <c r="BI28" s="778">
        <f t="shared" si="23"/>
        <v>0</v>
      </c>
      <c r="BJ28" s="778">
        <f t="shared" si="24"/>
        <v>0</v>
      </c>
      <c r="BK28" s="779">
        <f>BK27+1</f>
        <v>5</v>
      </c>
    </row>
    <row r="29" spans="1:63" s="1129" customFormat="1" ht="15.75" hidden="1" customHeight="1" thickBot="1">
      <c r="A29" s="1588"/>
      <c r="B29" s="1357" t="str">
        <f>+GUM!C35</f>
        <v>82111-F2W92</v>
      </c>
      <c r="C29" s="894" t="str">
        <f>GUM!D35</f>
        <v>C 0201</v>
      </c>
      <c r="D29" s="976" t="e">
        <f>+VLOOKUP($B29,[18]Sheet1!$B$8:$AC$55,3,0)</f>
        <v>#N/A</v>
      </c>
      <c r="E29" s="974" t="e">
        <f>+VLOOKUP($B29,[18]Sheet1!$B$8:$AC$55,4,0)</f>
        <v>#N/A</v>
      </c>
      <c r="F29" s="974" t="e">
        <f>+VLOOKUP($B29,[18]Sheet1!$B$8:$AC$55,5,0)</f>
        <v>#N/A</v>
      </c>
      <c r="G29" s="974" t="e">
        <f>+VLOOKUP($B29,[18]Sheet1!$B$8:$AC$55,6,0)</f>
        <v>#N/A</v>
      </c>
      <c r="H29" s="974"/>
      <c r="I29" s="974" t="e">
        <f t="shared" si="25"/>
        <v>#N/A</v>
      </c>
      <c r="J29" s="974">
        <f>+VLOOKUP($B29,GUM!C32:AD68,12,0)</f>
        <v>0</v>
      </c>
      <c r="K29" s="974" t="e">
        <f>ROUNDUP((J29-I29)/$D$3,0)</f>
        <v>#N/A</v>
      </c>
      <c r="L29" s="1013"/>
      <c r="M29" s="815">
        <f>VLOOKUP($B29,[1]Sheet1!$B$23:$AG$80,9,0)</f>
        <v>0</v>
      </c>
      <c r="N29" s="813">
        <f>VLOOKUP($B29,[1]Sheet1!$B$23:$AG$80,10,0)</f>
        <v>0</v>
      </c>
      <c r="O29" s="813">
        <f>VLOOKUP($B29,[1]Sheet1!$B$23:$AG$80,11,0)</f>
        <v>0</v>
      </c>
      <c r="P29" s="813">
        <f>VLOOKUP($B29,[1]Sheet1!$B$23:$AG$80,12,0)</f>
        <v>0</v>
      </c>
      <c r="Q29" s="813">
        <f>VLOOKUP($B29,[1]Sheet1!$B$23:$AG$80,13,0)</f>
        <v>0</v>
      </c>
      <c r="R29" s="974">
        <f t="shared" si="26"/>
        <v>0</v>
      </c>
      <c r="S29" s="974">
        <f>+VLOOKUP($B29,GUM!$C$14:$AD$49,15,0)</f>
        <v>0</v>
      </c>
      <c r="T29" s="974">
        <f t="shared" si="27"/>
        <v>0</v>
      </c>
      <c r="U29" s="1014"/>
      <c r="V29" s="1015">
        <f>VLOOKUP($B29,[1]Sheet1!$B$23:$AG$80,15,0)</f>
        <v>0</v>
      </c>
      <c r="W29" s="974">
        <f>VLOOKUP($B29,[1]Sheet1!$B$23:$AG$80,16,0)</f>
        <v>0</v>
      </c>
      <c r="X29" s="974">
        <f>VLOOKUP($B29,[1]Sheet1!$B$23:$AG$80,17,0)</f>
        <v>0</v>
      </c>
      <c r="Y29" s="974">
        <f>VLOOKUP($B29,[1]Sheet1!$B$23:$AG$80,18,0)</f>
        <v>0</v>
      </c>
      <c r="Z29" s="974">
        <f>VLOOKUP($B29,[1]Sheet1!$B$23:$AG$80,19,0)</f>
        <v>0</v>
      </c>
      <c r="AA29" s="974">
        <f t="shared" si="28"/>
        <v>0</v>
      </c>
      <c r="AB29" s="974">
        <f>+VLOOKUP($B29,GUM!$C$14:$AD$49,18,0)</f>
        <v>0</v>
      </c>
      <c r="AC29" s="974">
        <f t="shared" si="29"/>
        <v>0</v>
      </c>
      <c r="AD29" s="1014"/>
      <c r="AE29" s="819">
        <f>VLOOKUP($B29,[1]Sheet1!$B$23:$AG$80,21,0)</f>
        <v>0</v>
      </c>
      <c r="AF29" s="974">
        <f>VLOOKUP($B29,[1]Sheet1!$B$23:$AG$80,22,0)</f>
        <v>0</v>
      </c>
      <c r="AG29" s="974">
        <f>VLOOKUP($B29,[1]Sheet1!$B$23:$AG$80,23,0)</f>
        <v>0</v>
      </c>
      <c r="AH29" s="813">
        <f>VLOOKUP($B29,[1]Sheet1!$B$23:$AG$80,24,0)</f>
        <v>0</v>
      </c>
      <c r="AI29" s="813">
        <f>VLOOKUP($B29,[1]Sheet1!$B$23:$AG$80,25,0)</f>
        <v>0</v>
      </c>
      <c r="AJ29" s="974">
        <f t="shared" si="30"/>
        <v>0</v>
      </c>
      <c r="AK29" s="974">
        <f>+VLOOKUP($B29,GUM!$C$14:$AD$49,21,0)</f>
        <v>0</v>
      </c>
      <c r="AL29" s="974">
        <f t="shared" si="31"/>
        <v>0</v>
      </c>
      <c r="AM29" s="1014"/>
      <c r="AN29" s="1015">
        <f>VLOOKUP($B29,[1]Sheet1!$B$23:$AG$80,27,0)</f>
        <v>0</v>
      </c>
      <c r="AO29" s="974">
        <f>VLOOKUP($B29,[1]Sheet1!$B$23:$AG$80,28,0)</f>
        <v>0</v>
      </c>
      <c r="AP29" s="974">
        <f>VLOOKUP($B29,[1]Sheet1!$B$23:$AG$80,29,0)</f>
        <v>0</v>
      </c>
      <c r="AQ29" s="1384">
        <f>VLOOKUP($B29,[1]Sheet1!$B$23:$AG$80,31,0)</f>
        <v>0</v>
      </c>
      <c r="AR29" s="1384">
        <f>VLOOKUP($B29,[1]Sheet1!$B$23:$AG$80,30,0)</f>
        <v>0</v>
      </c>
      <c r="AS29" s="974">
        <f t="shared" si="32"/>
        <v>0</v>
      </c>
      <c r="AT29" s="974">
        <f>+VLOOKUP($B29,GUM!$C$14:$AD$49,24,0)</f>
        <v>0</v>
      </c>
      <c r="AU29" s="974">
        <f t="shared" si="33"/>
        <v>0</v>
      </c>
      <c r="AV29" s="1013"/>
      <c r="AW29" s="949">
        <f t="shared" si="34"/>
        <v>0</v>
      </c>
      <c r="AX29" s="883">
        <f t="shared" si="35"/>
        <v>0</v>
      </c>
      <c r="AY29" s="883">
        <f t="shared" si="36"/>
        <v>0</v>
      </c>
      <c r="AZ29" s="883">
        <f t="shared" si="37"/>
        <v>0</v>
      </c>
      <c r="BA29" s="883">
        <f t="shared" si="38"/>
        <v>0</v>
      </c>
      <c r="BB29" s="974">
        <f t="shared" si="39"/>
        <v>0</v>
      </c>
      <c r="BC29" s="974">
        <f>+VLOOKUP($B29,GUM!$C$14:$AD$49,27,0)</f>
        <v>0</v>
      </c>
      <c r="BD29" s="974">
        <f t="shared" si="40"/>
        <v>0</v>
      </c>
      <c r="BE29" s="1014"/>
      <c r="BF29" s="1011" t="e">
        <f>+#REF!*#REF!</f>
        <v>#REF!</v>
      </c>
      <c r="BG29" s="1011" t="e">
        <f t="shared" si="21"/>
        <v>#N/A</v>
      </c>
      <c r="BH29" s="1011">
        <f t="shared" si="22"/>
        <v>0</v>
      </c>
      <c r="BI29" s="1011">
        <f t="shared" si="23"/>
        <v>0</v>
      </c>
      <c r="BJ29" s="1011">
        <f t="shared" si="24"/>
        <v>0</v>
      </c>
      <c r="BK29" s="1129">
        <f>BK27+1</f>
        <v>5</v>
      </c>
    </row>
    <row r="30" spans="1:63" s="1135" customFormat="1" ht="15" hidden="1" customHeight="1">
      <c r="A30" s="1589" t="s">
        <v>168</v>
      </c>
      <c r="B30" s="820" t="str">
        <f>+GUM!C36</f>
        <v>82111-F2W23</v>
      </c>
      <c r="C30" s="964" t="str">
        <f>GUM!D36</f>
        <v>B 0201</v>
      </c>
      <c r="D30" s="870" t="e">
        <f>+VLOOKUP($B30,[18]Sheet1!$B$8:$AC$55,3,0)</f>
        <v>#N/A</v>
      </c>
      <c r="E30" s="868" t="e">
        <f>+VLOOKUP($B30,[18]Sheet1!$B$8:$AC$55,4,0)</f>
        <v>#N/A</v>
      </c>
      <c r="F30" s="868" t="e">
        <f>+VLOOKUP($B30,[18]Sheet1!$B$8:$AC$55,5,0)</f>
        <v>#N/A</v>
      </c>
      <c r="G30" s="868" t="e">
        <f>+VLOOKUP($B30,[18]Sheet1!$B$8:$AC$55,6,0)</f>
        <v>#N/A</v>
      </c>
      <c r="H30" s="868"/>
      <c r="I30" s="868" t="e">
        <f t="shared" si="25"/>
        <v>#N/A</v>
      </c>
      <c r="J30" s="868">
        <f>+VLOOKUP($B30,GUM!C33:AD68,12,0)</f>
        <v>0</v>
      </c>
      <c r="K30" s="868" t="e">
        <f>ROUNDUP((J30-I30)/$D$3,0)</f>
        <v>#N/A</v>
      </c>
      <c r="L30" s="944"/>
      <c r="M30" s="787">
        <f>VLOOKUP($B30,[1]Sheet1!$B$23:$AG$80,9,0)</f>
        <v>0</v>
      </c>
      <c r="N30" s="785">
        <f>VLOOKUP($B30,[1]Sheet1!$B$23:$AG$80,10,0)</f>
        <v>0</v>
      </c>
      <c r="O30" s="785">
        <f>VLOOKUP($B30,[1]Sheet1!$B$23:$AG$80,11,0)</f>
        <v>0</v>
      </c>
      <c r="P30" s="785">
        <f>VLOOKUP($B30,[1]Sheet1!$B$23:$AG$80,12,0)</f>
        <v>0</v>
      </c>
      <c r="Q30" s="785">
        <f>VLOOKUP($B30,[1]Sheet1!$B$23:$AG$80,13,0)</f>
        <v>0</v>
      </c>
      <c r="R30" s="868">
        <f t="shared" si="26"/>
        <v>0</v>
      </c>
      <c r="S30" s="868">
        <f>+VLOOKUP($B30,GUM!$C$14:$AD$49,15,0)</f>
        <v>0</v>
      </c>
      <c r="T30" s="868">
        <f t="shared" si="27"/>
        <v>0</v>
      </c>
      <c r="U30" s="940"/>
      <c r="V30" s="938">
        <f>VLOOKUP($B30,[1]Sheet1!$B$23:$AG$80,15,0)</f>
        <v>0</v>
      </c>
      <c r="W30" s="868">
        <f>VLOOKUP($B30,[1]Sheet1!$B$23:$AG$80,16,0)</f>
        <v>0</v>
      </c>
      <c r="X30" s="868">
        <f>VLOOKUP($B30,[1]Sheet1!$B$23:$AG$80,17,0)</f>
        <v>0</v>
      </c>
      <c r="Y30" s="868">
        <f>VLOOKUP($B30,[1]Sheet1!$B$23:$AG$80,18,0)</f>
        <v>0</v>
      </c>
      <c r="Z30" s="868">
        <f>VLOOKUP($B30,[1]Sheet1!$B$23:$AG$80,19,0)</f>
        <v>0</v>
      </c>
      <c r="AA30" s="868">
        <f t="shared" si="28"/>
        <v>0</v>
      </c>
      <c r="AB30" s="868">
        <f>+VLOOKUP($B30,GUM!$C$14:$AD$49,18,0)</f>
        <v>0</v>
      </c>
      <c r="AC30" s="868">
        <f t="shared" si="29"/>
        <v>0</v>
      </c>
      <c r="AD30" s="940"/>
      <c r="AE30" s="789">
        <f>VLOOKUP($B30,[1]Sheet1!$B$23:$AG$80,21,0)</f>
        <v>0</v>
      </c>
      <c r="AF30" s="868">
        <f>VLOOKUP($B30,[1]Sheet1!$B$23:$AG$80,22,0)</f>
        <v>0</v>
      </c>
      <c r="AG30" s="868">
        <f>VLOOKUP($B30,[1]Sheet1!$B$23:$AG$80,23,0)</f>
        <v>0</v>
      </c>
      <c r="AH30" s="785">
        <f>VLOOKUP($B30,[1]Sheet1!$B$23:$AG$80,24,0)</f>
        <v>0</v>
      </c>
      <c r="AI30" s="785">
        <f>VLOOKUP($B30,[1]Sheet1!$B$23:$AG$80,25,0)</f>
        <v>0</v>
      </c>
      <c r="AJ30" s="868">
        <f t="shared" si="30"/>
        <v>0</v>
      </c>
      <c r="AK30" s="868">
        <f>+VLOOKUP($B30,GUM!$C$14:$AD$49,21,0)</f>
        <v>0</v>
      </c>
      <c r="AL30" s="868">
        <f t="shared" si="31"/>
        <v>0</v>
      </c>
      <c r="AM30" s="940"/>
      <c r="AN30" s="938">
        <f>VLOOKUP($B30,[1]Sheet1!$B$23:$AG$80,27,0)</f>
        <v>0</v>
      </c>
      <c r="AO30" s="868">
        <f>VLOOKUP($B30,[1]Sheet1!$B$23:$AG$80,28,0)</f>
        <v>0</v>
      </c>
      <c r="AP30" s="868">
        <f>VLOOKUP($B30,[1]Sheet1!$B$23:$AG$80,29,0)</f>
        <v>0</v>
      </c>
      <c r="AQ30" s="1382">
        <f>VLOOKUP($B30,[1]Sheet1!$B$23:$AG$80,31,0)</f>
        <v>0</v>
      </c>
      <c r="AR30" s="1382">
        <f>VLOOKUP($B30,[1]Sheet1!$B$23:$AG$80,30,0)</f>
        <v>0</v>
      </c>
      <c r="AS30" s="868">
        <f t="shared" si="32"/>
        <v>0</v>
      </c>
      <c r="AT30" s="868">
        <f>+VLOOKUP($B30,GUM!$C$14:$AD$49,24,0)</f>
        <v>0</v>
      </c>
      <c r="AU30" s="868">
        <f t="shared" si="33"/>
        <v>0</v>
      </c>
      <c r="AV30" s="944"/>
      <c r="AW30" s="938">
        <f t="shared" si="34"/>
        <v>0</v>
      </c>
      <c r="AX30" s="868">
        <f t="shared" si="35"/>
        <v>0</v>
      </c>
      <c r="AY30" s="868">
        <f t="shared" si="36"/>
        <v>0</v>
      </c>
      <c r="AZ30" s="868">
        <f t="shared" si="37"/>
        <v>0</v>
      </c>
      <c r="BA30" s="868">
        <f t="shared" si="38"/>
        <v>0</v>
      </c>
      <c r="BB30" s="868">
        <f t="shared" si="39"/>
        <v>0</v>
      </c>
      <c r="BC30" s="868">
        <f>+VLOOKUP($B30,GUM!$C$14:$AD$49,27,0)</f>
        <v>0</v>
      </c>
      <c r="BD30" s="868">
        <f t="shared" si="40"/>
        <v>0</v>
      </c>
      <c r="BE30" s="940"/>
      <c r="BF30" s="869" t="e">
        <f>+#REF!*#REF!</f>
        <v>#REF!</v>
      </c>
      <c r="BG30" s="869" t="e">
        <f t="shared" si="21"/>
        <v>#N/A</v>
      </c>
      <c r="BH30" s="869">
        <f t="shared" si="22"/>
        <v>0</v>
      </c>
      <c r="BI30" s="869">
        <f t="shared" si="23"/>
        <v>0</v>
      </c>
      <c r="BJ30" s="869">
        <f t="shared" si="24"/>
        <v>0</v>
      </c>
      <c r="BK30" s="1135">
        <f>BK29+1</f>
        <v>6</v>
      </c>
    </row>
    <row r="31" spans="1:63" s="762" customFormat="1" ht="15.75" hidden="1" customHeight="1">
      <c r="A31" s="1590"/>
      <c r="B31" s="820" t="str">
        <f>+GUM!C37</f>
        <v>82111-F2W34</v>
      </c>
      <c r="C31" s="964" t="str">
        <f>GUM!D37</f>
        <v>B 0301</v>
      </c>
      <c r="D31" s="870">
        <v>0</v>
      </c>
      <c r="E31" s="868">
        <v>0</v>
      </c>
      <c r="F31" s="868">
        <v>0</v>
      </c>
      <c r="G31" s="868">
        <v>0</v>
      </c>
      <c r="H31" s="868">
        <v>0</v>
      </c>
      <c r="I31" s="868">
        <f t="shared" si="25"/>
        <v>0</v>
      </c>
      <c r="J31" s="868">
        <v>0</v>
      </c>
      <c r="K31" s="868">
        <v>0</v>
      </c>
      <c r="L31" s="944"/>
      <c r="M31" s="787">
        <f>VLOOKUP($B31,[1]Sheet1!$B$23:$AG$80,9,0)</f>
        <v>0</v>
      </c>
      <c r="N31" s="785">
        <f>VLOOKUP($B31,[1]Sheet1!$B$23:$AG$80,10,0)</f>
        <v>0</v>
      </c>
      <c r="O31" s="785">
        <f>VLOOKUP($B31,[1]Sheet1!$B$23:$AG$80,11,0)</f>
        <v>0</v>
      </c>
      <c r="P31" s="785">
        <f>VLOOKUP($B31,[1]Sheet1!$B$23:$AG$80,12,0)</f>
        <v>0</v>
      </c>
      <c r="Q31" s="785">
        <f>VLOOKUP($B31,[1]Sheet1!$B$23:$AG$80,13,0)</f>
        <v>0</v>
      </c>
      <c r="R31" s="868">
        <f t="shared" si="26"/>
        <v>0</v>
      </c>
      <c r="S31" s="868">
        <f>+VLOOKUP($B31,GUM!$C$14:$AD$49,15,0)</f>
        <v>0</v>
      </c>
      <c r="T31" s="868">
        <f t="shared" si="27"/>
        <v>0</v>
      </c>
      <c r="U31" s="940"/>
      <c r="V31" s="938">
        <f>VLOOKUP($B31,[1]Sheet1!$B$23:$AG$80,15,0)</f>
        <v>0</v>
      </c>
      <c r="W31" s="868">
        <f>VLOOKUP($B31,[1]Sheet1!$B$23:$AG$80,16,0)</f>
        <v>0</v>
      </c>
      <c r="X31" s="868">
        <f>VLOOKUP($B31,[1]Sheet1!$B$23:$AG$80,17,0)</f>
        <v>0</v>
      </c>
      <c r="Y31" s="868">
        <f>VLOOKUP($B31,[1]Sheet1!$B$23:$AG$80,18,0)</f>
        <v>0</v>
      </c>
      <c r="Z31" s="868">
        <f>VLOOKUP($B31,[1]Sheet1!$B$23:$AG$80,19,0)</f>
        <v>0</v>
      </c>
      <c r="AA31" s="868">
        <f t="shared" si="28"/>
        <v>0</v>
      </c>
      <c r="AB31" s="868">
        <f>+VLOOKUP($B31,GUM!$C$14:$AD$49,18,0)</f>
        <v>0</v>
      </c>
      <c r="AC31" s="868">
        <f t="shared" si="29"/>
        <v>0</v>
      </c>
      <c r="AD31" s="940"/>
      <c r="AE31" s="789">
        <f>VLOOKUP($B31,[1]Sheet1!$B$23:$AG$80,21,0)</f>
        <v>0</v>
      </c>
      <c r="AF31" s="868">
        <f>VLOOKUP($B31,[1]Sheet1!$B$23:$AG$80,22,0)</f>
        <v>0</v>
      </c>
      <c r="AG31" s="868">
        <f>VLOOKUP($B31,[1]Sheet1!$B$23:$AG$80,23,0)</f>
        <v>0</v>
      </c>
      <c r="AH31" s="785">
        <f>VLOOKUP($B31,[1]Sheet1!$B$23:$AG$80,24,0)</f>
        <v>0</v>
      </c>
      <c r="AI31" s="785">
        <f>VLOOKUP($B31,[1]Sheet1!$B$23:$AG$80,25,0)</f>
        <v>0</v>
      </c>
      <c r="AJ31" s="868">
        <f t="shared" si="30"/>
        <v>0</v>
      </c>
      <c r="AK31" s="868">
        <f>+VLOOKUP($B31,GUM!$C$14:$AD$49,21,0)</f>
        <v>0</v>
      </c>
      <c r="AL31" s="868">
        <f t="shared" si="31"/>
        <v>0</v>
      </c>
      <c r="AM31" s="940"/>
      <c r="AN31" s="938">
        <f>VLOOKUP($B31,[1]Sheet1!$B$23:$AG$80,27,0)</f>
        <v>0</v>
      </c>
      <c r="AO31" s="868">
        <f>VLOOKUP($B31,[1]Sheet1!$B$23:$AG$80,28,0)</f>
        <v>0</v>
      </c>
      <c r="AP31" s="868">
        <f>VLOOKUP($B31,[1]Sheet1!$B$23:$AG$80,29,0)</f>
        <v>0</v>
      </c>
      <c r="AQ31" s="1382">
        <f>VLOOKUP($B31,[1]Sheet1!$B$23:$AG$80,31,0)</f>
        <v>0</v>
      </c>
      <c r="AR31" s="1382">
        <f>VLOOKUP($B31,[1]Sheet1!$B$23:$AG$80,30,0)</f>
        <v>0</v>
      </c>
      <c r="AS31" s="868">
        <f t="shared" si="32"/>
        <v>0</v>
      </c>
      <c r="AT31" s="868">
        <f>+VLOOKUP($B31,GUM!$C$14:$AD$49,24,0)</f>
        <v>0</v>
      </c>
      <c r="AU31" s="868">
        <f t="shared" si="33"/>
        <v>0</v>
      </c>
      <c r="AV31" s="944"/>
      <c r="AW31" s="1000">
        <f t="shared" si="34"/>
        <v>0</v>
      </c>
      <c r="AX31" s="1001">
        <f t="shared" si="35"/>
        <v>0</v>
      </c>
      <c r="AY31" s="1001">
        <f t="shared" si="36"/>
        <v>0</v>
      </c>
      <c r="AZ31" s="1001">
        <f t="shared" si="37"/>
        <v>0</v>
      </c>
      <c r="BA31" s="1001">
        <f t="shared" si="38"/>
        <v>0</v>
      </c>
      <c r="BB31" s="868">
        <f t="shared" si="39"/>
        <v>0</v>
      </c>
      <c r="BC31" s="868">
        <f>+VLOOKUP($B31,GUM!$C$14:$AD$49,27,0)</f>
        <v>0</v>
      </c>
      <c r="BD31" s="868">
        <f t="shared" si="40"/>
        <v>0</v>
      </c>
      <c r="BE31" s="940"/>
      <c r="BF31" s="590" t="e">
        <f>+#REF!*#REF!</f>
        <v>#REF!</v>
      </c>
      <c r="BG31" s="590" t="e">
        <f t="shared" si="21"/>
        <v>#N/A</v>
      </c>
      <c r="BH31" s="590">
        <f t="shared" si="22"/>
        <v>0</v>
      </c>
      <c r="BI31" s="590">
        <f t="shared" si="23"/>
        <v>0</v>
      </c>
      <c r="BJ31" s="590">
        <f t="shared" si="24"/>
        <v>0</v>
      </c>
      <c r="BK31" s="762">
        <f>BK29+1</f>
        <v>6</v>
      </c>
    </row>
    <row r="32" spans="1:63" s="1135" customFormat="1" ht="15" hidden="1" customHeight="1">
      <c r="A32" s="1590"/>
      <c r="B32" s="772" t="str">
        <f>+GUM!C38</f>
        <v>82111-F2W63</v>
      </c>
      <c r="C32" s="658" t="str">
        <f>GUM!D38</f>
        <v>B 0201</v>
      </c>
      <c r="D32" s="773"/>
      <c r="E32" s="774"/>
      <c r="F32" s="774"/>
      <c r="G32" s="774"/>
      <c r="H32" s="774"/>
      <c r="I32" s="774"/>
      <c r="J32" s="774"/>
      <c r="K32" s="774"/>
      <c r="L32" s="775"/>
      <c r="M32" s="796">
        <f>VLOOKUP($B32,[1]Sheet1!$B$23:$AG$80,9,0)</f>
        <v>0</v>
      </c>
      <c r="N32" s="794">
        <f>VLOOKUP($B32,[1]Sheet1!$B$23:$AG$80,10,0)</f>
        <v>0</v>
      </c>
      <c r="O32" s="794">
        <f>VLOOKUP($B32,[1]Sheet1!$B$23:$AG$80,11,0)</f>
        <v>0</v>
      </c>
      <c r="P32" s="794">
        <f>VLOOKUP($B32,[1]Sheet1!$B$23:$AG$80,12,0)</f>
        <v>0</v>
      </c>
      <c r="Q32" s="794">
        <f>VLOOKUP($B32,[1]Sheet1!$B$23:$AG$80,13,0)</f>
        <v>0</v>
      </c>
      <c r="R32" s="774">
        <f t="shared" si="26"/>
        <v>0</v>
      </c>
      <c r="S32" s="774">
        <f>+VLOOKUP($B32,GUM!$C$14:$AD$49,15,0)</f>
        <v>0</v>
      </c>
      <c r="T32" s="774">
        <f t="shared" si="27"/>
        <v>0</v>
      </c>
      <c r="U32" s="776"/>
      <c r="V32" s="777">
        <f>VLOOKUP($B32,[1]Sheet1!$B$23:$AG$80,15,0)</f>
        <v>0</v>
      </c>
      <c r="W32" s="774">
        <f>VLOOKUP($B32,[1]Sheet1!$B$23:$AG$80,16,0)</f>
        <v>0</v>
      </c>
      <c r="X32" s="774">
        <f>VLOOKUP($B32,[1]Sheet1!$B$23:$AG$80,17,0)</f>
        <v>0</v>
      </c>
      <c r="Y32" s="774">
        <f>VLOOKUP($B32,[1]Sheet1!$B$23:$AG$80,18,0)</f>
        <v>0</v>
      </c>
      <c r="Z32" s="774">
        <f>VLOOKUP($B32,[1]Sheet1!$B$23:$AG$80,19,0)</f>
        <v>0</v>
      </c>
      <c r="AA32" s="774">
        <f t="shared" si="28"/>
        <v>0</v>
      </c>
      <c r="AB32" s="774">
        <f>+VLOOKUP($B32,GUM!$C$14:$AD$49,18,0)</f>
        <v>0</v>
      </c>
      <c r="AC32" s="774">
        <f t="shared" si="29"/>
        <v>0</v>
      </c>
      <c r="AD32" s="776"/>
      <c r="AE32" s="800">
        <f>VLOOKUP($B32,[1]Sheet1!$B$23:$AG$80,21,0)</f>
        <v>0</v>
      </c>
      <c r="AF32" s="774">
        <f>VLOOKUP($B32,[1]Sheet1!$B$23:$AG$80,22,0)</f>
        <v>0</v>
      </c>
      <c r="AG32" s="774">
        <f>VLOOKUP($B32,[1]Sheet1!$B$23:$AG$80,23,0)</f>
        <v>0</v>
      </c>
      <c r="AH32" s="794">
        <f>VLOOKUP($B32,[1]Sheet1!$B$23:$AG$80,24,0)</f>
        <v>0</v>
      </c>
      <c r="AI32" s="794">
        <f>VLOOKUP($B32,[1]Sheet1!$B$23:$AG$80,25,0)</f>
        <v>0</v>
      </c>
      <c r="AJ32" s="774">
        <f t="shared" si="30"/>
        <v>0</v>
      </c>
      <c r="AK32" s="774">
        <f>+VLOOKUP($B32,GUM!$C$14:$AD$49,21,0)</f>
        <v>0</v>
      </c>
      <c r="AL32" s="774">
        <f t="shared" si="31"/>
        <v>0</v>
      </c>
      <c r="AM32" s="776"/>
      <c r="AN32" s="777">
        <f>VLOOKUP($B32,[1]Sheet1!$B$23:$AG$80,27,0)</f>
        <v>0</v>
      </c>
      <c r="AO32" s="774">
        <f>VLOOKUP($B32,[1]Sheet1!$B$23:$AG$80,28,0)</f>
        <v>0</v>
      </c>
      <c r="AP32" s="774">
        <f>VLOOKUP($B32,[1]Sheet1!$B$23:$AG$80,29,0)</f>
        <v>0</v>
      </c>
      <c r="AQ32" s="1385">
        <f>VLOOKUP($B32,[1]Sheet1!$B$23:$AG$80,31,0)</f>
        <v>0</v>
      </c>
      <c r="AR32" s="1385">
        <f>VLOOKUP($B32,[1]Sheet1!$B$23:$AG$80,30,0)</f>
        <v>0</v>
      </c>
      <c r="AS32" s="774">
        <f t="shared" si="32"/>
        <v>0</v>
      </c>
      <c r="AT32" s="774">
        <f>+VLOOKUP($B32,GUM!$C$14:$AD$49,24,0)</f>
        <v>0</v>
      </c>
      <c r="AU32" s="774">
        <f t="shared" si="33"/>
        <v>0</v>
      </c>
      <c r="AV32" s="775"/>
      <c r="AW32" s="1045">
        <f t="shared" si="34"/>
        <v>0</v>
      </c>
      <c r="AX32" s="1046">
        <f t="shared" si="35"/>
        <v>0</v>
      </c>
      <c r="AY32" s="1046">
        <f t="shared" si="36"/>
        <v>0</v>
      </c>
      <c r="AZ32" s="1046">
        <f t="shared" si="37"/>
        <v>0</v>
      </c>
      <c r="BA32" s="1046">
        <f t="shared" si="38"/>
        <v>0</v>
      </c>
      <c r="BB32" s="774">
        <f t="shared" si="39"/>
        <v>0</v>
      </c>
      <c r="BC32" s="774">
        <f>+VLOOKUP($B32,GUM!$C$14:$AD$49,27,0)</f>
        <v>0</v>
      </c>
      <c r="BD32" s="774">
        <f t="shared" si="40"/>
        <v>0</v>
      </c>
      <c r="BE32" s="776"/>
      <c r="BF32" s="869" t="e">
        <f>+#REF!*#REF!</f>
        <v>#REF!</v>
      </c>
      <c r="BG32" s="869" t="e">
        <f t="shared" si="21"/>
        <v>#N/A</v>
      </c>
      <c r="BH32" s="869">
        <f t="shared" si="22"/>
        <v>0</v>
      </c>
      <c r="BI32" s="869">
        <f t="shared" si="23"/>
        <v>0</v>
      </c>
      <c r="BJ32" s="869">
        <f t="shared" si="24"/>
        <v>0</v>
      </c>
      <c r="BK32" s="1135">
        <f>BK31+1</f>
        <v>7</v>
      </c>
    </row>
    <row r="33" spans="1:63" s="762" customFormat="1" ht="15" hidden="1" customHeight="1">
      <c r="A33" s="1590"/>
      <c r="B33" s="820" t="str">
        <f>+GUM!C39</f>
        <v>82111-F2W83</v>
      </c>
      <c r="C33" s="964" t="str">
        <f>GUM!D39</f>
        <v>B 0301</v>
      </c>
      <c r="D33" s="870"/>
      <c r="E33" s="868"/>
      <c r="F33" s="868"/>
      <c r="G33" s="868"/>
      <c r="H33" s="868"/>
      <c r="I33" s="868"/>
      <c r="J33" s="868"/>
      <c r="K33" s="868"/>
      <c r="L33" s="944"/>
      <c r="M33" s="787">
        <f>VLOOKUP($B33,[1]Sheet1!$B$23:$AG$80,9,0)</f>
        <v>0</v>
      </c>
      <c r="N33" s="785">
        <f>VLOOKUP($B33,[1]Sheet1!$B$23:$AG$80,10,0)</f>
        <v>0</v>
      </c>
      <c r="O33" s="785">
        <f>VLOOKUP($B33,[1]Sheet1!$B$23:$AG$80,11,0)</f>
        <v>0</v>
      </c>
      <c r="P33" s="785">
        <f>VLOOKUP($B33,[1]Sheet1!$B$23:$AG$80,12,0)</f>
        <v>0</v>
      </c>
      <c r="Q33" s="785">
        <f>VLOOKUP($B33,[1]Sheet1!$B$23:$AG$80,13,0)</f>
        <v>0</v>
      </c>
      <c r="R33" s="868">
        <f t="shared" si="26"/>
        <v>0</v>
      </c>
      <c r="S33" s="868">
        <f>+VLOOKUP($B33,GUM!$C$14:$AD$49,15,0)</f>
        <v>0</v>
      </c>
      <c r="T33" s="868">
        <f t="shared" si="27"/>
        <v>0</v>
      </c>
      <c r="U33" s="940"/>
      <c r="V33" s="938">
        <f>VLOOKUP($B33,[1]Sheet1!$B$23:$AG$80,15,0)</f>
        <v>0</v>
      </c>
      <c r="W33" s="868">
        <f>VLOOKUP($B33,[1]Sheet1!$B$23:$AG$80,16,0)</f>
        <v>0</v>
      </c>
      <c r="X33" s="868">
        <f>VLOOKUP($B33,[1]Sheet1!$B$23:$AG$80,17,0)</f>
        <v>0</v>
      </c>
      <c r="Y33" s="868">
        <f>VLOOKUP($B33,[1]Sheet1!$B$23:$AG$80,18,0)</f>
        <v>0</v>
      </c>
      <c r="Z33" s="868">
        <f>VLOOKUP($B33,[1]Sheet1!$B$23:$AG$80,19,0)</f>
        <v>0</v>
      </c>
      <c r="AA33" s="868">
        <f t="shared" si="28"/>
        <v>0</v>
      </c>
      <c r="AB33" s="868">
        <f>+VLOOKUP($B33,GUM!$C$14:$AD$49,18,0)</f>
        <v>0</v>
      </c>
      <c r="AC33" s="868">
        <f t="shared" si="29"/>
        <v>0</v>
      </c>
      <c r="AD33" s="940"/>
      <c r="AE33" s="789">
        <f>VLOOKUP($B33,[1]Sheet1!$B$23:$AG$80,21,0)</f>
        <v>0</v>
      </c>
      <c r="AF33" s="868">
        <f>VLOOKUP($B33,[1]Sheet1!$B$23:$AG$80,22,0)</f>
        <v>0</v>
      </c>
      <c r="AG33" s="868">
        <f>VLOOKUP($B33,[1]Sheet1!$B$23:$AG$80,23,0)</f>
        <v>0</v>
      </c>
      <c r="AH33" s="785">
        <f>VLOOKUP($B33,[1]Sheet1!$B$23:$AG$80,24,0)</f>
        <v>0</v>
      </c>
      <c r="AI33" s="785">
        <f>VLOOKUP($B33,[1]Sheet1!$B$23:$AG$80,25,0)</f>
        <v>0</v>
      </c>
      <c r="AJ33" s="868">
        <f t="shared" si="30"/>
        <v>0</v>
      </c>
      <c r="AK33" s="868">
        <f>+VLOOKUP($B33,GUM!$C$14:$AD$49,21,0)</f>
        <v>0</v>
      </c>
      <c r="AL33" s="868">
        <f t="shared" si="31"/>
        <v>0</v>
      </c>
      <c r="AM33" s="940"/>
      <c r="AN33" s="938">
        <f>VLOOKUP($B33,[1]Sheet1!$B$23:$AG$80,27,0)</f>
        <v>0</v>
      </c>
      <c r="AO33" s="868">
        <f>VLOOKUP($B33,[1]Sheet1!$B$23:$AG$80,28,0)</f>
        <v>0</v>
      </c>
      <c r="AP33" s="868">
        <f>VLOOKUP($B33,[1]Sheet1!$B$23:$AG$80,29,0)</f>
        <v>0</v>
      </c>
      <c r="AQ33" s="1382">
        <f>VLOOKUP($B33,[1]Sheet1!$B$23:$AG$80,31,0)</f>
        <v>0</v>
      </c>
      <c r="AR33" s="1382">
        <f>VLOOKUP($B33,[1]Sheet1!$B$23:$AG$80,30,0)</f>
        <v>0</v>
      </c>
      <c r="AS33" s="868">
        <f t="shared" si="32"/>
        <v>0</v>
      </c>
      <c r="AT33" s="868">
        <f>+VLOOKUP($B33,GUM!$C$14:$AD$49,24,0)</f>
        <v>0</v>
      </c>
      <c r="AU33" s="868">
        <f t="shared" si="33"/>
        <v>0</v>
      </c>
      <c r="AV33" s="944"/>
      <c r="AW33" s="938">
        <f t="shared" si="34"/>
        <v>0</v>
      </c>
      <c r="AX33" s="868">
        <f t="shared" si="35"/>
        <v>0</v>
      </c>
      <c r="AY33" s="868">
        <f t="shared" si="36"/>
        <v>0</v>
      </c>
      <c r="AZ33" s="868">
        <f t="shared" si="37"/>
        <v>0</v>
      </c>
      <c r="BA33" s="868">
        <f t="shared" si="38"/>
        <v>0</v>
      </c>
      <c r="BB33" s="868">
        <f t="shared" si="39"/>
        <v>0</v>
      </c>
      <c r="BC33" s="868">
        <f>+VLOOKUP($B33,GUM!$C$14:$AD$49,27,0)</f>
        <v>0</v>
      </c>
      <c r="BD33" s="868">
        <f t="shared" si="40"/>
        <v>0</v>
      </c>
      <c r="BE33" s="940"/>
      <c r="BF33" s="590" t="e">
        <f>+#REF!*#REF!</f>
        <v>#REF!</v>
      </c>
      <c r="BG33" s="590" t="e">
        <f t="shared" si="21"/>
        <v>#N/A</v>
      </c>
      <c r="BH33" s="590">
        <f t="shared" si="22"/>
        <v>0</v>
      </c>
      <c r="BI33" s="590">
        <f t="shared" si="23"/>
        <v>0</v>
      </c>
      <c r="BJ33" s="590">
        <f t="shared" si="24"/>
        <v>0</v>
      </c>
      <c r="BK33" s="762">
        <f>BK32+1</f>
        <v>8</v>
      </c>
    </row>
    <row r="34" spans="1:63" s="1129" customFormat="1" ht="15" hidden="1" customHeight="1" thickBot="1">
      <c r="A34" s="1591"/>
      <c r="B34" s="1131" t="str">
        <f>+GUM!C40</f>
        <v>82115-F2Y40</v>
      </c>
      <c r="C34" s="1002" t="str">
        <f>GUM!D40</f>
        <v>B 0201</v>
      </c>
      <c r="D34" s="922"/>
      <c r="E34" s="923"/>
      <c r="F34" s="923"/>
      <c r="G34" s="923"/>
      <c r="H34" s="923"/>
      <c r="I34" s="923"/>
      <c r="J34" s="923"/>
      <c r="K34" s="923"/>
      <c r="L34" s="924"/>
      <c r="M34" s="1003">
        <f>VLOOKUP($B34,[1]Sheet1!$B$23:$AG$80,9,0)</f>
        <v>0</v>
      </c>
      <c r="N34" s="926">
        <f>VLOOKUP($B34,[1]Sheet1!$B$23:$AG$80,10,0)</f>
        <v>0</v>
      </c>
      <c r="O34" s="926">
        <f>VLOOKUP($B34,[1]Sheet1!$B$23:$AG$80,11,0)</f>
        <v>0</v>
      </c>
      <c r="P34" s="926">
        <f>VLOOKUP($B34,[1]Sheet1!$B$23:$AG$80,12,0)</f>
        <v>0</v>
      </c>
      <c r="Q34" s="926">
        <f>VLOOKUP($B34,[1]Sheet1!$B$23:$AG$80,13,0)</f>
        <v>0</v>
      </c>
      <c r="R34" s="923">
        <f t="shared" si="26"/>
        <v>0</v>
      </c>
      <c r="S34" s="923">
        <f>+VLOOKUP($B34,GUM!$C$14:$AD$49,15,0)</f>
        <v>0</v>
      </c>
      <c r="T34" s="923">
        <f t="shared" si="27"/>
        <v>0</v>
      </c>
      <c r="U34" s="927"/>
      <c r="V34" s="928">
        <f>VLOOKUP($B34,[1]Sheet1!$B$23:$AG$80,15,0)</f>
        <v>0</v>
      </c>
      <c r="W34" s="923">
        <f>VLOOKUP($B34,[1]Sheet1!$B$23:$AG$80,16,0)</f>
        <v>0</v>
      </c>
      <c r="X34" s="923">
        <f>VLOOKUP($B34,[1]Sheet1!$B$23:$AG$80,17,0)</f>
        <v>0</v>
      </c>
      <c r="Y34" s="923">
        <f>VLOOKUP($B34,[1]Sheet1!$B$23:$AG$80,18,0)</f>
        <v>0</v>
      </c>
      <c r="Z34" s="923">
        <f>VLOOKUP($B34,[1]Sheet1!$B$23:$AG$80,19,0)</f>
        <v>0</v>
      </c>
      <c r="AA34" s="923">
        <f t="shared" si="28"/>
        <v>0</v>
      </c>
      <c r="AB34" s="923">
        <f>+VLOOKUP($B34,GUM!$C$14:$AD$49,18,0)</f>
        <v>0</v>
      </c>
      <c r="AC34" s="923">
        <f t="shared" si="29"/>
        <v>0</v>
      </c>
      <c r="AD34" s="927"/>
      <c r="AE34" s="817">
        <f>VLOOKUP($B34,[1]Sheet1!$B$23:$AG$80,21,0)</f>
        <v>0</v>
      </c>
      <c r="AF34" s="923">
        <f>VLOOKUP($B34,[1]Sheet1!$B$23:$AG$80,22,0)</f>
        <v>0</v>
      </c>
      <c r="AG34" s="923">
        <f>VLOOKUP($B34,[1]Sheet1!$B$23:$AG$80,23,0)</f>
        <v>0</v>
      </c>
      <c r="AH34" s="926">
        <f>VLOOKUP($B34,[1]Sheet1!$B$23:$AG$80,24,0)</f>
        <v>0</v>
      </c>
      <c r="AI34" s="926">
        <f>VLOOKUP($B34,[1]Sheet1!$B$23:$AG$80,25,0)</f>
        <v>0</v>
      </c>
      <c r="AJ34" s="923">
        <f t="shared" si="30"/>
        <v>0</v>
      </c>
      <c r="AK34" s="923">
        <f>+VLOOKUP($B34,GUM!$C$14:$AD$49,21,0)</f>
        <v>0</v>
      </c>
      <c r="AL34" s="923">
        <f t="shared" si="31"/>
        <v>0</v>
      </c>
      <c r="AM34" s="927"/>
      <c r="AN34" s="928">
        <f>VLOOKUP($B34,[1]Sheet1!$B$23:$AG$80,27,0)</f>
        <v>0</v>
      </c>
      <c r="AO34" s="923">
        <f>VLOOKUP($B34,[1]Sheet1!$B$23:$AG$80,28,0)</f>
        <v>0</v>
      </c>
      <c r="AP34" s="923">
        <f>VLOOKUP($B34,[1]Sheet1!$B$23:$AG$80,29,0)</f>
        <v>0</v>
      </c>
      <c r="AQ34" s="1381">
        <f>VLOOKUP($B34,[1]Sheet1!$B$23:$AG$80,31,0)</f>
        <v>0</v>
      </c>
      <c r="AR34" s="1381">
        <f>VLOOKUP($B34,[1]Sheet1!$B$23:$AG$80,30,0)</f>
        <v>0</v>
      </c>
      <c r="AS34" s="923">
        <f t="shared" si="32"/>
        <v>0</v>
      </c>
      <c r="AT34" s="923">
        <f>+VLOOKUP($B34,GUM!$C$14:$AD$49,24,0)</f>
        <v>0</v>
      </c>
      <c r="AU34" s="923">
        <f t="shared" si="33"/>
        <v>0</v>
      </c>
      <c r="AV34" s="924"/>
      <c r="AW34" s="928">
        <f t="shared" si="34"/>
        <v>0</v>
      </c>
      <c r="AX34" s="923">
        <f t="shared" si="35"/>
        <v>0</v>
      </c>
      <c r="AY34" s="923">
        <f t="shared" si="36"/>
        <v>0</v>
      </c>
      <c r="AZ34" s="923">
        <f t="shared" si="37"/>
        <v>0</v>
      </c>
      <c r="BA34" s="923">
        <f t="shared" si="38"/>
        <v>0</v>
      </c>
      <c r="BB34" s="923">
        <f t="shared" si="39"/>
        <v>0</v>
      </c>
      <c r="BC34" s="923">
        <f>+VLOOKUP($B34,GUM!$C$14:$AD$49,27,0)</f>
        <v>0</v>
      </c>
      <c r="BD34" s="923">
        <f t="shared" si="40"/>
        <v>0</v>
      </c>
      <c r="BE34" s="927"/>
      <c r="BF34" s="1011" t="e">
        <f>+#REF!*#REF!</f>
        <v>#REF!</v>
      </c>
      <c r="BG34" s="1011" t="e">
        <f>+D34*D$8</f>
        <v>#N/A</v>
      </c>
      <c r="BH34" s="1011">
        <f>+M34*M$8</f>
        <v>0</v>
      </c>
      <c r="BI34" s="1011">
        <f>+V34*V$8</f>
        <v>0</v>
      </c>
      <c r="BJ34" s="1011">
        <f>+AE34*AE$8</f>
        <v>0</v>
      </c>
      <c r="BK34" s="1129">
        <f>BK33+1</f>
        <v>9</v>
      </c>
    </row>
    <row r="35" spans="1:63" s="762" customFormat="1" ht="15" hidden="1" customHeight="1">
      <c r="A35" s="1589" t="s">
        <v>192</v>
      </c>
      <c r="B35" s="820" t="str">
        <f>+GUM!C41</f>
        <v>82111-F2132</v>
      </c>
      <c r="C35" s="964" t="str">
        <f>GUM!D41</f>
        <v>B 0001</v>
      </c>
      <c r="D35" s="870"/>
      <c r="E35" s="868"/>
      <c r="F35" s="868"/>
      <c r="G35" s="868"/>
      <c r="H35" s="868"/>
      <c r="I35" s="868"/>
      <c r="J35" s="868"/>
      <c r="K35" s="868"/>
      <c r="L35" s="944"/>
      <c r="M35" s="787">
        <f>VLOOKUP($B35,[1]Sheet1!$B$23:$AG$80,9,0)</f>
        <v>0</v>
      </c>
      <c r="N35" s="785">
        <f>VLOOKUP($B35,[1]Sheet1!$B$23:$AG$80,10,0)</f>
        <v>0</v>
      </c>
      <c r="O35" s="785">
        <f>VLOOKUP($B35,[1]Sheet1!$B$23:$AG$80,11,0)</f>
        <v>0</v>
      </c>
      <c r="P35" s="785">
        <f>VLOOKUP($B35,[1]Sheet1!$B$23:$AG$80,12,0)</f>
        <v>0</v>
      </c>
      <c r="Q35" s="785">
        <f>VLOOKUP($B35,[1]Sheet1!$B$23:$AG$80,13,0)</f>
        <v>0</v>
      </c>
      <c r="R35" s="868">
        <f t="shared" si="26"/>
        <v>0</v>
      </c>
      <c r="S35" s="868">
        <f>+VLOOKUP($B35,GUM!$C$14:$AD$49,15,0)</f>
        <v>0</v>
      </c>
      <c r="T35" s="868">
        <f t="shared" si="27"/>
        <v>0</v>
      </c>
      <c r="U35" s="939"/>
      <c r="V35" s="938">
        <f>VLOOKUP($B35,[1]Sheet1!$B$23:$AG$80,15,0)</f>
        <v>0</v>
      </c>
      <c r="W35" s="868">
        <f>VLOOKUP($B35,[1]Sheet1!$B$23:$AG$80,16,0)</f>
        <v>0</v>
      </c>
      <c r="X35" s="868">
        <f>VLOOKUP($B35,[1]Sheet1!$B$23:$AG$80,17,0)</f>
        <v>0</v>
      </c>
      <c r="Y35" s="868">
        <f>VLOOKUP($B35,[1]Sheet1!$B$23:$AG$80,18,0)</f>
        <v>0</v>
      </c>
      <c r="Z35" s="868">
        <f>VLOOKUP($B35,[1]Sheet1!$B$23:$AG$80,19,0)</f>
        <v>0</v>
      </c>
      <c r="AA35" s="868">
        <f t="shared" si="28"/>
        <v>0</v>
      </c>
      <c r="AB35" s="868">
        <f>+VLOOKUP($B35,GUM!$C$14:$AD$49,18,0)</f>
        <v>0</v>
      </c>
      <c r="AC35" s="868">
        <f t="shared" si="29"/>
        <v>0</v>
      </c>
      <c r="AD35" s="940"/>
      <c r="AE35" s="789">
        <f>VLOOKUP($B35,[1]Sheet1!$B$23:$AG$80,21,0)</f>
        <v>0</v>
      </c>
      <c r="AF35" s="868">
        <f>VLOOKUP($B35,[1]Sheet1!$B$23:$AG$80,22,0)</f>
        <v>0</v>
      </c>
      <c r="AG35" s="868">
        <f>VLOOKUP($B35,[1]Sheet1!$B$23:$AG$80,23,0)</f>
        <v>0</v>
      </c>
      <c r="AH35" s="785">
        <f>VLOOKUP($B35,[1]Sheet1!$B$23:$AG$80,24,0)</f>
        <v>0</v>
      </c>
      <c r="AI35" s="785">
        <f>VLOOKUP($B35,[1]Sheet1!$B$23:$AG$80,25,0)</f>
        <v>0</v>
      </c>
      <c r="AJ35" s="868">
        <f t="shared" si="30"/>
        <v>0</v>
      </c>
      <c r="AK35" s="868">
        <f>+VLOOKUP($B35,GUM!$C$14:$AD$49,21,0)</f>
        <v>0</v>
      </c>
      <c r="AL35" s="868">
        <f t="shared" si="31"/>
        <v>0</v>
      </c>
      <c r="AM35" s="940"/>
      <c r="AN35" s="938">
        <f>VLOOKUP($B35,[1]Sheet1!$B$23:$AG$80,27,0)</f>
        <v>0</v>
      </c>
      <c r="AO35" s="868">
        <f>VLOOKUP($B35,[1]Sheet1!$B$23:$AG$80,28,0)</f>
        <v>0</v>
      </c>
      <c r="AP35" s="868">
        <f>VLOOKUP($B35,[1]Sheet1!$B$23:$AG$80,29,0)</f>
        <v>0</v>
      </c>
      <c r="AQ35" s="1382">
        <f>VLOOKUP($B35,[1]Sheet1!$B$23:$AG$80,31,0)</f>
        <v>0</v>
      </c>
      <c r="AR35" s="1382">
        <f>VLOOKUP($B35,[1]Sheet1!$B$23:$AG$80,30,0)</f>
        <v>0</v>
      </c>
      <c r="AS35" s="868">
        <f t="shared" si="32"/>
        <v>0</v>
      </c>
      <c r="AT35" s="868">
        <f>+VLOOKUP($B35,GUM!$C$14:$AD$49,24,0)</f>
        <v>0</v>
      </c>
      <c r="AU35" s="868">
        <f t="shared" si="33"/>
        <v>0</v>
      </c>
      <c r="AV35" s="944"/>
      <c r="AW35" s="938">
        <f t="shared" si="34"/>
        <v>0</v>
      </c>
      <c r="AX35" s="868">
        <f t="shared" si="35"/>
        <v>0</v>
      </c>
      <c r="AY35" s="868">
        <f t="shared" si="36"/>
        <v>0</v>
      </c>
      <c r="AZ35" s="868">
        <f t="shared" si="37"/>
        <v>0</v>
      </c>
      <c r="BA35" s="868">
        <f t="shared" si="38"/>
        <v>0</v>
      </c>
      <c r="BB35" s="868">
        <f t="shared" si="39"/>
        <v>0</v>
      </c>
      <c r="BC35" s="868">
        <f>+VLOOKUP($B35,GUM!$C$14:$AD$49,27,0)</f>
        <v>0</v>
      </c>
      <c r="BD35" s="868">
        <f t="shared" si="40"/>
        <v>0</v>
      </c>
      <c r="BE35" s="940"/>
      <c r="BF35" s="590" t="e">
        <f>+#REF!*#REF!</f>
        <v>#REF!</v>
      </c>
      <c r="BG35" s="590" t="e">
        <f>+D35*D$8</f>
        <v>#N/A</v>
      </c>
      <c r="BH35" s="590">
        <f>+M35*M$8</f>
        <v>0</v>
      </c>
      <c r="BI35" s="590">
        <f>+V35*V$8</f>
        <v>0</v>
      </c>
      <c r="BJ35" s="590">
        <f>+AE35*AE$8</f>
        <v>0</v>
      </c>
      <c r="BK35" s="762">
        <f>BK31+1</f>
        <v>7</v>
      </c>
    </row>
    <row r="36" spans="1:63" s="762" customFormat="1" ht="15" hidden="1" customHeight="1">
      <c r="A36" s="1590"/>
      <c r="B36" s="772" t="str">
        <f>+GUM!C42</f>
        <v>82111-F2152</v>
      </c>
      <c r="C36" s="658" t="str">
        <f>GUM!D42</f>
        <v>A 0301</v>
      </c>
      <c r="D36" s="773"/>
      <c r="E36" s="774"/>
      <c r="F36" s="774"/>
      <c r="G36" s="774"/>
      <c r="H36" s="774"/>
      <c r="I36" s="774"/>
      <c r="J36" s="774"/>
      <c r="K36" s="774"/>
      <c r="L36" s="775"/>
      <c r="M36" s="787">
        <f>VLOOKUP($B36,[1]Sheet1!$B$23:$AG$80,9,0)</f>
        <v>0</v>
      </c>
      <c r="N36" s="785">
        <f>VLOOKUP($B36,[1]Sheet1!$B$23:$AG$80,10,0)</f>
        <v>0</v>
      </c>
      <c r="O36" s="785">
        <f>VLOOKUP($B36,[1]Sheet1!$B$23:$AG$80,11,0)</f>
        <v>0</v>
      </c>
      <c r="P36" s="785">
        <f>VLOOKUP($B36,[1]Sheet1!$B$23:$AG$80,12,0)</f>
        <v>0</v>
      </c>
      <c r="Q36" s="785">
        <f>VLOOKUP($B36,[1]Sheet1!$B$23:$AG$80,13,0)</f>
        <v>0</v>
      </c>
      <c r="R36" s="868">
        <f t="shared" si="26"/>
        <v>0</v>
      </c>
      <c r="S36" s="868">
        <f>+VLOOKUP($B36,GUM!$C$14:$AD$49,15,0)</f>
        <v>0</v>
      </c>
      <c r="T36" s="868">
        <f t="shared" si="27"/>
        <v>0</v>
      </c>
      <c r="U36" s="939"/>
      <c r="V36" s="938">
        <f>VLOOKUP($B36,[1]Sheet1!$B$23:$AG$80,15,0)</f>
        <v>0</v>
      </c>
      <c r="W36" s="868">
        <f>VLOOKUP($B36,[1]Sheet1!$B$23:$AG$80,16,0)</f>
        <v>0</v>
      </c>
      <c r="X36" s="868">
        <f>VLOOKUP($B36,[1]Sheet1!$B$23:$AG$80,17,0)</f>
        <v>0</v>
      </c>
      <c r="Y36" s="868">
        <f>VLOOKUP($B36,[1]Sheet1!$B$23:$AG$80,18,0)</f>
        <v>0</v>
      </c>
      <c r="Z36" s="868">
        <f>VLOOKUP($B36,[1]Sheet1!$B$23:$AG$80,19,0)</f>
        <v>0</v>
      </c>
      <c r="AA36" s="868">
        <f t="shared" si="28"/>
        <v>0</v>
      </c>
      <c r="AB36" s="868">
        <f>+VLOOKUP($B36,GUM!$C$14:$AD$49,18,0)</f>
        <v>0</v>
      </c>
      <c r="AC36" s="868">
        <f t="shared" si="29"/>
        <v>0</v>
      </c>
      <c r="AD36" s="940"/>
      <c r="AE36" s="789">
        <f>VLOOKUP($B36,[1]Sheet1!$B$23:$AG$80,21,0)</f>
        <v>0</v>
      </c>
      <c r="AF36" s="868">
        <f>VLOOKUP($B36,[1]Sheet1!$B$23:$AG$80,22,0)</f>
        <v>0</v>
      </c>
      <c r="AG36" s="868">
        <f>VLOOKUP($B36,[1]Sheet1!$B$23:$AG$80,23,0)</f>
        <v>0</v>
      </c>
      <c r="AH36" s="785">
        <f>VLOOKUP($B36,[1]Sheet1!$B$23:$AG$80,24,0)</f>
        <v>0</v>
      </c>
      <c r="AI36" s="785">
        <f>VLOOKUP($B36,[1]Sheet1!$B$23:$AG$80,25,0)</f>
        <v>0</v>
      </c>
      <c r="AJ36" s="868">
        <f t="shared" si="30"/>
        <v>0</v>
      </c>
      <c r="AK36" s="868">
        <f>+VLOOKUP($B36,GUM!$C$14:$AD$49,21,0)</f>
        <v>0</v>
      </c>
      <c r="AL36" s="868">
        <f t="shared" si="31"/>
        <v>0</v>
      </c>
      <c r="AM36" s="940"/>
      <c r="AN36" s="938">
        <f>VLOOKUP($B36,[1]Sheet1!$B$23:$AG$80,27,0)</f>
        <v>0</v>
      </c>
      <c r="AO36" s="868">
        <f>VLOOKUP($B36,[1]Sheet1!$B$23:$AG$80,28,0)</f>
        <v>0</v>
      </c>
      <c r="AP36" s="868">
        <f>VLOOKUP($B36,[1]Sheet1!$B$23:$AG$80,29,0)</f>
        <v>0</v>
      </c>
      <c r="AQ36" s="1382">
        <f>VLOOKUP($B36,[1]Sheet1!$B$23:$AG$80,31,0)</f>
        <v>0</v>
      </c>
      <c r="AR36" s="1382">
        <f>VLOOKUP($B36,[1]Sheet1!$B$23:$AG$80,30,0)</f>
        <v>0</v>
      </c>
      <c r="AS36" s="868">
        <f t="shared" si="32"/>
        <v>0</v>
      </c>
      <c r="AT36" s="868">
        <f>+VLOOKUP($B36,GUM!$C$14:$AD$49,24,0)</f>
        <v>0</v>
      </c>
      <c r="AU36" s="868">
        <f t="shared" si="33"/>
        <v>0</v>
      </c>
      <c r="AV36" s="944"/>
      <c r="AW36" s="938">
        <f t="shared" si="34"/>
        <v>0</v>
      </c>
      <c r="AX36" s="868">
        <f t="shared" si="35"/>
        <v>0</v>
      </c>
      <c r="AY36" s="868">
        <f t="shared" si="36"/>
        <v>0</v>
      </c>
      <c r="AZ36" s="868">
        <f t="shared" si="37"/>
        <v>0</v>
      </c>
      <c r="BA36" s="868">
        <f t="shared" si="38"/>
        <v>0</v>
      </c>
      <c r="BB36" s="868">
        <f t="shared" si="39"/>
        <v>0</v>
      </c>
      <c r="BC36" s="868">
        <f>+VLOOKUP($B36,GUM!$C$14:$AD$49,27,0)</f>
        <v>0</v>
      </c>
      <c r="BD36" s="868">
        <f t="shared" si="40"/>
        <v>0</v>
      </c>
      <c r="BE36" s="940"/>
      <c r="BF36" s="590" t="e">
        <f>+#REF!*#REF!</f>
        <v>#REF!</v>
      </c>
      <c r="BG36" s="590" t="e">
        <f>+D36*D$8</f>
        <v>#N/A</v>
      </c>
      <c r="BH36" s="590">
        <f>+M36*M$8</f>
        <v>0</v>
      </c>
      <c r="BI36" s="590">
        <f>+V36*V$8</f>
        <v>0</v>
      </c>
      <c r="BJ36" s="590">
        <f>+AE36*AE$8</f>
        <v>0</v>
      </c>
      <c r="BK36" s="762">
        <f>BK31+1</f>
        <v>7</v>
      </c>
    </row>
    <row r="37" spans="1:63" s="762" customFormat="1" ht="15" hidden="1" customHeight="1">
      <c r="A37" s="1590"/>
      <c r="B37" s="772" t="str">
        <f>+GUM!C43</f>
        <v>82111-F2X02</v>
      </c>
      <c r="C37" s="658" t="str">
        <f>GUM!D43</f>
        <v>A 0301</v>
      </c>
      <c r="D37" s="773"/>
      <c r="E37" s="774"/>
      <c r="F37" s="774"/>
      <c r="G37" s="774"/>
      <c r="H37" s="774"/>
      <c r="I37" s="774"/>
      <c r="J37" s="774"/>
      <c r="K37" s="774"/>
      <c r="L37" s="775"/>
      <c r="M37" s="787">
        <f>VLOOKUP($B37,[1]Sheet1!$B$23:$AG$80,9,0)</f>
        <v>0</v>
      </c>
      <c r="N37" s="785">
        <f>VLOOKUP($B37,[1]Sheet1!$B$23:$AG$80,10,0)</f>
        <v>0</v>
      </c>
      <c r="O37" s="785">
        <f>VLOOKUP($B37,[1]Sheet1!$B$23:$AG$80,11,0)</f>
        <v>0</v>
      </c>
      <c r="P37" s="785">
        <f>VLOOKUP($B37,[1]Sheet1!$B$23:$AG$80,12,0)</f>
        <v>0</v>
      </c>
      <c r="Q37" s="785">
        <f>VLOOKUP($B37,[1]Sheet1!$B$23:$AG$80,13,0)</f>
        <v>0</v>
      </c>
      <c r="R37" s="868">
        <f t="shared" si="26"/>
        <v>0</v>
      </c>
      <c r="S37" s="868">
        <f>+VLOOKUP($B37,GUM!$C$14:$AD$49,15,0)</f>
        <v>0</v>
      </c>
      <c r="T37" s="868">
        <f t="shared" si="27"/>
        <v>0</v>
      </c>
      <c r="U37" s="939"/>
      <c r="V37" s="938">
        <f>VLOOKUP($B37,[1]Sheet1!$B$23:$AG$80,15,0)</f>
        <v>0</v>
      </c>
      <c r="W37" s="868">
        <f>VLOOKUP($B37,[1]Sheet1!$B$23:$AG$80,16,0)</f>
        <v>0</v>
      </c>
      <c r="X37" s="868">
        <f>VLOOKUP($B37,[1]Sheet1!$B$23:$AG$80,17,0)</f>
        <v>0</v>
      </c>
      <c r="Y37" s="868">
        <f>VLOOKUP($B37,[1]Sheet1!$B$23:$AG$80,18,0)</f>
        <v>0</v>
      </c>
      <c r="Z37" s="868">
        <f>VLOOKUP($B37,[1]Sheet1!$B$23:$AG$80,19,0)</f>
        <v>0</v>
      </c>
      <c r="AA37" s="868">
        <f t="shared" si="28"/>
        <v>0</v>
      </c>
      <c r="AB37" s="868">
        <f>+VLOOKUP($B37,GUM!$C$14:$AD$49,18,0)</f>
        <v>0</v>
      </c>
      <c r="AC37" s="868">
        <f t="shared" si="29"/>
        <v>0</v>
      </c>
      <c r="AD37" s="940"/>
      <c r="AE37" s="789">
        <f>VLOOKUP($B37,[1]Sheet1!$B$23:$AG$80,21,0)</f>
        <v>0</v>
      </c>
      <c r="AF37" s="868">
        <f>VLOOKUP($B37,[1]Sheet1!$B$23:$AG$80,22,0)</f>
        <v>0</v>
      </c>
      <c r="AG37" s="868">
        <f>VLOOKUP($B37,[1]Sheet1!$B$23:$AG$80,23,0)</f>
        <v>0</v>
      </c>
      <c r="AH37" s="785">
        <f>VLOOKUP($B37,[1]Sheet1!$B$23:$AG$80,24,0)</f>
        <v>0</v>
      </c>
      <c r="AI37" s="785">
        <f>VLOOKUP($B37,[1]Sheet1!$B$23:$AG$80,25,0)</f>
        <v>0</v>
      </c>
      <c r="AJ37" s="868">
        <f t="shared" si="30"/>
        <v>0</v>
      </c>
      <c r="AK37" s="868">
        <f>+VLOOKUP($B37,GUM!$C$14:$AD$49,21,0)</f>
        <v>0</v>
      </c>
      <c r="AL37" s="868">
        <f t="shared" si="31"/>
        <v>0</v>
      </c>
      <c r="AM37" s="940"/>
      <c r="AN37" s="938">
        <f>VLOOKUP($B37,[1]Sheet1!$B$23:$AG$80,27,0)</f>
        <v>0</v>
      </c>
      <c r="AO37" s="868">
        <f>VLOOKUP($B37,[1]Sheet1!$B$23:$AG$80,28,0)</f>
        <v>0</v>
      </c>
      <c r="AP37" s="868">
        <f>VLOOKUP($B37,[1]Sheet1!$B$23:$AG$80,29,0)</f>
        <v>0</v>
      </c>
      <c r="AQ37" s="1382">
        <f>VLOOKUP($B37,[1]Sheet1!$B$23:$AG$80,31,0)</f>
        <v>0</v>
      </c>
      <c r="AR37" s="1382">
        <f>VLOOKUP($B37,[1]Sheet1!$B$23:$AG$80,30,0)</f>
        <v>0</v>
      </c>
      <c r="AS37" s="868">
        <f t="shared" si="32"/>
        <v>0</v>
      </c>
      <c r="AT37" s="868">
        <f>+VLOOKUP($B37,GUM!$C$14:$AD$49,24,0)</f>
        <v>0</v>
      </c>
      <c r="AU37" s="868">
        <f t="shared" si="33"/>
        <v>0</v>
      </c>
      <c r="AV37" s="944"/>
      <c r="AW37" s="938">
        <f t="shared" si="34"/>
        <v>0</v>
      </c>
      <c r="AX37" s="868">
        <f t="shared" si="35"/>
        <v>0</v>
      </c>
      <c r="AY37" s="868">
        <f t="shared" si="36"/>
        <v>0</v>
      </c>
      <c r="AZ37" s="868">
        <f t="shared" si="37"/>
        <v>0</v>
      </c>
      <c r="BA37" s="868">
        <f t="shared" si="38"/>
        <v>0</v>
      </c>
      <c r="BB37" s="868">
        <f t="shared" si="39"/>
        <v>0</v>
      </c>
      <c r="BC37" s="868">
        <f>+VLOOKUP($B37,GUM!$C$14:$AD$49,27,0)</f>
        <v>0</v>
      </c>
      <c r="BD37" s="868">
        <f t="shared" si="40"/>
        <v>0</v>
      </c>
      <c r="BE37" s="940"/>
      <c r="BF37" s="590" t="e">
        <f>+#REF!*#REF!</f>
        <v>#REF!</v>
      </c>
      <c r="BG37" s="590" t="e">
        <f>+D37*D$8</f>
        <v>#N/A</v>
      </c>
      <c r="BH37" s="590">
        <f>+M37*M$8</f>
        <v>0</v>
      </c>
      <c r="BI37" s="590">
        <f>+V37*V$8</f>
        <v>0</v>
      </c>
      <c r="BJ37" s="590">
        <f>+AE37*AE$8</f>
        <v>0</v>
      </c>
      <c r="BK37" s="762">
        <f>BK32+1</f>
        <v>8</v>
      </c>
    </row>
    <row r="38" spans="1:63" s="762" customFormat="1" ht="15" hidden="1" customHeight="1" thickBot="1">
      <c r="A38" s="1591"/>
      <c r="B38" s="772" t="str">
        <f>+GUM!C44</f>
        <v>82111-F2C11</v>
      </c>
      <c r="C38" s="658" t="str">
        <f>GUM!D44</f>
        <v>B 0001</v>
      </c>
      <c r="D38" s="773"/>
      <c r="E38" s="774"/>
      <c r="F38" s="774"/>
      <c r="G38" s="774"/>
      <c r="H38" s="774"/>
      <c r="I38" s="774"/>
      <c r="J38" s="774"/>
      <c r="K38" s="774"/>
      <c r="L38" s="775"/>
      <c r="M38" s="787">
        <f>VLOOKUP($B38,[1]Sheet1!$B$23:$AG$80,9,0)</f>
        <v>0</v>
      </c>
      <c r="N38" s="785">
        <f>VLOOKUP($B38,[1]Sheet1!$B$23:$AG$80,10,0)</f>
        <v>0</v>
      </c>
      <c r="O38" s="785">
        <f>VLOOKUP($B38,[1]Sheet1!$B$23:$AG$80,11,0)</f>
        <v>0</v>
      </c>
      <c r="P38" s="785">
        <f>VLOOKUP($B38,[1]Sheet1!$B$23:$AG$80,12,0)</f>
        <v>0</v>
      </c>
      <c r="Q38" s="785">
        <f>VLOOKUP($B38,[1]Sheet1!$B$23:$AG$80,13,0)</f>
        <v>0</v>
      </c>
      <c r="R38" s="868">
        <f t="shared" si="26"/>
        <v>0</v>
      </c>
      <c r="S38" s="868">
        <f>+VLOOKUP($B38,GUM!$C$14:$AD$49,15,0)</f>
        <v>0</v>
      </c>
      <c r="T38" s="868">
        <f t="shared" si="27"/>
        <v>0</v>
      </c>
      <c r="U38" s="939"/>
      <c r="V38" s="938">
        <f>VLOOKUP($B38,[1]Sheet1!$B$23:$AG$80,15,0)</f>
        <v>0</v>
      </c>
      <c r="W38" s="868">
        <f>VLOOKUP($B38,[1]Sheet1!$B$23:$AG$80,16,0)</f>
        <v>0</v>
      </c>
      <c r="X38" s="868">
        <f>VLOOKUP($B38,[1]Sheet1!$B$23:$AG$80,17,0)</f>
        <v>0</v>
      </c>
      <c r="Y38" s="868">
        <f>VLOOKUP($B38,[1]Sheet1!$B$23:$AG$80,18,0)</f>
        <v>0</v>
      </c>
      <c r="Z38" s="868">
        <f>VLOOKUP($B38,[1]Sheet1!$B$23:$AG$80,19,0)</f>
        <v>0</v>
      </c>
      <c r="AA38" s="868">
        <f t="shared" si="28"/>
        <v>0</v>
      </c>
      <c r="AB38" s="868">
        <f>+VLOOKUP($B38,GUM!$C$14:$AD$49,18,0)</f>
        <v>0</v>
      </c>
      <c r="AC38" s="868">
        <f t="shared" si="29"/>
        <v>0</v>
      </c>
      <c r="AD38" s="940"/>
      <c r="AE38" s="789">
        <f>VLOOKUP($B38,[1]Sheet1!$B$23:$AG$80,21,0)</f>
        <v>0</v>
      </c>
      <c r="AF38" s="868">
        <f>VLOOKUP($B38,[1]Sheet1!$B$23:$AG$80,22,0)</f>
        <v>0</v>
      </c>
      <c r="AG38" s="868">
        <f>VLOOKUP($B38,[1]Sheet1!$B$23:$AG$80,23,0)</f>
        <v>0</v>
      </c>
      <c r="AH38" s="785">
        <f>VLOOKUP($B38,[1]Sheet1!$B$23:$AG$80,24,0)</f>
        <v>0</v>
      </c>
      <c r="AI38" s="785">
        <f>VLOOKUP($B38,[1]Sheet1!$B$23:$AG$80,25,0)</f>
        <v>0</v>
      </c>
      <c r="AJ38" s="868">
        <f t="shared" si="30"/>
        <v>0</v>
      </c>
      <c r="AK38" s="868">
        <f>+VLOOKUP($B38,GUM!$C$14:$AD$49,21,0)</f>
        <v>0</v>
      </c>
      <c r="AL38" s="868">
        <f t="shared" si="31"/>
        <v>0</v>
      </c>
      <c r="AM38" s="940"/>
      <c r="AN38" s="938">
        <f>VLOOKUP($B38,[1]Sheet1!$B$23:$AG$80,27,0)</f>
        <v>0</v>
      </c>
      <c r="AO38" s="868">
        <f>VLOOKUP($B38,[1]Sheet1!$B$23:$AG$80,28,0)</f>
        <v>0</v>
      </c>
      <c r="AP38" s="868">
        <f>VLOOKUP($B38,[1]Sheet1!$B$23:$AG$80,29,0)</f>
        <v>0</v>
      </c>
      <c r="AQ38" s="1382">
        <f>VLOOKUP($B38,[1]Sheet1!$B$23:$AG$80,31,0)</f>
        <v>0</v>
      </c>
      <c r="AR38" s="1382">
        <f>VLOOKUP($B38,[1]Sheet1!$B$23:$AG$80,30,0)</f>
        <v>0</v>
      </c>
      <c r="AS38" s="868">
        <f t="shared" si="32"/>
        <v>0</v>
      </c>
      <c r="AT38" s="868">
        <f>+VLOOKUP($B38,GUM!$C$14:$AD$49,24,0)</f>
        <v>0</v>
      </c>
      <c r="AU38" s="868">
        <f t="shared" si="33"/>
        <v>0</v>
      </c>
      <c r="AV38" s="944"/>
      <c r="AW38" s="938">
        <f t="shared" si="34"/>
        <v>0</v>
      </c>
      <c r="AX38" s="868">
        <f t="shared" si="35"/>
        <v>0</v>
      </c>
      <c r="AY38" s="868">
        <f t="shared" si="36"/>
        <v>0</v>
      </c>
      <c r="AZ38" s="868">
        <f t="shared" si="37"/>
        <v>0</v>
      </c>
      <c r="BA38" s="868">
        <f t="shared" si="38"/>
        <v>0</v>
      </c>
      <c r="BB38" s="868">
        <f t="shared" si="39"/>
        <v>0</v>
      </c>
      <c r="BC38" s="868">
        <f>+VLOOKUP($B38,GUM!$C$14:$AD$49,27,0)</f>
        <v>0</v>
      </c>
      <c r="BD38" s="868">
        <f t="shared" si="40"/>
        <v>0</v>
      </c>
      <c r="BE38" s="940"/>
      <c r="BF38" s="590" t="e">
        <f>+#REF!*#REF!</f>
        <v>#REF!</v>
      </c>
      <c r="BG38" s="590" t="e">
        <f>+D38*D$8</f>
        <v>#N/A</v>
      </c>
      <c r="BH38" s="590">
        <f>+M38*M$8</f>
        <v>0</v>
      </c>
      <c r="BI38" s="590">
        <f>+V38*V$8</f>
        <v>0</v>
      </c>
      <c r="BJ38" s="590">
        <f>+AE38*AE$8</f>
        <v>0</v>
      </c>
      <c r="BK38" s="762">
        <f>BK33+1</f>
        <v>9</v>
      </c>
    </row>
    <row r="39" spans="1:63" s="792" customFormat="1" ht="15" hidden="1">
      <c r="A39" s="1592"/>
      <c r="B39" s="996"/>
      <c r="C39" s="958"/>
      <c r="D39" s="959"/>
      <c r="E39" s="943"/>
      <c r="F39" s="943"/>
      <c r="G39" s="943"/>
      <c r="H39" s="943"/>
      <c r="I39" s="943"/>
      <c r="J39" s="943"/>
      <c r="K39" s="943"/>
      <c r="L39" s="960"/>
      <c r="M39" s="942"/>
      <c r="N39" s="943"/>
      <c r="O39" s="943"/>
      <c r="P39" s="943"/>
      <c r="Q39" s="943"/>
      <c r="R39" s="943"/>
      <c r="S39" s="943"/>
      <c r="T39" s="943"/>
      <c r="U39" s="961"/>
      <c r="V39" s="962"/>
      <c r="W39" s="943"/>
      <c r="X39" s="943"/>
      <c r="Y39" s="943"/>
      <c r="Z39" s="943"/>
      <c r="AA39" s="943"/>
      <c r="AB39" s="943"/>
      <c r="AC39" s="943"/>
      <c r="AD39" s="963"/>
      <c r="AE39" s="942"/>
      <c r="AF39" s="943"/>
      <c r="AG39" s="943"/>
      <c r="AH39" s="943"/>
      <c r="AI39" s="943"/>
      <c r="AJ39" s="943"/>
      <c r="AK39" s="943"/>
      <c r="AL39" s="943"/>
      <c r="AM39" s="963"/>
      <c r="AN39" s="942"/>
      <c r="AO39" s="943"/>
      <c r="AP39" s="943"/>
      <c r="AQ39" s="1383"/>
      <c r="AR39" s="1383"/>
      <c r="AS39" s="943"/>
      <c r="AT39" s="943"/>
      <c r="AU39" s="943"/>
      <c r="AV39" s="960"/>
      <c r="AW39" s="962">
        <f t="shared" ref="AW39:AW45" si="41">+AN39</f>
        <v>0</v>
      </c>
      <c r="AX39" s="943">
        <f t="shared" ref="AX39:AX45" si="42">+AO39</f>
        <v>0</v>
      </c>
      <c r="AY39" s="943">
        <f t="shared" ref="AY39:AY45" si="43">+AP39</f>
        <v>0</v>
      </c>
      <c r="AZ39" s="943">
        <f t="shared" ref="AZ39:AZ45" si="44">+AR39</f>
        <v>0</v>
      </c>
      <c r="BA39" s="943">
        <f t="shared" ref="BA39:BA45" si="45">+AQ39</f>
        <v>0</v>
      </c>
      <c r="BB39" s="943"/>
      <c r="BC39" s="943"/>
      <c r="BD39" s="943"/>
      <c r="BE39" s="963"/>
      <c r="BF39" s="791"/>
      <c r="BG39" s="791"/>
      <c r="BH39" s="791"/>
      <c r="BI39" s="791"/>
      <c r="BJ39" s="791"/>
    </row>
    <row r="40" spans="1:63" s="792" customFormat="1" ht="15.75" hidden="1" thickBot="1">
      <c r="A40" s="1593"/>
      <c r="B40" s="997"/>
      <c r="C40" s="894"/>
      <c r="D40" s="812"/>
      <c r="E40" s="813"/>
      <c r="F40" s="813"/>
      <c r="G40" s="813"/>
      <c r="H40" s="813"/>
      <c r="I40" s="813"/>
      <c r="J40" s="813"/>
      <c r="K40" s="813"/>
      <c r="L40" s="814"/>
      <c r="M40" s="815"/>
      <c r="N40" s="813"/>
      <c r="O40" s="813"/>
      <c r="P40" s="813"/>
      <c r="Q40" s="813"/>
      <c r="R40" s="813"/>
      <c r="S40" s="813"/>
      <c r="T40" s="813"/>
      <c r="U40" s="816"/>
      <c r="V40" s="992"/>
      <c r="W40" s="818"/>
      <c r="X40" s="818"/>
      <c r="Y40" s="818"/>
      <c r="Z40" s="818"/>
      <c r="AA40" s="813"/>
      <c r="AB40" s="813"/>
      <c r="AC40" s="813"/>
      <c r="AD40" s="816"/>
      <c r="AE40" s="819"/>
      <c r="AF40" s="813"/>
      <c r="AG40" s="813"/>
      <c r="AH40" s="813"/>
      <c r="AI40" s="813"/>
      <c r="AJ40" s="813"/>
      <c r="AK40" s="813"/>
      <c r="AL40" s="813"/>
      <c r="AM40" s="816"/>
      <c r="AN40" s="819"/>
      <c r="AO40" s="813"/>
      <c r="AP40" s="813"/>
      <c r="AQ40" s="1384"/>
      <c r="AR40" s="1384"/>
      <c r="AS40" s="813"/>
      <c r="AT40" s="813"/>
      <c r="AU40" s="813"/>
      <c r="AV40" s="814"/>
      <c r="AW40" s="819">
        <f t="shared" si="41"/>
        <v>0</v>
      </c>
      <c r="AX40" s="813">
        <f t="shared" si="42"/>
        <v>0</v>
      </c>
      <c r="AY40" s="813">
        <f t="shared" si="43"/>
        <v>0</v>
      </c>
      <c r="AZ40" s="813">
        <f t="shared" si="44"/>
        <v>0</v>
      </c>
      <c r="BA40" s="813">
        <f t="shared" si="45"/>
        <v>0</v>
      </c>
      <c r="BB40" s="813"/>
      <c r="BC40" s="813"/>
      <c r="BD40" s="813"/>
      <c r="BE40" s="816"/>
      <c r="BF40" s="791"/>
      <c r="BG40" s="791"/>
      <c r="BH40" s="791"/>
      <c r="BI40" s="791"/>
      <c r="BJ40" s="791"/>
    </row>
    <row r="41" spans="1:63" s="804" customFormat="1" ht="15.75" hidden="1" thickBot="1">
      <c r="A41" s="912"/>
      <c r="B41" s="820"/>
      <c r="C41" s="783"/>
      <c r="D41" s="784"/>
      <c r="E41" s="785"/>
      <c r="F41" s="785"/>
      <c r="G41" s="785"/>
      <c r="H41" s="785"/>
      <c r="I41" s="785"/>
      <c r="J41" s="785"/>
      <c r="K41" s="785"/>
      <c r="L41" s="786"/>
      <c r="M41" s="787"/>
      <c r="N41" s="785"/>
      <c r="O41" s="785"/>
      <c r="P41" s="785"/>
      <c r="Q41" s="785"/>
      <c r="R41" s="785"/>
      <c r="S41" s="785"/>
      <c r="T41" s="785"/>
      <c r="U41" s="788"/>
      <c r="V41" s="789"/>
      <c r="W41" s="785"/>
      <c r="X41" s="785"/>
      <c r="Y41" s="785"/>
      <c r="Z41" s="785"/>
      <c r="AA41" s="785"/>
      <c r="AB41" s="785"/>
      <c r="AC41" s="785"/>
      <c r="AD41" s="790"/>
      <c r="AE41" s="789"/>
      <c r="AF41" s="785"/>
      <c r="AG41" s="785"/>
      <c r="AH41" s="785"/>
      <c r="AI41" s="785"/>
      <c r="AJ41" s="785"/>
      <c r="AK41" s="785"/>
      <c r="AL41" s="785"/>
      <c r="AM41" s="790"/>
      <c r="AN41" s="789"/>
      <c r="AO41" s="785"/>
      <c r="AP41" s="785"/>
      <c r="AQ41" s="1382"/>
      <c r="AR41" s="1382"/>
      <c r="AS41" s="785"/>
      <c r="AT41" s="785"/>
      <c r="AU41" s="785"/>
      <c r="AV41" s="786"/>
      <c r="AW41" s="789">
        <f t="shared" si="41"/>
        <v>0</v>
      </c>
      <c r="AX41" s="785">
        <f t="shared" si="42"/>
        <v>0</v>
      </c>
      <c r="AY41" s="785">
        <f t="shared" si="43"/>
        <v>0</v>
      </c>
      <c r="AZ41" s="785">
        <f t="shared" si="44"/>
        <v>0</v>
      </c>
      <c r="BA41" s="785">
        <f t="shared" si="45"/>
        <v>0</v>
      </c>
      <c r="BB41" s="785"/>
      <c r="BC41" s="785"/>
      <c r="BD41" s="785"/>
      <c r="BE41" s="790"/>
      <c r="BF41" s="803"/>
      <c r="BG41" s="803"/>
      <c r="BH41" s="803"/>
      <c r="BI41" s="803"/>
      <c r="BJ41" s="803"/>
    </row>
    <row r="42" spans="1:63" s="792" customFormat="1" ht="15.75" hidden="1" thickTop="1">
      <c r="A42" s="912"/>
      <c r="B42" s="772"/>
      <c r="C42" s="783"/>
      <c r="D42" s="784"/>
      <c r="E42" s="785"/>
      <c r="F42" s="785"/>
      <c r="G42" s="785"/>
      <c r="H42" s="785"/>
      <c r="I42" s="785"/>
      <c r="J42" s="785"/>
      <c r="K42" s="785"/>
      <c r="L42" s="786"/>
      <c r="M42" s="805"/>
      <c r="N42" s="806"/>
      <c r="O42" s="806"/>
      <c r="P42" s="806"/>
      <c r="Q42" s="806"/>
      <c r="R42" s="785"/>
      <c r="S42" s="785"/>
      <c r="T42" s="785"/>
      <c r="U42" s="788"/>
      <c r="V42" s="807"/>
      <c r="W42" s="806"/>
      <c r="X42" s="806"/>
      <c r="Y42" s="806"/>
      <c r="Z42" s="806"/>
      <c r="AA42" s="785"/>
      <c r="AB42" s="785"/>
      <c r="AC42" s="785"/>
      <c r="AD42" s="790"/>
      <c r="AE42" s="789"/>
      <c r="AF42" s="785"/>
      <c r="AG42" s="785"/>
      <c r="AH42" s="785"/>
      <c r="AI42" s="785"/>
      <c r="AJ42" s="785"/>
      <c r="AK42" s="785"/>
      <c r="AL42" s="785"/>
      <c r="AM42" s="790"/>
      <c r="AN42" s="789"/>
      <c r="AO42" s="785"/>
      <c r="AP42" s="785"/>
      <c r="AQ42" s="1382"/>
      <c r="AR42" s="1382"/>
      <c r="AS42" s="785"/>
      <c r="AT42" s="785"/>
      <c r="AU42" s="785"/>
      <c r="AV42" s="786"/>
      <c r="AW42" s="789">
        <f t="shared" si="41"/>
        <v>0</v>
      </c>
      <c r="AX42" s="785">
        <f t="shared" si="42"/>
        <v>0</v>
      </c>
      <c r="AY42" s="785">
        <f t="shared" si="43"/>
        <v>0</v>
      </c>
      <c r="AZ42" s="785">
        <f t="shared" si="44"/>
        <v>0</v>
      </c>
      <c r="BA42" s="785">
        <f t="shared" si="45"/>
        <v>0</v>
      </c>
      <c r="BB42" s="785"/>
      <c r="BC42" s="785"/>
      <c r="BD42" s="785"/>
      <c r="BE42" s="790"/>
      <c r="BF42" s="791"/>
      <c r="BG42" s="791"/>
      <c r="BH42" s="791"/>
      <c r="BI42" s="791"/>
      <c r="BJ42" s="791"/>
    </row>
    <row r="43" spans="1:63" s="792" customFormat="1" ht="15" hidden="1">
      <c r="A43" s="912"/>
      <c r="B43" s="772"/>
      <c r="C43" s="801"/>
      <c r="D43" s="793"/>
      <c r="E43" s="794"/>
      <c r="F43" s="794"/>
      <c r="G43" s="794"/>
      <c r="H43" s="794"/>
      <c r="I43" s="794"/>
      <c r="J43" s="794"/>
      <c r="K43" s="794"/>
      <c r="L43" s="795"/>
      <c r="M43" s="808"/>
      <c r="N43" s="809"/>
      <c r="O43" s="809"/>
      <c r="P43" s="809"/>
      <c r="Q43" s="809"/>
      <c r="R43" s="794"/>
      <c r="S43" s="794"/>
      <c r="T43" s="794"/>
      <c r="U43" s="802"/>
      <c r="V43" s="807"/>
      <c r="W43" s="799"/>
      <c r="X43" s="799"/>
      <c r="Y43" s="799"/>
      <c r="Z43" s="799"/>
      <c r="AA43" s="794"/>
      <c r="AB43" s="794"/>
      <c r="AC43" s="794"/>
      <c r="AD43" s="797"/>
      <c r="AE43" s="800"/>
      <c r="AF43" s="794"/>
      <c r="AG43" s="794"/>
      <c r="AH43" s="794"/>
      <c r="AI43" s="794"/>
      <c r="AJ43" s="794"/>
      <c r="AK43" s="794"/>
      <c r="AL43" s="794"/>
      <c r="AM43" s="797"/>
      <c r="AN43" s="800"/>
      <c r="AO43" s="794"/>
      <c r="AP43" s="794"/>
      <c r="AQ43" s="1385"/>
      <c r="AR43" s="1385"/>
      <c r="AS43" s="794"/>
      <c r="AT43" s="794"/>
      <c r="AU43" s="794"/>
      <c r="AV43" s="795"/>
      <c r="AW43" s="800">
        <f t="shared" si="41"/>
        <v>0</v>
      </c>
      <c r="AX43" s="794">
        <f t="shared" si="42"/>
        <v>0</v>
      </c>
      <c r="AY43" s="794">
        <f t="shared" si="43"/>
        <v>0</v>
      </c>
      <c r="AZ43" s="794">
        <f t="shared" si="44"/>
        <v>0</v>
      </c>
      <c r="BA43" s="794">
        <f t="shared" si="45"/>
        <v>0</v>
      </c>
      <c r="BB43" s="794"/>
      <c r="BC43" s="794"/>
      <c r="BD43" s="794"/>
      <c r="BE43" s="797"/>
      <c r="BF43" s="791"/>
      <c r="BG43" s="791"/>
      <c r="BH43" s="791"/>
      <c r="BI43" s="791"/>
      <c r="BJ43" s="791"/>
    </row>
    <row r="44" spans="1:63" s="792" customFormat="1" ht="15" hidden="1">
      <c r="A44" s="912"/>
      <c r="B44" s="772"/>
      <c r="C44" s="801"/>
      <c r="D44" s="793"/>
      <c r="E44" s="794"/>
      <c r="F44" s="794"/>
      <c r="G44" s="794"/>
      <c r="H44" s="794"/>
      <c r="I44" s="794"/>
      <c r="J44" s="794"/>
      <c r="K44" s="794"/>
      <c r="L44" s="795"/>
      <c r="M44" s="808"/>
      <c r="N44" s="809"/>
      <c r="O44" s="809"/>
      <c r="P44" s="809"/>
      <c r="Q44" s="809"/>
      <c r="R44" s="794"/>
      <c r="S44" s="794"/>
      <c r="T44" s="794"/>
      <c r="U44" s="802"/>
      <c r="V44" s="807"/>
      <c r="W44" s="799"/>
      <c r="X44" s="799"/>
      <c r="Y44" s="799"/>
      <c r="Z44" s="799"/>
      <c r="AA44" s="794"/>
      <c r="AB44" s="794"/>
      <c r="AC44" s="794"/>
      <c r="AD44" s="797"/>
      <c r="AE44" s="800"/>
      <c r="AF44" s="794"/>
      <c r="AG44" s="794"/>
      <c r="AH44" s="794"/>
      <c r="AI44" s="794"/>
      <c r="AJ44" s="794"/>
      <c r="AK44" s="794"/>
      <c r="AL44" s="794"/>
      <c r="AM44" s="797"/>
      <c r="AN44" s="800"/>
      <c r="AO44" s="794"/>
      <c r="AP44" s="794"/>
      <c r="AQ44" s="1385"/>
      <c r="AR44" s="1385"/>
      <c r="AS44" s="794"/>
      <c r="AT44" s="794"/>
      <c r="AU44" s="794"/>
      <c r="AV44" s="795"/>
      <c r="AW44" s="800">
        <f t="shared" si="41"/>
        <v>0</v>
      </c>
      <c r="AX44" s="794">
        <f t="shared" si="42"/>
        <v>0</v>
      </c>
      <c r="AY44" s="794">
        <f t="shared" si="43"/>
        <v>0</v>
      </c>
      <c r="AZ44" s="794">
        <f t="shared" si="44"/>
        <v>0</v>
      </c>
      <c r="BA44" s="794">
        <f t="shared" si="45"/>
        <v>0</v>
      </c>
      <c r="BB44" s="794"/>
      <c r="BC44" s="794"/>
      <c r="BD44" s="794"/>
      <c r="BE44" s="797"/>
      <c r="BF44" s="791"/>
      <c r="BG44" s="791"/>
      <c r="BH44" s="791"/>
      <c r="BI44" s="791"/>
      <c r="BJ44" s="791"/>
    </row>
    <row r="45" spans="1:63" s="792" customFormat="1" ht="15.75" hidden="1" thickBot="1">
      <c r="A45" s="913"/>
      <c r="B45" s="810"/>
      <c r="C45" s="811"/>
      <c r="D45" s="812"/>
      <c r="E45" s="813"/>
      <c r="F45" s="813"/>
      <c r="G45" s="813"/>
      <c r="H45" s="813"/>
      <c r="I45" s="813"/>
      <c r="J45" s="813"/>
      <c r="K45" s="813"/>
      <c r="L45" s="814"/>
      <c r="M45" s="815"/>
      <c r="N45" s="813"/>
      <c r="O45" s="813"/>
      <c r="P45" s="813"/>
      <c r="Q45" s="813"/>
      <c r="R45" s="813"/>
      <c r="S45" s="813"/>
      <c r="T45" s="813"/>
      <c r="U45" s="816"/>
      <c r="V45" s="817"/>
      <c r="W45" s="818"/>
      <c r="X45" s="818"/>
      <c r="Y45" s="818"/>
      <c r="Z45" s="818"/>
      <c r="AA45" s="813"/>
      <c r="AB45" s="813"/>
      <c r="AC45" s="813"/>
      <c r="AD45" s="816"/>
      <c r="AE45" s="819"/>
      <c r="AF45" s="813"/>
      <c r="AG45" s="813"/>
      <c r="AH45" s="813"/>
      <c r="AI45" s="813"/>
      <c r="AJ45" s="813"/>
      <c r="AK45" s="813"/>
      <c r="AL45" s="813"/>
      <c r="AM45" s="816"/>
      <c r="AN45" s="819"/>
      <c r="AO45" s="813"/>
      <c r="AP45" s="813"/>
      <c r="AQ45" s="1384"/>
      <c r="AR45" s="1384"/>
      <c r="AS45" s="813"/>
      <c r="AT45" s="813"/>
      <c r="AU45" s="813"/>
      <c r="AV45" s="814"/>
      <c r="AW45" s="819">
        <f t="shared" si="41"/>
        <v>0</v>
      </c>
      <c r="AX45" s="813">
        <f t="shared" si="42"/>
        <v>0</v>
      </c>
      <c r="AY45" s="813">
        <f t="shared" si="43"/>
        <v>0</v>
      </c>
      <c r="AZ45" s="813">
        <f t="shared" si="44"/>
        <v>0</v>
      </c>
      <c r="BA45" s="813">
        <f t="shared" si="45"/>
        <v>0</v>
      </c>
      <c r="BB45" s="813"/>
      <c r="BC45" s="813"/>
      <c r="BD45" s="813"/>
      <c r="BE45" s="816"/>
      <c r="BF45" s="791"/>
      <c r="BG45" s="791"/>
      <c r="BH45" s="791"/>
      <c r="BI45" s="791"/>
      <c r="BJ45" s="791"/>
    </row>
    <row r="46" spans="1:63" s="792" customFormat="1" ht="15">
      <c r="A46" s="1581" t="s">
        <v>58</v>
      </c>
      <c r="B46" s="1132" t="str">
        <f>+GUM!C50</f>
        <v>AB111-F2W00</v>
      </c>
      <c r="C46" s="857" t="str">
        <f>GUM!D50</f>
        <v>B 9401</v>
      </c>
      <c r="D46" s="959"/>
      <c r="E46" s="943"/>
      <c r="F46" s="943"/>
      <c r="G46" s="943"/>
      <c r="H46" s="943"/>
      <c r="I46" s="943"/>
      <c r="J46" s="943"/>
      <c r="K46" s="943"/>
      <c r="L46" s="960"/>
      <c r="M46" s="993">
        <f>SUM(M30:M34,M20:M24,M26:M27)</f>
        <v>174</v>
      </c>
      <c r="N46" s="994">
        <f t="shared" ref="N46:AP46" si="46">SUM(N30:N34,N20:N24,N26:N27)</f>
        <v>162</v>
      </c>
      <c r="O46" s="994">
        <f t="shared" si="46"/>
        <v>132</v>
      </c>
      <c r="P46" s="994">
        <f t="shared" si="46"/>
        <v>132</v>
      </c>
      <c r="Q46" s="994">
        <f t="shared" si="46"/>
        <v>0</v>
      </c>
      <c r="R46" s="943">
        <f t="shared" si="46"/>
        <v>600</v>
      </c>
      <c r="S46" s="943">
        <f t="shared" si="46"/>
        <v>672</v>
      </c>
      <c r="T46" s="943">
        <f t="shared" si="46"/>
        <v>15</v>
      </c>
      <c r="U46" s="961">
        <f t="shared" si="46"/>
        <v>0</v>
      </c>
      <c r="V46" s="995">
        <f t="shared" si="46"/>
        <v>210</v>
      </c>
      <c r="W46" s="994">
        <f t="shared" si="46"/>
        <v>204</v>
      </c>
      <c r="X46" s="994">
        <f t="shared" si="46"/>
        <v>168</v>
      </c>
      <c r="Y46" s="994">
        <f t="shared" si="46"/>
        <v>162</v>
      </c>
      <c r="Z46" s="994">
        <f t="shared" si="46"/>
        <v>0</v>
      </c>
      <c r="AA46" s="943">
        <f t="shared" si="46"/>
        <v>744</v>
      </c>
      <c r="AB46" s="943">
        <f t="shared" si="46"/>
        <v>672</v>
      </c>
      <c r="AC46" s="943">
        <f t="shared" si="46"/>
        <v>-18</v>
      </c>
      <c r="AD46" s="963">
        <f t="shared" si="46"/>
        <v>0</v>
      </c>
      <c r="AE46" s="962">
        <f t="shared" si="46"/>
        <v>180</v>
      </c>
      <c r="AF46" s="943">
        <f t="shared" si="46"/>
        <v>174</v>
      </c>
      <c r="AG46" s="943">
        <f t="shared" si="46"/>
        <v>144</v>
      </c>
      <c r="AH46" s="943">
        <f t="shared" si="46"/>
        <v>138</v>
      </c>
      <c r="AI46" s="943">
        <f t="shared" si="46"/>
        <v>138</v>
      </c>
      <c r="AJ46" s="943">
        <f t="shared" si="46"/>
        <v>774</v>
      </c>
      <c r="AK46" s="943">
        <f t="shared" si="46"/>
        <v>618</v>
      </c>
      <c r="AL46" s="943">
        <f t="shared" si="46"/>
        <v>-39</v>
      </c>
      <c r="AM46" s="963">
        <f t="shared" si="46"/>
        <v>0</v>
      </c>
      <c r="AN46" s="962">
        <f t="shared" si="46"/>
        <v>180</v>
      </c>
      <c r="AO46" s="943">
        <f t="shared" si="46"/>
        <v>168</v>
      </c>
      <c r="AP46" s="943">
        <f t="shared" si="46"/>
        <v>144</v>
      </c>
      <c r="AQ46" s="943">
        <f t="shared" ref="AQ46:BE46" si="47">SUM(AQ30:AQ34,AQ20:AQ24,AQ26:AQ27)</f>
        <v>138</v>
      </c>
      <c r="AR46" s="943">
        <f t="shared" si="47"/>
        <v>0</v>
      </c>
      <c r="AS46" s="943">
        <f t="shared" si="47"/>
        <v>630</v>
      </c>
      <c r="AT46" s="943">
        <f t="shared" si="47"/>
        <v>678</v>
      </c>
      <c r="AU46" s="943">
        <f t="shared" si="47"/>
        <v>12</v>
      </c>
      <c r="AV46" s="943">
        <f t="shared" si="47"/>
        <v>0</v>
      </c>
      <c r="AW46" s="943">
        <f t="shared" si="47"/>
        <v>180</v>
      </c>
      <c r="AX46" s="943">
        <f t="shared" si="47"/>
        <v>168</v>
      </c>
      <c r="AY46" s="943">
        <f t="shared" si="47"/>
        <v>144</v>
      </c>
      <c r="AZ46" s="943">
        <f t="shared" si="47"/>
        <v>138</v>
      </c>
      <c r="BA46" s="943">
        <f t="shared" si="47"/>
        <v>0</v>
      </c>
      <c r="BB46" s="943">
        <f t="shared" si="47"/>
        <v>630</v>
      </c>
      <c r="BC46" s="943">
        <f t="shared" si="47"/>
        <v>582</v>
      </c>
      <c r="BD46" s="943">
        <f t="shared" si="47"/>
        <v>-12</v>
      </c>
      <c r="BE46" s="943">
        <f t="shared" si="47"/>
        <v>0</v>
      </c>
      <c r="BF46" s="791"/>
      <c r="BG46" s="791"/>
      <c r="BH46" s="791"/>
      <c r="BI46" s="791"/>
      <c r="BJ46" s="791"/>
    </row>
    <row r="47" spans="1:63" s="792" customFormat="1" ht="15">
      <c r="A47" s="1582"/>
      <c r="B47" s="1133" t="str">
        <f>+GUM!C51</f>
        <v>AB111-F2W10</v>
      </c>
      <c r="C47" s="858" t="str">
        <f>GUM!D51</f>
        <v>B 8401</v>
      </c>
      <c r="D47" s="793"/>
      <c r="E47" s="794"/>
      <c r="F47" s="794"/>
      <c r="G47" s="794"/>
      <c r="H47" s="794"/>
      <c r="I47" s="794"/>
      <c r="J47" s="794"/>
      <c r="K47" s="794"/>
      <c r="L47" s="795"/>
      <c r="M47" s="808">
        <f>SUM(M9:M13,M35:M40,M25)</f>
        <v>96</v>
      </c>
      <c r="N47" s="809">
        <f t="shared" ref="N47:AP47" si="48">SUM(N9:N13,N35:N40,N25)</f>
        <v>96</v>
      </c>
      <c r="O47" s="809">
        <f t="shared" si="48"/>
        <v>90</v>
      </c>
      <c r="P47" s="809">
        <f t="shared" si="48"/>
        <v>72</v>
      </c>
      <c r="Q47" s="809">
        <f t="shared" si="48"/>
        <v>0</v>
      </c>
      <c r="R47" s="794">
        <f t="shared" si="48"/>
        <v>354</v>
      </c>
      <c r="S47" s="794">
        <f t="shared" si="48"/>
        <v>372</v>
      </c>
      <c r="T47" s="794">
        <f t="shared" si="48"/>
        <v>5</v>
      </c>
      <c r="U47" s="802">
        <f t="shared" si="48"/>
        <v>0</v>
      </c>
      <c r="V47" s="798">
        <f t="shared" si="48"/>
        <v>102</v>
      </c>
      <c r="W47" s="799">
        <f t="shared" si="48"/>
        <v>96</v>
      </c>
      <c r="X47" s="799">
        <f t="shared" si="48"/>
        <v>78</v>
      </c>
      <c r="Y47" s="799">
        <f t="shared" si="48"/>
        <v>72</v>
      </c>
      <c r="Z47" s="799">
        <f t="shared" si="48"/>
        <v>0</v>
      </c>
      <c r="AA47" s="794">
        <f t="shared" si="48"/>
        <v>348</v>
      </c>
      <c r="AB47" s="794">
        <f t="shared" si="48"/>
        <v>342</v>
      </c>
      <c r="AC47" s="794">
        <f t="shared" si="48"/>
        <v>-2</v>
      </c>
      <c r="AD47" s="797">
        <f t="shared" si="48"/>
        <v>0</v>
      </c>
      <c r="AE47" s="800">
        <f t="shared" si="48"/>
        <v>102</v>
      </c>
      <c r="AF47" s="794">
        <f t="shared" si="48"/>
        <v>96</v>
      </c>
      <c r="AG47" s="794">
        <f t="shared" si="48"/>
        <v>72</v>
      </c>
      <c r="AH47" s="794">
        <f t="shared" si="48"/>
        <v>66</v>
      </c>
      <c r="AI47" s="794">
        <f t="shared" si="48"/>
        <v>42</v>
      </c>
      <c r="AJ47" s="794">
        <f t="shared" si="48"/>
        <v>378</v>
      </c>
      <c r="AK47" s="794">
        <f t="shared" si="48"/>
        <v>390</v>
      </c>
      <c r="AL47" s="794">
        <f t="shared" si="48"/>
        <v>3</v>
      </c>
      <c r="AM47" s="797">
        <f t="shared" si="48"/>
        <v>0</v>
      </c>
      <c r="AN47" s="800">
        <f t="shared" si="48"/>
        <v>90</v>
      </c>
      <c r="AO47" s="794">
        <f t="shared" si="48"/>
        <v>84</v>
      </c>
      <c r="AP47" s="794">
        <f t="shared" si="48"/>
        <v>60</v>
      </c>
      <c r="AQ47" s="794">
        <f t="shared" ref="AQ47:BE47" si="49">SUM(AQ9:AQ13,AQ35:AQ40,AQ25)</f>
        <v>60</v>
      </c>
      <c r="AR47" s="794">
        <f t="shared" si="49"/>
        <v>0</v>
      </c>
      <c r="AS47" s="794">
        <f t="shared" si="49"/>
        <v>294</v>
      </c>
      <c r="AT47" s="794">
        <f t="shared" si="49"/>
        <v>276</v>
      </c>
      <c r="AU47" s="794">
        <f t="shared" si="49"/>
        <v>-5</v>
      </c>
      <c r="AV47" s="794">
        <f t="shared" si="49"/>
        <v>0</v>
      </c>
      <c r="AW47" s="794">
        <f t="shared" si="49"/>
        <v>90</v>
      </c>
      <c r="AX47" s="794">
        <f t="shared" si="49"/>
        <v>84</v>
      </c>
      <c r="AY47" s="794">
        <f t="shared" si="49"/>
        <v>60</v>
      </c>
      <c r="AZ47" s="794">
        <f t="shared" si="49"/>
        <v>60</v>
      </c>
      <c r="BA47" s="794">
        <f t="shared" si="49"/>
        <v>0</v>
      </c>
      <c r="BB47" s="794">
        <f t="shared" si="49"/>
        <v>294</v>
      </c>
      <c r="BC47" s="794">
        <f t="shared" si="49"/>
        <v>252</v>
      </c>
      <c r="BD47" s="794">
        <f t="shared" si="49"/>
        <v>-11</v>
      </c>
      <c r="BE47" s="794">
        <f t="shared" si="49"/>
        <v>0</v>
      </c>
      <c r="BF47" s="791"/>
      <c r="BG47" s="791"/>
      <c r="BH47" s="791"/>
      <c r="BI47" s="791"/>
      <c r="BJ47" s="791"/>
    </row>
    <row r="48" spans="1:63" s="792" customFormat="1" ht="15.75" thickBot="1">
      <c r="A48" s="1583"/>
      <c r="B48" s="1130" t="str">
        <f>+GUM!C52</f>
        <v>AB111-F2W40</v>
      </c>
      <c r="C48" s="859" t="str">
        <f>GUM!D52</f>
        <v>B 8401</v>
      </c>
      <c r="D48" s="812"/>
      <c r="E48" s="813"/>
      <c r="F48" s="813"/>
      <c r="G48" s="813"/>
      <c r="H48" s="813"/>
      <c r="I48" s="813"/>
      <c r="J48" s="813"/>
      <c r="K48" s="813"/>
      <c r="L48" s="814"/>
      <c r="M48" s="815">
        <f>SUM(M14:M19)</f>
        <v>396</v>
      </c>
      <c r="N48" s="813">
        <f t="shared" ref="N48:AP48" si="50">SUM(N14:N19)</f>
        <v>378</v>
      </c>
      <c r="O48" s="813">
        <f t="shared" si="50"/>
        <v>372</v>
      </c>
      <c r="P48" s="813">
        <f t="shared" si="50"/>
        <v>360</v>
      </c>
      <c r="Q48" s="813">
        <f t="shared" si="50"/>
        <v>0</v>
      </c>
      <c r="R48" s="813">
        <f t="shared" si="50"/>
        <v>1506</v>
      </c>
      <c r="S48" s="813">
        <f t="shared" si="50"/>
        <v>1836</v>
      </c>
      <c r="T48" s="813">
        <f t="shared" si="50"/>
        <v>67</v>
      </c>
      <c r="U48" s="821">
        <f t="shared" si="50"/>
        <v>0</v>
      </c>
      <c r="V48" s="817">
        <f t="shared" si="50"/>
        <v>450</v>
      </c>
      <c r="W48" s="818">
        <f t="shared" si="50"/>
        <v>432</v>
      </c>
      <c r="X48" s="818">
        <f t="shared" si="50"/>
        <v>414</v>
      </c>
      <c r="Y48" s="818">
        <f t="shared" si="50"/>
        <v>414</v>
      </c>
      <c r="Z48" s="818">
        <f t="shared" si="50"/>
        <v>0</v>
      </c>
      <c r="AA48" s="813">
        <f t="shared" si="50"/>
        <v>1710</v>
      </c>
      <c r="AB48" s="813">
        <f t="shared" si="50"/>
        <v>1476</v>
      </c>
      <c r="AC48" s="813">
        <f t="shared" si="50"/>
        <v>-59</v>
      </c>
      <c r="AD48" s="816">
        <f t="shared" si="50"/>
        <v>0</v>
      </c>
      <c r="AE48" s="819">
        <f t="shared" si="50"/>
        <v>396</v>
      </c>
      <c r="AF48" s="813">
        <f t="shared" si="50"/>
        <v>384</v>
      </c>
      <c r="AG48" s="813">
        <f t="shared" si="50"/>
        <v>366</v>
      </c>
      <c r="AH48" s="813">
        <f t="shared" si="50"/>
        <v>366</v>
      </c>
      <c r="AI48" s="813">
        <f t="shared" si="50"/>
        <v>360</v>
      </c>
      <c r="AJ48" s="813">
        <f t="shared" si="50"/>
        <v>1872</v>
      </c>
      <c r="AK48" s="813">
        <f t="shared" si="50"/>
        <v>1686</v>
      </c>
      <c r="AL48" s="813">
        <f t="shared" si="50"/>
        <v>-47</v>
      </c>
      <c r="AM48" s="816">
        <f t="shared" si="50"/>
        <v>0</v>
      </c>
      <c r="AN48" s="819">
        <f t="shared" si="50"/>
        <v>384</v>
      </c>
      <c r="AO48" s="813">
        <f t="shared" si="50"/>
        <v>366</v>
      </c>
      <c r="AP48" s="813">
        <f t="shared" si="50"/>
        <v>360</v>
      </c>
      <c r="AQ48" s="813">
        <f t="shared" ref="AQ48:BE48" si="51">SUM(AQ14:AQ19)</f>
        <v>354</v>
      </c>
      <c r="AR48" s="813">
        <f t="shared" si="51"/>
        <v>0</v>
      </c>
      <c r="AS48" s="813">
        <f t="shared" si="51"/>
        <v>1464</v>
      </c>
      <c r="AT48" s="813">
        <f t="shared" si="51"/>
        <v>1626</v>
      </c>
      <c r="AU48" s="813">
        <f t="shared" si="51"/>
        <v>41</v>
      </c>
      <c r="AV48" s="813">
        <f t="shared" si="51"/>
        <v>0</v>
      </c>
      <c r="AW48" s="813">
        <f t="shared" si="51"/>
        <v>384</v>
      </c>
      <c r="AX48" s="813">
        <f t="shared" si="51"/>
        <v>366</v>
      </c>
      <c r="AY48" s="813">
        <f t="shared" si="51"/>
        <v>360</v>
      </c>
      <c r="AZ48" s="813">
        <f t="shared" si="51"/>
        <v>354</v>
      </c>
      <c r="BA48" s="813">
        <f t="shared" si="51"/>
        <v>0</v>
      </c>
      <c r="BB48" s="813">
        <f t="shared" si="51"/>
        <v>1464</v>
      </c>
      <c r="BC48" s="813">
        <f t="shared" si="51"/>
        <v>966</v>
      </c>
      <c r="BD48" s="813">
        <f t="shared" si="51"/>
        <v>-126</v>
      </c>
      <c r="BE48" s="813">
        <f t="shared" si="51"/>
        <v>0</v>
      </c>
      <c r="BF48" s="791"/>
      <c r="BG48" s="791"/>
      <c r="BH48" s="791"/>
      <c r="BI48" s="791"/>
      <c r="BJ48" s="791"/>
    </row>
    <row r="49" spans="1:139" s="762" customFormat="1">
      <c r="A49" s="822"/>
      <c r="B49" s="822" t="s">
        <v>132</v>
      </c>
      <c r="C49" s="822"/>
      <c r="D49" s="822" t="e">
        <f t="shared" ref="D49:L49" si="52">SUM(D8:D48)</f>
        <v>#N/A</v>
      </c>
      <c r="E49" s="822" t="e">
        <f t="shared" si="52"/>
        <v>#N/A</v>
      </c>
      <c r="F49" s="822" t="e">
        <f t="shared" si="52"/>
        <v>#N/A</v>
      </c>
      <c r="G49" s="822" t="e">
        <f t="shared" si="52"/>
        <v>#N/A</v>
      </c>
      <c r="H49" s="822">
        <f t="shared" si="52"/>
        <v>0</v>
      </c>
      <c r="I49" s="822" t="e">
        <f t="shared" si="52"/>
        <v>#N/A</v>
      </c>
      <c r="J49" s="822" t="e">
        <f t="shared" si="52"/>
        <v>#N/A</v>
      </c>
      <c r="K49" s="822" t="e">
        <f t="shared" si="52"/>
        <v>#N/A</v>
      </c>
      <c r="L49" s="822">
        <f t="shared" si="52"/>
        <v>0</v>
      </c>
      <c r="M49" s="822">
        <f>SUM(M8:M45)</f>
        <v>666</v>
      </c>
      <c r="N49" s="822">
        <f t="shared" ref="N49:BE49" si="53">SUM(N8:N45)</f>
        <v>636</v>
      </c>
      <c r="O49" s="822">
        <f t="shared" si="53"/>
        <v>594</v>
      </c>
      <c r="P49" s="822">
        <f t="shared" si="53"/>
        <v>564</v>
      </c>
      <c r="Q49" s="822">
        <f t="shared" si="53"/>
        <v>0</v>
      </c>
      <c r="R49" s="822">
        <f t="shared" si="53"/>
        <v>2460</v>
      </c>
      <c r="S49" s="822">
        <f t="shared" si="53"/>
        <v>2880</v>
      </c>
      <c r="T49" s="822">
        <f t="shared" si="53"/>
        <v>87</v>
      </c>
      <c r="U49" s="822">
        <f t="shared" si="53"/>
        <v>0</v>
      </c>
      <c r="V49" s="822">
        <f t="shared" si="53"/>
        <v>762</v>
      </c>
      <c r="W49" s="822">
        <f t="shared" si="53"/>
        <v>732</v>
      </c>
      <c r="X49" s="822">
        <f t="shared" si="53"/>
        <v>660</v>
      </c>
      <c r="Y49" s="822">
        <f t="shared" si="53"/>
        <v>648</v>
      </c>
      <c r="Z49" s="822">
        <f t="shared" si="53"/>
        <v>0</v>
      </c>
      <c r="AA49" s="822">
        <f t="shared" si="53"/>
        <v>2802</v>
      </c>
      <c r="AB49" s="822">
        <f t="shared" si="53"/>
        <v>2490</v>
      </c>
      <c r="AC49" s="822">
        <f t="shared" si="53"/>
        <v>-79</v>
      </c>
      <c r="AD49" s="822">
        <f t="shared" si="53"/>
        <v>0</v>
      </c>
      <c r="AE49" s="822">
        <f t="shared" si="53"/>
        <v>678</v>
      </c>
      <c r="AF49" s="822">
        <f t="shared" si="53"/>
        <v>654</v>
      </c>
      <c r="AG49" s="822">
        <f t="shared" si="53"/>
        <v>582</v>
      </c>
      <c r="AH49" s="822">
        <f t="shared" si="53"/>
        <v>570</v>
      </c>
      <c r="AI49" s="822">
        <f t="shared" si="53"/>
        <v>540</v>
      </c>
      <c r="AJ49" s="822">
        <f t="shared" si="53"/>
        <v>3024</v>
      </c>
      <c r="AK49" s="822">
        <f t="shared" si="53"/>
        <v>2694</v>
      </c>
      <c r="AL49" s="822">
        <f t="shared" si="53"/>
        <v>-83</v>
      </c>
      <c r="AM49" s="822">
        <f t="shared" si="53"/>
        <v>0</v>
      </c>
      <c r="AN49" s="822">
        <f t="shared" si="53"/>
        <v>654</v>
      </c>
      <c r="AO49" s="822">
        <f t="shared" si="53"/>
        <v>618</v>
      </c>
      <c r="AP49" s="822">
        <f t="shared" si="53"/>
        <v>564</v>
      </c>
      <c r="AQ49" s="822">
        <f t="shared" si="53"/>
        <v>552</v>
      </c>
      <c r="AR49" s="822">
        <f t="shared" si="53"/>
        <v>0</v>
      </c>
      <c r="AS49" s="822">
        <f t="shared" si="53"/>
        <v>2388</v>
      </c>
      <c r="AT49" s="822">
        <f t="shared" si="53"/>
        <v>2580</v>
      </c>
      <c r="AU49" s="822">
        <f t="shared" si="53"/>
        <v>48</v>
      </c>
      <c r="AV49" s="822">
        <f t="shared" si="53"/>
        <v>0</v>
      </c>
      <c r="AW49" s="822">
        <f t="shared" si="53"/>
        <v>654</v>
      </c>
      <c r="AX49" s="822">
        <f t="shared" si="53"/>
        <v>618</v>
      </c>
      <c r="AY49" s="822">
        <f t="shared" si="53"/>
        <v>564</v>
      </c>
      <c r="AZ49" s="822">
        <f t="shared" si="53"/>
        <v>552</v>
      </c>
      <c r="BA49" s="822">
        <f t="shared" si="53"/>
        <v>0</v>
      </c>
      <c r="BB49" s="822">
        <f t="shared" si="53"/>
        <v>2388</v>
      </c>
      <c r="BC49" s="822">
        <f t="shared" si="53"/>
        <v>1800</v>
      </c>
      <c r="BD49" s="822">
        <f t="shared" si="53"/>
        <v>-149</v>
      </c>
      <c r="BE49" s="822">
        <f t="shared" si="53"/>
        <v>0</v>
      </c>
      <c r="EI49" s="762">
        <v>0</v>
      </c>
    </row>
    <row r="50" spans="1:139" s="823" customFormat="1">
      <c r="B50" s="822" t="s">
        <v>133</v>
      </c>
      <c r="D50" s="822" t="e">
        <f>+SUM(#REF!)</f>
        <v>#REF!</v>
      </c>
      <c r="E50" s="822" t="e">
        <f>+SUM(#REF!)</f>
        <v>#REF!</v>
      </c>
      <c r="F50" s="822" t="e">
        <f>+SUM(#REF!)</f>
        <v>#REF!</v>
      </c>
      <c r="G50" s="822" t="e">
        <f>+SUM(#REF!)</f>
        <v>#REF!</v>
      </c>
      <c r="H50" s="822" t="e">
        <f>+SUM(#REF!)</f>
        <v>#REF!</v>
      </c>
      <c r="I50" s="822" t="e">
        <f>+SUM(#REF!)</f>
        <v>#REF!</v>
      </c>
      <c r="J50" s="822" t="e">
        <f>+SUM(#REF!)</f>
        <v>#REF!</v>
      </c>
      <c r="K50" s="822" t="e">
        <f>+SUM(#REF!)</f>
        <v>#REF!</v>
      </c>
      <c r="M50" s="822">
        <f>+SUM(M46,M47,M48)</f>
        <v>666</v>
      </c>
      <c r="N50" s="822">
        <f t="shared" ref="N50:BE50" si="54">+SUM(N46,N47,N48)</f>
        <v>636</v>
      </c>
      <c r="O50" s="822">
        <f t="shared" si="54"/>
        <v>594</v>
      </c>
      <c r="P50" s="822">
        <f t="shared" si="54"/>
        <v>564</v>
      </c>
      <c r="Q50" s="822">
        <f t="shared" si="54"/>
        <v>0</v>
      </c>
      <c r="R50" s="822">
        <f t="shared" si="54"/>
        <v>2460</v>
      </c>
      <c r="S50" s="822">
        <f t="shared" si="54"/>
        <v>2880</v>
      </c>
      <c r="T50" s="822">
        <f t="shared" si="54"/>
        <v>87</v>
      </c>
      <c r="U50" s="822">
        <f t="shared" si="54"/>
        <v>0</v>
      </c>
      <c r="V50" s="822">
        <f t="shared" si="54"/>
        <v>762</v>
      </c>
      <c r="W50" s="822">
        <f t="shared" si="54"/>
        <v>732</v>
      </c>
      <c r="X50" s="822">
        <f t="shared" si="54"/>
        <v>660</v>
      </c>
      <c r="Y50" s="822">
        <f t="shared" si="54"/>
        <v>648</v>
      </c>
      <c r="Z50" s="822">
        <f t="shared" si="54"/>
        <v>0</v>
      </c>
      <c r="AA50" s="822">
        <f t="shared" si="54"/>
        <v>2802</v>
      </c>
      <c r="AB50" s="822">
        <f t="shared" si="54"/>
        <v>2490</v>
      </c>
      <c r="AC50" s="822">
        <f t="shared" si="54"/>
        <v>-79</v>
      </c>
      <c r="AD50" s="822">
        <f t="shared" si="54"/>
        <v>0</v>
      </c>
      <c r="AE50" s="822">
        <f t="shared" si="54"/>
        <v>678</v>
      </c>
      <c r="AF50" s="822">
        <f t="shared" si="54"/>
        <v>654</v>
      </c>
      <c r="AG50" s="822">
        <f t="shared" si="54"/>
        <v>582</v>
      </c>
      <c r="AH50" s="822">
        <f t="shared" si="54"/>
        <v>570</v>
      </c>
      <c r="AI50" s="822">
        <f t="shared" si="54"/>
        <v>540</v>
      </c>
      <c r="AJ50" s="822">
        <f t="shared" si="54"/>
        <v>3024</v>
      </c>
      <c r="AK50" s="822">
        <f t="shared" si="54"/>
        <v>2694</v>
      </c>
      <c r="AL50" s="822">
        <f t="shared" si="54"/>
        <v>-83</v>
      </c>
      <c r="AM50" s="822">
        <f t="shared" si="54"/>
        <v>0</v>
      </c>
      <c r="AN50" s="822">
        <f t="shared" si="54"/>
        <v>654</v>
      </c>
      <c r="AO50" s="822">
        <f t="shared" si="54"/>
        <v>618</v>
      </c>
      <c r="AP50" s="822">
        <f t="shared" si="54"/>
        <v>564</v>
      </c>
      <c r="AQ50" s="822">
        <f t="shared" si="54"/>
        <v>552</v>
      </c>
      <c r="AR50" s="822">
        <f t="shared" si="54"/>
        <v>0</v>
      </c>
      <c r="AS50" s="822">
        <f t="shared" si="54"/>
        <v>2388</v>
      </c>
      <c r="AT50" s="822">
        <f t="shared" si="54"/>
        <v>2580</v>
      </c>
      <c r="AU50" s="822">
        <f t="shared" si="54"/>
        <v>48</v>
      </c>
      <c r="AV50" s="822">
        <f t="shared" si="54"/>
        <v>0</v>
      </c>
      <c r="AW50" s="822">
        <f t="shared" si="54"/>
        <v>654</v>
      </c>
      <c r="AX50" s="822">
        <f t="shared" si="54"/>
        <v>618</v>
      </c>
      <c r="AY50" s="822">
        <f t="shared" si="54"/>
        <v>564</v>
      </c>
      <c r="AZ50" s="822">
        <f t="shared" si="54"/>
        <v>552</v>
      </c>
      <c r="BA50" s="822">
        <f t="shared" si="54"/>
        <v>0</v>
      </c>
      <c r="BB50" s="822">
        <f t="shared" si="54"/>
        <v>2388</v>
      </c>
      <c r="BC50" s="822">
        <f t="shared" si="54"/>
        <v>1800</v>
      </c>
      <c r="BD50" s="822">
        <f t="shared" si="54"/>
        <v>-149</v>
      </c>
      <c r="BE50" s="822">
        <f t="shared" si="54"/>
        <v>0</v>
      </c>
    </row>
    <row r="51" spans="1:139" s="823" customFormat="1">
      <c r="R51" s="823">
        <f>+R49*2</f>
        <v>4920</v>
      </c>
      <c r="S51" s="823">
        <f>+S49*2</f>
        <v>5760</v>
      </c>
      <c r="AA51" s="823">
        <f>+AA49*2</f>
        <v>5604</v>
      </c>
      <c r="AB51" s="823">
        <f>+AB49*2</f>
        <v>4980</v>
      </c>
      <c r="AJ51" s="823">
        <f>+AJ49*2</f>
        <v>6048</v>
      </c>
      <c r="AK51" s="823">
        <f>+AK49*2</f>
        <v>5388</v>
      </c>
      <c r="AS51" s="823">
        <f>+AS49*2</f>
        <v>4776</v>
      </c>
      <c r="AT51" s="823">
        <f>+AT49*2</f>
        <v>5160</v>
      </c>
      <c r="BB51" s="823">
        <f>+BB49*2</f>
        <v>4776</v>
      </c>
      <c r="BC51" s="823">
        <f>+BC49*2</f>
        <v>3600</v>
      </c>
    </row>
    <row r="52" spans="1:139" s="823" customFormat="1">
      <c r="C52" s="823" t="s">
        <v>157</v>
      </c>
      <c r="M52" s="659">
        <f>+[1]Sheet1!J89</f>
        <v>666</v>
      </c>
      <c r="N52" s="659">
        <f>+[1]Sheet1!K89</f>
        <v>636</v>
      </c>
      <c r="O52" s="659">
        <f>+[1]Sheet1!L89</f>
        <v>594</v>
      </c>
      <c r="P52" s="659">
        <f>+[1]Sheet1!M89</f>
        <v>564</v>
      </c>
      <c r="Q52" s="659">
        <f>+[1]Sheet1!N89</f>
        <v>0</v>
      </c>
      <c r="V52" s="659">
        <f>+[1]Sheet1!P89</f>
        <v>762</v>
      </c>
      <c r="W52" s="659">
        <f>+[1]Sheet1!Q89</f>
        <v>732</v>
      </c>
      <c r="X52" s="659">
        <f>+[1]Sheet1!R89</f>
        <v>660</v>
      </c>
      <c r="Y52" s="659">
        <f>+[1]Sheet1!S89</f>
        <v>648</v>
      </c>
      <c r="Z52" s="659">
        <f>+[1]Sheet1!T89</f>
        <v>0</v>
      </c>
      <c r="AE52" s="659">
        <f>+[1]Sheet1!V89</f>
        <v>678</v>
      </c>
      <c r="AF52" s="659">
        <f>+[1]Sheet1!W89</f>
        <v>654</v>
      </c>
      <c r="AG52" s="659">
        <f>+[1]Sheet1!X89</f>
        <v>582</v>
      </c>
      <c r="AH52" s="659">
        <f>+[1]Sheet1!Y89</f>
        <v>570</v>
      </c>
      <c r="AI52" s="659">
        <f>+[1]Sheet1!Z89</f>
        <v>540</v>
      </c>
      <c r="AN52" s="659">
        <f>+[1]Sheet1!AB89</f>
        <v>654</v>
      </c>
      <c r="AO52" s="659">
        <f>+[1]Sheet1!AC89</f>
        <v>618</v>
      </c>
      <c r="AP52" s="659">
        <f>+[1]Sheet1!AD89</f>
        <v>564</v>
      </c>
      <c r="AQ52" s="659">
        <f>+[1]Sheet1!AE89</f>
        <v>552</v>
      </c>
      <c r="AR52" s="659">
        <f>+[1]Sheet1!AF89</f>
        <v>0</v>
      </c>
      <c r="AW52" s="659">
        <f>AN52</f>
        <v>654</v>
      </c>
      <c r="AX52" s="659">
        <f>AO52</f>
        <v>618</v>
      </c>
      <c r="AY52" s="659">
        <f>AP52</f>
        <v>564</v>
      </c>
      <c r="AZ52" s="659">
        <f>AQ52</f>
        <v>552</v>
      </c>
      <c r="BA52" s="659">
        <v>0</v>
      </c>
    </row>
    <row r="53" spans="1:139" s="823" customFormat="1">
      <c r="C53" s="823" t="s">
        <v>156</v>
      </c>
      <c r="M53" s="824">
        <f>+M49-M52</f>
        <v>0</v>
      </c>
      <c r="N53" s="824">
        <f>+N49-N52</f>
        <v>0</v>
      </c>
      <c r="O53" s="824">
        <f>+O49-O52</f>
        <v>0</v>
      </c>
      <c r="P53" s="824">
        <f>+P49-P52</f>
        <v>0</v>
      </c>
      <c r="Q53" s="824">
        <f>+Q49-Q52</f>
        <v>0</v>
      </c>
      <c r="S53" s="856"/>
      <c r="V53" s="824">
        <f>+V49-V52</f>
        <v>0</v>
      </c>
      <c r="W53" s="824">
        <f>+W49-W52</f>
        <v>0</v>
      </c>
      <c r="X53" s="824">
        <f>+X49-X52</f>
        <v>0</v>
      </c>
      <c r="Y53" s="824">
        <f>+Y49-Y52</f>
        <v>0</v>
      </c>
      <c r="Z53" s="824">
        <f>+Z49-Z52</f>
        <v>0</v>
      </c>
      <c r="AE53" s="824">
        <f>+AE49-AE52</f>
        <v>0</v>
      </c>
      <c r="AF53" s="824">
        <f>+AF49-AF52</f>
        <v>0</v>
      </c>
      <c r="AG53" s="824">
        <f>+AG49-AG52</f>
        <v>0</v>
      </c>
      <c r="AH53" s="824">
        <f>+AH49-AH52</f>
        <v>0</v>
      </c>
      <c r="AI53" s="824">
        <f>+AI49-AI52</f>
        <v>0</v>
      </c>
      <c r="AN53" s="824">
        <f>+AN49-AN52</f>
        <v>0</v>
      </c>
      <c r="AO53" s="824">
        <f>+AO49-AO52</f>
        <v>0</v>
      </c>
      <c r="AP53" s="824">
        <f>+AP49-AP52</f>
        <v>0</v>
      </c>
      <c r="AQ53" s="824">
        <f>+AQ49-AQ52</f>
        <v>0</v>
      </c>
      <c r="AR53" s="825">
        <f>+AR49-AR52</f>
        <v>0</v>
      </c>
      <c r="AW53" s="824">
        <f>+AW49-AW52</f>
        <v>0</v>
      </c>
      <c r="AX53" s="824">
        <f>+AX49-AX52</f>
        <v>0</v>
      </c>
      <c r="AY53" s="824">
        <f>+AY49-AY52</f>
        <v>0</v>
      </c>
      <c r="AZ53" s="824">
        <f>+AZ49-AZ52</f>
        <v>0</v>
      </c>
      <c r="BA53" s="825">
        <f>+BA49-BA52</f>
        <v>0</v>
      </c>
    </row>
    <row r="54" spans="1:139" s="823" customFormat="1"/>
    <row r="56" spans="1:139">
      <c r="O56">
        <f>1188/2</f>
        <v>594</v>
      </c>
    </row>
  </sheetData>
  <mergeCells count="17">
    <mergeCell ref="A14:A19"/>
    <mergeCell ref="AW5:BE6"/>
    <mergeCell ref="D5:L6"/>
    <mergeCell ref="M5:U6"/>
    <mergeCell ref="AN5:AV6"/>
    <mergeCell ref="A46:A48"/>
    <mergeCell ref="V5:AD6"/>
    <mergeCell ref="AE5:AM6"/>
    <mergeCell ref="A5:A7"/>
    <mergeCell ref="B5:B7"/>
    <mergeCell ref="A25:A29"/>
    <mergeCell ref="A30:A34"/>
    <mergeCell ref="A39:A40"/>
    <mergeCell ref="C5:C7"/>
    <mergeCell ref="A35:A38"/>
    <mergeCell ref="A20:A24"/>
    <mergeCell ref="A9:A13"/>
  </mergeCells>
  <phoneticPr fontId="27"/>
  <conditionalFormatting sqref="D8:BE48">
    <cfRule type="expression" dxfId="11" priority="2509">
      <formula>D8=#REF!</formula>
    </cfRule>
  </conditionalFormatting>
  <conditionalFormatting sqref="D8:BE48">
    <cfRule type="expression" priority="2508">
      <formula>D8=#REF!</formula>
    </cfRule>
  </conditionalFormatting>
  <conditionalFormatting sqref="D8:BE48">
    <cfRule type="expression" dxfId="10" priority="2507">
      <formula>D8=#REF!</formula>
    </cfRule>
  </conditionalFormatting>
  <conditionalFormatting sqref="AW9:AY9 AW8:BA8 C9:K9 AE8:AI38 M8:Q38 AN8:AR9 C10:IV48 V8:Z38">
    <cfRule type="cellIs" dxfId="9" priority="2506" operator="lessThan">
      <formula>0</formula>
    </cfRule>
  </conditionalFormatting>
  <conditionalFormatting sqref="B8:IV48">
    <cfRule type="cellIs" dxfId="8" priority="2505" stopIfTrue="1" operator="lessThan">
      <formula>0</formula>
    </cfRule>
  </conditionalFormatting>
  <pageMargins left="0.7" right="0.7" top="0.75" bottom="0.75" header="0.3" footer="0.3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L107"/>
  <sheetViews>
    <sheetView zoomScale="85" zoomScaleNormal="85" workbookViewId="0">
      <pane xSplit="2" ySplit="7" topLeftCell="C11" activePane="bottomRight" state="frozen"/>
      <selection pane="topRight" activeCell="C1" sqref="C1"/>
      <selection pane="bottomLeft" activeCell="A8" sqref="A8"/>
      <selection pane="bottomRight" activeCell="BQ9" sqref="BQ9:BQ92"/>
    </sheetView>
  </sheetViews>
  <sheetFormatPr defaultRowHeight="12.75"/>
  <cols>
    <col min="1" max="1" width="13.5703125" customWidth="1"/>
    <col min="2" max="2" width="21" customWidth="1"/>
    <col min="4" max="4" width="11" hidden="1" customWidth="1"/>
    <col min="5" max="6" width="9.28515625" hidden="1" customWidth="1"/>
    <col min="7" max="8" width="11" hidden="1" customWidth="1"/>
    <col min="9" max="10" width="9.7109375" hidden="1" customWidth="1"/>
    <col min="11" max="13" width="10.140625" hidden="1" customWidth="1"/>
    <col min="14" max="14" width="9.140625" hidden="1" customWidth="1"/>
    <col min="15" max="15" width="12" bestFit="1" customWidth="1"/>
    <col min="16" max="21" width="9.42578125" bestFit="1" customWidth="1"/>
    <col min="22" max="24" width="10.85546875" customWidth="1"/>
    <col min="25" max="25" width="9.5703125" bestFit="1" customWidth="1"/>
    <col min="26" max="26" width="11.28515625" bestFit="1" customWidth="1"/>
    <col min="27" max="27" width="10.42578125" customWidth="1"/>
    <col min="28" max="28" width="9.42578125" bestFit="1" customWidth="1"/>
    <col min="29" max="29" width="10.42578125" bestFit="1" customWidth="1"/>
    <col min="30" max="30" width="9.28515625" bestFit="1" customWidth="1"/>
    <col min="31" max="32" width="9.42578125" bestFit="1" customWidth="1"/>
    <col min="33" max="33" width="11" bestFit="1" customWidth="1"/>
    <col min="34" max="35" width="10.85546875" customWidth="1"/>
    <col min="36" max="36" width="9.5703125" bestFit="1" customWidth="1"/>
    <col min="37" max="37" width="11.140625" bestFit="1" customWidth="1"/>
    <col min="38" max="41" width="9.42578125" bestFit="1" customWidth="1"/>
    <col min="42" max="42" width="9.85546875" bestFit="1" customWidth="1"/>
    <col min="43" max="43" width="9.42578125" bestFit="1" customWidth="1"/>
    <col min="44" max="44" width="11" bestFit="1" customWidth="1"/>
    <col min="45" max="46" width="10.85546875" customWidth="1"/>
    <col min="47" max="47" width="10.28515625" bestFit="1" customWidth="1"/>
    <col min="48" max="48" width="11.140625" customWidth="1"/>
    <col min="49" max="51" width="9.5703125" bestFit="1" customWidth="1"/>
    <col min="52" max="52" width="9.42578125" bestFit="1" customWidth="1"/>
    <col min="53" max="53" width="11.28515625" bestFit="1" customWidth="1"/>
    <col min="54" max="54" width="9.85546875" bestFit="1" customWidth="1"/>
    <col min="55" max="55" width="11" bestFit="1" customWidth="1"/>
    <col min="56" max="57" width="10.85546875" customWidth="1"/>
    <col min="58" max="58" width="9.5703125" bestFit="1" customWidth="1"/>
    <col min="59" max="59" width="11.28515625" bestFit="1" customWidth="1"/>
    <col min="60" max="63" width="9.42578125" bestFit="1" customWidth="1"/>
    <col min="64" max="64" width="11.28515625" bestFit="1" customWidth="1"/>
    <col min="65" max="65" width="9.42578125" bestFit="1" customWidth="1"/>
    <col min="66" max="66" width="11" bestFit="1" customWidth="1"/>
    <col min="67" max="68" width="10.85546875" customWidth="1"/>
    <col min="69" max="69" width="9.42578125" bestFit="1" customWidth="1"/>
    <col min="70" max="141" width="9.140625" style="623" customWidth="1"/>
  </cols>
  <sheetData>
    <row r="1" spans="1:142" s="83" customFormat="1" ht="15.75">
      <c r="A1" s="582"/>
      <c r="B1" s="583"/>
      <c r="C1" s="584"/>
      <c r="D1" s="585"/>
      <c r="E1" s="586"/>
      <c r="F1" s="586"/>
      <c r="G1" s="586"/>
      <c r="H1" s="586"/>
      <c r="I1" s="586"/>
      <c r="J1" s="587"/>
      <c r="K1" s="587"/>
      <c r="L1" s="587"/>
      <c r="M1" s="587"/>
      <c r="N1" s="587"/>
      <c r="O1" s="586"/>
      <c r="P1" s="586"/>
      <c r="Q1" s="586"/>
      <c r="R1" s="586"/>
      <c r="S1" s="586"/>
      <c r="T1" s="586"/>
      <c r="U1" s="586"/>
      <c r="V1" s="586"/>
      <c r="W1" s="587"/>
      <c r="X1" s="587"/>
      <c r="Y1" s="586"/>
      <c r="Z1" s="586"/>
      <c r="AA1" s="586"/>
      <c r="AB1" s="586"/>
      <c r="AC1" s="586"/>
      <c r="AD1" s="586"/>
      <c r="AE1" s="586"/>
      <c r="AF1" s="586"/>
      <c r="AG1" s="586"/>
      <c r="AH1" s="587"/>
      <c r="AI1" s="587"/>
      <c r="AJ1" s="586"/>
      <c r="AK1" s="586"/>
      <c r="AL1" s="586"/>
      <c r="AM1" s="586"/>
      <c r="AN1" s="586"/>
      <c r="AO1" s="586"/>
      <c r="AP1" s="586"/>
      <c r="AQ1" s="586"/>
      <c r="AR1" s="586"/>
      <c r="AS1" s="587"/>
      <c r="AT1" s="587"/>
      <c r="AU1" s="586"/>
      <c r="AV1" s="586"/>
      <c r="AW1" s="586"/>
      <c r="AX1" s="586"/>
      <c r="AY1" s="586"/>
      <c r="AZ1" s="586"/>
      <c r="BA1" s="586"/>
      <c r="BB1" s="586"/>
      <c r="BC1" s="586"/>
      <c r="BD1" s="587"/>
      <c r="BE1" s="587"/>
      <c r="BF1" s="586"/>
      <c r="BG1" s="586"/>
      <c r="BH1" s="586"/>
      <c r="BI1" s="586"/>
      <c r="BJ1" s="586"/>
      <c r="BK1" s="586"/>
      <c r="BL1" s="586"/>
      <c r="BM1" s="586"/>
      <c r="BN1" s="586"/>
      <c r="BO1" s="587"/>
      <c r="BP1" s="587"/>
      <c r="BQ1" s="586"/>
      <c r="BR1" s="621"/>
      <c r="BS1" s="621"/>
      <c r="BT1" s="621"/>
      <c r="BU1" s="621"/>
      <c r="BV1" s="621"/>
      <c r="BW1" s="621"/>
      <c r="BX1" s="621"/>
      <c r="BY1" s="621"/>
      <c r="BZ1" s="621"/>
      <c r="CA1" s="621"/>
      <c r="CB1" s="621"/>
      <c r="CC1" s="621"/>
      <c r="CD1" s="621"/>
      <c r="CE1" s="621"/>
      <c r="CF1" s="621"/>
      <c r="CG1" s="621"/>
      <c r="CH1" s="621"/>
      <c r="CI1" s="621"/>
      <c r="CJ1" s="621"/>
      <c r="CK1" s="621"/>
      <c r="CL1" s="621"/>
      <c r="CM1" s="621"/>
      <c r="CN1" s="621"/>
      <c r="CO1" s="621"/>
      <c r="CP1" s="621"/>
      <c r="CQ1" s="621"/>
      <c r="CR1" s="621"/>
      <c r="CS1" s="621"/>
      <c r="CT1" s="621"/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21"/>
      <c r="DO1" s="621"/>
      <c r="DP1" s="621"/>
      <c r="DQ1" s="621"/>
      <c r="DR1" s="621"/>
      <c r="DS1" s="621"/>
      <c r="DT1" s="621"/>
      <c r="DU1" s="621"/>
      <c r="DV1" s="621"/>
      <c r="DW1" s="621"/>
      <c r="DX1" s="621"/>
      <c r="DY1" s="621"/>
      <c r="DZ1" s="621"/>
      <c r="EA1" s="621"/>
      <c r="EB1" s="621"/>
      <c r="EC1" s="621"/>
      <c r="ED1" s="621"/>
      <c r="EE1" s="621"/>
      <c r="EF1" s="621"/>
      <c r="EG1" s="621"/>
      <c r="EH1" s="621"/>
      <c r="EI1" s="621"/>
      <c r="EJ1" s="621"/>
      <c r="EK1" s="621"/>
    </row>
    <row r="2" spans="1:142" s="83" customFormat="1" ht="15">
      <c r="A2" s="582"/>
      <c r="B2" s="583"/>
      <c r="C2" s="584"/>
      <c r="D2" s="588"/>
      <c r="E2" s="588"/>
      <c r="F2" s="588"/>
      <c r="G2" s="588"/>
      <c r="H2" s="588"/>
      <c r="I2" s="588"/>
      <c r="J2" s="587"/>
      <c r="K2" s="587"/>
      <c r="L2" s="587"/>
      <c r="M2" s="587"/>
      <c r="N2" s="587"/>
      <c r="O2" s="588"/>
      <c r="P2" s="588"/>
      <c r="Q2" s="588"/>
      <c r="R2" s="588"/>
      <c r="S2" s="588"/>
      <c r="T2" s="588"/>
      <c r="U2" s="598"/>
      <c r="V2" s="588"/>
      <c r="W2" s="587"/>
      <c r="X2" s="587"/>
      <c r="Y2" s="588"/>
      <c r="Z2" s="588"/>
      <c r="AA2" s="588"/>
      <c r="AB2" s="588"/>
      <c r="AC2" s="588"/>
      <c r="AD2" s="588"/>
      <c r="AE2" s="588"/>
      <c r="AF2" s="588"/>
      <c r="AG2" s="588"/>
      <c r="AH2" s="587"/>
      <c r="AI2" s="587"/>
      <c r="AJ2" s="588"/>
      <c r="AK2" s="588"/>
      <c r="AL2" s="588"/>
      <c r="AM2" s="588"/>
      <c r="AN2" s="588"/>
      <c r="AO2" s="588"/>
      <c r="AP2" s="598"/>
      <c r="AQ2" s="598"/>
      <c r="AR2" s="588"/>
      <c r="AS2" s="587"/>
      <c r="AT2" s="587"/>
      <c r="AU2" s="588"/>
      <c r="AV2" s="588"/>
      <c r="AW2" s="588"/>
      <c r="AX2" s="588"/>
      <c r="AY2" s="588"/>
      <c r="AZ2" s="588"/>
      <c r="BA2" s="588"/>
      <c r="BB2" s="588"/>
      <c r="BC2" s="588"/>
      <c r="BD2" s="587"/>
      <c r="BE2" s="587"/>
      <c r="BF2" s="588"/>
      <c r="BG2" s="588"/>
      <c r="BH2" s="588"/>
      <c r="BI2" s="588"/>
      <c r="BJ2" s="588"/>
      <c r="BK2" s="588"/>
      <c r="BL2" s="588"/>
      <c r="BM2" s="588"/>
      <c r="BN2" s="588"/>
      <c r="BO2" s="587"/>
      <c r="BP2" s="587"/>
      <c r="BQ2" s="588"/>
      <c r="BR2" s="621"/>
      <c r="BS2" s="621"/>
      <c r="BT2" s="621"/>
      <c r="BU2" s="621"/>
      <c r="BV2" s="621"/>
      <c r="BW2" s="621"/>
      <c r="BX2" s="621"/>
      <c r="BY2" s="621"/>
      <c r="BZ2" s="621"/>
      <c r="CA2" s="621"/>
      <c r="CB2" s="621"/>
      <c r="CC2" s="621"/>
      <c r="CD2" s="621"/>
      <c r="CE2" s="621"/>
      <c r="CF2" s="621"/>
      <c r="CG2" s="621"/>
      <c r="CH2" s="621"/>
      <c r="CI2" s="621"/>
      <c r="CJ2" s="621"/>
      <c r="CK2" s="621"/>
      <c r="CL2" s="621"/>
      <c r="CM2" s="621"/>
      <c r="CN2" s="621"/>
      <c r="CO2" s="621"/>
      <c r="CP2" s="621"/>
      <c r="CQ2" s="621"/>
      <c r="CR2" s="621"/>
      <c r="CS2" s="621"/>
      <c r="CT2" s="621"/>
      <c r="CU2" s="621"/>
      <c r="CV2" s="621"/>
      <c r="CW2" s="621"/>
      <c r="CX2" s="621"/>
      <c r="CY2" s="621"/>
      <c r="CZ2" s="621"/>
      <c r="DA2" s="621"/>
      <c r="DB2" s="621"/>
      <c r="DC2" s="621"/>
      <c r="DD2" s="621"/>
      <c r="DE2" s="621"/>
      <c r="DF2" s="621"/>
      <c r="DG2" s="621"/>
      <c r="DH2" s="621"/>
      <c r="DI2" s="621"/>
      <c r="DJ2" s="621"/>
      <c r="DK2" s="621"/>
      <c r="DL2" s="621"/>
      <c r="DM2" s="621"/>
      <c r="DN2" s="621"/>
      <c r="DO2" s="621"/>
      <c r="DP2" s="621"/>
      <c r="DQ2" s="621"/>
      <c r="DR2" s="621"/>
      <c r="DS2" s="621"/>
      <c r="DT2" s="621"/>
      <c r="DU2" s="621"/>
      <c r="DV2" s="621"/>
      <c r="DW2" s="621"/>
      <c r="DX2" s="621"/>
      <c r="DY2" s="621"/>
      <c r="DZ2" s="621"/>
      <c r="EA2" s="621"/>
      <c r="EB2" s="621"/>
      <c r="EC2" s="621"/>
      <c r="ED2" s="621"/>
      <c r="EE2" s="621"/>
      <c r="EF2" s="621"/>
      <c r="EG2" s="621"/>
      <c r="EH2" s="621"/>
      <c r="EI2" s="621"/>
      <c r="EJ2" s="621"/>
      <c r="EK2" s="621"/>
    </row>
    <row r="3" spans="1:142" s="83" customFormat="1" ht="15">
      <c r="A3" s="589"/>
      <c r="B3" s="583">
        <v>1</v>
      </c>
      <c r="C3" s="584">
        <f>+B3+1</f>
        <v>2</v>
      </c>
      <c r="D3" s="590">
        <f t="shared" ref="D3:BO3" si="0">+C3+1</f>
        <v>3</v>
      </c>
      <c r="E3" s="588">
        <f t="shared" si="0"/>
        <v>4</v>
      </c>
      <c r="F3" s="590">
        <f t="shared" si="0"/>
        <v>5</v>
      </c>
      <c r="G3" s="590">
        <f t="shared" si="0"/>
        <v>6</v>
      </c>
      <c r="H3" s="590">
        <f t="shared" si="0"/>
        <v>7</v>
      </c>
      <c r="I3" s="590">
        <f t="shared" si="0"/>
        <v>8</v>
      </c>
      <c r="J3" s="591">
        <f t="shared" si="0"/>
        <v>9</v>
      </c>
      <c r="K3" s="591">
        <f t="shared" si="0"/>
        <v>10</v>
      </c>
      <c r="L3" s="591">
        <f t="shared" si="0"/>
        <v>11</v>
      </c>
      <c r="M3" s="591">
        <f t="shared" si="0"/>
        <v>12</v>
      </c>
      <c r="N3" s="591">
        <f t="shared" si="0"/>
        <v>13</v>
      </c>
      <c r="O3" s="588">
        <f t="shared" si="0"/>
        <v>14</v>
      </c>
      <c r="P3" s="590">
        <f t="shared" si="0"/>
        <v>15</v>
      </c>
      <c r="Q3" s="590">
        <f t="shared" si="0"/>
        <v>16</v>
      </c>
      <c r="R3" s="590">
        <f t="shared" si="0"/>
        <v>17</v>
      </c>
      <c r="S3" s="590">
        <f t="shared" si="0"/>
        <v>18</v>
      </c>
      <c r="T3" s="590">
        <f t="shared" si="0"/>
        <v>19</v>
      </c>
      <c r="U3" s="590">
        <f t="shared" si="0"/>
        <v>20</v>
      </c>
      <c r="V3" s="590">
        <f t="shared" si="0"/>
        <v>21</v>
      </c>
      <c r="W3" s="591">
        <f t="shared" si="0"/>
        <v>22</v>
      </c>
      <c r="X3" s="591">
        <f t="shared" si="0"/>
        <v>23</v>
      </c>
      <c r="Y3" s="590">
        <f t="shared" si="0"/>
        <v>24</v>
      </c>
      <c r="Z3" s="590">
        <f t="shared" si="0"/>
        <v>25</v>
      </c>
      <c r="AA3" s="590">
        <f t="shared" si="0"/>
        <v>26</v>
      </c>
      <c r="AB3" s="590">
        <f t="shared" si="0"/>
        <v>27</v>
      </c>
      <c r="AC3" s="590">
        <f t="shared" si="0"/>
        <v>28</v>
      </c>
      <c r="AD3" s="590">
        <f t="shared" si="0"/>
        <v>29</v>
      </c>
      <c r="AE3" s="590">
        <f t="shared" si="0"/>
        <v>30</v>
      </c>
      <c r="AF3" s="590">
        <f t="shared" si="0"/>
        <v>31</v>
      </c>
      <c r="AG3" s="590">
        <f t="shared" si="0"/>
        <v>32</v>
      </c>
      <c r="AH3" s="591">
        <f t="shared" si="0"/>
        <v>33</v>
      </c>
      <c r="AI3" s="591">
        <f t="shared" si="0"/>
        <v>34</v>
      </c>
      <c r="AJ3" s="590">
        <f t="shared" si="0"/>
        <v>35</v>
      </c>
      <c r="AK3" s="590">
        <f t="shared" si="0"/>
        <v>36</v>
      </c>
      <c r="AL3" s="590">
        <f t="shared" si="0"/>
        <v>37</v>
      </c>
      <c r="AM3" s="590">
        <f t="shared" si="0"/>
        <v>38</v>
      </c>
      <c r="AN3" s="590">
        <f t="shared" si="0"/>
        <v>39</v>
      </c>
      <c r="AO3" s="590">
        <f t="shared" si="0"/>
        <v>40</v>
      </c>
      <c r="AP3" s="590">
        <f t="shared" si="0"/>
        <v>41</v>
      </c>
      <c r="AQ3" s="590">
        <f t="shared" si="0"/>
        <v>42</v>
      </c>
      <c r="AR3" s="590">
        <f t="shared" si="0"/>
        <v>43</v>
      </c>
      <c r="AS3" s="591">
        <f t="shared" si="0"/>
        <v>44</v>
      </c>
      <c r="AT3" s="591">
        <f t="shared" si="0"/>
        <v>45</v>
      </c>
      <c r="AU3" s="590">
        <f t="shared" si="0"/>
        <v>46</v>
      </c>
      <c r="AV3" s="590">
        <f t="shared" si="0"/>
        <v>47</v>
      </c>
      <c r="AW3" s="590">
        <f t="shared" si="0"/>
        <v>48</v>
      </c>
      <c r="AX3" s="590">
        <f t="shared" si="0"/>
        <v>49</v>
      </c>
      <c r="AY3" s="590">
        <f t="shared" si="0"/>
        <v>50</v>
      </c>
      <c r="AZ3" s="590">
        <f t="shared" si="0"/>
        <v>51</v>
      </c>
      <c r="BA3" s="590">
        <f t="shared" si="0"/>
        <v>52</v>
      </c>
      <c r="BB3" s="590">
        <f t="shared" si="0"/>
        <v>53</v>
      </c>
      <c r="BC3" s="590">
        <f t="shared" si="0"/>
        <v>54</v>
      </c>
      <c r="BD3" s="591">
        <f t="shared" si="0"/>
        <v>55</v>
      </c>
      <c r="BE3" s="591">
        <f t="shared" si="0"/>
        <v>56</v>
      </c>
      <c r="BF3" s="590">
        <f t="shared" si="0"/>
        <v>57</v>
      </c>
      <c r="BG3" s="590">
        <f t="shared" si="0"/>
        <v>58</v>
      </c>
      <c r="BH3" s="590">
        <f t="shared" si="0"/>
        <v>59</v>
      </c>
      <c r="BI3" s="590">
        <f t="shared" si="0"/>
        <v>60</v>
      </c>
      <c r="BJ3" s="590">
        <f t="shared" si="0"/>
        <v>61</v>
      </c>
      <c r="BK3" s="590">
        <f t="shared" si="0"/>
        <v>62</v>
      </c>
      <c r="BL3" s="590">
        <f t="shared" si="0"/>
        <v>63</v>
      </c>
      <c r="BM3" s="590">
        <f t="shared" si="0"/>
        <v>64</v>
      </c>
      <c r="BN3" s="590">
        <f t="shared" si="0"/>
        <v>65</v>
      </c>
      <c r="BO3" s="591">
        <f t="shared" si="0"/>
        <v>66</v>
      </c>
      <c r="BP3" s="591">
        <f>+BO3+1</f>
        <v>67</v>
      </c>
      <c r="BQ3" s="590">
        <f>+BP3+1</f>
        <v>68</v>
      </c>
      <c r="BR3" s="621"/>
      <c r="BS3" s="621"/>
      <c r="BT3" s="621"/>
      <c r="BU3" s="621"/>
      <c r="BV3" s="621"/>
      <c r="BW3" s="621"/>
      <c r="BX3" s="621"/>
      <c r="BY3" s="621"/>
      <c r="BZ3" s="621"/>
      <c r="CA3" s="621"/>
      <c r="CB3" s="621"/>
      <c r="CC3" s="621"/>
      <c r="CD3" s="621"/>
      <c r="CE3" s="621"/>
      <c r="CF3" s="621"/>
      <c r="CG3" s="621"/>
      <c r="CH3" s="621"/>
      <c r="CI3" s="621"/>
      <c r="CJ3" s="621"/>
      <c r="CK3" s="621"/>
      <c r="CL3" s="621"/>
      <c r="CM3" s="621"/>
      <c r="CN3" s="621"/>
      <c r="CO3" s="621"/>
      <c r="CP3" s="621"/>
      <c r="CQ3" s="621"/>
      <c r="CR3" s="621"/>
      <c r="CS3" s="621"/>
      <c r="CT3" s="621"/>
      <c r="CU3" s="621"/>
      <c r="CV3" s="621"/>
      <c r="CW3" s="621"/>
      <c r="CX3" s="621"/>
      <c r="CY3" s="621"/>
      <c r="CZ3" s="621"/>
      <c r="DA3" s="621"/>
      <c r="DB3" s="621"/>
      <c r="DC3" s="621"/>
      <c r="DD3" s="621"/>
      <c r="DE3" s="621"/>
      <c r="DF3" s="621"/>
      <c r="DG3" s="621"/>
      <c r="DH3" s="621"/>
      <c r="DI3" s="621"/>
      <c r="DJ3" s="621"/>
      <c r="DK3" s="621"/>
      <c r="DL3" s="621"/>
      <c r="DM3" s="621"/>
      <c r="DN3" s="621"/>
      <c r="DO3" s="621"/>
      <c r="DP3" s="621"/>
      <c r="DQ3" s="621"/>
      <c r="DR3" s="621"/>
      <c r="DS3" s="621"/>
      <c r="DT3" s="621"/>
      <c r="DU3" s="621"/>
      <c r="DV3" s="621"/>
      <c r="DW3" s="621"/>
      <c r="DX3" s="621"/>
      <c r="DY3" s="621"/>
      <c r="DZ3" s="621"/>
      <c r="EA3" s="621"/>
      <c r="EB3" s="621"/>
      <c r="EC3" s="621"/>
      <c r="ED3" s="621"/>
      <c r="EE3" s="621"/>
      <c r="EF3" s="621"/>
      <c r="EG3" s="621"/>
      <c r="EH3" s="621"/>
      <c r="EI3" s="621"/>
      <c r="EJ3" s="621"/>
      <c r="EK3" s="621"/>
    </row>
    <row r="4" spans="1:142" s="83" customFormat="1" ht="15.75" thickBot="1">
      <c r="A4" s="587" t="s">
        <v>123</v>
      </c>
      <c r="B4" s="592">
        <f ca="1">NOW()</f>
        <v>46093.48149085648</v>
      </c>
      <c r="C4" s="592"/>
      <c r="D4" s="593" t="s">
        <v>124</v>
      </c>
      <c r="E4" s="593"/>
      <c r="F4" s="593"/>
      <c r="G4" s="593"/>
      <c r="H4" s="593"/>
      <c r="I4" s="593"/>
      <c r="J4" s="592"/>
      <c r="K4" s="592"/>
      <c r="L4" s="592"/>
      <c r="M4" s="592"/>
      <c r="N4" s="592"/>
      <c r="O4" s="593" t="s">
        <v>125</v>
      </c>
      <c r="P4" s="593"/>
      <c r="Q4" s="593"/>
      <c r="R4" s="593"/>
      <c r="S4" s="593"/>
      <c r="T4" s="593"/>
      <c r="U4" s="593"/>
      <c r="V4" s="593"/>
      <c r="W4" s="592"/>
      <c r="X4" s="592"/>
      <c r="Y4" s="593"/>
      <c r="Z4" s="593" t="s">
        <v>126</v>
      </c>
      <c r="AA4" s="593"/>
      <c r="AB4" s="593"/>
      <c r="AC4" s="593"/>
      <c r="AD4" s="593"/>
      <c r="AE4" s="593"/>
      <c r="AF4" s="593"/>
      <c r="AG4" s="593"/>
      <c r="AH4" s="592"/>
      <c r="AI4" s="592"/>
      <c r="AJ4" s="593"/>
      <c r="AK4" s="593" t="s">
        <v>127</v>
      </c>
      <c r="AL4" s="593"/>
      <c r="AM4" s="593"/>
      <c r="AN4" s="593"/>
      <c r="AO4" s="593"/>
      <c r="AP4" s="593"/>
      <c r="AQ4" s="593"/>
      <c r="AR4" s="593"/>
      <c r="AS4" s="592"/>
      <c r="AT4" s="592"/>
      <c r="AU4" s="593"/>
      <c r="AV4" s="593" t="s">
        <v>127</v>
      </c>
      <c r="AW4" s="593"/>
      <c r="AX4" s="593"/>
      <c r="AY4" s="593"/>
      <c r="AZ4" s="593"/>
      <c r="BA4" s="593"/>
      <c r="BB4" s="593"/>
      <c r="BC4" s="593"/>
      <c r="BD4" s="592"/>
      <c r="BE4" s="592"/>
      <c r="BF4" s="593"/>
      <c r="BG4" s="593" t="s">
        <v>127</v>
      </c>
      <c r="BH4" s="593"/>
      <c r="BI4" s="593"/>
      <c r="BJ4" s="593"/>
      <c r="BK4" s="593"/>
      <c r="BL4" s="593"/>
      <c r="BM4" s="593"/>
      <c r="BN4" s="593"/>
      <c r="BO4" s="592"/>
      <c r="BP4" s="592"/>
      <c r="BQ4" s="593"/>
      <c r="BR4" s="621"/>
      <c r="BS4" s="621"/>
      <c r="BT4" s="621"/>
      <c r="BU4" s="621"/>
      <c r="BV4" s="621"/>
      <c r="BW4" s="621"/>
      <c r="BX4" s="621"/>
      <c r="BY4" s="621"/>
      <c r="BZ4" s="621"/>
      <c r="CA4" s="621"/>
      <c r="CB4" s="621"/>
      <c r="CC4" s="621"/>
      <c r="CD4" s="621"/>
      <c r="CE4" s="621"/>
      <c r="CF4" s="621"/>
      <c r="CG4" s="621"/>
      <c r="CH4" s="621"/>
      <c r="CI4" s="621"/>
      <c r="CJ4" s="621"/>
      <c r="CK4" s="621"/>
      <c r="CL4" s="621"/>
      <c r="CM4" s="621"/>
      <c r="CN4" s="621"/>
      <c r="CO4" s="621"/>
      <c r="CP4" s="621"/>
      <c r="CQ4" s="621"/>
      <c r="CR4" s="621"/>
      <c r="CS4" s="621"/>
      <c r="CT4" s="621"/>
      <c r="CU4" s="621"/>
      <c r="CV4" s="621"/>
      <c r="CW4" s="621"/>
      <c r="CX4" s="621"/>
      <c r="CY4" s="621"/>
      <c r="CZ4" s="621"/>
      <c r="DA4" s="621"/>
      <c r="DB4" s="621"/>
      <c r="DC4" s="621"/>
      <c r="DD4" s="621"/>
      <c r="DE4" s="621"/>
      <c r="DF4" s="621"/>
      <c r="DG4" s="621"/>
      <c r="DH4" s="621"/>
      <c r="DI4" s="621"/>
      <c r="DJ4" s="621"/>
      <c r="DK4" s="621"/>
      <c r="DL4" s="621"/>
      <c r="DM4" s="621"/>
      <c r="DN4" s="621"/>
      <c r="DO4" s="621"/>
      <c r="DP4" s="621"/>
      <c r="DQ4" s="621"/>
      <c r="DR4" s="621"/>
      <c r="DS4" s="621"/>
      <c r="DT4" s="621"/>
      <c r="DU4" s="621"/>
      <c r="DV4" s="621"/>
      <c r="DW4" s="621"/>
      <c r="DX4" s="621"/>
      <c r="DY4" s="621"/>
      <c r="DZ4" s="621"/>
      <c r="EA4" s="621"/>
      <c r="EB4" s="621"/>
      <c r="EC4" s="621"/>
      <c r="ED4" s="621"/>
      <c r="EE4" s="621"/>
      <c r="EF4" s="621"/>
      <c r="EG4" s="621"/>
      <c r="EH4" s="621"/>
      <c r="EI4" s="621"/>
      <c r="EJ4" s="621"/>
      <c r="EK4" s="621"/>
    </row>
    <row r="5" spans="1:142" s="595" customFormat="1" ht="14.25" customHeight="1" thickTop="1" thickBot="1">
      <c r="A5" s="1602" t="s">
        <v>3</v>
      </c>
      <c r="B5" s="1604" t="s">
        <v>4</v>
      </c>
      <c r="C5" s="1606" t="s">
        <v>5</v>
      </c>
      <c r="D5" s="1576" t="str">
        <f>+'(AS-400 Jembatan)'!D5:L6</f>
        <v>MAR</v>
      </c>
      <c r="E5" s="1577"/>
      <c r="F5" s="1577"/>
      <c r="G5" s="1577"/>
      <c r="H5" s="1577"/>
      <c r="I5" s="1577"/>
      <c r="J5" s="1577"/>
      <c r="K5" s="1577"/>
      <c r="L5" s="1577"/>
      <c r="M5" s="1577"/>
      <c r="N5" s="1577"/>
      <c r="O5" s="1579" t="str">
        <f>+'(AS-400 Jembatan)'!M5</f>
        <v>APR</v>
      </c>
      <c r="P5" s="1577"/>
      <c r="Q5" s="1577"/>
      <c r="R5" s="1577"/>
      <c r="S5" s="1577"/>
      <c r="T5" s="1577"/>
      <c r="U5" s="1577"/>
      <c r="V5" s="1577"/>
      <c r="W5" s="1577"/>
      <c r="X5" s="1577"/>
      <c r="Y5" s="1580"/>
      <c r="Z5" s="1579" t="str">
        <f>+'(AS-400 Jembatan)'!V5</f>
        <v>MAY</v>
      </c>
      <c r="AA5" s="1577"/>
      <c r="AB5" s="1577"/>
      <c r="AC5" s="1577"/>
      <c r="AD5" s="1577"/>
      <c r="AE5" s="1577"/>
      <c r="AF5" s="1577"/>
      <c r="AG5" s="1577"/>
      <c r="AH5" s="1577"/>
      <c r="AI5" s="1577"/>
      <c r="AJ5" s="1580"/>
      <c r="AK5" s="1579" t="str">
        <f>+'(AS-400 Jembatan)'!AE5</f>
        <v>JUN</v>
      </c>
      <c r="AL5" s="1577"/>
      <c r="AM5" s="1577"/>
      <c r="AN5" s="1577"/>
      <c r="AO5" s="1577"/>
      <c r="AP5" s="1577"/>
      <c r="AQ5" s="1577"/>
      <c r="AR5" s="1577"/>
      <c r="AS5" s="1577"/>
      <c r="AT5" s="1577"/>
      <c r="AU5" s="1580"/>
      <c r="AV5" s="1579" t="str">
        <f>+'(AS-400 Jembatan)'!AN5</f>
        <v>JUL</v>
      </c>
      <c r="AW5" s="1577"/>
      <c r="AX5" s="1577"/>
      <c r="AY5" s="1577"/>
      <c r="AZ5" s="1577"/>
      <c r="BA5" s="1577"/>
      <c r="BB5" s="1577"/>
      <c r="BC5" s="1577"/>
      <c r="BD5" s="1577"/>
      <c r="BE5" s="1577"/>
      <c r="BF5" s="1580"/>
      <c r="BG5" s="1579" t="str">
        <f>+'(AS-400 Jembatan)'!AW5</f>
        <v>AUG</v>
      </c>
      <c r="BH5" s="1577"/>
      <c r="BI5" s="1577"/>
      <c r="BJ5" s="1577"/>
      <c r="BK5" s="1577"/>
      <c r="BL5" s="1577"/>
      <c r="BM5" s="1577"/>
      <c r="BN5" s="1577"/>
      <c r="BO5" s="1577"/>
      <c r="BP5" s="1577"/>
      <c r="BQ5" s="1580"/>
      <c r="BR5" s="621"/>
      <c r="BS5" s="621"/>
      <c r="BT5" s="621"/>
      <c r="BU5" s="621"/>
      <c r="BV5" s="621"/>
      <c r="BW5" s="621"/>
      <c r="BX5" s="621"/>
      <c r="BY5" s="621"/>
      <c r="BZ5" s="621"/>
      <c r="CA5" s="621"/>
      <c r="CB5" s="621"/>
      <c r="CC5" s="621"/>
      <c r="CD5" s="621"/>
      <c r="CE5" s="621"/>
      <c r="CF5" s="621"/>
      <c r="CG5" s="621"/>
      <c r="CH5" s="621"/>
      <c r="CI5" s="621"/>
      <c r="CJ5" s="621"/>
      <c r="CK5" s="621"/>
      <c r="CL5" s="621"/>
      <c r="CM5" s="621"/>
      <c r="CN5" s="621"/>
      <c r="CO5" s="621"/>
      <c r="CP5" s="621"/>
      <c r="CQ5" s="621"/>
      <c r="CR5" s="621"/>
      <c r="CS5" s="621"/>
      <c r="CT5" s="621"/>
      <c r="CU5" s="621"/>
      <c r="CV5" s="621"/>
      <c r="CW5" s="621"/>
      <c r="CX5" s="621"/>
      <c r="CY5" s="621"/>
      <c r="CZ5" s="621"/>
      <c r="DA5" s="621"/>
      <c r="DB5" s="621"/>
      <c r="DC5" s="621"/>
      <c r="DD5" s="621"/>
      <c r="DE5" s="621"/>
      <c r="DF5" s="621"/>
      <c r="DG5" s="621"/>
      <c r="DH5" s="621"/>
      <c r="DI5" s="621"/>
      <c r="DJ5" s="621"/>
      <c r="DK5" s="621"/>
      <c r="DL5" s="621"/>
      <c r="DM5" s="621"/>
      <c r="DN5" s="621"/>
      <c r="DO5" s="621"/>
      <c r="DP5" s="621"/>
      <c r="DQ5" s="621"/>
      <c r="DR5" s="621"/>
      <c r="DS5" s="621"/>
      <c r="DT5" s="621"/>
      <c r="DU5" s="621"/>
      <c r="DV5" s="621"/>
      <c r="DW5" s="621"/>
      <c r="DX5" s="621"/>
      <c r="DY5" s="621"/>
      <c r="DZ5" s="621"/>
      <c r="EA5" s="621"/>
      <c r="EB5" s="621"/>
      <c r="EC5" s="621"/>
      <c r="ED5" s="621"/>
      <c r="EE5" s="621"/>
      <c r="EF5" s="621"/>
      <c r="EG5" s="621"/>
      <c r="EH5" s="621"/>
      <c r="EI5" s="621"/>
      <c r="EJ5" s="621"/>
      <c r="EK5" s="621"/>
      <c r="EL5" s="594"/>
    </row>
    <row r="6" spans="1:142" s="595" customFormat="1" ht="14.25" customHeight="1" thickTop="1" thickBot="1">
      <c r="A6" s="1602"/>
      <c r="B6" s="1604"/>
      <c r="C6" s="1606"/>
      <c r="D6" s="1578"/>
      <c r="E6" s="1574"/>
      <c r="F6" s="1574"/>
      <c r="G6" s="1574"/>
      <c r="H6" s="1574"/>
      <c r="I6" s="1574"/>
      <c r="J6" s="1574"/>
      <c r="K6" s="1574"/>
      <c r="L6" s="1574"/>
      <c r="M6" s="1574"/>
      <c r="N6" s="1574"/>
      <c r="O6" s="1573"/>
      <c r="P6" s="1574"/>
      <c r="Q6" s="1574"/>
      <c r="R6" s="1574"/>
      <c r="S6" s="1574"/>
      <c r="T6" s="1574"/>
      <c r="U6" s="1574"/>
      <c r="V6" s="1574"/>
      <c r="W6" s="1574"/>
      <c r="X6" s="1574"/>
      <c r="Y6" s="1575"/>
      <c r="Z6" s="1573"/>
      <c r="AA6" s="1574"/>
      <c r="AB6" s="1574"/>
      <c r="AC6" s="1574"/>
      <c r="AD6" s="1574"/>
      <c r="AE6" s="1574"/>
      <c r="AF6" s="1574"/>
      <c r="AG6" s="1574"/>
      <c r="AH6" s="1574"/>
      <c r="AI6" s="1574"/>
      <c r="AJ6" s="1575"/>
      <c r="AK6" s="1573"/>
      <c r="AL6" s="1574"/>
      <c r="AM6" s="1574"/>
      <c r="AN6" s="1574"/>
      <c r="AO6" s="1574"/>
      <c r="AP6" s="1574"/>
      <c r="AQ6" s="1574"/>
      <c r="AR6" s="1574"/>
      <c r="AS6" s="1574"/>
      <c r="AT6" s="1574"/>
      <c r="AU6" s="1575"/>
      <c r="AV6" s="1573"/>
      <c r="AW6" s="1574"/>
      <c r="AX6" s="1574"/>
      <c r="AY6" s="1574"/>
      <c r="AZ6" s="1574"/>
      <c r="BA6" s="1574"/>
      <c r="BB6" s="1574"/>
      <c r="BC6" s="1574"/>
      <c r="BD6" s="1574"/>
      <c r="BE6" s="1574"/>
      <c r="BF6" s="1575"/>
      <c r="BG6" s="1573"/>
      <c r="BH6" s="1574"/>
      <c r="BI6" s="1574"/>
      <c r="BJ6" s="1574"/>
      <c r="BK6" s="1574"/>
      <c r="BL6" s="1574"/>
      <c r="BM6" s="1574"/>
      <c r="BN6" s="1574"/>
      <c r="BO6" s="1574"/>
      <c r="BP6" s="1574"/>
      <c r="BQ6" s="1575"/>
      <c r="BR6" s="621"/>
      <c r="BS6" s="621"/>
      <c r="BT6" s="621"/>
      <c r="BU6" s="621"/>
      <c r="BV6" s="621"/>
      <c r="BW6" s="621"/>
      <c r="BX6" s="621"/>
      <c r="BY6" s="621"/>
      <c r="BZ6" s="621"/>
      <c r="CA6" s="621"/>
      <c r="CB6" s="621"/>
      <c r="CC6" s="621"/>
      <c r="CD6" s="621"/>
      <c r="CE6" s="621"/>
      <c r="CF6" s="621"/>
      <c r="CG6" s="621"/>
      <c r="CH6" s="621"/>
      <c r="CI6" s="621"/>
      <c r="CJ6" s="621"/>
      <c r="CK6" s="621"/>
      <c r="CL6" s="621"/>
      <c r="CM6" s="621"/>
      <c r="CN6" s="621"/>
      <c r="CO6" s="621"/>
      <c r="CP6" s="621"/>
      <c r="CQ6" s="621"/>
      <c r="CR6" s="621"/>
      <c r="CS6" s="621"/>
      <c r="CT6" s="621"/>
      <c r="CU6" s="621"/>
      <c r="CV6" s="621"/>
      <c r="CW6" s="621"/>
      <c r="CX6" s="621"/>
      <c r="CY6" s="621"/>
      <c r="CZ6" s="621"/>
      <c r="DA6" s="621"/>
      <c r="DB6" s="621"/>
      <c r="DC6" s="621"/>
      <c r="DD6" s="621"/>
      <c r="DE6" s="621"/>
      <c r="DF6" s="621"/>
      <c r="DG6" s="621"/>
      <c r="DH6" s="621"/>
      <c r="DI6" s="621"/>
      <c r="DJ6" s="621"/>
      <c r="DK6" s="621"/>
      <c r="DL6" s="621"/>
      <c r="DM6" s="621"/>
      <c r="DN6" s="621"/>
      <c r="DO6" s="621"/>
      <c r="DP6" s="621"/>
      <c r="DQ6" s="621"/>
      <c r="DR6" s="621"/>
      <c r="DS6" s="621"/>
      <c r="DT6" s="621"/>
      <c r="DU6" s="621"/>
      <c r="DV6" s="621"/>
      <c r="DW6" s="621"/>
      <c r="DX6" s="621"/>
      <c r="DY6" s="621"/>
      <c r="DZ6" s="621"/>
      <c r="EA6" s="621"/>
      <c r="EB6" s="621"/>
      <c r="EC6" s="621"/>
      <c r="ED6" s="621"/>
      <c r="EE6" s="621"/>
      <c r="EF6" s="621"/>
      <c r="EG6" s="621"/>
      <c r="EH6" s="621"/>
      <c r="EI6" s="621"/>
      <c r="EJ6" s="621"/>
      <c r="EK6" s="621"/>
      <c r="EL6" s="594"/>
    </row>
    <row r="7" spans="1:142" s="595" customFormat="1" ht="31.5" customHeight="1" thickTop="1" thickBot="1">
      <c r="A7" s="1603"/>
      <c r="B7" s="1605"/>
      <c r="C7" s="1607"/>
      <c r="D7" s="748">
        <v>1</v>
      </c>
      <c r="E7" s="748">
        <v>2</v>
      </c>
      <c r="F7" s="748">
        <v>3</v>
      </c>
      <c r="G7" s="748">
        <v>4</v>
      </c>
      <c r="H7" s="748">
        <v>5</v>
      </c>
      <c r="I7" s="749" t="s">
        <v>129</v>
      </c>
      <c r="J7" s="750" t="s">
        <v>130</v>
      </c>
      <c r="K7" s="750" t="s">
        <v>8</v>
      </c>
      <c r="L7" s="830" t="s">
        <v>134</v>
      </c>
      <c r="M7" s="831" t="s">
        <v>135</v>
      </c>
      <c r="N7" s="755" t="s">
        <v>131</v>
      </c>
      <c r="O7" s="747">
        <v>1</v>
      </c>
      <c r="P7" s="748">
        <v>2</v>
      </c>
      <c r="Q7" s="748">
        <v>3</v>
      </c>
      <c r="R7" s="748">
        <v>4</v>
      </c>
      <c r="S7" s="748">
        <v>5</v>
      </c>
      <c r="T7" s="749" t="s">
        <v>129</v>
      </c>
      <c r="U7" s="749" t="s">
        <v>130</v>
      </c>
      <c r="V7" s="750" t="s">
        <v>8</v>
      </c>
      <c r="W7" s="830" t="s">
        <v>134</v>
      </c>
      <c r="X7" s="831" t="s">
        <v>135</v>
      </c>
      <c r="Y7" s="751" t="s">
        <v>131</v>
      </c>
      <c r="Z7" s="829">
        <v>1</v>
      </c>
      <c r="AA7" s="748">
        <v>2</v>
      </c>
      <c r="AB7" s="748">
        <v>3</v>
      </c>
      <c r="AC7" s="748">
        <v>4</v>
      </c>
      <c r="AD7" s="748">
        <v>5</v>
      </c>
      <c r="AE7" s="749" t="s">
        <v>129</v>
      </c>
      <c r="AF7" s="749" t="s">
        <v>130</v>
      </c>
      <c r="AG7" s="750" t="s">
        <v>8</v>
      </c>
      <c r="AH7" s="830" t="s">
        <v>134</v>
      </c>
      <c r="AI7" s="831" t="s">
        <v>135</v>
      </c>
      <c r="AJ7" s="751" t="s">
        <v>131</v>
      </c>
      <c r="AK7" s="747">
        <v>1</v>
      </c>
      <c r="AL7" s="748">
        <v>2</v>
      </c>
      <c r="AM7" s="748">
        <v>3</v>
      </c>
      <c r="AN7" s="748">
        <v>4</v>
      </c>
      <c r="AO7" s="748">
        <v>5</v>
      </c>
      <c r="AP7" s="749" t="s">
        <v>129</v>
      </c>
      <c r="AQ7" s="749" t="s">
        <v>130</v>
      </c>
      <c r="AR7" s="750" t="s">
        <v>8</v>
      </c>
      <c r="AS7" s="830" t="s">
        <v>134</v>
      </c>
      <c r="AT7" s="831" t="s">
        <v>135</v>
      </c>
      <c r="AU7" s="755" t="s">
        <v>131</v>
      </c>
      <c r="AV7" s="747">
        <v>1</v>
      </c>
      <c r="AW7" s="748">
        <v>2</v>
      </c>
      <c r="AX7" s="748">
        <v>3</v>
      </c>
      <c r="AY7" s="748">
        <v>4</v>
      </c>
      <c r="AZ7" s="748">
        <v>5</v>
      </c>
      <c r="BA7" s="749" t="s">
        <v>129</v>
      </c>
      <c r="BB7" s="749" t="s">
        <v>130</v>
      </c>
      <c r="BC7" s="750" t="s">
        <v>8</v>
      </c>
      <c r="BD7" s="830" t="s">
        <v>134</v>
      </c>
      <c r="BE7" s="831" t="s">
        <v>135</v>
      </c>
      <c r="BF7" s="755" t="s">
        <v>131</v>
      </c>
      <c r="BG7" s="747">
        <v>1</v>
      </c>
      <c r="BH7" s="748">
        <v>2</v>
      </c>
      <c r="BI7" s="748">
        <v>3</v>
      </c>
      <c r="BJ7" s="748">
        <v>4</v>
      </c>
      <c r="BK7" s="748">
        <v>5</v>
      </c>
      <c r="BL7" s="749" t="s">
        <v>129</v>
      </c>
      <c r="BM7" s="749" t="s">
        <v>130</v>
      </c>
      <c r="BN7" s="750" t="s">
        <v>8</v>
      </c>
      <c r="BO7" s="830" t="s">
        <v>134</v>
      </c>
      <c r="BP7" s="831" t="s">
        <v>135</v>
      </c>
      <c r="BQ7" s="751" t="s">
        <v>131</v>
      </c>
      <c r="BR7" s="621"/>
      <c r="BS7" s="621"/>
      <c r="BT7" s="621"/>
      <c r="BU7" s="621"/>
      <c r="BV7" s="621"/>
      <c r="BW7" s="621"/>
      <c r="BX7" s="621"/>
      <c r="BY7" s="621"/>
      <c r="BZ7" s="621"/>
      <c r="CA7" s="621"/>
      <c r="CB7" s="621"/>
      <c r="CC7" s="621"/>
      <c r="CD7" s="621"/>
      <c r="CE7" s="621"/>
      <c r="CF7" s="621"/>
      <c r="CG7" s="621"/>
      <c r="CH7" s="621"/>
      <c r="CI7" s="621"/>
      <c r="CJ7" s="621"/>
      <c r="CK7" s="621"/>
      <c r="CL7" s="621"/>
      <c r="CM7" s="621"/>
      <c r="CN7" s="621"/>
      <c r="CO7" s="621"/>
      <c r="CP7" s="621"/>
      <c r="CQ7" s="621"/>
      <c r="CR7" s="621"/>
      <c r="CS7" s="621"/>
      <c r="CT7" s="621"/>
      <c r="CU7" s="621"/>
      <c r="CV7" s="621"/>
      <c r="CW7" s="621"/>
      <c r="CX7" s="621"/>
      <c r="CY7" s="621"/>
      <c r="CZ7" s="621"/>
      <c r="DA7" s="621"/>
      <c r="DB7" s="621"/>
      <c r="DC7" s="621"/>
      <c r="DD7" s="621"/>
      <c r="DE7" s="621"/>
      <c r="DF7" s="621"/>
      <c r="DG7" s="621"/>
      <c r="DH7" s="621"/>
      <c r="DI7" s="621"/>
      <c r="DJ7" s="621"/>
      <c r="DK7" s="621"/>
      <c r="DL7" s="621"/>
      <c r="DM7" s="621"/>
      <c r="DN7" s="621"/>
      <c r="DO7" s="621"/>
      <c r="DP7" s="621"/>
      <c r="DQ7" s="621"/>
      <c r="DR7" s="621"/>
      <c r="DS7" s="621"/>
      <c r="DT7" s="621"/>
      <c r="DU7" s="621"/>
      <c r="DV7" s="621"/>
      <c r="DW7" s="621"/>
      <c r="DX7" s="621"/>
      <c r="DY7" s="621"/>
      <c r="DZ7" s="621"/>
      <c r="EA7" s="621"/>
      <c r="EB7" s="621"/>
      <c r="EC7" s="621"/>
      <c r="ED7" s="621"/>
      <c r="EE7" s="621"/>
      <c r="EF7" s="621"/>
      <c r="EG7" s="621"/>
      <c r="EH7" s="621"/>
      <c r="EI7" s="621"/>
      <c r="EJ7" s="621"/>
      <c r="EK7" s="621"/>
      <c r="EL7" s="594"/>
    </row>
    <row r="8" spans="1:142" s="599" customFormat="1" ht="15.75" hidden="1" customHeight="1" thickTop="1" thickBot="1">
      <c r="A8" s="1210"/>
      <c r="B8" s="1166">
        <f>+GUM!C14</f>
        <v>0</v>
      </c>
      <c r="C8" s="1211">
        <f>GUM!D14</f>
        <v>0</v>
      </c>
      <c r="D8" s="757" t="e">
        <f>+IF('(AS-400 Jembatan)'!D8=0," ",'(AS-400 Jembatan)'!D$8+'(AS-400 Transfer)'!$N8)</f>
        <v>#N/A</v>
      </c>
      <c r="E8" s="1221" t="e">
        <f>+IF('(AS-400 Jembatan)'!E8=0," ",'(AS-400 Jembatan)'!E$8+'(AS-400 Transfer)'!$N8)</f>
        <v>#N/A</v>
      </c>
      <c r="F8" s="1221" t="e">
        <f>+IF('(AS-400 Jembatan)'!F8=0," ",'(AS-400 Jembatan)'!F$8+'(AS-400 Transfer)'!$N8)</f>
        <v>#N/A</v>
      </c>
      <c r="G8" s="1221" t="e">
        <f>+IF('(AS-400 Jembatan)'!G8=0," ",'(AS-400 Jembatan)'!G$8+'(AS-400 Transfer)'!$N8)</f>
        <v>#N/A</v>
      </c>
      <c r="H8" s="1221" t="str">
        <f>+IF('(AS-400 Jembatan)'!H8=0," ",'(AS-400 Jembatan)'!H$8+'(AS-400 Transfer)'!$N8)</f>
        <v xml:space="preserve"> </v>
      </c>
      <c r="I8" s="752" t="e">
        <f t="shared" ref="I8:I17" si="1">SUM(D8:H8)</f>
        <v>#N/A</v>
      </c>
      <c r="J8" s="845" t="e">
        <f>+'(AS-400 Jembatan)'!J8</f>
        <v>#N/A</v>
      </c>
      <c r="K8" s="845" t="e">
        <f t="shared" ref="K8:K17" si="2">(J8-I8)/L8</f>
        <v>#N/A</v>
      </c>
      <c r="L8" s="846">
        <f>+COUNT(D8:H8)</f>
        <v>0</v>
      </c>
      <c r="M8" s="846" t="e">
        <f>+IF(K8&lt;0,(ROUNDDOWN(K8,0)),(ROUNDUP(K8,0)))</f>
        <v>#N/A</v>
      </c>
      <c r="N8" s="846">
        <v>-2</v>
      </c>
      <c r="O8" s="849"/>
      <c r="P8" s="752"/>
      <c r="Q8" s="852"/>
      <c r="R8" s="752"/>
      <c r="S8" s="757"/>
      <c r="T8" s="752"/>
      <c r="U8" s="752"/>
      <c r="V8" s="752"/>
      <c r="W8" s="846"/>
      <c r="X8" s="846"/>
      <c r="Y8" s="1222"/>
      <c r="Z8" s="849"/>
      <c r="AA8" s="752"/>
      <c r="AB8" s="852"/>
      <c r="AC8" s="752"/>
      <c r="AD8" s="757"/>
      <c r="AE8" s="752"/>
      <c r="AF8" s="752"/>
      <c r="AG8" s="752"/>
      <c r="AH8" s="845"/>
      <c r="AI8" s="846"/>
      <c r="AJ8" s="753"/>
      <c r="AK8" s="849"/>
      <c r="AL8" s="752"/>
      <c r="AM8" s="852"/>
      <c r="AN8" s="752"/>
      <c r="AO8" s="757"/>
      <c r="AP8" s="752"/>
      <c r="AQ8" s="752"/>
      <c r="AR8" s="752"/>
      <c r="AS8" s="846"/>
      <c r="AT8" s="846"/>
      <c r="AU8" s="846"/>
      <c r="AV8" s="849"/>
      <c r="AW8" s="752"/>
      <c r="AX8" s="852"/>
      <c r="AY8" s="752"/>
      <c r="AZ8" s="757"/>
      <c r="BA8" s="752"/>
      <c r="BB8" s="752"/>
      <c r="BC8" s="1223"/>
      <c r="BD8" s="846"/>
      <c r="BE8" s="846"/>
      <c r="BF8" s="1222"/>
      <c r="BG8" s="946"/>
      <c r="BH8" s="769"/>
      <c r="BI8" s="1213"/>
      <c r="BJ8" s="769"/>
      <c r="BK8" s="768"/>
      <c r="BL8" s="769"/>
      <c r="BM8" s="769"/>
      <c r="BN8" s="769"/>
      <c r="BO8" s="1224"/>
      <c r="BP8" s="1224"/>
      <c r="BQ8" s="1225"/>
      <c r="BR8" s="622"/>
      <c r="BS8" s="622"/>
      <c r="BT8" s="622"/>
      <c r="BU8" s="622"/>
      <c r="BV8" s="622"/>
      <c r="BW8" s="622"/>
      <c r="BX8" s="622"/>
      <c r="BY8" s="622"/>
      <c r="BZ8" s="622"/>
      <c r="CA8" s="622"/>
      <c r="CB8" s="622"/>
      <c r="CC8" s="622"/>
      <c r="CD8" s="622"/>
      <c r="CE8" s="622"/>
      <c r="CF8" s="622"/>
      <c r="CG8" s="622"/>
      <c r="CH8" s="622"/>
      <c r="CI8" s="622"/>
      <c r="CJ8" s="622"/>
      <c r="CK8" s="622"/>
      <c r="CL8" s="622"/>
      <c r="CM8" s="622"/>
      <c r="CN8" s="622"/>
      <c r="CO8" s="622"/>
      <c r="CP8" s="622"/>
      <c r="CQ8" s="622"/>
      <c r="CR8" s="622"/>
      <c r="CS8" s="622"/>
      <c r="CT8" s="622"/>
      <c r="CU8" s="622"/>
      <c r="CV8" s="622"/>
      <c r="CW8" s="622"/>
      <c r="CX8" s="622"/>
      <c r="CY8" s="622"/>
      <c r="CZ8" s="622"/>
      <c r="DA8" s="622"/>
      <c r="DB8" s="622"/>
      <c r="DC8" s="622"/>
      <c r="DD8" s="622"/>
      <c r="DE8" s="622"/>
      <c r="DF8" s="622"/>
      <c r="DG8" s="622"/>
      <c r="DH8" s="622"/>
      <c r="DI8" s="622"/>
      <c r="DJ8" s="622"/>
      <c r="DK8" s="622"/>
      <c r="DL8" s="622"/>
      <c r="DM8" s="622"/>
      <c r="DN8" s="622"/>
      <c r="DO8" s="622"/>
      <c r="DP8" s="622"/>
      <c r="DQ8" s="622"/>
      <c r="DR8" s="622"/>
      <c r="DS8" s="622"/>
      <c r="DT8" s="622"/>
      <c r="DU8" s="622"/>
      <c r="DV8" s="622"/>
      <c r="DW8" s="622"/>
      <c r="DX8" s="622"/>
      <c r="DY8" s="622"/>
      <c r="DZ8" s="622"/>
      <c r="EA8" s="622"/>
      <c r="EB8" s="622"/>
      <c r="EC8" s="622"/>
      <c r="ED8" s="622"/>
      <c r="EE8" s="622"/>
      <c r="EF8" s="622"/>
      <c r="EG8" s="622"/>
      <c r="EH8" s="622"/>
      <c r="EI8" s="622"/>
      <c r="EJ8" s="622"/>
      <c r="EK8" s="622"/>
    </row>
    <row r="9" spans="1:142" s="1232" customFormat="1" ht="15" customHeight="1" thickTop="1">
      <c r="A9" s="1599" t="s">
        <v>192</v>
      </c>
      <c r="B9" s="1216" t="str">
        <f>+GUM!C15</f>
        <v>82111-FET00</v>
      </c>
      <c r="C9" s="958" t="str">
        <f>GUM!D15</f>
        <v>A 0101</v>
      </c>
      <c r="D9" s="843" t="e">
        <f>+IF('(AS-400 Jembatan)'!D9=0," ",'(AS-400 Jembatan)'!D$9+'(AS-400 Transfer)'!$N9)</f>
        <v>#N/A</v>
      </c>
      <c r="E9" s="754" t="e">
        <f>+IF('(AS-400 Jembatan)'!E9=0," ",'(AS-400 Jembatan)'!E$9+'(AS-400 Transfer)'!$N9)</f>
        <v>#N/A</v>
      </c>
      <c r="F9" s="754" t="e">
        <f>+IF('(AS-400 Jembatan)'!F9=0," ",'(AS-400 Jembatan)'!F$9+'(AS-400 Transfer)'!$N9)</f>
        <v>#N/A</v>
      </c>
      <c r="G9" s="754" t="e">
        <f>+IF('(AS-400 Jembatan)'!G9=0," ",'(AS-400 Jembatan)'!G$9+'(AS-400 Transfer)'!$N9)</f>
        <v>#N/A</v>
      </c>
      <c r="H9" s="754" t="str">
        <f>+IF('(AS-400 Jembatan)'!H9=0," ",'(AS-400 Jembatan)'!H$10+'(AS-400 Transfer)'!$N9)</f>
        <v xml:space="preserve"> </v>
      </c>
      <c r="I9" s="754" t="e">
        <f t="shared" si="1"/>
        <v>#N/A</v>
      </c>
      <c r="J9" s="844">
        <f>+'(AS-400 Jembatan)'!J9</f>
        <v>0</v>
      </c>
      <c r="K9" s="1233" t="e">
        <f t="shared" si="2"/>
        <v>#N/A</v>
      </c>
      <c r="L9" s="832">
        <f>+COUNT(D9:H9)</f>
        <v>0</v>
      </c>
      <c r="M9" s="832" t="e">
        <f>+IF(K9&lt;0,(ROUNDDOWN(K9,0)),(ROUNDUP(K9,0)))</f>
        <v>#N/A</v>
      </c>
      <c r="N9" s="832" t="e">
        <v>#DIV/0!</v>
      </c>
      <c r="O9" s="850" t="str">
        <f>+IF('(AS-400 Jembatan)'!M9=0," ",'(AS-400 Jembatan)'!M9+'(AS-400 Transfer)'!$Y9)</f>
        <v xml:space="preserve"> </v>
      </c>
      <c r="P9" s="754" t="str">
        <f>+IF('(AS-400 Jembatan)'!N9=0," ",'(AS-400 Jembatan)'!N9+'(AS-400 Transfer)'!$Y9)</f>
        <v xml:space="preserve"> </v>
      </c>
      <c r="Q9" s="853" t="str">
        <f>+IF('(AS-400 Jembatan)'!O9=0," ",'(AS-400 Jembatan)'!O9+'(AS-400 Transfer)'!$Y9)</f>
        <v xml:space="preserve"> </v>
      </c>
      <c r="R9" s="754" t="str">
        <f>+IF('(AS-400 Jembatan)'!P9=0," ",'(AS-400 Jembatan)'!P9+'(AS-400 Transfer)'!$Y9)</f>
        <v xml:space="preserve"> </v>
      </c>
      <c r="S9" s="754" t="str">
        <f>+IF('(AS-400 Jembatan)'!Q9=0," ",'(AS-400 Jembatan)'!Q9+'(AS-400 Transfer)'!$Y9)</f>
        <v xml:space="preserve"> </v>
      </c>
      <c r="T9" s="754">
        <f>SUM(O9:S9)</f>
        <v>0</v>
      </c>
      <c r="U9" s="754">
        <f>+'(AS-400 Jembatan)'!S9</f>
        <v>0</v>
      </c>
      <c r="V9" s="754" t="e">
        <f>(U9-T9)/W9</f>
        <v>#DIV/0!</v>
      </c>
      <c r="W9" s="832">
        <f>+COUNT(O9:S9)</f>
        <v>0</v>
      </c>
      <c r="X9" s="832" t="e">
        <f>+IF(V9&lt;0,(ROUNDDOWN(V9,0)),(ROUNDUP(V9,0)))</f>
        <v>#DIV/0!</v>
      </c>
      <c r="Y9" s="838" t="e">
        <v>#DIV/0!</v>
      </c>
      <c r="Z9" s="850" t="str">
        <f>+IF('(AS-400 Jembatan)'!V9=0," ",'(AS-400 Jembatan)'!V9+'(AS-400 Transfer)'!$AJ9)</f>
        <v xml:space="preserve"> </v>
      </c>
      <c r="AA9" s="1230" t="str">
        <f>+IF('(AS-400 Jembatan)'!W9=0," ",'(AS-400 Jembatan)'!W9+'(AS-400 Transfer)'!$AJ9)</f>
        <v xml:space="preserve"> </v>
      </c>
      <c r="AB9" s="853" t="str">
        <f>+IF('(AS-400 Jembatan)'!X9=0," ",'(AS-400 Jembatan)'!X9+'(AS-400 Transfer)'!$AJ9)</f>
        <v xml:space="preserve"> </v>
      </c>
      <c r="AC9" s="754" t="str">
        <f>+IF('(AS-400 Jembatan)'!Y9=0," ",'(AS-400 Jembatan)'!Y9+'(AS-400 Transfer)'!$AJ9)</f>
        <v xml:space="preserve"> </v>
      </c>
      <c r="AD9" s="754" t="str">
        <f>+IF('(AS-400 Jembatan)'!Z9=0," ",'(AS-400 Jembatan)'!Z9+'(AS-400 Transfer)'!$AJ9)</f>
        <v xml:space="preserve"> </v>
      </c>
      <c r="AE9" s="754">
        <f>SUM(Z9:AD9)</f>
        <v>0</v>
      </c>
      <c r="AF9" s="754">
        <f>+'(AS-400 Jembatan)'!AB9</f>
        <v>0</v>
      </c>
      <c r="AG9" s="754" t="e">
        <f>(AF9-AE9)/AH9</f>
        <v>#DIV/0!</v>
      </c>
      <c r="AH9" s="832">
        <f>+COUNT(Z9:AD9)</f>
        <v>0</v>
      </c>
      <c r="AI9" s="832" t="e">
        <f>+IF(AG9&lt;0,(ROUNDDOWN(AG9,0)),(ROUNDUP(AG9,0)))</f>
        <v>#DIV/0!</v>
      </c>
      <c r="AJ9" s="838" t="e">
        <v>#DIV/0!</v>
      </c>
      <c r="AK9" s="850" t="str">
        <f>+IF('(AS-400 Jembatan)'!AE9=0," ",'(AS-400 Jembatan)'!AE9+'(AS-400 Transfer)'!$AU9)</f>
        <v xml:space="preserve"> </v>
      </c>
      <c r="AL9" s="754" t="str">
        <f>+IF('(AS-400 Jembatan)'!AF9=0," ",'(AS-400 Jembatan)'!AF9+'(AS-400 Transfer)'!$AU9)</f>
        <v xml:space="preserve"> </v>
      </c>
      <c r="AM9" s="754" t="str">
        <f>+IF('(AS-400 Jembatan)'!AG9=0," ",'(AS-400 Jembatan)'!AG9+'(AS-400 Transfer)'!$AU9)</f>
        <v xml:space="preserve"> </v>
      </c>
      <c r="AN9" s="754" t="str">
        <f>+IF('(AS-400 Jembatan)'!AH9=0," ",'(AS-400 Jembatan)'!AH9+'(AS-400 Transfer)'!$AU9)</f>
        <v xml:space="preserve"> </v>
      </c>
      <c r="AO9" s="754"/>
      <c r="AP9" s="754">
        <f>SUM(AK9:AO9)</f>
        <v>0</v>
      </c>
      <c r="AQ9" s="754">
        <f>+'(AS-400 Jembatan)'!AK9</f>
        <v>0</v>
      </c>
      <c r="AR9" s="754" t="e">
        <f>(AQ9-AP9)/AS9</f>
        <v>#DIV/0!</v>
      </c>
      <c r="AS9" s="832">
        <f>+COUNT(AK9:AO9)</f>
        <v>0</v>
      </c>
      <c r="AT9" s="832" t="e">
        <f>+IF(AR9&lt;0,(ROUNDDOWN(AR9,0)),(ROUNDUP(AR9,0)))</f>
        <v>#DIV/0!</v>
      </c>
      <c r="AU9" s="838" t="e">
        <v>#DIV/0!</v>
      </c>
      <c r="AV9" s="850" t="str">
        <f>+IF('(AS-400 Jembatan)'!AN9=0," ",'(AS-400 Jembatan)'!AN9+'(AS-400 Transfer)'!$BF9)</f>
        <v xml:space="preserve"> </v>
      </c>
      <c r="AW9" s="754" t="str">
        <f>+IF('(AS-400 Jembatan)'!AO9=0," ",'(AS-400 Jembatan)'!AO9+'(AS-400 Transfer)'!$BF9)</f>
        <v xml:space="preserve"> </v>
      </c>
      <c r="AX9" s="853" t="str">
        <f>+IF('(AS-400 Jembatan)'!AP9=0," ",'(AS-400 Jembatan)'!AP9+'(AS-400 Transfer)'!$BF9)</f>
        <v xml:space="preserve"> </v>
      </c>
      <c r="AY9" s="754" t="str">
        <f>+IF('(AS-400 Jembatan)'!AQ9=0," ",'(AS-400 Jembatan)'!AQ9+'(AS-400 Transfer)'!$BF9)</f>
        <v xml:space="preserve"> </v>
      </c>
      <c r="AZ9" s="754"/>
      <c r="BA9" s="754">
        <f>SUM(AV9:AZ9)</f>
        <v>0</v>
      </c>
      <c r="BB9" s="754">
        <f>+'(AS-400 Jembatan)'!AT9</f>
        <v>0</v>
      </c>
      <c r="BC9" s="754" t="e">
        <f>(BB9-BA9)/BD9</f>
        <v>#DIV/0!</v>
      </c>
      <c r="BD9" s="832">
        <f>+COUNT(AV9:AZ9)</f>
        <v>0</v>
      </c>
      <c r="BE9" s="832" t="e">
        <f>+IF(BC9&lt;0,(ROUNDDOWN(BC9,0)),(ROUNDUP(BC9,0)))</f>
        <v>#DIV/0!</v>
      </c>
      <c r="BF9" s="838" t="e">
        <v>#DIV/0!</v>
      </c>
      <c r="BG9" s="861" t="str">
        <f>+IF('(AS-400 Jembatan)'!AW9=0," ",'(AS-400 Jembatan)'!AW9+'(AS-400 Transfer)'!$BQ9)</f>
        <v xml:space="preserve"> </v>
      </c>
      <c r="BH9" s="771" t="str">
        <f>+IF('(AS-400 Jembatan)'!AX9=0," ",'(AS-400 Jembatan)'!AX9+'(AS-400 Transfer)'!$BQ9)</f>
        <v xml:space="preserve"> </v>
      </c>
      <c r="BI9" s="862" t="str">
        <f>+IF('(AS-400 Jembatan)'!AY9=0," ",'(AS-400 Jembatan)'!AY9+'(AS-400 Transfer)'!$BQ9)</f>
        <v xml:space="preserve"> </v>
      </c>
      <c r="BJ9" s="771" t="str">
        <f>+IF('(AS-400 Jembatan)'!AZ9=0," ",'(AS-400 Jembatan)'!AZ9+'(AS-400 Transfer)'!$BQ9)</f>
        <v xml:space="preserve"> </v>
      </c>
      <c r="BK9" s="771" t="str">
        <f>+IF('(AS-400 Jembatan)'!BA9=0," ",'(AS-400 Jembatan)'!BA9+'(AS-400 Transfer)'!$BQ9)</f>
        <v xml:space="preserve"> </v>
      </c>
      <c r="BL9" s="771">
        <f>SUM(BG9:BK9)</f>
        <v>0</v>
      </c>
      <c r="BM9" s="771">
        <f>+'(AS-400 Jembatan)'!BC9</f>
        <v>0</v>
      </c>
      <c r="BN9" s="771" t="e">
        <f>(BM9-BL9)/BO9</f>
        <v>#DIV/0!</v>
      </c>
      <c r="BO9" s="864">
        <f>+COUNT(BG9:BK9)</f>
        <v>0</v>
      </c>
      <c r="BP9" s="864" t="e">
        <f>+IF(BN9&lt;0,(ROUNDDOWN(BN9,0)),(ROUNDUP(BN9,0)))</f>
        <v>#DIV/0!</v>
      </c>
      <c r="BQ9" s="838" t="e">
        <v>#DIV/0!</v>
      </c>
    </row>
    <row r="10" spans="1:142" s="599" customFormat="1" ht="15" customHeight="1">
      <c r="A10" s="1600"/>
      <c r="B10" s="1217" t="str">
        <f>+GUM!C16</f>
        <v>82111-FET10</v>
      </c>
      <c r="C10" s="658" t="str">
        <f>GUM!D16</f>
        <v>A 0101</v>
      </c>
      <c r="D10" s="745" t="e">
        <f>+IF('(AS-400 Jembatan)'!D10=0," ",'(AS-400 Jembatan)'!D$10+'(AS-400 Transfer)'!$N10)</f>
        <v>#N/A</v>
      </c>
      <c r="E10" s="600" t="e">
        <f>+IF('(AS-400 Jembatan)'!E10=0," ",'(AS-400 Jembatan)'!E$10+'(AS-400 Transfer)'!$N10)</f>
        <v>#N/A</v>
      </c>
      <c r="F10" s="600" t="e">
        <f>+IF('(AS-400 Jembatan)'!F10=0," ",'(AS-400 Jembatan)'!F$10+'(AS-400 Transfer)'!$N10)</f>
        <v>#N/A</v>
      </c>
      <c r="G10" s="600" t="e">
        <f>+IF('(AS-400 Jembatan)'!G10=0," ",'(AS-400 Jembatan)'!G$10+'(AS-400 Transfer)'!$N10)</f>
        <v>#N/A</v>
      </c>
      <c r="H10" s="600" t="str">
        <f>+IF('(AS-400 Jembatan)'!H10=0," ",'(AS-400 Jembatan)'!H$10+'(AS-400 Transfer)'!$N10)</f>
        <v xml:space="preserve"> </v>
      </c>
      <c r="I10" s="600" t="e">
        <f t="shared" si="1"/>
        <v>#N/A</v>
      </c>
      <c r="J10" s="601">
        <f>+'(AS-400 Jembatan)'!J10</f>
        <v>0</v>
      </c>
      <c r="K10" s="601" t="e">
        <f t="shared" si="2"/>
        <v>#N/A</v>
      </c>
      <c r="L10" s="609">
        <f t="shared" ref="L10:L16" si="3">+COUNT(D10:H10)</f>
        <v>0</v>
      </c>
      <c r="M10" s="609" t="e">
        <f t="shared" ref="M10:M16" si="4">+IF(K10&lt;0,(ROUNDDOWN(K10,0)),(ROUNDUP(K10,0)))</f>
        <v>#N/A</v>
      </c>
      <c r="N10" s="609">
        <v>0</v>
      </c>
      <c r="O10" s="615" t="str">
        <f>+IF('(AS-400 Jembatan)'!M10=0," ",'(AS-400 Jembatan)'!M10+'(AS-400 Transfer)'!$Y10)</f>
        <v xml:space="preserve"> </v>
      </c>
      <c r="P10" s="600" t="str">
        <f>+IF('(AS-400 Jembatan)'!N10=0," ",'(AS-400 Jembatan)'!N10+'(AS-400 Transfer)'!$Y10)</f>
        <v xml:space="preserve"> </v>
      </c>
      <c r="Q10" s="616" t="str">
        <f>+IF('(AS-400 Jembatan)'!O10=0," ",'(AS-400 Jembatan)'!O10+'(AS-400 Transfer)'!$Y10)</f>
        <v xml:space="preserve"> </v>
      </c>
      <c r="R10" s="600" t="str">
        <f>+IF('(AS-400 Jembatan)'!P10=0," ",'(AS-400 Jembatan)'!P10+'(AS-400 Transfer)'!$Y10)</f>
        <v xml:space="preserve"> </v>
      </c>
      <c r="S10" s="600" t="str">
        <f>+IF('(AS-400 Jembatan)'!Q10=0," ",'(AS-400 Jembatan)'!Q10+'(AS-400 Transfer)'!$Y10)</f>
        <v xml:space="preserve"> </v>
      </c>
      <c r="T10" s="600">
        <f t="shared" ref="T10:T38" si="5">SUM(O10:S10)</f>
        <v>0</v>
      </c>
      <c r="U10" s="600">
        <f>+'(AS-400 Jembatan)'!S10</f>
        <v>0</v>
      </c>
      <c r="V10" s="600" t="e">
        <f t="shared" ref="V10:V38" si="6">(U10-T10)/W10</f>
        <v>#DIV/0!</v>
      </c>
      <c r="W10" s="609">
        <f t="shared" ref="W10:W38" si="7">+COUNT(O10:S10)</f>
        <v>0</v>
      </c>
      <c r="X10" s="609" t="e">
        <f t="shared" ref="X10:X38" si="8">+IF(V10&lt;0,(ROUNDDOWN(V10,0)),(ROUNDUP(V10,0)))</f>
        <v>#DIV/0!</v>
      </c>
      <c r="Y10" s="646" t="e">
        <v>#DIV/0!</v>
      </c>
      <c r="Z10" s="615" t="str">
        <f>+IF('(AS-400 Jembatan)'!V10=0," ",'(AS-400 Jembatan)'!V10+'(AS-400 Transfer)'!$AJ10)</f>
        <v xml:space="preserve"> </v>
      </c>
      <c r="AA10" s="656" t="str">
        <f>+IF('(AS-400 Jembatan)'!W10=0," ",'(AS-400 Jembatan)'!W10+'(AS-400 Transfer)'!$AJ10)</f>
        <v xml:space="preserve"> </v>
      </c>
      <c r="AB10" s="616" t="str">
        <f>+IF('(AS-400 Jembatan)'!X10=0," ",'(AS-400 Jembatan)'!X10+'(AS-400 Transfer)'!$AJ10)</f>
        <v xml:space="preserve"> </v>
      </c>
      <c r="AC10" s="600" t="str">
        <f>+IF('(AS-400 Jembatan)'!Y10=0," ",'(AS-400 Jembatan)'!Y10+'(AS-400 Transfer)'!$AJ10)</f>
        <v xml:space="preserve"> </v>
      </c>
      <c r="AD10" s="600" t="str">
        <f>+IF('(AS-400 Jembatan)'!Z10=0," ",'(AS-400 Jembatan)'!Z10+'(AS-400 Transfer)'!$AJ10)</f>
        <v xml:space="preserve"> </v>
      </c>
      <c r="AE10" s="600">
        <f t="shared" ref="AE10:AE38" si="9">SUM(Z10:AD10)</f>
        <v>0</v>
      </c>
      <c r="AF10" s="600">
        <f>+'(AS-400 Jembatan)'!AB10</f>
        <v>0</v>
      </c>
      <c r="AG10" s="600" t="e">
        <f t="shared" ref="AG10:AG38" si="10">(AF10-AE10)/AH10</f>
        <v>#DIV/0!</v>
      </c>
      <c r="AH10" s="609">
        <f t="shared" ref="AH10:AH38" si="11">+COUNT(Z10:AD10)</f>
        <v>0</v>
      </c>
      <c r="AI10" s="601" t="e">
        <f t="shared" ref="AI10:AI38" si="12">+IF(AG10&lt;0,(ROUNDDOWN(AG10,0)),(ROUNDUP(AG10,0)))</f>
        <v>#DIV/0!</v>
      </c>
      <c r="AJ10" s="646" t="e">
        <v>#DIV/0!</v>
      </c>
      <c r="AK10" s="615" t="str">
        <f>+IF('(AS-400 Jembatan)'!AE10=0," ",'(AS-400 Jembatan)'!AE10+'(AS-400 Transfer)'!$AU10)</f>
        <v xml:space="preserve"> </v>
      </c>
      <c r="AL10" s="600" t="str">
        <f>+IF('(AS-400 Jembatan)'!AF10=0," ",'(AS-400 Jembatan)'!AF10+'(AS-400 Transfer)'!$AU10)</f>
        <v xml:space="preserve"> </v>
      </c>
      <c r="AM10" s="616" t="str">
        <f>+IF('(AS-400 Jembatan)'!AG10=0," ",'(AS-400 Jembatan)'!AG10+'(AS-400 Transfer)'!$AU10)</f>
        <v xml:space="preserve"> </v>
      </c>
      <c r="AN10" s="600" t="str">
        <f>+IF('(AS-400 Jembatan)'!AH10=0," ",'(AS-400 Jembatan)'!AH10+'(AS-400 Transfer)'!$AU10)</f>
        <v xml:space="preserve"> </v>
      </c>
      <c r="AO10" s="600"/>
      <c r="AP10" s="600">
        <f t="shared" ref="AP10:AP38" si="13">SUM(AK10:AO10)</f>
        <v>0</v>
      </c>
      <c r="AQ10" s="600">
        <f>+'(AS-400 Jembatan)'!AK10</f>
        <v>0</v>
      </c>
      <c r="AR10" s="600" t="e">
        <f t="shared" ref="AR10:AR38" si="14">(AQ10-AP10)/AS10</f>
        <v>#DIV/0!</v>
      </c>
      <c r="AS10" s="609">
        <f t="shared" ref="AS10:AS38" si="15">+COUNT(AK10:AO10)</f>
        <v>0</v>
      </c>
      <c r="AT10" s="609" t="e">
        <f t="shared" ref="AT10:AT38" si="16">+IF(AR10&lt;0,(ROUNDDOWN(AR10,0)),(ROUNDUP(AR10,0)))</f>
        <v>#DIV/0!</v>
      </c>
      <c r="AU10" s="646" t="e">
        <v>#DIV/0!</v>
      </c>
      <c r="AV10" s="615" t="str">
        <f>+IF('(AS-400 Jembatan)'!AN10=0," ",'(AS-400 Jembatan)'!AN10+'(AS-400 Transfer)'!$BF10)</f>
        <v xml:space="preserve"> </v>
      </c>
      <c r="AW10" s="600" t="str">
        <f>+IF('(AS-400 Jembatan)'!AO10=0," ",'(AS-400 Jembatan)'!AO10+'(AS-400 Transfer)'!$BF10)</f>
        <v xml:space="preserve"> </v>
      </c>
      <c r="AX10" s="616" t="str">
        <f>+IF('(AS-400 Jembatan)'!AP10=0," ",'(AS-400 Jembatan)'!AP10+'(AS-400 Transfer)'!$BF10)</f>
        <v xml:space="preserve"> </v>
      </c>
      <c r="AY10" s="600" t="str">
        <f>+IF('(AS-400 Jembatan)'!AQ10=0," ",'(AS-400 Jembatan)'!AQ10+'(AS-400 Transfer)'!$BF10)</f>
        <v xml:space="preserve"> </v>
      </c>
      <c r="AZ10" s="600"/>
      <c r="BA10" s="600">
        <f t="shared" ref="BA10:BA38" si="17">SUM(AV10:AZ10)</f>
        <v>0</v>
      </c>
      <c r="BB10" s="600">
        <f>+'(AS-400 Jembatan)'!AT10</f>
        <v>0</v>
      </c>
      <c r="BC10" s="600" t="e">
        <f t="shared" ref="BC10:BC38" si="18">(BB10-BA10)/BD10</f>
        <v>#DIV/0!</v>
      </c>
      <c r="BD10" s="609">
        <f t="shared" ref="BD10:BD38" si="19">+COUNT(AV10:AZ10)</f>
        <v>0</v>
      </c>
      <c r="BE10" s="609" t="e">
        <f t="shared" ref="BE10:BE38" si="20">+IF(BC10&lt;0,(ROUNDDOWN(BC10,0)),(ROUNDUP(BC10,0)))</f>
        <v>#DIV/0!</v>
      </c>
      <c r="BF10" s="646" t="e">
        <v>#DIV/0!</v>
      </c>
      <c r="BG10" s="782" t="str">
        <f>+IF('(AS-400 Jembatan)'!AW10=0," ",'(AS-400 Jembatan)'!AW10+'(AS-400 Transfer)'!$BQ10)</f>
        <v xml:space="preserve"> </v>
      </c>
      <c r="BH10" s="774" t="str">
        <f>+IF('(AS-400 Jembatan)'!AX10=0," ",'(AS-400 Jembatan)'!AX10+'(AS-400 Transfer)'!$BQ10)</f>
        <v xml:space="preserve"> </v>
      </c>
      <c r="BI10" s="865" t="str">
        <f>+IF('(AS-400 Jembatan)'!AY10=0," ",'(AS-400 Jembatan)'!AY10+'(AS-400 Transfer)'!$BQ10)</f>
        <v xml:space="preserve"> </v>
      </c>
      <c r="BJ10" s="774" t="str">
        <f>+IF('(AS-400 Jembatan)'!AZ10=0," ",'(AS-400 Jembatan)'!AZ10+'(AS-400 Transfer)'!$BQ10)</f>
        <v xml:space="preserve"> </v>
      </c>
      <c r="BK10" s="774" t="str">
        <f>+IF('(AS-400 Jembatan)'!BA10=0," ",'(AS-400 Jembatan)'!BA10+'(AS-400 Transfer)'!$BQ10)</f>
        <v xml:space="preserve"> </v>
      </c>
      <c r="BL10" s="774">
        <f t="shared" ref="BL10:BL38" si="21">SUM(BG10:BK10)</f>
        <v>0</v>
      </c>
      <c r="BM10" s="774">
        <f>+'(AS-400 Jembatan)'!BC10</f>
        <v>0</v>
      </c>
      <c r="BN10" s="774" t="e">
        <f t="shared" ref="BN10:BN38" si="22">(BM10-BL10)/BO10</f>
        <v>#DIV/0!</v>
      </c>
      <c r="BO10" s="866">
        <f t="shared" ref="BO10:BO38" si="23">+COUNT(BG10:BK10)</f>
        <v>0</v>
      </c>
      <c r="BP10" s="866" t="e">
        <f t="shared" ref="BP10:BP38" si="24">+IF(BN10&lt;0,(ROUNDDOWN(BN10,0)),(ROUNDUP(BN10,0)))</f>
        <v>#DIV/0!</v>
      </c>
      <c r="BQ10" s="646" t="e">
        <v>#DIV/0!</v>
      </c>
    </row>
    <row r="11" spans="1:142" s="599" customFormat="1" ht="15.75" customHeight="1">
      <c r="A11" s="1600"/>
      <c r="B11" s="1217" t="str">
        <f>+GUM!C17</f>
        <v>82116-0ZY10</v>
      </c>
      <c r="C11" s="658" t="str">
        <f>GUM!D17</f>
        <v>A 0101</v>
      </c>
      <c r="D11" s="745" t="e">
        <f>+IF('(AS-400 Jembatan)'!D11=0," ",'(AS-400 Jembatan)'!D$11+'(AS-400 Transfer)'!$N11)</f>
        <v>#N/A</v>
      </c>
      <c r="E11" s="600" t="e">
        <f>+IF('(AS-400 Jembatan)'!E11=0," ",'(AS-400 Jembatan)'!E$11+'(AS-400 Transfer)'!$N11)</f>
        <v>#N/A</v>
      </c>
      <c r="F11" s="600" t="e">
        <f>+IF('(AS-400 Jembatan)'!F11=0," ",'(AS-400 Jembatan)'!F$11+'(AS-400 Transfer)'!$N11)</f>
        <v>#N/A</v>
      </c>
      <c r="G11" s="600" t="e">
        <f>+IF('(AS-400 Jembatan)'!G11=0," ",'(AS-400 Jembatan)'!G$11+'(AS-400 Transfer)'!$N11)</f>
        <v>#N/A</v>
      </c>
      <c r="H11" s="600" t="str">
        <f>+IF('(AS-400 Jembatan)'!H11=0," ",'(AS-400 Jembatan)'!H$10+'(AS-400 Transfer)'!$N11)</f>
        <v xml:space="preserve"> </v>
      </c>
      <c r="I11" s="600" t="e">
        <f t="shared" si="1"/>
        <v>#N/A</v>
      </c>
      <c r="J11" s="601">
        <f>+'(AS-400 Jembatan)'!J11</f>
        <v>96</v>
      </c>
      <c r="K11" s="601" t="e">
        <f t="shared" si="2"/>
        <v>#N/A</v>
      </c>
      <c r="L11" s="609">
        <f t="shared" si="3"/>
        <v>0</v>
      </c>
      <c r="M11" s="609" t="e">
        <f t="shared" si="4"/>
        <v>#N/A</v>
      </c>
      <c r="N11" s="609" t="e">
        <v>#DIV/0!</v>
      </c>
      <c r="O11" s="615">
        <f>+IF('(AS-400 Jembatan)'!M11=0," ",'(AS-400 Jembatan)'!M11+'(AS-400 Transfer)'!$Y11)</f>
        <v>26</v>
      </c>
      <c r="P11" s="600">
        <f>+IF('(AS-400 Jembatan)'!N11=0," ",'(AS-400 Jembatan)'!N11+'(AS-400 Transfer)'!$Y11)</f>
        <v>26</v>
      </c>
      <c r="Q11" s="616">
        <f>+IF('(AS-400 Jembatan)'!O11=0," ",'(AS-400 Jembatan)'!O11+'(AS-400 Transfer)'!$Y11)</f>
        <v>26</v>
      </c>
      <c r="R11" s="600">
        <f>+IF('(AS-400 Jembatan)'!P11=0," ",'(AS-400 Jembatan)'!P11+'(AS-400 Transfer)'!$Y11)</f>
        <v>26</v>
      </c>
      <c r="S11" s="600" t="str">
        <f>+IF('(AS-400 Jembatan)'!Q11=0," ",'(AS-400 Jembatan)'!Q11+'(AS-400 Transfer)'!$Y11)</f>
        <v xml:space="preserve"> </v>
      </c>
      <c r="T11" s="600">
        <f t="shared" si="5"/>
        <v>104</v>
      </c>
      <c r="U11" s="600">
        <f>+'(AS-400 Jembatan)'!S11</f>
        <v>102</v>
      </c>
      <c r="V11" s="600">
        <f t="shared" si="6"/>
        <v>-0.5</v>
      </c>
      <c r="W11" s="609">
        <f t="shared" si="7"/>
        <v>4</v>
      </c>
      <c r="X11" s="609">
        <f t="shared" si="8"/>
        <v>0</v>
      </c>
      <c r="Y11" s="646">
        <v>2</v>
      </c>
      <c r="Z11" s="615">
        <f>+IF('(AS-400 Jembatan)'!V11=0," ",'(AS-400 Jembatan)'!V11+'(AS-400 Transfer)'!$AJ11)</f>
        <v>24</v>
      </c>
      <c r="AA11" s="656">
        <f>+IF('(AS-400 Jembatan)'!W11=0," ",'(AS-400 Jembatan)'!W11+'(AS-400 Transfer)'!$AJ11)</f>
        <v>24</v>
      </c>
      <c r="AB11" s="616">
        <f>+IF('(AS-400 Jembatan)'!X11=0," ",'(AS-400 Jembatan)'!X11+'(AS-400 Transfer)'!$AJ11)</f>
        <v>24</v>
      </c>
      <c r="AC11" s="600">
        <f>+IF('(AS-400 Jembatan)'!Y11=0," ",'(AS-400 Jembatan)'!Y11+'(AS-400 Transfer)'!$AJ11)</f>
        <v>24</v>
      </c>
      <c r="AD11" s="600" t="str">
        <f>+IF('(AS-400 Jembatan)'!Z11=0," ",'(AS-400 Jembatan)'!Z11+'(AS-400 Transfer)'!$AJ11)</f>
        <v xml:space="preserve"> </v>
      </c>
      <c r="AE11" s="600">
        <f t="shared" si="9"/>
        <v>96</v>
      </c>
      <c r="AF11" s="600">
        <f>+'(AS-400 Jembatan)'!AB11</f>
        <v>96</v>
      </c>
      <c r="AG11" s="600">
        <f t="shared" si="10"/>
        <v>0</v>
      </c>
      <c r="AH11" s="609">
        <f t="shared" si="11"/>
        <v>4</v>
      </c>
      <c r="AI11" s="601">
        <f t="shared" si="12"/>
        <v>0</v>
      </c>
      <c r="AJ11" s="646">
        <v>0</v>
      </c>
      <c r="AK11" s="615">
        <f>+IF('(AS-400 Jembatan)'!AE11=0," ",'(AS-400 Jembatan)'!AE11+'(AS-400 Transfer)'!$AU11)</f>
        <v>26</v>
      </c>
      <c r="AL11" s="600">
        <f>+IF('(AS-400 Jembatan)'!AF11=0," ",'(AS-400 Jembatan)'!AF11+'(AS-400 Transfer)'!$AU11)</f>
        <v>26</v>
      </c>
      <c r="AM11" s="616">
        <f>+IF('(AS-400 Jembatan)'!AG11=0," ",'(AS-400 Jembatan)'!AG11+'(AS-400 Transfer)'!$AU11)</f>
        <v>20</v>
      </c>
      <c r="AN11" s="600">
        <f>+IF('(AS-400 Jembatan)'!AH11=0," ",'(AS-400 Jembatan)'!AH11+'(AS-400 Transfer)'!$AU11)</f>
        <v>20</v>
      </c>
      <c r="AO11" s="600"/>
      <c r="AP11" s="600">
        <f t="shared" si="13"/>
        <v>92</v>
      </c>
      <c r="AQ11" s="600">
        <f>+'(AS-400 Jembatan)'!AK11</f>
        <v>90</v>
      </c>
      <c r="AR11" s="600">
        <f t="shared" si="14"/>
        <v>-0.5</v>
      </c>
      <c r="AS11" s="609">
        <f t="shared" si="15"/>
        <v>4</v>
      </c>
      <c r="AT11" s="609">
        <f t="shared" si="16"/>
        <v>0</v>
      </c>
      <c r="AU11" s="646">
        <v>-4</v>
      </c>
      <c r="AV11" s="615">
        <f>+IF('(AS-400 Jembatan)'!AN11=0," ",'(AS-400 Jembatan)'!AN11+'(AS-400 Transfer)'!$BF11)</f>
        <v>24</v>
      </c>
      <c r="AW11" s="600">
        <f>+IF('(AS-400 Jembatan)'!AO11=0," ",'(AS-400 Jembatan)'!AO11+'(AS-400 Transfer)'!$BF11)</f>
        <v>24</v>
      </c>
      <c r="AX11" s="616">
        <f>+IF('(AS-400 Jembatan)'!AP11=0," ",'(AS-400 Jembatan)'!AP11+'(AS-400 Transfer)'!$BF11)</f>
        <v>18</v>
      </c>
      <c r="AY11" s="600">
        <f>+IF('(AS-400 Jembatan)'!AQ11=0," ",'(AS-400 Jembatan)'!AQ11+'(AS-400 Transfer)'!$BF11)</f>
        <v>18</v>
      </c>
      <c r="AZ11" s="600"/>
      <c r="BA11" s="600">
        <f t="shared" si="17"/>
        <v>84</v>
      </c>
      <c r="BB11" s="600">
        <f>+'(AS-400 Jembatan)'!AT11</f>
        <v>84</v>
      </c>
      <c r="BC11" s="600">
        <f t="shared" si="18"/>
        <v>0</v>
      </c>
      <c r="BD11" s="609">
        <f t="shared" si="19"/>
        <v>4</v>
      </c>
      <c r="BE11" s="609">
        <f t="shared" si="20"/>
        <v>0</v>
      </c>
      <c r="BF11" s="646">
        <v>0</v>
      </c>
      <c r="BG11" s="782">
        <f>+IF('(AS-400 Jembatan)'!AW11=0," ",'(AS-400 Jembatan)'!AW11+'(AS-400 Transfer)'!$BQ11)</f>
        <v>24</v>
      </c>
      <c r="BH11" s="774">
        <f>+IF('(AS-400 Jembatan)'!AX11=0," ",'(AS-400 Jembatan)'!AX11+'(AS-400 Transfer)'!$BQ11)</f>
        <v>24</v>
      </c>
      <c r="BI11" s="865">
        <f>+IF('(AS-400 Jembatan)'!AY11=0," ",'(AS-400 Jembatan)'!AY11+'(AS-400 Transfer)'!$BQ11)</f>
        <v>18</v>
      </c>
      <c r="BJ11" s="774">
        <f>+IF('(AS-400 Jembatan)'!AZ11=0," ",'(AS-400 Jembatan)'!AZ11+'(AS-400 Transfer)'!$BQ11)</f>
        <v>18</v>
      </c>
      <c r="BK11" s="774" t="str">
        <f>+IF('(AS-400 Jembatan)'!BA11=0," ",'(AS-400 Jembatan)'!BA11+'(AS-400 Transfer)'!$BQ11)</f>
        <v xml:space="preserve"> </v>
      </c>
      <c r="BL11" s="774">
        <f t="shared" si="21"/>
        <v>84</v>
      </c>
      <c r="BM11" s="774">
        <f>+'(AS-400 Jembatan)'!BC11</f>
        <v>84</v>
      </c>
      <c r="BN11" s="774">
        <f t="shared" si="22"/>
        <v>0</v>
      </c>
      <c r="BO11" s="866">
        <f t="shared" si="23"/>
        <v>4</v>
      </c>
      <c r="BP11" s="866">
        <f t="shared" si="24"/>
        <v>0</v>
      </c>
      <c r="BQ11" s="646">
        <v>0</v>
      </c>
    </row>
    <row r="12" spans="1:142" s="599" customFormat="1" ht="15" customHeight="1">
      <c r="A12" s="1600"/>
      <c r="B12" s="1217" t="str">
        <f>+GUM!C18</f>
        <v>82115-F2840</v>
      </c>
      <c r="C12" s="658" t="str">
        <f>GUM!D18</f>
        <v>0001</v>
      </c>
      <c r="D12" s="745" t="e">
        <f>+IF('(AS-400 Jembatan)'!D12=0," ",'(AS-400 Jembatan)'!D$11+'(AS-400 Transfer)'!$N12)</f>
        <v>#N/A</v>
      </c>
      <c r="E12" s="600" t="e">
        <f>+IF('(AS-400 Jembatan)'!E12=0," ",'(AS-400 Jembatan)'!E$11+'(AS-400 Transfer)'!$N12)</f>
        <v>#N/A</v>
      </c>
      <c r="F12" s="600" t="e">
        <f>+IF('(AS-400 Jembatan)'!F12=0," ",'(AS-400 Jembatan)'!F$11+'(AS-400 Transfer)'!$N12)</f>
        <v>#N/A</v>
      </c>
      <c r="G12" s="600" t="e">
        <f>+IF('(AS-400 Jembatan)'!G12=0," ",'(AS-400 Jembatan)'!G$11+'(AS-400 Transfer)'!$N12)</f>
        <v>#N/A</v>
      </c>
      <c r="H12" s="600" t="str">
        <f>+IF('(AS-400 Jembatan)'!H12=0," ",'(AS-400 Jembatan)'!H$10+'(AS-400 Transfer)'!$N12)</f>
        <v xml:space="preserve"> </v>
      </c>
      <c r="I12" s="600" t="e">
        <f t="shared" si="1"/>
        <v>#N/A</v>
      </c>
      <c r="J12" s="601">
        <f>+'(AS-400 Jembatan)'!J12</f>
        <v>0</v>
      </c>
      <c r="K12" s="601" t="e">
        <f t="shared" si="2"/>
        <v>#N/A</v>
      </c>
      <c r="L12" s="609">
        <f>+COUNT(D12:H12)</f>
        <v>0</v>
      </c>
      <c r="M12" s="609" t="e">
        <f>+IF(K12&lt;0,(ROUNDDOWN(K12,0)),(ROUNDUP(K12,0)))</f>
        <v>#N/A</v>
      </c>
      <c r="N12" s="609" t="e">
        <v>#DIV/0!</v>
      </c>
      <c r="O12" s="615" t="str">
        <f>+IF('(AS-400 Jembatan)'!M12=0," ",'(AS-400 Jembatan)'!M12+'(AS-400 Transfer)'!$Y12)</f>
        <v xml:space="preserve"> </v>
      </c>
      <c r="P12" s="600" t="str">
        <f>+IF('(AS-400 Jembatan)'!N12=0," ",'(AS-400 Jembatan)'!N12+'(AS-400 Transfer)'!$Y12)</f>
        <v xml:space="preserve"> </v>
      </c>
      <c r="Q12" s="616" t="str">
        <f>+IF('(AS-400 Jembatan)'!O12=0," ",'(AS-400 Jembatan)'!O12+'(AS-400 Transfer)'!$Y12)</f>
        <v xml:space="preserve"> </v>
      </c>
      <c r="R12" s="600" t="str">
        <f>+IF('(AS-400 Jembatan)'!P12=0," ",'(AS-400 Jembatan)'!P12+'(AS-400 Transfer)'!$Y12)</f>
        <v xml:space="preserve"> </v>
      </c>
      <c r="S12" s="600" t="str">
        <f>+IF('(AS-400 Jembatan)'!Q12=0," ",'(AS-400 Jembatan)'!Q12+'(AS-400 Transfer)'!$Y12)</f>
        <v xml:space="preserve"> </v>
      </c>
      <c r="T12" s="600">
        <f t="shared" si="5"/>
        <v>0</v>
      </c>
      <c r="U12" s="600">
        <f>+'(AS-400 Jembatan)'!S12</f>
        <v>0</v>
      </c>
      <c r="V12" s="600" t="e">
        <f t="shared" si="6"/>
        <v>#DIV/0!</v>
      </c>
      <c r="W12" s="609">
        <f t="shared" si="7"/>
        <v>0</v>
      </c>
      <c r="X12" s="609" t="e">
        <f t="shared" si="8"/>
        <v>#DIV/0!</v>
      </c>
      <c r="Y12" s="646" t="e">
        <v>#DIV/0!</v>
      </c>
      <c r="Z12" s="615" t="str">
        <f>+IF('(AS-400 Jembatan)'!V12=0," ",'(AS-400 Jembatan)'!V12+'(AS-400 Transfer)'!$AJ12)</f>
        <v xml:space="preserve"> </v>
      </c>
      <c r="AA12" s="656" t="str">
        <f>+IF('(AS-400 Jembatan)'!W12=0," ",'(AS-400 Jembatan)'!W12+'(AS-400 Transfer)'!$AJ12)</f>
        <v xml:space="preserve"> </v>
      </c>
      <c r="AB12" s="616" t="str">
        <f>+IF('(AS-400 Jembatan)'!X12=0," ",'(AS-400 Jembatan)'!X12+'(AS-400 Transfer)'!$AJ12)</f>
        <v xml:space="preserve"> </v>
      </c>
      <c r="AC12" s="600" t="str">
        <f>+IF('(AS-400 Jembatan)'!Y12=0," ",'(AS-400 Jembatan)'!Y12+'(AS-400 Transfer)'!$AJ12)</f>
        <v xml:space="preserve"> </v>
      </c>
      <c r="AD12" s="600" t="str">
        <f>+IF('(AS-400 Jembatan)'!Z12=0," ",'(AS-400 Jembatan)'!Z12+'(AS-400 Transfer)'!$AJ12)</f>
        <v xml:space="preserve"> </v>
      </c>
      <c r="AE12" s="600">
        <f t="shared" si="9"/>
        <v>0</v>
      </c>
      <c r="AF12" s="600">
        <f>+'(AS-400 Jembatan)'!AB12</f>
        <v>0</v>
      </c>
      <c r="AG12" s="600" t="e">
        <f t="shared" si="10"/>
        <v>#DIV/0!</v>
      </c>
      <c r="AH12" s="609">
        <f t="shared" si="11"/>
        <v>0</v>
      </c>
      <c r="AI12" s="601" t="e">
        <f t="shared" si="12"/>
        <v>#DIV/0!</v>
      </c>
      <c r="AJ12" s="646" t="e">
        <v>#DIV/0!</v>
      </c>
      <c r="AK12" s="615" t="str">
        <f>+IF('(AS-400 Jembatan)'!AE12=0," ",'(AS-400 Jembatan)'!AE12+'(AS-400 Transfer)'!$AU12)</f>
        <v xml:space="preserve"> </v>
      </c>
      <c r="AL12" s="600" t="str">
        <f>+IF('(AS-400 Jembatan)'!AF12=0," ",'(AS-400 Jembatan)'!AF12+'(AS-400 Transfer)'!$AU12)</f>
        <v xml:space="preserve"> </v>
      </c>
      <c r="AM12" s="616" t="str">
        <f>+IF('(AS-400 Jembatan)'!AG12=0," ",'(AS-400 Jembatan)'!AG12+'(AS-400 Transfer)'!$AU12)</f>
        <v xml:space="preserve"> </v>
      </c>
      <c r="AN12" s="600" t="str">
        <f>+IF('(AS-400 Jembatan)'!AH12=0," ",'(AS-400 Jembatan)'!AH12+'(AS-400 Transfer)'!$AU12)</f>
        <v xml:space="preserve"> </v>
      </c>
      <c r="AO12" s="600"/>
      <c r="AP12" s="600">
        <f t="shared" si="13"/>
        <v>0</v>
      </c>
      <c r="AQ12" s="600">
        <f>+'(AS-400 Jembatan)'!AK12</f>
        <v>0</v>
      </c>
      <c r="AR12" s="600" t="e">
        <f t="shared" si="14"/>
        <v>#DIV/0!</v>
      </c>
      <c r="AS12" s="609">
        <f t="shared" si="15"/>
        <v>0</v>
      </c>
      <c r="AT12" s="609" t="e">
        <f t="shared" si="16"/>
        <v>#DIV/0!</v>
      </c>
      <c r="AU12" s="646" t="e">
        <v>#DIV/0!</v>
      </c>
      <c r="AV12" s="615" t="str">
        <f>+IF('(AS-400 Jembatan)'!AN12=0," ",'(AS-400 Jembatan)'!AN12+'(AS-400 Transfer)'!$BF12)</f>
        <v xml:space="preserve"> </v>
      </c>
      <c r="AW12" s="600" t="str">
        <f>+IF('(AS-400 Jembatan)'!AO12=0," ",'(AS-400 Jembatan)'!AO12+'(AS-400 Transfer)'!$BF12)</f>
        <v xml:space="preserve"> </v>
      </c>
      <c r="AX12" s="616" t="str">
        <f>+IF('(AS-400 Jembatan)'!AP12=0," ",'(AS-400 Jembatan)'!AP12+'(AS-400 Transfer)'!$BF12)</f>
        <v xml:space="preserve"> </v>
      </c>
      <c r="AY12" s="600" t="str">
        <f>+IF('(AS-400 Jembatan)'!AQ12=0," ",'(AS-400 Jembatan)'!AQ12+'(AS-400 Transfer)'!$BF12)</f>
        <v xml:space="preserve"> </v>
      </c>
      <c r="AZ12" s="600"/>
      <c r="BA12" s="600">
        <f t="shared" si="17"/>
        <v>0</v>
      </c>
      <c r="BB12" s="600">
        <f>+'(AS-400 Jembatan)'!AT12</f>
        <v>0</v>
      </c>
      <c r="BC12" s="600" t="e">
        <f t="shared" si="18"/>
        <v>#DIV/0!</v>
      </c>
      <c r="BD12" s="609">
        <f t="shared" si="19"/>
        <v>0</v>
      </c>
      <c r="BE12" s="609" t="e">
        <f t="shared" si="20"/>
        <v>#DIV/0!</v>
      </c>
      <c r="BF12" s="646" t="e">
        <v>#DIV/0!</v>
      </c>
      <c r="BG12" s="782" t="str">
        <f>+IF('(AS-400 Jembatan)'!AW12=0," ",'(AS-400 Jembatan)'!AW12+'(AS-400 Transfer)'!$BQ12)</f>
        <v xml:space="preserve"> </v>
      </c>
      <c r="BH12" s="774" t="str">
        <f>+IF('(AS-400 Jembatan)'!AX12=0," ",'(AS-400 Jembatan)'!AX12+'(AS-400 Transfer)'!$BQ12)</f>
        <v xml:space="preserve"> </v>
      </c>
      <c r="BI12" s="865" t="str">
        <f>+IF('(AS-400 Jembatan)'!AY12=0," ",'(AS-400 Jembatan)'!AY12+'(AS-400 Transfer)'!$BQ12)</f>
        <v xml:space="preserve"> </v>
      </c>
      <c r="BJ12" s="774" t="str">
        <f>+IF('(AS-400 Jembatan)'!AZ12=0," ",'(AS-400 Jembatan)'!AZ12+'(AS-400 Transfer)'!$BQ12)</f>
        <v xml:space="preserve"> </v>
      </c>
      <c r="BK12" s="774" t="str">
        <f>+IF('(AS-400 Jembatan)'!BA12=0," ",'(AS-400 Jembatan)'!BA12+'(AS-400 Transfer)'!$BQ12)</f>
        <v xml:space="preserve"> </v>
      </c>
      <c r="BL12" s="774">
        <f t="shared" si="21"/>
        <v>0</v>
      </c>
      <c r="BM12" s="774">
        <f>+'(AS-400 Jembatan)'!BC12</f>
        <v>0</v>
      </c>
      <c r="BN12" s="774" t="e">
        <f t="shared" si="22"/>
        <v>#DIV/0!</v>
      </c>
      <c r="BO12" s="866">
        <f t="shared" si="23"/>
        <v>0</v>
      </c>
      <c r="BP12" s="866" t="e">
        <f t="shared" si="24"/>
        <v>#DIV/0!</v>
      </c>
      <c r="BQ12" s="646" t="e">
        <v>#DIV/0!</v>
      </c>
    </row>
    <row r="13" spans="1:142" s="1140" customFormat="1" ht="15" customHeight="1" thickBot="1">
      <c r="A13" s="1601"/>
      <c r="B13" s="1218" t="str">
        <f>+GUM!C19</f>
        <v>82116-0ZW70</v>
      </c>
      <c r="C13" s="1002" t="str">
        <f>GUM!D19</f>
        <v>A 0101</v>
      </c>
      <c r="D13" s="1004" t="e">
        <f>+IF('(AS-400 Jembatan)'!D13=0," ",'(AS-400 Jembatan)'!D$13+'(AS-400 Transfer)'!$N13)</f>
        <v>#N/A</v>
      </c>
      <c r="E13" s="1005" t="e">
        <f>+IF('(AS-400 Jembatan)'!E13=0," ",'(AS-400 Jembatan)'!E$13+'(AS-400 Transfer)'!$N13)</f>
        <v>#N/A</v>
      </c>
      <c r="F13" s="1005" t="e">
        <f>+IF('(AS-400 Jembatan)'!F13=0," ",'(AS-400 Jembatan)'!F$13+'(AS-400 Transfer)'!$N13)</f>
        <v>#N/A</v>
      </c>
      <c r="G13" s="1005" t="e">
        <f>+IF('(AS-400 Jembatan)'!G13=0," ",'(AS-400 Jembatan)'!G$13+'(AS-400 Transfer)'!$N13)</f>
        <v>#N/A</v>
      </c>
      <c r="H13" s="1005" t="str">
        <f>+IF('(AS-400 Jembatan)'!H13=0," ",'(AS-400 Jembatan)'!H$13+'(AS-400 Transfer)'!$N13)</f>
        <v xml:space="preserve"> </v>
      </c>
      <c r="I13" s="1005" t="e">
        <f t="shared" si="1"/>
        <v>#N/A</v>
      </c>
      <c r="J13" s="1006">
        <f>+'(AS-400 Jembatan)'!J13</f>
        <v>138</v>
      </c>
      <c r="K13" s="1006" t="e">
        <f t="shared" si="2"/>
        <v>#N/A</v>
      </c>
      <c r="L13" s="837">
        <f t="shared" si="3"/>
        <v>0</v>
      </c>
      <c r="M13" s="837" t="e">
        <f t="shared" si="4"/>
        <v>#N/A</v>
      </c>
      <c r="N13" s="837">
        <v>0</v>
      </c>
      <c r="O13" s="1007">
        <f>+IF('(AS-400 Jembatan)'!M13=0," ",'(AS-400 Jembatan)'!M13+'(AS-400 Transfer)'!$Y13)</f>
        <v>57</v>
      </c>
      <c r="P13" s="1005">
        <f>+IF('(AS-400 Jembatan)'!N13=0," ",'(AS-400 Jembatan)'!N13+'(AS-400 Transfer)'!$Y13)</f>
        <v>57</v>
      </c>
      <c r="Q13" s="1008">
        <f>+IF('(AS-400 Jembatan)'!O13=0," ",'(AS-400 Jembatan)'!O13+'(AS-400 Transfer)'!$Y13)</f>
        <v>57</v>
      </c>
      <c r="R13" s="1005">
        <f>+IF('(AS-400 Jembatan)'!P13=0," ",'(AS-400 Jembatan)'!P13+'(AS-400 Transfer)'!$Y13)</f>
        <v>51</v>
      </c>
      <c r="S13" s="1005" t="str">
        <f>+IF('(AS-400 Jembatan)'!Q13=0," ",'(AS-400 Jembatan)'!Q13+'(AS-400 Transfer)'!$Y13)</f>
        <v xml:space="preserve"> </v>
      </c>
      <c r="T13" s="1005">
        <f t="shared" si="5"/>
        <v>222</v>
      </c>
      <c r="U13" s="1005">
        <f>+'(AS-400 Jembatan)'!S13</f>
        <v>222</v>
      </c>
      <c r="V13" s="1005">
        <f t="shared" si="6"/>
        <v>0</v>
      </c>
      <c r="W13" s="837">
        <f t="shared" si="7"/>
        <v>4</v>
      </c>
      <c r="X13" s="837">
        <f t="shared" si="8"/>
        <v>0</v>
      </c>
      <c r="Y13" s="1009">
        <v>3</v>
      </c>
      <c r="Z13" s="1007">
        <f>+IF('(AS-400 Jembatan)'!V13=0," ",'(AS-400 Jembatan)'!V13+'(AS-400 Transfer)'!$AJ13)</f>
        <v>53</v>
      </c>
      <c r="AA13" s="1010">
        <f>+IF('(AS-400 Jembatan)'!W13=0," ",'(AS-400 Jembatan)'!W13+'(AS-400 Transfer)'!$AJ13)</f>
        <v>53</v>
      </c>
      <c r="AB13" s="1008">
        <f>+IF('(AS-400 Jembatan)'!X13=0," ",'(AS-400 Jembatan)'!X13+'(AS-400 Transfer)'!$AJ13)</f>
        <v>53</v>
      </c>
      <c r="AC13" s="1005">
        <f>+IF('(AS-400 Jembatan)'!Y13=0," ",'(AS-400 Jembatan)'!Y13+'(AS-400 Transfer)'!$AJ13)</f>
        <v>47</v>
      </c>
      <c r="AD13" s="1005" t="str">
        <f>+IF('(AS-400 Jembatan)'!Z13=0," ",'(AS-400 Jembatan)'!Z13+'(AS-400 Transfer)'!$AJ13)</f>
        <v xml:space="preserve"> </v>
      </c>
      <c r="AE13" s="1005">
        <f t="shared" si="9"/>
        <v>206</v>
      </c>
      <c r="AF13" s="1005">
        <f>+'(AS-400 Jembatan)'!AB13</f>
        <v>204</v>
      </c>
      <c r="AG13" s="1005">
        <f t="shared" si="10"/>
        <v>-0.5</v>
      </c>
      <c r="AH13" s="837">
        <f t="shared" si="11"/>
        <v>4</v>
      </c>
      <c r="AI13" s="1006">
        <f t="shared" si="12"/>
        <v>0</v>
      </c>
      <c r="AJ13" s="1009">
        <v>-1</v>
      </c>
      <c r="AK13" s="1007">
        <f>+IF('(AS-400 Jembatan)'!AE13=0," ",'(AS-400 Jembatan)'!AE13+'(AS-400 Transfer)'!$AU13)</f>
        <v>66</v>
      </c>
      <c r="AL13" s="1005">
        <f>+IF('(AS-400 Jembatan)'!AF13=0," ",'(AS-400 Jembatan)'!AF13+'(AS-400 Transfer)'!$AU13)</f>
        <v>66</v>
      </c>
      <c r="AM13" s="1008">
        <f>+IF('(AS-400 Jembatan)'!AG13=0," ",'(AS-400 Jembatan)'!AG13+'(AS-400 Transfer)'!$AU13)</f>
        <v>66</v>
      </c>
      <c r="AN13" s="1005">
        <f>+IF('(AS-400 Jembatan)'!AH13=0," ",'(AS-400 Jembatan)'!AH13+'(AS-400 Transfer)'!$AU13)</f>
        <v>60</v>
      </c>
      <c r="AO13" s="1005"/>
      <c r="AP13" s="1005">
        <f t="shared" si="13"/>
        <v>258</v>
      </c>
      <c r="AQ13" s="1005">
        <f>+'(AS-400 Jembatan)'!AK13</f>
        <v>258</v>
      </c>
      <c r="AR13" s="1005">
        <f t="shared" si="14"/>
        <v>0</v>
      </c>
      <c r="AS13" s="837">
        <f t="shared" si="15"/>
        <v>4</v>
      </c>
      <c r="AT13" s="837">
        <f t="shared" si="16"/>
        <v>0</v>
      </c>
      <c r="AU13" s="1009">
        <v>18</v>
      </c>
      <c r="AV13" s="1007">
        <f>+IF('(AS-400 Jembatan)'!AN13=0," ",'(AS-400 Jembatan)'!AN13+'(AS-400 Transfer)'!$BF13)</f>
        <v>44</v>
      </c>
      <c r="AW13" s="1005">
        <f>+IF('(AS-400 Jembatan)'!AO13=0," ",'(AS-400 Jembatan)'!AO13+'(AS-400 Transfer)'!$BF13)</f>
        <v>44</v>
      </c>
      <c r="AX13" s="1008">
        <f>+IF('(AS-400 Jembatan)'!AP13=0," ",'(AS-400 Jembatan)'!AP13+'(AS-400 Transfer)'!$BF13)</f>
        <v>38</v>
      </c>
      <c r="AY13" s="1005">
        <f>+IF('(AS-400 Jembatan)'!AQ13=0," ",'(AS-400 Jembatan)'!AQ13+'(AS-400 Transfer)'!$BF13)</f>
        <v>38</v>
      </c>
      <c r="AZ13" s="1005"/>
      <c r="BA13" s="1005">
        <f t="shared" si="17"/>
        <v>164</v>
      </c>
      <c r="BB13" s="1005">
        <f>+'(AS-400 Jembatan)'!AT13</f>
        <v>162</v>
      </c>
      <c r="BC13" s="1005">
        <f t="shared" si="18"/>
        <v>-0.5</v>
      </c>
      <c r="BD13" s="837">
        <f t="shared" si="19"/>
        <v>4</v>
      </c>
      <c r="BE13" s="837">
        <f t="shared" si="20"/>
        <v>0</v>
      </c>
      <c r="BF13" s="1009">
        <v>-4</v>
      </c>
      <c r="BG13" s="925">
        <f>+IF('(AS-400 Jembatan)'!AW13=0," ",'(AS-400 Jembatan)'!AW13+'(AS-400 Transfer)'!$BQ13)</f>
        <v>38</v>
      </c>
      <c r="BH13" s="923">
        <f>+IF('(AS-400 Jembatan)'!AX13=0," ",'(AS-400 Jembatan)'!AX13+'(AS-400 Transfer)'!$BQ13)</f>
        <v>38</v>
      </c>
      <c r="BI13" s="1011">
        <f>+IF('(AS-400 Jembatan)'!AY13=0," ",'(AS-400 Jembatan)'!AY13+'(AS-400 Transfer)'!$BQ13)</f>
        <v>32</v>
      </c>
      <c r="BJ13" s="923">
        <f>+IF('(AS-400 Jembatan)'!AZ13=0," ",'(AS-400 Jembatan)'!AZ13+'(AS-400 Transfer)'!$BQ13)</f>
        <v>32</v>
      </c>
      <c r="BK13" s="923" t="str">
        <f>+IF('(AS-400 Jembatan)'!BA13=0," ",'(AS-400 Jembatan)'!BA13+'(AS-400 Transfer)'!$BQ13)</f>
        <v xml:space="preserve"> </v>
      </c>
      <c r="BL13" s="923">
        <f t="shared" si="21"/>
        <v>140</v>
      </c>
      <c r="BM13" s="923">
        <f>+'(AS-400 Jembatan)'!BC13</f>
        <v>138</v>
      </c>
      <c r="BN13" s="923">
        <f t="shared" si="22"/>
        <v>-0.5</v>
      </c>
      <c r="BO13" s="1012">
        <f t="shared" si="23"/>
        <v>4</v>
      </c>
      <c r="BP13" s="1012">
        <f t="shared" si="24"/>
        <v>0</v>
      </c>
      <c r="BQ13" s="1009">
        <v>-10</v>
      </c>
    </row>
    <row r="14" spans="1:142" s="1232" customFormat="1" ht="15" customHeight="1">
      <c r="A14" s="1599" t="s">
        <v>169</v>
      </c>
      <c r="B14" s="1216" t="str">
        <f>+GUM!C20</f>
        <v>82115-F2390</v>
      </c>
      <c r="C14" s="958" t="str">
        <f>GUM!D20</f>
        <v>B 0101</v>
      </c>
      <c r="D14" s="843" t="e">
        <f>+IF('(AS-400 Jembatan)'!D14=0," ",'(AS-400 Jembatan)'!D$14+'(AS-400 Transfer)'!$N14)</f>
        <v>#N/A</v>
      </c>
      <c r="E14" s="754" t="e">
        <f>+IF('(AS-400 Jembatan)'!E14=0," ",'(AS-400 Jembatan)'!E$14+'(AS-400 Transfer)'!$N14)</f>
        <v>#N/A</v>
      </c>
      <c r="F14" s="754" t="e">
        <f>+IF('(AS-400 Jembatan)'!F14=0," ",'(AS-400 Jembatan)'!F$14+'(AS-400 Transfer)'!$N14)</f>
        <v>#N/A</v>
      </c>
      <c r="G14" s="754" t="e">
        <f>+IF('(AS-400 Jembatan)'!G14=0," ",'(AS-400 Jembatan)'!G$14+'(AS-400 Transfer)'!$N14)</f>
        <v>#N/A</v>
      </c>
      <c r="H14" s="754" t="str">
        <f>+IF('(AS-400 Jembatan)'!H14=0," ",'(AS-400 Jembatan)'!H$10+'(AS-400 Transfer)'!$N14)</f>
        <v xml:space="preserve"> </v>
      </c>
      <c r="I14" s="754" t="e">
        <f t="shared" si="1"/>
        <v>#N/A</v>
      </c>
      <c r="J14" s="844">
        <f>+'(AS-400 Jembatan)'!J14</f>
        <v>12</v>
      </c>
      <c r="K14" s="844" t="e">
        <f t="shared" si="2"/>
        <v>#N/A</v>
      </c>
      <c r="L14" s="832">
        <f t="shared" si="3"/>
        <v>0</v>
      </c>
      <c r="M14" s="832" t="e">
        <f t="shared" si="4"/>
        <v>#N/A</v>
      </c>
      <c r="N14" s="832" t="e">
        <v>#DIV/0!</v>
      </c>
      <c r="O14" s="850">
        <f>+IF('(AS-400 Jembatan)'!M14=0," ",'(AS-400 Jembatan)'!M14+'(AS-400 Transfer)'!$Y14)</f>
        <v>12</v>
      </c>
      <c r="P14" s="754" t="str">
        <f>+IF('(AS-400 Jembatan)'!N14=0," ",'(AS-400 Jembatan)'!N14+'(AS-400 Transfer)'!$Y14)</f>
        <v xml:space="preserve"> </v>
      </c>
      <c r="Q14" s="853" t="str">
        <f>+IF('(AS-400 Jembatan)'!O14=0," ",'(AS-400 Jembatan)'!O14+'(AS-400 Transfer)'!$Y14)</f>
        <v xml:space="preserve"> </v>
      </c>
      <c r="R14" s="754" t="str">
        <f>+IF('(AS-400 Jembatan)'!P14=0," ",'(AS-400 Jembatan)'!P14+'(AS-400 Transfer)'!$Y14)</f>
        <v xml:space="preserve"> </v>
      </c>
      <c r="S14" s="754" t="str">
        <f>+IF('(AS-400 Jembatan)'!Q14=0," ",'(AS-400 Jembatan)'!Q14+'(AS-400 Transfer)'!$Y14)</f>
        <v xml:space="preserve"> </v>
      </c>
      <c r="T14" s="754">
        <f t="shared" si="5"/>
        <v>12</v>
      </c>
      <c r="U14" s="754">
        <f>+'(AS-400 Jembatan)'!S14</f>
        <v>12</v>
      </c>
      <c r="V14" s="754">
        <f t="shared" si="6"/>
        <v>0</v>
      </c>
      <c r="W14" s="832">
        <f t="shared" si="7"/>
        <v>1</v>
      </c>
      <c r="X14" s="832">
        <f t="shared" si="8"/>
        <v>0</v>
      </c>
      <c r="Y14" s="838">
        <v>0</v>
      </c>
      <c r="Z14" s="850">
        <f>+IF('(AS-400 Jembatan)'!V14=0," ",'(AS-400 Jembatan)'!V14+'(AS-400 Transfer)'!$AJ14)</f>
        <v>12</v>
      </c>
      <c r="AA14" s="1230" t="str">
        <f>+IF('(AS-400 Jembatan)'!W14=0," ",'(AS-400 Jembatan)'!W14+'(AS-400 Transfer)'!$AJ14)</f>
        <v xml:space="preserve"> </v>
      </c>
      <c r="AB14" s="853" t="str">
        <f>+IF('(AS-400 Jembatan)'!X14=0," ",'(AS-400 Jembatan)'!X14+'(AS-400 Transfer)'!$AJ14)</f>
        <v xml:space="preserve"> </v>
      </c>
      <c r="AC14" s="754" t="str">
        <f>+IF('(AS-400 Jembatan)'!Y14=0," ",'(AS-400 Jembatan)'!Y14+'(AS-400 Transfer)'!$AJ14)</f>
        <v xml:space="preserve"> </v>
      </c>
      <c r="AD14" s="754" t="str">
        <f>+IF('(AS-400 Jembatan)'!Z14=0," ",'(AS-400 Jembatan)'!Z14+'(AS-400 Transfer)'!$AJ14)</f>
        <v xml:space="preserve"> </v>
      </c>
      <c r="AE14" s="754">
        <f t="shared" si="9"/>
        <v>12</v>
      </c>
      <c r="AF14" s="754">
        <f>+'(AS-400 Jembatan)'!AB14</f>
        <v>12</v>
      </c>
      <c r="AG14" s="754">
        <f t="shared" si="10"/>
        <v>0</v>
      </c>
      <c r="AH14" s="832">
        <f t="shared" si="11"/>
        <v>1</v>
      </c>
      <c r="AI14" s="844">
        <f t="shared" si="12"/>
        <v>0</v>
      </c>
      <c r="AJ14" s="838">
        <v>0</v>
      </c>
      <c r="AK14" s="1339">
        <f>+IF('(AS-400 Jembatan)'!AE14=0," ",'(AS-400 Jembatan)'!AE14+'(AS-400 Transfer)'!$AU14)</f>
        <v>12</v>
      </c>
      <c r="AL14" s="1340">
        <f>+IF('(AS-400 Jembatan)'!AF14=0," ",'(AS-400 Jembatan)'!AF14+'(AS-400 Transfer)'!$AU14)</f>
        <v>12</v>
      </c>
      <c r="AM14" s="853" t="str">
        <f>+IF('(AS-400 Jembatan)'!AG14=0," ",'(AS-400 Jembatan)'!AG14+'(AS-400 Transfer)'!$AU14)</f>
        <v xml:space="preserve"> </v>
      </c>
      <c r="AN14" s="754" t="str">
        <f>+IF('(AS-400 Jembatan)'!AH14=0," ",'(AS-400 Jembatan)'!AH14+'(AS-400 Transfer)'!$AU14)</f>
        <v xml:space="preserve"> </v>
      </c>
      <c r="AO14" s="754"/>
      <c r="AP14" s="754">
        <f t="shared" si="13"/>
        <v>24</v>
      </c>
      <c r="AQ14" s="754">
        <f>+'(AS-400 Jembatan)'!AK14</f>
        <v>24</v>
      </c>
      <c r="AR14" s="754">
        <f t="shared" si="14"/>
        <v>0</v>
      </c>
      <c r="AS14" s="832">
        <f t="shared" si="15"/>
        <v>2</v>
      </c>
      <c r="AT14" s="832">
        <f t="shared" si="16"/>
        <v>0</v>
      </c>
      <c r="AU14" s="838">
        <v>0</v>
      </c>
      <c r="AV14" s="850">
        <f>+IF('(AS-400 Jembatan)'!AN14=0," ",'(AS-400 Jembatan)'!AN14+'(AS-400 Transfer)'!$BF14)</f>
        <v>6</v>
      </c>
      <c r="AW14" s="754" t="str">
        <f>+IF('(AS-400 Jembatan)'!AO14=0," ",'(AS-400 Jembatan)'!AO14+'(AS-400 Transfer)'!$BF14)</f>
        <v xml:space="preserve"> </v>
      </c>
      <c r="AX14" s="853" t="str">
        <f>+IF('(AS-400 Jembatan)'!AP14=0," ",'(AS-400 Jembatan)'!AP14+'(AS-400 Transfer)'!$BF14)</f>
        <v xml:space="preserve"> </v>
      </c>
      <c r="AY14" s="754" t="str">
        <f>+IF('(AS-400 Jembatan)'!AQ14=0," ",'(AS-400 Jembatan)'!AQ14+'(AS-400 Transfer)'!$BF14)</f>
        <v xml:space="preserve"> </v>
      </c>
      <c r="AZ14" s="754"/>
      <c r="BA14" s="754">
        <f t="shared" si="17"/>
        <v>6</v>
      </c>
      <c r="BB14" s="754">
        <f>+'(AS-400 Jembatan)'!AT14</f>
        <v>6</v>
      </c>
      <c r="BC14" s="754">
        <f t="shared" si="18"/>
        <v>0</v>
      </c>
      <c r="BD14" s="832">
        <f t="shared" si="19"/>
        <v>1</v>
      </c>
      <c r="BE14" s="832">
        <f t="shared" si="20"/>
        <v>0</v>
      </c>
      <c r="BF14" s="838">
        <v>0</v>
      </c>
      <c r="BG14" s="861">
        <f>+IF('(AS-400 Jembatan)'!AW14=0," ",'(AS-400 Jembatan)'!AW14+'(AS-400 Transfer)'!$BQ14)</f>
        <v>6</v>
      </c>
      <c r="BH14" s="771" t="str">
        <f>+IF('(AS-400 Jembatan)'!AX14=0," ",'(AS-400 Jembatan)'!AX14+'(AS-400 Transfer)'!$BQ14)</f>
        <v xml:space="preserve"> </v>
      </c>
      <c r="BI14" s="862" t="str">
        <f>+IF('(AS-400 Jembatan)'!AY14=0," ",'(AS-400 Jembatan)'!AY14+'(AS-400 Transfer)'!$BQ14)</f>
        <v xml:space="preserve"> </v>
      </c>
      <c r="BJ14" s="771" t="str">
        <f>+IF('(AS-400 Jembatan)'!AZ14=0," ",'(AS-400 Jembatan)'!AZ14+'(AS-400 Transfer)'!$BQ14)</f>
        <v xml:space="preserve"> </v>
      </c>
      <c r="BK14" s="771" t="str">
        <f>+IF('(AS-400 Jembatan)'!BA14=0," ",'(AS-400 Jembatan)'!BA14+'(AS-400 Transfer)'!$BQ14)</f>
        <v xml:space="preserve"> </v>
      </c>
      <c r="BL14" s="771">
        <f t="shared" si="21"/>
        <v>6</v>
      </c>
      <c r="BM14" s="771">
        <f>+'(AS-400 Jembatan)'!BC14</f>
        <v>6</v>
      </c>
      <c r="BN14" s="771">
        <f t="shared" si="22"/>
        <v>0</v>
      </c>
      <c r="BO14" s="864">
        <f t="shared" si="23"/>
        <v>1</v>
      </c>
      <c r="BP14" s="864">
        <f t="shared" si="24"/>
        <v>0</v>
      </c>
      <c r="BQ14" s="838">
        <v>0</v>
      </c>
    </row>
    <row r="15" spans="1:142" s="599" customFormat="1" ht="15.75" customHeight="1">
      <c r="A15" s="1600"/>
      <c r="B15" s="1217" t="str">
        <f>+GUM!C21</f>
        <v>82111-FET20</v>
      </c>
      <c r="C15" s="658" t="str">
        <f>GUM!D21</f>
        <v>A 0101</v>
      </c>
      <c r="D15" s="745" t="e">
        <f>+IF('(AS-400 Jembatan)'!D15=0," ",'(AS-400 Jembatan)'!D$15+'(AS-400 Transfer)'!$N15)</f>
        <v>#N/A</v>
      </c>
      <c r="E15" s="600" t="e">
        <f>+IF('(AS-400 Jembatan)'!E15=0," ",'(AS-400 Jembatan)'!E$15+'(AS-400 Transfer)'!$N15)</f>
        <v>#N/A</v>
      </c>
      <c r="F15" s="600" t="e">
        <f>+IF('(AS-400 Jembatan)'!F15=0," ",'(AS-400 Jembatan)'!F$15+'(AS-400 Transfer)'!$N15)</f>
        <v>#N/A</v>
      </c>
      <c r="G15" s="600" t="e">
        <f>+IF('(AS-400 Jembatan)'!G15=0," ",'(AS-400 Jembatan)'!G$15+'(AS-400 Transfer)'!$N15)</f>
        <v>#N/A</v>
      </c>
      <c r="H15" s="600" t="str">
        <f>+IF('(AS-400 Jembatan)'!H15=0," ",'(AS-400 Jembatan)'!H$15+'(AS-400 Transfer)'!$N15)</f>
        <v xml:space="preserve"> </v>
      </c>
      <c r="I15" s="600" t="e">
        <f t="shared" si="1"/>
        <v>#N/A</v>
      </c>
      <c r="J15" s="601">
        <f>+'(AS-400 Jembatan)'!J15</f>
        <v>0</v>
      </c>
      <c r="K15" s="601" t="e">
        <f t="shared" si="2"/>
        <v>#N/A</v>
      </c>
      <c r="L15" s="609">
        <f t="shared" si="3"/>
        <v>0</v>
      </c>
      <c r="M15" s="609" t="e">
        <f t="shared" si="4"/>
        <v>#N/A</v>
      </c>
      <c r="N15" s="609">
        <v>0</v>
      </c>
      <c r="O15" s="615" t="str">
        <f>+IF('(AS-400 Jembatan)'!M15=0," ",'(AS-400 Jembatan)'!M15+'(AS-400 Transfer)'!$Y15)</f>
        <v xml:space="preserve"> </v>
      </c>
      <c r="P15" s="600" t="str">
        <f>+IF('(AS-400 Jembatan)'!N15=0," ",'(AS-400 Jembatan)'!N15+'(AS-400 Transfer)'!$Y15)</f>
        <v xml:space="preserve"> </v>
      </c>
      <c r="Q15" s="616" t="str">
        <f>+IF('(AS-400 Jembatan)'!O15=0," ",'(AS-400 Jembatan)'!O15+'(AS-400 Transfer)'!$Y15)</f>
        <v xml:space="preserve"> </v>
      </c>
      <c r="R15" s="600" t="str">
        <f>+IF('(AS-400 Jembatan)'!P15=0," ",'(AS-400 Jembatan)'!P15+'(AS-400 Transfer)'!$Y15)</f>
        <v xml:space="preserve"> </v>
      </c>
      <c r="S15" s="600" t="str">
        <f>+IF('(AS-400 Jembatan)'!Q15=0," ",'(AS-400 Jembatan)'!Q15+'(AS-400 Transfer)'!$Y15)</f>
        <v xml:space="preserve"> </v>
      </c>
      <c r="T15" s="600">
        <f t="shared" si="5"/>
        <v>0</v>
      </c>
      <c r="U15" s="600">
        <f>+'(AS-400 Jembatan)'!S15</f>
        <v>0</v>
      </c>
      <c r="V15" s="600" t="e">
        <f t="shared" si="6"/>
        <v>#DIV/0!</v>
      </c>
      <c r="W15" s="609">
        <f t="shared" si="7"/>
        <v>0</v>
      </c>
      <c r="X15" s="609" t="e">
        <f t="shared" si="8"/>
        <v>#DIV/0!</v>
      </c>
      <c r="Y15" s="646" t="e">
        <v>#DIV/0!</v>
      </c>
      <c r="Z15" s="615" t="str">
        <f>+IF('(AS-400 Jembatan)'!V15=0," ",'(AS-400 Jembatan)'!V15+'(AS-400 Transfer)'!$AJ15)</f>
        <v xml:space="preserve"> </v>
      </c>
      <c r="AA15" s="656" t="str">
        <f>+IF('(AS-400 Jembatan)'!W15=0," ",'(AS-400 Jembatan)'!W15+'(AS-400 Transfer)'!$AJ15)</f>
        <v xml:space="preserve"> </v>
      </c>
      <c r="AB15" s="616" t="str">
        <f>+IF('(AS-400 Jembatan)'!X15=0," ",'(AS-400 Jembatan)'!X15+'(AS-400 Transfer)'!$AJ15)</f>
        <v xml:space="preserve"> </v>
      </c>
      <c r="AC15" s="600" t="str">
        <f>+IF('(AS-400 Jembatan)'!Y15=0," ",'(AS-400 Jembatan)'!Y15+'(AS-400 Transfer)'!$AJ15)</f>
        <v xml:space="preserve"> </v>
      </c>
      <c r="AD15" s="600" t="str">
        <f>+IF('(AS-400 Jembatan)'!Z15=0," ",'(AS-400 Jembatan)'!Z15+'(AS-400 Transfer)'!$AJ15)</f>
        <v xml:space="preserve"> </v>
      </c>
      <c r="AE15" s="600">
        <f t="shared" si="9"/>
        <v>0</v>
      </c>
      <c r="AF15" s="600">
        <f>+'(AS-400 Jembatan)'!AB15</f>
        <v>0</v>
      </c>
      <c r="AG15" s="600" t="e">
        <f t="shared" si="10"/>
        <v>#DIV/0!</v>
      </c>
      <c r="AH15" s="609">
        <f t="shared" si="11"/>
        <v>0</v>
      </c>
      <c r="AI15" s="601" t="e">
        <f t="shared" si="12"/>
        <v>#DIV/0!</v>
      </c>
      <c r="AJ15" s="646" t="e">
        <v>#DIV/0!</v>
      </c>
      <c r="AK15" s="615" t="str">
        <f>+IF('(AS-400 Jembatan)'!AE15=0," ",'(AS-400 Jembatan)'!AE15+'(AS-400 Transfer)'!$AU15)</f>
        <v xml:space="preserve"> </v>
      </c>
      <c r="AL15" s="600" t="str">
        <f>+IF('(AS-400 Jembatan)'!AF15=0," ",'(AS-400 Jembatan)'!AF15+'(AS-400 Transfer)'!$AU15)</f>
        <v xml:space="preserve"> </v>
      </c>
      <c r="AM15" s="616" t="str">
        <f>+IF('(AS-400 Jembatan)'!AG15=0," ",'(AS-400 Jembatan)'!AG15+'(AS-400 Transfer)'!$AU15)</f>
        <v xml:space="preserve"> </v>
      </c>
      <c r="AN15" s="600" t="str">
        <f>+IF('(AS-400 Jembatan)'!AH15=0," ",'(AS-400 Jembatan)'!AH15+'(AS-400 Transfer)'!$AU15)</f>
        <v xml:space="preserve"> </v>
      </c>
      <c r="AO15" s="600"/>
      <c r="AP15" s="600">
        <f t="shared" si="13"/>
        <v>0</v>
      </c>
      <c r="AQ15" s="600">
        <f>+'(AS-400 Jembatan)'!AK15</f>
        <v>0</v>
      </c>
      <c r="AR15" s="600" t="e">
        <f t="shared" si="14"/>
        <v>#DIV/0!</v>
      </c>
      <c r="AS15" s="609">
        <f t="shared" si="15"/>
        <v>0</v>
      </c>
      <c r="AT15" s="609" t="e">
        <f t="shared" si="16"/>
        <v>#DIV/0!</v>
      </c>
      <c r="AU15" s="646" t="e">
        <v>#DIV/0!</v>
      </c>
      <c r="AV15" s="615" t="str">
        <f>+IF('(AS-400 Jembatan)'!AN15=0," ",'(AS-400 Jembatan)'!AN15+'(AS-400 Transfer)'!$BF15)</f>
        <v xml:space="preserve"> </v>
      </c>
      <c r="AW15" s="600" t="str">
        <f>+IF('(AS-400 Jembatan)'!AO15=0," ",'(AS-400 Jembatan)'!AO15+'(AS-400 Transfer)'!$BF15)</f>
        <v xml:space="preserve"> </v>
      </c>
      <c r="AX15" s="616" t="str">
        <f>+IF('(AS-400 Jembatan)'!AP15=0," ",'(AS-400 Jembatan)'!AP15+'(AS-400 Transfer)'!$BF15)</f>
        <v xml:space="preserve"> </v>
      </c>
      <c r="AY15" s="600" t="str">
        <f>+IF('(AS-400 Jembatan)'!AQ15=0," ",'(AS-400 Jembatan)'!AQ15+'(AS-400 Transfer)'!$BF15)</f>
        <v xml:space="preserve"> </v>
      </c>
      <c r="AZ15" s="600"/>
      <c r="BA15" s="600">
        <f t="shared" si="17"/>
        <v>0</v>
      </c>
      <c r="BB15" s="600">
        <f>+'(AS-400 Jembatan)'!AT15</f>
        <v>0</v>
      </c>
      <c r="BC15" s="600" t="e">
        <f t="shared" si="18"/>
        <v>#DIV/0!</v>
      </c>
      <c r="BD15" s="609">
        <f t="shared" si="19"/>
        <v>0</v>
      </c>
      <c r="BE15" s="609" t="e">
        <f t="shared" si="20"/>
        <v>#DIV/0!</v>
      </c>
      <c r="BF15" s="646" t="e">
        <v>#DIV/0!</v>
      </c>
      <c r="BG15" s="782" t="str">
        <f>+IF('(AS-400 Jembatan)'!AW15=0," ",'(AS-400 Jembatan)'!AW15+'(AS-400 Transfer)'!$BQ15)</f>
        <v xml:space="preserve"> </v>
      </c>
      <c r="BH15" s="774" t="str">
        <f>+IF('(AS-400 Jembatan)'!AX15=0," ",'(AS-400 Jembatan)'!AX15+'(AS-400 Transfer)'!$BQ15)</f>
        <v xml:space="preserve"> </v>
      </c>
      <c r="BI15" s="865" t="str">
        <f>+IF('(AS-400 Jembatan)'!AY15=0," ",'(AS-400 Jembatan)'!AY15+'(AS-400 Transfer)'!$BQ15)</f>
        <v xml:space="preserve"> </v>
      </c>
      <c r="BJ15" s="774" t="str">
        <f>+IF('(AS-400 Jembatan)'!AZ15=0," ",'(AS-400 Jembatan)'!AZ15+'(AS-400 Transfer)'!$BQ15)</f>
        <v xml:space="preserve"> </v>
      </c>
      <c r="BK15" s="774" t="str">
        <f>+IF('(AS-400 Jembatan)'!BA15=0," ",'(AS-400 Jembatan)'!BA15+'(AS-400 Transfer)'!$BQ15)</f>
        <v xml:space="preserve"> </v>
      </c>
      <c r="BL15" s="774">
        <f t="shared" si="21"/>
        <v>0</v>
      </c>
      <c r="BM15" s="774">
        <f>+'(AS-400 Jembatan)'!BC15</f>
        <v>0</v>
      </c>
      <c r="BN15" s="774" t="e">
        <f t="shared" si="22"/>
        <v>#DIV/0!</v>
      </c>
      <c r="BO15" s="866">
        <f t="shared" si="23"/>
        <v>0</v>
      </c>
      <c r="BP15" s="866" t="e">
        <f t="shared" si="24"/>
        <v>#DIV/0!</v>
      </c>
      <c r="BQ15" s="646" t="e">
        <v>#DIV/0!</v>
      </c>
    </row>
    <row r="16" spans="1:142" s="1143" customFormat="1" ht="15" customHeight="1">
      <c r="A16" s="1600"/>
      <c r="B16" s="1217" t="str">
        <f>+GUM!C22</f>
        <v>82111-FET30</v>
      </c>
      <c r="C16" s="658" t="str">
        <f>GUM!D22</f>
        <v>A 0101</v>
      </c>
      <c r="D16" s="745" t="e">
        <f>+IF('(AS-400 Jembatan)'!D16=0," ",'(AS-400 Jembatan)'!D$166+'(AS-400 Transfer)'!$N16)</f>
        <v>#N/A</v>
      </c>
      <c r="E16" s="600" t="e">
        <f>+IF('(AS-400 Jembatan)'!E16=0," ",'(AS-400 Jembatan)'!E$166+'(AS-400 Transfer)'!$N16)</f>
        <v>#N/A</v>
      </c>
      <c r="F16" s="600" t="e">
        <f>+IF('(AS-400 Jembatan)'!F16=0," ",'(AS-400 Jembatan)'!F$166+'(AS-400 Transfer)'!$N16)</f>
        <v>#N/A</v>
      </c>
      <c r="G16" s="600" t="e">
        <f>+IF('(AS-400 Jembatan)'!G16=0," ",'(AS-400 Jembatan)'!G$166+'(AS-400 Transfer)'!$N16)</f>
        <v>#N/A</v>
      </c>
      <c r="H16" s="600" t="str">
        <f>+IF('(AS-400 Jembatan)'!H16=0," ",'(AS-400 Jembatan)'!H$10+'(AS-400 Transfer)'!$N16)</f>
        <v xml:space="preserve"> </v>
      </c>
      <c r="I16" s="600" t="e">
        <f t="shared" si="1"/>
        <v>#N/A</v>
      </c>
      <c r="J16" s="601">
        <f>+'(AS-400 Jembatan)'!J16</f>
        <v>348</v>
      </c>
      <c r="K16" s="601" t="e">
        <f t="shared" si="2"/>
        <v>#N/A</v>
      </c>
      <c r="L16" s="609">
        <f t="shared" si="3"/>
        <v>0</v>
      </c>
      <c r="M16" s="609" t="e">
        <f t="shared" si="4"/>
        <v>#N/A</v>
      </c>
      <c r="N16" s="609" t="e">
        <v>#DIV/0!</v>
      </c>
      <c r="O16" s="615">
        <f>+IF('(AS-400 Jembatan)'!M16=0," ",'(AS-400 Jembatan)'!M16+'(AS-400 Transfer)'!$Y16)</f>
        <v>98</v>
      </c>
      <c r="P16" s="600">
        <f>+IF('(AS-400 Jembatan)'!N16=0," ",'(AS-400 Jembatan)'!N16+'(AS-400 Transfer)'!$Y16)</f>
        <v>98</v>
      </c>
      <c r="Q16" s="616">
        <f>+IF('(AS-400 Jembatan)'!O16=0," ",'(AS-400 Jembatan)'!O16+'(AS-400 Transfer)'!$Y16)</f>
        <v>98</v>
      </c>
      <c r="R16" s="600">
        <f>+IF('(AS-400 Jembatan)'!P16=0," ",'(AS-400 Jembatan)'!P16+'(AS-400 Transfer)'!$Y16)</f>
        <v>92</v>
      </c>
      <c r="S16" s="600" t="str">
        <f>+IF('(AS-400 Jembatan)'!Q16=0," ",'(AS-400 Jembatan)'!Q16+'(AS-400 Transfer)'!$Y16)</f>
        <v xml:space="preserve"> </v>
      </c>
      <c r="T16" s="600">
        <f t="shared" si="5"/>
        <v>386</v>
      </c>
      <c r="U16" s="600">
        <f>+'(AS-400 Jembatan)'!S16</f>
        <v>384</v>
      </c>
      <c r="V16" s="600">
        <f t="shared" si="6"/>
        <v>-0.5</v>
      </c>
      <c r="W16" s="609">
        <f t="shared" si="7"/>
        <v>4</v>
      </c>
      <c r="X16" s="609">
        <f t="shared" si="8"/>
        <v>0</v>
      </c>
      <c r="Y16" s="646">
        <v>8</v>
      </c>
      <c r="Z16" s="615">
        <f>+IF('(AS-400 Jembatan)'!V16=0," ",'(AS-400 Jembatan)'!V16+'(AS-400 Transfer)'!$AJ16)</f>
        <v>93</v>
      </c>
      <c r="AA16" s="656">
        <f>+IF('(AS-400 Jembatan)'!W16=0," ",'(AS-400 Jembatan)'!W16+'(AS-400 Transfer)'!$AJ16)</f>
        <v>93</v>
      </c>
      <c r="AB16" s="616">
        <f>+IF('(AS-400 Jembatan)'!X16=0," ",'(AS-400 Jembatan)'!X16+'(AS-400 Transfer)'!$AJ16)</f>
        <v>87</v>
      </c>
      <c r="AC16" s="600">
        <f>+IF('(AS-400 Jembatan)'!Y16=0," ",'(AS-400 Jembatan)'!Y16+'(AS-400 Transfer)'!$AJ16)</f>
        <v>87</v>
      </c>
      <c r="AD16" s="600" t="str">
        <f>+IF('(AS-400 Jembatan)'!Z16=0," ",'(AS-400 Jembatan)'!Z16+'(AS-400 Transfer)'!$AJ16)</f>
        <v xml:space="preserve"> </v>
      </c>
      <c r="AE16" s="600">
        <f t="shared" si="9"/>
        <v>360</v>
      </c>
      <c r="AF16" s="600">
        <f>+'(AS-400 Jembatan)'!AB16</f>
        <v>360</v>
      </c>
      <c r="AG16" s="600">
        <f t="shared" si="10"/>
        <v>0</v>
      </c>
      <c r="AH16" s="609">
        <f t="shared" si="11"/>
        <v>4</v>
      </c>
      <c r="AI16" s="601">
        <f t="shared" si="12"/>
        <v>0</v>
      </c>
      <c r="AJ16" s="646">
        <v>-3</v>
      </c>
      <c r="AK16" s="615">
        <f>+IF('(AS-400 Jembatan)'!AE16=0," ",'(AS-400 Jembatan)'!AE16+'(AS-400 Transfer)'!$AU16)</f>
        <v>89</v>
      </c>
      <c r="AL16" s="600">
        <f>+IF('(AS-400 Jembatan)'!AF16=0," ",'(AS-400 Jembatan)'!AF16+'(AS-400 Transfer)'!$AU16)</f>
        <v>89</v>
      </c>
      <c r="AM16" s="616">
        <f>+IF('(AS-400 Jembatan)'!AG16=0," ",'(AS-400 Jembatan)'!AG16+'(AS-400 Transfer)'!$AU16)</f>
        <v>83</v>
      </c>
      <c r="AN16" s="600">
        <f>+IF('(AS-400 Jembatan)'!AH16=0," ",'(AS-400 Jembatan)'!AH16+'(AS-400 Transfer)'!$AU16)</f>
        <v>83</v>
      </c>
      <c r="AO16" s="600"/>
      <c r="AP16" s="600">
        <f t="shared" si="13"/>
        <v>344</v>
      </c>
      <c r="AQ16" s="600">
        <f>+'(AS-400 Jembatan)'!AK16</f>
        <v>342</v>
      </c>
      <c r="AR16" s="600">
        <f t="shared" si="14"/>
        <v>-0.5</v>
      </c>
      <c r="AS16" s="609">
        <f t="shared" si="15"/>
        <v>4</v>
      </c>
      <c r="AT16" s="609">
        <f t="shared" si="16"/>
        <v>0</v>
      </c>
      <c r="AU16" s="646">
        <v>5</v>
      </c>
      <c r="AV16" s="615">
        <f>+IF('(AS-400 Jembatan)'!AN16=0," ",'(AS-400 Jembatan)'!AN16+'(AS-400 Transfer)'!$BF16)</f>
        <v>107</v>
      </c>
      <c r="AW16" s="600">
        <f>+IF('(AS-400 Jembatan)'!AO16=0," ",'(AS-400 Jembatan)'!AO16+'(AS-400 Transfer)'!$BF16)</f>
        <v>107</v>
      </c>
      <c r="AX16" s="616">
        <f>+IF('(AS-400 Jembatan)'!AP16=0," ",'(AS-400 Jembatan)'!AP16+'(AS-400 Transfer)'!$BF16)</f>
        <v>101</v>
      </c>
      <c r="AY16" s="600">
        <f>+IF('(AS-400 Jembatan)'!AQ16=0," ",'(AS-400 Jembatan)'!AQ16+'(AS-400 Transfer)'!$BF16)</f>
        <v>101</v>
      </c>
      <c r="AZ16" s="600"/>
      <c r="BA16" s="600">
        <f t="shared" si="17"/>
        <v>416</v>
      </c>
      <c r="BB16" s="600">
        <f>+'(AS-400 Jembatan)'!AT16</f>
        <v>414</v>
      </c>
      <c r="BC16" s="600">
        <f t="shared" si="18"/>
        <v>-0.5</v>
      </c>
      <c r="BD16" s="609">
        <f t="shared" si="19"/>
        <v>4</v>
      </c>
      <c r="BE16" s="609">
        <f t="shared" si="20"/>
        <v>0</v>
      </c>
      <c r="BF16" s="646">
        <v>23</v>
      </c>
      <c r="BG16" s="782">
        <f>+IF('(AS-400 Jembatan)'!AW16=0," ",'(AS-400 Jembatan)'!AW16+'(AS-400 Transfer)'!$BQ16)</f>
        <v>50</v>
      </c>
      <c r="BH16" s="774">
        <f>+IF('(AS-400 Jembatan)'!AX16=0," ",'(AS-400 Jembatan)'!AX16+'(AS-400 Transfer)'!$BQ16)</f>
        <v>50</v>
      </c>
      <c r="BI16" s="865">
        <f>+IF('(AS-400 Jembatan)'!AY16=0," ",'(AS-400 Jembatan)'!AY16+'(AS-400 Transfer)'!$BQ16)</f>
        <v>44</v>
      </c>
      <c r="BJ16" s="774">
        <f>+IF('(AS-400 Jembatan)'!AZ16=0," ",'(AS-400 Jembatan)'!AZ16+'(AS-400 Transfer)'!$BQ16)</f>
        <v>44</v>
      </c>
      <c r="BK16" s="774" t="str">
        <f>+IF('(AS-400 Jembatan)'!BA16=0," ",'(AS-400 Jembatan)'!BA16+'(AS-400 Transfer)'!$BQ16)</f>
        <v xml:space="preserve"> </v>
      </c>
      <c r="BL16" s="774">
        <f t="shared" si="21"/>
        <v>188</v>
      </c>
      <c r="BM16" s="774">
        <f>+'(AS-400 Jembatan)'!BC16</f>
        <v>186</v>
      </c>
      <c r="BN16" s="774">
        <f t="shared" si="22"/>
        <v>-0.5</v>
      </c>
      <c r="BO16" s="866">
        <f t="shared" si="23"/>
        <v>4</v>
      </c>
      <c r="BP16" s="866">
        <f t="shared" si="24"/>
        <v>0</v>
      </c>
      <c r="BQ16" s="646">
        <v>-34</v>
      </c>
    </row>
    <row r="17" spans="1:141" s="1143" customFormat="1" ht="15.75" customHeight="1">
      <c r="A17" s="1600"/>
      <c r="B17" s="1219" t="str">
        <f>+GUM!C23</f>
        <v>82111-FET40</v>
      </c>
      <c r="C17" s="964" t="str">
        <f>GUM!D23</f>
        <v>A 0101</v>
      </c>
      <c r="D17" s="827" t="e">
        <f>+IF('(AS-400 Jembatan)'!#REF!=0," ",'(AS-400 Jembatan)'!#REF!+'(AS-400 Transfer)'!$N17)</f>
        <v>#REF!</v>
      </c>
      <c r="E17" s="606" t="e">
        <f>+IF('(AS-400 Jembatan)'!#REF!=0," ",'(AS-400 Jembatan)'!#REF!+'(AS-400 Transfer)'!$N17)</f>
        <v>#REF!</v>
      </c>
      <c r="F17" s="606" t="e">
        <f>+IF('(AS-400 Jembatan)'!#REF!=0," ",'(AS-400 Jembatan)'!#REF!+'(AS-400 Transfer)'!$N17)</f>
        <v>#REF!</v>
      </c>
      <c r="G17" s="606" t="e">
        <f>+IF('(AS-400 Jembatan)'!#REF!=0," ",'(AS-400 Jembatan)'!#REF!+'(AS-400 Transfer)'!$N17)</f>
        <v>#REF!</v>
      </c>
      <c r="H17" s="606" t="e">
        <f>+IF('(AS-400 Jembatan)'!#REF!=0," ",'(AS-400 Jembatan)'!#REF!+'(AS-400 Transfer)'!$N17)</f>
        <v>#REF!</v>
      </c>
      <c r="I17" s="606" t="e">
        <f t="shared" si="1"/>
        <v>#REF!</v>
      </c>
      <c r="J17" s="607" t="e">
        <f>+'(AS-400 Jembatan)'!#REF!</f>
        <v>#REF!</v>
      </c>
      <c r="K17" s="607" t="e">
        <f t="shared" si="2"/>
        <v>#REF!</v>
      </c>
      <c r="L17" s="612"/>
      <c r="M17" s="612"/>
      <c r="N17" s="612"/>
      <c r="O17" s="619">
        <f>+IF('(AS-400 Jembatan)'!M17=0," ",'(AS-400 Jembatan)'!M17+'(AS-400 Transfer)'!$Y17)</f>
        <v>177</v>
      </c>
      <c r="P17" s="606">
        <f>+IF('(AS-400 Jembatan)'!N17=0," ",'(AS-400 Jembatan)'!N17+'(AS-400 Transfer)'!$Y17)</f>
        <v>177</v>
      </c>
      <c r="Q17" s="733">
        <f>+IF('(AS-400 Jembatan)'!O17=0," ",'(AS-400 Jembatan)'!O17+'(AS-400 Transfer)'!$Y17)</f>
        <v>177</v>
      </c>
      <c r="R17" s="606">
        <f>+IF('(AS-400 Jembatan)'!P17=0," ",'(AS-400 Jembatan)'!P17+'(AS-400 Transfer)'!$Y17)</f>
        <v>171</v>
      </c>
      <c r="S17" s="606" t="str">
        <f>+IF('(AS-400 Jembatan)'!Q17=0," ",'(AS-400 Jembatan)'!Q17+'(AS-400 Transfer)'!$Y17)</f>
        <v xml:space="preserve"> </v>
      </c>
      <c r="T17" s="606">
        <f t="shared" si="5"/>
        <v>702</v>
      </c>
      <c r="U17" s="606">
        <f>+'(AS-400 Jembatan)'!S17</f>
        <v>702</v>
      </c>
      <c r="V17" s="606">
        <f t="shared" si="6"/>
        <v>0</v>
      </c>
      <c r="W17" s="612">
        <f t="shared" si="7"/>
        <v>4</v>
      </c>
      <c r="X17" s="612">
        <f t="shared" si="8"/>
        <v>0</v>
      </c>
      <c r="Y17" s="613">
        <v>39</v>
      </c>
      <c r="Z17" s="619">
        <f>+IF('(AS-400 Jembatan)'!V17=0," ",'(AS-400 Jembatan)'!V17+'(AS-400 Transfer)'!$AJ17)</f>
        <v>128</v>
      </c>
      <c r="AA17" s="715">
        <f>+IF('(AS-400 Jembatan)'!W17=0," ",'(AS-400 Jembatan)'!W17+'(AS-400 Transfer)'!$AJ17)</f>
        <v>128</v>
      </c>
      <c r="AB17" s="733">
        <f>+IF('(AS-400 Jembatan)'!X17=0," ",'(AS-400 Jembatan)'!X17+'(AS-400 Transfer)'!$AJ17)</f>
        <v>122</v>
      </c>
      <c r="AC17" s="606">
        <f>+IF('(AS-400 Jembatan)'!Y17=0," ",'(AS-400 Jembatan)'!Y17+'(AS-400 Transfer)'!$AJ17)</f>
        <v>122</v>
      </c>
      <c r="AD17" s="606" t="str">
        <f>+IF('(AS-400 Jembatan)'!Z17=0," ",'(AS-400 Jembatan)'!Z17+'(AS-400 Transfer)'!$AJ17)</f>
        <v xml:space="preserve"> </v>
      </c>
      <c r="AE17" s="606">
        <f t="shared" si="9"/>
        <v>500</v>
      </c>
      <c r="AF17" s="606">
        <f>+'(AS-400 Jembatan)'!AB17</f>
        <v>498</v>
      </c>
      <c r="AG17" s="606">
        <f t="shared" si="10"/>
        <v>-0.5</v>
      </c>
      <c r="AH17" s="612">
        <f t="shared" si="11"/>
        <v>4</v>
      </c>
      <c r="AI17" s="607">
        <f t="shared" si="12"/>
        <v>0</v>
      </c>
      <c r="AJ17" s="613">
        <v>-34</v>
      </c>
      <c r="AK17" s="619">
        <f>+IF('(AS-400 Jembatan)'!AE17=0," ",'(AS-400 Jembatan)'!AE17+'(AS-400 Transfer)'!$AU17)</f>
        <v>168</v>
      </c>
      <c r="AL17" s="606">
        <f>+IF('(AS-400 Jembatan)'!AF17=0," ",'(AS-400 Jembatan)'!AF17+'(AS-400 Transfer)'!$AU17)</f>
        <v>162</v>
      </c>
      <c r="AM17" s="733">
        <f>+IF('(AS-400 Jembatan)'!AG17=0," ",'(AS-400 Jembatan)'!AG17+'(AS-400 Transfer)'!$AU17)</f>
        <v>162</v>
      </c>
      <c r="AN17" s="606">
        <f>+IF('(AS-400 Jembatan)'!AH17=0," ",'(AS-400 Jembatan)'!AH17+'(AS-400 Transfer)'!$AU17)</f>
        <v>162</v>
      </c>
      <c r="AO17" s="606"/>
      <c r="AP17" s="606">
        <f t="shared" si="13"/>
        <v>654</v>
      </c>
      <c r="AQ17" s="606">
        <f>+'(AS-400 Jembatan)'!AK17</f>
        <v>654</v>
      </c>
      <c r="AR17" s="606">
        <f t="shared" si="14"/>
        <v>0</v>
      </c>
      <c r="AS17" s="612">
        <f t="shared" si="15"/>
        <v>4</v>
      </c>
      <c r="AT17" s="612">
        <f t="shared" si="16"/>
        <v>0</v>
      </c>
      <c r="AU17" s="613">
        <v>24</v>
      </c>
      <c r="AV17" s="619">
        <f>+IF('(AS-400 Jembatan)'!AN17=0," ",'(AS-400 Jembatan)'!AN17+'(AS-400 Transfer)'!$BF17)</f>
        <v>144</v>
      </c>
      <c r="AW17" s="606">
        <f>+IF('(AS-400 Jembatan)'!AO17=0," ",'(AS-400 Jembatan)'!AO17+'(AS-400 Transfer)'!$BF17)</f>
        <v>144</v>
      </c>
      <c r="AX17" s="733">
        <f>+IF('(AS-400 Jembatan)'!AP17=0," ",'(AS-400 Jembatan)'!AP17+'(AS-400 Transfer)'!$BF17)</f>
        <v>144</v>
      </c>
      <c r="AY17" s="606">
        <f>+IF('(AS-400 Jembatan)'!AQ17=0," ",'(AS-400 Jembatan)'!AQ17+'(AS-400 Transfer)'!$BF17)</f>
        <v>138</v>
      </c>
      <c r="AZ17" s="606"/>
      <c r="BA17" s="606">
        <f t="shared" si="17"/>
        <v>570</v>
      </c>
      <c r="BB17" s="606">
        <f>+'(AS-400 Jembatan)'!AT17</f>
        <v>570</v>
      </c>
      <c r="BC17" s="606">
        <f t="shared" si="18"/>
        <v>0</v>
      </c>
      <c r="BD17" s="612">
        <f t="shared" si="19"/>
        <v>4</v>
      </c>
      <c r="BE17" s="612">
        <f t="shared" si="20"/>
        <v>0</v>
      </c>
      <c r="BF17" s="613">
        <v>6</v>
      </c>
      <c r="BG17" s="867">
        <f>+IF('(AS-400 Jembatan)'!AW17=0," ",'(AS-400 Jembatan)'!AW17+'(AS-400 Transfer)'!$BQ17)</f>
        <v>98</v>
      </c>
      <c r="BH17" s="868">
        <f>+IF('(AS-400 Jembatan)'!AX17=0," ",'(AS-400 Jembatan)'!AX17+'(AS-400 Transfer)'!$BQ17)</f>
        <v>98</v>
      </c>
      <c r="BI17" s="869">
        <f>+IF('(AS-400 Jembatan)'!AY17=0," ",'(AS-400 Jembatan)'!AY17+'(AS-400 Transfer)'!$BQ17)</f>
        <v>98</v>
      </c>
      <c r="BJ17" s="868">
        <f>+IF('(AS-400 Jembatan)'!AZ17=0," ",'(AS-400 Jembatan)'!AZ17+'(AS-400 Transfer)'!$BQ17)</f>
        <v>92</v>
      </c>
      <c r="BK17" s="868" t="str">
        <f>+IF('(AS-400 Jembatan)'!BA17=0," ",'(AS-400 Jembatan)'!BA17+'(AS-400 Transfer)'!$BQ17)</f>
        <v xml:space="preserve"> </v>
      </c>
      <c r="BL17" s="868">
        <f t="shared" si="21"/>
        <v>386</v>
      </c>
      <c r="BM17" s="868">
        <f>+'(AS-400 Jembatan)'!BC17</f>
        <v>384</v>
      </c>
      <c r="BN17" s="868">
        <f t="shared" si="22"/>
        <v>-0.5</v>
      </c>
      <c r="BO17" s="871">
        <f t="shared" si="23"/>
        <v>4</v>
      </c>
      <c r="BP17" s="871">
        <f t="shared" si="24"/>
        <v>0</v>
      </c>
      <c r="BQ17" s="613">
        <v>-40</v>
      </c>
    </row>
    <row r="18" spans="1:141" s="599" customFormat="1" ht="15" customHeight="1">
      <c r="A18" s="1600"/>
      <c r="B18" s="1219" t="str">
        <f>+GUM!C24</f>
        <v>82116-0ZX70</v>
      </c>
      <c r="C18" s="964" t="str">
        <f>GUM!D24</f>
        <v>A 0101</v>
      </c>
      <c r="D18" s="827" t="str">
        <f>+IF('(AS-400 Jembatan)'!D18=0," ",'(AS-400 Jembatan)'!D$166+'(AS-400 Transfer)'!$N18)</f>
        <v xml:space="preserve"> </v>
      </c>
      <c r="E18" s="606" t="str">
        <f>+IF('(AS-400 Jembatan)'!E18=0," ",'(AS-400 Jembatan)'!E$166+'(AS-400 Transfer)'!$N18)</f>
        <v xml:space="preserve"> </v>
      </c>
      <c r="F18" s="606" t="str">
        <f>+IF('(AS-400 Jembatan)'!F18=0," ",'(AS-400 Jembatan)'!F$166+'(AS-400 Transfer)'!$N18)</f>
        <v xml:space="preserve"> </v>
      </c>
      <c r="G18" s="606" t="str">
        <f>+IF('(AS-400 Jembatan)'!G18=0," ",'(AS-400 Jembatan)'!G$166+'(AS-400 Transfer)'!$N18)</f>
        <v xml:space="preserve"> </v>
      </c>
      <c r="H18" s="606" t="str">
        <f>+IF('(AS-400 Jembatan)'!H18=0," ",'(AS-400 Jembatan)'!H$10+'(AS-400 Transfer)'!$N18)</f>
        <v xml:space="preserve"> </v>
      </c>
      <c r="I18" s="606">
        <f>SUM(D18:H18)</f>
        <v>0</v>
      </c>
      <c r="J18" s="607">
        <f>+'(AS-400 Jembatan)'!J18</f>
        <v>0</v>
      </c>
      <c r="K18" s="607" t="e">
        <f>(J18-I18)/L18</f>
        <v>#DIV/0!</v>
      </c>
      <c r="L18" s="612">
        <f>+COUNT(D18:H18)</f>
        <v>0</v>
      </c>
      <c r="M18" s="612" t="e">
        <f>+IF(K18&lt;0,(ROUNDDOWN(K18,0)),(ROUNDUP(K18,0)))</f>
        <v>#DIV/0!</v>
      </c>
      <c r="N18" s="612" t="e">
        <v>#DIV/0!</v>
      </c>
      <c r="O18" s="619">
        <f>+IF('(AS-400 Jembatan)'!M18=0," ",'(AS-400 Jembatan)'!M18+'(AS-400 Transfer)'!$Y18)</f>
        <v>6</v>
      </c>
      <c r="P18" s="606" t="str">
        <f>+IF('(AS-400 Jembatan)'!N18=0," ",'(AS-400 Jembatan)'!N18+'(AS-400 Transfer)'!$Y18)</f>
        <v xml:space="preserve"> </v>
      </c>
      <c r="Q18" s="733" t="str">
        <f>+IF('(AS-400 Jembatan)'!O18=0," ",'(AS-400 Jembatan)'!O18+'(AS-400 Transfer)'!$Y18)</f>
        <v xml:space="preserve"> </v>
      </c>
      <c r="R18" s="606" t="str">
        <f>+IF('(AS-400 Jembatan)'!P18=0," ",'(AS-400 Jembatan)'!P18+'(AS-400 Transfer)'!$Y18)</f>
        <v xml:space="preserve"> </v>
      </c>
      <c r="S18" s="606" t="str">
        <f>+IF('(AS-400 Jembatan)'!Q18=0," ",'(AS-400 Jembatan)'!Q18+'(AS-400 Transfer)'!$Y18)</f>
        <v xml:space="preserve"> </v>
      </c>
      <c r="T18" s="606">
        <f t="shared" si="5"/>
        <v>6</v>
      </c>
      <c r="U18" s="606">
        <f>+'(AS-400 Jembatan)'!S18</f>
        <v>6</v>
      </c>
      <c r="V18" s="606">
        <f t="shared" si="6"/>
        <v>0</v>
      </c>
      <c r="W18" s="612">
        <f t="shared" si="7"/>
        <v>1</v>
      </c>
      <c r="X18" s="612">
        <f t="shared" si="8"/>
        <v>0</v>
      </c>
      <c r="Y18" s="613">
        <v>0</v>
      </c>
      <c r="Z18" s="619">
        <f>+IF('(AS-400 Jembatan)'!V18=0," ",'(AS-400 Jembatan)'!V18+'(AS-400 Transfer)'!$AJ18)</f>
        <v>6</v>
      </c>
      <c r="AA18" s="715" t="str">
        <f>+IF('(AS-400 Jembatan)'!W18=0," ",'(AS-400 Jembatan)'!W18+'(AS-400 Transfer)'!$AJ18)</f>
        <v xml:space="preserve"> </v>
      </c>
      <c r="AB18" s="733" t="str">
        <f>+IF('(AS-400 Jembatan)'!X18=0," ",'(AS-400 Jembatan)'!X18+'(AS-400 Transfer)'!$AJ18)</f>
        <v xml:space="preserve"> </v>
      </c>
      <c r="AC18" s="606" t="str">
        <f>+IF('(AS-400 Jembatan)'!Y18=0," ",'(AS-400 Jembatan)'!Y18+'(AS-400 Transfer)'!$AJ18)</f>
        <v xml:space="preserve"> </v>
      </c>
      <c r="AD18" s="606" t="str">
        <f>+IF('(AS-400 Jembatan)'!Z18=0," ",'(AS-400 Jembatan)'!Z18+'(AS-400 Transfer)'!$AJ18)</f>
        <v xml:space="preserve"> </v>
      </c>
      <c r="AE18" s="606">
        <f t="shared" si="9"/>
        <v>6</v>
      </c>
      <c r="AF18" s="606">
        <f>+'(AS-400 Jembatan)'!AB18</f>
        <v>6</v>
      </c>
      <c r="AG18" s="606">
        <f t="shared" si="10"/>
        <v>0</v>
      </c>
      <c r="AH18" s="612">
        <f t="shared" si="11"/>
        <v>1</v>
      </c>
      <c r="AI18" s="607">
        <f t="shared" si="12"/>
        <v>0</v>
      </c>
      <c r="AJ18" s="613">
        <v>0</v>
      </c>
      <c r="AK18" s="619">
        <f>+IF('(AS-400 Jembatan)'!AE18=0," ",'(AS-400 Jembatan)'!AE18+'(AS-400 Transfer)'!$AU18)</f>
        <v>6</v>
      </c>
      <c r="AL18" s="606" t="str">
        <f>+IF('(AS-400 Jembatan)'!AF18=0," ",'(AS-400 Jembatan)'!AF18+'(AS-400 Transfer)'!$AU18)</f>
        <v xml:space="preserve"> </v>
      </c>
      <c r="AM18" s="733" t="str">
        <f>+IF('(AS-400 Jembatan)'!AG18=0," ",'(AS-400 Jembatan)'!AG18+'(AS-400 Transfer)'!$AU18)</f>
        <v xml:space="preserve"> </v>
      </c>
      <c r="AN18" s="606" t="str">
        <f>+IF('(AS-400 Jembatan)'!AH18=0," ",'(AS-400 Jembatan)'!AH18+'(AS-400 Transfer)'!$AU18)</f>
        <v xml:space="preserve"> </v>
      </c>
      <c r="AO18" s="606"/>
      <c r="AP18" s="606">
        <f t="shared" si="13"/>
        <v>6</v>
      </c>
      <c r="AQ18" s="606">
        <f>+'(AS-400 Jembatan)'!AK18</f>
        <v>6</v>
      </c>
      <c r="AR18" s="606">
        <f t="shared" si="14"/>
        <v>0</v>
      </c>
      <c r="AS18" s="612">
        <f t="shared" si="15"/>
        <v>1</v>
      </c>
      <c r="AT18" s="612">
        <f t="shared" si="16"/>
        <v>0</v>
      </c>
      <c r="AU18" s="613">
        <v>0</v>
      </c>
      <c r="AV18" s="619">
        <f>+IF('(AS-400 Jembatan)'!AN18=0," ",'(AS-400 Jembatan)'!AN18+'(AS-400 Transfer)'!$BF18)</f>
        <v>6</v>
      </c>
      <c r="AW18" s="606" t="str">
        <f>+IF('(AS-400 Jembatan)'!AO18=0," ",'(AS-400 Jembatan)'!AO18+'(AS-400 Transfer)'!$BF18)</f>
        <v xml:space="preserve"> </v>
      </c>
      <c r="AX18" s="733" t="str">
        <f>+IF('(AS-400 Jembatan)'!AP18=0," ",'(AS-400 Jembatan)'!AP18+'(AS-400 Transfer)'!$BF18)</f>
        <v xml:space="preserve"> </v>
      </c>
      <c r="AY18" s="606" t="str">
        <f>+IF('(AS-400 Jembatan)'!AQ18=0," ",'(AS-400 Jembatan)'!AQ18+'(AS-400 Transfer)'!$BF18)</f>
        <v xml:space="preserve"> </v>
      </c>
      <c r="AZ18" s="606"/>
      <c r="BA18" s="606">
        <f t="shared" si="17"/>
        <v>6</v>
      </c>
      <c r="BB18" s="606">
        <f>+'(AS-400 Jembatan)'!AT18</f>
        <v>6</v>
      </c>
      <c r="BC18" s="606">
        <f t="shared" si="18"/>
        <v>0</v>
      </c>
      <c r="BD18" s="612">
        <f t="shared" si="19"/>
        <v>1</v>
      </c>
      <c r="BE18" s="612">
        <f t="shared" si="20"/>
        <v>0</v>
      </c>
      <c r="BF18" s="613">
        <v>0</v>
      </c>
      <c r="BG18" s="867">
        <f>+IF('(AS-400 Jembatan)'!AW18=0," ",'(AS-400 Jembatan)'!AW18+'(AS-400 Transfer)'!$BQ18)</f>
        <v>6</v>
      </c>
      <c r="BH18" s="868" t="str">
        <f>+IF('(AS-400 Jembatan)'!AX18=0," ",'(AS-400 Jembatan)'!AX18+'(AS-400 Transfer)'!$BQ18)</f>
        <v xml:space="preserve"> </v>
      </c>
      <c r="BI18" s="869" t="str">
        <f>+IF('(AS-400 Jembatan)'!AY18=0," ",'(AS-400 Jembatan)'!AY18+'(AS-400 Transfer)'!$BQ18)</f>
        <v xml:space="preserve"> </v>
      </c>
      <c r="BJ18" s="868" t="str">
        <f>+IF('(AS-400 Jembatan)'!AZ18=0," ",'(AS-400 Jembatan)'!AZ18+'(AS-400 Transfer)'!$BQ18)</f>
        <v xml:space="preserve"> </v>
      </c>
      <c r="BK18" s="868" t="str">
        <f>+IF('(AS-400 Jembatan)'!BA18=0," ",'(AS-400 Jembatan)'!BA18+'(AS-400 Transfer)'!$BQ18)</f>
        <v xml:space="preserve"> </v>
      </c>
      <c r="BL18" s="868">
        <f t="shared" si="21"/>
        <v>6</v>
      </c>
      <c r="BM18" s="868">
        <f>+'(AS-400 Jembatan)'!BC18</f>
        <v>6</v>
      </c>
      <c r="BN18" s="868">
        <f t="shared" si="22"/>
        <v>0</v>
      </c>
      <c r="BO18" s="871">
        <f t="shared" si="23"/>
        <v>1</v>
      </c>
      <c r="BP18" s="871">
        <f t="shared" si="24"/>
        <v>0</v>
      </c>
      <c r="BQ18" s="613">
        <v>0</v>
      </c>
    </row>
    <row r="19" spans="1:141" s="1140" customFormat="1" ht="15.75" customHeight="1" thickBot="1">
      <c r="A19" s="1601"/>
      <c r="B19" s="1218" t="str">
        <f>+GUM!C25</f>
        <v>82116-0ZY00</v>
      </c>
      <c r="C19" s="1002" t="str">
        <f>GUM!D25</f>
        <v>A 0101</v>
      </c>
      <c r="D19" s="966"/>
      <c r="E19" s="967"/>
      <c r="F19" s="967"/>
      <c r="G19" s="967"/>
      <c r="H19" s="967"/>
      <c r="I19" s="967"/>
      <c r="J19" s="968"/>
      <c r="K19" s="968"/>
      <c r="L19" s="710"/>
      <c r="M19" s="710"/>
      <c r="N19" s="710"/>
      <c r="O19" s="969">
        <f>+IF('(AS-400 Jembatan)'!M19=0," ",'(AS-400 Jembatan)'!M19+'(AS-400 Transfer)'!$Y19)</f>
        <v>186</v>
      </c>
      <c r="P19" s="967">
        <f>+IF('(AS-400 Jembatan)'!N19=0," ",'(AS-400 Jembatan)'!N19+'(AS-400 Transfer)'!$Y19)</f>
        <v>186</v>
      </c>
      <c r="Q19" s="970">
        <f>+IF('(AS-400 Jembatan)'!O19=0," ",'(AS-400 Jembatan)'!O19+'(AS-400 Transfer)'!$Y19)</f>
        <v>180</v>
      </c>
      <c r="R19" s="967">
        <f>+IF('(AS-400 Jembatan)'!P19=0," ",'(AS-400 Jembatan)'!P19+'(AS-400 Transfer)'!$Y19)</f>
        <v>180</v>
      </c>
      <c r="S19" s="967" t="str">
        <f>+IF('(AS-400 Jembatan)'!Q19=0," ",'(AS-400 Jembatan)'!Q19+'(AS-400 Transfer)'!$Y19)</f>
        <v xml:space="preserve"> </v>
      </c>
      <c r="T19" s="967">
        <f t="shared" si="5"/>
        <v>732</v>
      </c>
      <c r="U19" s="967">
        <f>+'(AS-400 Jembatan)'!S19</f>
        <v>732</v>
      </c>
      <c r="V19" s="967">
        <f t="shared" si="6"/>
        <v>0</v>
      </c>
      <c r="W19" s="710">
        <f t="shared" si="7"/>
        <v>4</v>
      </c>
      <c r="X19" s="710">
        <f t="shared" si="8"/>
        <v>0</v>
      </c>
      <c r="Y19" s="971">
        <v>36</v>
      </c>
      <c r="Z19" s="969">
        <f>+IF('(AS-400 Jembatan)'!V19=0," ",'(AS-400 Jembatan)'!V19+'(AS-400 Transfer)'!$AJ19)</f>
        <v>153</v>
      </c>
      <c r="AA19" s="972">
        <f>+IF('(AS-400 Jembatan)'!W19=0," ",'(AS-400 Jembatan)'!W19+'(AS-400 Transfer)'!$AJ19)</f>
        <v>153</v>
      </c>
      <c r="AB19" s="970">
        <f>+IF('(AS-400 Jembatan)'!X19=0," ",'(AS-400 Jembatan)'!X19+'(AS-400 Transfer)'!$AJ19)</f>
        <v>147</v>
      </c>
      <c r="AC19" s="967">
        <f>+IF('(AS-400 Jembatan)'!Y19=0," ",'(AS-400 Jembatan)'!Y19+'(AS-400 Transfer)'!$AJ19)</f>
        <v>147</v>
      </c>
      <c r="AD19" s="967" t="str">
        <f>+IF('(AS-400 Jembatan)'!Z19=0," ",'(AS-400 Jembatan)'!Z19+'(AS-400 Transfer)'!$AJ19)</f>
        <v xml:space="preserve"> </v>
      </c>
      <c r="AE19" s="967">
        <f t="shared" si="9"/>
        <v>600</v>
      </c>
      <c r="AF19" s="967">
        <f>+'(AS-400 Jembatan)'!AB19</f>
        <v>600</v>
      </c>
      <c r="AG19" s="967">
        <f t="shared" si="10"/>
        <v>0</v>
      </c>
      <c r="AH19" s="710">
        <f t="shared" si="11"/>
        <v>4</v>
      </c>
      <c r="AI19" s="968">
        <f t="shared" si="12"/>
        <v>0</v>
      </c>
      <c r="AJ19" s="971">
        <v>-21</v>
      </c>
      <c r="AK19" s="969">
        <f>+IF('(AS-400 Jembatan)'!AE19=0," ",'(AS-400 Jembatan)'!AE19+'(AS-400 Transfer)'!$AU19)</f>
        <v>165</v>
      </c>
      <c r="AL19" s="967">
        <f>+IF('(AS-400 Jembatan)'!AF19=0," ",'(AS-400 Jembatan)'!AF19+'(AS-400 Transfer)'!$AU19)</f>
        <v>165</v>
      </c>
      <c r="AM19" s="970">
        <f>+IF('(AS-400 Jembatan)'!AG19=0," ",'(AS-400 Jembatan)'!AG19+'(AS-400 Transfer)'!$AU19)</f>
        <v>165</v>
      </c>
      <c r="AN19" s="967">
        <f>+IF('(AS-400 Jembatan)'!AH19=0," ",'(AS-400 Jembatan)'!AH19+'(AS-400 Transfer)'!$AU19)</f>
        <v>165</v>
      </c>
      <c r="AO19" s="967"/>
      <c r="AP19" s="967">
        <f t="shared" si="13"/>
        <v>660</v>
      </c>
      <c r="AQ19" s="967">
        <f>+'(AS-400 Jembatan)'!AK19</f>
        <v>660</v>
      </c>
      <c r="AR19" s="967">
        <f t="shared" si="14"/>
        <v>0</v>
      </c>
      <c r="AS19" s="710">
        <f t="shared" si="15"/>
        <v>4</v>
      </c>
      <c r="AT19" s="710">
        <f t="shared" si="16"/>
        <v>0</v>
      </c>
      <c r="AU19" s="971">
        <v>15</v>
      </c>
      <c r="AV19" s="969">
        <f>+IF('(AS-400 Jembatan)'!AN19=0," ",'(AS-400 Jembatan)'!AN19+'(AS-400 Transfer)'!$BF19)</f>
        <v>162</v>
      </c>
      <c r="AW19" s="967">
        <f>+IF('(AS-400 Jembatan)'!AO19=0," ",'(AS-400 Jembatan)'!AO19+'(AS-400 Transfer)'!$BF19)</f>
        <v>156</v>
      </c>
      <c r="AX19" s="970">
        <f>+IF('(AS-400 Jembatan)'!AP19=0," ",'(AS-400 Jembatan)'!AP19+'(AS-400 Transfer)'!$BF19)</f>
        <v>156</v>
      </c>
      <c r="AY19" s="967">
        <f>+IF('(AS-400 Jembatan)'!AQ19=0," ",'(AS-400 Jembatan)'!AQ19+'(AS-400 Transfer)'!$BF19)</f>
        <v>156</v>
      </c>
      <c r="AZ19" s="967"/>
      <c r="BA19" s="967">
        <f t="shared" si="17"/>
        <v>630</v>
      </c>
      <c r="BB19" s="967">
        <f>+'(AS-400 Jembatan)'!AT19</f>
        <v>630</v>
      </c>
      <c r="BC19" s="967">
        <f t="shared" si="18"/>
        <v>0</v>
      </c>
      <c r="BD19" s="710">
        <f t="shared" si="19"/>
        <v>4</v>
      </c>
      <c r="BE19" s="710">
        <f t="shared" si="20"/>
        <v>0</v>
      </c>
      <c r="BF19" s="971">
        <v>12</v>
      </c>
      <c r="BG19" s="973">
        <f>+IF('(AS-400 Jembatan)'!AW19=0," ",'(AS-400 Jembatan)'!AW19+'(AS-400 Transfer)'!$BQ19)</f>
        <v>101</v>
      </c>
      <c r="BH19" s="974">
        <f>+IF('(AS-400 Jembatan)'!AX19=0," ",'(AS-400 Jembatan)'!AX19+'(AS-400 Transfer)'!$BQ19)</f>
        <v>95</v>
      </c>
      <c r="BI19" s="975">
        <f>+IF('(AS-400 Jembatan)'!AY19=0," ",'(AS-400 Jembatan)'!AY19+'(AS-400 Transfer)'!$BQ19)</f>
        <v>95</v>
      </c>
      <c r="BJ19" s="974">
        <f>+IF('(AS-400 Jembatan)'!AZ19=0," ",'(AS-400 Jembatan)'!AZ19+'(AS-400 Transfer)'!$BQ19)</f>
        <v>95</v>
      </c>
      <c r="BK19" s="974" t="str">
        <f>+IF('(AS-400 Jembatan)'!BA19=0," ",'(AS-400 Jembatan)'!BA19+'(AS-400 Transfer)'!$BQ19)</f>
        <v xml:space="preserve"> </v>
      </c>
      <c r="BL19" s="974">
        <f t="shared" si="21"/>
        <v>386</v>
      </c>
      <c r="BM19" s="974">
        <f>+'(AS-400 Jembatan)'!BC19</f>
        <v>384</v>
      </c>
      <c r="BN19" s="974">
        <f t="shared" si="22"/>
        <v>-0.5</v>
      </c>
      <c r="BO19" s="977">
        <f t="shared" si="23"/>
        <v>4</v>
      </c>
      <c r="BP19" s="977">
        <f t="shared" si="24"/>
        <v>0</v>
      </c>
      <c r="BQ19" s="971">
        <v>-49</v>
      </c>
    </row>
    <row r="20" spans="1:141" s="1231" customFormat="1" ht="15.75" customHeight="1" thickBot="1">
      <c r="A20" s="1596" t="s">
        <v>168</v>
      </c>
      <c r="B20" s="1216" t="str">
        <f>+GUM!C26</f>
        <v>82116-0ZW80</v>
      </c>
      <c r="C20" s="958" t="str">
        <f>GUM!D26</f>
        <v>A 0101</v>
      </c>
      <c r="D20" s="1226"/>
      <c r="E20" s="1227"/>
      <c r="F20" s="1227"/>
      <c r="G20" s="1227"/>
      <c r="H20" s="1227"/>
      <c r="I20" s="1227"/>
      <c r="J20" s="1228"/>
      <c r="K20" s="1228"/>
      <c r="L20" s="1229"/>
      <c r="M20" s="1229"/>
      <c r="N20" s="1229"/>
      <c r="O20" s="850" t="str">
        <f>+IF('(AS-400 Jembatan)'!M20=0," ",'(AS-400 Jembatan)'!M20+'(AS-400 Transfer)'!$Y20)</f>
        <v xml:space="preserve"> </v>
      </c>
      <c r="P20" s="754" t="str">
        <f>+IF('(AS-400 Jembatan)'!N20=0," ",'(AS-400 Jembatan)'!N20+'(AS-400 Transfer)'!$Y20)</f>
        <v xml:space="preserve"> </v>
      </c>
      <c r="Q20" s="853" t="str">
        <f>+IF('(AS-400 Jembatan)'!O20=0," ",'(AS-400 Jembatan)'!O20+'(AS-400 Transfer)'!$Y20)</f>
        <v xml:space="preserve"> </v>
      </c>
      <c r="R20" s="754" t="str">
        <f>+IF('(AS-400 Jembatan)'!P20=0," ",'(AS-400 Jembatan)'!P20+'(AS-400 Transfer)'!$Y20)</f>
        <v xml:space="preserve"> </v>
      </c>
      <c r="S20" s="754" t="str">
        <f>+IF('(AS-400 Jembatan)'!Q20=0," ",'(AS-400 Jembatan)'!Q20+'(AS-400 Transfer)'!$Y20)</f>
        <v xml:space="preserve"> </v>
      </c>
      <c r="T20" s="754">
        <f t="shared" si="5"/>
        <v>0</v>
      </c>
      <c r="U20" s="754">
        <f>+'(AS-400 Jembatan)'!S20</f>
        <v>0</v>
      </c>
      <c r="V20" s="754" t="e">
        <f t="shared" si="6"/>
        <v>#DIV/0!</v>
      </c>
      <c r="W20" s="832">
        <f t="shared" si="7"/>
        <v>0</v>
      </c>
      <c r="X20" s="832" t="e">
        <f t="shared" si="8"/>
        <v>#DIV/0!</v>
      </c>
      <c r="Y20" s="838" t="e">
        <v>#DIV/0!</v>
      </c>
      <c r="Z20" s="850" t="str">
        <f>+IF('(AS-400 Jembatan)'!V20=0," ",'(AS-400 Jembatan)'!V20+'(AS-400 Transfer)'!$AJ20)</f>
        <v xml:space="preserve"> </v>
      </c>
      <c r="AA20" s="1230" t="str">
        <f>+IF('(AS-400 Jembatan)'!W20=0," ",'(AS-400 Jembatan)'!W20+'(AS-400 Transfer)'!$AJ20)</f>
        <v xml:space="preserve"> </v>
      </c>
      <c r="AB20" s="853" t="str">
        <f>+IF('(AS-400 Jembatan)'!X20=0," ",'(AS-400 Jembatan)'!X20+'(AS-400 Transfer)'!$AJ20)</f>
        <v xml:space="preserve"> </v>
      </c>
      <c r="AC20" s="754" t="str">
        <f>+IF('(AS-400 Jembatan)'!Y20=0," ",'(AS-400 Jembatan)'!Y20+'(AS-400 Transfer)'!$AJ20)</f>
        <v xml:space="preserve"> </v>
      </c>
      <c r="AD20" s="754" t="str">
        <f>+IF('(AS-400 Jembatan)'!Z20=0," ",'(AS-400 Jembatan)'!Z20+'(AS-400 Transfer)'!$AJ20)</f>
        <v xml:space="preserve"> </v>
      </c>
      <c r="AE20" s="754">
        <f t="shared" si="9"/>
        <v>0</v>
      </c>
      <c r="AF20" s="754">
        <f>+'(AS-400 Jembatan)'!AB20</f>
        <v>0</v>
      </c>
      <c r="AG20" s="754" t="e">
        <f t="shared" si="10"/>
        <v>#DIV/0!</v>
      </c>
      <c r="AH20" s="832">
        <f t="shared" si="11"/>
        <v>0</v>
      </c>
      <c r="AI20" s="844" t="e">
        <f t="shared" si="12"/>
        <v>#DIV/0!</v>
      </c>
      <c r="AJ20" s="838" t="e">
        <v>#DIV/0!</v>
      </c>
      <c r="AK20" s="850" t="str">
        <f>+IF('(AS-400 Jembatan)'!AE20=0," ",'(AS-400 Jembatan)'!AE20+'(AS-400 Transfer)'!$AU20)</f>
        <v xml:space="preserve"> </v>
      </c>
      <c r="AL20" s="754" t="str">
        <f>+IF('(AS-400 Jembatan)'!AF20=0," ",'(AS-400 Jembatan)'!AF20+'(AS-400 Transfer)'!$AU20)</f>
        <v xml:space="preserve"> </v>
      </c>
      <c r="AM20" s="853" t="str">
        <f>+IF('(AS-400 Jembatan)'!AG20=0," ",'(AS-400 Jembatan)'!AG20+'(AS-400 Transfer)'!$AU20)</f>
        <v xml:space="preserve"> </v>
      </c>
      <c r="AN20" s="754" t="str">
        <f>+IF('(AS-400 Jembatan)'!AH20=0," ",'(AS-400 Jembatan)'!AH20+'(AS-400 Transfer)'!$AU20)</f>
        <v xml:space="preserve"> </v>
      </c>
      <c r="AO20" s="754"/>
      <c r="AP20" s="754">
        <f t="shared" si="13"/>
        <v>0</v>
      </c>
      <c r="AQ20" s="754">
        <f>+'(AS-400 Jembatan)'!AK20</f>
        <v>0</v>
      </c>
      <c r="AR20" s="754" t="e">
        <f t="shared" si="14"/>
        <v>#DIV/0!</v>
      </c>
      <c r="AS20" s="832">
        <f t="shared" si="15"/>
        <v>0</v>
      </c>
      <c r="AT20" s="832" t="e">
        <f t="shared" si="16"/>
        <v>#DIV/0!</v>
      </c>
      <c r="AU20" s="838" t="e">
        <v>#DIV/0!</v>
      </c>
      <c r="AV20" s="850" t="str">
        <f>+IF('(AS-400 Jembatan)'!AN20=0," ",'(AS-400 Jembatan)'!AN20+'(AS-400 Transfer)'!$BF20)</f>
        <v xml:space="preserve"> </v>
      </c>
      <c r="AW20" s="754" t="str">
        <f>+IF('(AS-400 Jembatan)'!AO20=0," ",'(AS-400 Jembatan)'!AO20+'(AS-400 Transfer)'!$BF20)</f>
        <v xml:space="preserve"> </v>
      </c>
      <c r="AX20" s="853" t="str">
        <f>+IF('(AS-400 Jembatan)'!AP20=0," ",'(AS-400 Jembatan)'!AP20+'(AS-400 Transfer)'!$BF20)</f>
        <v xml:space="preserve"> </v>
      </c>
      <c r="AY20" s="754" t="str">
        <f>+IF('(AS-400 Jembatan)'!AQ20=0," ",'(AS-400 Jembatan)'!AQ20+'(AS-400 Transfer)'!$BF20)</f>
        <v xml:space="preserve"> </v>
      </c>
      <c r="AZ20" s="754"/>
      <c r="BA20" s="754">
        <f t="shared" si="17"/>
        <v>0</v>
      </c>
      <c r="BB20" s="754">
        <f>+'(AS-400 Jembatan)'!AT20</f>
        <v>0</v>
      </c>
      <c r="BC20" s="754" t="e">
        <f t="shared" si="18"/>
        <v>#DIV/0!</v>
      </c>
      <c r="BD20" s="832">
        <f t="shared" si="19"/>
        <v>0</v>
      </c>
      <c r="BE20" s="832" t="e">
        <f t="shared" si="20"/>
        <v>#DIV/0!</v>
      </c>
      <c r="BF20" s="838" t="e">
        <v>#DIV/0!</v>
      </c>
      <c r="BG20" s="861" t="str">
        <f>+IF('(AS-400 Jembatan)'!AW20=0," ",'(AS-400 Jembatan)'!AW20+'(AS-400 Transfer)'!$BQ20)</f>
        <v xml:space="preserve"> </v>
      </c>
      <c r="BH20" s="771" t="str">
        <f>+IF('(AS-400 Jembatan)'!AX20=0," ",'(AS-400 Jembatan)'!AX20+'(AS-400 Transfer)'!$BQ20)</f>
        <v xml:space="preserve"> </v>
      </c>
      <c r="BI20" s="862" t="str">
        <f>+IF('(AS-400 Jembatan)'!AY20=0," ",'(AS-400 Jembatan)'!AY20+'(AS-400 Transfer)'!$BQ20)</f>
        <v xml:space="preserve"> </v>
      </c>
      <c r="BJ20" s="771" t="str">
        <f>+IF('(AS-400 Jembatan)'!AZ20=0," ",'(AS-400 Jembatan)'!AZ20+'(AS-400 Transfer)'!$BQ20)</f>
        <v xml:space="preserve"> </v>
      </c>
      <c r="BK20" s="771" t="str">
        <f>+IF('(AS-400 Jembatan)'!BA20=0," ",'(AS-400 Jembatan)'!BA20+'(AS-400 Transfer)'!$BQ20)</f>
        <v xml:space="preserve"> </v>
      </c>
      <c r="BL20" s="771">
        <f t="shared" si="21"/>
        <v>0</v>
      </c>
      <c r="BM20" s="771">
        <f>+'(AS-400 Jembatan)'!BC20</f>
        <v>0</v>
      </c>
      <c r="BN20" s="771" t="e">
        <f t="shared" si="22"/>
        <v>#DIV/0!</v>
      </c>
      <c r="BO20" s="864">
        <f t="shared" si="23"/>
        <v>0</v>
      </c>
      <c r="BP20" s="864" t="e">
        <f t="shared" si="24"/>
        <v>#DIV/0!</v>
      </c>
      <c r="BQ20" s="838" t="e">
        <v>#DIV/0!</v>
      </c>
    </row>
    <row r="21" spans="1:141" s="1140" customFormat="1" ht="15.75" customHeight="1" thickBot="1">
      <c r="A21" s="1597"/>
      <c r="B21" s="1219" t="str">
        <f>+GUM!C27</f>
        <v>82116-0ZW90</v>
      </c>
      <c r="C21" s="964" t="str">
        <f>GUM!D27</f>
        <v>A 0101</v>
      </c>
      <c r="D21" s="1004"/>
      <c r="E21" s="1005"/>
      <c r="F21" s="1005"/>
      <c r="G21" s="1005"/>
      <c r="H21" s="1005"/>
      <c r="I21" s="1005"/>
      <c r="J21" s="1006"/>
      <c r="K21" s="1006"/>
      <c r="L21" s="837"/>
      <c r="M21" s="837"/>
      <c r="N21" s="837"/>
      <c r="O21" s="619">
        <f>+IF('(AS-400 Jembatan)'!M21=0," ",'(AS-400 Jembatan)'!M21+'(AS-400 Transfer)'!$Y21)</f>
        <v>101</v>
      </c>
      <c r="P21" s="606">
        <f>+IF('(AS-400 Jembatan)'!N21=0," ",'(AS-400 Jembatan)'!N21+'(AS-400 Transfer)'!$Y21)</f>
        <v>101</v>
      </c>
      <c r="Q21" s="733">
        <f>+IF('(AS-400 Jembatan)'!O21=0," ",'(AS-400 Jembatan)'!O21+'(AS-400 Transfer)'!$Y21)</f>
        <v>101</v>
      </c>
      <c r="R21" s="606">
        <f>+IF('(AS-400 Jembatan)'!P21=0," ",'(AS-400 Jembatan)'!P21+'(AS-400 Transfer)'!$Y21)</f>
        <v>101</v>
      </c>
      <c r="S21" s="606" t="str">
        <f>+IF('(AS-400 Jembatan)'!Q21=0," ",'(AS-400 Jembatan)'!Q21+'(AS-400 Transfer)'!$Y21)</f>
        <v xml:space="preserve"> </v>
      </c>
      <c r="T21" s="606">
        <f t="shared" si="5"/>
        <v>404</v>
      </c>
      <c r="U21" s="606">
        <f>+'(AS-400 Jembatan)'!S21</f>
        <v>402</v>
      </c>
      <c r="V21" s="606">
        <f t="shared" si="6"/>
        <v>-0.5</v>
      </c>
      <c r="W21" s="612">
        <f t="shared" si="7"/>
        <v>4</v>
      </c>
      <c r="X21" s="612">
        <f t="shared" si="8"/>
        <v>0</v>
      </c>
      <c r="Y21" s="613">
        <v>11</v>
      </c>
      <c r="Z21" s="619">
        <f>+IF('(AS-400 Jembatan)'!V21=0," ",'(AS-400 Jembatan)'!V21+'(AS-400 Transfer)'!$AJ21)</f>
        <v>108</v>
      </c>
      <c r="AA21" s="715">
        <f>+IF('(AS-400 Jembatan)'!W21=0," ",'(AS-400 Jembatan)'!W21+'(AS-400 Transfer)'!$AJ21)</f>
        <v>108</v>
      </c>
      <c r="AB21" s="733">
        <f>+IF('(AS-400 Jembatan)'!X21=0," ",'(AS-400 Jembatan)'!X21+'(AS-400 Transfer)'!$AJ21)</f>
        <v>108</v>
      </c>
      <c r="AC21" s="606">
        <f>+IF('(AS-400 Jembatan)'!Y21=0," ",'(AS-400 Jembatan)'!Y21+'(AS-400 Transfer)'!$AJ21)</f>
        <v>102</v>
      </c>
      <c r="AD21" s="606" t="str">
        <f>+IF('(AS-400 Jembatan)'!Z21=0," ",'(AS-400 Jembatan)'!Z21+'(AS-400 Transfer)'!$AJ21)</f>
        <v xml:space="preserve"> </v>
      </c>
      <c r="AE21" s="606">
        <f t="shared" si="9"/>
        <v>426</v>
      </c>
      <c r="AF21" s="606">
        <f>+'(AS-400 Jembatan)'!AB21</f>
        <v>426</v>
      </c>
      <c r="AG21" s="606">
        <f t="shared" si="10"/>
        <v>0</v>
      </c>
      <c r="AH21" s="612">
        <f t="shared" si="11"/>
        <v>4</v>
      </c>
      <c r="AI21" s="607">
        <f t="shared" si="12"/>
        <v>0</v>
      </c>
      <c r="AJ21" s="613">
        <v>-6</v>
      </c>
      <c r="AK21" s="619">
        <f>+IF('(AS-400 Jembatan)'!AE21=0," ",'(AS-400 Jembatan)'!AE21+'(AS-400 Transfer)'!$AU21)</f>
        <v>99</v>
      </c>
      <c r="AL21" s="606">
        <f>+IF('(AS-400 Jembatan)'!AF21=0," ",'(AS-400 Jembatan)'!AF21+'(AS-400 Transfer)'!$AU21)</f>
        <v>99</v>
      </c>
      <c r="AM21" s="733">
        <f>+IF('(AS-400 Jembatan)'!AG21=0," ",'(AS-400 Jembatan)'!AG21+'(AS-400 Transfer)'!$AU21)</f>
        <v>99</v>
      </c>
      <c r="AN21" s="606">
        <f>+IF('(AS-400 Jembatan)'!AH21=0," ",'(AS-400 Jembatan)'!AH21+'(AS-400 Transfer)'!$AU21)</f>
        <v>93</v>
      </c>
      <c r="AO21" s="606"/>
      <c r="AP21" s="606">
        <f t="shared" si="13"/>
        <v>390</v>
      </c>
      <c r="AQ21" s="606">
        <f>+'(AS-400 Jembatan)'!AK21</f>
        <v>390</v>
      </c>
      <c r="AR21" s="606">
        <f t="shared" si="14"/>
        <v>0</v>
      </c>
      <c r="AS21" s="612">
        <f t="shared" si="15"/>
        <v>4</v>
      </c>
      <c r="AT21" s="612">
        <f t="shared" si="16"/>
        <v>0</v>
      </c>
      <c r="AU21" s="613">
        <v>-3</v>
      </c>
      <c r="AV21" s="619">
        <f>+IF('(AS-400 Jembatan)'!AN21=0," ",'(AS-400 Jembatan)'!AN21+'(AS-400 Transfer)'!$BF21)</f>
        <v>114</v>
      </c>
      <c r="AW21" s="606">
        <f>+IF('(AS-400 Jembatan)'!AO21=0," ",'(AS-400 Jembatan)'!AO21+'(AS-400 Transfer)'!$BF21)</f>
        <v>108</v>
      </c>
      <c r="AX21" s="733">
        <f>+IF('(AS-400 Jembatan)'!AP21=0," ",'(AS-400 Jembatan)'!AP21+'(AS-400 Transfer)'!$BF21)</f>
        <v>108</v>
      </c>
      <c r="AY21" s="606">
        <f>+IF('(AS-400 Jembatan)'!AQ21=0," ",'(AS-400 Jembatan)'!AQ21+'(AS-400 Transfer)'!$BF21)</f>
        <v>108</v>
      </c>
      <c r="AZ21" s="606"/>
      <c r="BA21" s="606">
        <f t="shared" si="17"/>
        <v>438</v>
      </c>
      <c r="BB21" s="606">
        <f>+'(AS-400 Jembatan)'!AT21</f>
        <v>438</v>
      </c>
      <c r="BC21" s="606">
        <f t="shared" si="18"/>
        <v>0</v>
      </c>
      <c r="BD21" s="612">
        <f t="shared" si="19"/>
        <v>4</v>
      </c>
      <c r="BE21" s="612">
        <f t="shared" si="20"/>
        <v>0</v>
      </c>
      <c r="BF21" s="613">
        <v>12</v>
      </c>
      <c r="BG21" s="867">
        <f>+IF('(AS-400 Jembatan)'!AW21=0," ",'(AS-400 Jembatan)'!AW21+'(AS-400 Transfer)'!$BQ21)</f>
        <v>90</v>
      </c>
      <c r="BH21" s="868">
        <f>+IF('(AS-400 Jembatan)'!AX21=0," ",'(AS-400 Jembatan)'!AX21+'(AS-400 Transfer)'!$BQ21)</f>
        <v>84</v>
      </c>
      <c r="BI21" s="869">
        <f>+IF('(AS-400 Jembatan)'!AY21=0," ",'(AS-400 Jembatan)'!AY21+'(AS-400 Transfer)'!$BQ21)</f>
        <v>84</v>
      </c>
      <c r="BJ21" s="868">
        <f>+IF('(AS-400 Jembatan)'!AZ21=0," ",'(AS-400 Jembatan)'!AZ21+'(AS-400 Transfer)'!$BQ21)</f>
        <v>84</v>
      </c>
      <c r="BK21" s="868" t="str">
        <f>+IF('(AS-400 Jembatan)'!BA21=0," ",'(AS-400 Jembatan)'!BA21+'(AS-400 Transfer)'!$BQ21)</f>
        <v xml:space="preserve"> </v>
      </c>
      <c r="BL21" s="868">
        <f t="shared" si="21"/>
        <v>342</v>
      </c>
      <c r="BM21" s="868">
        <f>+'(AS-400 Jembatan)'!BC21</f>
        <v>342</v>
      </c>
      <c r="BN21" s="868">
        <f t="shared" si="22"/>
        <v>0</v>
      </c>
      <c r="BO21" s="871">
        <f t="shared" si="23"/>
        <v>4</v>
      </c>
      <c r="BP21" s="871">
        <f t="shared" si="24"/>
        <v>0</v>
      </c>
      <c r="BQ21" s="613">
        <v>-12</v>
      </c>
    </row>
    <row r="22" spans="1:141" s="1171" customFormat="1" ht="15.75" customHeight="1">
      <c r="A22" s="1597"/>
      <c r="B22" s="1219" t="str">
        <f>+GUM!C28</f>
        <v>82111-FE460</v>
      </c>
      <c r="C22" s="936" t="str">
        <f>GUM!D28</f>
        <v>0001</v>
      </c>
      <c r="D22" s="843"/>
      <c r="E22" s="965"/>
      <c r="F22" s="965"/>
      <c r="G22" s="965"/>
      <c r="H22" s="965"/>
      <c r="I22" s="754"/>
      <c r="J22" s="844"/>
      <c r="K22" s="844"/>
      <c r="L22" s="832"/>
      <c r="M22" s="832"/>
      <c r="N22" s="832"/>
      <c r="O22" s="619">
        <f>+IF('(AS-400 Jembatan)'!M22=0," ",'(AS-400 Jembatan)'!M22+'(AS-400 Transfer)'!$Y22)</f>
        <v>9</v>
      </c>
      <c r="P22" s="606">
        <f>+IF('(AS-400 Jembatan)'!N22=0," ",'(AS-400 Jembatan)'!N22+'(AS-400 Transfer)'!$Y22)</f>
        <v>3</v>
      </c>
      <c r="Q22" s="733" t="str">
        <f>+IF('(AS-400 Jembatan)'!O22=0," ",'(AS-400 Jembatan)'!O22+'(AS-400 Transfer)'!$Y22)</f>
        <v xml:space="preserve"> </v>
      </c>
      <c r="R22" s="606" t="str">
        <f>+IF('(AS-400 Jembatan)'!P22=0," ",'(AS-400 Jembatan)'!P22+'(AS-400 Transfer)'!$Y22)</f>
        <v xml:space="preserve"> </v>
      </c>
      <c r="S22" s="606" t="str">
        <f>+IF('(AS-400 Jembatan)'!Q22=0," ",'(AS-400 Jembatan)'!Q22+'(AS-400 Transfer)'!$Y22)</f>
        <v xml:space="preserve"> </v>
      </c>
      <c r="T22" s="606">
        <f t="shared" si="5"/>
        <v>12</v>
      </c>
      <c r="U22" s="606">
        <f>+'(AS-400 Jembatan)'!S22</f>
        <v>12</v>
      </c>
      <c r="V22" s="606">
        <f t="shared" si="6"/>
        <v>0</v>
      </c>
      <c r="W22" s="612">
        <f t="shared" si="7"/>
        <v>2</v>
      </c>
      <c r="X22" s="612">
        <f t="shared" si="8"/>
        <v>0</v>
      </c>
      <c r="Y22" s="613">
        <v>-9</v>
      </c>
      <c r="Z22" s="619">
        <f>+IF('(AS-400 Jembatan)'!V22=0," ",'(AS-400 Jembatan)'!V22+'(AS-400 Transfer)'!$AJ22)</f>
        <v>18</v>
      </c>
      <c r="AA22" s="715">
        <f>+IF('(AS-400 Jembatan)'!W22=0," ",'(AS-400 Jembatan)'!W22+'(AS-400 Transfer)'!$AJ22)</f>
        <v>18</v>
      </c>
      <c r="AB22" s="733" t="str">
        <f>+IF('(AS-400 Jembatan)'!X22=0," ",'(AS-400 Jembatan)'!X22+'(AS-400 Transfer)'!$AJ22)</f>
        <v xml:space="preserve"> </v>
      </c>
      <c r="AC22" s="606" t="str">
        <f>+IF('(AS-400 Jembatan)'!Y22=0," ",'(AS-400 Jembatan)'!Y22+'(AS-400 Transfer)'!$AJ22)</f>
        <v xml:space="preserve"> </v>
      </c>
      <c r="AD22" s="606" t="str">
        <f>+IF('(AS-400 Jembatan)'!Z22=0," ",'(AS-400 Jembatan)'!Z22+'(AS-400 Transfer)'!$AJ22)</f>
        <v xml:space="preserve"> </v>
      </c>
      <c r="AE22" s="606">
        <f t="shared" si="9"/>
        <v>36</v>
      </c>
      <c r="AF22" s="606">
        <f>+'(AS-400 Jembatan)'!AB22</f>
        <v>36</v>
      </c>
      <c r="AG22" s="606">
        <f t="shared" si="10"/>
        <v>0</v>
      </c>
      <c r="AH22" s="612">
        <f t="shared" si="11"/>
        <v>2</v>
      </c>
      <c r="AI22" s="607">
        <f t="shared" si="12"/>
        <v>0</v>
      </c>
      <c r="AJ22" s="613">
        <v>0</v>
      </c>
      <c r="AK22" s="619">
        <f>+IF('(AS-400 Jembatan)'!AE22=0," ",'(AS-400 Jembatan)'!AE22+'(AS-400 Transfer)'!$AU22)</f>
        <v>18</v>
      </c>
      <c r="AL22" s="606">
        <f>+IF('(AS-400 Jembatan)'!AF22=0," ",'(AS-400 Jembatan)'!AF22+'(AS-400 Transfer)'!$AU22)</f>
        <v>18</v>
      </c>
      <c r="AM22" s="733" t="str">
        <f>+IF('(AS-400 Jembatan)'!AG22=0," ",'(AS-400 Jembatan)'!AG22+'(AS-400 Transfer)'!$AU22)</f>
        <v xml:space="preserve"> </v>
      </c>
      <c r="AN22" s="606" t="str">
        <f>+IF('(AS-400 Jembatan)'!AH22=0," ",'(AS-400 Jembatan)'!AH22+'(AS-400 Transfer)'!$AU22)</f>
        <v xml:space="preserve"> </v>
      </c>
      <c r="AO22" s="606"/>
      <c r="AP22" s="606">
        <f t="shared" si="13"/>
        <v>36</v>
      </c>
      <c r="AQ22" s="606">
        <f>+'(AS-400 Jembatan)'!AK22</f>
        <v>36</v>
      </c>
      <c r="AR22" s="606">
        <f t="shared" si="14"/>
        <v>0</v>
      </c>
      <c r="AS22" s="612">
        <f t="shared" si="15"/>
        <v>2</v>
      </c>
      <c r="AT22" s="612">
        <f t="shared" si="16"/>
        <v>0</v>
      </c>
      <c r="AU22" s="613">
        <v>0</v>
      </c>
      <c r="AV22" s="619">
        <f>+IF('(AS-400 Jembatan)'!AN22=0," ",'(AS-400 Jembatan)'!AN22+'(AS-400 Transfer)'!$BF22)</f>
        <v>18</v>
      </c>
      <c r="AW22" s="606">
        <f>+IF('(AS-400 Jembatan)'!AO22=0," ",'(AS-400 Jembatan)'!AO22+'(AS-400 Transfer)'!$BF22)</f>
        <v>12</v>
      </c>
      <c r="AX22" s="733" t="str">
        <f>+IF('(AS-400 Jembatan)'!AP22=0," ",'(AS-400 Jembatan)'!AP22+'(AS-400 Transfer)'!$BF22)</f>
        <v xml:space="preserve"> </v>
      </c>
      <c r="AY22" s="606" t="str">
        <f>+IF('(AS-400 Jembatan)'!AQ22=0," ",'(AS-400 Jembatan)'!AQ22+'(AS-400 Transfer)'!$BF22)</f>
        <v xml:space="preserve"> </v>
      </c>
      <c r="AZ22" s="606"/>
      <c r="BA22" s="606">
        <f t="shared" si="17"/>
        <v>30</v>
      </c>
      <c r="BB22" s="606">
        <f>+'(AS-400 Jembatan)'!AT22</f>
        <v>30</v>
      </c>
      <c r="BC22" s="606">
        <f t="shared" si="18"/>
        <v>0</v>
      </c>
      <c r="BD22" s="612">
        <f t="shared" si="19"/>
        <v>2</v>
      </c>
      <c r="BE22" s="612">
        <f t="shared" si="20"/>
        <v>0</v>
      </c>
      <c r="BF22" s="613">
        <v>0</v>
      </c>
      <c r="BG22" s="867">
        <f>+IF('(AS-400 Jembatan)'!AW22=0," ",'(AS-400 Jembatan)'!AW22+'(AS-400 Transfer)'!$BQ22)</f>
        <v>18</v>
      </c>
      <c r="BH22" s="868">
        <f>+IF('(AS-400 Jembatan)'!AX22=0," ",'(AS-400 Jembatan)'!AX22+'(AS-400 Transfer)'!$BQ22)</f>
        <v>12</v>
      </c>
      <c r="BI22" s="869" t="str">
        <f>+IF('(AS-400 Jembatan)'!AY22=0," ",'(AS-400 Jembatan)'!AY22+'(AS-400 Transfer)'!$BQ22)</f>
        <v xml:space="preserve"> </v>
      </c>
      <c r="BJ22" s="868" t="str">
        <f>+IF('(AS-400 Jembatan)'!AZ22=0," ",'(AS-400 Jembatan)'!AZ22+'(AS-400 Transfer)'!$BQ22)</f>
        <v xml:space="preserve"> </v>
      </c>
      <c r="BK22" s="868" t="str">
        <f>+IF('(AS-400 Jembatan)'!BA22=0," ",'(AS-400 Jembatan)'!BA22+'(AS-400 Transfer)'!$BQ22)</f>
        <v xml:space="preserve"> </v>
      </c>
      <c r="BL22" s="868">
        <f t="shared" si="21"/>
        <v>30</v>
      </c>
      <c r="BM22" s="868">
        <f>+'(AS-400 Jembatan)'!BC22</f>
        <v>30</v>
      </c>
      <c r="BN22" s="868">
        <f t="shared" si="22"/>
        <v>0</v>
      </c>
      <c r="BO22" s="871">
        <f t="shared" si="23"/>
        <v>2</v>
      </c>
      <c r="BP22" s="871">
        <f t="shared" si="24"/>
        <v>0</v>
      </c>
      <c r="BQ22" s="613">
        <v>0</v>
      </c>
      <c r="BR22" s="1170"/>
      <c r="BS22" s="1170"/>
      <c r="BT22" s="1170"/>
      <c r="BU22" s="1170"/>
      <c r="BV22" s="1170"/>
      <c r="BW22" s="1170"/>
      <c r="BX22" s="1170"/>
      <c r="BY22" s="1170"/>
      <c r="BZ22" s="1170"/>
      <c r="CA22" s="1170"/>
      <c r="CB22" s="1170"/>
      <c r="CC22" s="1170"/>
      <c r="CD22" s="1170"/>
      <c r="CE22" s="1170"/>
      <c r="CF22" s="1170"/>
      <c r="CG22" s="1170"/>
      <c r="CH22" s="1170"/>
      <c r="CI22" s="1170"/>
      <c r="CJ22" s="1170"/>
      <c r="CK22" s="1170"/>
      <c r="CL22" s="1170"/>
      <c r="CM22" s="1170"/>
      <c r="CN22" s="1170"/>
      <c r="CO22" s="1170"/>
      <c r="CP22" s="1170"/>
      <c r="CQ22" s="1170"/>
      <c r="CR22" s="1170"/>
      <c r="CS22" s="1170"/>
      <c r="CT22" s="1170"/>
      <c r="CU22" s="1170"/>
      <c r="CV22" s="1170"/>
      <c r="CW22" s="1170"/>
      <c r="CX22" s="1170"/>
      <c r="CY22" s="1170"/>
      <c r="CZ22" s="1170"/>
      <c r="DA22" s="1170"/>
      <c r="DB22" s="1170"/>
      <c r="DC22" s="1170"/>
      <c r="DD22" s="1170"/>
      <c r="DE22" s="1170"/>
      <c r="DF22" s="1170"/>
      <c r="DG22" s="1170"/>
      <c r="DH22" s="1170"/>
      <c r="DI22" s="1170"/>
      <c r="DJ22" s="1170"/>
      <c r="DK22" s="1170"/>
      <c r="DL22" s="1170"/>
      <c r="DM22" s="1170"/>
      <c r="DN22" s="1170"/>
      <c r="DO22" s="1170"/>
      <c r="DP22" s="1170"/>
      <c r="DQ22" s="1170"/>
      <c r="DR22" s="1170"/>
      <c r="DS22" s="1170"/>
      <c r="DT22" s="1170"/>
      <c r="DU22" s="1170"/>
      <c r="DV22" s="1170"/>
      <c r="DW22" s="1170"/>
      <c r="DX22" s="1170"/>
      <c r="DY22" s="1170"/>
      <c r="DZ22" s="1170"/>
      <c r="EA22" s="1170"/>
      <c r="EB22" s="1170"/>
      <c r="EC22" s="1170"/>
      <c r="ED22" s="1170"/>
      <c r="EE22" s="1170"/>
      <c r="EF22" s="1170"/>
      <c r="EG22" s="1170"/>
      <c r="EH22" s="1170"/>
      <c r="EI22" s="1170"/>
      <c r="EJ22" s="1170"/>
      <c r="EK22" s="1170"/>
    </row>
    <row r="23" spans="1:141" s="599" customFormat="1" ht="15" customHeight="1">
      <c r="A23" s="1597"/>
      <c r="B23" s="1219" t="str">
        <f>+GUM!C29</f>
        <v>82111-FE470</v>
      </c>
      <c r="C23" s="964" t="str">
        <f>GUM!D29</f>
        <v>0001</v>
      </c>
      <c r="D23" s="827"/>
      <c r="E23" s="606"/>
      <c r="F23" s="606"/>
      <c r="G23" s="606"/>
      <c r="H23" s="606"/>
      <c r="I23" s="606"/>
      <c r="J23" s="607"/>
      <c r="K23" s="1139"/>
      <c r="L23" s="612"/>
      <c r="M23" s="612"/>
      <c r="N23" s="612"/>
      <c r="O23" s="619">
        <f>+IF('(AS-400 Jembatan)'!M23=0," ",'(AS-400 Jembatan)'!M23+'(AS-400 Transfer)'!$Y23)</f>
        <v>60</v>
      </c>
      <c r="P23" s="606">
        <f>+IF('(AS-400 Jembatan)'!N23=0," ",'(AS-400 Jembatan)'!N23+'(AS-400 Transfer)'!$Y23)</f>
        <v>60</v>
      </c>
      <c r="Q23" s="733">
        <f>+IF('(AS-400 Jembatan)'!O23=0," ",'(AS-400 Jembatan)'!O23+'(AS-400 Transfer)'!$Y23)</f>
        <v>54</v>
      </c>
      <c r="R23" s="606">
        <f>+IF('(AS-400 Jembatan)'!P23=0," ",'(AS-400 Jembatan)'!P23+'(AS-400 Transfer)'!$Y23)</f>
        <v>54</v>
      </c>
      <c r="S23" s="606" t="str">
        <f>+IF('(AS-400 Jembatan)'!Q23=0," ",'(AS-400 Jembatan)'!Q23+'(AS-400 Transfer)'!$Y23)</f>
        <v xml:space="preserve"> </v>
      </c>
      <c r="T23" s="606">
        <f t="shared" si="5"/>
        <v>228</v>
      </c>
      <c r="U23" s="606">
        <f>+'(AS-400 Jembatan)'!S23</f>
        <v>228</v>
      </c>
      <c r="V23" s="606">
        <f t="shared" si="6"/>
        <v>0</v>
      </c>
      <c r="W23" s="612">
        <f t="shared" si="7"/>
        <v>4</v>
      </c>
      <c r="X23" s="612">
        <f t="shared" si="8"/>
        <v>0</v>
      </c>
      <c r="Y23" s="613">
        <v>12</v>
      </c>
      <c r="Z23" s="619">
        <f>+IF('(AS-400 Jembatan)'!V23=0," ",'(AS-400 Jembatan)'!V23+'(AS-400 Transfer)'!$AJ23)</f>
        <v>48</v>
      </c>
      <c r="AA23" s="715">
        <f>+IF('(AS-400 Jembatan)'!W23=0," ",'(AS-400 Jembatan)'!W23+'(AS-400 Transfer)'!$AJ23)</f>
        <v>48</v>
      </c>
      <c r="AB23" s="733">
        <f>+IF('(AS-400 Jembatan)'!X23=0," ",'(AS-400 Jembatan)'!X23+'(AS-400 Transfer)'!$AJ23)</f>
        <v>42</v>
      </c>
      <c r="AC23" s="606">
        <f>+IF('(AS-400 Jembatan)'!Y23=0," ",'(AS-400 Jembatan)'!Y23+'(AS-400 Transfer)'!$AJ23)</f>
        <v>42</v>
      </c>
      <c r="AD23" s="606" t="str">
        <f>+IF('(AS-400 Jembatan)'!Z23=0," ",'(AS-400 Jembatan)'!Z23+'(AS-400 Transfer)'!$AJ23)</f>
        <v xml:space="preserve"> </v>
      </c>
      <c r="AE23" s="606">
        <f t="shared" si="9"/>
        <v>180</v>
      </c>
      <c r="AF23" s="606">
        <f>+'(AS-400 Jembatan)'!AB23</f>
        <v>180</v>
      </c>
      <c r="AG23" s="606">
        <f t="shared" si="10"/>
        <v>0</v>
      </c>
      <c r="AH23" s="612">
        <f t="shared" si="11"/>
        <v>4</v>
      </c>
      <c r="AI23" s="612">
        <f t="shared" si="12"/>
        <v>0</v>
      </c>
      <c r="AJ23" s="613">
        <v>-12</v>
      </c>
      <c r="AK23" s="619">
        <f>+IF('(AS-400 Jembatan)'!AE23=0," ",'(AS-400 Jembatan)'!AE23+'(AS-400 Transfer)'!$AU23)</f>
        <v>41</v>
      </c>
      <c r="AL23" s="606">
        <f>+IF('(AS-400 Jembatan)'!AF23=0," ",'(AS-400 Jembatan)'!AF23+'(AS-400 Transfer)'!$AU23)</f>
        <v>41</v>
      </c>
      <c r="AM23" s="606">
        <f>+IF('(AS-400 Jembatan)'!AG23=0," ",'(AS-400 Jembatan)'!AG23+'(AS-400 Transfer)'!$AU23)</f>
        <v>41</v>
      </c>
      <c r="AN23" s="606">
        <f>+IF('(AS-400 Jembatan)'!AH23=0," ",'(AS-400 Jembatan)'!AH23+'(AS-400 Transfer)'!$AU23)</f>
        <v>41</v>
      </c>
      <c r="AO23" s="606"/>
      <c r="AP23" s="606">
        <f t="shared" si="13"/>
        <v>164</v>
      </c>
      <c r="AQ23" s="606">
        <f>+'(AS-400 Jembatan)'!AK23</f>
        <v>162</v>
      </c>
      <c r="AR23" s="606">
        <f t="shared" si="14"/>
        <v>-0.5</v>
      </c>
      <c r="AS23" s="612">
        <f t="shared" si="15"/>
        <v>4</v>
      </c>
      <c r="AT23" s="612">
        <f t="shared" si="16"/>
        <v>0</v>
      </c>
      <c r="AU23" s="613">
        <v>-1</v>
      </c>
      <c r="AV23" s="619">
        <f>+IF('(AS-400 Jembatan)'!AN23=0," ",'(AS-400 Jembatan)'!AN23+'(AS-400 Transfer)'!$BF23)</f>
        <v>48</v>
      </c>
      <c r="AW23" s="606">
        <f>+IF('(AS-400 Jembatan)'!AO23=0," ",'(AS-400 Jembatan)'!AO23+'(AS-400 Transfer)'!$BF23)</f>
        <v>48</v>
      </c>
      <c r="AX23" s="733">
        <f>+IF('(AS-400 Jembatan)'!AP23=0," ",'(AS-400 Jembatan)'!AP23+'(AS-400 Transfer)'!$BF23)</f>
        <v>48</v>
      </c>
      <c r="AY23" s="606">
        <f>+IF('(AS-400 Jembatan)'!AQ23=0," ",'(AS-400 Jembatan)'!AQ23+'(AS-400 Transfer)'!$BF23)</f>
        <v>42</v>
      </c>
      <c r="AZ23" s="606"/>
      <c r="BA23" s="606">
        <f t="shared" si="17"/>
        <v>186</v>
      </c>
      <c r="BB23" s="606">
        <f>+'(AS-400 Jembatan)'!AT23</f>
        <v>186</v>
      </c>
      <c r="BC23" s="606">
        <f t="shared" si="18"/>
        <v>0</v>
      </c>
      <c r="BD23" s="612">
        <f t="shared" si="19"/>
        <v>4</v>
      </c>
      <c r="BE23" s="612">
        <f t="shared" si="20"/>
        <v>0</v>
      </c>
      <c r="BF23" s="613">
        <v>0</v>
      </c>
      <c r="BG23" s="867">
        <f>+IF('(AS-400 Jembatan)'!AW23=0," ",'(AS-400 Jembatan)'!AW23+'(AS-400 Transfer)'!$BQ23)</f>
        <v>48</v>
      </c>
      <c r="BH23" s="868">
        <f>+IF('(AS-400 Jembatan)'!AX23=0," ",'(AS-400 Jembatan)'!AX23+'(AS-400 Transfer)'!$BQ23)</f>
        <v>48</v>
      </c>
      <c r="BI23" s="869">
        <f>+IF('(AS-400 Jembatan)'!AY23=0," ",'(AS-400 Jembatan)'!AY23+'(AS-400 Transfer)'!$BQ23)</f>
        <v>48</v>
      </c>
      <c r="BJ23" s="868">
        <f>+IF('(AS-400 Jembatan)'!AZ23=0," ",'(AS-400 Jembatan)'!AZ23+'(AS-400 Transfer)'!$BQ23)</f>
        <v>42</v>
      </c>
      <c r="BK23" s="868" t="str">
        <f>+IF('(AS-400 Jembatan)'!BA23=0," ",'(AS-400 Jembatan)'!BA23+'(AS-400 Transfer)'!$BQ23)</f>
        <v xml:space="preserve"> </v>
      </c>
      <c r="BL23" s="868">
        <f t="shared" si="21"/>
        <v>186</v>
      </c>
      <c r="BM23" s="868">
        <f>+'(AS-400 Jembatan)'!BC23</f>
        <v>186</v>
      </c>
      <c r="BN23" s="868">
        <f t="shared" si="22"/>
        <v>0</v>
      </c>
      <c r="BO23" s="871">
        <f t="shared" si="23"/>
        <v>4</v>
      </c>
      <c r="BP23" s="871">
        <f t="shared" si="24"/>
        <v>0</v>
      </c>
      <c r="BQ23" s="613">
        <v>0</v>
      </c>
    </row>
    <row r="24" spans="1:141" s="1140" customFormat="1" ht="15" customHeight="1" thickBot="1">
      <c r="A24" s="1598"/>
      <c r="B24" s="1220" t="str">
        <f>+GUM!C30</f>
        <v>82116-0ZX90</v>
      </c>
      <c r="C24" s="894" t="str">
        <f>GUM!D30</f>
        <v>A 0101</v>
      </c>
      <c r="D24" s="966"/>
      <c r="E24" s="967"/>
      <c r="F24" s="967"/>
      <c r="G24" s="967"/>
      <c r="H24" s="967"/>
      <c r="I24" s="967"/>
      <c r="J24" s="968"/>
      <c r="K24" s="1141"/>
      <c r="L24" s="710"/>
      <c r="M24" s="710"/>
      <c r="N24" s="710"/>
      <c r="O24" s="969">
        <f>+IF('(AS-400 Jembatan)'!M24=0," ",'(AS-400 Jembatan)'!M24+'(AS-400 Transfer)'!$Y24)</f>
        <v>18</v>
      </c>
      <c r="P24" s="967">
        <f>+IF('(AS-400 Jembatan)'!N24=0," ",'(AS-400 Jembatan)'!N24+'(AS-400 Transfer)'!$Y24)</f>
        <v>12</v>
      </c>
      <c r="Q24" s="970" t="str">
        <f>+IF('(AS-400 Jembatan)'!O24=0," ",'(AS-400 Jembatan)'!O24+'(AS-400 Transfer)'!$Y24)</f>
        <v xml:space="preserve"> </v>
      </c>
      <c r="R24" s="967" t="str">
        <f>+IF('(AS-400 Jembatan)'!P24=0," ",'(AS-400 Jembatan)'!P24+'(AS-400 Transfer)'!$Y24)</f>
        <v xml:space="preserve"> </v>
      </c>
      <c r="S24" s="967" t="str">
        <f>+IF('(AS-400 Jembatan)'!Q24=0," ",'(AS-400 Jembatan)'!Q24+'(AS-400 Transfer)'!$Y24)</f>
        <v xml:space="preserve"> </v>
      </c>
      <c r="T24" s="967">
        <f t="shared" si="5"/>
        <v>30</v>
      </c>
      <c r="U24" s="967">
        <f>+'(AS-400 Jembatan)'!S24</f>
        <v>30</v>
      </c>
      <c r="V24" s="1142">
        <f t="shared" si="6"/>
        <v>0</v>
      </c>
      <c r="W24" s="710">
        <f t="shared" si="7"/>
        <v>2</v>
      </c>
      <c r="X24" s="710">
        <f t="shared" si="8"/>
        <v>0</v>
      </c>
      <c r="Y24" s="971">
        <v>0</v>
      </c>
      <c r="Z24" s="969">
        <f>+IF('(AS-400 Jembatan)'!V24=0," ",'(AS-400 Jembatan)'!V24+'(AS-400 Transfer)'!$AJ24)</f>
        <v>18</v>
      </c>
      <c r="AA24" s="972">
        <f>+IF('(AS-400 Jembatan)'!W24=0," ",'(AS-400 Jembatan)'!W24+'(AS-400 Transfer)'!$AJ24)</f>
        <v>12</v>
      </c>
      <c r="AB24" s="970" t="str">
        <f>+IF('(AS-400 Jembatan)'!X24=0," ",'(AS-400 Jembatan)'!X24+'(AS-400 Transfer)'!$AJ24)</f>
        <v xml:space="preserve"> </v>
      </c>
      <c r="AC24" s="967" t="str">
        <f>+IF('(AS-400 Jembatan)'!Y24=0," ",'(AS-400 Jembatan)'!Y24+'(AS-400 Transfer)'!$AJ24)</f>
        <v xml:space="preserve"> </v>
      </c>
      <c r="AD24" s="967" t="str">
        <f>+IF('(AS-400 Jembatan)'!Z24=0," ",'(AS-400 Jembatan)'!Z24+'(AS-400 Transfer)'!$AJ24)</f>
        <v xml:space="preserve"> </v>
      </c>
      <c r="AE24" s="967">
        <f t="shared" si="9"/>
        <v>30</v>
      </c>
      <c r="AF24" s="967">
        <f>+'(AS-400 Jembatan)'!AB24</f>
        <v>30</v>
      </c>
      <c r="AG24" s="967">
        <f t="shared" si="10"/>
        <v>0</v>
      </c>
      <c r="AH24" s="710">
        <f t="shared" si="11"/>
        <v>2</v>
      </c>
      <c r="AI24" s="710">
        <f t="shared" si="12"/>
        <v>0</v>
      </c>
      <c r="AJ24" s="971">
        <v>0</v>
      </c>
      <c r="AK24" s="969">
        <f>+IF('(AS-400 Jembatan)'!AE24=0," ",'(AS-400 Jembatan)'!AE24+'(AS-400 Transfer)'!$AU24)</f>
        <v>18</v>
      </c>
      <c r="AL24" s="967">
        <f>+IF('(AS-400 Jembatan)'!AF24=0," ",'(AS-400 Jembatan)'!AF24+'(AS-400 Transfer)'!$AU24)</f>
        <v>12</v>
      </c>
      <c r="AM24" s="970" t="str">
        <f>+IF('(AS-400 Jembatan)'!AG24=0," ",'(AS-400 Jembatan)'!AG24+'(AS-400 Transfer)'!$AU24)</f>
        <v xml:space="preserve"> </v>
      </c>
      <c r="AN24" s="967" t="str">
        <f>+IF('(AS-400 Jembatan)'!AH24=0," ",'(AS-400 Jembatan)'!AH24+'(AS-400 Transfer)'!$AU24)</f>
        <v xml:space="preserve"> </v>
      </c>
      <c r="AO24" s="967"/>
      <c r="AP24" s="967">
        <f t="shared" si="13"/>
        <v>30</v>
      </c>
      <c r="AQ24" s="967">
        <f>+'(AS-400 Jembatan)'!AK24</f>
        <v>30</v>
      </c>
      <c r="AR24" s="967">
        <f t="shared" si="14"/>
        <v>0</v>
      </c>
      <c r="AS24" s="710">
        <f t="shared" si="15"/>
        <v>2</v>
      </c>
      <c r="AT24" s="710">
        <f t="shared" si="16"/>
        <v>0</v>
      </c>
      <c r="AU24" s="971">
        <v>0</v>
      </c>
      <c r="AV24" s="969">
        <f>+IF('(AS-400 Jembatan)'!AN24=0," ",'(AS-400 Jembatan)'!AN24+'(AS-400 Transfer)'!$BF24)</f>
        <v>12</v>
      </c>
      <c r="AW24" s="967">
        <f>+IF('(AS-400 Jembatan)'!AO24=0," ",'(AS-400 Jembatan)'!AO24+'(AS-400 Transfer)'!$BF24)</f>
        <v>12</v>
      </c>
      <c r="AX24" s="970" t="str">
        <f>+IF('(AS-400 Jembatan)'!AP24=0," ",'(AS-400 Jembatan)'!AP24+'(AS-400 Transfer)'!$BF24)</f>
        <v xml:space="preserve"> </v>
      </c>
      <c r="AY24" s="967" t="str">
        <f>+IF('(AS-400 Jembatan)'!AQ24=0," ",'(AS-400 Jembatan)'!AQ24+'(AS-400 Transfer)'!$BF24)</f>
        <v xml:space="preserve"> </v>
      </c>
      <c r="AZ24" s="967"/>
      <c r="BA24" s="967">
        <f t="shared" si="17"/>
        <v>24</v>
      </c>
      <c r="BB24" s="967">
        <f>+'(AS-400 Jembatan)'!AT24</f>
        <v>24</v>
      </c>
      <c r="BC24" s="967">
        <f t="shared" si="18"/>
        <v>0</v>
      </c>
      <c r="BD24" s="710">
        <f t="shared" si="19"/>
        <v>2</v>
      </c>
      <c r="BE24" s="710">
        <f t="shared" si="20"/>
        <v>0</v>
      </c>
      <c r="BF24" s="971">
        <v>0</v>
      </c>
      <c r="BG24" s="973">
        <f>+IF('(AS-400 Jembatan)'!AW24=0," ",'(AS-400 Jembatan)'!AW24+'(AS-400 Transfer)'!$BQ24)</f>
        <v>12</v>
      </c>
      <c r="BH24" s="974">
        <f>+IF('(AS-400 Jembatan)'!AX24=0," ",'(AS-400 Jembatan)'!AX24+'(AS-400 Transfer)'!$BQ24)</f>
        <v>12</v>
      </c>
      <c r="BI24" s="975" t="str">
        <f>+IF('(AS-400 Jembatan)'!AY24=0," ",'(AS-400 Jembatan)'!AY24+'(AS-400 Transfer)'!$BQ24)</f>
        <v xml:space="preserve"> </v>
      </c>
      <c r="BJ24" s="974" t="str">
        <f>+IF('(AS-400 Jembatan)'!AZ24=0," ",'(AS-400 Jembatan)'!AZ24+'(AS-400 Transfer)'!$BQ24)</f>
        <v xml:space="preserve"> </v>
      </c>
      <c r="BK24" s="974" t="str">
        <f>+IF('(AS-400 Jembatan)'!BA24=0," ",'(AS-400 Jembatan)'!BA24+'(AS-400 Transfer)'!$BQ24)</f>
        <v xml:space="preserve"> </v>
      </c>
      <c r="BL24" s="974">
        <f t="shared" si="21"/>
        <v>24</v>
      </c>
      <c r="BM24" s="974">
        <f>+'(AS-400 Jembatan)'!BC24</f>
        <v>24</v>
      </c>
      <c r="BN24" s="974">
        <f t="shared" si="22"/>
        <v>0</v>
      </c>
      <c r="BO24" s="977">
        <f t="shared" si="23"/>
        <v>2</v>
      </c>
      <c r="BP24" s="977">
        <f t="shared" si="24"/>
        <v>0</v>
      </c>
      <c r="BQ24" s="971">
        <v>0</v>
      </c>
    </row>
    <row r="25" spans="1:141" s="599" customFormat="1" ht="15" customHeight="1">
      <c r="A25" s="1589" t="s">
        <v>169</v>
      </c>
      <c r="B25" s="1355" t="str">
        <f>+GUM!C31</f>
        <v>82111-FE150</v>
      </c>
      <c r="C25" s="964" t="str">
        <f>GUM!D31</f>
        <v>0001</v>
      </c>
      <c r="D25" s="827" t="str">
        <f>+IF('(AS-400 Jembatan)'!D25=0," ",'(AS-400 Jembatan)'!D$10+'(AS-400 Transfer)'!$N25)</f>
        <v xml:space="preserve"> </v>
      </c>
      <c r="E25" s="606" t="str">
        <f>+IF('(AS-400 Jembatan)'!E25=0," ",'(AS-400 Jembatan)'!E$10+'(AS-400 Transfer)'!$N25)</f>
        <v xml:space="preserve"> </v>
      </c>
      <c r="F25" s="606" t="str">
        <f>+IF('(AS-400 Jembatan)'!F25=0," ",'(AS-400 Jembatan)'!F$10+'(AS-400 Transfer)'!$N25)</f>
        <v xml:space="preserve"> </v>
      </c>
      <c r="G25" s="606" t="str">
        <f>+IF('(AS-400 Jembatan)'!G25=0," ",'(AS-400 Jembatan)'!G$10+'(AS-400 Transfer)'!$N25)</f>
        <v xml:space="preserve"> </v>
      </c>
      <c r="H25" s="606" t="str">
        <f>+IF('(AS-400 Jembatan)'!H25=0," ",'(AS-400 Jembatan)'!H$10+'(AS-400 Transfer)'!$N25)</f>
        <v xml:space="preserve"> </v>
      </c>
      <c r="I25" s="606">
        <f t="shared" ref="I25:I31" si="25">SUM(D25:H25)</f>
        <v>0</v>
      </c>
      <c r="J25" s="607">
        <f>+'(AS-400 Jembatan)'!J25</f>
        <v>0</v>
      </c>
      <c r="K25" s="607" t="e">
        <f t="shared" ref="K25:K31" si="26">(J25-I25)/L25</f>
        <v>#DIV/0!</v>
      </c>
      <c r="L25" s="612">
        <f t="shared" ref="L25:L30" si="27">+COUNT(D25:H25)</f>
        <v>0</v>
      </c>
      <c r="M25" s="612" t="e">
        <f t="shared" ref="M25:M30" si="28">+IF(K25&lt;0,(ROUNDDOWN(K25,0)),(ROUNDUP(K25,0)))</f>
        <v>#DIV/0!</v>
      </c>
      <c r="N25" s="612">
        <v>0</v>
      </c>
      <c r="O25" s="619">
        <f>+IF('(AS-400 Jembatan)'!M25=0," ",'(AS-400 Jembatan)'!M25+'(AS-400 Transfer)'!$Y25)</f>
        <v>18</v>
      </c>
      <c r="P25" s="606">
        <f>+IF('(AS-400 Jembatan)'!N25=0," ",'(AS-400 Jembatan)'!N25+'(AS-400 Transfer)'!$Y25)</f>
        <v>18</v>
      </c>
      <c r="Q25" s="733">
        <f>+IF('(AS-400 Jembatan)'!O25=0," ",'(AS-400 Jembatan)'!O25+'(AS-400 Transfer)'!$Y25)</f>
        <v>12</v>
      </c>
      <c r="R25" s="606" t="str">
        <f>+IF('(AS-400 Jembatan)'!P25=0," ",'(AS-400 Jembatan)'!P25+'(AS-400 Transfer)'!$Y25)</f>
        <v xml:space="preserve"> </v>
      </c>
      <c r="S25" s="606" t="str">
        <f>+IF('(AS-400 Jembatan)'!Q25=0," ",'(AS-400 Jembatan)'!Q25+'(AS-400 Transfer)'!$Y25)</f>
        <v xml:space="preserve"> </v>
      </c>
      <c r="T25" s="606">
        <f t="shared" ref="T25:T27" si="29">SUM(O25:S25)</f>
        <v>48</v>
      </c>
      <c r="U25" s="606">
        <f>+'(AS-400 Jembatan)'!S25</f>
        <v>48</v>
      </c>
      <c r="V25" s="606">
        <f t="shared" ref="V25:V27" si="30">(U25-T25)/W25</f>
        <v>0</v>
      </c>
      <c r="W25" s="612">
        <f t="shared" si="7"/>
        <v>3</v>
      </c>
      <c r="X25" s="612">
        <f t="shared" si="8"/>
        <v>0</v>
      </c>
      <c r="Y25" s="613">
        <v>0</v>
      </c>
      <c r="Z25" s="619">
        <f>+IF('(AS-400 Jembatan)'!V25=0," ",'(AS-400 Jembatan)'!V25+'(AS-400 Transfer)'!$AJ25)</f>
        <v>24</v>
      </c>
      <c r="AA25" s="715">
        <f>+IF('(AS-400 Jembatan)'!W25=0," ",'(AS-400 Jembatan)'!W25+'(AS-400 Transfer)'!$AJ25)</f>
        <v>18</v>
      </c>
      <c r="AB25" s="733" t="str">
        <f>+IF('(AS-400 Jembatan)'!X25=0," ",'(AS-400 Jembatan)'!X25+'(AS-400 Transfer)'!$AJ25)</f>
        <v xml:space="preserve"> </v>
      </c>
      <c r="AC25" s="606" t="str">
        <f>+IF('(AS-400 Jembatan)'!Y25=0," ",'(AS-400 Jembatan)'!Y25+'(AS-400 Transfer)'!$AJ25)</f>
        <v xml:space="preserve"> </v>
      </c>
      <c r="AD25" s="606" t="str">
        <f>+IF('(AS-400 Jembatan)'!Z25=0," ",'(AS-400 Jembatan)'!Z25+'(AS-400 Transfer)'!$AJ25)</f>
        <v xml:space="preserve"> </v>
      </c>
      <c r="AE25" s="606">
        <f t="shared" si="9"/>
        <v>42</v>
      </c>
      <c r="AF25" s="606">
        <f>+'(AS-400 Jembatan)'!AB25</f>
        <v>42</v>
      </c>
      <c r="AG25" s="606">
        <f t="shared" si="10"/>
        <v>0</v>
      </c>
      <c r="AH25" s="612">
        <f t="shared" si="11"/>
        <v>2</v>
      </c>
      <c r="AI25" s="607">
        <f t="shared" si="12"/>
        <v>0</v>
      </c>
      <c r="AJ25" s="613">
        <v>0</v>
      </c>
      <c r="AK25" s="619">
        <f>+IF('(AS-400 Jembatan)'!AE25=0," ",'(AS-400 Jembatan)'!AE25+'(AS-400 Transfer)'!$AU25)</f>
        <v>24</v>
      </c>
      <c r="AL25" s="606">
        <f>+IF('(AS-400 Jembatan)'!AF25=0," ",'(AS-400 Jembatan)'!AF25+'(AS-400 Transfer)'!$AU25)</f>
        <v>18</v>
      </c>
      <c r="AM25" s="733" t="str">
        <f>+IF('(AS-400 Jembatan)'!AG25=0," ",'(AS-400 Jembatan)'!AG25+'(AS-400 Transfer)'!$AU25)</f>
        <v xml:space="preserve"> </v>
      </c>
      <c r="AN25" s="606" t="str">
        <f>+IF('(AS-400 Jembatan)'!AH25=0," ",'(AS-400 Jembatan)'!AH25+'(AS-400 Transfer)'!$AU25)</f>
        <v xml:space="preserve"> </v>
      </c>
      <c r="AO25" s="606"/>
      <c r="AP25" s="606">
        <f t="shared" si="13"/>
        <v>42</v>
      </c>
      <c r="AQ25" s="606">
        <f>+'(AS-400 Jembatan)'!AK25</f>
        <v>42</v>
      </c>
      <c r="AR25" s="606">
        <f t="shared" si="14"/>
        <v>0</v>
      </c>
      <c r="AS25" s="612">
        <f t="shared" si="15"/>
        <v>2</v>
      </c>
      <c r="AT25" s="612">
        <f t="shared" si="16"/>
        <v>0</v>
      </c>
      <c r="AU25" s="613">
        <v>0</v>
      </c>
      <c r="AV25" s="619">
        <f>+IF('(AS-400 Jembatan)'!AN25=0," ",'(AS-400 Jembatan)'!AN25+'(AS-400 Transfer)'!$BF25)</f>
        <v>18</v>
      </c>
      <c r="AW25" s="606">
        <f>+IF('(AS-400 Jembatan)'!AO25=0," ",'(AS-400 Jembatan)'!AO25+'(AS-400 Transfer)'!$BF25)</f>
        <v>12</v>
      </c>
      <c r="AX25" s="733" t="str">
        <f>+IF('(AS-400 Jembatan)'!AP25=0," ",'(AS-400 Jembatan)'!AP25+'(AS-400 Transfer)'!$BF25)</f>
        <v xml:space="preserve"> </v>
      </c>
      <c r="AY25" s="606" t="str">
        <f>+IF('(AS-400 Jembatan)'!AQ25=0," ",'(AS-400 Jembatan)'!AQ25+'(AS-400 Transfer)'!$BF25)</f>
        <v xml:space="preserve"> </v>
      </c>
      <c r="AZ25" s="606"/>
      <c r="BA25" s="606">
        <f t="shared" si="17"/>
        <v>30</v>
      </c>
      <c r="BB25" s="606">
        <f>+'(AS-400 Jembatan)'!AT25</f>
        <v>30</v>
      </c>
      <c r="BC25" s="606">
        <f t="shared" si="18"/>
        <v>0</v>
      </c>
      <c r="BD25" s="612">
        <f t="shared" si="19"/>
        <v>2</v>
      </c>
      <c r="BE25" s="612">
        <f t="shared" si="20"/>
        <v>0</v>
      </c>
      <c r="BF25" s="613">
        <v>0</v>
      </c>
      <c r="BG25" s="867">
        <f>+IF('(AS-400 Jembatan)'!AW25=0," ",'(AS-400 Jembatan)'!AW25+'(AS-400 Transfer)'!$BQ25)</f>
        <v>18</v>
      </c>
      <c r="BH25" s="868">
        <f>+IF('(AS-400 Jembatan)'!AX25=0," ",'(AS-400 Jembatan)'!AX25+'(AS-400 Transfer)'!$BQ25)</f>
        <v>12</v>
      </c>
      <c r="BI25" s="869" t="str">
        <f>+IF('(AS-400 Jembatan)'!AY25=0," ",'(AS-400 Jembatan)'!AY25+'(AS-400 Transfer)'!$BQ25)</f>
        <v xml:space="preserve"> </v>
      </c>
      <c r="BJ25" s="868" t="str">
        <f>+IF('(AS-400 Jembatan)'!AZ25=0," ",'(AS-400 Jembatan)'!AZ25+'(AS-400 Transfer)'!$BQ25)</f>
        <v xml:space="preserve"> </v>
      </c>
      <c r="BK25" s="868" t="str">
        <f>+IF('(AS-400 Jembatan)'!BA25=0," ",'(AS-400 Jembatan)'!BA25+'(AS-400 Transfer)'!$BQ25)</f>
        <v xml:space="preserve"> </v>
      </c>
      <c r="BL25" s="868">
        <f t="shared" si="21"/>
        <v>30</v>
      </c>
      <c r="BM25" s="868">
        <f>+'(AS-400 Jembatan)'!BC25</f>
        <v>30</v>
      </c>
      <c r="BN25" s="868">
        <f t="shared" si="22"/>
        <v>0</v>
      </c>
      <c r="BO25" s="871">
        <f t="shared" si="23"/>
        <v>2</v>
      </c>
      <c r="BP25" s="871">
        <f t="shared" si="24"/>
        <v>0</v>
      </c>
      <c r="BQ25" s="613">
        <v>0</v>
      </c>
    </row>
    <row r="26" spans="1:141" s="1143" customFormat="1" ht="15" customHeight="1">
      <c r="A26" s="1590"/>
      <c r="B26" s="1356" t="str">
        <f>+GUM!C32</f>
        <v>82111-FE200</v>
      </c>
      <c r="C26" s="658" t="str">
        <f>GUM!D32</f>
        <v>0001</v>
      </c>
      <c r="D26" s="745" t="e">
        <f>+IF('(AS-400 Jembatan)'!D26=0," ",'(AS-400 Jembatan)'!D$11+'(AS-400 Transfer)'!$N26)</f>
        <v>#N/A</v>
      </c>
      <c r="E26" s="600" t="e">
        <f>+IF('(AS-400 Jembatan)'!E26=0," ",'(AS-400 Jembatan)'!E$11+'(AS-400 Transfer)'!$N26)</f>
        <v>#N/A</v>
      </c>
      <c r="F26" s="600" t="e">
        <f>+IF('(AS-400 Jembatan)'!F26=0," ",'(AS-400 Jembatan)'!F$11+'(AS-400 Transfer)'!$N26)</f>
        <v>#N/A</v>
      </c>
      <c r="G26" s="600" t="e">
        <f>+IF('(AS-400 Jembatan)'!G26=0," ",'(AS-400 Jembatan)'!G$11+'(AS-400 Transfer)'!$N26)</f>
        <v>#N/A</v>
      </c>
      <c r="H26" s="600" t="str">
        <f>+IF('(AS-400 Jembatan)'!H26=0," ",'(AS-400 Jembatan)'!H$10+'(AS-400 Transfer)'!$N26)</f>
        <v xml:space="preserve"> </v>
      </c>
      <c r="I26" s="600" t="e">
        <f t="shared" si="25"/>
        <v>#N/A</v>
      </c>
      <c r="J26" s="601">
        <f>+'(AS-400 Jembatan)'!J26</f>
        <v>0</v>
      </c>
      <c r="K26" s="601" t="e">
        <f t="shared" si="26"/>
        <v>#N/A</v>
      </c>
      <c r="L26" s="609">
        <f t="shared" si="27"/>
        <v>0</v>
      </c>
      <c r="M26" s="609" t="e">
        <f t="shared" si="28"/>
        <v>#N/A</v>
      </c>
      <c r="N26" s="609" t="e">
        <v>#DIV/0!</v>
      </c>
      <c r="O26" s="615" t="str">
        <f>+IF('(AS-400 Jembatan)'!M26=0," ",'(AS-400 Jembatan)'!M26+'(AS-400 Transfer)'!$Y26)</f>
        <v xml:space="preserve"> </v>
      </c>
      <c r="P26" s="1342" t="str">
        <f>+IF('(AS-400 Jembatan)'!N26=0," ",'(AS-400 Jembatan)'!N26+'(AS-400 Transfer)'!$Y26)</f>
        <v xml:space="preserve"> </v>
      </c>
      <c r="Q26" s="1343" t="str">
        <f>+IF('(AS-400 Jembatan)'!O26=0," ",'(AS-400 Jembatan)'!O26+'(AS-400 Transfer)'!$Y26)</f>
        <v xml:space="preserve"> </v>
      </c>
      <c r="R26" s="600" t="str">
        <f>+IF('(AS-400 Jembatan)'!P26=0," ",'(AS-400 Jembatan)'!P26+'(AS-400 Transfer)'!$Y26)</f>
        <v xml:space="preserve"> </v>
      </c>
      <c r="S26" s="600" t="str">
        <f>+IF('(AS-400 Jembatan)'!Q26=0," ",'(AS-400 Jembatan)'!Q26+'(AS-400 Transfer)'!$Y26)</f>
        <v xml:space="preserve"> </v>
      </c>
      <c r="T26" s="600">
        <f t="shared" si="29"/>
        <v>0</v>
      </c>
      <c r="U26" s="600">
        <f>+'(AS-400 Jembatan)'!S26</f>
        <v>0</v>
      </c>
      <c r="V26" s="600" t="e">
        <f t="shared" si="30"/>
        <v>#DIV/0!</v>
      </c>
      <c r="W26" s="609">
        <f t="shared" si="7"/>
        <v>0</v>
      </c>
      <c r="X26" s="609" t="e">
        <f t="shared" si="8"/>
        <v>#DIV/0!</v>
      </c>
      <c r="Y26" s="646" t="e">
        <v>#DIV/0!</v>
      </c>
      <c r="Z26" s="615" t="str">
        <f>+IF('(AS-400 Jembatan)'!V26=0," ",'(AS-400 Jembatan)'!V26+'(AS-400 Transfer)'!$AJ26)</f>
        <v xml:space="preserve"> </v>
      </c>
      <c r="AA26" s="656" t="str">
        <f>+IF('(AS-400 Jembatan)'!W26=0," ",'(AS-400 Jembatan)'!W26+'(AS-400 Transfer)'!$AJ26)</f>
        <v xml:space="preserve"> </v>
      </c>
      <c r="AB26" s="616" t="str">
        <f>+IF('(AS-400 Jembatan)'!X26=0," ",'(AS-400 Jembatan)'!X26+'(AS-400 Transfer)'!$AJ26)</f>
        <v xml:space="preserve"> </v>
      </c>
      <c r="AC26" s="600" t="str">
        <f>+IF('(AS-400 Jembatan)'!Y26=0," ",'(AS-400 Jembatan)'!Y26+'(AS-400 Transfer)'!$AJ26)</f>
        <v xml:space="preserve"> </v>
      </c>
      <c r="AD26" s="600" t="str">
        <f>+IF('(AS-400 Jembatan)'!Z26=0," ",'(AS-400 Jembatan)'!Z26+'(AS-400 Transfer)'!$AJ26)</f>
        <v xml:space="preserve"> </v>
      </c>
      <c r="AE26" s="600">
        <f t="shared" si="9"/>
        <v>0</v>
      </c>
      <c r="AF26" s="600">
        <f>+'(AS-400 Jembatan)'!AB26</f>
        <v>0</v>
      </c>
      <c r="AG26" s="600" t="e">
        <f t="shared" si="10"/>
        <v>#DIV/0!</v>
      </c>
      <c r="AH26" s="609">
        <f t="shared" si="11"/>
        <v>0</v>
      </c>
      <c r="AI26" s="601" t="e">
        <f t="shared" si="12"/>
        <v>#DIV/0!</v>
      </c>
      <c r="AJ26" s="646" t="e">
        <v>#DIV/0!</v>
      </c>
      <c r="AK26" s="615" t="str">
        <f>+IF('(AS-400 Jembatan)'!AE26=0," ",'(AS-400 Jembatan)'!AE26+'(AS-400 Transfer)'!$AU26)</f>
        <v xml:space="preserve"> </v>
      </c>
      <c r="AL26" s="600" t="str">
        <f>+IF('(AS-400 Jembatan)'!AF26=0," ",'(AS-400 Jembatan)'!AF26+'(AS-400 Transfer)'!$AU26)</f>
        <v xml:space="preserve"> </v>
      </c>
      <c r="AM26" s="616" t="str">
        <f>+IF('(AS-400 Jembatan)'!AG26=0," ",'(AS-400 Jembatan)'!AG26+'(AS-400 Transfer)'!$AU26)</f>
        <v xml:space="preserve"> </v>
      </c>
      <c r="AN26" s="600" t="str">
        <f>+IF('(AS-400 Jembatan)'!AH26=0," ",'(AS-400 Jembatan)'!AH26+'(AS-400 Transfer)'!$AU26)</f>
        <v xml:space="preserve"> </v>
      </c>
      <c r="AO26" s="600"/>
      <c r="AP26" s="600">
        <f t="shared" si="13"/>
        <v>0</v>
      </c>
      <c r="AQ26" s="600">
        <f>+'(AS-400 Jembatan)'!AK26</f>
        <v>0</v>
      </c>
      <c r="AR26" s="600" t="e">
        <f t="shared" si="14"/>
        <v>#DIV/0!</v>
      </c>
      <c r="AS26" s="609">
        <f t="shared" si="15"/>
        <v>0</v>
      </c>
      <c r="AT26" s="609" t="e">
        <f t="shared" si="16"/>
        <v>#DIV/0!</v>
      </c>
      <c r="AU26" s="646" t="e">
        <v>#DIV/0!</v>
      </c>
      <c r="AV26" s="615" t="str">
        <f>+IF('(AS-400 Jembatan)'!AN26=0," ",'(AS-400 Jembatan)'!AN26+'(AS-400 Transfer)'!$BF26)</f>
        <v xml:space="preserve"> </v>
      </c>
      <c r="AW26" s="600" t="str">
        <f>+IF('(AS-400 Jembatan)'!AO26=0," ",'(AS-400 Jembatan)'!AO26+'(AS-400 Transfer)'!$BF26)</f>
        <v xml:space="preserve"> </v>
      </c>
      <c r="AX26" s="616" t="str">
        <f>+IF('(AS-400 Jembatan)'!AP26=0," ",'(AS-400 Jembatan)'!AP26+'(AS-400 Transfer)'!$BF26)</f>
        <v xml:space="preserve"> </v>
      </c>
      <c r="AY26" s="600" t="str">
        <f>+IF('(AS-400 Jembatan)'!AQ26=0," ",'(AS-400 Jembatan)'!AQ26+'(AS-400 Transfer)'!$BF26)</f>
        <v xml:space="preserve"> </v>
      </c>
      <c r="AZ26" s="600"/>
      <c r="BA26" s="600">
        <f t="shared" si="17"/>
        <v>0</v>
      </c>
      <c r="BB26" s="600">
        <f>+'(AS-400 Jembatan)'!AT26</f>
        <v>0</v>
      </c>
      <c r="BC26" s="600" t="e">
        <f t="shared" si="18"/>
        <v>#DIV/0!</v>
      </c>
      <c r="BD26" s="609">
        <f t="shared" si="19"/>
        <v>0</v>
      </c>
      <c r="BE26" s="609" t="e">
        <f t="shared" si="20"/>
        <v>#DIV/0!</v>
      </c>
      <c r="BF26" s="646" t="e">
        <v>#DIV/0!</v>
      </c>
      <c r="BG26" s="782" t="str">
        <f>+IF('(AS-400 Jembatan)'!AW26=0," ",'(AS-400 Jembatan)'!AW26+'(AS-400 Transfer)'!$BQ26)</f>
        <v xml:space="preserve"> </v>
      </c>
      <c r="BH26" s="774" t="str">
        <f>+IF('(AS-400 Jembatan)'!AX26=0," ",'(AS-400 Jembatan)'!AX26+'(AS-400 Transfer)'!$BQ26)</f>
        <v xml:space="preserve"> </v>
      </c>
      <c r="BI26" s="865" t="str">
        <f>+IF('(AS-400 Jembatan)'!AY26=0," ",'(AS-400 Jembatan)'!AY26+'(AS-400 Transfer)'!$BQ26)</f>
        <v xml:space="preserve"> </v>
      </c>
      <c r="BJ26" s="774" t="str">
        <f>+IF('(AS-400 Jembatan)'!AZ26=0," ",'(AS-400 Jembatan)'!AZ26+'(AS-400 Transfer)'!$BQ26)</f>
        <v xml:space="preserve"> </v>
      </c>
      <c r="BK26" s="774" t="str">
        <f>+IF('(AS-400 Jembatan)'!BA26=0," ",'(AS-400 Jembatan)'!BA26+'(AS-400 Transfer)'!$BQ26)</f>
        <v xml:space="preserve"> </v>
      </c>
      <c r="BL26" s="774">
        <f t="shared" si="21"/>
        <v>0</v>
      </c>
      <c r="BM26" s="774">
        <f>+'(AS-400 Jembatan)'!BC26</f>
        <v>0</v>
      </c>
      <c r="BN26" s="774" t="e">
        <f t="shared" si="22"/>
        <v>#DIV/0!</v>
      </c>
      <c r="BO26" s="866">
        <f t="shared" si="23"/>
        <v>0</v>
      </c>
      <c r="BP26" s="866" t="e">
        <f t="shared" si="24"/>
        <v>#DIV/0!</v>
      </c>
      <c r="BQ26" s="646" t="e">
        <v>#DIV/0!</v>
      </c>
    </row>
    <row r="27" spans="1:141" s="599" customFormat="1" ht="15" customHeight="1" thickBot="1">
      <c r="A27" s="1590"/>
      <c r="B27" s="1355" t="str">
        <f>+GUM!C33</f>
        <v>82111-FE210</v>
      </c>
      <c r="C27" s="964" t="str">
        <f>GUM!D33</f>
        <v>0001</v>
      </c>
      <c r="D27" s="827" t="e">
        <f>+IF('(AS-400 Jembatan)'!D27=0," ",'(AS-400 Jembatan)'!D$13+'(AS-400 Transfer)'!$N27)</f>
        <v>#N/A</v>
      </c>
      <c r="E27" s="606" t="e">
        <f>+IF('(AS-400 Jembatan)'!E27=0," ",'(AS-400 Jembatan)'!E$13+'(AS-400 Transfer)'!$N27)</f>
        <v>#N/A</v>
      </c>
      <c r="F27" s="606" t="e">
        <f>+IF('(AS-400 Jembatan)'!F27=0," ",'(AS-400 Jembatan)'!F$13+'(AS-400 Transfer)'!$N27)</f>
        <v>#N/A</v>
      </c>
      <c r="G27" s="606" t="e">
        <f>+IF('(AS-400 Jembatan)'!G27=0," ",'(AS-400 Jembatan)'!G$13+'(AS-400 Transfer)'!$N27)</f>
        <v>#N/A</v>
      </c>
      <c r="H27" s="606" t="str">
        <f>+IF('(AS-400 Jembatan)'!H27=0," ",'(AS-400 Jembatan)'!H$13+'(AS-400 Transfer)'!$N27)</f>
        <v xml:space="preserve"> </v>
      </c>
      <c r="I27" s="606" t="e">
        <f t="shared" si="25"/>
        <v>#N/A</v>
      </c>
      <c r="J27" s="607">
        <f>+'(AS-400 Jembatan)'!J27</f>
        <v>0</v>
      </c>
      <c r="K27" s="607" t="e">
        <f t="shared" si="26"/>
        <v>#N/A</v>
      </c>
      <c r="L27" s="612">
        <f t="shared" si="27"/>
        <v>0</v>
      </c>
      <c r="M27" s="612" t="e">
        <f t="shared" si="28"/>
        <v>#N/A</v>
      </c>
      <c r="N27" s="612">
        <v>0</v>
      </c>
      <c r="O27" s="619" t="str">
        <f>+IF('(AS-400 Jembatan)'!M27=0," ",'(AS-400 Jembatan)'!M27+'(AS-400 Transfer)'!$Y27)</f>
        <v xml:space="preserve"> </v>
      </c>
      <c r="P27" s="606" t="str">
        <f>+IF('(AS-400 Jembatan)'!N27=0," ",'(AS-400 Jembatan)'!N27+'(AS-400 Transfer)'!$Y27)</f>
        <v xml:space="preserve"> </v>
      </c>
      <c r="Q27" s="733" t="str">
        <f>+IF('(AS-400 Jembatan)'!O27=0," ",'(AS-400 Jembatan)'!O27+'(AS-400 Transfer)'!$Y27)</f>
        <v xml:space="preserve"> </v>
      </c>
      <c r="R27" s="606" t="str">
        <f>+IF('(AS-400 Jembatan)'!P27=0," ",'(AS-400 Jembatan)'!P27+'(AS-400 Transfer)'!$Y27)</f>
        <v xml:space="preserve"> </v>
      </c>
      <c r="S27" s="606" t="str">
        <f>+IF('(AS-400 Jembatan)'!Q27=0," ",'(AS-400 Jembatan)'!Q27+'(AS-400 Transfer)'!$Y27)</f>
        <v xml:space="preserve"> </v>
      </c>
      <c r="T27" s="606">
        <f t="shared" si="29"/>
        <v>0</v>
      </c>
      <c r="U27" s="606">
        <f>+'(AS-400 Jembatan)'!S27</f>
        <v>0</v>
      </c>
      <c r="V27" s="606" t="e">
        <f t="shared" si="30"/>
        <v>#DIV/0!</v>
      </c>
      <c r="W27" s="612">
        <f t="shared" si="7"/>
        <v>0</v>
      </c>
      <c r="X27" s="612" t="e">
        <f t="shared" si="8"/>
        <v>#DIV/0!</v>
      </c>
      <c r="Y27" s="613" t="e">
        <v>#DIV/0!</v>
      </c>
      <c r="Z27" s="619" t="str">
        <f>+IF('(AS-400 Jembatan)'!V27=0," ",'(AS-400 Jembatan)'!V27+'(AS-400 Transfer)'!$AJ27)</f>
        <v xml:space="preserve"> </v>
      </c>
      <c r="AA27" s="715" t="str">
        <f>+IF('(AS-400 Jembatan)'!W27=0," ",'(AS-400 Jembatan)'!W27+'(AS-400 Transfer)'!$AJ27)</f>
        <v xml:space="preserve"> </v>
      </c>
      <c r="AB27" s="733" t="str">
        <f>+IF('(AS-400 Jembatan)'!X27=0," ",'(AS-400 Jembatan)'!X27+'(AS-400 Transfer)'!$AJ27)</f>
        <v xml:space="preserve"> </v>
      </c>
      <c r="AC27" s="606" t="str">
        <f>+IF('(AS-400 Jembatan)'!Y27=0," ",'(AS-400 Jembatan)'!Y27+'(AS-400 Transfer)'!$AJ27)</f>
        <v xml:space="preserve"> </v>
      </c>
      <c r="AD27" s="606" t="str">
        <f>+IF('(AS-400 Jembatan)'!Z27=0," ",'(AS-400 Jembatan)'!Z27+'(AS-400 Transfer)'!$AJ27)</f>
        <v xml:space="preserve"> </v>
      </c>
      <c r="AE27" s="606">
        <f t="shared" si="9"/>
        <v>0</v>
      </c>
      <c r="AF27" s="606">
        <f>+'(AS-400 Jembatan)'!AB27</f>
        <v>0</v>
      </c>
      <c r="AG27" s="606" t="e">
        <f t="shared" si="10"/>
        <v>#DIV/0!</v>
      </c>
      <c r="AH27" s="612">
        <f t="shared" si="11"/>
        <v>0</v>
      </c>
      <c r="AI27" s="607" t="e">
        <f t="shared" si="12"/>
        <v>#DIV/0!</v>
      </c>
      <c r="AJ27" s="613" t="e">
        <v>#DIV/0!</v>
      </c>
      <c r="AK27" s="619" t="str">
        <f>+IF('(AS-400 Jembatan)'!AE27=0," ",'(AS-400 Jembatan)'!AE27+'(AS-400 Transfer)'!$AU27)</f>
        <v xml:space="preserve"> </v>
      </c>
      <c r="AL27" s="606" t="str">
        <f>+IF('(AS-400 Jembatan)'!AF27=0," ",'(AS-400 Jembatan)'!AF27+'(AS-400 Transfer)'!$AU27)</f>
        <v xml:space="preserve"> </v>
      </c>
      <c r="AM27" s="733" t="str">
        <f>+IF('(AS-400 Jembatan)'!AG27=0," ",'(AS-400 Jembatan)'!AG27+'(AS-400 Transfer)'!$AU27)</f>
        <v xml:space="preserve"> </v>
      </c>
      <c r="AN27" s="606" t="str">
        <f>+IF('(AS-400 Jembatan)'!AH27=0," ",'(AS-400 Jembatan)'!AH27+'(AS-400 Transfer)'!$AU27)</f>
        <v xml:space="preserve"> </v>
      </c>
      <c r="AO27" s="606"/>
      <c r="AP27" s="606">
        <f t="shared" si="13"/>
        <v>0</v>
      </c>
      <c r="AQ27" s="606">
        <f>+'(AS-400 Jembatan)'!AK27</f>
        <v>0</v>
      </c>
      <c r="AR27" s="606" t="e">
        <f t="shared" si="14"/>
        <v>#DIV/0!</v>
      </c>
      <c r="AS27" s="612">
        <f t="shared" si="15"/>
        <v>0</v>
      </c>
      <c r="AT27" s="612" t="e">
        <f t="shared" si="16"/>
        <v>#DIV/0!</v>
      </c>
      <c r="AU27" s="613" t="e">
        <v>#DIV/0!</v>
      </c>
      <c r="AV27" s="619" t="str">
        <f>+IF('(AS-400 Jembatan)'!AN27=0," ",'(AS-400 Jembatan)'!AN27+'(AS-400 Transfer)'!$BF27)</f>
        <v xml:space="preserve"> </v>
      </c>
      <c r="AW27" s="606" t="str">
        <f>+IF('(AS-400 Jembatan)'!AO27=0," ",'(AS-400 Jembatan)'!AO27+'(AS-400 Transfer)'!$BF27)</f>
        <v xml:space="preserve"> </v>
      </c>
      <c r="AX27" s="733" t="str">
        <f>+IF('(AS-400 Jembatan)'!AP27=0," ",'(AS-400 Jembatan)'!AP27+'(AS-400 Transfer)'!$BF27)</f>
        <v xml:space="preserve"> </v>
      </c>
      <c r="AY27" s="606" t="str">
        <f>+IF('(AS-400 Jembatan)'!AQ27=0," ",'(AS-400 Jembatan)'!AQ27+'(AS-400 Transfer)'!$BF27)</f>
        <v xml:space="preserve"> </v>
      </c>
      <c r="AZ27" s="606"/>
      <c r="BA27" s="606">
        <f t="shared" si="17"/>
        <v>0</v>
      </c>
      <c r="BB27" s="606">
        <f>+'(AS-400 Jembatan)'!AT27</f>
        <v>0</v>
      </c>
      <c r="BC27" s="606" t="e">
        <f t="shared" si="18"/>
        <v>#DIV/0!</v>
      </c>
      <c r="BD27" s="612">
        <f t="shared" si="19"/>
        <v>0</v>
      </c>
      <c r="BE27" s="612" t="e">
        <f t="shared" si="20"/>
        <v>#DIV/0!</v>
      </c>
      <c r="BF27" s="613" t="e">
        <v>#DIV/0!</v>
      </c>
      <c r="BG27" s="867" t="str">
        <f>+IF('(AS-400 Jembatan)'!AW27=0," ",'(AS-400 Jembatan)'!AW27+'(AS-400 Transfer)'!$BQ27)</f>
        <v xml:space="preserve"> </v>
      </c>
      <c r="BH27" s="868" t="str">
        <f>+IF('(AS-400 Jembatan)'!AX27=0," ",'(AS-400 Jembatan)'!AX27+'(AS-400 Transfer)'!$BQ27)</f>
        <v xml:space="preserve"> </v>
      </c>
      <c r="BI27" s="869" t="str">
        <f>+IF('(AS-400 Jembatan)'!AY27=0," ",'(AS-400 Jembatan)'!AY27+'(AS-400 Transfer)'!$BQ27)</f>
        <v xml:space="preserve"> </v>
      </c>
      <c r="BJ27" s="868" t="str">
        <f>+IF('(AS-400 Jembatan)'!AZ27=0," ",'(AS-400 Jembatan)'!AZ27+'(AS-400 Transfer)'!$BQ27)</f>
        <v xml:space="preserve"> </v>
      </c>
      <c r="BK27" s="868" t="str">
        <f>+IF('(AS-400 Jembatan)'!BA27=0," ",'(AS-400 Jembatan)'!BA27+'(AS-400 Transfer)'!$BQ27)</f>
        <v xml:space="preserve"> </v>
      </c>
      <c r="BL27" s="868">
        <f t="shared" si="21"/>
        <v>0</v>
      </c>
      <c r="BM27" s="868">
        <f>+'(AS-400 Jembatan)'!BC27</f>
        <v>0</v>
      </c>
      <c r="BN27" s="868" t="e">
        <f t="shared" si="22"/>
        <v>#DIV/0!</v>
      </c>
      <c r="BO27" s="871">
        <f t="shared" si="23"/>
        <v>0</v>
      </c>
      <c r="BP27" s="871" t="e">
        <f t="shared" si="24"/>
        <v>#DIV/0!</v>
      </c>
      <c r="BQ27" s="613" t="e">
        <v>#DIV/0!</v>
      </c>
    </row>
    <row r="28" spans="1:141" s="599" customFormat="1" ht="15" hidden="1" customHeight="1">
      <c r="A28" s="1590"/>
      <c r="B28" s="772" t="str">
        <f>+GUM!C34</f>
        <v>82111-F2W42</v>
      </c>
      <c r="C28" s="658" t="str">
        <f>GUM!D34</f>
        <v>C 0101</v>
      </c>
      <c r="D28" s="745" t="e">
        <f>+IF('(AS-400 Jembatan)'!D28=0," ",'(AS-400 Jembatan)'!D$14+'(AS-400 Transfer)'!$N28)</f>
        <v>#N/A</v>
      </c>
      <c r="E28" s="600" t="e">
        <f>+IF('(AS-400 Jembatan)'!E28=0," ",'(AS-400 Jembatan)'!E$14+'(AS-400 Transfer)'!$N28)</f>
        <v>#N/A</v>
      </c>
      <c r="F28" s="600" t="e">
        <f>+IF('(AS-400 Jembatan)'!F28=0," ",'(AS-400 Jembatan)'!F$14+'(AS-400 Transfer)'!$N28)</f>
        <v>#N/A</v>
      </c>
      <c r="G28" s="600" t="e">
        <f>+IF('(AS-400 Jembatan)'!G28=0," ",'(AS-400 Jembatan)'!G$14+'(AS-400 Transfer)'!$N28)</f>
        <v>#N/A</v>
      </c>
      <c r="H28" s="600" t="str">
        <f>+IF('(AS-400 Jembatan)'!H28=0," ",'(AS-400 Jembatan)'!H$10+'(AS-400 Transfer)'!$N28)</f>
        <v xml:space="preserve"> </v>
      </c>
      <c r="I28" s="600" t="e">
        <f t="shared" si="25"/>
        <v>#N/A</v>
      </c>
      <c r="J28" s="601">
        <f>+'(AS-400 Jembatan)'!J28</f>
        <v>0</v>
      </c>
      <c r="K28" s="601" t="e">
        <f t="shared" si="26"/>
        <v>#N/A</v>
      </c>
      <c r="L28" s="609">
        <f t="shared" si="27"/>
        <v>0</v>
      </c>
      <c r="M28" s="609" t="e">
        <f t="shared" si="28"/>
        <v>#N/A</v>
      </c>
      <c r="N28" s="609" t="e">
        <v>#DIV/0!</v>
      </c>
      <c r="O28" s="615" t="str">
        <f>+IF('(AS-400 Jembatan)'!M28=0," ",'(AS-400 Jembatan)'!M28+'(AS-400 Transfer)'!$Y28)</f>
        <v xml:space="preserve"> </v>
      </c>
      <c r="P28" s="600" t="str">
        <f>+IF('(AS-400 Jembatan)'!N28=0," ",'(AS-400 Jembatan)'!N28+'(AS-400 Transfer)'!$Y28)</f>
        <v xml:space="preserve"> </v>
      </c>
      <c r="Q28" s="616" t="str">
        <f>+IF('(AS-400 Jembatan)'!O28=0," ",'(AS-400 Jembatan)'!O28+'(AS-400 Transfer)'!$Y28)</f>
        <v xml:space="preserve"> </v>
      </c>
      <c r="R28" s="600" t="str">
        <f>+IF('(AS-400 Jembatan)'!P28=0," ",'(AS-400 Jembatan)'!P28+'(AS-400 Transfer)'!$Y28)</f>
        <v xml:space="preserve"> </v>
      </c>
      <c r="S28" s="600" t="str">
        <f>+IF('(AS-400 Jembatan)'!Q28=0," ",'(AS-400 Jembatan)'!Q28+'(AS-400 Transfer)'!$Y28)</f>
        <v xml:space="preserve"> </v>
      </c>
      <c r="T28" s="600">
        <f t="shared" si="5"/>
        <v>0</v>
      </c>
      <c r="U28" s="600">
        <f>+'(AS-400 Jembatan)'!S28</f>
        <v>0</v>
      </c>
      <c r="V28" s="600" t="e">
        <f t="shared" si="6"/>
        <v>#DIV/0!</v>
      </c>
      <c r="W28" s="609">
        <f t="shared" si="7"/>
        <v>0</v>
      </c>
      <c r="X28" s="609" t="e">
        <f t="shared" si="8"/>
        <v>#DIV/0!</v>
      </c>
      <c r="Y28" s="646" t="e">
        <v>#DIV/0!</v>
      </c>
      <c r="Z28" s="615" t="str">
        <f>+IF('(AS-400 Jembatan)'!V28=0," ",'(AS-400 Jembatan)'!V28+'(AS-400 Transfer)'!$AJ28)</f>
        <v xml:space="preserve"> </v>
      </c>
      <c r="AA28" s="656" t="str">
        <f>+IF('(AS-400 Jembatan)'!W28=0," ",'(AS-400 Jembatan)'!W28+'(AS-400 Transfer)'!$AJ28)</f>
        <v xml:space="preserve"> </v>
      </c>
      <c r="AB28" s="616" t="str">
        <f>+IF('(AS-400 Jembatan)'!X28=0," ",'(AS-400 Jembatan)'!X28+'(AS-400 Transfer)'!$AJ28)</f>
        <v xml:space="preserve"> </v>
      </c>
      <c r="AC28" s="600" t="str">
        <f>+IF('(AS-400 Jembatan)'!Y28=0," ",'(AS-400 Jembatan)'!Y28+'(AS-400 Transfer)'!$AJ28)</f>
        <v xml:space="preserve"> </v>
      </c>
      <c r="AD28" s="600" t="str">
        <f>+IF('(AS-400 Jembatan)'!Z28=0," ",'(AS-400 Jembatan)'!Z28+'(AS-400 Transfer)'!$AJ28)</f>
        <v xml:space="preserve"> </v>
      </c>
      <c r="AE28" s="600">
        <f t="shared" si="9"/>
        <v>0</v>
      </c>
      <c r="AF28" s="600">
        <f>+'(AS-400 Jembatan)'!AB28</f>
        <v>0</v>
      </c>
      <c r="AG28" s="600" t="e">
        <f t="shared" si="10"/>
        <v>#DIV/0!</v>
      </c>
      <c r="AH28" s="609">
        <f t="shared" si="11"/>
        <v>0</v>
      </c>
      <c r="AI28" s="601" t="e">
        <f t="shared" si="12"/>
        <v>#DIV/0!</v>
      </c>
      <c r="AJ28" s="646" t="e">
        <v>#DIV/0!</v>
      </c>
      <c r="AK28" s="615" t="str">
        <f>+IF('(AS-400 Jembatan)'!AE28=0," ",'(AS-400 Jembatan)'!AE28+'(AS-400 Transfer)'!$AU28)</f>
        <v xml:space="preserve"> </v>
      </c>
      <c r="AL28" s="600" t="str">
        <f>+IF('(AS-400 Jembatan)'!AF28=0," ",'(AS-400 Jembatan)'!AF28+'(AS-400 Transfer)'!$AU28)</f>
        <v xml:space="preserve"> </v>
      </c>
      <c r="AM28" s="616" t="str">
        <f>+IF('(AS-400 Jembatan)'!AG28=0," ",'(AS-400 Jembatan)'!AG28+'(AS-400 Transfer)'!$AU28)</f>
        <v xml:space="preserve"> </v>
      </c>
      <c r="AN28" s="600" t="str">
        <f>+IF('(AS-400 Jembatan)'!AH28=0," ",'(AS-400 Jembatan)'!AH28+'(AS-400 Transfer)'!$AU28)</f>
        <v xml:space="preserve"> </v>
      </c>
      <c r="AO28" s="600"/>
      <c r="AP28" s="600">
        <f t="shared" si="13"/>
        <v>0</v>
      </c>
      <c r="AQ28" s="600">
        <f>+'(AS-400 Jembatan)'!AK28</f>
        <v>0</v>
      </c>
      <c r="AR28" s="600" t="e">
        <f t="shared" si="14"/>
        <v>#DIV/0!</v>
      </c>
      <c r="AS28" s="609">
        <f t="shared" si="15"/>
        <v>0</v>
      </c>
      <c r="AT28" s="609" t="e">
        <f t="shared" si="16"/>
        <v>#DIV/0!</v>
      </c>
      <c r="AU28" s="646" t="e">
        <v>#DIV/0!</v>
      </c>
      <c r="AV28" s="615" t="str">
        <f>+IF('(AS-400 Jembatan)'!AN28=0," ",'(AS-400 Jembatan)'!AN28+'(AS-400 Transfer)'!$BF28)</f>
        <v xml:space="preserve"> </v>
      </c>
      <c r="AW28" s="600" t="str">
        <f>+IF('(AS-400 Jembatan)'!AO28=0," ",'(AS-400 Jembatan)'!AO28+'(AS-400 Transfer)'!$BF28)</f>
        <v xml:space="preserve"> </v>
      </c>
      <c r="AX28" s="616" t="str">
        <f>+IF('(AS-400 Jembatan)'!AP28=0," ",'(AS-400 Jembatan)'!AP28+'(AS-400 Transfer)'!$BF28)</f>
        <v xml:space="preserve"> </v>
      </c>
      <c r="AY28" s="600" t="str">
        <f>+IF('(AS-400 Jembatan)'!AQ28=0," ",'(AS-400 Jembatan)'!AQ28+'(AS-400 Transfer)'!$BF28)</f>
        <v xml:space="preserve"> </v>
      </c>
      <c r="AZ28" s="600"/>
      <c r="BA28" s="600">
        <f t="shared" si="17"/>
        <v>0</v>
      </c>
      <c r="BB28" s="600">
        <f>+'(AS-400 Jembatan)'!AT28</f>
        <v>0</v>
      </c>
      <c r="BC28" s="600" t="e">
        <f t="shared" si="18"/>
        <v>#DIV/0!</v>
      </c>
      <c r="BD28" s="609">
        <f t="shared" si="19"/>
        <v>0</v>
      </c>
      <c r="BE28" s="609" t="e">
        <f t="shared" si="20"/>
        <v>#DIV/0!</v>
      </c>
      <c r="BF28" s="646" t="e">
        <v>#DIV/0!</v>
      </c>
      <c r="BG28" s="782" t="str">
        <f>+IF('(AS-400 Jembatan)'!AW28=0," ",'(AS-400 Jembatan)'!AW28+'(AS-400 Transfer)'!$BQ28)</f>
        <v xml:space="preserve"> </v>
      </c>
      <c r="BH28" s="774" t="str">
        <f>+IF('(AS-400 Jembatan)'!AX28=0," ",'(AS-400 Jembatan)'!AX28+'(AS-400 Transfer)'!$BQ28)</f>
        <v xml:space="preserve"> </v>
      </c>
      <c r="BI28" s="865" t="str">
        <f>+IF('(AS-400 Jembatan)'!AY28=0," ",'(AS-400 Jembatan)'!AY28+'(AS-400 Transfer)'!$BQ28)</f>
        <v xml:space="preserve"> </v>
      </c>
      <c r="BJ28" s="774" t="str">
        <f>+IF('(AS-400 Jembatan)'!AZ28=0," ",'(AS-400 Jembatan)'!AZ28+'(AS-400 Transfer)'!$BQ28)</f>
        <v xml:space="preserve"> </v>
      </c>
      <c r="BK28" s="774" t="str">
        <f>+IF('(AS-400 Jembatan)'!BA28=0," ",'(AS-400 Jembatan)'!BA28+'(AS-400 Transfer)'!$BQ28)</f>
        <v xml:space="preserve"> </v>
      </c>
      <c r="BL28" s="774">
        <f t="shared" si="21"/>
        <v>0</v>
      </c>
      <c r="BM28" s="774">
        <f>+'(AS-400 Jembatan)'!BC28</f>
        <v>0</v>
      </c>
      <c r="BN28" s="774" t="e">
        <f t="shared" si="22"/>
        <v>#DIV/0!</v>
      </c>
      <c r="BO28" s="866">
        <f t="shared" si="23"/>
        <v>0</v>
      </c>
      <c r="BP28" s="866" t="e">
        <f t="shared" si="24"/>
        <v>#DIV/0!</v>
      </c>
      <c r="BQ28" s="646" t="e">
        <v>#DIV/0!</v>
      </c>
    </row>
    <row r="29" spans="1:141" s="1140" customFormat="1" ht="15.75" hidden="1" customHeight="1" thickBot="1">
      <c r="A29" s="1591"/>
      <c r="B29" s="810" t="str">
        <f>+GUM!C35</f>
        <v>82111-F2W92</v>
      </c>
      <c r="C29" s="894" t="str">
        <f>GUM!D35</f>
        <v>C 0201</v>
      </c>
      <c r="D29" s="966" t="e">
        <f>+IF('(AS-400 Jembatan)'!D29=0," ",'(AS-400 Jembatan)'!D$15+'(AS-400 Transfer)'!$N29)</f>
        <v>#N/A</v>
      </c>
      <c r="E29" s="967" t="e">
        <f>+IF('(AS-400 Jembatan)'!E29=0," ",'(AS-400 Jembatan)'!E$15+'(AS-400 Transfer)'!$N29)</f>
        <v>#N/A</v>
      </c>
      <c r="F29" s="967" t="e">
        <f>+IF('(AS-400 Jembatan)'!F29=0," ",'(AS-400 Jembatan)'!F$15+'(AS-400 Transfer)'!$N29)</f>
        <v>#N/A</v>
      </c>
      <c r="G29" s="967" t="e">
        <f>+IF('(AS-400 Jembatan)'!G29=0," ",'(AS-400 Jembatan)'!G$15+'(AS-400 Transfer)'!$N29)</f>
        <v>#N/A</v>
      </c>
      <c r="H29" s="967" t="str">
        <f>+IF('(AS-400 Jembatan)'!H29=0," ",'(AS-400 Jembatan)'!H$15+'(AS-400 Transfer)'!$N29)</f>
        <v xml:space="preserve"> </v>
      </c>
      <c r="I29" s="967" t="e">
        <f t="shared" si="25"/>
        <v>#N/A</v>
      </c>
      <c r="J29" s="968">
        <f>+'(AS-400 Jembatan)'!J29</f>
        <v>0</v>
      </c>
      <c r="K29" s="968" t="e">
        <f t="shared" si="26"/>
        <v>#N/A</v>
      </c>
      <c r="L29" s="710">
        <f t="shared" si="27"/>
        <v>0</v>
      </c>
      <c r="M29" s="710" t="e">
        <f t="shared" si="28"/>
        <v>#N/A</v>
      </c>
      <c r="N29" s="710">
        <v>0</v>
      </c>
      <c r="O29" s="969" t="str">
        <f>+IF('(AS-400 Jembatan)'!M29=0," ",'(AS-400 Jembatan)'!M29+'(AS-400 Transfer)'!$Y29)</f>
        <v xml:space="preserve"> </v>
      </c>
      <c r="P29" s="967" t="str">
        <f>+IF('(AS-400 Jembatan)'!N29=0," ",'(AS-400 Jembatan)'!N29+'(AS-400 Transfer)'!$Y29)</f>
        <v xml:space="preserve"> </v>
      </c>
      <c r="Q29" s="970" t="str">
        <f>+IF('(AS-400 Jembatan)'!O29=0," ",'(AS-400 Jembatan)'!O29+'(AS-400 Transfer)'!$Y29)</f>
        <v xml:space="preserve"> </v>
      </c>
      <c r="R29" s="967" t="str">
        <f>+IF('(AS-400 Jembatan)'!P29=0," ",'(AS-400 Jembatan)'!P29+'(AS-400 Transfer)'!$Y29)</f>
        <v xml:space="preserve"> </v>
      </c>
      <c r="S29" s="967" t="str">
        <f>+IF('(AS-400 Jembatan)'!Q29=0," ",'(AS-400 Jembatan)'!Q29+'(AS-400 Transfer)'!$Y29)</f>
        <v xml:space="preserve"> </v>
      </c>
      <c r="T29" s="967">
        <f t="shared" si="5"/>
        <v>0</v>
      </c>
      <c r="U29" s="967">
        <f>+'(AS-400 Jembatan)'!S29</f>
        <v>0</v>
      </c>
      <c r="V29" s="967" t="e">
        <f t="shared" si="6"/>
        <v>#DIV/0!</v>
      </c>
      <c r="W29" s="710">
        <f t="shared" si="7"/>
        <v>0</v>
      </c>
      <c r="X29" s="710" t="e">
        <f t="shared" si="8"/>
        <v>#DIV/0!</v>
      </c>
      <c r="Y29" s="971" t="e">
        <v>#DIV/0!</v>
      </c>
      <c r="Z29" s="969" t="str">
        <f>+IF('(AS-400 Jembatan)'!V29=0," ",'(AS-400 Jembatan)'!V29+'(AS-400 Transfer)'!$AJ29)</f>
        <v xml:space="preserve"> </v>
      </c>
      <c r="AA29" s="972" t="str">
        <f>+IF('(AS-400 Jembatan)'!W29=0," ",'(AS-400 Jembatan)'!W29+'(AS-400 Transfer)'!$AJ29)</f>
        <v xml:space="preserve"> </v>
      </c>
      <c r="AB29" s="970" t="str">
        <f>+IF('(AS-400 Jembatan)'!X29=0," ",'(AS-400 Jembatan)'!X29+'(AS-400 Transfer)'!$AJ29)</f>
        <v xml:space="preserve"> </v>
      </c>
      <c r="AC29" s="967" t="str">
        <f>+IF('(AS-400 Jembatan)'!Y29=0," ",'(AS-400 Jembatan)'!Y29+'(AS-400 Transfer)'!$AJ29)</f>
        <v xml:space="preserve"> </v>
      </c>
      <c r="AD29" s="967" t="str">
        <f>+IF('(AS-400 Jembatan)'!Z29=0," ",'(AS-400 Jembatan)'!Z29+'(AS-400 Transfer)'!$AJ29)</f>
        <v xml:space="preserve"> </v>
      </c>
      <c r="AE29" s="967">
        <f t="shared" si="9"/>
        <v>0</v>
      </c>
      <c r="AF29" s="967">
        <f>+'(AS-400 Jembatan)'!AB29</f>
        <v>0</v>
      </c>
      <c r="AG29" s="967" t="e">
        <f t="shared" si="10"/>
        <v>#DIV/0!</v>
      </c>
      <c r="AH29" s="710">
        <f t="shared" si="11"/>
        <v>0</v>
      </c>
      <c r="AI29" s="968" t="e">
        <f t="shared" si="12"/>
        <v>#DIV/0!</v>
      </c>
      <c r="AJ29" s="971" t="e">
        <v>#DIV/0!</v>
      </c>
      <c r="AK29" s="969" t="str">
        <f>+IF('(AS-400 Jembatan)'!AE29=0," ",'(AS-400 Jembatan)'!AE29+'(AS-400 Transfer)'!$AU29)</f>
        <v xml:space="preserve"> </v>
      </c>
      <c r="AL29" s="967" t="str">
        <f>+IF('(AS-400 Jembatan)'!AF29=0," ",'(AS-400 Jembatan)'!AF29+'(AS-400 Transfer)'!$AU29)</f>
        <v xml:space="preserve"> </v>
      </c>
      <c r="AM29" s="970" t="str">
        <f>+IF('(AS-400 Jembatan)'!AG29=0," ",'(AS-400 Jembatan)'!AG29+'(AS-400 Transfer)'!$AU29)</f>
        <v xml:space="preserve"> </v>
      </c>
      <c r="AN29" s="967" t="str">
        <f>+IF('(AS-400 Jembatan)'!AH29=0," ",'(AS-400 Jembatan)'!AH29+'(AS-400 Transfer)'!$AU29)</f>
        <v xml:space="preserve"> </v>
      </c>
      <c r="AO29" s="967"/>
      <c r="AP29" s="967">
        <f t="shared" si="13"/>
        <v>0</v>
      </c>
      <c r="AQ29" s="967">
        <f>+'(AS-400 Jembatan)'!AK29</f>
        <v>0</v>
      </c>
      <c r="AR29" s="967" t="e">
        <f t="shared" si="14"/>
        <v>#DIV/0!</v>
      </c>
      <c r="AS29" s="710">
        <f t="shared" si="15"/>
        <v>0</v>
      </c>
      <c r="AT29" s="710" t="e">
        <f t="shared" si="16"/>
        <v>#DIV/0!</v>
      </c>
      <c r="AU29" s="971" t="e">
        <v>#DIV/0!</v>
      </c>
      <c r="AV29" s="969" t="str">
        <f>+IF('(AS-400 Jembatan)'!AN29=0," ",'(AS-400 Jembatan)'!AN29+'(AS-400 Transfer)'!$BF29)</f>
        <v xml:space="preserve"> </v>
      </c>
      <c r="AW29" s="967" t="str">
        <f>+IF('(AS-400 Jembatan)'!AO29=0," ",'(AS-400 Jembatan)'!AO29+'(AS-400 Transfer)'!$BF29)</f>
        <v xml:space="preserve"> </v>
      </c>
      <c r="AX29" s="970" t="str">
        <f>+IF('(AS-400 Jembatan)'!AP29=0," ",'(AS-400 Jembatan)'!AP29+'(AS-400 Transfer)'!$BF29)</f>
        <v xml:space="preserve"> </v>
      </c>
      <c r="AY29" s="967" t="str">
        <f>+IF('(AS-400 Jembatan)'!AQ29=0," ",'(AS-400 Jembatan)'!AQ29+'(AS-400 Transfer)'!$BF29)</f>
        <v xml:space="preserve"> </v>
      </c>
      <c r="AZ29" s="967"/>
      <c r="BA29" s="967">
        <f t="shared" si="17"/>
        <v>0</v>
      </c>
      <c r="BB29" s="967">
        <f>+'(AS-400 Jembatan)'!AT29</f>
        <v>0</v>
      </c>
      <c r="BC29" s="967" t="e">
        <f t="shared" si="18"/>
        <v>#DIV/0!</v>
      </c>
      <c r="BD29" s="710">
        <f t="shared" si="19"/>
        <v>0</v>
      </c>
      <c r="BE29" s="710" t="e">
        <f t="shared" si="20"/>
        <v>#DIV/0!</v>
      </c>
      <c r="BF29" s="971" t="e">
        <v>#DIV/0!</v>
      </c>
      <c r="BG29" s="973" t="str">
        <f>+IF('(AS-400 Jembatan)'!AW29=0," ",'(AS-400 Jembatan)'!AW29+'(AS-400 Transfer)'!$BQ29)</f>
        <v xml:space="preserve"> </v>
      </c>
      <c r="BH29" s="974" t="str">
        <f>+IF('(AS-400 Jembatan)'!AX29=0," ",'(AS-400 Jembatan)'!AX29+'(AS-400 Transfer)'!$BQ29)</f>
        <v xml:space="preserve"> </v>
      </c>
      <c r="BI29" s="975" t="str">
        <f>+IF('(AS-400 Jembatan)'!AY29=0," ",'(AS-400 Jembatan)'!AY29+'(AS-400 Transfer)'!$BQ29)</f>
        <v xml:space="preserve"> </v>
      </c>
      <c r="BJ29" s="974" t="str">
        <f>+IF('(AS-400 Jembatan)'!AZ29=0," ",'(AS-400 Jembatan)'!AZ29+'(AS-400 Transfer)'!$BQ29)</f>
        <v xml:space="preserve"> </v>
      </c>
      <c r="BK29" s="974" t="str">
        <f>+IF('(AS-400 Jembatan)'!BA29=0," ",'(AS-400 Jembatan)'!BA29+'(AS-400 Transfer)'!$BQ29)</f>
        <v xml:space="preserve"> </v>
      </c>
      <c r="BL29" s="974">
        <f t="shared" si="21"/>
        <v>0</v>
      </c>
      <c r="BM29" s="974">
        <f>+'(AS-400 Jembatan)'!BC29</f>
        <v>0</v>
      </c>
      <c r="BN29" s="974" t="e">
        <f t="shared" si="22"/>
        <v>#DIV/0!</v>
      </c>
      <c r="BO29" s="977">
        <f t="shared" si="23"/>
        <v>0</v>
      </c>
      <c r="BP29" s="977" t="e">
        <f t="shared" si="24"/>
        <v>#DIV/0!</v>
      </c>
      <c r="BQ29" s="971" t="e">
        <v>#DIV/0!</v>
      </c>
    </row>
    <row r="30" spans="1:141" s="1143" customFormat="1" ht="15" hidden="1" customHeight="1">
      <c r="A30" s="1589" t="s">
        <v>168</v>
      </c>
      <c r="B30" s="820" t="str">
        <f>+GUM!C36</f>
        <v>82111-F2W23</v>
      </c>
      <c r="C30" s="964" t="str">
        <f>GUM!D36</f>
        <v>B 0201</v>
      </c>
      <c r="D30" s="827" t="e">
        <f>+IF('(AS-400 Jembatan)'!D30=0," ",'(AS-400 Jembatan)'!D$166+'(AS-400 Transfer)'!$N30)</f>
        <v>#N/A</v>
      </c>
      <c r="E30" s="606" t="e">
        <f>+IF('(AS-400 Jembatan)'!E30=0," ",'(AS-400 Jembatan)'!E$166+'(AS-400 Transfer)'!$N30)</f>
        <v>#N/A</v>
      </c>
      <c r="F30" s="606" t="e">
        <f>+IF('(AS-400 Jembatan)'!F30=0," ",'(AS-400 Jembatan)'!F$166+'(AS-400 Transfer)'!$N30)</f>
        <v>#N/A</v>
      </c>
      <c r="G30" s="606" t="e">
        <f>+IF('(AS-400 Jembatan)'!G30=0," ",'(AS-400 Jembatan)'!G$166+'(AS-400 Transfer)'!$N30)</f>
        <v>#N/A</v>
      </c>
      <c r="H30" s="606" t="str">
        <f>+IF('(AS-400 Jembatan)'!H30=0," ",'(AS-400 Jembatan)'!H$10+'(AS-400 Transfer)'!$N30)</f>
        <v xml:space="preserve"> </v>
      </c>
      <c r="I30" s="606" t="e">
        <f t="shared" si="25"/>
        <v>#N/A</v>
      </c>
      <c r="J30" s="607">
        <f>+'(AS-400 Jembatan)'!J30</f>
        <v>0</v>
      </c>
      <c r="K30" s="607" t="e">
        <f t="shared" si="26"/>
        <v>#N/A</v>
      </c>
      <c r="L30" s="612">
        <f t="shared" si="27"/>
        <v>0</v>
      </c>
      <c r="M30" s="612" t="e">
        <f t="shared" si="28"/>
        <v>#N/A</v>
      </c>
      <c r="N30" s="612" t="e">
        <v>#DIV/0!</v>
      </c>
      <c r="O30" s="619" t="str">
        <f>+IF('(AS-400 Jembatan)'!M30=0," ",'(AS-400 Jembatan)'!M30+'(AS-400 Transfer)'!$Y30)</f>
        <v xml:space="preserve"> </v>
      </c>
      <c r="P30" s="606" t="str">
        <f>+IF('(AS-400 Jembatan)'!N30=0," ",'(AS-400 Jembatan)'!N30+'(AS-400 Transfer)'!$Y30)</f>
        <v xml:space="preserve"> </v>
      </c>
      <c r="Q30" s="733" t="str">
        <f>+IF('(AS-400 Jembatan)'!O30=0," ",'(AS-400 Jembatan)'!O30+'(AS-400 Transfer)'!$Y30)</f>
        <v xml:space="preserve"> </v>
      </c>
      <c r="R30" s="606" t="str">
        <f>+IF('(AS-400 Jembatan)'!P30=0," ",'(AS-400 Jembatan)'!P30+'(AS-400 Transfer)'!$Y30)</f>
        <v xml:space="preserve"> </v>
      </c>
      <c r="S30" s="606" t="str">
        <f>+IF('(AS-400 Jembatan)'!Q30=0," ",'(AS-400 Jembatan)'!Q30+'(AS-400 Transfer)'!$Y30)</f>
        <v xml:space="preserve"> </v>
      </c>
      <c r="T30" s="606">
        <f t="shared" si="5"/>
        <v>0</v>
      </c>
      <c r="U30" s="606">
        <f>+'(AS-400 Jembatan)'!S30</f>
        <v>0</v>
      </c>
      <c r="V30" s="606" t="e">
        <f t="shared" si="6"/>
        <v>#DIV/0!</v>
      </c>
      <c r="W30" s="612">
        <f t="shared" si="7"/>
        <v>0</v>
      </c>
      <c r="X30" s="612" t="e">
        <f t="shared" si="8"/>
        <v>#DIV/0!</v>
      </c>
      <c r="Y30" s="613" t="e">
        <v>#DIV/0!</v>
      </c>
      <c r="Z30" s="619" t="str">
        <f>+IF('(AS-400 Jembatan)'!V30=0," ",'(AS-400 Jembatan)'!V30+'(AS-400 Transfer)'!$AJ30)</f>
        <v xml:space="preserve"> </v>
      </c>
      <c r="AA30" s="715" t="str">
        <f>+IF('(AS-400 Jembatan)'!W30=0," ",'(AS-400 Jembatan)'!W30+'(AS-400 Transfer)'!$AJ30)</f>
        <v xml:space="preserve"> </v>
      </c>
      <c r="AB30" s="733" t="str">
        <f>+IF('(AS-400 Jembatan)'!X30=0," ",'(AS-400 Jembatan)'!X30+'(AS-400 Transfer)'!$AJ30)</f>
        <v xml:space="preserve"> </v>
      </c>
      <c r="AC30" s="606" t="str">
        <f>+IF('(AS-400 Jembatan)'!Y30=0," ",'(AS-400 Jembatan)'!Y30+'(AS-400 Transfer)'!$AJ30)</f>
        <v xml:space="preserve"> </v>
      </c>
      <c r="AD30" s="606" t="str">
        <f>+IF('(AS-400 Jembatan)'!Z30=0," ",'(AS-400 Jembatan)'!Z30+'(AS-400 Transfer)'!$AJ30)</f>
        <v xml:space="preserve"> </v>
      </c>
      <c r="AE30" s="606">
        <f t="shared" si="9"/>
        <v>0</v>
      </c>
      <c r="AF30" s="606">
        <f>+'(AS-400 Jembatan)'!AB30</f>
        <v>0</v>
      </c>
      <c r="AG30" s="606" t="e">
        <f t="shared" si="10"/>
        <v>#DIV/0!</v>
      </c>
      <c r="AH30" s="612">
        <f t="shared" si="11"/>
        <v>0</v>
      </c>
      <c r="AI30" s="607" t="e">
        <f t="shared" si="12"/>
        <v>#DIV/0!</v>
      </c>
      <c r="AJ30" s="613" t="e">
        <v>#DIV/0!</v>
      </c>
      <c r="AK30" s="619" t="str">
        <f>+IF('(AS-400 Jembatan)'!AE30=0," ",'(AS-400 Jembatan)'!AE30+'(AS-400 Transfer)'!$AU30)</f>
        <v xml:space="preserve"> </v>
      </c>
      <c r="AL30" s="606" t="str">
        <f>+IF('(AS-400 Jembatan)'!AF30=0," ",'(AS-400 Jembatan)'!AF30+'(AS-400 Transfer)'!$AU30)</f>
        <v xml:space="preserve"> </v>
      </c>
      <c r="AM30" s="733" t="str">
        <f>+IF('(AS-400 Jembatan)'!AG30=0," ",'(AS-400 Jembatan)'!AG30+'(AS-400 Transfer)'!$AU30)</f>
        <v xml:space="preserve"> </v>
      </c>
      <c r="AN30" s="606" t="str">
        <f>+IF('(AS-400 Jembatan)'!AH30=0," ",'(AS-400 Jembatan)'!AH30+'(AS-400 Transfer)'!$AU30)</f>
        <v xml:space="preserve"> </v>
      </c>
      <c r="AO30" s="606"/>
      <c r="AP30" s="606">
        <f t="shared" si="13"/>
        <v>0</v>
      </c>
      <c r="AQ30" s="606">
        <f>+'(AS-400 Jembatan)'!AK30</f>
        <v>0</v>
      </c>
      <c r="AR30" s="606" t="e">
        <f t="shared" si="14"/>
        <v>#DIV/0!</v>
      </c>
      <c r="AS30" s="612">
        <f t="shared" si="15"/>
        <v>0</v>
      </c>
      <c r="AT30" s="612" t="e">
        <f t="shared" si="16"/>
        <v>#DIV/0!</v>
      </c>
      <c r="AU30" s="613" t="e">
        <v>#DIV/0!</v>
      </c>
      <c r="AV30" s="619" t="str">
        <f>+IF('(AS-400 Jembatan)'!AN30=0," ",'(AS-400 Jembatan)'!AN30+'(AS-400 Transfer)'!$BF30)</f>
        <v xml:space="preserve"> </v>
      </c>
      <c r="AW30" s="606" t="str">
        <f>+IF('(AS-400 Jembatan)'!AO30=0," ",'(AS-400 Jembatan)'!AO30+'(AS-400 Transfer)'!$BF30)</f>
        <v xml:space="preserve"> </v>
      </c>
      <c r="AX30" s="733" t="str">
        <f>+IF('(AS-400 Jembatan)'!AP30=0," ",'(AS-400 Jembatan)'!AP30+'(AS-400 Transfer)'!$BF30)</f>
        <v xml:space="preserve"> </v>
      </c>
      <c r="AY30" s="606" t="str">
        <f>+IF('(AS-400 Jembatan)'!AQ30=0," ",'(AS-400 Jembatan)'!AQ30+'(AS-400 Transfer)'!$BF30)</f>
        <v xml:space="preserve"> </v>
      </c>
      <c r="AZ30" s="606"/>
      <c r="BA30" s="606">
        <f t="shared" si="17"/>
        <v>0</v>
      </c>
      <c r="BB30" s="606">
        <f>+'(AS-400 Jembatan)'!AT30</f>
        <v>0</v>
      </c>
      <c r="BC30" s="606" t="e">
        <f t="shared" si="18"/>
        <v>#DIV/0!</v>
      </c>
      <c r="BD30" s="612">
        <f t="shared" si="19"/>
        <v>0</v>
      </c>
      <c r="BE30" s="612" t="e">
        <f t="shared" si="20"/>
        <v>#DIV/0!</v>
      </c>
      <c r="BF30" s="613" t="e">
        <v>#DIV/0!</v>
      </c>
      <c r="BG30" s="867" t="str">
        <f>+IF('(AS-400 Jembatan)'!AW30=0," ",'(AS-400 Jembatan)'!AW30+'(AS-400 Transfer)'!$BQ30)</f>
        <v xml:space="preserve"> </v>
      </c>
      <c r="BH30" s="868" t="str">
        <f>+IF('(AS-400 Jembatan)'!AX30=0," ",'(AS-400 Jembatan)'!AX30+'(AS-400 Transfer)'!$BQ30)</f>
        <v xml:space="preserve"> </v>
      </c>
      <c r="BI30" s="869" t="str">
        <f>+IF('(AS-400 Jembatan)'!AY30=0," ",'(AS-400 Jembatan)'!AY30+'(AS-400 Transfer)'!$BQ30)</f>
        <v xml:space="preserve"> </v>
      </c>
      <c r="BJ30" s="868" t="str">
        <f>+IF('(AS-400 Jembatan)'!AZ30=0," ",'(AS-400 Jembatan)'!AZ30+'(AS-400 Transfer)'!$BQ30)</f>
        <v xml:space="preserve"> </v>
      </c>
      <c r="BK30" s="868" t="str">
        <f>+IF('(AS-400 Jembatan)'!BA30=0," ",'(AS-400 Jembatan)'!BA30+'(AS-400 Transfer)'!$BQ30)</f>
        <v xml:space="preserve"> </v>
      </c>
      <c r="BL30" s="868">
        <f t="shared" si="21"/>
        <v>0</v>
      </c>
      <c r="BM30" s="868">
        <f>+'(AS-400 Jembatan)'!BC30</f>
        <v>0</v>
      </c>
      <c r="BN30" s="868" t="e">
        <f t="shared" si="22"/>
        <v>#DIV/0!</v>
      </c>
      <c r="BO30" s="871">
        <f t="shared" si="23"/>
        <v>0</v>
      </c>
      <c r="BP30" s="871" t="e">
        <f t="shared" si="24"/>
        <v>#DIV/0!</v>
      </c>
      <c r="BQ30" s="613" t="e">
        <v>#DIV/0!</v>
      </c>
    </row>
    <row r="31" spans="1:141" s="599" customFormat="1" ht="15.75" hidden="1" customHeight="1">
      <c r="A31" s="1590"/>
      <c r="B31" s="820" t="str">
        <f>+GUM!C37</f>
        <v>82111-F2W34</v>
      </c>
      <c r="C31" s="964" t="str">
        <f>GUM!D37</f>
        <v>B 0301</v>
      </c>
      <c r="D31" s="827" t="str">
        <f>+IF('(AS-400 Jembatan)'!D31=0," ",'(AS-400 Jembatan)'!#REF!+'(AS-400 Transfer)'!$N31)</f>
        <v xml:space="preserve"> </v>
      </c>
      <c r="E31" s="606" t="str">
        <f>+IF('(AS-400 Jembatan)'!E31=0," ",'(AS-400 Jembatan)'!#REF!+'(AS-400 Transfer)'!$N31)</f>
        <v xml:space="preserve"> </v>
      </c>
      <c r="F31" s="606" t="str">
        <f>+IF('(AS-400 Jembatan)'!F31=0," ",'(AS-400 Jembatan)'!#REF!+'(AS-400 Transfer)'!$N31)</f>
        <v xml:space="preserve"> </v>
      </c>
      <c r="G31" s="606" t="str">
        <f>+IF('(AS-400 Jembatan)'!G31=0," ",'(AS-400 Jembatan)'!#REF!+'(AS-400 Transfer)'!$N31)</f>
        <v xml:space="preserve"> </v>
      </c>
      <c r="H31" s="606" t="str">
        <f>+IF('(AS-400 Jembatan)'!H31=0," ",'(AS-400 Jembatan)'!#REF!+'(AS-400 Transfer)'!$N31)</f>
        <v xml:space="preserve"> </v>
      </c>
      <c r="I31" s="606">
        <f t="shared" si="25"/>
        <v>0</v>
      </c>
      <c r="J31" s="607">
        <f>+'(AS-400 Jembatan)'!J31</f>
        <v>0</v>
      </c>
      <c r="K31" s="607" t="e">
        <f t="shared" si="26"/>
        <v>#DIV/0!</v>
      </c>
      <c r="L31" s="612"/>
      <c r="M31" s="612"/>
      <c r="N31" s="612"/>
      <c r="O31" s="619" t="str">
        <f>+IF('(AS-400 Jembatan)'!M31=0," ",'(AS-400 Jembatan)'!M31+'(AS-400 Transfer)'!$Y31)</f>
        <v xml:space="preserve"> </v>
      </c>
      <c r="P31" s="606" t="str">
        <f>+IF('(AS-400 Jembatan)'!N31=0," ",'(AS-400 Jembatan)'!N31+'(AS-400 Transfer)'!$Y31)</f>
        <v xml:space="preserve"> </v>
      </c>
      <c r="Q31" s="733" t="str">
        <f>+IF('(AS-400 Jembatan)'!O31=0," ",'(AS-400 Jembatan)'!O31+'(AS-400 Transfer)'!$Y31)</f>
        <v xml:space="preserve"> </v>
      </c>
      <c r="R31" s="606" t="str">
        <f>+IF('(AS-400 Jembatan)'!P31=0," ",'(AS-400 Jembatan)'!P31+'(AS-400 Transfer)'!$Y31)</f>
        <v xml:space="preserve"> </v>
      </c>
      <c r="S31" s="606" t="str">
        <f>+IF('(AS-400 Jembatan)'!Q31=0," ",'(AS-400 Jembatan)'!Q31+'(AS-400 Transfer)'!$Y31)</f>
        <v xml:space="preserve"> </v>
      </c>
      <c r="T31" s="606">
        <f t="shared" si="5"/>
        <v>0</v>
      </c>
      <c r="U31" s="606">
        <f>+'(AS-400 Jembatan)'!S31</f>
        <v>0</v>
      </c>
      <c r="V31" s="606" t="e">
        <f t="shared" si="6"/>
        <v>#DIV/0!</v>
      </c>
      <c r="W31" s="612">
        <f t="shared" si="7"/>
        <v>0</v>
      </c>
      <c r="X31" s="612" t="e">
        <f t="shared" si="8"/>
        <v>#DIV/0!</v>
      </c>
      <c r="Y31" s="613" t="e">
        <v>#DIV/0!</v>
      </c>
      <c r="Z31" s="619" t="str">
        <f>+IF('(AS-400 Jembatan)'!V31=0," ",'(AS-400 Jembatan)'!V31+'(AS-400 Transfer)'!$AJ31)</f>
        <v xml:space="preserve"> </v>
      </c>
      <c r="AA31" s="715" t="str">
        <f>+IF('(AS-400 Jembatan)'!W31=0," ",'(AS-400 Jembatan)'!W31+'(AS-400 Transfer)'!$AJ31)</f>
        <v xml:space="preserve"> </v>
      </c>
      <c r="AB31" s="733" t="str">
        <f>+IF('(AS-400 Jembatan)'!X31=0," ",'(AS-400 Jembatan)'!X31+'(AS-400 Transfer)'!$AJ31)</f>
        <v xml:space="preserve"> </v>
      </c>
      <c r="AC31" s="606" t="str">
        <f>+IF('(AS-400 Jembatan)'!Y31=0," ",'(AS-400 Jembatan)'!Y31+'(AS-400 Transfer)'!$AJ31)</f>
        <v xml:space="preserve"> </v>
      </c>
      <c r="AD31" s="606" t="str">
        <f>+IF('(AS-400 Jembatan)'!Z31=0," ",'(AS-400 Jembatan)'!Z31+'(AS-400 Transfer)'!$AJ31)</f>
        <v xml:space="preserve"> </v>
      </c>
      <c r="AE31" s="606">
        <f t="shared" si="9"/>
        <v>0</v>
      </c>
      <c r="AF31" s="606">
        <f>+'(AS-400 Jembatan)'!AB31</f>
        <v>0</v>
      </c>
      <c r="AG31" s="606" t="e">
        <f t="shared" si="10"/>
        <v>#DIV/0!</v>
      </c>
      <c r="AH31" s="612">
        <f t="shared" si="11"/>
        <v>0</v>
      </c>
      <c r="AI31" s="607" t="e">
        <f t="shared" si="12"/>
        <v>#DIV/0!</v>
      </c>
      <c r="AJ31" s="613" t="e">
        <v>#DIV/0!</v>
      </c>
      <c r="AK31" s="619" t="str">
        <f>+IF('(AS-400 Jembatan)'!AE31=0," ",'(AS-400 Jembatan)'!AE31+'(AS-400 Transfer)'!$AU31)</f>
        <v xml:space="preserve"> </v>
      </c>
      <c r="AL31" s="606" t="str">
        <f>+IF('(AS-400 Jembatan)'!AF31=0," ",'(AS-400 Jembatan)'!AF31+'(AS-400 Transfer)'!$AU31)</f>
        <v xml:space="preserve"> </v>
      </c>
      <c r="AM31" s="733" t="str">
        <f>+IF('(AS-400 Jembatan)'!AG31=0," ",'(AS-400 Jembatan)'!AG31+'(AS-400 Transfer)'!$AU31)</f>
        <v xml:space="preserve"> </v>
      </c>
      <c r="AN31" s="606" t="str">
        <f>+IF('(AS-400 Jembatan)'!AH31=0," ",'(AS-400 Jembatan)'!AH31+'(AS-400 Transfer)'!$AU31)</f>
        <v xml:space="preserve"> </v>
      </c>
      <c r="AO31" s="606"/>
      <c r="AP31" s="606">
        <f t="shared" si="13"/>
        <v>0</v>
      </c>
      <c r="AQ31" s="606">
        <f>+'(AS-400 Jembatan)'!AK31</f>
        <v>0</v>
      </c>
      <c r="AR31" s="606" t="e">
        <f t="shared" si="14"/>
        <v>#DIV/0!</v>
      </c>
      <c r="AS31" s="612">
        <f t="shared" si="15"/>
        <v>0</v>
      </c>
      <c r="AT31" s="612" t="e">
        <f t="shared" si="16"/>
        <v>#DIV/0!</v>
      </c>
      <c r="AU31" s="613" t="e">
        <v>#DIV/0!</v>
      </c>
      <c r="AV31" s="619" t="str">
        <f>+IF('(AS-400 Jembatan)'!AN31=0," ",'(AS-400 Jembatan)'!AN31+'(AS-400 Transfer)'!$BF31)</f>
        <v xml:space="preserve"> </v>
      </c>
      <c r="AW31" s="606" t="str">
        <f>+IF('(AS-400 Jembatan)'!AO31=0," ",'(AS-400 Jembatan)'!AO31+'(AS-400 Transfer)'!$BF31)</f>
        <v xml:space="preserve"> </v>
      </c>
      <c r="AX31" s="733" t="str">
        <f>+IF('(AS-400 Jembatan)'!AP31=0," ",'(AS-400 Jembatan)'!AP31+'(AS-400 Transfer)'!$BF31)</f>
        <v xml:space="preserve"> </v>
      </c>
      <c r="AY31" s="606" t="str">
        <f>+IF('(AS-400 Jembatan)'!AQ31=0," ",'(AS-400 Jembatan)'!AQ31+'(AS-400 Transfer)'!$BF31)</f>
        <v xml:space="preserve"> </v>
      </c>
      <c r="AZ31" s="606"/>
      <c r="BA31" s="606">
        <f t="shared" si="17"/>
        <v>0</v>
      </c>
      <c r="BB31" s="606">
        <f>+'(AS-400 Jembatan)'!AT31</f>
        <v>0</v>
      </c>
      <c r="BC31" s="606" t="e">
        <f t="shared" si="18"/>
        <v>#DIV/0!</v>
      </c>
      <c r="BD31" s="612">
        <f t="shared" si="19"/>
        <v>0</v>
      </c>
      <c r="BE31" s="612" t="e">
        <f t="shared" si="20"/>
        <v>#DIV/0!</v>
      </c>
      <c r="BF31" s="613" t="e">
        <v>#DIV/0!</v>
      </c>
      <c r="BG31" s="867" t="str">
        <f>+IF('(AS-400 Jembatan)'!AW31=0," ",'(AS-400 Jembatan)'!AW31+'(AS-400 Transfer)'!$BQ31)</f>
        <v xml:space="preserve"> </v>
      </c>
      <c r="BH31" s="868" t="str">
        <f>+IF('(AS-400 Jembatan)'!AX31=0," ",'(AS-400 Jembatan)'!AX31+'(AS-400 Transfer)'!$BQ31)</f>
        <v xml:space="preserve"> </v>
      </c>
      <c r="BI31" s="869" t="str">
        <f>+IF('(AS-400 Jembatan)'!AY31=0," ",'(AS-400 Jembatan)'!AY31+'(AS-400 Transfer)'!$BQ31)</f>
        <v xml:space="preserve"> </v>
      </c>
      <c r="BJ31" s="868" t="str">
        <f>+IF('(AS-400 Jembatan)'!AZ31=0," ",'(AS-400 Jembatan)'!AZ31+'(AS-400 Transfer)'!$BQ31)</f>
        <v xml:space="preserve"> </v>
      </c>
      <c r="BK31" s="868" t="str">
        <f>+IF('(AS-400 Jembatan)'!BA31=0," ",'(AS-400 Jembatan)'!BA31+'(AS-400 Transfer)'!$BQ31)</f>
        <v xml:space="preserve"> </v>
      </c>
      <c r="BL31" s="868">
        <f t="shared" si="21"/>
        <v>0</v>
      </c>
      <c r="BM31" s="868">
        <f>+'(AS-400 Jembatan)'!BC31</f>
        <v>0</v>
      </c>
      <c r="BN31" s="868" t="e">
        <f t="shared" si="22"/>
        <v>#DIV/0!</v>
      </c>
      <c r="BO31" s="871">
        <f t="shared" si="23"/>
        <v>0</v>
      </c>
      <c r="BP31" s="871" t="e">
        <f t="shared" si="24"/>
        <v>#DIV/0!</v>
      </c>
      <c r="BQ31" s="613" t="e">
        <v>#DIV/0!</v>
      </c>
    </row>
    <row r="32" spans="1:141" s="1143" customFormat="1" ht="15" hidden="1" customHeight="1">
      <c r="A32" s="1590"/>
      <c r="B32" s="772" t="str">
        <f>+GUM!C38</f>
        <v>82111-F2W63</v>
      </c>
      <c r="C32" s="658" t="str">
        <f>GUM!D38</f>
        <v>B 0201</v>
      </c>
      <c r="D32" s="745" t="str">
        <f>+IF('(AS-400 Jembatan)'!D32=0," ",'(AS-400 Jembatan)'!#REF!+'(AS-400 Transfer)'!$N32)</f>
        <v xml:space="preserve"> </v>
      </c>
      <c r="E32" s="600" t="str">
        <f>+IF('(AS-400 Jembatan)'!E32=0," ",'(AS-400 Jembatan)'!#REF!+'(AS-400 Transfer)'!$N32)</f>
        <v xml:space="preserve"> </v>
      </c>
      <c r="F32" s="600" t="str">
        <f>+IF('(AS-400 Jembatan)'!F32=0," ",'(AS-400 Jembatan)'!#REF!+'(AS-400 Transfer)'!$N32)</f>
        <v xml:space="preserve"> </v>
      </c>
      <c r="G32" s="600" t="str">
        <f>+IF('(AS-400 Jembatan)'!G32=0," ",'(AS-400 Jembatan)'!#REF!+'(AS-400 Transfer)'!$N32)</f>
        <v xml:space="preserve"> </v>
      </c>
      <c r="H32" s="600" t="str">
        <f>+IF('(AS-400 Jembatan)'!H32=0," ",'(AS-400 Jembatan)'!#REF!+'(AS-400 Transfer)'!$N32)</f>
        <v xml:space="preserve"> </v>
      </c>
      <c r="I32" s="600">
        <f>SUM(D32:H32)</f>
        <v>0</v>
      </c>
      <c r="J32" s="601">
        <f>+'(AS-400 Jembatan)'!J32</f>
        <v>0</v>
      </c>
      <c r="K32" s="601" t="e">
        <f>(J32-I32)/L32</f>
        <v>#DIV/0!</v>
      </c>
      <c r="L32" s="609"/>
      <c r="M32" s="609"/>
      <c r="N32" s="609"/>
      <c r="O32" s="615" t="str">
        <f>+IF('(AS-400 Jembatan)'!M32=0," ",'(AS-400 Jembatan)'!M32+'(AS-400 Transfer)'!$Y32)</f>
        <v xml:space="preserve"> </v>
      </c>
      <c r="P32" s="600" t="str">
        <f>+IF('(AS-400 Jembatan)'!N32=0," ",'(AS-400 Jembatan)'!N32+'(AS-400 Transfer)'!$Y32)</f>
        <v xml:space="preserve"> </v>
      </c>
      <c r="Q32" s="616" t="str">
        <f>+IF('(AS-400 Jembatan)'!O32=0," ",'(AS-400 Jembatan)'!O32+'(AS-400 Transfer)'!$Y32)</f>
        <v xml:space="preserve"> </v>
      </c>
      <c r="R32" s="600" t="str">
        <f>+IF('(AS-400 Jembatan)'!P32=0," ",'(AS-400 Jembatan)'!P32+'(AS-400 Transfer)'!$Y32)</f>
        <v xml:space="preserve"> </v>
      </c>
      <c r="S32" s="600" t="str">
        <f>+IF('(AS-400 Jembatan)'!Q32=0," ",'(AS-400 Jembatan)'!Q32+'(AS-400 Transfer)'!$Y32)</f>
        <v xml:space="preserve"> </v>
      </c>
      <c r="T32" s="600">
        <f t="shared" si="5"/>
        <v>0</v>
      </c>
      <c r="U32" s="600">
        <f>+'(AS-400 Jembatan)'!S32</f>
        <v>0</v>
      </c>
      <c r="V32" s="600" t="e">
        <f t="shared" si="6"/>
        <v>#DIV/0!</v>
      </c>
      <c r="W32" s="609">
        <f t="shared" si="7"/>
        <v>0</v>
      </c>
      <c r="X32" s="609" t="e">
        <f t="shared" si="8"/>
        <v>#DIV/0!</v>
      </c>
      <c r="Y32" s="646" t="e">
        <v>#DIV/0!</v>
      </c>
      <c r="Z32" s="615" t="str">
        <f>+IF('(AS-400 Jembatan)'!V32=0," ",'(AS-400 Jembatan)'!V32+'(AS-400 Transfer)'!$AJ32)</f>
        <v xml:space="preserve"> </v>
      </c>
      <c r="AA32" s="656" t="str">
        <f>+IF('(AS-400 Jembatan)'!W32=0," ",'(AS-400 Jembatan)'!W32+'(AS-400 Transfer)'!$AJ32)</f>
        <v xml:space="preserve"> </v>
      </c>
      <c r="AB32" s="616" t="str">
        <f>+IF('(AS-400 Jembatan)'!X32=0," ",'(AS-400 Jembatan)'!X32+'(AS-400 Transfer)'!$AJ32)</f>
        <v xml:space="preserve"> </v>
      </c>
      <c r="AC32" s="600" t="str">
        <f>+IF('(AS-400 Jembatan)'!Y32=0," ",'(AS-400 Jembatan)'!Y32+'(AS-400 Transfer)'!$AJ32)</f>
        <v xml:space="preserve"> </v>
      </c>
      <c r="AD32" s="600" t="str">
        <f>+IF('(AS-400 Jembatan)'!Z32=0," ",'(AS-400 Jembatan)'!Z32+'(AS-400 Transfer)'!$AJ32)</f>
        <v xml:space="preserve"> </v>
      </c>
      <c r="AE32" s="600">
        <f t="shared" si="9"/>
        <v>0</v>
      </c>
      <c r="AF32" s="600">
        <f>+'(AS-400 Jembatan)'!AB32</f>
        <v>0</v>
      </c>
      <c r="AG32" s="600" t="e">
        <f t="shared" si="10"/>
        <v>#DIV/0!</v>
      </c>
      <c r="AH32" s="609">
        <f t="shared" si="11"/>
        <v>0</v>
      </c>
      <c r="AI32" s="601" t="e">
        <f t="shared" si="12"/>
        <v>#DIV/0!</v>
      </c>
      <c r="AJ32" s="646" t="e">
        <v>#DIV/0!</v>
      </c>
      <c r="AK32" s="615" t="str">
        <f>+IF('(AS-400 Jembatan)'!AE32=0," ",'(AS-400 Jembatan)'!AE32+'(AS-400 Transfer)'!$AU32)</f>
        <v xml:space="preserve"> </v>
      </c>
      <c r="AL32" s="600" t="str">
        <f>+IF('(AS-400 Jembatan)'!AF32=0," ",'(AS-400 Jembatan)'!AF32+'(AS-400 Transfer)'!$AU32)</f>
        <v xml:space="preserve"> </v>
      </c>
      <c r="AM32" s="616" t="str">
        <f>+IF('(AS-400 Jembatan)'!AG32=0," ",'(AS-400 Jembatan)'!AG32+'(AS-400 Transfer)'!$AU32)</f>
        <v xml:space="preserve"> </v>
      </c>
      <c r="AN32" s="600" t="str">
        <f>+IF('(AS-400 Jembatan)'!AH32=0," ",'(AS-400 Jembatan)'!AH32+'(AS-400 Transfer)'!$AU32)</f>
        <v xml:space="preserve"> </v>
      </c>
      <c r="AO32" s="600"/>
      <c r="AP32" s="600">
        <f t="shared" si="13"/>
        <v>0</v>
      </c>
      <c r="AQ32" s="600">
        <f>+'(AS-400 Jembatan)'!AK32</f>
        <v>0</v>
      </c>
      <c r="AR32" s="600" t="e">
        <f t="shared" si="14"/>
        <v>#DIV/0!</v>
      </c>
      <c r="AS32" s="609">
        <f t="shared" si="15"/>
        <v>0</v>
      </c>
      <c r="AT32" s="609" t="e">
        <f t="shared" si="16"/>
        <v>#DIV/0!</v>
      </c>
      <c r="AU32" s="646" t="e">
        <v>#DIV/0!</v>
      </c>
      <c r="AV32" s="615" t="str">
        <f>+IF('(AS-400 Jembatan)'!AN32=0," ",'(AS-400 Jembatan)'!AN32+'(AS-400 Transfer)'!$BF32)</f>
        <v xml:space="preserve"> </v>
      </c>
      <c r="AW32" s="600" t="str">
        <f>+IF('(AS-400 Jembatan)'!AO32=0," ",'(AS-400 Jembatan)'!AO32+'(AS-400 Transfer)'!$BF32)</f>
        <v xml:space="preserve"> </v>
      </c>
      <c r="AX32" s="616" t="str">
        <f>+IF('(AS-400 Jembatan)'!AP32=0," ",'(AS-400 Jembatan)'!AP32+'(AS-400 Transfer)'!$BF32)</f>
        <v xml:space="preserve"> </v>
      </c>
      <c r="AY32" s="600" t="str">
        <f>+IF('(AS-400 Jembatan)'!AQ32=0," ",'(AS-400 Jembatan)'!AQ32+'(AS-400 Transfer)'!$BF32)</f>
        <v xml:space="preserve"> </v>
      </c>
      <c r="AZ32" s="600"/>
      <c r="BA32" s="600">
        <f t="shared" si="17"/>
        <v>0</v>
      </c>
      <c r="BB32" s="600">
        <f>+'(AS-400 Jembatan)'!AT32</f>
        <v>0</v>
      </c>
      <c r="BC32" s="600" t="e">
        <f t="shared" si="18"/>
        <v>#DIV/0!</v>
      </c>
      <c r="BD32" s="609">
        <f t="shared" si="19"/>
        <v>0</v>
      </c>
      <c r="BE32" s="609" t="e">
        <f t="shared" si="20"/>
        <v>#DIV/0!</v>
      </c>
      <c r="BF32" s="646" t="e">
        <v>#DIV/0!</v>
      </c>
      <c r="BG32" s="782" t="str">
        <f>+IF('(AS-400 Jembatan)'!AW32=0," ",'(AS-400 Jembatan)'!AW32+'(AS-400 Transfer)'!$BQ32)</f>
        <v xml:space="preserve"> </v>
      </c>
      <c r="BH32" s="774" t="str">
        <f>+IF('(AS-400 Jembatan)'!AX32=0," ",'(AS-400 Jembatan)'!AX32+'(AS-400 Transfer)'!$BQ32)</f>
        <v xml:space="preserve"> </v>
      </c>
      <c r="BI32" s="865" t="str">
        <f>+IF('(AS-400 Jembatan)'!AY32=0," ",'(AS-400 Jembatan)'!AY32+'(AS-400 Transfer)'!$BQ32)</f>
        <v xml:space="preserve"> </v>
      </c>
      <c r="BJ32" s="774" t="str">
        <f>+IF('(AS-400 Jembatan)'!AZ32=0," ",'(AS-400 Jembatan)'!AZ32+'(AS-400 Transfer)'!$BQ32)</f>
        <v xml:space="preserve"> </v>
      </c>
      <c r="BK32" s="774" t="str">
        <f>+IF('(AS-400 Jembatan)'!BA32=0," ",'(AS-400 Jembatan)'!BA32+'(AS-400 Transfer)'!$BQ32)</f>
        <v xml:space="preserve"> </v>
      </c>
      <c r="BL32" s="774">
        <f t="shared" si="21"/>
        <v>0</v>
      </c>
      <c r="BM32" s="774">
        <f>+'(AS-400 Jembatan)'!BC32</f>
        <v>0</v>
      </c>
      <c r="BN32" s="774" t="e">
        <f t="shared" si="22"/>
        <v>#DIV/0!</v>
      </c>
      <c r="BO32" s="866">
        <f t="shared" si="23"/>
        <v>0</v>
      </c>
      <c r="BP32" s="866" t="e">
        <f t="shared" si="24"/>
        <v>#DIV/0!</v>
      </c>
      <c r="BQ32" s="646" t="e">
        <v>#DIV/0!</v>
      </c>
    </row>
    <row r="33" spans="1:69" s="1143" customFormat="1" ht="15" hidden="1" customHeight="1">
      <c r="A33" s="1590"/>
      <c r="B33" s="820" t="str">
        <f>+GUM!C39</f>
        <v>82111-F2W83</v>
      </c>
      <c r="C33" s="964" t="str">
        <f>GUM!D39</f>
        <v>B 0301</v>
      </c>
      <c r="D33" s="827" t="str">
        <f>+IF('(AS-400 Jembatan)'!D33=0," ",'(AS-400 Jembatan)'!#REF!+'(AS-400 Transfer)'!$N33)</f>
        <v xml:space="preserve"> </v>
      </c>
      <c r="E33" s="606" t="str">
        <f>+IF('(AS-400 Jembatan)'!E33=0," ",'(AS-400 Jembatan)'!#REF!+'(AS-400 Transfer)'!$N33)</f>
        <v xml:space="preserve"> </v>
      </c>
      <c r="F33" s="606" t="str">
        <f>+IF('(AS-400 Jembatan)'!F33=0," ",'(AS-400 Jembatan)'!#REF!+'(AS-400 Transfer)'!$N33)</f>
        <v xml:space="preserve"> </v>
      </c>
      <c r="G33" s="606" t="str">
        <f>+IF('(AS-400 Jembatan)'!G33=0," ",'(AS-400 Jembatan)'!#REF!+'(AS-400 Transfer)'!$N33)</f>
        <v xml:space="preserve"> </v>
      </c>
      <c r="H33" s="606" t="str">
        <f>+IF('(AS-400 Jembatan)'!H33=0," ",'(AS-400 Jembatan)'!#REF!+'(AS-400 Transfer)'!$N33)</f>
        <v xml:space="preserve"> </v>
      </c>
      <c r="I33" s="606">
        <f>SUM(D33:H33)</f>
        <v>0</v>
      </c>
      <c r="J33" s="607">
        <f>+'(AS-400 Jembatan)'!J33</f>
        <v>0</v>
      </c>
      <c r="K33" s="607" t="e">
        <f>(J33-I33)/L33</f>
        <v>#DIV/0!</v>
      </c>
      <c r="L33" s="612"/>
      <c r="M33" s="612"/>
      <c r="N33" s="612"/>
      <c r="O33" s="619" t="str">
        <f>+IF('(AS-400 Jembatan)'!M33=0," ",'(AS-400 Jembatan)'!M33+'(AS-400 Transfer)'!$Y33)</f>
        <v xml:space="preserve"> </v>
      </c>
      <c r="P33" s="606" t="str">
        <f>+IF('(AS-400 Jembatan)'!N33=0," ",'(AS-400 Jembatan)'!N33+'(AS-400 Transfer)'!$Y33)</f>
        <v xml:space="preserve"> </v>
      </c>
      <c r="Q33" s="733" t="str">
        <f>+IF('(AS-400 Jembatan)'!O33=0," ",'(AS-400 Jembatan)'!O33+'(AS-400 Transfer)'!$Y33)</f>
        <v xml:space="preserve"> </v>
      </c>
      <c r="R33" s="606" t="str">
        <f>+IF('(AS-400 Jembatan)'!P33=0," ",'(AS-400 Jembatan)'!P33+'(AS-400 Transfer)'!$Y33)</f>
        <v xml:space="preserve"> </v>
      </c>
      <c r="S33" s="606" t="str">
        <f>+IF('(AS-400 Jembatan)'!Q33=0," ",'(AS-400 Jembatan)'!Q33+'(AS-400 Transfer)'!$Y33)</f>
        <v xml:space="preserve"> </v>
      </c>
      <c r="T33" s="606">
        <f t="shared" si="5"/>
        <v>0</v>
      </c>
      <c r="U33" s="606">
        <f>+'(AS-400 Jembatan)'!S33</f>
        <v>0</v>
      </c>
      <c r="V33" s="606" t="e">
        <f t="shared" si="6"/>
        <v>#DIV/0!</v>
      </c>
      <c r="W33" s="612">
        <f t="shared" si="7"/>
        <v>0</v>
      </c>
      <c r="X33" s="612" t="e">
        <f t="shared" si="8"/>
        <v>#DIV/0!</v>
      </c>
      <c r="Y33" s="613" t="e">
        <v>#DIV/0!</v>
      </c>
      <c r="Z33" s="619" t="str">
        <f>+IF('(AS-400 Jembatan)'!V33=0," ",'(AS-400 Jembatan)'!V33+'(AS-400 Transfer)'!$AJ33)</f>
        <v xml:space="preserve"> </v>
      </c>
      <c r="AA33" s="715" t="str">
        <f>+IF('(AS-400 Jembatan)'!W33=0," ",'(AS-400 Jembatan)'!W33+'(AS-400 Transfer)'!$AJ33)</f>
        <v xml:space="preserve"> </v>
      </c>
      <c r="AB33" s="733" t="str">
        <f>+IF('(AS-400 Jembatan)'!X33=0," ",'(AS-400 Jembatan)'!X33+'(AS-400 Transfer)'!$AJ33)</f>
        <v xml:space="preserve"> </v>
      </c>
      <c r="AC33" s="606" t="str">
        <f>+IF('(AS-400 Jembatan)'!Y33=0," ",'(AS-400 Jembatan)'!Y33+'(AS-400 Transfer)'!$AJ33)</f>
        <v xml:space="preserve"> </v>
      </c>
      <c r="AD33" s="606" t="str">
        <f>+IF('(AS-400 Jembatan)'!Z33=0," ",'(AS-400 Jembatan)'!Z33+'(AS-400 Transfer)'!$AJ33)</f>
        <v xml:space="preserve"> </v>
      </c>
      <c r="AE33" s="606">
        <f t="shared" si="9"/>
        <v>0</v>
      </c>
      <c r="AF33" s="606">
        <f>+'(AS-400 Jembatan)'!AB33</f>
        <v>0</v>
      </c>
      <c r="AG33" s="606" t="e">
        <f t="shared" si="10"/>
        <v>#DIV/0!</v>
      </c>
      <c r="AH33" s="612">
        <f t="shared" si="11"/>
        <v>0</v>
      </c>
      <c r="AI33" s="607" t="e">
        <f t="shared" si="12"/>
        <v>#DIV/0!</v>
      </c>
      <c r="AJ33" s="613" t="e">
        <v>#DIV/0!</v>
      </c>
      <c r="AK33" s="619" t="str">
        <f>+IF('(AS-400 Jembatan)'!AE33=0," ",'(AS-400 Jembatan)'!AE33+'(AS-400 Transfer)'!$AU33)</f>
        <v xml:space="preserve"> </v>
      </c>
      <c r="AL33" s="606" t="str">
        <f>+IF('(AS-400 Jembatan)'!AF33=0," ",'(AS-400 Jembatan)'!AF33+'(AS-400 Transfer)'!$AU33)</f>
        <v xml:space="preserve"> </v>
      </c>
      <c r="AM33" s="733" t="str">
        <f>+IF('(AS-400 Jembatan)'!AG33=0," ",'(AS-400 Jembatan)'!AG33+'(AS-400 Transfer)'!$AU33)</f>
        <v xml:space="preserve"> </v>
      </c>
      <c r="AN33" s="606" t="str">
        <f>+IF('(AS-400 Jembatan)'!AH33=0," ",'(AS-400 Jembatan)'!AH33+'(AS-400 Transfer)'!$AU33)</f>
        <v xml:space="preserve"> </v>
      </c>
      <c r="AO33" s="606"/>
      <c r="AP33" s="606">
        <f t="shared" si="13"/>
        <v>0</v>
      </c>
      <c r="AQ33" s="606">
        <f>+'(AS-400 Jembatan)'!AK33</f>
        <v>0</v>
      </c>
      <c r="AR33" s="606" t="e">
        <f t="shared" si="14"/>
        <v>#DIV/0!</v>
      </c>
      <c r="AS33" s="612">
        <f t="shared" si="15"/>
        <v>0</v>
      </c>
      <c r="AT33" s="612" t="e">
        <f t="shared" si="16"/>
        <v>#DIV/0!</v>
      </c>
      <c r="AU33" s="613" t="e">
        <v>#DIV/0!</v>
      </c>
      <c r="AV33" s="619" t="str">
        <f>+IF('(AS-400 Jembatan)'!AN33=0," ",'(AS-400 Jembatan)'!AN33+'(AS-400 Transfer)'!$BF33)</f>
        <v xml:space="preserve"> </v>
      </c>
      <c r="AW33" s="606" t="str">
        <f>+IF('(AS-400 Jembatan)'!AO33=0," ",'(AS-400 Jembatan)'!AO33+'(AS-400 Transfer)'!$BF33)</f>
        <v xml:space="preserve"> </v>
      </c>
      <c r="AX33" s="733" t="str">
        <f>+IF('(AS-400 Jembatan)'!AP33=0," ",'(AS-400 Jembatan)'!AP33+'(AS-400 Transfer)'!$BF33)</f>
        <v xml:space="preserve"> </v>
      </c>
      <c r="AY33" s="606" t="str">
        <f>+IF('(AS-400 Jembatan)'!AQ33=0," ",'(AS-400 Jembatan)'!AQ33+'(AS-400 Transfer)'!$BF33)</f>
        <v xml:space="preserve"> </v>
      </c>
      <c r="AZ33" s="606"/>
      <c r="BA33" s="606">
        <f t="shared" si="17"/>
        <v>0</v>
      </c>
      <c r="BB33" s="606">
        <f>+'(AS-400 Jembatan)'!AT33</f>
        <v>0</v>
      </c>
      <c r="BC33" s="606" t="e">
        <f t="shared" si="18"/>
        <v>#DIV/0!</v>
      </c>
      <c r="BD33" s="612">
        <f t="shared" si="19"/>
        <v>0</v>
      </c>
      <c r="BE33" s="612" t="e">
        <f t="shared" si="20"/>
        <v>#DIV/0!</v>
      </c>
      <c r="BF33" s="613" t="e">
        <v>#DIV/0!</v>
      </c>
      <c r="BG33" s="867" t="str">
        <f>+IF('(AS-400 Jembatan)'!AW33=0," ",'(AS-400 Jembatan)'!AW33+'(AS-400 Transfer)'!$BQ33)</f>
        <v xml:space="preserve"> </v>
      </c>
      <c r="BH33" s="868" t="str">
        <f>+IF('(AS-400 Jembatan)'!AX33=0," ",'(AS-400 Jembatan)'!AX33+'(AS-400 Transfer)'!$BQ33)</f>
        <v xml:space="preserve"> </v>
      </c>
      <c r="BI33" s="869" t="str">
        <f>+IF('(AS-400 Jembatan)'!AY33=0," ",'(AS-400 Jembatan)'!AY33+'(AS-400 Transfer)'!$BQ33)</f>
        <v xml:space="preserve"> </v>
      </c>
      <c r="BJ33" s="868" t="str">
        <f>+IF('(AS-400 Jembatan)'!AZ33=0," ",'(AS-400 Jembatan)'!AZ33+'(AS-400 Transfer)'!$BQ33)</f>
        <v xml:space="preserve"> </v>
      </c>
      <c r="BK33" s="868" t="str">
        <f>+IF('(AS-400 Jembatan)'!BA33=0," ",'(AS-400 Jembatan)'!BA33+'(AS-400 Transfer)'!$BQ33)</f>
        <v xml:space="preserve"> </v>
      </c>
      <c r="BL33" s="868">
        <f t="shared" si="21"/>
        <v>0</v>
      </c>
      <c r="BM33" s="868">
        <f>+'(AS-400 Jembatan)'!BC33</f>
        <v>0</v>
      </c>
      <c r="BN33" s="868" t="e">
        <f t="shared" si="22"/>
        <v>#DIV/0!</v>
      </c>
      <c r="BO33" s="871">
        <f t="shared" si="23"/>
        <v>0</v>
      </c>
      <c r="BP33" s="871" t="e">
        <f t="shared" si="24"/>
        <v>#DIV/0!</v>
      </c>
      <c r="BQ33" s="613" t="e">
        <v>#DIV/0!</v>
      </c>
    </row>
    <row r="34" spans="1:69" s="1140" customFormat="1" ht="15" hidden="1" customHeight="1" thickBot="1">
      <c r="A34" s="1591"/>
      <c r="B34" s="1131" t="str">
        <f>+GUM!C40</f>
        <v>82115-F2Y40</v>
      </c>
      <c r="C34" s="1002" t="str">
        <f>GUM!D40</f>
        <v>B 0201</v>
      </c>
      <c r="D34" s="1004" t="str">
        <f>+IF('(AS-400 Jembatan)'!D34=0," ",'(AS-400 Jembatan)'!#REF!+'(AS-400 Transfer)'!$N34)</f>
        <v xml:space="preserve"> </v>
      </c>
      <c r="E34" s="1005" t="str">
        <f>+IF('(AS-400 Jembatan)'!E34=0," ",'(AS-400 Jembatan)'!#REF!+'(AS-400 Transfer)'!$N34)</f>
        <v xml:space="preserve"> </v>
      </c>
      <c r="F34" s="1005" t="str">
        <f>+IF('(AS-400 Jembatan)'!F34=0," ",'(AS-400 Jembatan)'!#REF!+'(AS-400 Transfer)'!$N34)</f>
        <v xml:space="preserve"> </v>
      </c>
      <c r="G34" s="1005" t="str">
        <f>+IF('(AS-400 Jembatan)'!G34=0," ",'(AS-400 Jembatan)'!#REF!+'(AS-400 Transfer)'!$N34)</f>
        <v xml:space="preserve"> </v>
      </c>
      <c r="H34" s="1005" t="str">
        <f>+IF('(AS-400 Jembatan)'!H34=0," ",'(AS-400 Jembatan)'!#REF!+'(AS-400 Transfer)'!$N34)</f>
        <v xml:space="preserve"> </v>
      </c>
      <c r="I34" s="1005">
        <f>SUM(D34:H34)</f>
        <v>0</v>
      </c>
      <c r="J34" s="1006">
        <f>+'(AS-400 Jembatan)'!J34</f>
        <v>0</v>
      </c>
      <c r="K34" s="1006" t="e">
        <f>(J34-I34)/L34</f>
        <v>#DIV/0!</v>
      </c>
      <c r="L34" s="837"/>
      <c r="M34" s="837"/>
      <c r="N34" s="837"/>
      <c r="O34" s="1007" t="str">
        <f>+IF('(AS-400 Jembatan)'!M34=0," ",'(AS-400 Jembatan)'!M34+'(AS-400 Transfer)'!$Y34)</f>
        <v xml:space="preserve"> </v>
      </c>
      <c r="P34" s="1005" t="str">
        <f>+IF('(AS-400 Jembatan)'!N34=0," ",'(AS-400 Jembatan)'!N34+'(AS-400 Transfer)'!$Y34)</f>
        <v xml:space="preserve"> </v>
      </c>
      <c r="Q34" s="1008" t="str">
        <f>+IF('(AS-400 Jembatan)'!O34=0," ",'(AS-400 Jembatan)'!O34+'(AS-400 Transfer)'!$Y34)</f>
        <v xml:space="preserve"> </v>
      </c>
      <c r="R34" s="1005" t="str">
        <f>+IF('(AS-400 Jembatan)'!P34=0," ",'(AS-400 Jembatan)'!P34+'(AS-400 Transfer)'!$Y34)</f>
        <v xml:space="preserve"> </v>
      </c>
      <c r="S34" s="1005" t="str">
        <f>+IF('(AS-400 Jembatan)'!Q34=0," ",'(AS-400 Jembatan)'!Q34+'(AS-400 Transfer)'!$Y34)</f>
        <v xml:space="preserve"> </v>
      </c>
      <c r="T34" s="1005">
        <f t="shared" si="5"/>
        <v>0</v>
      </c>
      <c r="U34" s="1005">
        <f>+'(AS-400 Jembatan)'!S34</f>
        <v>0</v>
      </c>
      <c r="V34" s="1005" t="e">
        <f t="shared" si="6"/>
        <v>#DIV/0!</v>
      </c>
      <c r="W34" s="837">
        <f t="shared" si="7"/>
        <v>0</v>
      </c>
      <c r="X34" s="837" t="e">
        <f t="shared" si="8"/>
        <v>#DIV/0!</v>
      </c>
      <c r="Y34" s="1009" t="e">
        <v>#DIV/0!</v>
      </c>
      <c r="Z34" s="1007" t="str">
        <f>+IF('(AS-400 Jembatan)'!V34=0," ",'(AS-400 Jembatan)'!V34+'(AS-400 Transfer)'!$AJ34)</f>
        <v xml:space="preserve"> </v>
      </c>
      <c r="AA34" s="1010" t="str">
        <f>+IF('(AS-400 Jembatan)'!W34=0," ",'(AS-400 Jembatan)'!W34+'(AS-400 Transfer)'!$AJ34)</f>
        <v xml:space="preserve"> </v>
      </c>
      <c r="AB34" s="1008" t="str">
        <f>+IF('(AS-400 Jembatan)'!X34=0," ",'(AS-400 Jembatan)'!X34+'(AS-400 Transfer)'!$AJ34)</f>
        <v xml:space="preserve"> </v>
      </c>
      <c r="AC34" s="1005" t="str">
        <f>+IF('(AS-400 Jembatan)'!Y34=0," ",'(AS-400 Jembatan)'!Y34+'(AS-400 Transfer)'!$AJ34)</f>
        <v xml:space="preserve"> </v>
      </c>
      <c r="AD34" s="1005" t="str">
        <f>+IF('(AS-400 Jembatan)'!Z34=0," ",'(AS-400 Jembatan)'!Z34+'(AS-400 Transfer)'!$AJ34)</f>
        <v xml:space="preserve"> </v>
      </c>
      <c r="AE34" s="1005">
        <f t="shared" si="9"/>
        <v>0</v>
      </c>
      <c r="AF34" s="1005">
        <f>+'(AS-400 Jembatan)'!AB34</f>
        <v>0</v>
      </c>
      <c r="AG34" s="1005" t="e">
        <f t="shared" si="10"/>
        <v>#DIV/0!</v>
      </c>
      <c r="AH34" s="837">
        <f t="shared" si="11"/>
        <v>0</v>
      </c>
      <c r="AI34" s="1006" t="e">
        <f t="shared" si="12"/>
        <v>#DIV/0!</v>
      </c>
      <c r="AJ34" s="1009" t="e">
        <v>#DIV/0!</v>
      </c>
      <c r="AK34" s="1007" t="str">
        <f>+IF('(AS-400 Jembatan)'!AE34=0," ",'(AS-400 Jembatan)'!AE34+'(AS-400 Transfer)'!$AU34)</f>
        <v xml:space="preserve"> </v>
      </c>
      <c r="AL34" s="1005" t="str">
        <f>+IF('(AS-400 Jembatan)'!AF34=0," ",'(AS-400 Jembatan)'!AF34+'(AS-400 Transfer)'!$AU34)</f>
        <v xml:space="preserve"> </v>
      </c>
      <c r="AM34" s="1008" t="str">
        <f>+IF('(AS-400 Jembatan)'!AG34=0," ",'(AS-400 Jembatan)'!AG34+'(AS-400 Transfer)'!$AU34)</f>
        <v xml:space="preserve"> </v>
      </c>
      <c r="AN34" s="1005" t="str">
        <f>+IF('(AS-400 Jembatan)'!AH34=0," ",'(AS-400 Jembatan)'!AH34+'(AS-400 Transfer)'!$AU34)</f>
        <v xml:space="preserve"> </v>
      </c>
      <c r="AO34" s="1005"/>
      <c r="AP34" s="1005">
        <f t="shared" si="13"/>
        <v>0</v>
      </c>
      <c r="AQ34" s="1005">
        <f>+'(AS-400 Jembatan)'!AK34</f>
        <v>0</v>
      </c>
      <c r="AR34" s="1005" t="e">
        <f t="shared" si="14"/>
        <v>#DIV/0!</v>
      </c>
      <c r="AS34" s="837">
        <f t="shared" si="15"/>
        <v>0</v>
      </c>
      <c r="AT34" s="837" t="e">
        <f t="shared" si="16"/>
        <v>#DIV/0!</v>
      </c>
      <c r="AU34" s="1009" t="e">
        <v>#DIV/0!</v>
      </c>
      <c r="AV34" s="1007" t="str">
        <f>+IF('(AS-400 Jembatan)'!AN34=0," ",'(AS-400 Jembatan)'!AN34+'(AS-400 Transfer)'!$BF34)</f>
        <v xml:space="preserve"> </v>
      </c>
      <c r="AW34" s="1005" t="str">
        <f>+IF('(AS-400 Jembatan)'!AO34=0," ",'(AS-400 Jembatan)'!AO34+'(AS-400 Transfer)'!$BF34)</f>
        <v xml:space="preserve"> </v>
      </c>
      <c r="AX34" s="1008" t="str">
        <f>+IF('(AS-400 Jembatan)'!AP34=0," ",'(AS-400 Jembatan)'!AP34+'(AS-400 Transfer)'!$BF34)</f>
        <v xml:space="preserve"> </v>
      </c>
      <c r="AY34" s="1005" t="str">
        <f>+IF('(AS-400 Jembatan)'!AQ34=0," ",'(AS-400 Jembatan)'!AQ34+'(AS-400 Transfer)'!$BF34)</f>
        <v xml:space="preserve"> </v>
      </c>
      <c r="AZ34" s="1005"/>
      <c r="BA34" s="1005">
        <f t="shared" si="17"/>
        <v>0</v>
      </c>
      <c r="BB34" s="1005">
        <f>+'(AS-400 Jembatan)'!AT34</f>
        <v>0</v>
      </c>
      <c r="BC34" s="1005" t="e">
        <f t="shared" si="18"/>
        <v>#DIV/0!</v>
      </c>
      <c r="BD34" s="837">
        <f t="shared" si="19"/>
        <v>0</v>
      </c>
      <c r="BE34" s="837" t="e">
        <f t="shared" si="20"/>
        <v>#DIV/0!</v>
      </c>
      <c r="BF34" s="1009" t="e">
        <v>#DIV/0!</v>
      </c>
      <c r="BG34" s="925" t="str">
        <f>+IF('(AS-400 Jembatan)'!AW34=0," ",'(AS-400 Jembatan)'!AW34+'(AS-400 Transfer)'!$BQ34)</f>
        <v xml:space="preserve"> </v>
      </c>
      <c r="BH34" s="923" t="str">
        <f>+IF('(AS-400 Jembatan)'!AX34=0," ",'(AS-400 Jembatan)'!AX34+'(AS-400 Transfer)'!$BQ34)</f>
        <v xml:space="preserve"> </v>
      </c>
      <c r="BI34" s="1011" t="str">
        <f>+IF('(AS-400 Jembatan)'!AY34=0," ",'(AS-400 Jembatan)'!AY34+'(AS-400 Transfer)'!$BQ34)</f>
        <v xml:space="preserve"> </v>
      </c>
      <c r="BJ34" s="923" t="str">
        <f>+IF('(AS-400 Jembatan)'!AZ34=0," ",'(AS-400 Jembatan)'!AZ34+'(AS-400 Transfer)'!$BQ34)</f>
        <v xml:space="preserve"> </v>
      </c>
      <c r="BK34" s="923" t="str">
        <f>+IF('(AS-400 Jembatan)'!BA34=0," ",'(AS-400 Jembatan)'!BA34+'(AS-400 Transfer)'!$BQ34)</f>
        <v xml:space="preserve"> </v>
      </c>
      <c r="BL34" s="923">
        <f t="shared" si="21"/>
        <v>0</v>
      </c>
      <c r="BM34" s="923">
        <f>+'(AS-400 Jembatan)'!BC34</f>
        <v>0</v>
      </c>
      <c r="BN34" s="923" t="e">
        <f t="shared" si="22"/>
        <v>#DIV/0!</v>
      </c>
      <c r="BO34" s="1012">
        <f t="shared" si="23"/>
        <v>0</v>
      </c>
      <c r="BP34" s="1012" t="e">
        <f t="shared" si="24"/>
        <v>#DIV/0!</v>
      </c>
      <c r="BQ34" s="1009" t="e">
        <v>#DIV/0!</v>
      </c>
    </row>
    <row r="35" spans="1:69" s="1143" customFormat="1" ht="15.75" hidden="1" customHeight="1">
      <c r="A35" s="1589" t="s">
        <v>192</v>
      </c>
      <c r="B35" s="820" t="str">
        <f>+GUM!C41</f>
        <v>82111-F2132</v>
      </c>
      <c r="C35" s="964" t="str">
        <f>GUM!D41</f>
        <v>B 0001</v>
      </c>
      <c r="D35" s="827"/>
      <c r="E35" s="606"/>
      <c r="F35" s="606"/>
      <c r="G35" s="606"/>
      <c r="H35" s="606"/>
      <c r="I35" s="606"/>
      <c r="J35" s="607"/>
      <c r="K35" s="607"/>
      <c r="L35" s="612"/>
      <c r="M35" s="612"/>
      <c r="N35" s="612"/>
      <c r="O35" s="619" t="str">
        <f>+IF('(AS-400 Jembatan)'!M35=0," ",'(AS-400 Jembatan)'!M35+'(AS-400 Transfer)'!$Y35)</f>
        <v xml:space="preserve"> </v>
      </c>
      <c r="P35" s="606" t="str">
        <f>+IF('(AS-400 Jembatan)'!N35=0," ",'(AS-400 Jembatan)'!N35+'(AS-400 Transfer)'!$Y35)</f>
        <v xml:space="preserve"> </v>
      </c>
      <c r="Q35" s="733" t="str">
        <f>+IF('(AS-400 Jembatan)'!O35=0," ",'(AS-400 Jembatan)'!O35+'(AS-400 Transfer)'!$Y35)</f>
        <v xml:space="preserve"> </v>
      </c>
      <c r="R35" s="606" t="str">
        <f>+IF('(AS-400 Jembatan)'!P35=0," ",'(AS-400 Jembatan)'!P35+'(AS-400 Transfer)'!$Y35)</f>
        <v xml:space="preserve"> </v>
      </c>
      <c r="S35" s="606" t="str">
        <f>+IF('(AS-400 Jembatan)'!Q35=0," ",'(AS-400 Jembatan)'!Q35+'(AS-400 Transfer)'!$Y35)</f>
        <v xml:space="preserve"> </v>
      </c>
      <c r="T35" s="606">
        <f t="shared" si="5"/>
        <v>0</v>
      </c>
      <c r="U35" s="606">
        <f>+'(AS-400 Jembatan)'!S35</f>
        <v>0</v>
      </c>
      <c r="V35" s="606" t="e">
        <f t="shared" si="6"/>
        <v>#DIV/0!</v>
      </c>
      <c r="W35" s="612">
        <f t="shared" si="7"/>
        <v>0</v>
      </c>
      <c r="X35" s="612" t="e">
        <f t="shared" si="8"/>
        <v>#DIV/0!</v>
      </c>
      <c r="Y35" s="613" t="e">
        <v>#DIV/0!</v>
      </c>
      <c r="Z35" s="619" t="str">
        <f>+IF('(AS-400 Jembatan)'!V35=0," ",'(AS-400 Jembatan)'!V35+'(AS-400 Transfer)'!$AJ35)</f>
        <v xml:space="preserve"> </v>
      </c>
      <c r="AA35" s="715" t="str">
        <f>+IF('(AS-400 Jembatan)'!W35=0," ",'(AS-400 Jembatan)'!W35+'(AS-400 Transfer)'!$AJ35)</f>
        <v xml:space="preserve"> </v>
      </c>
      <c r="AB35" s="733" t="str">
        <f>+IF('(AS-400 Jembatan)'!X35=0," ",'(AS-400 Jembatan)'!X35+'(AS-400 Transfer)'!$AJ35)</f>
        <v xml:space="preserve"> </v>
      </c>
      <c r="AC35" s="606" t="str">
        <f>+IF('(AS-400 Jembatan)'!Y35=0," ",'(AS-400 Jembatan)'!Y35+'(AS-400 Transfer)'!$AJ35)</f>
        <v xml:space="preserve"> </v>
      </c>
      <c r="AD35" s="606" t="str">
        <f>+IF('(AS-400 Jembatan)'!Z35=0," ",'(AS-400 Jembatan)'!Z35+'(AS-400 Transfer)'!$AJ35)</f>
        <v xml:space="preserve"> </v>
      </c>
      <c r="AE35" s="606">
        <f t="shared" si="9"/>
        <v>0</v>
      </c>
      <c r="AF35" s="606">
        <f>+'(AS-400 Jembatan)'!AB35</f>
        <v>0</v>
      </c>
      <c r="AG35" s="606" t="e">
        <f t="shared" si="10"/>
        <v>#DIV/0!</v>
      </c>
      <c r="AH35" s="612">
        <f t="shared" si="11"/>
        <v>0</v>
      </c>
      <c r="AI35" s="607" t="e">
        <f t="shared" si="12"/>
        <v>#DIV/0!</v>
      </c>
      <c r="AJ35" s="613" t="e">
        <v>#DIV/0!</v>
      </c>
      <c r="AK35" s="619" t="str">
        <f>+IF('(AS-400 Jembatan)'!AE35=0," ",'(AS-400 Jembatan)'!AE35+'(AS-400 Transfer)'!$AU35)</f>
        <v xml:space="preserve"> </v>
      </c>
      <c r="AL35" s="606" t="str">
        <f>+IF('(AS-400 Jembatan)'!AF35=0," ",'(AS-400 Jembatan)'!AF35+'(AS-400 Transfer)'!$AU35)</f>
        <v xml:space="preserve"> </v>
      </c>
      <c r="AM35" s="733" t="str">
        <f>+IF('(AS-400 Jembatan)'!AG35=0," ",'(AS-400 Jembatan)'!AG35+'(AS-400 Transfer)'!$AU35)</f>
        <v xml:space="preserve"> </v>
      </c>
      <c r="AN35" s="606" t="str">
        <f>+IF('(AS-400 Jembatan)'!AH35=0," ",'(AS-400 Jembatan)'!AH35+'(AS-400 Transfer)'!$AU35)</f>
        <v xml:space="preserve"> </v>
      </c>
      <c r="AO35" s="606"/>
      <c r="AP35" s="606">
        <f t="shared" si="13"/>
        <v>0</v>
      </c>
      <c r="AQ35" s="606">
        <f>+'(AS-400 Jembatan)'!AK35</f>
        <v>0</v>
      </c>
      <c r="AR35" s="606" t="e">
        <f t="shared" si="14"/>
        <v>#DIV/0!</v>
      </c>
      <c r="AS35" s="612">
        <f t="shared" si="15"/>
        <v>0</v>
      </c>
      <c r="AT35" s="612" t="e">
        <f t="shared" si="16"/>
        <v>#DIV/0!</v>
      </c>
      <c r="AU35" s="613" t="e">
        <v>#DIV/0!</v>
      </c>
      <c r="AV35" s="619" t="str">
        <f>+IF('(AS-400 Jembatan)'!AN35=0," ",'(AS-400 Jembatan)'!AN35+'(AS-400 Transfer)'!$BF35)</f>
        <v xml:space="preserve"> </v>
      </c>
      <c r="AW35" s="606" t="str">
        <f>+IF('(AS-400 Jembatan)'!AO35=0," ",'(AS-400 Jembatan)'!AO35+'(AS-400 Transfer)'!$BF35)</f>
        <v xml:space="preserve"> </v>
      </c>
      <c r="AX35" s="733" t="str">
        <f>+IF('(AS-400 Jembatan)'!AP35=0," ",'(AS-400 Jembatan)'!AP35+'(AS-400 Transfer)'!$BF35)</f>
        <v xml:space="preserve"> </v>
      </c>
      <c r="AY35" s="606" t="str">
        <f>+IF('(AS-400 Jembatan)'!AQ35=0," ",'(AS-400 Jembatan)'!AQ35+'(AS-400 Transfer)'!$BF35)</f>
        <v xml:space="preserve"> </v>
      </c>
      <c r="AZ35" s="606"/>
      <c r="BA35" s="606">
        <f t="shared" si="17"/>
        <v>0</v>
      </c>
      <c r="BB35" s="606">
        <f>+'(AS-400 Jembatan)'!AT35</f>
        <v>0</v>
      </c>
      <c r="BC35" s="606" t="e">
        <f t="shared" si="18"/>
        <v>#DIV/0!</v>
      </c>
      <c r="BD35" s="612">
        <f t="shared" si="19"/>
        <v>0</v>
      </c>
      <c r="BE35" s="612" t="e">
        <f t="shared" si="20"/>
        <v>#DIV/0!</v>
      </c>
      <c r="BF35" s="613" t="e">
        <v>#DIV/0!</v>
      </c>
      <c r="BG35" s="867" t="str">
        <f>+IF('(AS-400 Jembatan)'!AW35=0," ",'(AS-400 Jembatan)'!AW35+'(AS-400 Transfer)'!$BQ35)</f>
        <v xml:space="preserve"> </v>
      </c>
      <c r="BH35" s="868" t="str">
        <f>+IF('(AS-400 Jembatan)'!AX35=0," ",'(AS-400 Jembatan)'!AX35+'(AS-400 Transfer)'!$BQ35)</f>
        <v xml:space="preserve"> </v>
      </c>
      <c r="BI35" s="869" t="str">
        <f>+IF('(AS-400 Jembatan)'!AY35=0," ",'(AS-400 Jembatan)'!AY35+'(AS-400 Transfer)'!$BQ35)</f>
        <v xml:space="preserve"> </v>
      </c>
      <c r="BJ35" s="868" t="str">
        <f>+IF('(AS-400 Jembatan)'!AZ35=0," ",'(AS-400 Jembatan)'!AZ35+'(AS-400 Transfer)'!$BQ35)</f>
        <v xml:space="preserve"> </v>
      </c>
      <c r="BK35" s="868" t="str">
        <f>+IF('(AS-400 Jembatan)'!BA35=0," ",'(AS-400 Jembatan)'!BA35+'(AS-400 Transfer)'!$BQ35)</f>
        <v xml:space="preserve"> </v>
      </c>
      <c r="BL35" s="868">
        <f t="shared" si="21"/>
        <v>0</v>
      </c>
      <c r="BM35" s="868">
        <f>+'(AS-400 Jembatan)'!BC35</f>
        <v>0</v>
      </c>
      <c r="BN35" s="868" t="e">
        <f t="shared" si="22"/>
        <v>#DIV/0!</v>
      </c>
      <c r="BO35" s="871">
        <f t="shared" si="23"/>
        <v>0</v>
      </c>
      <c r="BP35" s="871" t="e">
        <f t="shared" si="24"/>
        <v>#DIV/0!</v>
      </c>
      <c r="BQ35" s="613" t="e">
        <v>#DIV/0!</v>
      </c>
    </row>
    <row r="36" spans="1:69" s="1143" customFormat="1" ht="15.75" hidden="1" customHeight="1">
      <c r="A36" s="1590"/>
      <c r="B36" s="820" t="str">
        <f>+GUM!C42</f>
        <v>82111-F2152</v>
      </c>
      <c r="C36" s="964" t="str">
        <f>GUM!D42</f>
        <v>A 0301</v>
      </c>
      <c r="D36" s="827"/>
      <c r="E36" s="606"/>
      <c r="F36" s="606"/>
      <c r="G36" s="606"/>
      <c r="H36" s="606"/>
      <c r="I36" s="606"/>
      <c r="J36" s="607"/>
      <c r="K36" s="607"/>
      <c r="L36" s="612"/>
      <c r="M36" s="612"/>
      <c r="N36" s="612"/>
      <c r="O36" s="619" t="str">
        <f>+IF('(AS-400 Jembatan)'!M36=0," ",'(AS-400 Jembatan)'!M36+'(AS-400 Transfer)'!$Y36)</f>
        <v xml:space="preserve"> </v>
      </c>
      <c r="P36" s="606" t="str">
        <f>+IF('(AS-400 Jembatan)'!N36=0," ",'(AS-400 Jembatan)'!N36+'(AS-400 Transfer)'!$Y36)</f>
        <v xml:space="preserve"> </v>
      </c>
      <c r="Q36" s="733" t="str">
        <f>+IF('(AS-400 Jembatan)'!O36=0," ",'(AS-400 Jembatan)'!O36+'(AS-400 Transfer)'!$Y36)</f>
        <v xml:space="preserve"> </v>
      </c>
      <c r="R36" s="606" t="str">
        <f>+IF('(AS-400 Jembatan)'!P36=0," ",'(AS-400 Jembatan)'!P36+'(AS-400 Transfer)'!$Y36)</f>
        <v xml:space="preserve"> </v>
      </c>
      <c r="S36" s="606" t="str">
        <f>+IF('(AS-400 Jembatan)'!Q36=0," ",'(AS-400 Jembatan)'!Q36+'(AS-400 Transfer)'!$Y36)</f>
        <v xml:space="preserve"> </v>
      </c>
      <c r="T36" s="606">
        <f t="shared" si="5"/>
        <v>0</v>
      </c>
      <c r="U36" s="606">
        <f>+'(AS-400 Jembatan)'!S36</f>
        <v>0</v>
      </c>
      <c r="V36" s="606" t="e">
        <f t="shared" si="6"/>
        <v>#DIV/0!</v>
      </c>
      <c r="W36" s="612">
        <f t="shared" si="7"/>
        <v>0</v>
      </c>
      <c r="X36" s="612" t="e">
        <f t="shared" si="8"/>
        <v>#DIV/0!</v>
      </c>
      <c r="Y36" s="613" t="e">
        <v>#DIV/0!</v>
      </c>
      <c r="Z36" s="619" t="str">
        <f>+IF('(AS-400 Jembatan)'!V36=0," ",'(AS-400 Jembatan)'!V36+'(AS-400 Transfer)'!$AJ36)</f>
        <v xml:space="preserve"> </v>
      </c>
      <c r="AA36" s="715" t="str">
        <f>+IF('(AS-400 Jembatan)'!W36=0," ",'(AS-400 Jembatan)'!W36+'(AS-400 Transfer)'!$AJ36)</f>
        <v xml:space="preserve"> </v>
      </c>
      <c r="AB36" s="733" t="str">
        <f>+IF('(AS-400 Jembatan)'!X36=0," ",'(AS-400 Jembatan)'!X36+'(AS-400 Transfer)'!$AJ36)</f>
        <v xml:space="preserve"> </v>
      </c>
      <c r="AC36" s="606" t="str">
        <f>+IF('(AS-400 Jembatan)'!Y36=0," ",'(AS-400 Jembatan)'!Y36+'(AS-400 Transfer)'!$AJ36)</f>
        <v xml:space="preserve"> </v>
      </c>
      <c r="AD36" s="606" t="str">
        <f>+IF('(AS-400 Jembatan)'!Z36=0," ",'(AS-400 Jembatan)'!Z36+'(AS-400 Transfer)'!$AJ36)</f>
        <v xml:space="preserve"> </v>
      </c>
      <c r="AE36" s="606">
        <f t="shared" si="9"/>
        <v>0</v>
      </c>
      <c r="AF36" s="606">
        <f>+'(AS-400 Jembatan)'!AB36</f>
        <v>0</v>
      </c>
      <c r="AG36" s="606" t="e">
        <f t="shared" si="10"/>
        <v>#DIV/0!</v>
      </c>
      <c r="AH36" s="612">
        <f t="shared" si="11"/>
        <v>0</v>
      </c>
      <c r="AI36" s="607" t="e">
        <f t="shared" si="12"/>
        <v>#DIV/0!</v>
      </c>
      <c r="AJ36" s="613" t="e">
        <v>#DIV/0!</v>
      </c>
      <c r="AK36" s="619" t="str">
        <f>+IF('(AS-400 Jembatan)'!AE36=0," ",'(AS-400 Jembatan)'!AE36+'(AS-400 Transfer)'!$AU36)</f>
        <v xml:space="preserve"> </v>
      </c>
      <c r="AL36" s="606" t="str">
        <f>+IF('(AS-400 Jembatan)'!AF36=0," ",'(AS-400 Jembatan)'!AF36+'(AS-400 Transfer)'!$AU36)</f>
        <v xml:space="preserve"> </v>
      </c>
      <c r="AM36" s="733" t="str">
        <f>+IF('(AS-400 Jembatan)'!AG36=0," ",'(AS-400 Jembatan)'!AG36+'(AS-400 Transfer)'!$AU36)</f>
        <v xml:space="preserve"> </v>
      </c>
      <c r="AN36" s="606" t="str">
        <f>+IF('(AS-400 Jembatan)'!AH36=0," ",'(AS-400 Jembatan)'!AH36+'(AS-400 Transfer)'!$AU36)</f>
        <v xml:space="preserve"> </v>
      </c>
      <c r="AO36" s="606"/>
      <c r="AP36" s="606">
        <f t="shared" si="13"/>
        <v>0</v>
      </c>
      <c r="AQ36" s="606">
        <f>+'(AS-400 Jembatan)'!AK36</f>
        <v>0</v>
      </c>
      <c r="AR36" s="606" t="e">
        <f t="shared" si="14"/>
        <v>#DIV/0!</v>
      </c>
      <c r="AS36" s="612">
        <f t="shared" si="15"/>
        <v>0</v>
      </c>
      <c r="AT36" s="612" t="e">
        <f t="shared" si="16"/>
        <v>#DIV/0!</v>
      </c>
      <c r="AU36" s="613" t="e">
        <v>#DIV/0!</v>
      </c>
      <c r="AV36" s="619" t="str">
        <f>+IF('(AS-400 Jembatan)'!AN36=0," ",'(AS-400 Jembatan)'!AN36+'(AS-400 Transfer)'!$BF36)</f>
        <v xml:space="preserve"> </v>
      </c>
      <c r="AW36" s="606" t="str">
        <f>+IF('(AS-400 Jembatan)'!AO36=0," ",'(AS-400 Jembatan)'!AO36+'(AS-400 Transfer)'!$BF36)</f>
        <v xml:space="preserve"> </v>
      </c>
      <c r="AX36" s="733" t="str">
        <f>+IF('(AS-400 Jembatan)'!AP36=0," ",'(AS-400 Jembatan)'!AP36+'(AS-400 Transfer)'!$BF36)</f>
        <v xml:space="preserve"> </v>
      </c>
      <c r="AY36" s="606" t="str">
        <f>+IF('(AS-400 Jembatan)'!AQ36=0," ",'(AS-400 Jembatan)'!AQ36+'(AS-400 Transfer)'!$BF36)</f>
        <v xml:space="preserve"> </v>
      </c>
      <c r="AZ36" s="606"/>
      <c r="BA36" s="606">
        <f t="shared" si="17"/>
        <v>0</v>
      </c>
      <c r="BB36" s="606">
        <f>+'(AS-400 Jembatan)'!AT36</f>
        <v>0</v>
      </c>
      <c r="BC36" s="606" t="e">
        <f t="shared" si="18"/>
        <v>#DIV/0!</v>
      </c>
      <c r="BD36" s="612">
        <f t="shared" si="19"/>
        <v>0</v>
      </c>
      <c r="BE36" s="612" t="e">
        <f t="shared" si="20"/>
        <v>#DIV/0!</v>
      </c>
      <c r="BF36" s="613" t="e">
        <v>#DIV/0!</v>
      </c>
      <c r="BG36" s="867" t="str">
        <f>+IF('(AS-400 Jembatan)'!AW36=0," ",'(AS-400 Jembatan)'!AW36+'(AS-400 Transfer)'!$BQ36)</f>
        <v xml:space="preserve"> </v>
      </c>
      <c r="BH36" s="868" t="str">
        <f>+IF('(AS-400 Jembatan)'!AX36=0," ",'(AS-400 Jembatan)'!AX36+'(AS-400 Transfer)'!$BQ36)</f>
        <v xml:space="preserve"> </v>
      </c>
      <c r="BI36" s="869" t="str">
        <f>+IF('(AS-400 Jembatan)'!AY36=0," ",'(AS-400 Jembatan)'!AY36+'(AS-400 Transfer)'!$BQ36)</f>
        <v xml:space="preserve"> </v>
      </c>
      <c r="BJ36" s="868" t="str">
        <f>+IF('(AS-400 Jembatan)'!AZ36=0," ",'(AS-400 Jembatan)'!AZ36+'(AS-400 Transfer)'!$BQ36)</f>
        <v xml:space="preserve"> </v>
      </c>
      <c r="BK36" s="868" t="str">
        <f>+IF('(AS-400 Jembatan)'!BA36=0," ",'(AS-400 Jembatan)'!BA36+'(AS-400 Transfer)'!$BQ36)</f>
        <v xml:space="preserve"> </v>
      </c>
      <c r="BL36" s="868">
        <f t="shared" si="21"/>
        <v>0</v>
      </c>
      <c r="BM36" s="868">
        <f>+'(AS-400 Jembatan)'!BC36</f>
        <v>0</v>
      </c>
      <c r="BN36" s="868" t="e">
        <f t="shared" si="22"/>
        <v>#DIV/0!</v>
      </c>
      <c r="BO36" s="871">
        <f t="shared" si="23"/>
        <v>0</v>
      </c>
      <c r="BP36" s="871" t="e">
        <f t="shared" si="24"/>
        <v>#DIV/0!</v>
      </c>
      <c r="BQ36" s="613" t="e">
        <v>#DIV/0!</v>
      </c>
    </row>
    <row r="37" spans="1:69" s="599" customFormat="1" ht="15.75" hidden="1" customHeight="1">
      <c r="A37" s="1590"/>
      <c r="B37" s="820" t="str">
        <f>+GUM!C43</f>
        <v>82111-F2X02</v>
      </c>
      <c r="C37" s="964" t="str">
        <f>GUM!D43</f>
        <v>A 0301</v>
      </c>
      <c r="D37" s="827"/>
      <c r="E37" s="606"/>
      <c r="F37" s="606"/>
      <c r="G37" s="606"/>
      <c r="H37" s="606"/>
      <c r="I37" s="606"/>
      <c r="J37" s="607"/>
      <c r="K37" s="607"/>
      <c r="L37" s="612"/>
      <c r="M37" s="612"/>
      <c r="N37" s="612"/>
      <c r="O37" s="619" t="str">
        <f>+IF('(AS-400 Jembatan)'!M37=0," ",'(AS-400 Jembatan)'!M37+'(AS-400 Transfer)'!$Y37)</f>
        <v xml:space="preserve"> </v>
      </c>
      <c r="P37" s="606" t="str">
        <f>+IF('(AS-400 Jembatan)'!N37=0," ",'(AS-400 Jembatan)'!N37+'(AS-400 Transfer)'!$Y37)</f>
        <v xml:space="preserve"> </v>
      </c>
      <c r="Q37" s="733" t="str">
        <f>+IF('(AS-400 Jembatan)'!O37=0," ",'(AS-400 Jembatan)'!O37+'(AS-400 Transfer)'!$Y37)</f>
        <v xml:space="preserve"> </v>
      </c>
      <c r="R37" s="606" t="str">
        <f>+IF('(AS-400 Jembatan)'!P37=0," ",'(AS-400 Jembatan)'!P37+'(AS-400 Transfer)'!$Y37)</f>
        <v xml:space="preserve"> </v>
      </c>
      <c r="S37" s="606" t="str">
        <f>+IF('(AS-400 Jembatan)'!Q37=0," ",'(AS-400 Jembatan)'!Q37+'(AS-400 Transfer)'!$Y37)</f>
        <v xml:space="preserve"> </v>
      </c>
      <c r="T37" s="606">
        <f t="shared" si="5"/>
        <v>0</v>
      </c>
      <c r="U37" s="606">
        <f>+'(AS-400 Jembatan)'!S37</f>
        <v>0</v>
      </c>
      <c r="V37" s="606" t="e">
        <f t="shared" si="6"/>
        <v>#DIV/0!</v>
      </c>
      <c r="W37" s="612">
        <f t="shared" si="7"/>
        <v>0</v>
      </c>
      <c r="X37" s="612" t="e">
        <f t="shared" si="8"/>
        <v>#DIV/0!</v>
      </c>
      <c r="Y37" s="613" t="e">
        <v>#DIV/0!</v>
      </c>
      <c r="Z37" s="619" t="str">
        <f>+IF('(AS-400 Jembatan)'!V37=0," ",'(AS-400 Jembatan)'!V37+'(AS-400 Transfer)'!$AJ37)</f>
        <v xml:space="preserve"> </v>
      </c>
      <c r="AA37" s="715" t="str">
        <f>+IF('(AS-400 Jembatan)'!W37=0," ",'(AS-400 Jembatan)'!W37+'(AS-400 Transfer)'!$AJ37)</f>
        <v xml:space="preserve"> </v>
      </c>
      <c r="AB37" s="733" t="str">
        <f>+IF('(AS-400 Jembatan)'!X37=0," ",'(AS-400 Jembatan)'!X37+'(AS-400 Transfer)'!$AJ37)</f>
        <v xml:space="preserve"> </v>
      </c>
      <c r="AC37" s="606" t="str">
        <f>+IF('(AS-400 Jembatan)'!Y37=0," ",'(AS-400 Jembatan)'!Y37+'(AS-400 Transfer)'!$AJ37)</f>
        <v xml:space="preserve"> </v>
      </c>
      <c r="AD37" s="606" t="str">
        <f>+IF('(AS-400 Jembatan)'!Z37=0," ",'(AS-400 Jembatan)'!Z37+'(AS-400 Transfer)'!$AJ37)</f>
        <v xml:space="preserve"> </v>
      </c>
      <c r="AE37" s="606">
        <f t="shared" si="9"/>
        <v>0</v>
      </c>
      <c r="AF37" s="606">
        <f>+'(AS-400 Jembatan)'!AB37</f>
        <v>0</v>
      </c>
      <c r="AG37" s="606" t="e">
        <f t="shared" si="10"/>
        <v>#DIV/0!</v>
      </c>
      <c r="AH37" s="612">
        <f t="shared" si="11"/>
        <v>0</v>
      </c>
      <c r="AI37" s="607" t="e">
        <f t="shared" si="12"/>
        <v>#DIV/0!</v>
      </c>
      <c r="AJ37" s="613" t="e">
        <v>#DIV/0!</v>
      </c>
      <c r="AK37" s="619" t="str">
        <f>+IF('(AS-400 Jembatan)'!AE37=0," ",'(AS-400 Jembatan)'!AE37+'(AS-400 Transfer)'!$AU37)</f>
        <v xml:space="preserve"> </v>
      </c>
      <c r="AL37" s="606" t="str">
        <f>+IF('(AS-400 Jembatan)'!AF37=0," ",'(AS-400 Jembatan)'!AF37+'(AS-400 Transfer)'!$AU37)</f>
        <v xml:space="preserve"> </v>
      </c>
      <c r="AM37" s="733" t="str">
        <f>+IF('(AS-400 Jembatan)'!AG37=0," ",'(AS-400 Jembatan)'!AG37+'(AS-400 Transfer)'!$AU37)</f>
        <v xml:space="preserve"> </v>
      </c>
      <c r="AN37" s="606" t="str">
        <f>+IF('(AS-400 Jembatan)'!AH37=0," ",'(AS-400 Jembatan)'!AH37+'(AS-400 Transfer)'!$AU37)</f>
        <v xml:space="preserve"> </v>
      </c>
      <c r="AO37" s="606"/>
      <c r="AP37" s="606">
        <f t="shared" si="13"/>
        <v>0</v>
      </c>
      <c r="AQ37" s="606">
        <f>+'(AS-400 Jembatan)'!AK37</f>
        <v>0</v>
      </c>
      <c r="AR37" s="606" t="e">
        <f t="shared" si="14"/>
        <v>#DIV/0!</v>
      </c>
      <c r="AS37" s="612">
        <f t="shared" si="15"/>
        <v>0</v>
      </c>
      <c r="AT37" s="612" t="e">
        <f t="shared" si="16"/>
        <v>#DIV/0!</v>
      </c>
      <c r="AU37" s="613" t="e">
        <v>#DIV/0!</v>
      </c>
      <c r="AV37" s="619" t="str">
        <f>+IF('(AS-400 Jembatan)'!AN37=0," ",'(AS-400 Jembatan)'!AN37+'(AS-400 Transfer)'!$BF37)</f>
        <v xml:space="preserve"> </v>
      </c>
      <c r="AW37" s="606" t="str">
        <f>+IF('(AS-400 Jembatan)'!AO37=0," ",'(AS-400 Jembatan)'!AO37+'(AS-400 Transfer)'!$BF37)</f>
        <v xml:space="preserve"> </v>
      </c>
      <c r="AX37" s="733" t="str">
        <f>+IF('(AS-400 Jembatan)'!AP37=0," ",'(AS-400 Jembatan)'!AP37+'(AS-400 Transfer)'!$BF37)</f>
        <v xml:space="preserve"> </v>
      </c>
      <c r="AY37" s="606" t="str">
        <f>+IF('(AS-400 Jembatan)'!AQ37=0," ",'(AS-400 Jembatan)'!AQ37+'(AS-400 Transfer)'!$BF37)</f>
        <v xml:space="preserve"> </v>
      </c>
      <c r="AZ37" s="606"/>
      <c r="BA37" s="606">
        <f t="shared" si="17"/>
        <v>0</v>
      </c>
      <c r="BB37" s="606">
        <f>+'(AS-400 Jembatan)'!AT37</f>
        <v>0</v>
      </c>
      <c r="BC37" s="606" t="e">
        <f t="shared" si="18"/>
        <v>#DIV/0!</v>
      </c>
      <c r="BD37" s="612">
        <f t="shared" si="19"/>
        <v>0</v>
      </c>
      <c r="BE37" s="612" t="e">
        <f t="shared" si="20"/>
        <v>#DIV/0!</v>
      </c>
      <c r="BF37" s="613" t="e">
        <v>#DIV/0!</v>
      </c>
      <c r="BG37" s="867" t="str">
        <f>+IF('(AS-400 Jembatan)'!AW37=0," ",'(AS-400 Jembatan)'!AW37+'(AS-400 Transfer)'!$BQ37)</f>
        <v xml:space="preserve"> </v>
      </c>
      <c r="BH37" s="868" t="str">
        <f>+IF('(AS-400 Jembatan)'!AX37=0," ",'(AS-400 Jembatan)'!AX37+'(AS-400 Transfer)'!$BQ37)</f>
        <v xml:space="preserve"> </v>
      </c>
      <c r="BI37" s="869" t="str">
        <f>+IF('(AS-400 Jembatan)'!AY37=0," ",'(AS-400 Jembatan)'!AY37+'(AS-400 Transfer)'!$BQ37)</f>
        <v xml:space="preserve"> </v>
      </c>
      <c r="BJ37" s="868" t="str">
        <f>+IF('(AS-400 Jembatan)'!AZ37=0," ",'(AS-400 Jembatan)'!AZ37+'(AS-400 Transfer)'!$BQ37)</f>
        <v xml:space="preserve"> </v>
      </c>
      <c r="BK37" s="868" t="str">
        <f>+IF('(AS-400 Jembatan)'!BA37=0," ",'(AS-400 Jembatan)'!BA37+'(AS-400 Transfer)'!$BQ37)</f>
        <v xml:space="preserve"> </v>
      </c>
      <c r="BL37" s="868">
        <f t="shared" si="21"/>
        <v>0</v>
      </c>
      <c r="BM37" s="868">
        <f>+'(AS-400 Jembatan)'!BC37</f>
        <v>0</v>
      </c>
      <c r="BN37" s="868" t="e">
        <f t="shared" si="22"/>
        <v>#DIV/0!</v>
      </c>
      <c r="BO37" s="871">
        <f t="shared" si="23"/>
        <v>0</v>
      </c>
      <c r="BP37" s="871" t="e">
        <f t="shared" si="24"/>
        <v>#DIV/0!</v>
      </c>
      <c r="BQ37" s="613" t="e">
        <v>#DIV/0!</v>
      </c>
    </row>
    <row r="38" spans="1:69" s="1140" customFormat="1" ht="15.75" hidden="1" customHeight="1" thickBot="1">
      <c r="A38" s="1591"/>
      <c r="B38" s="810" t="str">
        <f>+GUM!C44</f>
        <v>82111-F2C11</v>
      </c>
      <c r="C38" s="894" t="str">
        <f>GUM!D44</f>
        <v>B 0001</v>
      </c>
      <c r="D38" s="966"/>
      <c r="E38" s="967"/>
      <c r="F38" s="967"/>
      <c r="G38" s="967"/>
      <c r="H38" s="967"/>
      <c r="I38" s="967"/>
      <c r="J38" s="968"/>
      <c r="K38" s="968"/>
      <c r="L38" s="710"/>
      <c r="M38" s="710"/>
      <c r="N38" s="710"/>
      <c r="O38" s="969" t="str">
        <f>+IF('(AS-400 Jembatan)'!M38=0," ",'(AS-400 Jembatan)'!M38+'(AS-400 Transfer)'!$Y38)</f>
        <v xml:space="preserve"> </v>
      </c>
      <c r="P38" s="967" t="str">
        <f>+IF('(AS-400 Jembatan)'!N38=0," ",'(AS-400 Jembatan)'!N38+'(AS-400 Transfer)'!$Y38)</f>
        <v xml:space="preserve"> </v>
      </c>
      <c r="Q38" s="970" t="str">
        <f>+IF('(AS-400 Jembatan)'!O38=0," ",'(AS-400 Jembatan)'!O38+'(AS-400 Transfer)'!$Y38)</f>
        <v xml:space="preserve"> </v>
      </c>
      <c r="R38" s="967" t="str">
        <f>+IF('(AS-400 Jembatan)'!P38=0," ",'(AS-400 Jembatan)'!P38+'(AS-400 Transfer)'!$Y38)</f>
        <v xml:space="preserve"> </v>
      </c>
      <c r="S38" s="967" t="str">
        <f>+IF('(AS-400 Jembatan)'!Q38=0," ",'(AS-400 Jembatan)'!Q38+'(AS-400 Transfer)'!$Y38)</f>
        <v xml:space="preserve"> </v>
      </c>
      <c r="T38" s="967">
        <f t="shared" si="5"/>
        <v>0</v>
      </c>
      <c r="U38" s="967">
        <f>+'(AS-400 Jembatan)'!S38</f>
        <v>0</v>
      </c>
      <c r="V38" s="967" t="e">
        <f t="shared" si="6"/>
        <v>#DIV/0!</v>
      </c>
      <c r="W38" s="710">
        <f t="shared" si="7"/>
        <v>0</v>
      </c>
      <c r="X38" s="710" t="e">
        <f t="shared" si="8"/>
        <v>#DIV/0!</v>
      </c>
      <c r="Y38" s="971" t="e">
        <v>#DIV/0!</v>
      </c>
      <c r="Z38" s="969" t="str">
        <f>+IF('(AS-400 Jembatan)'!V38=0," ",'(AS-400 Jembatan)'!V38+'(AS-400 Transfer)'!$AJ38)</f>
        <v xml:space="preserve"> </v>
      </c>
      <c r="AA38" s="972" t="str">
        <f>+IF('(AS-400 Jembatan)'!W38=0," ",'(AS-400 Jembatan)'!W38+'(AS-400 Transfer)'!$AJ38)</f>
        <v xml:space="preserve"> </v>
      </c>
      <c r="AB38" s="970" t="str">
        <f>+IF('(AS-400 Jembatan)'!X38=0," ",'(AS-400 Jembatan)'!X38+'(AS-400 Transfer)'!$AJ38)</f>
        <v xml:space="preserve"> </v>
      </c>
      <c r="AC38" s="967" t="str">
        <f>+IF('(AS-400 Jembatan)'!Y38=0," ",'(AS-400 Jembatan)'!Y38+'(AS-400 Transfer)'!$AJ38)</f>
        <v xml:space="preserve"> </v>
      </c>
      <c r="AD38" s="967" t="str">
        <f>+IF('(AS-400 Jembatan)'!Z38=0," ",'(AS-400 Jembatan)'!Z38+'(AS-400 Transfer)'!$AJ38)</f>
        <v xml:space="preserve"> </v>
      </c>
      <c r="AE38" s="967">
        <f t="shared" si="9"/>
        <v>0</v>
      </c>
      <c r="AF38" s="967">
        <f>+'(AS-400 Jembatan)'!AB38</f>
        <v>0</v>
      </c>
      <c r="AG38" s="967" t="e">
        <f t="shared" si="10"/>
        <v>#DIV/0!</v>
      </c>
      <c r="AH38" s="710">
        <f t="shared" si="11"/>
        <v>0</v>
      </c>
      <c r="AI38" s="968" t="e">
        <f t="shared" si="12"/>
        <v>#DIV/0!</v>
      </c>
      <c r="AJ38" s="971" t="e">
        <v>#DIV/0!</v>
      </c>
      <c r="AK38" s="969" t="str">
        <f>+IF('(AS-400 Jembatan)'!AE38=0," ",'(AS-400 Jembatan)'!AE38+'(AS-400 Transfer)'!$AU38)</f>
        <v xml:space="preserve"> </v>
      </c>
      <c r="AL38" s="967" t="str">
        <f>+IF('(AS-400 Jembatan)'!AF38=0," ",'(AS-400 Jembatan)'!AF38+'(AS-400 Transfer)'!$AU38)</f>
        <v xml:space="preserve"> </v>
      </c>
      <c r="AM38" s="970" t="str">
        <f>+IF('(AS-400 Jembatan)'!AG38=0," ",'(AS-400 Jembatan)'!AG38+'(AS-400 Transfer)'!$AU38)</f>
        <v xml:space="preserve"> </v>
      </c>
      <c r="AN38" s="967" t="str">
        <f>+IF('(AS-400 Jembatan)'!AH38=0," ",'(AS-400 Jembatan)'!AH38+'(AS-400 Transfer)'!$AU38)</f>
        <v xml:space="preserve"> </v>
      </c>
      <c r="AO38" s="967"/>
      <c r="AP38" s="967">
        <f t="shared" si="13"/>
        <v>0</v>
      </c>
      <c r="AQ38" s="967">
        <f>+'(AS-400 Jembatan)'!AK38</f>
        <v>0</v>
      </c>
      <c r="AR38" s="967" t="e">
        <f t="shared" si="14"/>
        <v>#DIV/0!</v>
      </c>
      <c r="AS38" s="710">
        <f t="shared" si="15"/>
        <v>0</v>
      </c>
      <c r="AT38" s="710" t="e">
        <f t="shared" si="16"/>
        <v>#DIV/0!</v>
      </c>
      <c r="AU38" s="971" t="e">
        <v>#DIV/0!</v>
      </c>
      <c r="AV38" s="969" t="str">
        <f>+IF('(AS-400 Jembatan)'!AN38=0," ",'(AS-400 Jembatan)'!AN38+'(AS-400 Transfer)'!$BF38)</f>
        <v xml:space="preserve"> </v>
      </c>
      <c r="AW38" s="967" t="str">
        <f>+IF('(AS-400 Jembatan)'!AO38=0," ",'(AS-400 Jembatan)'!AO38+'(AS-400 Transfer)'!$BF38)</f>
        <v xml:space="preserve"> </v>
      </c>
      <c r="AX38" s="970" t="str">
        <f>+IF('(AS-400 Jembatan)'!AP38=0," ",'(AS-400 Jembatan)'!AP38+'(AS-400 Transfer)'!$BF38)</f>
        <v xml:space="preserve"> </v>
      </c>
      <c r="AY38" s="967" t="str">
        <f>+IF('(AS-400 Jembatan)'!AQ38=0," ",'(AS-400 Jembatan)'!AQ38+'(AS-400 Transfer)'!$BF38)</f>
        <v xml:space="preserve"> </v>
      </c>
      <c r="AZ38" s="967"/>
      <c r="BA38" s="967">
        <f t="shared" si="17"/>
        <v>0</v>
      </c>
      <c r="BB38" s="967">
        <f>+'(AS-400 Jembatan)'!AT38</f>
        <v>0</v>
      </c>
      <c r="BC38" s="967" t="e">
        <f t="shared" si="18"/>
        <v>#DIV/0!</v>
      </c>
      <c r="BD38" s="710">
        <f t="shared" si="19"/>
        <v>0</v>
      </c>
      <c r="BE38" s="710" t="e">
        <f t="shared" si="20"/>
        <v>#DIV/0!</v>
      </c>
      <c r="BF38" s="971" t="e">
        <v>#DIV/0!</v>
      </c>
      <c r="BG38" s="973" t="str">
        <f>+IF('(AS-400 Jembatan)'!AW38=0," ",'(AS-400 Jembatan)'!AW38+'(AS-400 Transfer)'!$BQ38)</f>
        <v xml:space="preserve"> </v>
      </c>
      <c r="BH38" s="974" t="str">
        <f>+IF('(AS-400 Jembatan)'!AX38=0," ",'(AS-400 Jembatan)'!AX38+'(AS-400 Transfer)'!$BQ38)</f>
        <v xml:space="preserve"> </v>
      </c>
      <c r="BI38" s="975" t="str">
        <f>+IF('(AS-400 Jembatan)'!AY38=0," ",'(AS-400 Jembatan)'!AY38+'(AS-400 Transfer)'!$BQ38)</f>
        <v xml:space="preserve"> </v>
      </c>
      <c r="BJ38" s="974" t="str">
        <f>+IF('(AS-400 Jembatan)'!AZ38=0," ",'(AS-400 Jembatan)'!AZ38+'(AS-400 Transfer)'!$BQ38)</f>
        <v xml:space="preserve"> </v>
      </c>
      <c r="BK38" s="974" t="str">
        <f>+IF('(AS-400 Jembatan)'!BA38=0," ",'(AS-400 Jembatan)'!BA38+'(AS-400 Transfer)'!$BQ38)</f>
        <v xml:space="preserve"> </v>
      </c>
      <c r="BL38" s="974">
        <f t="shared" si="21"/>
        <v>0</v>
      </c>
      <c r="BM38" s="974">
        <f>+'(AS-400 Jembatan)'!BC38</f>
        <v>0</v>
      </c>
      <c r="BN38" s="974" t="e">
        <f t="shared" si="22"/>
        <v>#DIV/0!</v>
      </c>
      <c r="BO38" s="977">
        <f t="shared" si="23"/>
        <v>0</v>
      </c>
      <c r="BP38" s="977" t="e">
        <f t="shared" si="24"/>
        <v>#DIV/0!</v>
      </c>
      <c r="BQ38" s="971" t="e">
        <v>#DIV/0!</v>
      </c>
    </row>
    <row r="39" spans="1:69" s="599" customFormat="1" ht="16.5" hidden="1" customHeight="1" thickBot="1">
      <c r="A39" s="1593"/>
      <c r="B39" s="998"/>
      <c r="C39" s="964"/>
      <c r="D39" s="827"/>
      <c r="E39" s="606"/>
      <c r="F39" s="606"/>
      <c r="G39" s="606"/>
      <c r="H39" s="606"/>
      <c r="I39" s="606"/>
      <c r="J39" s="607"/>
      <c r="K39" s="607"/>
      <c r="L39" s="612"/>
      <c r="M39" s="612"/>
      <c r="N39" s="612"/>
      <c r="O39" s="619"/>
      <c r="P39" s="606"/>
      <c r="Q39" s="733"/>
      <c r="R39" s="606"/>
      <c r="S39" s="606"/>
      <c r="T39" s="606"/>
      <c r="U39" s="606"/>
      <c r="V39" s="606"/>
      <c r="W39" s="612"/>
      <c r="X39" s="612"/>
      <c r="Y39" s="613"/>
      <c r="Z39" s="619"/>
      <c r="AA39" s="715"/>
      <c r="AB39" s="733"/>
      <c r="AC39" s="606"/>
      <c r="AD39" s="606"/>
      <c r="AE39" s="606"/>
      <c r="AF39" s="606"/>
      <c r="AG39" s="606"/>
      <c r="AH39" s="612"/>
      <c r="AI39" s="968">
        <f t="shared" ref="AI39:AI79" si="31">+IF(AG39&lt;0,(ROUNDDOWN(AG39,0)),(ROUNDUP(AG39,0)))</f>
        <v>0</v>
      </c>
      <c r="AJ39" s="613">
        <v>0</v>
      </c>
      <c r="AK39" s="619"/>
      <c r="AL39" s="606"/>
      <c r="AM39" s="733"/>
      <c r="AN39" s="606"/>
      <c r="AO39" s="606"/>
      <c r="AP39" s="606"/>
      <c r="AQ39" s="606"/>
      <c r="AR39" s="606"/>
      <c r="AS39" s="612"/>
      <c r="AT39" s="612"/>
      <c r="AU39" s="613"/>
      <c r="AV39" s="619"/>
      <c r="AW39" s="606"/>
      <c r="AX39" s="733"/>
      <c r="AY39" s="606"/>
      <c r="AZ39" s="606"/>
      <c r="BA39" s="606"/>
      <c r="BB39" s="606"/>
      <c r="BC39" s="606"/>
      <c r="BD39" s="612"/>
      <c r="BE39" s="612"/>
      <c r="BF39" s="613"/>
      <c r="BG39" s="867"/>
      <c r="BH39" s="868"/>
      <c r="BI39" s="869"/>
      <c r="BJ39" s="868"/>
      <c r="BK39" s="868"/>
      <c r="BL39" s="868"/>
      <c r="BM39" s="868"/>
      <c r="BN39" s="868"/>
      <c r="BO39" s="871"/>
      <c r="BP39" s="871"/>
      <c r="BQ39" s="613"/>
    </row>
    <row r="40" spans="1:69" s="599" customFormat="1" ht="15.75" hidden="1" customHeight="1" thickBot="1">
      <c r="A40" s="1611"/>
      <c r="B40" s="999"/>
      <c r="C40" s="658"/>
      <c r="D40" s="745"/>
      <c r="E40" s="600"/>
      <c r="F40" s="600"/>
      <c r="G40" s="600"/>
      <c r="H40" s="600"/>
      <c r="I40" s="600"/>
      <c r="J40" s="601"/>
      <c r="K40" s="601"/>
      <c r="L40" s="609"/>
      <c r="M40" s="609"/>
      <c r="N40" s="609"/>
      <c r="O40" s="615"/>
      <c r="P40" s="600"/>
      <c r="Q40" s="616"/>
      <c r="R40" s="600"/>
      <c r="S40" s="600"/>
      <c r="T40" s="600"/>
      <c r="U40" s="600"/>
      <c r="V40" s="600"/>
      <c r="W40" s="609"/>
      <c r="X40" s="609"/>
      <c r="Y40" s="646"/>
      <c r="Z40" s="615"/>
      <c r="AA40" s="656"/>
      <c r="AB40" s="616"/>
      <c r="AC40" s="600"/>
      <c r="AD40" s="600"/>
      <c r="AE40" s="600"/>
      <c r="AF40" s="600"/>
      <c r="AG40" s="600"/>
      <c r="AH40" s="609"/>
      <c r="AI40" s="968">
        <f t="shared" si="31"/>
        <v>0</v>
      </c>
      <c r="AJ40" s="646">
        <v>0</v>
      </c>
      <c r="AK40" s="615"/>
      <c r="AL40" s="600"/>
      <c r="AM40" s="616"/>
      <c r="AN40" s="600"/>
      <c r="AO40" s="600"/>
      <c r="AP40" s="600"/>
      <c r="AQ40" s="600"/>
      <c r="AR40" s="600"/>
      <c r="AS40" s="609"/>
      <c r="AT40" s="609"/>
      <c r="AU40" s="646"/>
      <c r="AV40" s="615"/>
      <c r="AW40" s="600"/>
      <c r="AX40" s="616"/>
      <c r="AY40" s="600"/>
      <c r="AZ40" s="600"/>
      <c r="BA40" s="600"/>
      <c r="BB40" s="600"/>
      <c r="BC40" s="600"/>
      <c r="BD40" s="609"/>
      <c r="BE40" s="609"/>
      <c r="BF40" s="646"/>
      <c r="BG40" s="782"/>
      <c r="BH40" s="774"/>
      <c r="BI40" s="865"/>
      <c r="BJ40" s="774"/>
      <c r="BK40" s="774"/>
      <c r="BL40" s="774"/>
      <c r="BM40" s="774"/>
      <c r="BN40" s="774"/>
      <c r="BO40" s="866"/>
      <c r="BP40" s="866"/>
      <c r="BQ40" s="646"/>
    </row>
    <row r="41" spans="1:69" s="718" customFormat="1" ht="15.75" hidden="1" customHeight="1" thickBot="1">
      <c r="A41" s="914"/>
      <c r="B41" s="744"/>
      <c r="C41" s="746"/>
      <c r="D41" s="745"/>
      <c r="E41" s="600"/>
      <c r="F41" s="600"/>
      <c r="G41" s="600"/>
      <c r="H41" s="600"/>
      <c r="I41" s="600"/>
      <c r="J41" s="601"/>
      <c r="K41" s="601"/>
      <c r="L41" s="609"/>
      <c r="M41" s="609"/>
      <c r="N41" s="609"/>
      <c r="O41" s="615"/>
      <c r="P41" s="600"/>
      <c r="Q41" s="616"/>
      <c r="R41" s="600"/>
      <c r="S41" s="600"/>
      <c r="T41" s="600"/>
      <c r="U41" s="600"/>
      <c r="V41" s="600"/>
      <c r="W41" s="609"/>
      <c r="X41" s="609"/>
      <c r="Y41" s="646"/>
      <c r="Z41" s="615"/>
      <c r="AA41" s="656"/>
      <c r="AB41" s="616"/>
      <c r="AC41" s="600"/>
      <c r="AD41" s="600"/>
      <c r="AE41" s="600"/>
      <c r="AF41" s="600"/>
      <c r="AG41" s="600"/>
      <c r="AH41" s="609"/>
      <c r="AI41" s="968">
        <f t="shared" si="31"/>
        <v>0</v>
      </c>
      <c r="AJ41" s="646">
        <v>0</v>
      </c>
      <c r="AK41" s="615"/>
      <c r="AL41" s="600"/>
      <c r="AM41" s="616"/>
      <c r="AN41" s="600"/>
      <c r="AO41" s="600"/>
      <c r="AP41" s="600"/>
      <c r="AQ41" s="600"/>
      <c r="AR41" s="600" t="e">
        <f t="shared" ref="AR41:AR87" si="32">(AQ41-AP41)/AS41</f>
        <v>#DIV/0!</v>
      </c>
      <c r="AS41" s="609"/>
      <c r="AT41" s="609"/>
      <c r="AU41" s="646"/>
      <c r="AV41" s="615"/>
      <c r="AW41" s="600"/>
      <c r="AX41" s="616"/>
      <c r="AY41" s="600"/>
      <c r="AZ41" s="600"/>
      <c r="BA41" s="600"/>
      <c r="BB41" s="600"/>
      <c r="BC41" s="600"/>
      <c r="BD41" s="609"/>
      <c r="BE41" s="609"/>
      <c r="BF41" s="646"/>
      <c r="BG41" s="782"/>
      <c r="BH41" s="774"/>
      <c r="BI41" s="865"/>
      <c r="BJ41" s="774"/>
      <c r="BK41" s="774"/>
      <c r="BL41" s="774"/>
      <c r="BM41" s="774"/>
      <c r="BN41" s="774"/>
      <c r="BO41" s="866"/>
      <c r="BP41" s="866"/>
      <c r="BQ41" s="646"/>
    </row>
    <row r="42" spans="1:69" s="599" customFormat="1" ht="15.75" hidden="1" customHeight="1" thickBot="1">
      <c r="A42" s="914"/>
      <c r="B42" s="756"/>
      <c r="C42" s="840"/>
      <c r="D42" s="827"/>
      <c r="E42" s="606"/>
      <c r="F42" s="606"/>
      <c r="G42" s="606"/>
      <c r="H42" s="606"/>
      <c r="I42" s="606"/>
      <c r="J42" s="607"/>
      <c r="K42" s="607"/>
      <c r="L42" s="612"/>
      <c r="M42" s="612"/>
      <c r="N42" s="612"/>
      <c r="O42" s="619"/>
      <c r="P42" s="606"/>
      <c r="Q42" s="733"/>
      <c r="R42" s="606"/>
      <c r="S42" s="606"/>
      <c r="T42" s="606"/>
      <c r="U42" s="606"/>
      <c r="V42" s="606"/>
      <c r="W42" s="612"/>
      <c r="X42" s="612"/>
      <c r="Y42" s="613"/>
      <c r="Z42" s="619"/>
      <c r="AA42" s="715"/>
      <c r="AB42" s="733"/>
      <c r="AC42" s="606"/>
      <c r="AD42" s="606"/>
      <c r="AE42" s="606"/>
      <c r="AF42" s="606"/>
      <c r="AG42" s="606"/>
      <c r="AH42" s="612"/>
      <c r="AI42" s="968">
        <f t="shared" si="31"/>
        <v>0</v>
      </c>
      <c r="AJ42" s="613">
        <v>0</v>
      </c>
      <c r="AK42" s="619"/>
      <c r="AL42" s="606"/>
      <c r="AM42" s="733"/>
      <c r="AN42" s="606"/>
      <c r="AO42" s="606"/>
      <c r="AP42" s="606"/>
      <c r="AQ42" s="606"/>
      <c r="AR42" s="606" t="e">
        <f t="shared" si="32"/>
        <v>#DIV/0!</v>
      </c>
      <c r="AS42" s="612"/>
      <c r="AT42" s="612"/>
      <c r="AU42" s="613"/>
      <c r="AV42" s="619"/>
      <c r="AW42" s="606"/>
      <c r="AX42" s="733"/>
      <c r="AY42" s="606"/>
      <c r="AZ42" s="606"/>
      <c r="BA42" s="606"/>
      <c r="BB42" s="606"/>
      <c r="BC42" s="716"/>
      <c r="BD42" s="612"/>
      <c r="BE42" s="612"/>
      <c r="BF42" s="613"/>
      <c r="BG42" s="867"/>
      <c r="BH42" s="868"/>
      <c r="BI42" s="869"/>
      <c r="BJ42" s="868"/>
      <c r="BK42" s="868"/>
      <c r="BL42" s="868"/>
      <c r="BM42" s="868"/>
      <c r="BN42" s="868"/>
      <c r="BO42" s="871"/>
      <c r="BP42" s="871"/>
      <c r="BQ42" s="613"/>
    </row>
    <row r="43" spans="1:69" s="599" customFormat="1" ht="15.75" hidden="1" customHeight="1" thickBot="1">
      <c r="A43" s="914"/>
      <c r="B43" s="744"/>
      <c r="C43" s="746"/>
      <c r="D43" s="745"/>
      <c r="E43" s="600"/>
      <c r="F43" s="600"/>
      <c r="G43" s="600"/>
      <c r="H43" s="600"/>
      <c r="I43" s="600"/>
      <c r="J43" s="601"/>
      <c r="K43" s="601"/>
      <c r="L43" s="609"/>
      <c r="M43" s="609"/>
      <c r="N43" s="609"/>
      <c r="O43" s="615"/>
      <c r="P43" s="600"/>
      <c r="Q43" s="616"/>
      <c r="R43" s="600"/>
      <c r="S43" s="600"/>
      <c r="T43" s="600"/>
      <c r="U43" s="600"/>
      <c r="V43" s="600"/>
      <c r="W43" s="609"/>
      <c r="X43" s="609"/>
      <c r="Y43" s="646"/>
      <c r="Z43" s="615"/>
      <c r="AA43" s="656"/>
      <c r="AB43" s="616"/>
      <c r="AC43" s="600"/>
      <c r="AD43" s="600"/>
      <c r="AE43" s="600"/>
      <c r="AF43" s="600"/>
      <c r="AG43" s="600"/>
      <c r="AH43" s="609"/>
      <c r="AI43" s="968">
        <f t="shared" si="31"/>
        <v>0</v>
      </c>
      <c r="AJ43" s="646">
        <v>0</v>
      </c>
      <c r="AK43" s="615"/>
      <c r="AL43" s="600"/>
      <c r="AM43" s="616"/>
      <c r="AN43" s="600"/>
      <c r="AO43" s="600"/>
      <c r="AP43" s="600"/>
      <c r="AQ43" s="600"/>
      <c r="AR43" s="600" t="e">
        <f t="shared" si="32"/>
        <v>#DIV/0!</v>
      </c>
      <c r="AS43" s="609"/>
      <c r="AT43" s="609"/>
      <c r="AU43" s="646"/>
      <c r="AV43" s="615"/>
      <c r="AW43" s="600"/>
      <c r="AX43" s="616"/>
      <c r="AY43" s="600"/>
      <c r="AZ43" s="600"/>
      <c r="BA43" s="600"/>
      <c r="BB43" s="600"/>
      <c r="BC43" s="600"/>
      <c r="BD43" s="609"/>
      <c r="BE43" s="609"/>
      <c r="BF43" s="646"/>
      <c r="BG43" s="782"/>
      <c r="BH43" s="774"/>
      <c r="BI43" s="865"/>
      <c r="BJ43" s="774"/>
      <c r="BK43" s="774"/>
      <c r="BL43" s="774"/>
      <c r="BM43" s="774"/>
      <c r="BN43" s="774"/>
      <c r="BO43" s="866"/>
      <c r="BP43" s="866"/>
      <c r="BQ43" s="646"/>
    </row>
    <row r="44" spans="1:69" s="599" customFormat="1" ht="15.75" hidden="1" customHeight="1" thickBot="1">
      <c r="A44" s="914"/>
      <c r="B44" s="744"/>
      <c r="C44" s="746"/>
      <c r="D44" s="745"/>
      <c r="E44" s="600"/>
      <c r="F44" s="600"/>
      <c r="G44" s="600"/>
      <c r="H44" s="600"/>
      <c r="I44" s="600"/>
      <c r="J44" s="601"/>
      <c r="K44" s="601"/>
      <c r="L44" s="609"/>
      <c r="M44" s="609"/>
      <c r="N44" s="609"/>
      <c r="O44" s="615"/>
      <c r="P44" s="600"/>
      <c r="Q44" s="616"/>
      <c r="R44" s="600"/>
      <c r="S44" s="600"/>
      <c r="T44" s="600"/>
      <c r="U44" s="600"/>
      <c r="V44" s="600"/>
      <c r="W44" s="609"/>
      <c r="X44" s="610"/>
      <c r="Y44" s="604"/>
      <c r="Z44" s="615"/>
      <c r="AA44" s="656"/>
      <c r="AB44" s="616"/>
      <c r="AC44" s="600"/>
      <c r="AD44" s="600"/>
      <c r="AE44" s="600"/>
      <c r="AF44" s="600"/>
      <c r="AG44" s="600"/>
      <c r="AH44" s="609"/>
      <c r="AI44" s="968">
        <f t="shared" si="31"/>
        <v>0</v>
      </c>
      <c r="AJ44" s="604">
        <v>0</v>
      </c>
      <c r="AK44" s="615"/>
      <c r="AL44" s="600"/>
      <c r="AM44" s="616"/>
      <c r="AN44" s="600"/>
      <c r="AO44" s="600"/>
      <c r="AP44" s="600"/>
      <c r="AQ44" s="600"/>
      <c r="AR44" s="600" t="e">
        <f t="shared" si="32"/>
        <v>#DIV/0!</v>
      </c>
      <c r="AS44" s="609"/>
      <c r="AT44" s="609"/>
      <c r="AU44" s="604"/>
      <c r="AV44" s="615"/>
      <c r="AW44" s="600"/>
      <c r="AX44" s="616"/>
      <c r="AY44" s="600"/>
      <c r="AZ44" s="600"/>
      <c r="BA44" s="600"/>
      <c r="BB44" s="600"/>
      <c r="BC44" s="600"/>
      <c r="BD44" s="609"/>
      <c r="BE44" s="609"/>
      <c r="BF44" s="604"/>
      <c r="BG44" s="782"/>
      <c r="BH44" s="774"/>
      <c r="BI44" s="865"/>
      <c r="BJ44" s="774"/>
      <c r="BK44" s="774"/>
      <c r="BL44" s="774"/>
      <c r="BM44" s="774"/>
      <c r="BN44" s="774"/>
      <c r="BO44" s="866"/>
      <c r="BP44" s="866"/>
      <c r="BQ44" s="604"/>
    </row>
    <row r="45" spans="1:69" s="599" customFormat="1" ht="15.75" hidden="1" customHeight="1" thickBot="1">
      <c r="A45" s="914"/>
      <c r="B45" s="744"/>
      <c r="C45" s="746"/>
      <c r="D45" s="745"/>
      <c r="E45" s="600"/>
      <c r="F45" s="600"/>
      <c r="G45" s="600"/>
      <c r="H45" s="600"/>
      <c r="I45" s="600"/>
      <c r="J45" s="601"/>
      <c r="K45" s="601"/>
      <c r="L45" s="609"/>
      <c r="M45" s="609"/>
      <c r="N45" s="609"/>
      <c r="O45" s="615"/>
      <c r="P45" s="600"/>
      <c r="Q45" s="616"/>
      <c r="R45" s="600"/>
      <c r="S45" s="600"/>
      <c r="T45" s="600"/>
      <c r="U45" s="600"/>
      <c r="V45" s="600"/>
      <c r="W45" s="609"/>
      <c r="X45" s="609"/>
      <c r="Y45" s="646"/>
      <c r="Z45" s="615"/>
      <c r="AA45" s="656"/>
      <c r="AB45" s="616"/>
      <c r="AC45" s="600"/>
      <c r="AD45" s="600"/>
      <c r="AE45" s="600"/>
      <c r="AF45" s="600"/>
      <c r="AG45" s="600"/>
      <c r="AH45" s="609"/>
      <c r="AI45" s="968">
        <f t="shared" si="31"/>
        <v>0</v>
      </c>
      <c r="AJ45" s="646">
        <v>0</v>
      </c>
      <c r="AK45" s="615"/>
      <c r="AL45" s="600"/>
      <c r="AM45" s="616"/>
      <c r="AN45" s="600"/>
      <c r="AO45" s="600"/>
      <c r="AP45" s="600"/>
      <c r="AQ45" s="600"/>
      <c r="AR45" s="600" t="e">
        <f t="shared" si="32"/>
        <v>#DIV/0!</v>
      </c>
      <c r="AS45" s="609"/>
      <c r="AT45" s="609"/>
      <c r="AU45" s="646"/>
      <c r="AV45" s="615"/>
      <c r="AW45" s="600"/>
      <c r="AX45" s="616"/>
      <c r="AY45" s="600"/>
      <c r="AZ45" s="600"/>
      <c r="BA45" s="600"/>
      <c r="BB45" s="600"/>
      <c r="BC45" s="600"/>
      <c r="BD45" s="609"/>
      <c r="BE45" s="609"/>
      <c r="BF45" s="646"/>
      <c r="BG45" s="782"/>
      <c r="BH45" s="774"/>
      <c r="BI45" s="865"/>
      <c r="BJ45" s="774"/>
      <c r="BK45" s="774"/>
      <c r="BL45" s="774"/>
      <c r="BM45" s="774"/>
      <c r="BN45" s="774"/>
      <c r="BO45" s="866"/>
      <c r="BP45" s="866"/>
      <c r="BQ45" s="646"/>
    </row>
    <row r="46" spans="1:69" s="599" customFormat="1" ht="15.75" hidden="1" customHeight="1" thickBot="1">
      <c r="A46" s="914"/>
      <c r="B46" s="744"/>
      <c r="C46" s="746"/>
      <c r="D46" s="745"/>
      <c r="E46" s="600"/>
      <c r="F46" s="600"/>
      <c r="G46" s="600"/>
      <c r="H46" s="600"/>
      <c r="I46" s="600"/>
      <c r="J46" s="601"/>
      <c r="K46" s="601"/>
      <c r="L46" s="609"/>
      <c r="M46" s="609"/>
      <c r="N46" s="609"/>
      <c r="O46" s="615"/>
      <c r="P46" s="600"/>
      <c r="Q46" s="616"/>
      <c r="R46" s="600"/>
      <c r="S46" s="600"/>
      <c r="T46" s="600"/>
      <c r="U46" s="600"/>
      <c r="V46" s="600"/>
      <c r="W46" s="609"/>
      <c r="X46" s="609"/>
      <c r="Y46" s="646"/>
      <c r="Z46" s="615"/>
      <c r="AA46" s="656"/>
      <c r="AB46" s="616"/>
      <c r="AC46" s="600"/>
      <c r="AD46" s="600"/>
      <c r="AE46" s="600"/>
      <c r="AF46" s="600"/>
      <c r="AG46" s="600"/>
      <c r="AH46" s="609"/>
      <c r="AI46" s="968">
        <f t="shared" si="31"/>
        <v>0</v>
      </c>
      <c r="AJ46" s="646">
        <v>0</v>
      </c>
      <c r="AK46" s="615"/>
      <c r="AL46" s="600"/>
      <c r="AM46" s="616"/>
      <c r="AN46" s="600"/>
      <c r="AO46" s="600"/>
      <c r="AP46" s="600"/>
      <c r="AQ46" s="600"/>
      <c r="AR46" s="600" t="e">
        <f t="shared" si="32"/>
        <v>#DIV/0!</v>
      </c>
      <c r="AS46" s="609"/>
      <c r="AT46" s="609"/>
      <c r="AU46" s="646"/>
      <c r="AV46" s="615"/>
      <c r="AW46" s="600"/>
      <c r="AX46" s="616"/>
      <c r="AY46" s="600"/>
      <c r="AZ46" s="600"/>
      <c r="BA46" s="600"/>
      <c r="BB46" s="600"/>
      <c r="BC46" s="600"/>
      <c r="BD46" s="609"/>
      <c r="BE46" s="609"/>
      <c r="BF46" s="646"/>
      <c r="BG46" s="782"/>
      <c r="BH46" s="774"/>
      <c r="BI46" s="865"/>
      <c r="BJ46" s="774"/>
      <c r="BK46" s="774"/>
      <c r="BL46" s="774"/>
      <c r="BM46" s="774"/>
      <c r="BN46" s="774"/>
      <c r="BO46" s="866"/>
      <c r="BP46" s="866"/>
      <c r="BQ46" s="646"/>
    </row>
    <row r="47" spans="1:69" s="599" customFormat="1" ht="15.75" hidden="1" customHeight="1" thickBot="1">
      <c r="A47" s="914"/>
      <c r="B47" s="744"/>
      <c r="C47" s="746"/>
      <c r="D47" s="745"/>
      <c r="E47" s="600"/>
      <c r="F47" s="600"/>
      <c r="G47" s="600"/>
      <c r="H47" s="600"/>
      <c r="I47" s="600"/>
      <c r="J47" s="601"/>
      <c r="K47" s="601"/>
      <c r="L47" s="609"/>
      <c r="M47" s="609"/>
      <c r="N47" s="609"/>
      <c r="O47" s="615"/>
      <c r="P47" s="600"/>
      <c r="Q47" s="616"/>
      <c r="R47" s="600"/>
      <c r="S47" s="600"/>
      <c r="T47" s="600"/>
      <c r="U47" s="600"/>
      <c r="V47" s="600"/>
      <c r="W47" s="609"/>
      <c r="X47" s="609"/>
      <c r="Y47" s="646"/>
      <c r="Z47" s="615"/>
      <c r="AA47" s="656"/>
      <c r="AB47" s="616"/>
      <c r="AC47" s="600"/>
      <c r="AD47" s="600"/>
      <c r="AE47" s="600"/>
      <c r="AF47" s="600"/>
      <c r="AG47" s="600"/>
      <c r="AH47" s="609"/>
      <c r="AI47" s="968">
        <f t="shared" si="31"/>
        <v>0</v>
      </c>
      <c r="AJ47" s="646">
        <v>0</v>
      </c>
      <c r="AK47" s="615"/>
      <c r="AL47" s="600"/>
      <c r="AM47" s="616"/>
      <c r="AN47" s="600"/>
      <c r="AO47" s="600"/>
      <c r="AP47" s="600"/>
      <c r="AQ47" s="600"/>
      <c r="AR47" s="600" t="e">
        <f t="shared" si="32"/>
        <v>#DIV/0!</v>
      </c>
      <c r="AS47" s="609"/>
      <c r="AT47" s="609"/>
      <c r="AU47" s="646"/>
      <c r="AV47" s="615"/>
      <c r="AW47" s="600"/>
      <c r="AX47" s="616"/>
      <c r="AY47" s="600"/>
      <c r="AZ47" s="600"/>
      <c r="BA47" s="600"/>
      <c r="BB47" s="600"/>
      <c r="BC47" s="600"/>
      <c r="BD47" s="609"/>
      <c r="BE47" s="609"/>
      <c r="BF47" s="646"/>
      <c r="BG47" s="782"/>
      <c r="BH47" s="774"/>
      <c r="BI47" s="865"/>
      <c r="BJ47" s="774"/>
      <c r="BK47" s="774"/>
      <c r="BL47" s="774"/>
      <c r="BM47" s="774"/>
      <c r="BN47" s="774"/>
      <c r="BO47" s="866"/>
      <c r="BP47" s="866"/>
      <c r="BQ47" s="646"/>
    </row>
    <row r="48" spans="1:69" s="599" customFormat="1" ht="15.75" hidden="1" customHeight="1" thickBot="1">
      <c r="A48" s="914"/>
      <c r="B48" s="744"/>
      <c r="C48" s="746"/>
      <c r="D48" s="745"/>
      <c r="E48" s="600"/>
      <c r="F48" s="600"/>
      <c r="G48" s="600"/>
      <c r="H48" s="600"/>
      <c r="I48" s="600"/>
      <c r="J48" s="601"/>
      <c r="K48" s="601"/>
      <c r="L48" s="609"/>
      <c r="M48" s="609"/>
      <c r="N48" s="609"/>
      <c r="O48" s="615"/>
      <c r="P48" s="600"/>
      <c r="Q48" s="616"/>
      <c r="R48" s="600"/>
      <c r="S48" s="600"/>
      <c r="T48" s="600"/>
      <c r="U48" s="600"/>
      <c r="V48" s="600"/>
      <c r="W48" s="609"/>
      <c r="X48" s="609"/>
      <c r="Y48" s="646"/>
      <c r="Z48" s="615"/>
      <c r="AA48" s="656"/>
      <c r="AB48" s="616"/>
      <c r="AC48" s="600"/>
      <c r="AD48" s="600"/>
      <c r="AE48" s="600"/>
      <c r="AF48" s="600"/>
      <c r="AG48" s="600"/>
      <c r="AH48" s="609"/>
      <c r="AI48" s="968">
        <f t="shared" si="31"/>
        <v>0</v>
      </c>
      <c r="AJ48" s="646">
        <v>0</v>
      </c>
      <c r="AK48" s="615"/>
      <c r="AL48" s="600"/>
      <c r="AM48" s="616"/>
      <c r="AN48" s="600"/>
      <c r="AO48" s="600"/>
      <c r="AP48" s="600"/>
      <c r="AQ48" s="600"/>
      <c r="AR48" s="600" t="e">
        <f t="shared" si="32"/>
        <v>#DIV/0!</v>
      </c>
      <c r="AS48" s="609"/>
      <c r="AT48" s="609"/>
      <c r="AU48" s="646"/>
      <c r="AV48" s="615"/>
      <c r="AW48" s="600"/>
      <c r="AX48" s="616"/>
      <c r="AY48" s="600"/>
      <c r="AZ48" s="600"/>
      <c r="BA48" s="600"/>
      <c r="BB48" s="600"/>
      <c r="BC48" s="600"/>
      <c r="BD48" s="609"/>
      <c r="BE48" s="609"/>
      <c r="BF48" s="646"/>
      <c r="BG48" s="782"/>
      <c r="BH48" s="774"/>
      <c r="BI48" s="865"/>
      <c r="BJ48" s="774"/>
      <c r="BK48" s="774"/>
      <c r="BL48" s="774"/>
      <c r="BM48" s="774"/>
      <c r="BN48" s="774"/>
      <c r="BO48" s="866"/>
      <c r="BP48" s="866"/>
      <c r="BQ48" s="646"/>
    </row>
    <row r="49" spans="1:69" s="599" customFormat="1" ht="15.75" hidden="1" customHeight="1" thickBot="1">
      <c r="A49" s="914"/>
      <c r="B49" s="744"/>
      <c r="C49" s="746"/>
      <c r="D49" s="745"/>
      <c r="E49" s="600"/>
      <c r="F49" s="600"/>
      <c r="G49" s="600"/>
      <c r="H49" s="600"/>
      <c r="I49" s="600"/>
      <c r="J49" s="601"/>
      <c r="K49" s="601"/>
      <c r="L49" s="609"/>
      <c r="M49" s="609"/>
      <c r="N49" s="609"/>
      <c r="O49" s="615"/>
      <c r="P49" s="600"/>
      <c r="Q49" s="616"/>
      <c r="R49" s="600"/>
      <c r="S49" s="600"/>
      <c r="T49" s="600"/>
      <c r="U49" s="600"/>
      <c r="V49" s="600"/>
      <c r="W49" s="609"/>
      <c r="X49" s="609"/>
      <c r="Y49" s="646"/>
      <c r="Z49" s="615"/>
      <c r="AA49" s="656"/>
      <c r="AB49" s="616"/>
      <c r="AC49" s="600"/>
      <c r="AD49" s="600"/>
      <c r="AE49" s="600"/>
      <c r="AF49" s="600"/>
      <c r="AG49" s="600"/>
      <c r="AH49" s="609"/>
      <c r="AI49" s="968">
        <f t="shared" si="31"/>
        <v>0</v>
      </c>
      <c r="AJ49" s="646">
        <v>0</v>
      </c>
      <c r="AK49" s="615"/>
      <c r="AL49" s="600"/>
      <c r="AM49" s="616"/>
      <c r="AN49" s="600"/>
      <c r="AO49" s="600"/>
      <c r="AP49" s="600"/>
      <c r="AQ49" s="600"/>
      <c r="AR49" s="600" t="e">
        <f t="shared" si="32"/>
        <v>#DIV/0!</v>
      </c>
      <c r="AS49" s="609"/>
      <c r="AT49" s="609"/>
      <c r="AU49" s="646"/>
      <c r="AV49" s="615"/>
      <c r="AW49" s="600"/>
      <c r="AX49" s="616"/>
      <c r="AY49" s="600"/>
      <c r="AZ49" s="600"/>
      <c r="BA49" s="600"/>
      <c r="BB49" s="600"/>
      <c r="BC49" s="600"/>
      <c r="BD49" s="609"/>
      <c r="BE49" s="609"/>
      <c r="BF49" s="646"/>
      <c r="BG49" s="782"/>
      <c r="BH49" s="774"/>
      <c r="BI49" s="865"/>
      <c r="BJ49" s="774"/>
      <c r="BK49" s="774"/>
      <c r="BL49" s="774"/>
      <c r="BM49" s="774"/>
      <c r="BN49" s="774"/>
      <c r="BO49" s="866"/>
      <c r="BP49" s="866"/>
      <c r="BQ49" s="646"/>
    </row>
    <row r="50" spans="1:69" s="717" customFormat="1" ht="16.5" hidden="1" customHeight="1" thickTop="1" thickBot="1">
      <c r="A50" s="914"/>
      <c r="B50" s="756"/>
      <c r="C50" s="840"/>
      <c r="D50" s="827"/>
      <c r="E50" s="606"/>
      <c r="F50" s="606"/>
      <c r="G50" s="606"/>
      <c r="H50" s="606"/>
      <c r="I50" s="606"/>
      <c r="J50" s="607"/>
      <c r="K50" s="607"/>
      <c r="L50" s="612"/>
      <c r="M50" s="612"/>
      <c r="N50" s="612"/>
      <c r="O50" s="619"/>
      <c r="P50" s="606"/>
      <c r="Q50" s="733"/>
      <c r="R50" s="606"/>
      <c r="S50" s="606"/>
      <c r="T50" s="606"/>
      <c r="U50" s="606"/>
      <c r="V50" s="606"/>
      <c r="W50" s="612"/>
      <c r="X50" s="612"/>
      <c r="Y50" s="613"/>
      <c r="Z50" s="619"/>
      <c r="AA50" s="715"/>
      <c r="AB50" s="733"/>
      <c r="AC50" s="606"/>
      <c r="AD50" s="606"/>
      <c r="AE50" s="606"/>
      <c r="AF50" s="606"/>
      <c r="AG50" s="606"/>
      <c r="AH50" s="612"/>
      <c r="AI50" s="968">
        <f t="shared" si="31"/>
        <v>0</v>
      </c>
      <c r="AJ50" s="613">
        <v>0</v>
      </c>
      <c r="AK50" s="619"/>
      <c r="AL50" s="606"/>
      <c r="AM50" s="733"/>
      <c r="AN50" s="606"/>
      <c r="AO50" s="606"/>
      <c r="AP50" s="606"/>
      <c r="AQ50" s="606"/>
      <c r="AR50" s="606" t="e">
        <f t="shared" si="32"/>
        <v>#DIV/0!</v>
      </c>
      <c r="AS50" s="612"/>
      <c r="AT50" s="612"/>
      <c r="AU50" s="613"/>
      <c r="AV50" s="619"/>
      <c r="AW50" s="606"/>
      <c r="AX50" s="733"/>
      <c r="AY50" s="606"/>
      <c r="AZ50" s="606"/>
      <c r="BA50" s="606"/>
      <c r="BB50" s="606"/>
      <c r="BC50" s="606"/>
      <c r="BD50" s="612"/>
      <c r="BE50" s="612"/>
      <c r="BF50" s="613"/>
      <c r="BG50" s="867"/>
      <c r="BH50" s="868"/>
      <c r="BI50" s="869"/>
      <c r="BJ50" s="868"/>
      <c r="BK50" s="868"/>
      <c r="BL50" s="868"/>
      <c r="BM50" s="868"/>
      <c r="BN50" s="868"/>
      <c r="BO50" s="871"/>
      <c r="BP50" s="871"/>
      <c r="BQ50" s="613"/>
    </row>
    <row r="51" spans="1:69" s="599" customFormat="1" ht="15.75" hidden="1" customHeight="1" thickBot="1">
      <c r="A51" s="914"/>
      <c r="B51" s="744"/>
      <c r="C51" s="746"/>
      <c r="D51" s="745"/>
      <c r="E51" s="600"/>
      <c r="F51" s="600"/>
      <c r="G51" s="600"/>
      <c r="H51" s="600"/>
      <c r="I51" s="600"/>
      <c r="J51" s="601"/>
      <c r="K51" s="601"/>
      <c r="L51" s="609"/>
      <c r="M51" s="609"/>
      <c r="N51" s="609"/>
      <c r="O51" s="615"/>
      <c r="P51" s="600"/>
      <c r="Q51" s="616"/>
      <c r="R51" s="600"/>
      <c r="S51" s="600"/>
      <c r="T51" s="600"/>
      <c r="U51" s="600"/>
      <c r="V51" s="600"/>
      <c r="W51" s="609"/>
      <c r="X51" s="609"/>
      <c r="Y51" s="646"/>
      <c r="Z51" s="615"/>
      <c r="AA51" s="600"/>
      <c r="AB51" s="616"/>
      <c r="AC51" s="600"/>
      <c r="AD51" s="600"/>
      <c r="AE51" s="600"/>
      <c r="AF51" s="600"/>
      <c r="AG51" s="600"/>
      <c r="AH51" s="609"/>
      <c r="AI51" s="968">
        <f t="shared" si="31"/>
        <v>0</v>
      </c>
      <c r="AJ51" s="646">
        <v>0</v>
      </c>
      <c r="AK51" s="615"/>
      <c r="AL51" s="600"/>
      <c r="AM51" s="616"/>
      <c r="AN51" s="600"/>
      <c r="AO51" s="600"/>
      <c r="AP51" s="600"/>
      <c r="AQ51" s="600"/>
      <c r="AR51" s="600" t="e">
        <f t="shared" si="32"/>
        <v>#DIV/0!</v>
      </c>
      <c r="AS51" s="609"/>
      <c r="AT51" s="609"/>
      <c r="AU51" s="646"/>
      <c r="AV51" s="615"/>
      <c r="AW51" s="600"/>
      <c r="AX51" s="616"/>
      <c r="AY51" s="600"/>
      <c r="AZ51" s="600"/>
      <c r="BA51" s="600"/>
      <c r="BB51" s="600"/>
      <c r="BC51" s="600"/>
      <c r="BD51" s="609"/>
      <c r="BE51" s="609"/>
      <c r="BF51" s="646"/>
      <c r="BG51" s="782"/>
      <c r="BH51" s="774"/>
      <c r="BI51" s="865"/>
      <c r="BJ51" s="774"/>
      <c r="BK51" s="774"/>
      <c r="BL51" s="774"/>
      <c r="BM51" s="774"/>
      <c r="BN51" s="774"/>
      <c r="BO51" s="866"/>
      <c r="BP51" s="866"/>
      <c r="BQ51" s="646"/>
    </row>
    <row r="52" spans="1:69" s="599" customFormat="1" ht="15.75" hidden="1" customHeight="1" thickBot="1">
      <c r="A52" s="914"/>
      <c r="B52" s="744"/>
      <c r="C52" s="746"/>
      <c r="D52" s="745"/>
      <c r="E52" s="600"/>
      <c r="F52" s="600"/>
      <c r="G52" s="600"/>
      <c r="H52" s="600"/>
      <c r="I52" s="600"/>
      <c r="J52" s="601"/>
      <c r="K52" s="601"/>
      <c r="L52" s="609"/>
      <c r="M52" s="609"/>
      <c r="N52" s="609"/>
      <c r="O52" s="615"/>
      <c r="P52" s="600"/>
      <c r="Q52" s="616"/>
      <c r="R52" s="600"/>
      <c r="S52" s="600"/>
      <c r="T52" s="600"/>
      <c r="U52" s="600"/>
      <c r="V52" s="600"/>
      <c r="W52" s="609"/>
      <c r="X52" s="609"/>
      <c r="Y52" s="646"/>
      <c r="Z52" s="615"/>
      <c r="AA52" s="600"/>
      <c r="AB52" s="616"/>
      <c r="AC52" s="600"/>
      <c r="AD52" s="600"/>
      <c r="AE52" s="600"/>
      <c r="AF52" s="600"/>
      <c r="AG52" s="600"/>
      <c r="AH52" s="609"/>
      <c r="AI52" s="968">
        <f t="shared" si="31"/>
        <v>0</v>
      </c>
      <c r="AJ52" s="646">
        <v>0</v>
      </c>
      <c r="AK52" s="615"/>
      <c r="AL52" s="600"/>
      <c r="AM52" s="616"/>
      <c r="AN52" s="600"/>
      <c r="AO52" s="600"/>
      <c r="AP52" s="600"/>
      <c r="AQ52" s="600"/>
      <c r="AR52" s="600" t="e">
        <f t="shared" si="32"/>
        <v>#DIV/0!</v>
      </c>
      <c r="AS52" s="609"/>
      <c r="AT52" s="609"/>
      <c r="AU52" s="646"/>
      <c r="AV52" s="615"/>
      <c r="AW52" s="600"/>
      <c r="AX52" s="616"/>
      <c r="AY52" s="600"/>
      <c r="AZ52" s="600"/>
      <c r="BA52" s="600"/>
      <c r="BB52" s="600"/>
      <c r="BC52" s="600"/>
      <c r="BD52" s="609"/>
      <c r="BE52" s="609"/>
      <c r="BF52" s="646"/>
      <c r="BG52" s="782"/>
      <c r="BH52" s="774"/>
      <c r="BI52" s="865"/>
      <c r="BJ52" s="774"/>
      <c r="BK52" s="774"/>
      <c r="BL52" s="774"/>
      <c r="BM52" s="774"/>
      <c r="BN52" s="774"/>
      <c r="BO52" s="866"/>
      <c r="BP52" s="866"/>
      <c r="BQ52" s="646"/>
    </row>
    <row r="53" spans="1:69" s="599" customFormat="1" ht="15.75" hidden="1" customHeight="1" thickBot="1">
      <c r="A53" s="914"/>
      <c r="B53" s="744"/>
      <c r="C53" s="746"/>
      <c r="D53" s="745"/>
      <c r="E53" s="600"/>
      <c r="F53" s="600"/>
      <c r="G53" s="600"/>
      <c r="H53" s="600"/>
      <c r="I53" s="600"/>
      <c r="J53" s="601"/>
      <c r="K53" s="601"/>
      <c r="L53" s="609"/>
      <c r="M53" s="609"/>
      <c r="N53" s="609"/>
      <c r="O53" s="615"/>
      <c r="P53" s="600"/>
      <c r="Q53" s="616"/>
      <c r="R53" s="600"/>
      <c r="S53" s="600"/>
      <c r="T53" s="600"/>
      <c r="U53" s="600"/>
      <c r="V53" s="600"/>
      <c r="W53" s="609"/>
      <c r="X53" s="609"/>
      <c r="Y53" s="646"/>
      <c r="Z53" s="615"/>
      <c r="AA53" s="600"/>
      <c r="AB53" s="616"/>
      <c r="AC53" s="600"/>
      <c r="AD53" s="600"/>
      <c r="AE53" s="600"/>
      <c r="AF53" s="600"/>
      <c r="AG53" s="600"/>
      <c r="AH53" s="609"/>
      <c r="AI53" s="968">
        <f t="shared" si="31"/>
        <v>0</v>
      </c>
      <c r="AJ53" s="646">
        <v>0</v>
      </c>
      <c r="AK53" s="615"/>
      <c r="AL53" s="600"/>
      <c r="AM53" s="616"/>
      <c r="AN53" s="600"/>
      <c r="AO53" s="600"/>
      <c r="AP53" s="600"/>
      <c r="AQ53" s="600"/>
      <c r="AR53" s="600" t="e">
        <f t="shared" si="32"/>
        <v>#DIV/0!</v>
      </c>
      <c r="AS53" s="609"/>
      <c r="AT53" s="609"/>
      <c r="AU53" s="646"/>
      <c r="AV53" s="615"/>
      <c r="AW53" s="600"/>
      <c r="AX53" s="616"/>
      <c r="AY53" s="600"/>
      <c r="AZ53" s="600"/>
      <c r="BA53" s="600"/>
      <c r="BB53" s="600"/>
      <c r="BC53" s="600"/>
      <c r="BD53" s="609"/>
      <c r="BE53" s="609"/>
      <c r="BF53" s="646"/>
      <c r="BG53" s="782"/>
      <c r="BH53" s="774"/>
      <c r="BI53" s="865"/>
      <c r="BJ53" s="774"/>
      <c r="BK53" s="774"/>
      <c r="BL53" s="774"/>
      <c r="BM53" s="774"/>
      <c r="BN53" s="774"/>
      <c r="BO53" s="866"/>
      <c r="BP53" s="866"/>
      <c r="BQ53" s="646"/>
    </row>
    <row r="54" spans="1:69" s="599" customFormat="1" ht="16.5" hidden="1" customHeight="1" thickBot="1">
      <c r="A54" s="914"/>
      <c r="B54" s="756"/>
      <c r="C54" s="840"/>
      <c r="D54" s="827"/>
      <c r="E54" s="606"/>
      <c r="F54" s="606"/>
      <c r="G54" s="606"/>
      <c r="H54" s="606"/>
      <c r="I54" s="606"/>
      <c r="J54" s="607"/>
      <c r="K54" s="607"/>
      <c r="L54" s="612"/>
      <c r="M54" s="612"/>
      <c r="N54" s="612"/>
      <c r="O54" s="619"/>
      <c r="P54" s="606"/>
      <c r="Q54" s="733"/>
      <c r="R54" s="606"/>
      <c r="S54" s="606"/>
      <c r="T54" s="606"/>
      <c r="U54" s="606"/>
      <c r="V54" s="606"/>
      <c r="W54" s="612"/>
      <c r="X54" s="612"/>
      <c r="Y54" s="613"/>
      <c r="Z54" s="619"/>
      <c r="AA54" s="606"/>
      <c r="AB54" s="733"/>
      <c r="AC54" s="606"/>
      <c r="AD54" s="606"/>
      <c r="AE54" s="606"/>
      <c r="AF54" s="606"/>
      <c r="AG54" s="606"/>
      <c r="AH54" s="612"/>
      <c r="AI54" s="968">
        <f t="shared" si="31"/>
        <v>0</v>
      </c>
      <c r="AJ54" s="613">
        <v>0</v>
      </c>
      <c r="AK54" s="619"/>
      <c r="AL54" s="606"/>
      <c r="AM54" s="733"/>
      <c r="AN54" s="606"/>
      <c r="AO54" s="606"/>
      <c r="AP54" s="606"/>
      <c r="AQ54" s="606"/>
      <c r="AR54" s="606" t="e">
        <f t="shared" si="32"/>
        <v>#DIV/0!</v>
      </c>
      <c r="AS54" s="612"/>
      <c r="AT54" s="612"/>
      <c r="AU54" s="613"/>
      <c r="AV54" s="619"/>
      <c r="AW54" s="606"/>
      <c r="AX54" s="733"/>
      <c r="AY54" s="606"/>
      <c r="AZ54" s="606"/>
      <c r="BA54" s="606"/>
      <c r="BB54" s="606"/>
      <c r="BC54" s="606"/>
      <c r="BD54" s="612"/>
      <c r="BE54" s="612"/>
      <c r="BF54" s="613"/>
      <c r="BG54" s="867"/>
      <c r="BH54" s="868"/>
      <c r="BI54" s="869"/>
      <c r="BJ54" s="868"/>
      <c r="BK54" s="868"/>
      <c r="BL54" s="868"/>
      <c r="BM54" s="868"/>
      <c r="BN54" s="868"/>
      <c r="BO54" s="871"/>
      <c r="BP54" s="871"/>
      <c r="BQ54" s="613"/>
    </row>
    <row r="55" spans="1:69" s="599" customFormat="1" ht="16.5" hidden="1" customHeight="1" thickBot="1">
      <c r="A55" s="914"/>
      <c r="B55" s="756"/>
      <c r="C55" s="746"/>
      <c r="D55" s="745"/>
      <c r="E55" s="600"/>
      <c r="F55" s="600"/>
      <c r="G55" s="600"/>
      <c r="H55" s="600"/>
      <c r="I55" s="600"/>
      <c r="J55" s="601"/>
      <c r="K55" s="601"/>
      <c r="L55" s="609"/>
      <c r="M55" s="609"/>
      <c r="N55" s="609"/>
      <c r="O55" s="615"/>
      <c r="P55" s="600"/>
      <c r="Q55" s="616"/>
      <c r="R55" s="600"/>
      <c r="S55" s="600"/>
      <c r="T55" s="600"/>
      <c r="U55" s="600"/>
      <c r="V55" s="600"/>
      <c r="W55" s="609"/>
      <c r="X55" s="609"/>
      <c r="Y55" s="646"/>
      <c r="Z55" s="615"/>
      <c r="AA55" s="600"/>
      <c r="AB55" s="616"/>
      <c r="AC55" s="600"/>
      <c r="AD55" s="600"/>
      <c r="AE55" s="600"/>
      <c r="AF55" s="600"/>
      <c r="AG55" s="600"/>
      <c r="AH55" s="609"/>
      <c r="AI55" s="968">
        <f t="shared" si="31"/>
        <v>0</v>
      </c>
      <c r="AJ55" s="646">
        <v>0</v>
      </c>
      <c r="AK55" s="615"/>
      <c r="AL55" s="600"/>
      <c r="AM55" s="616"/>
      <c r="AN55" s="600"/>
      <c r="AO55" s="600"/>
      <c r="AP55" s="600"/>
      <c r="AQ55" s="600"/>
      <c r="AR55" s="600" t="e">
        <f t="shared" si="32"/>
        <v>#DIV/0!</v>
      </c>
      <c r="AS55" s="609"/>
      <c r="AT55" s="609"/>
      <c r="AU55" s="646"/>
      <c r="AV55" s="615"/>
      <c r="AW55" s="600"/>
      <c r="AX55" s="616"/>
      <c r="AY55" s="600"/>
      <c r="AZ55" s="600"/>
      <c r="BA55" s="600"/>
      <c r="BB55" s="600"/>
      <c r="BC55" s="600"/>
      <c r="BD55" s="609"/>
      <c r="BE55" s="609"/>
      <c r="BF55" s="646"/>
      <c r="BG55" s="782"/>
      <c r="BH55" s="774"/>
      <c r="BI55" s="865"/>
      <c r="BJ55" s="774"/>
      <c r="BK55" s="774"/>
      <c r="BL55" s="774"/>
      <c r="BM55" s="774"/>
      <c r="BN55" s="774"/>
      <c r="BO55" s="866"/>
      <c r="BP55" s="866"/>
      <c r="BQ55" s="646"/>
    </row>
    <row r="56" spans="1:69" s="599" customFormat="1" ht="16.5" hidden="1" customHeight="1" thickBot="1">
      <c r="A56" s="914"/>
      <c r="B56" s="756"/>
      <c r="C56" s="746"/>
      <c r="D56" s="745"/>
      <c r="E56" s="600"/>
      <c r="F56" s="600"/>
      <c r="G56" s="600"/>
      <c r="H56" s="600"/>
      <c r="I56" s="600"/>
      <c r="J56" s="601"/>
      <c r="K56" s="601"/>
      <c r="L56" s="609"/>
      <c r="M56" s="609"/>
      <c r="N56" s="609"/>
      <c r="O56" s="615"/>
      <c r="P56" s="600"/>
      <c r="Q56" s="616"/>
      <c r="R56" s="600"/>
      <c r="S56" s="600"/>
      <c r="T56" s="600"/>
      <c r="U56" s="600"/>
      <c r="V56" s="600"/>
      <c r="W56" s="609"/>
      <c r="X56" s="609"/>
      <c r="Y56" s="646"/>
      <c r="Z56" s="615"/>
      <c r="AA56" s="600"/>
      <c r="AB56" s="616"/>
      <c r="AC56" s="600"/>
      <c r="AD56" s="600"/>
      <c r="AE56" s="600"/>
      <c r="AF56" s="600"/>
      <c r="AG56" s="600"/>
      <c r="AH56" s="609"/>
      <c r="AI56" s="968">
        <f t="shared" si="31"/>
        <v>0</v>
      </c>
      <c r="AJ56" s="646">
        <v>0</v>
      </c>
      <c r="AK56" s="615"/>
      <c r="AL56" s="600"/>
      <c r="AM56" s="616"/>
      <c r="AN56" s="600"/>
      <c r="AO56" s="600"/>
      <c r="AP56" s="600"/>
      <c r="AQ56" s="600"/>
      <c r="AR56" s="655" t="e">
        <f t="shared" si="32"/>
        <v>#DIV/0!</v>
      </c>
      <c r="AS56" s="609"/>
      <c r="AT56" s="609"/>
      <c r="AU56" s="646"/>
      <c r="AV56" s="615"/>
      <c r="AW56" s="600"/>
      <c r="AX56" s="616"/>
      <c r="AY56" s="600"/>
      <c r="AZ56" s="600"/>
      <c r="BA56" s="600"/>
      <c r="BB56" s="600"/>
      <c r="BC56" s="655"/>
      <c r="BD56" s="609"/>
      <c r="BE56" s="609"/>
      <c r="BF56" s="646"/>
      <c r="BG56" s="782"/>
      <c r="BH56" s="774"/>
      <c r="BI56" s="865"/>
      <c r="BJ56" s="774"/>
      <c r="BK56" s="774"/>
      <c r="BL56" s="774"/>
      <c r="BM56" s="774"/>
      <c r="BN56" s="774"/>
      <c r="BO56" s="866"/>
      <c r="BP56" s="866"/>
      <c r="BQ56" s="646"/>
    </row>
    <row r="57" spans="1:69" s="599" customFormat="1" ht="16.5" hidden="1" customHeight="1" thickBot="1">
      <c r="A57" s="914"/>
      <c r="B57" s="756"/>
      <c r="C57" s="746"/>
      <c r="D57" s="745"/>
      <c r="E57" s="600"/>
      <c r="F57" s="600"/>
      <c r="G57" s="600"/>
      <c r="H57" s="600"/>
      <c r="I57" s="600"/>
      <c r="J57" s="601"/>
      <c r="K57" s="601"/>
      <c r="L57" s="609"/>
      <c r="M57" s="609"/>
      <c r="N57" s="609"/>
      <c r="O57" s="615"/>
      <c r="P57" s="600"/>
      <c r="Q57" s="616"/>
      <c r="R57" s="600"/>
      <c r="S57" s="600"/>
      <c r="T57" s="600"/>
      <c r="U57" s="600"/>
      <c r="V57" s="600"/>
      <c r="W57" s="609"/>
      <c r="X57" s="609"/>
      <c r="Y57" s="646"/>
      <c r="Z57" s="615"/>
      <c r="AA57" s="600"/>
      <c r="AB57" s="616"/>
      <c r="AC57" s="600"/>
      <c r="AD57" s="600"/>
      <c r="AE57" s="600"/>
      <c r="AF57" s="600"/>
      <c r="AG57" s="600"/>
      <c r="AH57" s="609"/>
      <c r="AI57" s="968">
        <f t="shared" si="31"/>
        <v>0</v>
      </c>
      <c r="AJ57" s="646">
        <v>0</v>
      </c>
      <c r="AK57" s="615"/>
      <c r="AL57" s="600"/>
      <c r="AM57" s="616"/>
      <c r="AN57" s="600"/>
      <c r="AO57" s="600"/>
      <c r="AP57" s="600"/>
      <c r="AQ57" s="600"/>
      <c r="AR57" s="600" t="e">
        <f t="shared" si="32"/>
        <v>#DIV/0!</v>
      </c>
      <c r="AS57" s="609"/>
      <c r="AT57" s="609"/>
      <c r="AU57" s="646"/>
      <c r="AV57" s="615"/>
      <c r="AW57" s="600"/>
      <c r="AX57" s="616"/>
      <c r="AY57" s="600"/>
      <c r="AZ57" s="600"/>
      <c r="BA57" s="600"/>
      <c r="BB57" s="600"/>
      <c r="BC57" s="600"/>
      <c r="BD57" s="609"/>
      <c r="BE57" s="609"/>
      <c r="BF57" s="646"/>
      <c r="BG57" s="782"/>
      <c r="BH57" s="774"/>
      <c r="BI57" s="865"/>
      <c r="BJ57" s="774"/>
      <c r="BK57" s="774"/>
      <c r="BL57" s="774"/>
      <c r="BM57" s="774"/>
      <c r="BN57" s="774"/>
      <c r="BO57" s="866"/>
      <c r="BP57" s="866"/>
      <c r="BQ57" s="646"/>
    </row>
    <row r="58" spans="1:69" s="599" customFormat="1" ht="16.5" hidden="1" customHeight="1" thickBot="1">
      <c r="A58" s="914"/>
      <c r="B58" s="756"/>
      <c r="C58" s="746"/>
      <c r="D58" s="745"/>
      <c r="E58" s="600"/>
      <c r="F58" s="600"/>
      <c r="G58" s="600"/>
      <c r="H58" s="600"/>
      <c r="I58" s="600"/>
      <c r="J58" s="601"/>
      <c r="K58" s="601"/>
      <c r="L58" s="609"/>
      <c r="M58" s="609"/>
      <c r="N58" s="609"/>
      <c r="O58" s="615"/>
      <c r="P58" s="600"/>
      <c r="Q58" s="616"/>
      <c r="R58" s="600"/>
      <c r="S58" s="600"/>
      <c r="T58" s="600"/>
      <c r="U58" s="600"/>
      <c r="V58" s="600"/>
      <c r="W58" s="609"/>
      <c r="X58" s="609"/>
      <c r="Y58" s="646"/>
      <c r="Z58" s="615"/>
      <c r="AA58" s="600"/>
      <c r="AB58" s="616"/>
      <c r="AC58" s="600"/>
      <c r="AD58" s="600"/>
      <c r="AE58" s="600"/>
      <c r="AF58" s="600"/>
      <c r="AG58" s="600"/>
      <c r="AH58" s="609"/>
      <c r="AI58" s="968">
        <f t="shared" si="31"/>
        <v>0</v>
      </c>
      <c r="AJ58" s="646">
        <v>0</v>
      </c>
      <c r="AK58" s="615"/>
      <c r="AL58" s="600"/>
      <c r="AM58" s="616"/>
      <c r="AN58" s="600"/>
      <c r="AO58" s="600"/>
      <c r="AP58" s="600"/>
      <c r="AQ58" s="600"/>
      <c r="AR58" s="600" t="e">
        <f t="shared" si="32"/>
        <v>#DIV/0!</v>
      </c>
      <c r="AS58" s="609"/>
      <c r="AT58" s="609"/>
      <c r="AU58" s="646"/>
      <c r="AV58" s="615"/>
      <c r="AW58" s="600"/>
      <c r="AX58" s="616"/>
      <c r="AY58" s="600"/>
      <c r="AZ58" s="600"/>
      <c r="BA58" s="600"/>
      <c r="BB58" s="600"/>
      <c r="BC58" s="600"/>
      <c r="BD58" s="609"/>
      <c r="BE58" s="609"/>
      <c r="BF58" s="646"/>
      <c r="BG58" s="782"/>
      <c r="BH58" s="774"/>
      <c r="BI58" s="865"/>
      <c r="BJ58" s="774"/>
      <c r="BK58" s="774"/>
      <c r="BL58" s="774"/>
      <c r="BM58" s="774"/>
      <c r="BN58" s="774"/>
      <c r="BO58" s="866"/>
      <c r="BP58" s="866"/>
      <c r="BQ58" s="646"/>
    </row>
    <row r="59" spans="1:69" s="599" customFormat="1" ht="16.5" hidden="1" customHeight="1" thickBot="1">
      <c r="A59" s="914"/>
      <c r="B59" s="756"/>
      <c r="C59" s="746"/>
      <c r="D59" s="745"/>
      <c r="E59" s="600"/>
      <c r="F59" s="600"/>
      <c r="G59" s="600"/>
      <c r="H59" s="600"/>
      <c r="I59" s="600"/>
      <c r="J59" s="601"/>
      <c r="K59" s="601"/>
      <c r="L59" s="609"/>
      <c r="M59" s="609"/>
      <c r="N59" s="609"/>
      <c r="O59" s="615"/>
      <c r="P59" s="600"/>
      <c r="Q59" s="616"/>
      <c r="R59" s="600"/>
      <c r="S59" s="600"/>
      <c r="T59" s="600"/>
      <c r="U59" s="600"/>
      <c r="V59" s="600"/>
      <c r="W59" s="609"/>
      <c r="X59" s="609"/>
      <c r="Y59" s="646"/>
      <c r="Z59" s="615"/>
      <c r="AA59" s="600"/>
      <c r="AB59" s="616"/>
      <c r="AC59" s="600"/>
      <c r="AD59" s="600"/>
      <c r="AE59" s="600"/>
      <c r="AF59" s="600"/>
      <c r="AG59" s="600"/>
      <c r="AH59" s="609"/>
      <c r="AI59" s="968">
        <f t="shared" si="31"/>
        <v>0</v>
      </c>
      <c r="AJ59" s="646">
        <v>0</v>
      </c>
      <c r="AK59" s="615"/>
      <c r="AL59" s="600"/>
      <c r="AM59" s="616"/>
      <c r="AN59" s="600"/>
      <c r="AO59" s="600"/>
      <c r="AP59" s="600"/>
      <c r="AQ59" s="600"/>
      <c r="AR59" s="600" t="e">
        <f t="shared" si="32"/>
        <v>#DIV/0!</v>
      </c>
      <c r="AS59" s="609"/>
      <c r="AT59" s="609"/>
      <c r="AU59" s="646"/>
      <c r="AV59" s="615"/>
      <c r="AW59" s="600"/>
      <c r="AX59" s="616"/>
      <c r="AY59" s="600"/>
      <c r="AZ59" s="600"/>
      <c r="BA59" s="600"/>
      <c r="BB59" s="600"/>
      <c r="BC59" s="600"/>
      <c r="BD59" s="609"/>
      <c r="BE59" s="609"/>
      <c r="BF59" s="646"/>
      <c r="BG59" s="782"/>
      <c r="BH59" s="774"/>
      <c r="BI59" s="865"/>
      <c r="BJ59" s="774"/>
      <c r="BK59" s="774"/>
      <c r="BL59" s="774"/>
      <c r="BM59" s="774"/>
      <c r="BN59" s="774"/>
      <c r="BO59" s="866"/>
      <c r="BP59" s="866"/>
      <c r="BQ59" s="646"/>
    </row>
    <row r="60" spans="1:69" s="599" customFormat="1" ht="16.5" hidden="1" customHeight="1" thickBot="1">
      <c r="A60" s="914"/>
      <c r="B60" s="756"/>
      <c r="C60" s="746"/>
      <c r="D60" s="745"/>
      <c r="E60" s="600"/>
      <c r="F60" s="600"/>
      <c r="G60" s="600"/>
      <c r="H60" s="600"/>
      <c r="I60" s="600"/>
      <c r="J60" s="601"/>
      <c r="K60" s="601"/>
      <c r="L60" s="609"/>
      <c r="M60" s="609"/>
      <c r="N60" s="609"/>
      <c r="O60" s="615"/>
      <c r="P60" s="600"/>
      <c r="Q60" s="616"/>
      <c r="R60" s="600"/>
      <c r="S60" s="600"/>
      <c r="T60" s="600"/>
      <c r="U60" s="600"/>
      <c r="V60" s="600"/>
      <c r="W60" s="609"/>
      <c r="X60" s="609"/>
      <c r="Y60" s="646"/>
      <c r="Z60" s="615"/>
      <c r="AA60" s="600"/>
      <c r="AB60" s="616"/>
      <c r="AC60" s="600"/>
      <c r="AD60" s="600"/>
      <c r="AE60" s="600"/>
      <c r="AF60" s="600"/>
      <c r="AG60" s="600"/>
      <c r="AH60" s="609"/>
      <c r="AI60" s="968">
        <f t="shared" si="31"/>
        <v>0</v>
      </c>
      <c r="AJ60" s="646">
        <v>0</v>
      </c>
      <c r="AK60" s="615"/>
      <c r="AL60" s="600"/>
      <c r="AM60" s="616"/>
      <c r="AN60" s="600"/>
      <c r="AO60" s="600"/>
      <c r="AP60" s="600"/>
      <c r="AQ60" s="600"/>
      <c r="AR60" s="600" t="e">
        <f t="shared" si="32"/>
        <v>#DIV/0!</v>
      </c>
      <c r="AS60" s="609"/>
      <c r="AT60" s="609"/>
      <c r="AU60" s="646"/>
      <c r="AV60" s="615"/>
      <c r="AW60" s="600"/>
      <c r="AX60" s="616"/>
      <c r="AY60" s="600"/>
      <c r="AZ60" s="600"/>
      <c r="BA60" s="600"/>
      <c r="BB60" s="600"/>
      <c r="BC60" s="600"/>
      <c r="BD60" s="609"/>
      <c r="BE60" s="609"/>
      <c r="BF60" s="646"/>
      <c r="BG60" s="782"/>
      <c r="BH60" s="774"/>
      <c r="BI60" s="865"/>
      <c r="BJ60" s="774"/>
      <c r="BK60" s="774"/>
      <c r="BL60" s="774"/>
      <c r="BM60" s="774"/>
      <c r="BN60" s="774"/>
      <c r="BO60" s="866"/>
      <c r="BP60" s="866"/>
      <c r="BQ60" s="646"/>
    </row>
    <row r="61" spans="1:69" s="599" customFormat="1" ht="16.5" hidden="1" customHeight="1" thickBot="1">
      <c r="A61" s="914"/>
      <c r="B61" s="756"/>
      <c r="C61" s="746"/>
      <c r="D61" s="745"/>
      <c r="E61" s="600"/>
      <c r="F61" s="600"/>
      <c r="G61" s="600"/>
      <c r="H61" s="600"/>
      <c r="I61" s="600"/>
      <c r="J61" s="601"/>
      <c r="K61" s="601"/>
      <c r="L61" s="609"/>
      <c r="M61" s="609"/>
      <c r="N61" s="609"/>
      <c r="O61" s="615"/>
      <c r="P61" s="600"/>
      <c r="Q61" s="616"/>
      <c r="R61" s="600"/>
      <c r="S61" s="600"/>
      <c r="T61" s="600"/>
      <c r="U61" s="600"/>
      <c r="V61" s="600"/>
      <c r="W61" s="609"/>
      <c r="X61" s="609"/>
      <c r="Y61" s="646"/>
      <c r="Z61" s="615"/>
      <c r="AA61" s="600"/>
      <c r="AB61" s="616"/>
      <c r="AC61" s="600"/>
      <c r="AD61" s="600"/>
      <c r="AE61" s="600"/>
      <c r="AF61" s="600"/>
      <c r="AG61" s="600"/>
      <c r="AH61" s="609"/>
      <c r="AI61" s="968">
        <f t="shared" si="31"/>
        <v>0</v>
      </c>
      <c r="AJ61" s="646">
        <v>0</v>
      </c>
      <c r="AK61" s="615"/>
      <c r="AL61" s="600"/>
      <c r="AM61" s="616"/>
      <c r="AN61" s="600"/>
      <c r="AO61" s="600"/>
      <c r="AP61" s="600"/>
      <c r="AQ61" s="600"/>
      <c r="AR61" s="600" t="e">
        <f t="shared" si="32"/>
        <v>#DIV/0!</v>
      </c>
      <c r="AS61" s="609"/>
      <c r="AT61" s="609"/>
      <c r="AU61" s="646"/>
      <c r="AV61" s="615"/>
      <c r="AW61" s="600"/>
      <c r="AX61" s="616"/>
      <c r="AY61" s="600"/>
      <c r="AZ61" s="600"/>
      <c r="BA61" s="600"/>
      <c r="BB61" s="600"/>
      <c r="BC61" s="600"/>
      <c r="BD61" s="609"/>
      <c r="BE61" s="609"/>
      <c r="BF61" s="646"/>
      <c r="BG61" s="782"/>
      <c r="BH61" s="774"/>
      <c r="BI61" s="865"/>
      <c r="BJ61" s="774"/>
      <c r="BK61" s="774"/>
      <c r="BL61" s="774"/>
      <c r="BM61" s="774"/>
      <c r="BN61" s="774"/>
      <c r="BO61" s="866"/>
      <c r="BP61" s="866"/>
      <c r="BQ61" s="646"/>
    </row>
    <row r="62" spans="1:69" s="599" customFormat="1" ht="16.5" hidden="1" customHeight="1" thickBot="1">
      <c r="A62" s="914"/>
      <c r="B62" s="756"/>
      <c r="C62" s="746"/>
      <c r="D62" s="745"/>
      <c r="E62" s="600"/>
      <c r="F62" s="600"/>
      <c r="G62" s="600"/>
      <c r="H62" s="600"/>
      <c r="I62" s="600"/>
      <c r="J62" s="601"/>
      <c r="K62" s="601"/>
      <c r="L62" s="609"/>
      <c r="M62" s="609"/>
      <c r="N62" s="609"/>
      <c r="O62" s="615"/>
      <c r="P62" s="600"/>
      <c r="Q62" s="616"/>
      <c r="R62" s="600"/>
      <c r="S62" s="600"/>
      <c r="T62" s="600"/>
      <c r="U62" s="600"/>
      <c r="V62" s="600"/>
      <c r="W62" s="609"/>
      <c r="X62" s="609"/>
      <c r="Y62" s="646"/>
      <c r="Z62" s="617"/>
      <c r="AA62" s="605"/>
      <c r="AB62" s="620"/>
      <c r="AC62" s="605"/>
      <c r="AD62" s="605"/>
      <c r="AE62" s="605"/>
      <c r="AF62" s="605"/>
      <c r="AG62" s="605"/>
      <c r="AH62" s="609"/>
      <c r="AI62" s="968">
        <f t="shared" si="31"/>
        <v>0</v>
      </c>
      <c r="AJ62" s="646">
        <v>0</v>
      </c>
      <c r="AK62" s="615"/>
      <c r="AL62" s="600"/>
      <c r="AM62" s="616"/>
      <c r="AN62" s="600"/>
      <c r="AO62" s="600"/>
      <c r="AP62" s="600"/>
      <c r="AQ62" s="600"/>
      <c r="AR62" s="600" t="e">
        <f t="shared" si="32"/>
        <v>#DIV/0!</v>
      </c>
      <c r="AS62" s="609"/>
      <c r="AT62" s="609"/>
      <c r="AU62" s="646"/>
      <c r="AV62" s="615"/>
      <c r="AW62" s="600"/>
      <c r="AX62" s="616"/>
      <c r="AY62" s="600"/>
      <c r="AZ62" s="600"/>
      <c r="BA62" s="600"/>
      <c r="BB62" s="600"/>
      <c r="BC62" s="600"/>
      <c r="BD62" s="609"/>
      <c r="BE62" s="609"/>
      <c r="BF62" s="646"/>
      <c r="BG62" s="782"/>
      <c r="BH62" s="774"/>
      <c r="BI62" s="865"/>
      <c r="BJ62" s="774"/>
      <c r="BK62" s="774"/>
      <c r="BL62" s="774"/>
      <c r="BM62" s="774"/>
      <c r="BN62" s="774"/>
      <c r="BO62" s="866"/>
      <c r="BP62" s="866"/>
      <c r="BQ62" s="646"/>
    </row>
    <row r="63" spans="1:69" s="599" customFormat="1" ht="16.5" hidden="1" customHeight="1" thickBot="1">
      <c r="A63" s="914"/>
      <c r="B63" s="756"/>
      <c r="C63" s="840"/>
      <c r="D63" s="827"/>
      <c r="E63" s="606"/>
      <c r="F63" s="606"/>
      <c r="G63" s="606"/>
      <c r="H63" s="606"/>
      <c r="I63" s="606"/>
      <c r="J63" s="607"/>
      <c r="K63" s="607"/>
      <c r="L63" s="612"/>
      <c r="M63" s="612"/>
      <c r="N63" s="612"/>
      <c r="O63" s="619"/>
      <c r="P63" s="606"/>
      <c r="Q63" s="733"/>
      <c r="R63" s="606"/>
      <c r="S63" s="606"/>
      <c r="T63" s="606"/>
      <c r="U63" s="606"/>
      <c r="V63" s="606"/>
      <c r="W63" s="612"/>
      <c r="X63" s="612"/>
      <c r="Y63" s="613"/>
      <c r="Z63" s="619"/>
      <c r="AA63" s="606"/>
      <c r="AB63" s="733"/>
      <c r="AC63" s="606"/>
      <c r="AD63" s="606"/>
      <c r="AE63" s="606"/>
      <c r="AF63" s="606"/>
      <c r="AG63" s="606"/>
      <c r="AH63" s="612"/>
      <c r="AI63" s="968">
        <f t="shared" si="31"/>
        <v>0</v>
      </c>
      <c r="AJ63" s="613">
        <v>0</v>
      </c>
      <c r="AK63" s="619"/>
      <c r="AL63" s="606"/>
      <c r="AM63" s="733"/>
      <c r="AN63" s="606"/>
      <c r="AO63" s="606"/>
      <c r="AP63" s="606"/>
      <c r="AQ63" s="606"/>
      <c r="AR63" s="606" t="e">
        <f t="shared" si="32"/>
        <v>#DIV/0!</v>
      </c>
      <c r="AS63" s="612"/>
      <c r="AT63" s="612"/>
      <c r="AU63" s="613"/>
      <c r="AV63" s="615"/>
      <c r="AW63" s="600"/>
      <c r="AX63" s="616"/>
      <c r="AY63" s="600"/>
      <c r="AZ63" s="600"/>
      <c r="BA63" s="606"/>
      <c r="BB63" s="606"/>
      <c r="BC63" s="606"/>
      <c r="BD63" s="609"/>
      <c r="BE63" s="612"/>
      <c r="BF63" s="613"/>
      <c r="BG63" s="867"/>
      <c r="BH63" s="868"/>
      <c r="BI63" s="869"/>
      <c r="BJ63" s="868"/>
      <c r="BK63" s="868"/>
      <c r="BL63" s="774"/>
      <c r="BM63" s="868"/>
      <c r="BN63" s="868"/>
      <c r="BO63" s="871"/>
      <c r="BP63" s="871"/>
      <c r="BQ63" s="613"/>
    </row>
    <row r="64" spans="1:69" s="599" customFormat="1" ht="16.5" hidden="1" customHeight="1" thickBot="1">
      <c r="A64" s="914"/>
      <c r="B64" s="744"/>
      <c r="C64" s="746"/>
      <c r="D64" s="745"/>
      <c r="E64" s="600"/>
      <c r="F64" s="600"/>
      <c r="G64" s="600"/>
      <c r="H64" s="600"/>
      <c r="I64" s="600"/>
      <c r="J64" s="601"/>
      <c r="K64" s="601"/>
      <c r="L64" s="609"/>
      <c r="M64" s="609"/>
      <c r="N64" s="609"/>
      <c r="O64" s="615"/>
      <c r="P64" s="600"/>
      <c r="Q64" s="616"/>
      <c r="R64" s="600"/>
      <c r="S64" s="600"/>
      <c r="T64" s="600"/>
      <c r="U64" s="600"/>
      <c r="V64" s="600"/>
      <c r="W64" s="609"/>
      <c r="X64" s="609"/>
      <c r="Y64" s="646"/>
      <c r="Z64" s="615"/>
      <c r="AA64" s="600"/>
      <c r="AB64" s="616"/>
      <c r="AC64" s="600"/>
      <c r="AD64" s="600"/>
      <c r="AE64" s="600"/>
      <c r="AF64" s="600"/>
      <c r="AG64" s="600"/>
      <c r="AH64" s="609"/>
      <c r="AI64" s="968">
        <f t="shared" si="31"/>
        <v>0</v>
      </c>
      <c r="AJ64" s="646">
        <v>0</v>
      </c>
      <c r="AK64" s="615"/>
      <c r="AL64" s="600"/>
      <c r="AM64" s="616"/>
      <c r="AN64" s="600"/>
      <c r="AO64" s="600"/>
      <c r="AP64" s="600"/>
      <c r="AQ64" s="600"/>
      <c r="AR64" s="600" t="e">
        <f t="shared" si="32"/>
        <v>#DIV/0!</v>
      </c>
      <c r="AS64" s="609"/>
      <c r="AT64" s="609"/>
      <c r="AU64" s="646"/>
      <c r="AV64" s="615"/>
      <c r="AW64" s="600"/>
      <c r="AX64" s="616"/>
      <c r="AY64" s="600"/>
      <c r="AZ64" s="600"/>
      <c r="BA64" s="600"/>
      <c r="BB64" s="600"/>
      <c r="BC64" s="600"/>
      <c r="BD64" s="609"/>
      <c r="BE64" s="609"/>
      <c r="BF64" s="646"/>
      <c r="BG64" s="782"/>
      <c r="BH64" s="774"/>
      <c r="BI64" s="865"/>
      <c r="BJ64" s="774"/>
      <c r="BK64" s="774"/>
      <c r="BL64" s="774"/>
      <c r="BM64" s="774"/>
      <c r="BN64" s="774"/>
      <c r="BO64" s="866"/>
      <c r="BP64" s="866"/>
      <c r="BQ64" s="646"/>
    </row>
    <row r="65" spans="1:69" s="599" customFormat="1" ht="16.5" hidden="1" customHeight="1" thickBot="1">
      <c r="A65" s="914"/>
      <c r="B65" s="744"/>
      <c r="C65" s="746"/>
      <c r="D65" s="745"/>
      <c r="E65" s="600"/>
      <c r="F65" s="600"/>
      <c r="G65" s="600"/>
      <c r="H65" s="600"/>
      <c r="I65" s="600"/>
      <c r="J65" s="601"/>
      <c r="K65" s="601"/>
      <c r="L65" s="609"/>
      <c r="M65" s="609"/>
      <c r="N65" s="609"/>
      <c r="O65" s="615"/>
      <c r="P65" s="600"/>
      <c r="Q65" s="616"/>
      <c r="R65" s="600"/>
      <c r="S65" s="600"/>
      <c r="T65" s="600"/>
      <c r="U65" s="600"/>
      <c r="V65" s="600"/>
      <c r="W65" s="609"/>
      <c r="X65" s="609"/>
      <c r="Y65" s="646"/>
      <c r="Z65" s="615"/>
      <c r="AA65" s="600"/>
      <c r="AB65" s="616"/>
      <c r="AC65" s="600"/>
      <c r="AD65" s="600"/>
      <c r="AE65" s="600"/>
      <c r="AF65" s="600"/>
      <c r="AG65" s="600"/>
      <c r="AH65" s="609"/>
      <c r="AI65" s="968">
        <f t="shared" si="31"/>
        <v>0</v>
      </c>
      <c r="AJ65" s="646">
        <v>0</v>
      </c>
      <c r="AK65" s="615"/>
      <c r="AL65" s="600"/>
      <c r="AM65" s="616"/>
      <c r="AN65" s="600"/>
      <c r="AO65" s="600"/>
      <c r="AP65" s="600"/>
      <c r="AQ65" s="600"/>
      <c r="AR65" s="600" t="e">
        <f t="shared" si="32"/>
        <v>#DIV/0!</v>
      </c>
      <c r="AS65" s="609"/>
      <c r="AT65" s="609"/>
      <c r="AU65" s="646"/>
      <c r="AV65" s="615"/>
      <c r="AW65" s="600"/>
      <c r="AX65" s="616"/>
      <c r="AY65" s="600"/>
      <c r="AZ65" s="600"/>
      <c r="BA65" s="600"/>
      <c r="BB65" s="600"/>
      <c r="BC65" s="600"/>
      <c r="BD65" s="609"/>
      <c r="BE65" s="609"/>
      <c r="BF65" s="646"/>
      <c r="BG65" s="782"/>
      <c r="BH65" s="774"/>
      <c r="BI65" s="865"/>
      <c r="BJ65" s="774"/>
      <c r="BK65" s="774"/>
      <c r="BL65" s="774"/>
      <c r="BM65" s="774"/>
      <c r="BN65" s="774"/>
      <c r="BO65" s="866"/>
      <c r="BP65" s="866"/>
      <c r="BQ65" s="646"/>
    </row>
    <row r="66" spans="1:69" s="599" customFormat="1" ht="16.5" hidden="1" customHeight="1" thickBot="1">
      <c r="A66" s="914"/>
      <c r="B66" s="744"/>
      <c r="C66" s="746"/>
      <c r="D66" s="745"/>
      <c r="E66" s="600"/>
      <c r="F66" s="600"/>
      <c r="G66" s="600"/>
      <c r="H66" s="600"/>
      <c r="I66" s="600"/>
      <c r="J66" s="601"/>
      <c r="K66" s="601"/>
      <c r="L66" s="609"/>
      <c r="M66" s="609"/>
      <c r="N66" s="609"/>
      <c r="O66" s="615"/>
      <c r="P66" s="600"/>
      <c r="Q66" s="616"/>
      <c r="R66" s="600"/>
      <c r="S66" s="600"/>
      <c r="T66" s="600"/>
      <c r="U66" s="600"/>
      <c r="V66" s="600"/>
      <c r="W66" s="609"/>
      <c r="X66" s="609"/>
      <c r="Y66" s="646"/>
      <c r="Z66" s="615"/>
      <c r="AA66" s="600"/>
      <c r="AB66" s="616"/>
      <c r="AC66" s="600"/>
      <c r="AD66" s="600"/>
      <c r="AE66" s="600"/>
      <c r="AF66" s="600"/>
      <c r="AG66" s="600"/>
      <c r="AH66" s="609"/>
      <c r="AI66" s="968">
        <f t="shared" si="31"/>
        <v>0</v>
      </c>
      <c r="AJ66" s="646">
        <v>0</v>
      </c>
      <c r="AK66" s="615"/>
      <c r="AL66" s="600"/>
      <c r="AM66" s="616"/>
      <c r="AN66" s="600"/>
      <c r="AO66" s="600"/>
      <c r="AP66" s="600"/>
      <c r="AQ66" s="600"/>
      <c r="AR66" s="600" t="e">
        <f t="shared" si="32"/>
        <v>#DIV/0!</v>
      </c>
      <c r="AS66" s="609"/>
      <c r="AT66" s="609"/>
      <c r="AU66" s="646"/>
      <c r="AV66" s="615"/>
      <c r="AW66" s="600"/>
      <c r="AX66" s="616"/>
      <c r="AY66" s="600"/>
      <c r="AZ66" s="600"/>
      <c r="BA66" s="600"/>
      <c r="BB66" s="600"/>
      <c r="BC66" s="600"/>
      <c r="BD66" s="609"/>
      <c r="BE66" s="609"/>
      <c r="BF66" s="646"/>
      <c r="BG66" s="782"/>
      <c r="BH66" s="774"/>
      <c r="BI66" s="865"/>
      <c r="BJ66" s="774"/>
      <c r="BK66" s="774"/>
      <c r="BL66" s="774"/>
      <c r="BM66" s="774"/>
      <c r="BN66" s="774"/>
      <c r="BO66" s="866"/>
      <c r="BP66" s="866"/>
      <c r="BQ66" s="646"/>
    </row>
    <row r="67" spans="1:69" s="599" customFormat="1" ht="16.5" hidden="1" customHeight="1" thickBot="1">
      <c r="A67" s="914"/>
      <c r="B67" s="744"/>
      <c r="C67" s="746"/>
      <c r="D67" s="745"/>
      <c r="E67" s="600"/>
      <c r="F67" s="600"/>
      <c r="G67" s="600"/>
      <c r="H67" s="600"/>
      <c r="I67" s="600"/>
      <c r="J67" s="601"/>
      <c r="K67" s="601"/>
      <c r="L67" s="609"/>
      <c r="M67" s="609"/>
      <c r="N67" s="609"/>
      <c r="O67" s="615"/>
      <c r="P67" s="600"/>
      <c r="Q67" s="616"/>
      <c r="R67" s="600"/>
      <c r="S67" s="600"/>
      <c r="T67" s="600"/>
      <c r="U67" s="600"/>
      <c r="V67" s="600"/>
      <c r="W67" s="609"/>
      <c r="X67" s="609"/>
      <c r="Y67" s="646"/>
      <c r="Z67" s="615"/>
      <c r="AA67" s="600"/>
      <c r="AB67" s="616"/>
      <c r="AC67" s="600"/>
      <c r="AD67" s="600"/>
      <c r="AE67" s="600"/>
      <c r="AF67" s="600"/>
      <c r="AG67" s="600"/>
      <c r="AH67" s="609"/>
      <c r="AI67" s="968">
        <f t="shared" si="31"/>
        <v>0</v>
      </c>
      <c r="AJ67" s="646">
        <v>0</v>
      </c>
      <c r="AK67" s="615"/>
      <c r="AL67" s="600"/>
      <c r="AM67" s="616"/>
      <c r="AN67" s="600"/>
      <c r="AO67" s="600"/>
      <c r="AP67" s="600"/>
      <c r="AQ67" s="600"/>
      <c r="AR67" s="600" t="e">
        <f t="shared" si="32"/>
        <v>#DIV/0!</v>
      </c>
      <c r="AS67" s="609"/>
      <c r="AT67" s="609"/>
      <c r="AU67" s="646"/>
      <c r="AV67" s="615"/>
      <c r="AW67" s="600"/>
      <c r="AX67" s="616"/>
      <c r="AY67" s="600"/>
      <c r="AZ67" s="600"/>
      <c r="BA67" s="600"/>
      <c r="BB67" s="600"/>
      <c r="BC67" s="600"/>
      <c r="BD67" s="609"/>
      <c r="BE67" s="609"/>
      <c r="BF67" s="646"/>
      <c r="BG67" s="782"/>
      <c r="BH67" s="774"/>
      <c r="BI67" s="865"/>
      <c r="BJ67" s="774"/>
      <c r="BK67" s="774"/>
      <c r="BL67" s="774"/>
      <c r="BM67" s="774"/>
      <c r="BN67" s="774"/>
      <c r="BO67" s="866"/>
      <c r="BP67" s="866"/>
      <c r="BQ67" s="646"/>
    </row>
    <row r="68" spans="1:69" s="599" customFormat="1" ht="16.5" hidden="1" customHeight="1" thickBot="1">
      <c r="A68" s="914"/>
      <c r="B68" s="744"/>
      <c r="C68" s="746"/>
      <c r="D68" s="745"/>
      <c r="E68" s="600"/>
      <c r="F68" s="600"/>
      <c r="G68" s="600"/>
      <c r="H68" s="600"/>
      <c r="I68" s="600"/>
      <c r="J68" s="601"/>
      <c r="K68" s="601"/>
      <c r="L68" s="609"/>
      <c r="M68" s="609"/>
      <c r="N68" s="609"/>
      <c r="O68" s="615"/>
      <c r="P68" s="600"/>
      <c r="Q68" s="616"/>
      <c r="R68" s="600"/>
      <c r="S68" s="600"/>
      <c r="T68" s="600"/>
      <c r="U68" s="600"/>
      <c r="V68" s="600"/>
      <c r="W68" s="609"/>
      <c r="X68" s="609"/>
      <c r="Y68" s="646"/>
      <c r="Z68" s="615"/>
      <c r="AA68" s="600"/>
      <c r="AB68" s="616"/>
      <c r="AC68" s="600"/>
      <c r="AD68" s="600"/>
      <c r="AE68" s="600"/>
      <c r="AF68" s="600"/>
      <c r="AG68" s="600"/>
      <c r="AH68" s="609"/>
      <c r="AI68" s="968">
        <f t="shared" si="31"/>
        <v>0</v>
      </c>
      <c r="AJ68" s="646">
        <v>0</v>
      </c>
      <c r="AK68" s="615"/>
      <c r="AL68" s="600"/>
      <c r="AM68" s="616"/>
      <c r="AN68" s="600"/>
      <c r="AO68" s="600"/>
      <c r="AP68" s="600"/>
      <c r="AQ68" s="600"/>
      <c r="AR68" s="600" t="e">
        <f t="shared" si="32"/>
        <v>#DIV/0!</v>
      </c>
      <c r="AS68" s="609"/>
      <c r="AT68" s="609"/>
      <c r="AU68" s="646"/>
      <c r="AV68" s="615"/>
      <c r="AW68" s="600"/>
      <c r="AX68" s="616"/>
      <c r="AY68" s="600"/>
      <c r="AZ68" s="600"/>
      <c r="BA68" s="600"/>
      <c r="BB68" s="600"/>
      <c r="BC68" s="600"/>
      <c r="BD68" s="609"/>
      <c r="BE68" s="609"/>
      <c r="BF68" s="646"/>
      <c r="BG68" s="782"/>
      <c r="BH68" s="774"/>
      <c r="BI68" s="865"/>
      <c r="BJ68" s="774"/>
      <c r="BK68" s="774"/>
      <c r="BL68" s="774"/>
      <c r="BM68" s="774"/>
      <c r="BN68" s="774"/>
      <c r="BO68" s="866"/>
      <c r="BP68" s="866"/>
      <c r="BQ68" s="646"/>
    </row>
    <row r="69" spans="1:69" s="599" customFormat="1" ht="16.5" hidden="1" customHeight="1" thickBot="1">
      <c r="A69" s="914"/>
      <c r="B69" s="744"/>
      <c r="C69" s="746"/>
      <c r="D69" s="745"/>
      <c r="E69" s="600"/>
      <c r="F69" s="600"/>
      <c r="G69" s="600"/>
      <c r="H69" s="600"/>
      <c r="I69" s="600"/>
      <c r="J69" s="601"/>
      <c r="K69" s="601"/>
      <c r="L69" s="609"/>
      <c r="M69" s="609"/>
      <c r="N69" s="609"/>
      <c r="O69" s="615"/>
      <c r="P69" s="600"/>
      <c r="Q69" s="616"/>
      <c r="R69" s="600"/>
      <c r="S69" s="600"/>
      <c r="T69" s="600"/>
      <c r="U69" s="600"/>
      <c r="V69" s="600"/>
      <c r="W69" s="609"/>
      <c r="X69" s="609"/>
      <c r="Y69" s="646"/>
      <c r="Z69" s="615"/>
      <c r="AA69" s="600"/>
      <c r="AB69" s="616"/>
      <c r="AC69" s="600"/>
      <c r="AD69" s="600"/>
      <c r="AE69" s="600"/>
      <c r="AF69" s="600"/>
      <c r="AG69" s="600"/>
      <c r="AH69" s="609"/>
      <c r="AI69" s="968">
        <f t="shared" si="31"/>
        <v>0</v>
      </c>
      <c r="AJ69" s="646">
        <v>0</v>
      </c>
      <c r="AK69" s="615"/>
      <c r="AL69" s="600"/>
      <c r="AM69" s="616"/>
      <c r="AN69" s="600"/>
      <c r="AO69" s="600"/>
      <c r="AP69" s="600"/>
      <c r="AQ69" s="600"/>
      <c r="AR69" s="600" t="e">
        <f t="shared" si="32"/>
        <v>#DIV/0!</v>
      </c>
      <c r="AS69" s="609"/>
      <c r="AT69" s="609"/>
      <c r="AU69" s="646"/>
      <c r="AV69" s="615"/>
      <c r="AW69" s="600"/>
      <c r="AX69" s="616"/>
      <c r="AY69" s="600"/>
      <c r="AZ69" s="600"/>
      <c r="BA69" s="600"/>
      <c r="BB69" s="600"/>
      <c r="BC69" s="600"/>
      <c r="BD69" s="609"/>
      <c r="BE69" s="609"/>
      <c r="BF69" s="646"/>
      <c r="BG69" s="782"/>
      <c r="BH69" s="774"/>
      <c r="BI69" s="865"/>
      <c r="BJ69" s="774"/>
      <c r="BK69" s="774"/>
      <c r="BL69" s="774"/>
      <c r="BM69" s="774"/>
      <c r="BN69" s="774"/>
      <c r="BO69" s="866"/>
      <c r="BP69" s="866"/>
      <c r="BQ69" s="646"/>
    </row>
    <row r="70" spans="1:69" s="599" customFormat="1" ht="16.5" hidden="1" customHeight="1" thickBot="1">
      <c r="A70" s="914"/>
      <c r="B70" s="744"/>
      <c r="C70" s="746"/>
      <c r="D70" s="745"/>
      <c r="E70" s="600"/>
      <c r="F70" s="600"/>
      <c r="G70" s="600"/>
      <c r="H70" s="600"/>
      <c r="I70" s="600"/>
      <c r="J70" s="601"/>
      <c r="K70" s="601"/>
      <c r="L70" s="609"/>
      <c r="M70" s="609"/>
      <c r="N70" s="609"/>
      <c r="O70" s="615"/>
      <c r="P70" s="600"/>
      <c r="Q70" s="616"/>
      <c r="R70" s="600"/>
      <c r="S70" s="600"/>
      <c r="T70" s="600"/>
      <c r="U70" s="600"/>
      <c r="V70" s="600"/>
      <c r="W70" s="609"/>
      <c r="X70" s="609"/>
      <c r="Y70" s="646"/>
      <c r="Z70" s="615"/>
      <c r="AA70" s="600"/>
      <c r="AB70" s="616"/>
      <c r="AC70" s="600"/>
      <c r="AD70" s="600"/>
      <c r="AE70" s="600"/>
      <c r="AF70" s="600"/>
      <c r="AG70" s="600"/>
      <c r="AH70" s="609"/>
      <c r="AI70" s="968">
        <f t="shared" si="31"/>
        <v>0</v>
      </c>
      <c r="AJ70" s="646">
        <v>0</v>
      </c>
      <c r="AK70" s="615"/>
      <c r="AL70" s="600"/>
      <c r="AM70" s="616"/>
      <c r="AN70" s="600"/>
      <c r="AO70" s="600"/>
      <c r="AP70" s="600"/>
      <c r="AQ70" s="600"/>
      <c r="AR70" s="600" t="e">
        <f t="shared" si="32"/>
        <v>#DIV/0!</v>
      </c>
      <c r="AS70" s="609"/>
      <c r="AT70" s="609"/>
      <c r="AU70" s="646"/>
      <c r="AV70" s="615"/>
      <c r="AW70" s="600"/>
      <c r="AX70" s="616"/>
      <c r="AY70" s="600"/>
      <c r="AZ70" s="600"/>
      <c r="BA70" s="600"/>
      <c r="BB70" s="600"/>
      <c r="BC70" s="600"/>
      <c r="BD70" s="609"/>
      <c r="BE70" s="609"/>
      <c r="BF70" s="646"/>
      <c r="BG70" s="782"/>
      <c r="BH70" s="774"/>
      <c r="BI70" s="865"/>
      <c r="BJ70" s="774"/>
      <c r="BK70" s="774"/>
      <c r="BL70" s="774"/>
      <c r="BM70" s="774"/>
      <c r="BN70" s="774"/>
      <c r="BO70" s="866"/>
      <c r="BP70" s="866"/>
      <c r="BQ70" s="646"/>
    </row>
    <row r="71" spans="1:69" s="599" customFormat="1" ht="16.5" hidden="1" customHeight="1" thickBot="1">
      <c r="A71" s="914"/>
      <c r="B71" s="744"/>
      <c r="C71" s="746"/>
      <c r="D71" s="745"/>
      <c r="E71" s="600"/>
      <c r="F71" s="600"/>
      <c r="G71" s="600"/>
      <c r="H71" s="600"/>
      <c r="I71" s="600"/>
      <c r="J71" s="601"/>
      <c r="K71" s="601"/>
      <c r="L71" s="609"/>
      <c r="M71" s="609"/>
      <c r="N71" s="609"/>
      <c r="O71" s="615"/>
      <c r="P71" s="600"/>
      <c r="Q71" s="616"/>
      <c r="R71" s="600"/>
      <c r="S71" s="600"/>
      <c r="T71" s="600"/>
      <c r="U71" s="600"/>
      <c r="V71" s="600"/>
      <c r="W71" s="609"/>
      <c r="X71" s="609"/>
      <c r="Y71" s="646"/>
      <c r="Z71" s="617"/>
      <c r="AA71" s="605"/>
      <c r="AB71" s="620"/>
      <c r="AC71" s="605"/>
      <c r="AD71" s="605"/>
      <c r="AE71" s="605"/>
      <c r="AF71" s="605"/>
      <c r="AG71" s="605"/>
      <c r="AH71" s="609"/>
      <c r="AI71" s="968">
        <f t="shared" si="31"/>
        <v>0</v>
      </c>
      <c r="AJ71" s="646">
        <v>0</v>
      </c>
      <c r="AK71" s="615"/>
      <c r="AL71" s="600"/>
      <c r="AM71" s="616"/>
      <c r="AN71" s="600"/>
      <c r="AO71" s="600"/>
      <c r="AP71" s="600"/>
      <c r="AQ71" s="600"/>
      <c r="AR71" s="600" t="e">
        <f t="shared" si="32"/>
        <v>#DIV/0!</v>
      </c>
      <c r="AS71" s="609"/>
      <c r="AT71" s="609"/>
      <c r="AU71" s="646"/>
      <c r="AV71" s="615"/>
      <c r="AW71" s="600"/>
      <c r="AX71" s="616"/>
      <c r="AY71" s="600"/>
      <c r="AZ71" s="600"/>
      <c r="BA71" s="600"/>
      <c r="BB71" s="600"/>
      <c r="BC71" s="600"/>
      <c r="BD71" s="609"/>
      <c r="BE71" s="609"/>
      <c r="BF71" s="646"/>
      <c r="BG71" s="782"/>
      <c r="BH71" s="774"/>
      <c r="BI71" s="865"/>
      <c r="BJ71" s="774"/>
      <c r="BK71" s="774"/>
      <c r="BL71" s="774"/>
      <c r="BM71" s="774"/>
      <c r="BN71" s="774"/>
      <c r="BO71" s="866"/>
      <c r="BP71" s="866"/>
      <c r="BQ71" s="646"/>
    </row>
    <row r="72" spans="1:69" s="599" customFormat="1" ht="16.5" hidden="1" customHeight="1" thickBot="1">
      <c r="A72" s="914"/>
      <c r="B72" s="744"/>
      <c r="C72" s="746"/>
      <c r="D72" s="745"/>
      <c r="E72" s="600"/>
      <c r="F72" s="600"/>
      <c r="G72" s="600"/>
      <c r="H72" s="600"/>
      <c r="I72" s="600"/>
      <c r="J72" s="601"/>
      <c r="K72" s="601"/>
      <c r="L72" s="609"/>
      <c r="M72" s="609"/>
      <c r="N72" s="609"/>
      <c r="O72" s="615"/>
      <c r="P72" s="600"/>
      <c r="Q72" s="616"/>
      <c r="R72" s="600"/>
      <c r="S72" s="600"/>
      <c r="T72" s="600"/>
      <c r="U72" s="600"/>
      <c r="V72" s="600"/>
      <c r="W72" s="609"/>
      <c r="X72" s="609"/>
      <c r="Y72" s="646"/>
      <c r="Z72" s="615"/>
      <c r="AA72" s="600"/>
      <c r="AB72" s="616"/>
      <c r="AC72" s="600"/>
      <c r="AD72" s="600"/>
      <c r="AE72" s="600"/>
      <c r="AF72" s="600"/>
      <c r="AG72" s="600"/>
      <c r="AH72" s="609"/>
      <c r="AI72" s="968">
        <f t="shared" si="31"/>
        <v>0</v>
      </c>
      <c r="AJ72" s="646">
        <v>0</v>
      </c>
      <c r="AK72" s="615"/>
      <c r="AL72" s="600"/>
      <c r="AM72" s="616"/>
      <c r="AN72" s="600"/>
      <c r="AO72" s="600"/>
      <c r="AP72" s="600"/>
      <c r="AQ72" s="600"/>
      <c r="AR72" s="600" t="e">
        <f t="shared" si="32"/>
        <v>#DIV/0!</v>
      </c>
      <c r="AS72" s="609"/>
      <c r="AT72" s="609"/>
      <c r="AU72" s="646"/>
      <c r="AV72" s="615"/>
      <c r="AW72" s="600"/>
      <c r="AX72" s="616"/>
      <c r="AY72" s="600"/>
      <c r="AZ72" s="600"/>
      <c r="BA72" s="600"/>
      <c r="BB72" s="600"/>
      <c r="BC72" s="600"/>
      <c r="BD72" s="609"/>
      <c r="BE72" s="609"/>
      <c r="BF72" s="646"/>
      <c r="BG72" s="782"/>
      <c r="BH72" s="774"/>
      <c r="BI72" s="865"/>
      <c r="BJ72" s="774"/>
      <c r="BK72" s="774"/>
      <c r="BL72" s="774"/>
      <c r="BM72" s="774"/>
      <c r="BN72" s="774"/>
      <c r="BO72" s="866"/>
      <c r="BP72" s="866"/>
      <c r="BQ72" s="646"/>
    </row>
    <row r="73" spans="1:69" s="599" customFormat="1" ht="16.5" hidden="1" customHeight="1" thickBot="1">
      <c r="A73" s="914"/>
      <c r="B73" s="744"/>
      <c r="C73" s="746"/>
      <c r="D73" s="745"/>
      <c r="E73" s="600"/>
      <c r="F73" s="600"/>
      <c r="G73" s="600"/>
      <c r="H73" s="600"/>
      <c r="I73" s="600"/>
      <c r="J73" s="601"/>
      <c r="K73" s="601"/>
      <c r="L73" s="609"/>
      <c r="M73" s="609"/>
      <c r="N73" s="609"/>
      <c r="O73" s="615"/>
      <c r="P73" s="600"/>
      <c r="Q73" s="616"/>
      <c r="R73" s="600"/>
      <c r="S73" s="600"/>
      <c r="T73" s="600"/>
      <c r="U73" s="600"/>
      <c r="V73" s="600"/>
      <c r="W73" s="609"/>
      <c r="X73" s="609"/>
      <c r="Y73" s="646"/>
      <c r="Z73" s="615"/>
      <c r="AA73" s="600"/>
      <c r="AB73" s="616"/>
      <c r="AC73" s="600"/>
      <c r="AD73" s="600"/>
      <c r="AE73" s="600"/>
      <c r="AF73" s="600"/>
      <c r="AG73" s="600"/>
      <c r="AH73" s="609"/>
      <c r="AI73" s="968">
        <f t="shared" si="31"/>
        <v>0</v>
      </c>
      <c r="AJ73" s="646">
        <v>0</v>
      </c>
      <c r="AK73" s="615"/>
      <c r="AL73" s="600"/>
      <c r="AM73" s="616"/>
      <c r="AN73" s="600"/>
      <c r="AO73" s="600"/>
      <c r="AP73" s="600"/>
      <c r="AQ73" s="600"/>
      <c r="AR73" s="600" t="e">
        <f t="shared" si="32"/>
        <v>#DIV/0!</v>
      </c>
      <c r="AS73" s="609"/>
      <c r="AT73" s="609"/>
      <c r="AU73" s="646"/>
      <c r="AV73" s="615"/>
      <c r="AW73" s="600"/>
      <c r="AX73" s="616"/>
      <c r="AY73" s="600"/>
      <c r="AZ73" s="600"/>
      <c r="BA73" s="600"/>
      <c r="BB73" s="600"/>
      <c r="BC73" s="600"/>
      <c r="BD73" s="609"/>
      <c r="BE73" s="609"/>
      <c r="BF73" s="646"/>
      <c r="BG73" s="782"/>
      <c r="BH73" s="774"/>
      <c r="BI73" s="865"/>
      <c r="BJ73" s="774"/>
      <c r="BK73" s="774"/>
      <c r="BL73" s="774"/>
      <c r="BM73" s="774"/>
      <c r="BN73" s="774"/>
      <c r="BO73" s="866"/>
      <c r="BP73" s="866"/>
      <c r="BQ73" s="646"/>
    </row>
    <row r="74" spans="1:69" s="599" customFormat="1" ht="16.5" hidden="1" customHeight="1" thickBot="1">
      <c r="A74" s="914"/>
      <c r="B74" s="744"/>
      <c r="C74" s="746"/>
      <c r="D74" s="745"/>
      <c r="E74" s="600"/>
      <c r="F74" s="600"/>
      <c r="G74" s="600"/>
      <c r="H74" s="600"/>
      <c r="I74" s="600"/>
      <c r="J74" s="601"/>
      <c r="K74" s="601"/>
      <c r="L74" s="609"/>
      <c r="M74" s="609"/>
      <c r="N74" s="609"/>
      <c r="O74" s="615"/>
      <c r="P74" s="600"/>
      <c r="Q74" s="616"/>
      <c r="R74" s="600"/>
      <c r="S74" s="600"/>
      <c r="T74" s="600"/>
      <c r="U74" s="600"/>
      <c r="V74" s="600"/>
      <c r="W74" s="609"/>
      <c r="X74" s="609"/>
      <c r="Y74" s="646"/>
      <c r="Z74" s="615"/>
      <c r="AA74" s="600"/>
      <c r="AB74" s="616"/>
      <c r="AC74" s="600"/>
      <c r="AD74" s="600"/>
      <c r="AE74" s="600"/>
      <c r="AF74" s="600"/>
      <c r="AG74" s="600"/>
      <c r="AH74" s="609"/>
      <c r="AI74" s="968">
        <f t="shared" si="31"/>
        <v>0</v>
      </c>
      <c r="AJ74" s="646">
        <v>0</v>
      </c>
      <c r="AK74" s="615"/>
      <c r="AL74" s="600"/>
      <c r="AM74" s="616"/>
      <c r="AN74" s="600"/>
      <c r="AO74" s="600"/>
      <c r="AP74" s="600"/>
      <c r="AQ74" s="600"/>
      <c r="AR74" s="600" t="e">
        <f t="shared" si="32"/>
        <v>#DIV/0!</v>
      </c>
      <c r="AS74" s="609"/>
      <c r="AT74" s="609"/>
      <c r="AU74" s="646"/>
      <c r="AV74" s="615"/>
      <c r="AW74" s="600"/>
      <c r="AX74" s="616"/>
      <c r="AY74" s="600"/>
      <c r="AZ74" s="600"/>
      <c r="BA74" s="600"/>
      <c r="BB74" s="600"/>
      <c r="BC74" s="600"/>
      <c r="BD74" s="609"/>
      <c r="BE74" s="609"/>
      <c r="BF74" s="646"/>
      <c r="BG74" s="782"/>
      <c r="BH74" s="774"/>
      <c r="BI74" s="865"/>
      <c r="BJ74" s="774"/>
      <c r="BK74" s="774"/>
      <c r="BL74" s="774"/>
      <c r="BM74" s="774"/>
      <c r="BN74" s="774"/>
      <c r="BO74" s="866"/>
      <c r="BP74" s="866"/>
      <c r="BQ74" s="646"/>
    </row>
    <row r="75" spans="1:69" s="599" customFormat="1" ht="16.5" hidden="1" customHeight="1" thickBot="1">
      <c r="A75" s="914"/>
      <c r="B75" s="756"/>
      <c r="C75" s="840"/>
      <c r="D75" s="827"/>
      <c r="E75" s="606"/>
      <c r="F75" s="606"/>
      <c r="G75" s="606"/>
      <c r="H75" s="606"/>
      <c r="I75" s="606"/>
      <c r="J75" s="607"/>
      <c r="K75" s="607"/>
      <c r="L75" s="612"/>
      <c r="M75" s="612"/>
      <c r="N75" s="612"/>
      <c r="O75" s="619"/>
      <c r="P75" s="606"/>
      <c r="Q75" s="733"/>
      <c r="R75" s="606"/>
      <c r="S75" s="606"/>
      <c r="T75" s="606"/>
      <c r="U75" s="606"/>
      <c r="V75" s="606"/>
      <c r="W75" s="612"/>
      <c r="X75" s="612"/>
      <c r="Y75" s="613"/>
      <c r="Z75" s="619"/>
      <c r="AA75" s="606"/>
      <c r="AB75" s="733"/>
      <c r="AC75" s="606"/>
      <c r="AD75" s="606"/>
      <c r="AE75" s="606"/>
      <c r="AF75" s="606"/>
      <c r="AG75" s="606"/>
      <c r="AH75" s="612"/>
      <c r="AI75" s="968">
        <f t="shared" si="31"/>
        <v>0</v>
      </c>
      <c r="AJ75" s="613">
        <v>0</v>
      </c>
      <c r="AK75" s="619"/>
      <c r="AL75" s="606"/>
      <c r="AM75" s="733"/>
      <c r="AN75" s="606"/>
      <c r="AO75" s="606"/>
      <c r="AP75" s="606"/>
      <c r="AQ75" s="606"/>
      <c r="AR75" s="606" t="e">
        <f t="shared" si="32"/>
        <v>#DIV/0!</v>
      </c>
      <c r="AS75" s="612"/>
      <c r="AT75" s="612"/>
      <c r="AU75" s="613"/>
      <c r="AV75" s="619"/>
      <c r="AW75" s="606"/>
      <c r="AX75" s="733"/>
      <c r="AY75" s="606"/>
      <c r="AZ75" s="606"/>
      <c r="BA75" s="606"/>
      <c r="BB75" s="606"/>
      <c r="BC75" s="606"/>
      <c r="BD75" s="612"/>
      <c r="BE75" s="612"/>
      <c r="BF75" s="613"/>
      <c r="BG75" s="867"/>
      <c r="BH75" s="868"/>
      <c r="BI75" s="869"/>
      <c r="BJ75" s="868"/>
      <c r="BK75" s="868"/>
      <c r="BL75" s="868"/>
      <c r="BM75" s="868"/>
      <c r="BN75" s="868"/>
      <c r="BO75" s="871"/>
      <c r="BP75" s="871"/>
      <c r="BQ75" s="613"/>
    </row>
    <row r="76" spans="1:69" s="599" customFormat="1" ht="16.5" hidden="1" customHeight="1" thickBot="1">
      <c r="A76" s="914"/>
      <c r="B76" s="744"/>
      <c r="C76" s="746"/>
      <c r="D76" s="745"/>
      <c r="E76" s="600"/>
      <c r="F76" s="600"/>
      <c r="G76" s="600"/>
      <c r="H76" s="600"/>
      <c r="I76" s="600"/>
      <c r="J76" s="601"/>
      <c r="K76" s="601"/>
      <c r="L76" s="609"/>
      <c r="M76" s="609"/>
      <c r="N76" s="609"/>
      <c r="O76" s="615"/>
      <c r="P76" s="600"/>
      <c r="Q76" s="616"/>
      <c r="R76" s="600"/>
      <c r="S76" s="600"/>
      <c r="T76" s="600"/>
      <c r="U76" s="600"/>
      <c r="V76" s="600"/>
      <c r="W76" s="609"/>
      <c r="X76" s="609"/>
      <c r="Y76" s="646"/>
      <c r="Z76" s="615"/>
      <c r="AA76" s="600"/>
      <c r="AB76" s="616"/>
      <c r="AC76" s="600"/>
      <c r="AD76" s="600"/>
      <c r="AE76" s="600"/>
      <c r="AF76" s="600"/>
      <c r="AG76" s="600"/>
      <c r="AH76" s="609"/>
      <c r="AI76" s="968">
        <f t="shared" si="31"/>
        <v>0</v>
      </c>
      <c r="AJ76" s="646">
        <v>0</v>
      </c>
      <c r="AK76" s="615"/>
      <c r="AL76" s="600"/>
      <c r="AM76" s="616"/>
      <c r="AN76" s="600"/>
      <c r="AO76" s="600"/>
      <c r="AP76" s="600"/>
      <c r="AQ76" s="600"/>
      <c r="AR76" s="600" t="e">
        <f t="shared" si="32"/>
        <v>#DIV/0!</v>
      </c>
      <c r="AS76" s="609"/>
      <c r="AT76" s="609"/>
      <c r="AU76" s="646"/>
      <c r="AV76" s="615"/>
      <c r="AW76" s="600"/>
      <c r="AX76" s="616"/>
      <c r="AY76" s="600"/>
      <c r="AZ76" s="600"/>
      <c r="BA76" s="600"/>
      <c r="BB76" s="600"/>
      <c r="BC76" s="600"/>
      <c r="BD76" s="609"/>
      <c r="BE76" s="609"/>
      <c r="BF76" s="646"/>
      <c r="BG76" s="782"/>
      <c r="BH76" s="774"/>
      <c r="BI76" s="865"/>
      <c r="BJ76" s="774"/>
      <c r="BK76" s="774"/>
      <c r="BL76" s="774"/>
      <c r="BM76" s="774"/>
      <c r="BN76" s="774"/>
      <c r="BO76" s="866"/>
      <c r="BP76" s="866"/>
      <c r="BQ76" s="646"/>
    </row>
    <row r="77" spans="1:69" s="599" customFormat="1" ht="16.5" hidden="1" customHeight="1" thickBot="1">
      <c r="A77" s="914"/>
      <c r="B77" s="744"/>
      <c r="C77" s="746"/>
      <c r="D77" s="745"/>
      <c r="E77" s="600"/>
      <c r="F77" s="600"/>
      <c r="G77" s="600"/>
      <c r="H77" s="600"/>
      <c r="I77" s="600"/>
      <c r="J77" s="601"/>
      <c r="K77" s="601"/>
      <c r="L77" s="609"/>
      <c r="M77" s="609"/>
      <c r="N77" s="609"/>
      <c r="O77" s="615"/>
      <c r="P77" s="600"/>
      <c r="Q77" s="616"/>
      <c r="R77" s="600"/>
      <c r="S77" s="600"/>
      <c r="T77" s="600"/>
      <c r="U77" s="600"/>
      <c r="V77" s="600"/>
      <c r="W77" s="609"/>
      <c r="X77" s="609"/>
      <c r="Y77" s="646"/>
      <c r="Z77" s="615"/>
      <c r="AA77" s="600"/>
      <c r="AB77" s="616"/>
      <c r="AC77" s="600"/>
      <c r="AD77" s="600"/>
      <c r="AE77" s="600"/>
      <c r="AF77" s="600"/>
      <c r="AG77" s="600"/>
      <c r="AH77" s="609"/>
      <c r="AI77" s="968">
        <f t="shared" si="31"/>
        <v>0</v>
      </c>
      <c r="AJ77" s="646">
        <v>0</v>
      </c>
      <c r="AK77" s="615"/>
      <c r="AL77" s="600"/>
      <c r="AM77" s="616"/>
      <c r="AN77" s="600"/>
      <c r="AO77" s="600"/>
      <c r="AP77" s="600"/>
      <c r="AQ77" s="600"/>
      <c r="AR77" s="600" t="e">
        <f t="shared" si="32"/>
        <v>#DIV/0!</v>
      </c>
      <c r="AS77" s="609"/>
      <c r="AT77" s="609"/>
      <c r="AU77" s="646"/>
      <c r="AV77" s="615"/>
      <c r="AW77" s="600"/>
      <c r="AX77" s="616"/>
      <c r="AY77" s="600"/>
      <c r="AZ77" s="600"/>
      <c r="BA77" s="600"/>
      <c r="BB77" s="600"/>
      <c r="BC77" s="600"/>
      <c r="BD77" s="609"/>
      <c r="BE77" s="609"/>
      <c r="BF77" s="646"/>
      <c r="BG77" s="782"/>
      <c r="BH77" s="774"/>
      <c r="BI77" s="865"/>
      <c r="BJ77" s="774"/>
      <c r="BK77" s="774"/>
      <c r="BL77" s="774"/>
      <c r="BM77" s="774"/>
      <c r="BN77" s="774"/>
      <c r="BO77" s="866"/>
      <c r="BP77" s="866"/>
      <c r="BQ77" s="646"/>
    </row>
    <row r="78" spans="1:69" s="599" customFormat="1" ht="16.5" hidden="1" customHeight="1" thickBot="1">
      <c r="A78" s="914"/>
      <c r="B78" s="744"/>
      <c r="C78" s="746"/>
      <c r="D78" s="745"/>
      <c r="E78" s="600"/>
      <c r="F78" s="600"/>
      <c r="G78" s="600"/>
      <c r="H78" s="600"/>
      <c r="I78" s="600"/>
      <c r="J78" s="601"/>
      <c r="K78" s="601"/>
      <c r="L78" s="609"/>
      <c r="M78" s="609"/>
      <c r="N78" s="609"/>
      <c r="O78" s="615"/>
      <c r="P78" s="600"/>
      <c r="Q78" s="616"/>
      <c r="R78" s="600"/>
      <c r="S78" s="600"/>
      <c r="T78" s="600"/>
      <c r="U78" s="600"/>
      <c r="V78" s="600"/>
      <c r="W78" s="609"/>
      <c r="X78" s="609"/>
      <c r="Y78" s="646"/>
      <c r="Z78" s="615"/>
      <c r="AA78" s="600"/>
      <c r="AB78" s="616"/>
      <c r="AC78" s="600"/>
      <c r="AD78" s="600"/>
      <c r="AE78" s="600"/>
      <c r="AF78" s="600"/>
      <c r="AG78" s="600"/>
      <c r="AH78" s="609"/>
      <c r="AI78" s="968">
        <f t="shared" si="31"/>
        <v>0</v>
      </c>
      <c r="AJ78" s="646">
        <v>0</v>
      </c>
      <c r="AK78" s="615"/>
      <c r="AL78" s="600"/>
      <c r="AM78" s="616"/>
      <c r="AN78" s="600"/>
      <c r="AO78" s="600"/>
      <c r="AP78" s="600"/>
      <c r="AQ78" s="600"/>
      <c r="AR78" s="600" t="e">
        <f t="shared" si="32"/>
        <v>#DIV/0!</v>
      </c>
      <c r="AS78" s="609"/>
      <c r="AT78" s="609"/>
      <c r="AU78" s="646"/>
      <c r="AV78" s="615"/>
      <c r="AW78" s="600"/>
      <c r="AX78" s="616"/>
      <c r="AY78" s="600"/>
      <c r="AZ78" s="600"/>
      <c r="BA78" s="600"/>
      <c r="BB78" s="600"/>
      <c r="BC78" s="600"/>
      <c r="BD78" s="609"/>
      <c r="BE78" s="609"/>
      <c r="BF78" s="646"/>
      <c r="BG78" s="782"/>
      <c r="BH78" s="774"/>
      <c r="BI78" s="865"/>
      <c r="BJ78" s="774"/>
      <c r="BK78" s="774"/>
      <c r="BL78" s="774"/>
      <c r="BM78" s="774"/>
      <c r="BN78" s="774"/>
      <c r="BO78" s="866"/>
      <c r="BP78" s="866"/>
      <c r="BQ78" s="646"/>
    </row>
    <row r="79" spans="1:69" s="599" customFormat="1" ht="16.5" hidden="1" customHeight="1" thickBot="1">
      <c r="A79" s="914"/>
      <c r="B79" s="744"/>
      <c r="C79" s="746"/>
      <c r="D79" s="745"/>
      <c r="E79" s="600"/>
      <c r="F79" s="600"/>
      <c r="G79" s="600"/>
      <c r="H79" s="600"/>
      <c r="I79" s="600"/>
      <c r="J79" s="601"/>
      <c r="K79" s="601"/>
      <c r="L79" s="609"/>
      <c r="M79" s="609"/>
      <c r="N79" s="609"/>
      <c r="O79" s="615"/>
      <c r="P79" s="600"/>
      <c r="Q79" s="616"/>
      <c r="R79" s="600"/>
      <c r="S79" s="600"/>
      <c r="T79" s="600"/>
      <c r="U79" s="600"/>
      <c r="V79" s="600"/>
      <c r="W79" s="609"/>
      <c r="X79" s="609"/>
      <c r="Y79" s="646"/>
      <c r="Z79" s="615"/>
      <c r="AA79" s="600"/>
      <c r="AB79" s="616"/>
      <c r="AC79" s="600"/>
      <c r="AD79" s="600"/>
      <c r="AE79" s="600"/>
      <c r="AF79" s="600"/>
      <c r="AG79" s="600"/>
      <c r="AH79" s="609"/>
      <c r="AI79" s="968">
        <f t="shared" si="31"/>
        <v>0</v>
      </c>
      <c r="AJ79" s="646">
        <v>0</v>
      </c>
      <c r="AK79" s="615"/>
      <c r="AL79" s="600"/>
      <c r="AM79" s="616"/>
      <c r="AN79" s="600"/>
      <c r="AO79" s="600"/>
      <c r="AP79" s="600"/>
      <c r="AQ79" s="600"/>
      <c r="AR79" s="600" t="e">
        <f t="shared" si="32"/>
        <v>#DIV/0!</v>
      </c>
      <c r="AS79" s="609"/>
      <c r="AT79" s="609"/>
      <c r="AU79" s="646"/>
      <c r="AV79" s="615"/>
      <c r="AW79" s="600"/>
      <c r="AX79" s="616"/>
      <c r="AY79" s="600"/>
      <c r="AZ79" s="600"/>
      <c r="BA79" s="600"/>
      <c r="BB79" s="600"/>
      <c r="BC79" s="600"/>
      <c r="BD79" s="609"/>
      <c r="BE79" s="609"/>
      <c r="BF79" s="646"/>
      <c r="BG79" s="782"/>
      <c r="BH79" s="774"/>
      <c r="BI79" s="865"/>
      <c r="BJ79" s="774"/>
      <c r="BK79" s="774"/>
      <c r="BL79" s="774"/>
      <c r="BM79" s="774"/>
      <c r="BN79" s="774"/>
      <c r="BO79" s="866"/>
      <c r="BP79" s="866"/>
      <c r="BQ79" s="646"/>
    </row>
    <row r="80" spans="1:69" s="599" customFormat="1" ht="16.5" hidden="1" customHeight="1" thickBot="1">
      <c r="A80" s="914"/>
      <c r="B80" s="744"/>
      <c r="C80" s="746"/>
      <c r="D80" s="745"/>
      <c r="E80" s="600"/>
      <c r="F80" s="600"/>
      <c r="G80" s="600"/>
      <c r="H80" s="600"/>
      <c r="I80" s="600"/>
      <c r="J80" s="601"/>
      <c r="K80" s="601"/>
      <c r="L80" s="609"/>
      <c r="M80" s="609"/>
      <c r="N80" s="609"/>
      <c r="O80" s="615"/>
      <c r="P80" s="600"/>
      <c r="Q80" s="616"/>
      <c r="R80" s="600"/>
      <c r="S80" s="600"/>
      <c r="T80" s="600"/>
      <c r="U80" s="600"/>
      <c r="V80" s="600"/>
      <c r="W80" s="609"/>
      <c r="X80" s="609"/>
      <c r="Y80" s="646"/>
      <c r="Z80" s="615"/>
      <c r="AA80" s="600"/>
      <c r="AB80" s="616"/>
      <c r="AC80" s="600"/>
      <c r="AD80" s="600"/>
      <c r="AE80" s="600"/>
      <c r="AF80" s="600"/>
      <c r="AG80" s="600"/>
      <c r="AH80" s="609"/>
      <c r="AI80" s="968">
        <f t="shared" ref="AI80:AI89" si="33">+IF(AG80&lt;0,(ROUNDDOWN(AG80,0)),(ROUNDUP(AG80,0)))</f>
        <v>0</v>
      </c>
      <c r="AJ80" s="646">
        <v>0</v>
      </c>
      <c r="AK80" s="615"/>
      <c r="AL80" s="600"/>
      <c r="AM80" s="616"/>
      <c r="AN80" s="600"/>
      <c r="AO80" s="600"/>
      <c r="AP80" s="600"/>
      <c r="AQ80" s="600"/>
      <c r="AR80" s="600" t="e">
        <f t="shared" si="32"/>
        <v>#DIV/0!</v>
      </c>
      <c r="AS80" s="609"/>
      <c r="AT80" s="609"/>
      <c r="AU80" s="646"/>
      <c r="AV80" s="615"/>
      <c r="AW80" s="600"/>
      <c r="AX80" s="616"/>
      <c r="AY80" s="600"/>
      <c r="AZ80" s="600"/>
      <c r="BA80" s="600"/>
      <c r="BB80" s="600"/>
      <c r="BC80" s="600"/>
      <c r="BD80" s="609"/>
      <c r="BE80" s="609"/>
      <c r="BF80" s="646"/>
      <c r="BG80" s="782"/>
      <c r="BH80" s="774"/>
      <c r="BI80" s="865"/>
      <c r="BJ80" s="774"/>
      <c r="BK80" s="774"/>
      <c r="BL80" s="774"/>
      <c r="BM80" s="774"/>
      <c r="BN80" s="774"/>
      <c r="BO80" s="866"/>
      <c r="BP80" s="866"/>
      <c r="BQ80" s="646"/>
    </row>
    <row r="81" spans="1:141" s="599" customFormat="1" ht="16.5" hidden="1" customHeight="1" thickBot="1">
      <c r="A81" s="914"/>
      <c r="B81" s="744"/>
      <c r="C81" s="746"/>
      <c r="D81" s="745"/>
      <c r="E81" s="600"/>
      <c r="F81" s="600"/>
      <c r="G81" s="600"/>
      <c r="H81" s="600"/>
      <c r="I81" s="600"/>
      <c r="J81" s="601"/>
      <c r="K81" s="601"/>
      <c r="L81" s="609"/>
      <c r="M81" s="609"/>
      <c r="N81" s="609"/>
      <c r="O81" s="615"/>
      <c r="P81" s="600"/>
      <c r="Q81" s="616"/>
      <c r="R81" s="600"/>
      <c r="S81" s="600"/>
      <c r="T81" s="600"/>
      <c r="U81" s="600"/>
      <c r="V81" s="600"/>
      <c r="W81" s="609"/>
      <c r="X81" s="609"/>
      <c r="Y81" s="646"/>
      <c r="Z81" s="615"/>
      <c r="AA81" s="600"/>
      <c r="AB81" s="616"/>
      <c r="AC81" s="600"/>
      <c r="AD81" s="600"/>
      <c r="AE81" s="600"/>
      <c r="AF81" s="600"/>
      <c r="AG81" s="600"/>
      <c r="AH81" s="609"/>
      <c r="AI81" s="968">
        <f t="shared" si="33"/>
        <v>0</v>
      </c>
      <c r="AJ81" s="646">
        <v>0</v>
      </c>
      <c r="AK81" s="615"/>
      <c r="AL81" s="600"/>
      <c r="AM81" s="616"/>
      <c r="AN81" s="600"/>
      <c r="AO81" s="600"/>
      <c r="AP81" s="600"/>
      <c r="AQ81" s="600"/>
      <c r="AR81" s="600" t="e">
        <f t="shared" si="32"/>
        <v>#DIV/0!</v>
      </c>
      <c r="AS81" s="609"/>
      <c r="AT81" s="609"/>
      <c r="AU81" s="646"/>
      <c r="AV81" s="615"/>
      <c r="AW81" s="600"/>
      <c r="AX81" s="616"/>
      <c r="AY81" s="600"/>
      <c r="AZ81" s="600"/>
      <c r="BA81" s="600"/>
      <c r="BB81" s="600"/>
      <c r="BC81" s="600"/>
      <c r="BD81" s="609"/>
      <c r="BE81" s="609"/>
      <c r="BF81" s="646"/>
      <c r="BG81" s="782"/>
      <c r="BH81" s="774"/>
      <c r="BI81" s="865"/>
      <c r="BJ81" s="774"/>
      <c r="BK81" s="774"/>
      <c r="BL81" s="774"/>
      <c r="BM81" s="774"/>
      <c r="BN81" s="774"/>
      <c r="BO81" s="866"/>
      <c r="BP81" s="866"/>
      <c r="BQ81" s="646"/>
    </row>
    <row r="82" spans="1:141" s="599" customFormat="1" ht="16.5" hidden="1" customHeight="1" thickBot="1">
      <c r="A82" s="914"/>
      <c r="B82" s="744"/>
      <c r="C82" s="746"/>
      <c r="D82" s="745"/>
      <c r="E82" s="600"/>
      <c r="F82" s="600"/>
      <c r="G82" s="600"/>
      <c r="H82" s="600"/>
      <c r="I82" s="600"/>
      <c r="J82" s="601"/>
      <c r="K82" s="601"/>
      <c r="L82" s="609"/>
      <c r="M82" s="609"/>
      <c r="N82" s="609"/>
      <c r="O82" s="615"/>
      <c r="P82" s="600"/>
      <c r="Q82" s="616"/>
      <c r="R82" s="600"/>
      <c r="S82" s="600"/>
      <c r="T82" s="600"/>
      <c r="U82" s="600"/>
      <c r="V82" s="600"/>
      <c r="W82" s="609"/>
      <c r="X82" s="609"/>
      <c r="Y82" s="646"/>
      <c r="Z82" s="615"/>
      <c r="AA82" s="600"/>
      <c r="AB82" s="616"/>
      <c r="AC82" s="600"/>
      <c r="AD82" s="600"/>
      <c r="AE82" s="600"/>
      <c r="AF82" s="600"/>
      <c r="AG82" s="600"/>
      <c r="AH82" s="609"/>
      <c r="AI82" s="968">
        <f t="shared" si="33"/>
        <v>0</v>
      </c>
      <c r="AJ82" s="646">
        <v>0</v>
      </c>
      <c r="AK82" s="615"/>
      <c r="AL82" s="600"/>
      <c r="AM82" s="616"/>
      <c r="AN82" s="600"/>
      <c r="AO82" s="600"/>
      <c r="AP82" s="600"/>
      <c r="AQ82" s="600"/>
      <c r="AR82" s="600" t="e">
        <f t="shared" si="32"/>
        <v>#DIV/0!</v>
      </c>
      <c r="AS82" s="609"/>
      <c r="AT82" s="609"/>
      <c r="AU82" s="646"/>
      <c r="AV82" s="615"/>
      <c r="AW82" s="600"/>
      <c r="AX82" s="616"/>
      <c r="AY82" s="600"/>
      <c r="AZ82" s="600"/>
      <c r="BA82" s="600"/>
      <c r="BB82" s="600"/>
      <c r="BC82" s="600"/>
      <c r="BD82" s="609"/>
      <c r="BE82" s="609"/>
      <c r="BF82" s="646"/>
      <c r="BG82" s="782"/>
      <c r="BH82" s="774"/>
      <c r="BI82" s="865"/>
      <c r="BJ82" s="774"/>
      <c r="BK82" s="774"/>
      <c r="BL82" s="774"/>
      <c r="BM82" s="774"/>
      <c r="BN82" s="774"/>
      <c r="BO82" s="866"/>
      <c r="BP82" s="866"/>
      <c r="BQ82" s="646"/>
    </row>
    <row r="83" spans="1:141" s="599" customFormat="1" ht="16.5" hidden="1" customHeight="1" thickBot="1">
      <c r="A83" s="914"/>
      <c r="B83" s="744"/>
      <c r="C83" s="746"/>
      <c r="D83" s="745"/>
      <c r="E83" s="600"/>
      <c r="F83" s="600"/>
      <c r="G83" s="600"/>
      <c r="H83" s="600"/>
      <c r="I83" s="600"/>
      <c r="J83" s="601"/>
      <c r="K83" s="601"/>
      <c r="L83" s="609"/>
      <c r="M83" s="609"/>
      <c r="N83" s="609"/>
      <c r="O83" s="615"/>
      <c r="P83" s="600"/>
      <c r="Q83" s="616"/>
      <c r="R83" s="600"/>
      <c r="S83" s="600"/>
      <c r="T83" s="600"/>
      <c r="U83" s="600"/>
      <c r="V83" s="600"/>
      <c r="W83" s="609"/>
      <c r="X83" s="609"/>
      <c r="Y83" s="646"/>
      <c r="Z83" s="617"/>
      <c r="AA83" s="605"/>
      <c r="AB83" s="620"/>
      <c r="AC83" s="605"/>
      <c r="AD83" s="605"/>
      <c r="AE83" s="605"/>
      <c r="AF83" s="605"/>
      <c r="AG83" s="605"/>
      <c r="AH83" s="609"/>
      <c r="AI83" s="968">
        <f t="shared" si="33"/>
        <v>0</v>
      </c>
      <c r="AJ83" s="646">
        <v>0</v>
      </c>
      <c r="AK83" s="615"/>
      <c r="AL83" s="600"/>
      <c r="AM83" s="616"/>
      <c r="AN83" s="600"/>
      <c r="AO83" s="600"/>
      <c r="AP83" s="600"/>
      <c r="AQ83" s="600"/>
      <c r="AR83" s="600" t="e">
        <f t="shared" si="32"/>
        <v>#DIV/0!</v>
      </c>
      <c r="AS83" s="609"/>
      <c r="AT83" s="609"/>
      <c r="AU83" s="646"/>
      <c r="AV83" s="615"/>
      <c r="AW83" s="600"/>
      <c r="AX83" s="616"/>
      <c r="AY83" s="600"/>
      <c r="AZ83" s="600"/>
      <c r="BA83" s="600"/>
      <c r="BB83" s="600"/>
      <c r="BC83" s="600"/>
      <c r="BD83" s="609"/>
      <c r="BE83" s="609"/>
      <c r="BF83" s="646"/>
      <c r="BG83" s="782"/>
      <c r="BH83" s="774"/>
      <c r="BI83" s="865"/>
      <c r="BJ83" s="774"/>
      <c r="BK83" s="774"/>
      <c r="BL83" s="774"/>
      <c r="BM83" s="774"/>
      <c r="BN83" s="774"/>
      <c r="BO83" s="866"/>
      <c r="BP83" s="866"/>
      <c r="BQ83" s="646"/>
    </row>
    <row r="84" spans="1:141" s="599" customFormat="1" ht="16.5" hidden="1" customHeight="1" thickBot="1">
      <c r="A84" s="914"/>
      <c r="B84" s="744"/>
      <c r="C84" s="746"/>
      <c r="D84" s="745"/>
      <c r="E84" s="600"/>
      <c r="F84" s="600"/>
      <c r="G84" s="600"/>
      <c r="H84" s="600"/>
      <c r="I84" s="600"/>
      <c r="J84" s="601"/>
      <c r="K84" s="601"/>
      <c r="L84" s="609"/>
      <c r="M84" s="609"/>
      <c r="N84" s="609"/>
      <c r="O84" s="615"/>
      <c r="P84" s="600"/>
      <c r="Q84" s="616"/>
      <c r="R84" s="600"/>
      <c r="S84" s="600"/>
      <c r="T84" s="600"/>
      <c r="U84" s="600"/>
      <c r="V84" s="600"/>
      <c r="W84" s="609"/>
      <c r="X84" s="609"/>
      <c r="Y84" s="646"/>
      <c r="Z84" s="617"/>
      <c r="AA84" s="605"/>
      <c r="AB84" s="620"/>
      <c r="AC84" s="605"/>
      <c r="AD84" s="605"/>
      <c r="AE84" s="605"/>
      <c r="AF84" s="605"/>
      <c r="AG84" s="605"/>
      <c r="AH84" s="609"/>
      <c r="AI84" s="968">
        <f t="shared" si="33"/>
        <v>0</v>
      </c>
      <c r="AJ84" s="646">
        <v>0</v>
      </c>
      <c r="AK84" s="615"/>
      <c r="AL84" s="600"/>
      <c r="AM84" s="616"/>
      <c r="AN84" s="600"/>
      <c r="AO84" s="600"/>
      <c r="AP84" s="600"/>
      <c r="AQ84" s="600"/>
      <c r="AR84" s="600" t="e">
        <f t="shared" si="32"/>
        <v>#DIV/0!</v>
      </c>
      <c r="AS84" s="609"/>
      <c r="AT84" s="609"/>
      <c r="AU84" s="646"/>
      <c r="AV84" s="615"/>
      <c r="AW84" s="600"/>
      <c r="AX84" s="616"/>
      <c r="AY84" s="600"/>
      <c r="AZ84" s="600"/>
      <c r="BA84" s="600"/>
      <c r="BB84" s="600"/>
      <c r="BC84" s="600"/>
      <c r="BD84" s="609"/>
      <c r="BE84" s="609"/>
      <c r="BF84" s="646"/>
      <c r="BG84" s="782"/>
      <c r="BH84" s="774"/>
      <c r="BI84" s="865"/>
      <c r="BJ84" s="774"/>
      <c r="BK84" s="774"/>
      <c r="BL84" s="774"/>
      <c r="BM84" s="774"/>
      <c r="BN84" s="774"/>
      <c r="BO84" s="866"/>
      <c r="BP84" s="866"/>
      <c r="BQ84" s="646"/>
    </row>
    <row r="85" spans="1:141" s="599" customFormat="1" ht="16.5" hidden="1" customHeight="1" thickBot="1">
      <c r="A85" s="914"/>
      <c r="B85" s="744"/>
      <c r="C85" s="746"/>
      <c r="D85" s="745"/>
      <c r="E85" s="600"/>
      <c r="F85" s="600"/>
      <c r="G85" s="600"/>
      <c r="H85" s="600"/>
      <c r="I85" s="600"/>
      <c r="J85" s="601"/>
      <c r="K85" s="601"/>
      <c r="L85" s="609"/>
      <c r="M85" s="609"/>
      <c r="N85" s="609"/>
      <c r="O85" s="615"/>
      <c r="P85" s="600"/>
      <c r="Q85" s="616"/>
      <c r="R85" s="600"/>
      <c r="S85" s="600"/>
      <c r="T85" s="600"/>
      <c r="U85" s="600"/>
      <c r="V85" s="600"/>
      <c r="W85" s="609"/>
      <c r="X85" s="609"/>
      <c r="Y85" s="646"/>
      <c r="Z85" s="617"/>
      <c r="AA85" s="605"/>
      <c r="AB85" s="620"/>
      <c r="AC85" s="605"/>
      <c r="AD85" s="605"/>
      <c r="AE85" s="605"/>
      <c r="AF85" s="605"/>
      <c r="AG85" s="605"/>
      <c r="AH85" s="609"/>
      <c r="AI85" s="968">
        <f t="shared" si="33"/>
        <v>0</v>
      </c>
      <c r="AJ85" s="646">
        <v>0</v>
      </c>
      <c r="AK85" s="615"/>
      <c r="AL85" s="600"/>
      <c r="AM85" s="616"/>
      <c r="AN85" s="600"/>
      <c r="AO85" s="600"/>
      <c r="AP85" s="600"/>
      <c r="AQ85" s="600"/>
      <c r="AR85" s="600" t="e">
        <f t="shared" si="32"/>
        <v>#DIV/0!</v>
      </c>
      <c r="AS85" s="609"/>
      <c r="AT85" s="609"/>
      <c r="AU85" s="646"/>
      <c r="AV85" s="615"/>
      <c r="AW85" s="600"/>
      <c r="AX85" s="616"/>
      <c r="AY85" s="600"/>
      <c r="AZ85" s="600"/>
      <c r="BA85" s="600"/>
      <c r="BB85" s="600"/>
      <c r="BC85" s="600"/>
      <c r="BD85" s="609"/>
      <c r="BE85" s="609"/>
      <c r="BF85" s="646"/>
      <c r="BG85" s="782"/>
      <c r="BH85" s="774"/>
      <c r="BI85" s="865"/>
      <c r="BJ85" s="774"/>
      <c r="BK85" s="774"/>
      <c r="BL85" s="774"/>
      <c r="BM85" s="774"/>
      <c r="BN85" s="774"/>
      <c r="BO85" s="866"/>
      <c r="BP85" s="866"/>
      <c r="BQ85" s="646"/>
    </row>
    <row r="86" spans="1:141" s="599" customFormat="1" ht="16.5" hidden="1" customHeight="1" thickBot="1">
      <c r="A86" s="914"/>
      <c r="B86" s="744"/>
      <c r="C86" s="746"/>
      <c r="D86" s="745"/>
      <c r="E86" s="600"/>
      <c r="F86" s="600"/>
      <c r="G86" s="600"/>
      <c r="H86" s="600"/>
      <c r="I86" s="600"/>
      <c r="J86" s="601"/>
      <c r="K86" s="601"/>
      <c r="L86" s="609"/>
      <c r="M86" s="609"/>
      <c r="N86" s="609"/>
      <c r="O86" s="615"/>
      <c r="P86" s="600"/>
      <c r="Q86" s="616"/>
      <c r="R86" s="600"/>
      <c r="S86" s="600"/>
      <c r="T86" s="600"/>
      <c r="U86" s="600"/>
      <c r="V86" s="600"/>
      <c r="W86" s="609"/>
      <c r="X86" s="609"/>
      <c r="Y86" s="646"/>
      <c r="Z86" s="617"/>
      <c r="AA86" s="605"/>
      <c r="AB86" s="620"/>
      <c r="AC86" s="605"/>
      <c r="AD86" s="605"/>
      <c r="AE86" s="605"/>
      <c r="AF86" s="605"/>
      <c r="AG86" s="605"/>
      <c r="AH86" s="609"/>
      <c r="AI86" s="968">
        <f t="shared" si="33"/>
        <v>0</v>
      </c>
      <c r="AJ86" s="646">
        <v>0</v>
      </c>
      <c r="AK86" s="615"/>
      <c r="AL86" s="600"/>
      <c r="AM86" s="616"/>
      <c r="AN86" s="600"/>
      <c r="AO86" s="600"/>
      <c r="AP86" s="600"/>
      <c r="AQ86" s="600"/>
      <c r="AR86" s="600" t="e">
        <f t="shared" si="32"/>
        <v>#DIV/0!</v>
      </c>
      <c r="AS86" s="609"/>
      <c r="AT86" s="609"/>
      <c r="AU86" s="646"/>
      <c r="AV86" s="615"/>
      <c r="AW86" s="600"/>
      <c r="AX86" s="616"/>
      <c r="AY86" s="600"/>
      <c r="AZ86" s="600"/>
      <c r="BA86" s="600"/>
      <c r="BB86" s="600"/>
      <c r="BC86" s="600"/>
      <c r="BD86" s="609"/>
      <c r="BE86" s="609"/>
      <c r="BF86" s="646"/>
      <c r="BG86" s="782"/>
      <c r="BH86" s="774"/>
      <c r="BI86" s="865"/>
      <c r="BJ86" s="774"/>
      <c r="BK86" s="774"/>
      <c r="BL86" s="774"/>
      <c r="BM86" s="774"/>
      <c r="BN86" s="774"/>
      <c r="BO86" s="866"/>
      <c r="BP86" s="866"/>
      <c r="BQ86" s="646"/>
    </row>
    <row r="87" spans="1:141" s="718" customFormat="1" ht="18" hidden="1" customHeight="1" thickBot="1">
      <c r="A87" s="914"/>
      <c r="B87" s="744"/>
      <c r="C87" s="746"/>
      <c r="D87" s="745"/>
      <c r="E87" s="600"/>
      <c r="F87" s="600"/>
      <c r="G87" s="600"/>
      <c r="H87" s="600"/>
      <c r="I87" s="600"/>
      <c r="J87" s="601"/>
      <c r="K87" s="601"/>
      <c r="L87" s="609"/>
      <c r="M87" s="609"/>
      <c r="N87" s="609"/>
      <c r="O87" s="615"/>
      <c r="P87" s="600"/>
      <c r="Q87" s="616"/>
      <c r="R87" s="600"/>
      <c r="S87" s="600"/>
      <c r="T87" s="600"/>
      <c r="U87" s="600"/>
      <c r="V87" s="600"/>
      <c r="W87" s="609"/>
      <c r="X87" s="609"/>
      <c r="Y87" s="646"/>
      <c r="Z87" s="615"/>
      <c r="AA87" s="600"/>
      <c r="AB87" s="616"/>
      <c r="AC87" s="600"/>
      <c r="AD87" s="600"/>
      <c r="AE87" s="600"/>
      <c r="AF87" s="600"/>
      <c r="AG87" s="600"/>
      <c r="AH87" s="609"/>
      <c r="AI87" s="968">
        <f t="shared" si="33"/>
        <v>0</v>
      </c>
      <c r="AJ87" s="646">
        <v>0</v>
      </c>
      <c r="AK87" s="615"/>
      <c r="AL87" s="600"/>
      <c r="AM87" s="616"/>
      <c r="AN87" s="600"/>
      <c r="AO87" s="600"/>
      <c r="AP87" s="600"/>
      <c r="AQ87" s="600"/>
      <c r="AR87" s="600" t="e">
        <f t="shared" si="32"/>
        <v>#DIV/0!</v>
      </c>
      <c r="AS87" s="609"/>
      <c r="AT87" s="609"/>
      <c r="AU87" s="646"/>
      <c r="AV87" s="615"/>
      <c r="AW87" s="600"/>
      <c r="AX87" s="616"/>
      <c r="AY87" s="600"/>
      <c r="AZ87" s="600"/>
      <c r="BA87" s="600"/>
      <c r="BB87" s="600"/>
      <c r="BC87" s="600"/>
      <c r="BD87" s="609"/>
      <c r="BE87" s="609"/>
      <c r="BF87" s="646"/>
      <c r="BG87" s="782"/>
      <c r="BH87" s="774"/>
      <c r="BI87" s="865"/>
      <c r="BJ87" s="774"/>
      <c r="BK87" s="774"/>
      <c r="BL87" s="774"/>
      <c r="BM87" s="774"/>
      <c r="BN87" s="774"/>
      <c r="BO87" s="866"/>
      <c r="BP87" s="866"/>
      <c r="BQ87" s="646"/>
      <c r="BR87" s="734"/>
      <c r="BS87" s="734"/>
      <c r="BT87" s="734"/>
      <c r="BU87" s="734"/>
      <c r="BV87" s="734"/>
      <c r="BW87" s="734"/>
      <c r="BX87" s="734"/>
      <c r="BY87" s="734"/>
      <c r="BZ87" s="734"/>
      <c r="CA87" s="734"/>
      <c r="CB87" s="734"/>
      <c r="CC87" s="734"/>
      <c r="CD87" s="734"/>
      <c r="CE87" s="734"/>
      <c r="CF87" s="734"/>
      <c r="CG87" s="734"/>
      <c r="CH87" s="734"/>
      <c r="CI87" s="734"/>
      <c r="CJ87" s="734"/>
      <c r="CK87" s="734"/>
      <c r="CL87" s="734"/>
      <c r="CM87" s="734"/>
      <c r="CN87" s="734"/>
      <c r="CO87" s="734"/>
      <c r="CP87" s="734"/>
      <c r="CQ87" s="734"/>
      <c r="CR87" s="734"/>
      <c r="CS87" s="734"/>
      <c r="CT87" s="734"/>
      <c r="CU87" s="734"/>
      <c r="CV87" s="734"/>
      <c r="CW87" s="734"/>
      <c r="CX87" s="734"/>
      <c r="CY87" s="734"/>
      <c r="CZ87" s="734"/>
      <c r="DA87" s="734"/>
      <c r="DB87" s="734"/>
      <c r="DC87" s="734"/>
      <c r="DD87" s="734"/>
      <c r="DE87" s="734"/>
      <c r="DF87" s="734"/>
      <c r="DG87" s="734"/>
      <c r="DH87" s="734"/>
      <c r="DI87" s="734"/>
      <c r="DJ87" s="734"/>
      <c r="DK87" s="734"/>
      <c r="DL87" s="734"/>
      <c r="DM87" s="734"/>
      <c r="DN87" s="734"/>
      <c r="DO87" s="734"/>
      <c r="DP87" s="734"/>
      <c r="DQ87" s="734"/>
      <c r="DR87" s="734"/>
      <c r="DS87" s="734"/>
      <c r="DT87" s="734"/>
      <c r="DU87" s="734"/>
      <c r="DV87" s="734"/>
      <c r="DW87" s="734"/>
      <c r="DX87" s="734"/>
      <c r="DY87" s="734"/>
      <c r="DZ87" s="734"/>
      <c r="EA87" s="734"/>
      <c r="EB87" s="734"/>
      <c r="EC87" s="734"/>
      <c r="ED87" s="734"/>
      <c r="EE87" s="734"/>
      <c r="EF87" s="734"/>
      <c r="EG87" s="734"/>
      <c r="EH87" s="734"/>
      <c r="EI87" s="734"/>
      <c r="EJ87" s="734"/>
      <c r="EK87" s="734"/>
    </row>
    <row r="88" spans="1:141" s="599" customFormat="1" ht="15.75" hidden="1" customHeight="1" thickBot="1">
      <c r="A88" s="914"/>
      <c r="B88" s="756"/>
      <c r="C88" s="840"/>
      <c r="D88" s="827"/>
      <c r="E88" s="606"/>
      <c r="F88" s="606"/>
      <c r="G88" s="606"/>
      <c r="H88" s="606"/>
      <c r="I88" s="606"/>
      <c r="J88" s="607"/>
      <c r="K88" s="607"/>
      <c r="L88" s="612"/>
      <c r="M88" s="607"/>
      <c r="N88" s="612"/>
      <c r="O88" s="619"/>
      <c r="P88" s="606"/>
      <c r="Q88" s="733"/>
      <c r="R88" s="606"/>
      <c r="S88" s="606"/>
      <c r="T88" s="606"/>
      <c r="U88" s="606"/>
      <c r="V88" s="607"/>
      <c r="W88" s="607"/>
      <c r="X88" s="711"/>
      <c r="Y88" s="613"/>
      <c r="Z88" s="619"/>
      <c r="AA88" s="606"/>
      <c r="AB88" s="733"/>
      <c r="AC88" s="606"/>
      <c r="AD88" s="606"/>
      <c r="AE88" s="606"/>
      <c r="AF88" s="606"/>
      <c r="AG88" s="596"/>
      <c r="AH88" s="607"/>
      <c r="AI88" s="968">
        <f t="shared" si="33"/>
        <v>0</v>
      </c>
      <c r="AJ88" s="613">
        <v>0</v>
      </c>
      <c r="AK88" s="619"/>
      <c r="AL88" s="606"/>
      <c r="AM88" s="733"/>
      <c r="AN88" s="606"/>
      <c r="AO88" s="606"/>
      <c r="AP88" s="606"/>
      <c r="AQ88" s="606"/>
      <c r="AR88" s="597" t="e">
        <f>(AQ88-AP88)/AS88</f>
        <v>#DIV/0!</v>
      </c>
      <c r="AS88" s="612"/>
      <c r="AT88" s="607"/>
      <c r="AU88" s="613"/>
      <c r="AV88" s="619"/>
      <c r="AW88" s="606"/>
      <c r="AX88" s="733"/>
      <c r="AY88" s="606"/>
      <c r="AZ88" s="606"/>
      <c r="BA88" s="606"/>
      <c r="BB88" s="597"/>
      <c r="BC88" s="597"/>
      <c r="BD88" s="612"/>
      <c r="BE88" s="607"/>
      <c r="BF88" s="613"/>
      <c r="BG88" s="867"/>
      <c r="BH88" s="868"/>
      <c r="BI88" s="869"/>
      <c r="BJ88" s="868"/>
      <c r="BK88" s="868"/>
      <c r="BL88" s="872"/>
      <c r="BM88" s="872"/>
      <c r="BN88" s="872"/>
      <c r="BO88" s="873"/>
      <c r="BP88" s="874"/>
      <c r="BQ88" s="613"/>
      <c r="BR88" s="622"/>
      <c r="BS88" s="622"/>
      <c r="BT88" s="622"/>
      <c r="BU88" s="622"/>
      <c r="BV88" s="622"/>
      <c r="BW88" s="622"/>
      <c r="BX88" s="622"/>
      <c r="BY88" s="622"/>
      <c r="BZ88" s="622"/>
      <c r="CA88" s="622"/>
      <c r="CB88" s="622"/>
      <c r="CC88" s="622"/>
      <c r="CD88" s="622"/>
      <c r="CE88" s="622"/>
      <c r="CF88" s="622"/>
      <c r="CG88" s="622"/>
      <c r="CH88" s="622"/>
      <c r="CI88" s="622"/>
      <c r="CJ88" s="622"/>
      <c r="CK88" s="622"/>
      <c r="CL88" s="622"/>
      <c r="CM88" s="622"/>
      <c r="CN88" s="622"/>
      <c r="CO88" s="622"/>
      <c r="CP88" s="622"/>
      <c r="CQ88" s="622"/>
      <c r="CR88" s="622"/>
      <c r="CS88" s="622"/>
      <c r="CT88" s="622"/>
      <c r="CU88" s="622"/>
      <c r="CV88" s="622"/>
      <c r="CW88" s="622"/>
      <c r="CX88" s="622"/>
      <c r="CY88" s="622"/>
      <c r="CZ88" s="622"/>
      <c r="DA88" s="622"/>
      <c r="DB88" s="622"/>
      <c r="DC88" s="622"/>
      <c r="DD88" s="622"/>
      <c r="DE88" s="622"/>
      <c r="DF88" s="622"/>
      <c r="DG88" s="622"/>
      <c r="DH88" s="622"/>
      <c r="DI88" s="622"/>
      <c r="DJ88" s="622"/>
      <c r="DK88" s="622"/>
      <c r="DL88" s="622"/>
      <c r="DM88" s="622"/>
      <c r="DN88" s="622"/>
      <c r="DO88" s="622"/>
      <c r="DP88" s="622"/>
      <c r="DQ88" s="622"/>
      <c r="DR88" s="622"/>
      <c r="DS88" s="622"/>
      <c r="DT88" s="622"/>
      <c r="DU88" s="622"/>
      <c r="DV88" s="622"/>
      <c r="DW88" s="622"/>
      <c r="DX88" s="622"/>
      <c r="DY88" s="622"/>
      <c r="DZ88" s="622"/>
      <c r="EA88" s="622"/>
      <c r="EB88" s="622"/>
      <c r="EC88" s="622"/>
      <c r="ED88" s="622"/>
      <c r="EE88" s="622"/>
      <c r="EF88" s="622"/>
      <c r="EG88" s="622"/>
      <c r="EH88" s="622"/>
      <c r="EI88" s="622"/>
      <c r="EJ88" s="622"/>
      <c r="EK88" s="622"/>
    </row>
    <row r="89" spans="1:141" s="599" customFormat="1" ht="15.75" hidden="1" customHeight="1" thickBot="1">
      <c r="A89" s="915"/>
      <c r="B89" s="826"/>
      <c r="C89" s="841"/>
      <c r="D89" s="828"/>
      <c r="E89" s="602"/>
      <c r="F89" s="602"/>
      <c r="G89" s="602"/>
      <c r="H89" s="602"/>
      <c r="I89" s="602"/>
      <c r="J89" s="645"/>
      <c r="K89" s="603"/>
      <c r="L89" s="610"/>
      <c r="M89" s="603"/>
      <c r="N89" s="610"/>
      <c r="O89" s="618"/>
      <c r="P89" s="602"/>
      <c r="Q89" s="641"/>
      <c r="R89" s="602"/>
      <c r="S89" s="602"/>
      <c r="T89" s="602"/>
      <c r="U89" s="602"/>
      <c r="V89" s="603"/>
      <c r="W89" s="603"/>
      <c r="X89" s="610"/>
      <c r="Y89" s="604"/>
      <c r="Z89" s="618"/>
      <c r="AA89" s="602"/>
      <c r="AB89" s="641"/>
      <c r="AC89" s="602"/>
      <c r="AD89" s="602"/>
      <c r="AE89" s="602"/>
      <c r="AF89" s="602"/>
      <c r="AG89" s="602"/>
      <c r="AH89" s="603"/>
      <c r="AI89" s="968">
        <f t="shared" si="33"/>
        <v>0</v>
      </c>
      <c r="AJ89" s="604">
        <v>0</v>
      </c>
      <c r="AK89" s="618"/>
      <c r="AL89" s="602"/>
      <c r="AM89" s="641"/>
      <c r="AN89" s="602"/>
      <c r="AO89" s="602"/>
      <c r="AP89" s="602"/>
      <c r="AQ89" s="602"/>
      <c r="AR89" s="597" t="e">
        <f>(AQ89-AP89)/AS89</f>
        <v>#DIV/0!</v>
      </c>
      <c r="AS89" s="842"/>
      <c r="AT89" s="603"/>
      <c r="AU89" s="604"/>
      <c r="AV89" s="618"/>
      <c r="AW89" s="602"/>
      <c r="AX89" s="641"/>
      <c r="AY89" s="602"/>
      <c r="AZ89" s="602"/>
      <c r="BA89" s="602"/>
      <c r="BB89" s="597"/>
      <c r="BC89" s="597"/>
      <c r="BD89" s="610"/>
      <c r="BE89" s="603"/>
      <c r="BF89" s="604"/>
      <c r="BG89" s="875"/>
      <c r="BH89" s="876"/>
      <c r="BI89" s="778"/>
      <c r="BJ89" s="876"/>
      <c r="BK89" s="876"/>
      <c r="BL89" s="872"/>
      <c r="BM89" s="872"/>
      <c r="BN89" s="872"/>
      <c r="BO89" s="877"/>
      <c r="BP89" s="878"/>
      <c r="BQ89" s="604"/>
      <c r="BR89" s="622"/>
      <c r="BS89" s="622"/>
      <c r="BT89" s="622"/>
      <c r="BU89" s="622"/>
      <c r="BV89" s="622"/>
      <c r="BW89" s="622"/>
      <c r="BX89" s="622"/>
      <c r="BY89" s="622"/>
      <c r="BZ89" s="622"/>
      <c r="CA89" s="622"/>
      <c r="CB89" s="622"/>
      <c r="CC89" s="622"/>
      <c r="CD89" s="622"/>
      <c r="CE89" s="622"/>
      <c r="CF89" s="622"/>
      <c r="CG89" s="622"/>
      <c r="CH89" s="622"/>
      <c r="CI89" s="622"/>
      <c r="CJ89" s="622"/>
      <c r="CK89" s="622"/>
      <c r="CL89" s="622"/>
      <c r="CM89" s="622"/>
      <c r="CN89" s="622"/>
      <c r="CO89" s="622"/>
      <c r="CP89" s="622"/>
      <c r="CQ89" s="622"/>
      <c r="CR89" s="622"/>
      <c r="CS89" s="622"/>
      <c r="CT89" s="622"/>
      <c r="CU89" s="622"/>
      <c r="CV89" s="622"/>
      <c r="CW89" s="622"/>
      <c r="CX89" s="622"/>
      <c r="CY89" s="622"/>
      <c r="CZ89" s="622"/>
      <c r="DA89" s="622"/>
      <c r="DB89" s="622"/>
      <c r="DC89" s="622"/>
      <c r="DD89" s="622"/>
      <c r="DE89" s="622"/>
      <c r="DF89" s="622"/>
      <c r="DG89" s="622"/>
      <c r="DH89" s="622"/>
      <c r="DI89" s="622"/>
      <c r="DJ89" s="622"/>
      <c r="DK89" s="622"/>
      <c r="DL89" s="622"/>
      <c r="DM89" s="622"/>
      <c r="DN89" s="622"/>
      <c r="DO89" s="622"/>
      <c r="DP89" s="622"/>
      <c r="DQ89" s="622"/>
      <c r="DR89" s="622"/>
      <c r="DS89" s="622"/>
      <c r="DT89" s="622"/>
      <c r="DU89" s="622"/>
      <c r="DV89" s="622"/>
      <c r="DW89" s="622"/>
      <c r="DX89" s="622"/>
      <c r="DY89" s="622"/>
      <c r="DZ89" s="622"/>
      <c r="EA89" s="622"/>
      <c r="EB89" s="622"/>
      <c r="EC89" s="622"/>
      <c r="ED89" s="622"/>
      <c r="EE89" s="622"/>
      <c r="EF89" s="622"/>
      <c r="EG89" s="622"/>
      <c r="EH89" s="622"/>
      <c r="EI89" s="622"/>
      <c r="EJ89" s="622"/>
      <c r="EK89" s="622"/>
    </row>
    <row r="90" spans="1:141" s="642" customFormat="1" ht="15">
      <c r="A90" s="1608" t="s">
        <v>58</v>
      </c>
      <c r="B90" s="1136" t="str">
        <f>+GUM!C50</f>
        <v>AB111-F2W00</v>
      </c>
      <c r="C90" s="857" t="str">
        <f>'(AS-400 Jembatan)'!C46</f>
        <v>B 9401</v>
      </c>
      <c r="D90" s="843" t="e">
        <f>+SUM(D9,D11,D14,D16,#REF!,D40)</f>
        <v>#REF!</v>
      </c>
      <c r="E90" s="754" t="e">
        <f>+SUM(E9,E11,E14,E16,#REF!,E40)</f>
        <v>#REF!</v>
      </c>
      <c r="F90" s="754" t="e">
        <f>+SUM(F9,F11,F14,F16,#REF!,F40)</f>
        <v>#REF!</v>
      </c>
      <c r="G90" s="754" t="e">
        <f>+SUM(G9,G11,G14,G16,#REF!,G40)</f>
        <v>#REF!</v>
      </c>
      <c r="H90" s="754" t="e">
        <f>+SUM(H9,H11,H14,H16,#REF!,H40)</f>
        <v>#REF!</v>
      </c>
      <c r="I90" s="754" t="e">
        <f>SUM(D90:H90)</f>
        <v>#REF!</v>
      </c>
      <c r="J90" s="844">
        <f>+GUM!N50</f>
        <v>528</v>
      </c>
      <c r="K90" s="844"/>
      <c r="L90" s="832"/>
      <c r="M90" s="845"/>
      <c r="N90" s="846"/>
      <c r="O90" s="754">
        <f>SUM(O20:O24,O30:O34,O26:O27)</f>
        <v>188</v>
      </c>
      <c r="P90" s="754">
        <f t="shared" ref="P90:BP90" si="34">SUM(P20:P24,P30:P34,P26:P27)</f>
        <v>176</v>
      </c>
      <c r="Q90" s="853">
        <f t="shared" si="34"/>
        <v>155</v>
      </c>
      <c r="R90" s="754">
        <f t="shared" si="34"/>
        <v>155</v>
      </c>
      <c r="S90" s="754">
        <f t="shared" ref="S90" si="35">SUM(S20:S24,S30:S34,S26:S27)</f>
        <v>0</v>
      </c>
      <c r="T90" s="754">
        <f t="shared" si="34"/>
        <v>674</v>
      </c>
      <c r="U90" s="844">
        <f t="shared" si="34"/>
        <v>672</v>
      </c>
      <c r="V90" s="754" t="e">
        <f t="shared" si="34"/>
        <v>#DIV/0!</v>
      </c>
      <c r="W90" s="754">
        <f t="shared" si="34"/>
        <v>12</v>
      </c>
      <c r="X90" s="847" t="e">
        <f t="shared" si="34"/>
        <v>#DIV/0!</v>
      </c>
      <c r="Y90" s="833" t="e">
        <v>#DIV/0!</v>
      </c>
      <c r="Z90" s="850">
        <f t="shared" si="34"/>
        <v>192</v>
      </c>
      <c r="AA90" s="754">
        <f t="shared" si="34"/>
        <v>186</v>
      </c>
      <c r="AB90" s="853">
        <f t="shared" si="34"/>
        <v>150</v>
      </c>
      <c r="AC90" s="754">
        <f t="shared" si="34"/>
        <v>144</v>
      </c>
      <c r="AD90" s="754">
        <f t="shared" si="34"/>
        <v>0</v>
      </c>
      <c r="AE90" s="754">
        <f t="shared" si="34"/>
        <v>672</v>
      </c>
      <c r="AF90" s="844">
        <f t="shared" si="34"/>
        <v>672</v>
      </c>
      <c r="AG90" s="754" t="e">
        <f t="shared" si="34"/>
        <v>#DIV/0!</v>
      </c>
      <c r="AH90" s="754">
        <f t="shared" si="34"/>
        <v>12</v>
      </c>
      <c r="AI90" s="844" t="e">
        <f t="shared" si="34"/>
        <v>#DIV/0!</v>
      </c>
      <c r="AJ90" s="833" t="e">
        <v>#DIV/0!</v>
      </c>
      <c r="AK90" s="850">
        <f t="shared" si="34"/>
        <v>176</v>
      </c>
      <c r="AL90" s="754">
        <f t="shared" si="34"/>
        <v>170</v>
      </c>
      <c r="AM90" s="853">
        <f t="shared" si="34"/>
        <v>140</v>
      </c>
      <c r="AN90" s="754">
        <f t="shared" si="34"/>
        <v>134</v>
      </c>
      <c r="AO90" s="754"/>
      <c r="AP90" s="754">
        <f t="shared" si="34"/>
        <v>620</v>
      </c>
      <c r="AQ90" s="844">
        <f t="shared" si="34"/>
        <v>618</v>
      </c>
      <c r="AR90" s="754" t="e">
        <f t="shared" si="34"/>
        <v>#DIV/0!</v>
      </c>
      <c r="AS90" s="832">
        <f t="shared" si="34"/>
        <v>12</v>
      </c>
      <c r="AT90" s="754" t="e">
        <f t="shared" si="34"/>
        <v>#DIV/0!</v>
      </c>
      <c r="AU90" s="833" t="e">
        <v>#DIV/0!</v>
      </c>
      <c r="AV90" s="850">
        <f t="shared" si="34"/>
        <v>192</v>
      </c>
      <c r="AW90" s="754">
        <f t="shared" si="34"/>
        <v>180</v>
      </c>
      <c r="AX90" s="853">
        <f t="shared" si="34"/>
        <v>156</v>
      </c>
      <c r="AY90" s="754">
        <f t="shared" si="34"/>
        <v>150</v>
      </c>
      <c r="AZ90" s="754"/>
      <c r="BA90" s="754">
        <f t="shared" si="34"/>
        <v>678</v>
      </c>
      <c r="BB90" s="754">
        <f t="shared" si="34"/>
        <v>678</v>
      </c>
      <c r="BC90" s="754" t="e">
        <f t="shared" si="34"/>
        <v>#DIV/0!</v>
      </c>
      <c r="BD90" s="832">
        <f t="shared" si="34"/>
        <v>12</v>
      </c>
      <c r="BE90" s="754" t="e">
        <f t="shared" si="34"/>
        <v>#DIV/0!</v>
      </c>
      <c r="BF90" s="833" t="e">
        <v>#DIV/0!</v>
      </c>
      <c r="BG90" s="861">
        <f t="shared" si="34"/>
        <v>168</v>
      </c>
      <c r="BH90" s="771">
        <f t="shared" si="34"/>
        <v>156</v>
      </c>
      <c r="BI90" s="862">
        <f t="shared" si="34"/>
        <v>132</v>
      </c>
      <c r="BJ90" s="771">
        <f t="shared" si="34"/>
        <v>126</v>
      </c>
      <c r="BK90" s="771">
        <f t="shared" si="34"/>
        <v>0</v>
      </c>
      <c r="BL90" s="769">
        <f t="shared" si="34"/>
        <v>582</v>
      </c>
      <c r="BM90" s="769">
        <f t="shared" si="34"/>
        <v>582</v>
      </c>
      <c r="BN90" s="879" t="e">
        <f t="shared" si="34"/>
        <v>#DIV/0!</v>
      </c>
      <c r="BO90" s="879">
        <f t="shared" si="34"/>
        <v>12</v>
      </c>
      <c r="BP90" s="880" t="e">
        <f t="shared" si="34"/>
        <v>#DIV/0!</v>
      </c>
      <c r="BQ90" s="833" t="e">
        <v>#DIV/0!</v>
      </c>
    </row>
    <row r="91" spans="1:141" s="599" customFormat="1" ht="15">
      <c r="A91" s="1609"/>
      <c r="B91" s="1137" t="str">
        <f>+GUM!C51</f>
        <v>AB111-F2W10</v>
      </c>
      <c r="C91" s="858" t="str">
        <f>'(AS-400 Jembatan)'!C47</f>
        <v>B 8401</v>
      </c>
      <c r="D91" s="828" t="e">
        <f>+D90</f>
        <v>#REF!</v>
      </c>
      <c r="E91" s="602" t="e">
        <f>+E90</f>
        <v>#REF!</v>
      </c>
      <c r="F91" s="602" t="e">
        <f>+F90</f>
        <v>#REF!</v>
      </c>
      <c r="G91" s="602" t="e">
        <f>+G90</f>
        <v>#REF!</v>
      </c>
      <c r="H91" s="602" t="e">
        <f>+H90</f>
        <v>#REF!</v>
      </c>
      <c r="I91" s="602" t="e">
        <f>SUM(D91:H91)</f>
        <v>#REF!</v>
      </c>
      <c r="J91" s="603">
        <f>+GUM!N51</f>
        <v>288</v>
      </c>
      <c r="K91" s="603"/>
      <c r="L91" s="610"/>
      <c r="M91" s="603"/>
      <c r="N91" s="610"/>
      <c r="O91" s="602">
        <f>SUM(O9:O13,O35:O38,O25)</f>
        <v>101</v>
      </c>
      <c r="P91" s="602">
        <f t="shared" ref="P91:BP91" si="36">SUM(P9:P13,P35:P38,P25)</f>
        <v>101</v>
      </c>
      <c r="Q91" s="641">
        <f t="shared" si="36"/>
        <v>95</v>
      </c>
      <c r="R91" s="602">
        <f t="shared" si="36"/>
        <v>77</v>
      </c>
      <c r="S91" s="602">
        <f t="shared" ref="S91" si="37">SUM(S9:S13,S35:S38,S25)</f>
        <v>0</v>
      </c>
      <c r="T91" s="602">
        <f t="shared" si="36"/>
        <v>374</v>
      </c>
      <c r="U91" s="603">
        <f t="shared" si="36"/>
        <v>372</v>
      </c>
      <c r="V91" s="600" t="e">
        <f t="shared" si="36"/>
        <v>#DIV/0!</v>
      </c>
      <c r="W91" s="600">
        <f t="shared" si="36"/>
        <v>11</v>
      </c>
      <c r="X91" s="611" t="e">
        <f t="shared" si="36"/>
        <v>#DIV/0!</v>
      </c>
      <c r="Y91" s="614" t="e">
        <v>#DIV/0!</v>
      </c>
      <c r="Z91" s="618">
        <f t="shared" si="36"/>
        <v>101</v>
      </c>
      <c r="AA91" s="602">
        <f t="shared" si="36"/>
        <v>95</v>
      </c>
      <c r="AB91" s="641">
        <f t="shared" si="36"/>
        <v>77</v>
      </c>
      <c r="AC91" s="602">
        <f t="shared" si="36"/>
        <v>71</v>
      </c>
      <c r="AD91" s="602">
        <f t="shared" si="36"/>
        <v>0</v>
      </c>
      <c r="AE91" s="602">
        <f t="shared" si="36"/>
        <v>344</v>
      </c>
      <c r="AF91" s="603">
        <f t="shared" si="36"/>
        <v>342</v>
      </c>
      <c r="AG91" s="600" t="e">
        <f t="shared" si="36"/>
        <v>#DIV/0!</v>
      </c>
      <c r="AH91" s="600">
        <f t="shared" si="36"/>
        <v>10</v>
      </c>
      <c r="AI91" s="607" t="e">
        <f t="shared" si="36"/>
        <v>#DIV/0!</v>
      </c>
      <c r="AJ91" s="614" t="e">
        <v>#DIV/0!</v>
      </c>
      <c r="AK91" s="618">
        <f t="shared" si="36"/>
        <v>116</v>
      </c>
      <c r="AL91" s="602">
        <f t="shared" si="36"/>
        <v>110</v>
      </c>
      <c r="AM91" s="641">
        <f t="shared" si="36"/>
        <v>86</v>
      </c>
      <c r="AN91" s="602">
        <f t="shared" si="36"/>
        <v>80</v>
      </c>
      <c r="AO91" s="602"/>
      <c r="AP91" s="602">
        <f t="shared" si="36"/>
        <v>392</v>
      </c>
      <c r="AQ91" s="603">
        <f t="shared" si="36"/>
        <v>390</v>
      </c>
      <c r="AR91" s="600" t="e">
        <f t="shared" si="36"/>
        <v>#DIV/0!</v>
      </c>
      <c r="AS91" s="612">
        <f t="shared" si="36"/>
        <v>10</v>
      </c>
      <c r="AT91" s="600" t="e">
        <f t="shared" si="36"/>
        <v>#DIV/0!</v>
      </c>
      <c r="AU91" s="614" t="e">
        <v>#DIV/0!</v>
      </c>
      <c r="AV91" s="618">
        <f t="shared" si="36"/>
        <v>86</v>
      </c>
      <c r="AW91" s="602">
        <f t="shared" si="36"/>
        <v>80</v>
      </c>
      <c r="AX91" s="641">
        <f t="shared" si="36"/>
        <v>56</v>
      </c>
      <c r="AY91" s="602">
        <f t="shared" si="36"/>
        <v>56</v>
      </c>
      <c r="AZ91" s="602"/>
      <c r="BA91" s="602">
        <f t="shared" si="36"/>
        <v>278</v>
      </c>
      <c r="BB91" s="600">
        <f t="shared" si="36"/>
        <v>276</v>
      </c>
      <c r="BC91" s="600" t="e">
        <f t="shared" si="36"/>
        <v>#DIV/0!</v>
      </c>
      <c r="BD91" s="600">
        <f t="shared" si="36"/>
        <v>10</v>
      </c>
      <c r="BE91" s="600" t="e">
        <f t="shared" si="36"/>
        <v>#DIV/0!</v>
      </c>
      <c r="BF91" s="614" t="e">
        <v>#DIV/0!</v>
      </c>
      <c r="BG91" s="875">
        <f t="shared" si="36"/>
        <v>80</v>
      </c>
      <c r="BH91" s="876">
        <f t="shared" si="36"/>
        <v>74</v>
      </c>
      <c r="BI91" s="778">
        <f t="shared" si="36"/>
        <v>50</v>
      </c>
      <c r="BJ91" s="876">
        <f t="shared" si="36"/>
        <v>50</v>
      </c>
      <c r="BK91" s="876">
        <f t="shared" si="36"/>
        <v>0</v>
      </c>
      <c r="BL91" s="876">
        <f t="shared" si="36"/>
        <v>254</v>
      </c>
      <c r="BM91" s="876">
        <f t="shared" si="36"/>
        <v>252</v>
      </c>
      <c r="BN91" s="881" t="e">
        <f t="shared" si="36"/>
        <v>#DIV/0!</v>
      </c>
      <c r="BO91" s="881">
        <f t="shared" si="36"/>
        <v>10</v>
      </c>
      <c r="BP91" s="762" t="e">
        <f t="shared" si="36"/>
        <v>#DIV/0!</v>
      </c>
      <c r="BQ91" s="614" t="e">
        <v>#DIV/0!</v>
      </c>
    </row>
    <row r="92" spans="1:141" s="608" customFormat="1" ht="15.75" thickBot="1">
      <c r="A92" s="1610"/>
      <c r="B92" s="1138" t="str">
        <f>+GUM!C52</f>
        <v>AB111-F2W40</v>
      </c>
      <c r="C92" s="859" t="str">
        <f>'(AS-400 Jembatan)'!C48</f>
        <v>B 8401</v>
      </c>
      <c r="D92" s="848">
        <f>+SUM(D44,D50,D53,D57,D59)</f>
        <v>0</v>
      </c>
      <c r="E92" s="834">
        <f>+SUM(E44,E50,E53,E57,E59)</f>
        <v>0</v>
      </c>
      <c r="F92" s="834">
        <f>+SUM(F44,F50,F53,F57,F59)</f>
        <v>0</v>
      </c>
      <c r="G92" s="834">
        <f>+SUM(G44,G50,G53,G57,G59)</f>
        <v>0</v>
      </c>
      <c r="H92" s="834">
        <f>+SUM(H44,H50,H53,H57,H59)</f>
        <v>0</v>
      </c>
      <c r="I92" s="834">
        <f>SUM(D92:H92)</f>
        <v>0</v>
      </c>
      <c r="J92" s="835" t="e">
        <f>+'(AS-400 Jembatan)'!#REF!</f>
        <v>#REF!</v>
      </c>
      <c r="K92" s="835" t="e">
        <f>ROUNDUP((J92-I92)/L92,0)</f>
        <v>#REF!</v>
      </c>
      <c r="L92" s="839">
        <f>+COUNT(D92:H92)</f>
        <v>5</v>
      </c>
      <c r="M92" s="835"/>
      <c r="N92" s="839"/>
      <c r="O92" s="834">
        <f>SUM(O14:O19)</f>
        <v>479</v>
      </c>
      <c r="P92" s="834">
        <f t="shared" ref="P92:BP92" si="38">SUM(P14:P19)</f>
        <v>461</v>
      </c>
      <c r="Q92" s="854">
        <f t="shared" si="38"/>
        <v>455</v>
      </c>
      <c r="R92" s="834">
        <f t="shared" si="38"/>
        <v>443</v>
      </c>
      <c r="S92" s="834">
        <f t="shared" ref="S92" si="39">SUM(S14:S19)</f>
        <v>0</v>
      </c>
      <c r="T92" s="834">
        <f t="shared" si="38"/>
        <v>1838</v>
      </c>
      <c r="U92" s="834">
        <f t="shared" si="38"/>
        <v>1836</v>
      </c>
      <c r="V92" s="835" t="e">
        <f t="shared" si="38"/>
        <v>#DIV/0!</v>
      </c>
      <c r="W92" s="835">
        <f t="shared" si="38"/>
        <v>14</v>
      </c>
      <c r="X92" s="710" t="e">
        <f t="shared" si="38"/>
        <v>#DIV/0!</v>
      </c>
      <c r="Y92" s="836" t="e">
        <v>#DIV/0!</v>
      </c>
      <c r="Z92" s="851">
        <f t="shared" si="38"/>
        <v>392</v>
      </c>
      <c r="AA92" s="834">
        <f t="shared" si="38"/>
        <v>374</v>
      </c>
      <c r="AB92" s="854">
        <f t="shared" si="38"/>
        <v>356</v>
      </c>
      <c r="AC92" s="834">
        <f t="shared" si="38"/>
        <v>356</v>
      </c>
      <c r="AD92" s="834">
        <f t="shared" si="38"/>
        <v>0</v>
      </c>
      <c r="AE92" s="834">
        <f t="shared" si="38"/>
        <v>1478</v>
      </c>
      <c r="AF92" s="834">
        <f t="shared" si="38"/>
        <v>1476</v>
      </c>
      <c r="AG92" s="835" t="e">
        <f t="shared" si="38"/>
        <v>#DIV/0!</v>
      </c>
      <c r="AH92" s="835">
        <f t="shared" si="38"/>
        <v>14</v>
      </c>
      <c r="AI92" s="1006" t="e">
        <f t="shared" si="38"/>
        <v>#DIV/0!</v>
      </c>
      <c r="AJ92" s="836" t="e">
        <v>#DIV/0!</v>
      </c>
      <c r="AK92" s="851">
        <f t="shared" si="38"/>
        <v>440</v>
      </c>
      <c r="AL92" s="834">
        <f t="shared" si="38"/>
        <v>428</v>
      </c>
      <c r="AM92" s="854">
        <f t="shared" si="38"/>
        <v>410</v>
      </c>
      <c r="AN92" s="834">
        <f t="shared" si="38"/>
        <v>410</v>
      </c>
      <c r="AO92" s="834"/>
      <c r="AP92" s="834">
        <f t="shared" si="38"/>
        <v>1688</v>
      </c>
      <c r="AQ92" s="834">
        <f t="shared" si="38"/>
        <v>1686</v>
      </c>
      <c r="AR92" s="834" t="e">
        <f t="shared" si="38"/>
        <v>#DIV/0!</v>
      </c>
      <c r="AS92" s="837">
        <f t="shared" si="38"/>
        <v>15</v>
      </c>
      <c r="AT92" s="835" t="e">
        <f t="shared" si="38"/>
        <v>#DIV/0!</v>
      </c>
      <c r="AU92" s="836" t="e">
        <v>#DIV/0!</v>
      </c>
      <c r="AV92" s="851">
        <f t="shared" si="38"/>
        <v>425</v>
      </c>
      <c r="AW92" s="834">
        <f t="shared" si="38"/>
        <v>407</v>
      </c>
      <c r="AX92" s="854">
        <f t="shared" si="38"/>
        <v>401</v>
      </c>
      <c r="AY92" s="834">
        <f t="shared" si="38"/>
        <v>395</v>
      </c>
      <c r="AZ92" s="834"/>
      <c r="BA92" s="834">
        <f t="shared" si="38"/>
        <v>1628</v>
      </c>
      <c r="BB92" s="834">
        <f t="shared" si="38"/>
        <v>1626</v>
      </c>
      <c r="BC92" s="834" t="e">
        <f t="shared" si="38"/>
        <v>#DIV/0!</v>
      </c>
      <c r="BD92" s="839">
        <f t="shared" si="38"/>
        <v>14</v>
      </c>
      <c r="BE92" s="835" t="e">
        <f t="shared" si="38"/>
        <v>#DIV/0!</v>
      </c>
      <c r="BF92" s="836" t="e">
        <v>#DIV/0!</v>
      </c>
      <c r="BG92" s="882">
        <f t="shared" si="38"/>
        <v>261</v>
      </c>
      <c r="BH92" s="883">
        <f t="shared" si="38"/>
        <v>243</v>
      </c>
      <c r="BI92" s="884">
        <f t="shared" si="38"/>
        <v>237</v>
      </c>
      <c r="BJ92" s="883">
        <f t="shared" si="38"/>
        <v>231</v>
      </c>
      <c r="BK92" s="883">
        <f t="shared" si="38"/>
        <v>0</v>
      </c>
      <c r="BL92" s="883">
        <f t="shared" si="38"/>
        <v>972</v>
      </c>
      <c r="BM92" s="883">
        <f t="shared" si="38"/>
        <v>966</v>
      </c>
      <c r="BN92" s="883" t="e">
        <f t="shared" si="38"/>
        <v>#DIV/0!</v>
      </c>
      <c r="BO92" s="885">
        <f t="shared" si="38"/>
        <v>14</v>
      </c>
      <c r="BP92" s="886" t="e">
        <f t="shared" si="38"/>
        <v>#DIV/0!</v>
      </c>
      <c r="BQ92" s="836" t="e">
        <v>#DIV/0!</v>
      </c>
      <c r="BR92" s="622"/>
      <c r="BS92" s="622"/>
      <c r="BT92" s="622"/>
      <c r="BU92" s="622"/>
      <c r="BV92" s="622"/>
      <c r="BW92" s="622"/>
      <c r="BX92" s="622"/>
      <c r="BY92" s="622"/>
      <c r="BZ92" s="622"/>
      <c r="CA92" s="622"/>
      <c r="CB92" s="622"/>
      <c r="CC92" s="622"/>
      <c r="CD92" s="622"/>
      <c r="CE92" s="622"/>
      <c r="CF92" s="622"/>
      <c r="CG92" s="622"/>
      <c r="CH92" s="622"/>
      <c r="CI92" s="622"/>
      <c r="CJ92" s="622"/>
      <c r="CK92" s="622"/>
      <c r="CL92" s="622"/>
      <c r="CM92" s="622"/>
      <c r="CN92" s="622"/>
      <c r="CO92" s="622"/>
      <c r="CP92" s="622"/>
      <c r="CQ92" s="622"/>
      <c r="CR92" s="622"/>
      <c r="CS92" s="622"/>
      <c r="CT92" s="622"/>
      <c r="CU92" s="622"/>
      <c r="CV92" s="622"/>
      <c r="CW92" s="622"/>
      <c r="CX92" s="622"/>
      <c r="CY92" s="622"/>
      <c r="CZ92" s="622"/>
      <c r="DA92" s="622"/>
      <c r="DB92" s="622"/>
      <c r="DC92" s="622"/>
      <c r="DD92" s="622"/>
      <c r="DE92" s="622"/>
      <c r="DF92" s="622"/>
      <c r="DG92" s="622"/>
      <c r="DH92" s="622"/>
      <c r="DI92" s="622"/>
      <c r="DJ92" s="622"/>
      <c r="DK92" s="622"/>
      <c r="DL92" s="622"/>
      <c r="DM92" s="622"/>
      <c r="DN92" s="622"/>
      <c r="DO92" s="622"/>
      <c r="DP92" s="622"/>
      <c r="DQ92" s="622"/>
      <c r="DR92" s="622"/>
      <c r="DS92" s="622"/>
      <c r="DT92" s="622"/>
      <c r="DU92" s="622"/>
      <c r="DV92" s="622"/>
      <c r="DW92" s="622"/>
      <c r="DX92" s="622"/>
      <c r="DY92" s="622"/>
      <c r="DZ92" s="622"/>
      <c r="EA92" s="622"/>
      <c r="EB92" s="622"/>
      <c r="EC92" s="622"/>
      <c r="ED92" s="622"/>
      <c r="EE92" s="622"/>
      <c r="EF92" s="622"/>
      <c r="EG92" s="622"/>
      <c r="EH92" s="622"/>
      <c r="EI92" s="622"/>
      <c r="EJ92" s="622"/>
      <c r="EK92" s="622"/>
    </row>
    <row r="93" spans="1:141" s="762" customFormat="1">
      <c r="A93" s="822"/>
      <c r="B93" s="822" t="s">
        <v>132</v>
      </c>
      <c r="C93" s="822"/>
      <c r="D93" s="822" t="e">
        <f>SUM(D8:D87)</f>
        <v>#N/A</v>
      </c>
      <c r="E93" s="822" t="e">
        <f t="shared" ref="E93:K93" si="40">SUM(E8:E87)</f>
        <v>#N/A</v>
      </c>
      <c r="F93" s="822" t="e">
        <f t="shared" si="40"/>
        <v>#N/A</v>
      </c>
      <c r="G93" s="822" t="e">
        <f t="shared" si="40"/>
        <v>#N/A</v>
      </c>
      <c r="H93" s="822" t="e">
        <f t="shared" si="40"/>
        <v>#REF!</v>
      </c>
      <c r="I93" s="822" t="e">
        <f>SUM(I8:I87)</f>
        <v>#N/A</v>
      </c>
      <c r="J93" s="822" t="e">
        <f>SUM(J8:J87)</f>
        <v>#N/A</v>
      </c>
      <c r="K93" s="822" t="e">
        <f t="shared" si="40"/>
        <v>#N/A</v>
      </c>
      <c r="L93" s="822"/>
      <c r="M93" s="822"/>
      <c r="N93" s="822" t="e">
        <f>SUM(N8:N56)</f>
        <v>#DIV/0!</v>
      </c>
      <c r="O93" s="822">
        <f>SUM(O8:O87)</f>
        <v>768</v>
      </c>
      <c r="P93" s="822">
        <f t="shared" ref="P93:BP93" si="41">SUM(P8:P87)</f>
        <v>738</v>
      </c>
      <c r="Q93" s="822">
        <f t="shared" si="41"/>
        <v>705</v>
      </c>
      <c r="R93" s="822">
        <f t="shared" si="41"/>
        <v>675</v>
      </c>
      <c r="S93" s="822">
        <f t="shared" si="41"/>
        <v>0</v>
      </c>
      <c r="T93" s="822">
        <f t="shared" si="41"/>
        <v>2886</v>
      </c>
      <c r="U93" s="822">
        <f t="shared" si="41"/>
        <v>2880</v>
      </c>
      <c r="V93" s="822" t="e">
        <f t="shared" si="41"/>
        <v>#DIV/0!</v>
      </c>
      <c r="W93" s="822">
        <f t="shared" si="41"/>
        <v>37</v>
      </c>
      <c r="X93" s="822" t="e">
        <f t="shared" si="41"/>
        <v>#DIV/0!</v>
      </c>
      <c r="Y93" s="822" t="e">
        <f t="shared" si="41"/>
        <v>#DIV/0!</v>
      </c>
      <c r="Z93" s="822">
        <f t="shared" si="41"/>
        <v>685</v>
      </c>
      <c r="AA93" s="822">
        <f t="shared" si="41"/>
        <v>655</v>
      </c>
      <c r="AB93" s="822">
        <f t="shared" si="41"/>
        <v>583</v>
      </c>
      <c r="AC93" s="822">
        <f t="shared" si="41"/>
        <v>571</v>
      </c>
      <c r="AD93" s="822">
        <f t="shared" si="41"/>
        <v>0</v>
      </c>
      <c r="AE93" s="822">
        <f t="shared" si="41"/>
        <v>2494</v>
      </c>
      <c r="AF93" s="822">
        <f t="shared" si="41"/>
        <v>2490</v>
      </c>
      <c r="AG93" s="822" t="e">
        <f t="shared" si="41"/>
        <v>#DIV/0!</v>
      </c>
      <c r="AH93" s="822">
        <f t="shared" si="41"/>
        <v>36</v>
      </c>
      <c r="AI93" s="822" t="e">
        <f t="shared" si="41"/>
        <v>#DIV/0!</v>
      </c>
      <c r="AJ93" s="822" t="e">
        <f t="shared" si="41"/>
        <v>#DIV/0!</v>
      </c>
      <c r="AK93" s="822">
        <f t="shared" si="41"/>
        <v>732</v>
      </c>
      <c r="AL93" s="822">
        <f t="shared" si="41"/>
        <v>708</v>
      </c>
      <c r="AM93" s="822">
        <f t="shared" si="41"/>
        <v>636</v>
      </c>
      <c r="AN93" s="822">
        <f t="shared" si="41"/>
        <v>624</v>
      </c>
      <c r="AO93" s="822">
        <f t="shared" si="41"/>
        <v>0</v>
      </c>
      <c r="AP93" s="822">
        <f t="shared" si="41"/>
        <v>2700</v>
      </c>
      <c r="AQ93" s="822">
        <f t="shared" si="41"/>
        <v>2694</v>
      </c>
      <c r="AR93" s="822" t="e">
        <f t="shared" si="41"/>
        <v>#DIV/0!</v>
      </c>
      <c r="AS93" s="822">
        <f t="shared" si="41"/>
        <v>37</v>
      </c>
      <c r="AT93" s="822" t="e">
        <f t="shared" si="41"/>
        <v>#DIV/0!</v>
      </c>
      <c r="AU93" s="822" t="e">
        <f>SUM(AU8:AU87)</f>
        <v>#DIV/0!</v>
      </c>
      <c r="AV93" s="822">
        <f t="shared" si="41"/>
        <v>703</v>
      </c>
      <c r="AW93" s="822">
        <f t="shared" si="41"/>
        <v>667</v>
      </c>
      <c r="AX93" s="822">
        <f t="shared" si="41"/>
        <v>613</v>
      </c>
      <c r="AY93" s="822">
        <f t="shared" si="41"/>
        <v>601</v>
      </c>
      <c r="AZ93" s="822">
        <f t="shared" si="41"/>
        <v>0</v>
      </c>
      <c r="BA93" s="822">
        <f t="shared" si="41"/>
        <v>2584</v>
      </c>
      <c r="BB93" s="822">
        <f t="shared" si="41"/>
        <v>2580</v>
      </c>
      <c r="BC93" s="822" t="e">
        <f t="shared" si="41"/>
        <v>#DIV/0!</v>
      </c>
      <c r="BD93" s="822">
        <f t="shared" si="41"/>
        <v>36</v>
      </c>
      <c r="BE93" s="822" t="e">
        <f t="shared" si="41"/>
        <v>#DIV/0!</v>
      </c>
      <c r="BF93" s="822" t="e">
        <f>SUM(BF8:BF87)</f>
        <v>#DIV/0!</v>
      </c>
      <c r="BG93" s="822">
        <f t="shared" si="41"/>
        <v>509</v>
      </c>
      <c r="BH93" s="822">
        <f t="shared" si="41"/>
        <v>473</v>
      </c>
      <c r="BI93" s="822">
        <f t="shared" si="41"/>
        <v>419</v>
      </c>
      <c r="BJ93" s="822">
        <f t="shared" si="41"/>
        <v>407</v>
      </c>
      <c r="BK93" s="822">
        <f t="shared" si="41"/>
        <v>0</v>
      </c>
      <c r="BL93" s="822">
        <f t="shared" si="41"/>
        <v>1808</v>
      </c>
      <c r="BM93" s="822">
        <f t="shared" si="41"/>
        <v>1800</v>
      </c>
      <c r="BN93" s="822" t="e">
        <f t="shared" si="41"/>
        <v>#DIV/0!</v>
      </c>
      <c r="BO93" s="822">
        <f t="shared" si="41"/>
        <v>36</v>
      </c>
      <c r="BP93" s="822" t="e">
        <f t="shared" si="41"/>
        <v>#DIV/0!</v>
      </c>
      <c r="BQ93" s="822" t="e">
        <f>SUM(BQ8:BQ87)</f>
        <v>#DIV/0!</v>
      </c>
      <c r="BR93" s="792"/>
      <c r="BS93" s="792"/>
      <c r="BT93" s="792"/>
      <c r="BU93" s="792"/>
      <c r="BV93" s="792"/>
      <c r="BW93" s="792"/>
      <c r="BX93" s="792"/>
      <c r="BY93" s="792"/>
      <c r="BZ93" s="792"/>
      <c r="CA93" s="792"/>
      <c r="CB93" s="792"/>
      <c r="CC93" s="792"/>
      <c r="CD93" s="792"/>
      <c r="CE93" s="792"/>
      <c r="CF93" s="792"/>
      <c r="CG93" s="792"/>
      <c r="CH93" s="792"/>
      <c r="CI93" s="792"/>
      <c r="CJ93" s="792"/>
      <c r="CK93" s="792"/>
      <c r="CL93" s="792"/>
      <c r="CM93" s="792"/>
      <c r="CN93" s="792"/>
      <c r="CO93" s="792"/>
      <c r="CP93" s="792"/>
      <c r="CQ93" s="792"/>
      <c r="CR93" s="792"/>
      <c r="CS93" s="792"/>
      <c r="CT93" s="792"/>
      <c r="CU93" s="792"/>
      <c r="CV93" s="792"/>
      <c r="CW93" s="792"/>
      <c r="CX93" s="792"/>
      <c r="CY93" s="792"/>
      <c r="CZ93" s="792"/>
      <c r="DA93" s="792"/>
      <c r="DB93" s="792"/>
      <c r="DC93" s="792"/>
      <c r="DD93" s="792"/>
      <c r="DE93" s="792"/>
      <c r="DF93" s="792"/>
      <c r="DG93" s="792"/>
      <c r="DH93" s="792"/>
      <c r="DI93" s="792"/>
      <c r="DJ93" s="792"/>
      <c r="DK93" s="792"/>
      <c r="DL93" s="792"/>
      <c r="DM93" s="792"/>
      <c r="DN93" s="792"/>
      <c r="DO93" s="792"/>
      <c r="DP93" s="792"/>
      <c r="DQ93" s="792"/>
      <c r="DR93" s="792"/>
      <c r="DS93" s="792"/>
      <c r="DT93" s="792"/>
      <c r="DU93" s="792"/>
      <c r="DV93" s="792"/>
      <c r="DW93" s="792"/>
      <c r="DX93" s="792"/>
      <c r="DY93" s="792"/>
      <c r="DZ93" s="792"/>
      <c r="EA93" s="792"/>
      <c r="EB93" s="792"/>
      <c r="EC93" s="792"/>
      <c r="ED93" s="792"/>
      <c r="EE93" s="792"/>
      <c r="EF93" s="792"/>
      <c r="EG93" s="792"/>
      <c r="EH93" s="792"/>
      <c r="EI93" s="792"/>
      <c r="EJ93" s="792"/>
      <c r="EK93" s="792"/>
    </row>
    <row r="94" spans="1:141" s="823" customFormat="1">
      <c r="B94" s="822" t="s">
        <v>133</v>
      </c>
      <c r="D94" s="822" t="e">
        <f t="shared" ref="D94:K94" si="42">+SUM(D88:D92)</f>
        <v>#REF!</v>
      </c>
      <c r="E94" s="822" t="e">
        <f t="shared" si="42"/>
        <v>#REF!</v>
      </c>
      <c r="F94" s="822" t="e">
        <f t="shared" si="42"/>
        <v>#REF!</v>
      </c>
      <c r="G94" s="822" t="e">
        <f t="shared" si="42"/>
        <v>#REF!</v>
      </c>
      <c r="H94" s="822" t="e">
        <f t="shared" si="42"/>
        <v>#REF!</v>
      </c>
      <c r="I94" s="822" t="e">
        <f t="shared" si="42"/>
        <v>#REF!</v>
      </c>
      <c r="J94" s="822" t="e">
        <f t="shared" si="42"/>
        <v>#REF!</v>
      </c>
      <c r="K94" s="822" t="e">
        <f t="shared" si="42"/>
        <v>#REF!</v>
      </c>
      <c r="L94" s="822"/>
      <c r="M94" s="822"/>
      <c r="O94" s="822">
        <f>+SUM(O90:O92)</f>
        <v>768</v>
      </c>
      <c r="P94" s="822">
        <f t="shared" ref="P94:BP94" si="43">+SUM(P90:P92)</f>
        <v>738</v>
      </c>
      <c r="Q94" s="822">
        <f t="shared" si="43"/>
        <v>705</v>
      </c>
      <c r="R94" s="822">
        <f t="shared" si="43"/>
        <v>675</v>
      </c>
      <c r="S94" s="822">
        <f t="shared" si="43"/>
        <v>0</v>
      </c>
      <c r="T94" s="822">
        <f t="shared" si="43"/>
        <v>2886</v>
      </c>
      <c r="U94" s="822">
        <f t="shared" si="43"/>
        <v>2880</v>
      </c>
      <c r="V94" s="822" t="e">
        <f t="shared" si="43"/>
        <v>#DIV/0!</v>
      </c>
      <c r="W94" s="822">
        <f t="shared" si="43"/>
        <v>37</v>
      </c>
      <c r="X94" s="822" t="e">
        <f t="shared" si="43"/>
        <v>#DIV/0!</v>
      </c>
      <c r="Y94" s="822" t="e">
        <f t="shared" si="43"/>
        <v>#DIV/0!</v>
      </c>
      <c r="Z94" s="822">
        <f t="shared" si="43"/>
        <v>685</v>
      </c>
      <c r="AA94" s="822">
        <f t="shared" si="43"/>
        <v>655</v>
      </c>
      <c r="AB94" s="822">
        <f t="shared" si="43"/>
        <v>583</v>
      </c>
      <c r="AC94" s="822">
        <f t="shared" si="43"/>
        <v>571</v>
      </c>
      <c r="AD94" s="822">
        <f t="shared" si="43"/>
        <v>0</v>
      </c>
      <c r="AE94" s="822">
        <f t="shared" si="43"/>
        <v>2494</v>
      </c>
      <c r="AF94" s="822">
        <f t="shared" si="43"/>
        <v>2490</v>
      </c>
      <c r="AG94" s="822" t="e">
        <f t="shared" si="43"/>
        <v>#DIV/0!</v>
      </c>
      <c r="AH94" s="822">
        <f t="shared" si="43"/>
        <v>36</v>
      </c>
      <c r="AI94" s="822" t="e">
        <f t="shared" si="43"/>
        <v>#DIV/0!</v>
      </c>
      <c r="AJ94" s="822" t="e">
        <f t="shared" si="43"/>
        <v>#DIV/0!</v>
      </c>
      <c r="AK94" s="822">
        <f t="shared" si="43"/>
        <v>732</v>
      </c>
      <c r="AL94" s="822">
        <f t="shared" si="43"/>
        <v>708</v>
      </c>
      <c r="AM94" s="822">
        <f t="shared" si="43"/>
        <v>636</v>
      </c>
      <c r="AN94" s="822">
        <f t="shared" si="43"/>
        <v>624</v>
      </c>
      <c r="AO94" s="822">
        <f t="shared" si="43"/>
        <v>0</v>
      </c>
      <c r="AP94" s="822">
        <f t="shared" si="43"/>
        <v>2700</v>
      </c>
      <c r="AQ94" s="822">
        <f t="shared" si="43"/>
        <v>2694</v>
      </c>
      <c r="AR94" s="822" t="e">
        <f t="shared" si="43"/>
        <v>#DIV/0!</v>
      </c>
      <c r="AS94" s="822">
        <f t="shared" si="43"/>
        <v>37</v>
      </c>
      <c r="AT94" s="822" t="e">
        <f t="shared" si="43"/>
        <v>#DIV/0!</v>
      </c>
      <c r="AU94" s="822" t="e">
        <f>+SUM(AU90:AU92)</f>
        <v>#DIV/0!</v>
      </c>
      <c r="AV94" s="822">
        <f t="shared" si="43"/>
        <v>703</v>
      </c>
      <c r="AW94" s="822">
        <f t="shared" si="43"/>
        <v>667</v>
      </c>
      <c r="AX94" s="822">
        <f t="shared" si="43"/>
        <v>613</v>
      </c>
      <c r="AY94" s="822">
        <f t="shared" si="43"/>
        <v>601</v>
      </c>
      <c r="AZ94" s="822">
        <f t="shared" si="43"/>
        <v>0</v>
      </c>
      <c r="BA94" s="822">
        <f t="shared" si="43"/>
        <v>2584</v>
      </c>
      <c r="BB94" s="822">
        <f t="shared" si="43"/>
        <v>2580</v>
      </c>
      <c r="BC94" s="822" t="e">
        <f t="shared" si="43"/>
        <v>#DIV/0!</v>
      </c>
      <c r="BD94" s="822">
        <f t="shared" si="43"/>
        <v>36</v>
      </c>
      <c r="BE94" s="822" t="e">
        <f t="shared" si="43"/>
        <v>#DIV/0!</v>
      </c>
      <c r="BF94" s="822" t="e">
        <f>+SUM(BF90:BF92)</f>
        <v>#DIV/0!</v>
      </c>
      <c r="BG94" s="822">
        <f t="shared" si="43"/>
        <v>509</v>
      </c>
      <c r="BH94" s="822">
        <f t="shared" si="43"/>
        <v>473</v>
      </c>
      <c r="BI94" s="822">
        <f t="shared" si="43"/>
        <v>419</v>
      </c>
      <c r="BJ94" s="822">
        <f t="shared" si="43"/>
        <v>407</v>
      </c>
      <c r="BK94" s="822">
        <f t="shared" si="43"/>
        <v>0</v>
      </c>
      <c r="BL94" s="822">
        <f t="shared" si="43"/>
        <v>1808</v>
      </c>
      <c r="BM94" s="822">
        <f t="shared" si="43"/>
        <v>1800</v>
      </c>
      <c r="BN94" s="822" t="e">
        <f t="shared" si="43"/>
        <v>#DIV/0!</v>
      </c>
      <c r="BO94" s="822">
        <f t="shared" si="43"/>
        <v>36</v>
      </c>
      <c r="BP94" s="822" t="e">
        <f t="shared" si="43"/>
        <v>#DIV/0!</v>
      </c>
      <c r="BQ94" s="822" t="e">
        <f>+SUM(BQ90:BQ92)</f>
        <v>#DIV/0!</v>
      </c>
      <c r="BR94" s="916"/>
      <c r="BS94" s="916"/>
      <c r="BT94" s="916"/>
      <c r="BU94" s="916"/>
      <c r="BV94" s="916"/>
      <c r="BW94" s="916"/>
      <c r="BX94" s="916"/>
      <c r="BY94" s="916"/>
      <c r="BZ94" s="916"/>
      <c r="CA94" s="916"/>
      <c r="CB94" s="916"/>
      <c r="CC94" s="916"/>
      <c r="CD94" s="916"/>
      <c r="CE94" s="916"/>
      <c r="CF94" s="916"/>
      <c r="CG94" s="916"/>
      <c r="CH94" s="916"/>
      <c r="CI94" s="916"/>
      <c r="CJ94" s="916"/>
      <c r="CK94" s="916"/>
      <c r="CL94" s="916"/>
      <c r="CM94" s="916"/>
      <c r="CN94" s="916"/>
      <c r="CO94" s="916"/>
      <c r="CP94" s="916"/>
      <c r="CQ94" s="916"/>
      <c r="CR94" s="916"/>
      <c r="CS94" s="916"/>
      <c r="CT94" s="916"/>
      <c r="CU94" s="916"/>
      <c r="CV94" s="916"/>
      <c r="CW94" s="916"/>
      <c r="CX94" s="916"/>
      <c r="CY94" s="916"/>
      <c r="CZ94" s="916"/>
      <c r="DA94" s="916"/>
      <c r="DB94" s="916"/>
      <c r="DC94" s="916"/>
      <c r="DD94" s="916"/>
      <c r="DE94" s="916"/>
      <c r="DF94" s="916"/>
      <c r="DG94" s="916"/>
      <c r="DH94" s="916"/>
      <c r="DI94" s="916"/>
      <c r="DJ94" s="916"/>
      <c r="DK94" s="916"/>
      <c r="DL94" s="916"/>
      <c r="DM94" s="916"/>
      <c r="DN94" s="916"/>
      <c r="DO94" s="916"/>
      <c r="DP94" s="916"/>
      <c r="DQ94" s="916"/>
      <c r="DR94" s="916"/>
      <c r="DS94" s="916"/>
      <c r="DT94" s="916"/>
      <c r="DU94" s="916"/>
      <c r="DV94" s="916"/>
      <c r="DW94" s="916"/>
      <c r="DX94" s="916"/>
      <c r="DY94" s="916"/>
      <c r="DZ94" s="916"/>
      <c r="EA94" s="916"/>
      <c r="EB94" s="916"/>
      <c r="EC94" s="916"/>
      <c r="ED94" s="916"/>
      <c r="EE94" s="916"/>
      <c r="EF94" s="916"/>
      <c r="EG94" s="916"/>
      <c r="EH94" s="916"/>
      <c r="EI94" s="916"/>
      <c r="EJ94" s="916"/>
      <c r="EK94" s="916"/>
    </row>
    <row r="95" spans="1:141" ht="15.75">
      <c r="T95" s="661">
        <f>+T93*2</f>
        <v>5772</v>
      </c>
      <c r="U95" s="661">
        <f>+U93*2</f>
        <v>5760</v>
      </c>
      <c r="AE95" s="661">
        <f>+AE93*2</f>
        <v>4988</v>
      </c>
      <c r="AF95" s="661">
        <f>+AF93*2</f>
        <v>4980</v>
      </c>
      <c r="AP95" s="661">
        <f>+AP93*2</f>
        <v>5400</v>
      </c>
      <c r="AQ95" s="661">
        <f>+AQ93*2</f>
        <v>5388</v>
      </c>
      <c r="BA95" s="661">
        <f>+BA93*2</f>
        <v>5168</v>
      </c>
      <c r="BB95" s="661">
        <f>+BB93*2</f>
        <v>5160</v>
      </c>
      <c r="BG95" s="823"/>
      <c r="BH95" s="823"/>
      <c r="BI95" s="823"/>
      <c r="BJ95" s="823"/>
      <c r="BK95" s="823"/>
      <c r="BL95" s="887">
        <f>+BL93*2</f>
        <v>3616</v>
      </c>
      <c r="BM95" s="887">
        <f>+BM93*2</f>
        <v>3600</v>
      </c>
      <c r="BN95" s="823"/>
      <c r="BO95" s="823"/>
      <c r="BP95" s="823"/>
      <c r="BQ95" s="823"/>
    </row>
    <row r="96" spans="1:141">
      <c r="BG96" s="823"/>
      <c r="BH96" s="823"/>
      <c r="BI96" s="823"/>
      <c r="BJ96" s="823"/>
      <c r="BK96" s="823"/>
      <c r="BL96" s="823"/>
      <c r="BM96" s="823"/>
      <c r="BN96" s="823"/>
      <c r="BO96" s="823"/>
      <c r="BP96" s="823"/>
      <c r="BQ96" s="823"/>
    </row>
    <row r="97" spans="15:69">
      <c r="O97" s="653">
        <f>O94+O93</f>
        <v>1536</v>
      </c>
      <c r="P97" s="653">
        <f>P94+P93</f>
        <v>1476</v>
      </c>
      <c r="Q97" s="653">
        <f>Q94+Q93</f>
        <v>1410</v>
      </c>
      <c r="R97" s="653">
        <f>R94+R93</f>
        <v>1350</v>
      </c>
      <c r="S97" s="653">
        <f>S94+S93</f>
        <v>0</v>
      </c>
      <c r="U97" s="653"/>
      <c r="Z97" s="653">
        <f>Z94+Z93</f>
        <v>1370</v>
      </c>
      <c r="AA97" s="653">
        <f>AA94+AA93</f>
        <v>1310</v>
      </c>
      <c r="AB97" s="653">
        <f>AB94+AB93</f>
        <v>1166</v>
      </c>
      <c r="AC97" s="653">
        <f>AC94+AC93</f>
        <v>1142</v>
      </c>
      <c r="AD97" s="653">
        <f>AD94+AD93</f>
        <v>0</v>
      </c>
      <c r="AK97" s="653">
        <f>AK94+AK93</f>
        <v>1464</v>
      </c>
      <c r="AL97" s="653">
        <f>AL94+AL93</f>
        <v>1416</v>
      </c>
      <c r="AM97" s="653">
        <f>AM94+AM93</f>
        <v>1272</v>
      </c>
      <c r="AN97" s="653">
        <f>AN94+AN93</f>
        <v>1248</v>
      </c>
      <c r="AO97" s="653">
        <f>AO94+AO93</f>
        <v>0</v>
      </c>
      <c r="AV97" s="653">
        <f>AV94+AV93</f>
        <v>1406</v>
      </c>
      <c r="AW97" s="653">
        <f>AW94+AW93</f>
        <v>1334</v>
      </c>
      <c r="AX97" s="653">
        <f>AX94+AX93</f>
        <v>1226</v>
      </c>
      <c r="AY97" s="653">
        <f>AY94+AY93</f>
        <v>1202</v>
      </c>
      <c r="AZ97" s="653">
        <f>AZ94+AZ93</f>
        <v>0</v>
      </c>
      <c r="BG97" s="823">
        <f>BG94+BG93</f>
        <v>1018</v>
      </c>
      <c r="BH97" s="823">
        <f>BH94+BH93</f>
        <v>946</v>
      </c>
      <c r="BI97" s="823">
        <f>BI94+BI93</f>
        <v>838</v>
      </c>
      <c r="BJ97" s="823">
        <f>BJ94+BJ93</f>
        <v>814</v>
      </c>
      <c r="BK97" s="823">
        <f>BK94+BK93</f>
        <v>0</v>
      </c>
      <c r="BL97" s="823"/>
      <c r="BM97" s="823"/>
      <c r="BN97" s="823"/>
      <c r="BO97" s="823"/>
      <c r="BP97" s="823"/>
      <c r="BQ97" s="823"/>
    </row>
    <row r="105" spans="15:69">
      <c r="AU105" t="e">
        <v>#DIV/0!</v>
      </c>
    </row>
    <row r="106" spans="15:69">
      <c r="AU106" t="e">
        <v>#DIV/0!</v>
      </c>
    </row>
    <row r="107" spans="15:69">
      <c r="AU107" t="e">
        <v>#DIV/0!</v>
      </c>
    </row>
  </sheetData>
  <mergeCells count="17">
    <mergeCell ref="A25:A29"/>
    <mergeCell ref="A30:A34"/>
    <mergeCell ref="A90:A92"/>
    <mergeCell ref="A39:A40"/>
    <mergeCell ref="A35:A38"/>
    <mergeCell ref="A9:A13"/>
    <mergeCell ref="A14:A19"/>
    <mergeCell ref="A20:A24"/>
    <mergeCell ref="O5:Y6"/>
    <mergeCell ref="BG5:BQ6"/>
    <mergeCell ref="AV5:BF6"/>
    <mergeCell ref="Z5:AJ6"/>
    <mergeCell ref="AK5:AU6"/>
    <mergeCell ref="A5:A7"/>
    <mergeCell ref="B5:B7"/>
    <mergeCell ref="C5:C7"/>
    <mergeCell ref="D5:N6"/>
  </mergeCells>
  <phoneticPr fontId="27"/>
  <conditionalFormatting sqref="D90:BE91 D8:I92 O8:BQ92">
    <cfRule type="expression" dxfId="7" priority="327">
      <formula>D8=#REF!</formula>
    </cfRule>
  </conditionalFormatting>
  <conditionalFormatting sqref="D90:BE91 D8:I92 O8:BQ92">
    <cfRule type="expression" priority="326">
      <formula>D8=#REF!</formula>
    </cfRule>
  </conditionalFormatting>
  <conditionalFormatting sqref="D90:BE91 D8:I92 O8:BQ92">
    <cfRule type="expression" dxfId="6" priority="325">
      <formula>D8=#REF!</formula>
    </cfRule>
  </conditionalFormatting>
  <conditionalFormatting sqref="D52:G54 AK49:AK54 AK87 AK57:AK61 AV49:AV54 AV87 AV57:AV61 BG49:BG54 BG87 BG57:BG61 Z87:AI87 AG88:AG89 AQ51:AQ52 AK66:AK70 AV66:AV70 BG66:BG70 AK78:AK82 AV78:AV82 BG78:BG82 X88:X92 BD77:BD90 BL55:BL58 D57:G87 O84:AJ86 BL62:BL86 AV66:AZ66 AV82:AZ86 Z55:BQ56 Z76:BQ77 Z64:BQ65 Z62:AJ86 AV71:AZ71 AV62:AZ62 AH41:AI54 O41:Y54 AV41:AY53 C54:IV54 C75:IV75 C63:IV63 AK8:AO53 O8:S8 BG8:BH9 C39:IV51 AI39:AI92 D9:IV38 AD54:AD56 AD60:AD87 AD9:AD51 BK54:BK56 BK75:BK77 BK63:BK65 AJ9:AJ54 AH57:AJ87 AU9:AU51 AS41:AU87 BF9:BF51 BC41:BF87 BQ9:BQ51 BO41:BQ87 BK9:BK51 AZ75:AZ77 AZ9:AZ56 AZ60:AZ66 AZ69:AZ73 AZ81:AZ86 AO75:AO77 AO63:AO65 AO9:AO56 C69:IV70 C60:IV61 C72:IV73 C81:IV82 S9:S54 O57:Y87">
    <cfRule type="cellIs" dxfId="5" priority="324" operator="lessThan">
      <formula>0</formula>
    </cfRule>
  </conditionalFormatting>
  <conditionalFormatting sqref="A90 B39:IV92 D8:IV38 AD9:AD92 AJ9:AJ92 AU9:AU92 BF9:BF92 BQ9:BQ92 BK9:BK92 AZ9:AZ92 AO9:AO92 S9:S92">
    <cfRule type="cellIs" dxfId="4" priority="323" stopIfTrue="1" operator="lessThan">
      <formula>0</formula>
    </cfRule>
  </conditionalFormatting>
  <conditionalFormatting sqref="C25:C38">
    <cfRule type="cellIs" dxfId="3" priority="5" operator="lessThan">
      <formula>0</formula>
    </cfRule>
  </conditionalFormatting>
  <conditionalFormatting sqref="B8:C8 B25:C38">
    <cfRule type="cellIs" dxfId="2" priority="4" stopIfTrue="1" operator="lessThan">
      <formula>0</formula>
    </cfRule>
  </conditionalFormatting>
  <conditionalFormatting sqref="C9:C24">
    <cfRule type="cellIs" dxfId="1" priority="2" operator="lessThan">
      <formula>0</formula>
    </cfRule>
  </conditionalFormatting>
  <conditionalFormatting sqref="B9:C24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7"/>
  <sheetViews>
    <sheetView workbookViewId="0">
      <selection activeCell="K14" sqref="K14"/>
    </sheetView>
  </sheetViews>
  <sheetFormatPr defaultRowHeight="12.75"/>
  <cols>
    <col min="2" max="2" width="18.28515625" customWidth="1"/>
  </cols>
  <sheetData>
    <row r="3" spans="1:4">
      <c r="A3" t="s">
        <v>160</v>
      </c>
      <c r="B3" t="s">
        <v>286</v>
      </c>
      <c r="C3">
        <v>2026</v>
      </c>
      <c r="D3">
        <v>4</v>
      </c>
    </row>
    <row r="4" spans="1:4">
      <c r="A4" t="s">
        <v>161</v>
      </c>
      <c r="B4" t="s">
        <v>281</v>
      </c>
      <c r="C4">
        <v>2026</v>
      </c>
      <c r="D4">
        <v>4</v>
      </c>
    </row>
    <row r="5" spans="1:4">
      <c r="A5" t="s">
        <v>162</v>
      </c>
      <c r="B5" t="s">
        <v>282</v>
      </c>
      <c r="C5">
        <v>2026</v>
      </c>
      <c r="D5">
        <v>4</v>
      </c>
    </row>
    <row r="6" spans="1:4">
      <c r="A6" t="s">
        <v>163</v>
      </c>
      <c r="B6" t="s">
        <v>193</v>
      </c>
      <c r="C6">
        <v>2026</v>
      </c>
      <c r="D6">
        <v>5</v>
      </c>
    </row>
    <row r="7" spans="1:4">
      <c r="A7" t="s">
        <v>164</v>
      </c>
      <c r="B7" t="s">
        <v>287</v>
      </c>
      <c r="C7">
        <v>2026</v>
      </c>
      <c r="D7">
        <v>4</v>
      </c>
    </row>
    <row r="8" spans="1:4">
      <c r="A8" t="s">
        <v>166</v>
      </c>
      <c r="B8" t="s">
        <v>180</v>
      </c>
      <c r="C8">
        <v>2026</v>
      </c>
      <c r="D8">
        <v>4</v>
      </c>
    </row>
    <row r="9" spans="1:4">
      <c r="A9" t="s">
        <v>167</v>
      </c>
      <c r="B9" t="s">
        <v>194</v>
      </c>
      <c r="C9">
        <v>2026</v>
      </c>
      <c r="D9">
        <v>5</v>
      </c>
    </row>
    <row r="10" spans="1:4">
      <c r="A10" t="s">
        <v>36</v>
      </c>
      <c r="B10" t="s">
        <v>288</v>
      </c>
      <c r="C10">
        <v>2026</v>
      </c>
      <c r="D10">
        <v>4</v>
      </c>
    </row>
    <row r="11" spans="1:4">
      <c r="A11" t="s">
        <v>37</v>
      </c>
      <c r="B11" t="s">
        <v>283</v>
      </c>
      <c r="C11">
        <v>2026</v>
      </c>
      <c r="D11">
        <v>5</v>
      </c>
    </row>
    <row r="12" spans="1:4">
      <c r="A12" t="s">
        <v>38</v>
      </c>
      <c r="B12" t="s">
        <v>284</v>
      </c>
      <c r="C12">
        <v>2026</v>
      </c>
      <c r="D12">
        <v>4</v>
      </c>
    </row>
    <row r="13" spans="1:4">
      <c r="A13" t="s">
        <v>39</v>
      </c>
      <c r="B13" t="s">
        <v>285</v>
      </c>
      <c r="C13">
        <v>2026</v>
      </c>
      <c r="D13">
        <v>4</v>
      </c>
    </row>
    <row r="14" spans="1:4">
      <c r="A14" t="s">
        <v>159</v>
      </c>
      <c r="B14" t="s">
        <v>249</v>
      </c>
      <c r="C14">
        <v>2026</v>
      </c>
      <c r="D14">
        <v>5</v>
      </c>
    </row>
    <row r="16" spans="1:4">
      <c r="A16" t="s">
        <v>160</v>
      </c>
      <c r="B16" t="s">
        <v>177</v>
      </c>
      <c r="C16">
        <v>2025</v>
      </c>
      <c r="D16">
        <v>4</v>
      </c>
    </row>
    <row r="17" spans="1:4">
      <c r="A17" t="s">
        <v>161</v>
      </c>
      <c r="B17" t="s">
        <v>224</v>
      </c>
      <c r="C17">
        <v>2025</v>
      </c>
      <c r="D17">
        <v>4</v>
      </c>
    </row>
    <row r="18" spans="1:4">
      <c r="A18" t="s">
        <v>162</v>
      </c>
      <c r="B18" t="s">
        <v>250</v>
      </c>
      <c r="C18">
        <v>2025</v>
      </c>
      <c r="D18">
        <v>4</v>
      </c>
    </row>
    <row r="19" spans="1:4">
      <c r="A19" t="s">
        <v>163</v>
      </c>
      <c r="B19" t="s">
        <v>221</v>
      </c>
      <c r="C19">
        <v>2025</v>
      </c>
      <c r="D19">
        <v>4</v>
      </c>
    </row>
    <row r="20" spans="1:4">
      <c r="A20" t="s">
        <v>164</v>
      </c>
      <c r="B20" t="s">
        <v>165</v>
      </c>
      <c r="C20">
        <v>2025</v>
      </c>
      <c r="D20">
        <v>4</v>
      </c>
    </row>
    <row r="21" spans="1:4">
      <c r="A21" t="s">
        <v>166</v>
      </c>
      <c r="B21" t="s">
        <v>180</v>
      </c>
      <c r="C21">
        <v>2025</v>
      </c>
      <c r="D21">
        <v>4</v>
      </c>
    </row>
    <row r="22" spans="1:4">
      <c r="A22" t="s">
        <v>167</v>
      </c>
      <c r="B22" t="s">
        <v>194</v>
      </c>
      <c r="C22">
        <v>2025</v>
      </c>
      <c r="D22">
        <v>5</v>
      </c>
    </row>
    <row r="23" spans="1:4">
      <c r="A23" t="s">
        <v>36</v>
      </c>
      <c r="B23" t="s">
        <v>222</v>
      </c>
      <c r="C23">
        <v>2025</v>
      </c>
      <c r="D23">
        <v>4</v>
      </c>
    </row>
    <row r="24" spans="1:4">
      <c r="A24" t="s">
        <v>37</v>
      </c>
      <c r="B24" t="s">
        <v>251</v>
      </c>
      <c r="C24">
        <v>2025</v>
      </c>
      <c r="D24">
        <v>4</v>
      </c>
    </row>
    <row r="25" spans="1:4">
      <c r="A25" t="s">
        <v>38</v>
      </c>
      <c r="B25" t="s">
        <v>220</v>
      </c>
      <c r="C25">
        <v>2025</v>
      </c>
      <c r="D25">
        <v>5</v>
      </c>
    </row>
    <row r="26" spans="1:4">
      <c r="A26" t="s">
        <v>39</v>
      </c>
      <c r="B26" t="s">
        <v>223</v>
      </c>
      <c r="C26">
        <v>2025</v>
      </c>
      <c r="D26">
        <v>4</v>
      </c>
    </row>
    <row r="27" spans="1:4">
      <c r="A27" t="s">
        <v>159</v>
      </c>
      <c r="B27" t="s">
        <v>249</v>
      </c>
      <c r="C27">
        <v>2025</v>
      </c>
      <c r="D27">
        <v>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GUM</vt:lpstr>
      <vt:lpstr>down rate</vt:lpstr>
      <vt:lpstr>(AS-400 Jembatan)</vt:lpstr>
      <vt:lpstr>(AS-400 Transfer)</vt:lpstr>
      <vt:lpstr>WEEK</vt:lpstr>
      <vt:lpstr>'down rate'!Print_Area</vt:lpstr>
      <vt:lpstr>GUM!Print_Area</vt:lpstr>
      <vt:lpstr>'down rate'!Print_Titles</vt:lpstr>
      <vt:lpstr>GUM!Print_Titles</vt:lpstr>
    </vt:vector>
  </TitlesOfParts>
  <Company>JAI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as400</dc:creator>
  <cp:lastModifiedBy>Meyta A. R.</cp:lastModifiedBy>
  <cp:lastPrinted>2025-08-28T09:38:14Z</cp:lastPrinted>
  <dcterms:created xsi:type="dcterms:W3CDTF">2005-12-19T04:35:45Z</dcterms:created>
  <dcterms:modified xsi:type="dcterms:W3CDTF">2026-03-12T04:33:20Z</dcterms:modified>
</cp:coreProperties>
</file>