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omments1.xml" ContentType="application/vnd.openxmlformats-officedocument.spreadsheetml.comments+xml"/>
  <Override PartName="/xl/customProperty5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Ppc01\ppc\PPC Department\TOYOTA 909W ( 200D, 220D)\SR\SOP\2026\3. MAR\"/>
    </mc:Choice>
  </mc:AlternateContent>
  <bookViews>
    <workbookView xWindow="0" yWindow="0" windowWidth="21480" windowHeight="9450" tabRatio="544" activeTab="1"/>
  </bookViews>
  <sheets>
    <sheet name="NOTES" sheetId="9" r:id="rId1"/>
    <sheet name="Final SR" sheetId="4" r:id="rId2"/>
    <sheet name="JAI TOTALs" sheetId="8" r:id="rId3"/>
    <sheet name="TOTALss" sheetId="5" r:id="rId4"/>
    <sheet name="Timing Table" sheetId="7" r:id="rId5"/>
    <sheet name="GRAPH" sheetId="6" state="hidden" r:id="rId6"/>
  </sheets>
  <externalReferences>
    <externalReference r:id="rId7"/>
    <externalReference r:id="rId8"/>
  </externalReferences>
  <definedNames>
    <definedName name="_xlnm._FilterDatabase" localSheetId="1" hidden="1">'Final SR'!$A$6:$BI$439</definedName>
    <definedName name="_xlnm._FilterDatabase" localSheetId="4" hidden="1">'Timing Table'!$A$1:$Q$44</definedName>
    <definedName name="ProdLines">[1]Chart!$A$66:$A$66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I11" i="4" l="1"/>
  <c r="C387" i="4" l="1"/>
  <c r="C388" i="4" s="1"/>
  <c r="C389" i="4" s="1"/>
  <c r="C390" i="4" s="1"/>
  <c r="C391" i="4" s="1"/>
  <c r="C392" i="4" s="1"/>
  <c r="C393" i="4" s="1"/>
  <c r="C394" i="4" s="1"/>
  <c r="C395" i="4" s="1"/>
  <c r="C396" i="4" s="1"/>
  <c r="B387" i="4"/>
  <c r="B388" i="4" s="1"/>
  <c r="C397" i="4"/>
  <c r="C398" i="4" s="1"/>
  <c r="C399" i="4" s="1"/>
  <c r="C400" i="4" s="1"/>
  <c r="C401" i="4" s="1"/>
  <c r="C402" i="4" s="1"/>
  <c r="C403" i="4" s="1"/>
  <c r="C404" i="4" s="1"/>
  <c r="C405" i="4" s="1"/>
  <c r="C406" i="4" s="1"/>
  <c r="B397" i="4"/>
  <c r="B398" i="4" s="1"/>
  <c r="C407" i="4"/>
  <c r="C408" i="4" s="1"/>
  <c r="C409" i="4" s="1"/>
  <c r="C410" i="4" s="1"/>
  <c r="C411" i="4" s="1"/>
  <c r="C412" i="4" s="1"/>
  <c r="C413" i="4" s="1"/>
  <c r="C414" i="4" s="1"/>
  <c r="C415" i="4" s="1"/>
  <c r="C416" i="4" s="1"/>
  <c r="B407" i="4"/>
  <c r="B408" i="4" s="1"/>
  <c r="C417" i="4"/>
  <c r="C418" i="4" s="1"/>
  <c r="C419" i="4" s="1"/>
  <c r="C420" i="4" s="1"/>
  <c r="C421" i="4" s="1"/>
  <c r="C422" i="4" s="1"/>
  <c r="C423" i="4" s="1"/>
  <c r="C424" i="4" s="1"/>
  <c r="C425" i="4" s="1"/>
  <c r="C426" i="4" s="1"/>
  <c r="B417" i="4"/>
  <c r="B418" i="4" s="1"/>
  <c r="E387" i="4" l="1"/>
  <c r="E397" i="4"/>
  <c r="E388" i="4"/>
  <c r="D388" i="4"/>
  <c r="B389" i="4"/>
  <c r="D387" i="4"/>
  <c r="D398" i="4"/>
  <c r="B399" i="4"/>
  <c r="E398" i="4"/>
  <c r="D397" i="4"/>
  <c r="E408" i="4"/>
  <c r="D408" i="4"/>
  <c r="B409" i="4"/>
  <c r="D407" i="4"/>
  <c r="E407" i="4"/>
  <c r="B419" i="4"/>
  <c r="E418" i="4"/>
  <c r="D418" i="4"/>
  <c r="D417" i="4"/>
  <c r="E417" i="4"/>
  <c r="B390" i="4" l="1"/>
  <c r="E389" i="4"/>
  <c r="D389" i="4"/>
  <c r="B400" i="4"/>
  <c r="E399" i="4"/>
  <c r="D399" i="4"/>
  <c r="B410" i="4"/>
  <c r="E409" i="4"/>
  <c r="D409" i="4"/>
  <c r="E419" i="4"/>
  <c r="B420" i="4"/>
  <c r="D419" i="4"/>
  <c r="B391" i="4" l="1"/>
  <c r="E390" i="4"/>
  <c r="D390" i="4"/>
  <c r="B401" i="4"/>
  <c r="E400" i="4"/>
  <c r="D400" i="4"/>
  <c r="B411" i="4"/>
  <c r="E410" i="4"/>
  <c r="D410" i="4"/>
  <c r="B421" i="4"/>
  <c r="E420" i="4"/>
  <c r="D420" i="4"/>
  <c r="E391" i="4" l="1"/>
  <c r="D391" i="4"/>
  <c r="B392" i="4"/>
  <c r="E401" i="4"/>
  <c r="D401" i="4"/>
  <c r="B402" i="4"/>
  <c r="E411" i="4"/>
  <c r="D411" i="4"/>
  <c r="B412" i="4"/>
  <c r="D421" i="4"/>
  <c r="B422" i="4"/>
  <c r="E421" i="4"/>
  <c r="C427" i="4"/>
  <c r="C428" i="4" s="1"/>
  <c r="C429" i="4" s="1"/>
  <c r="C430" i="4" s="1"/>
  <c r="C431" i="4" s="1"/>
  <c r="C432" i="4" s="1"/>
  <c r="C433" i="4" s="1"/>
  <c r="C434" i="4" s="1"/>
  <c r="C435" i="4" s="1"/>
  <c r="C436" i="4" s="1"/>
  <c r="B427" i="4"/>
  <c r="B428" i="4" s="1"/>
  <c r="C377" i="4"/>
  <c r="C378" i="4" s="1"/>
  <c r="C379" i="4" s="1"/>
  <c r="C380" i="4" s="1"/>
  <c r="C381" i="4" s="1"/>
  <c r="C382" i="4" s="1"/>
  <c r="C383" i="4" s="1"/>
  <c r="C384" i="4" s="1"/>
  <c r="C385" i="4" s="1"/>
  <c r="C386" i="4" s="1"/>
  <c r="B377" i="4"/>
  <c r="B378" i="4" s="1"/>
  <c r="C367" i="4"/>
  <c r="C368" i="4" s="1"/>
  <c r="C369" i="4" s="1"/>
  <c r="C370" i="4" s="1"/>
  <c r="C371" i="4" s="1"/>
  <c r="C372" i="4" s="1"/>
  <c r="C373" i="4" s="1"/>
  <c r="C374" i="4" s="1"/>
  <c r="C375" i="4" s="1"/>
  <c r="C376" i="4" s="1"/>
  <c r="B367" i="4"/>
  <c r="B368" i="4" s="1"/>
  <c r="C357" i="4"/>
  <c r="C358" i="4" s="1"/>
  <c r="C359" i="4" s="1"/>
  <c r="C360" i="4" s="1"/>
  <c r="C361" i="4" s="1"/>
  <c r="C362" i="4" s="1"/>
  <c r="C363" i="4" s="1"/>
  <c r="C364" i="4" s="1"/>
  <c r="C365" i="4" s="1"/>
  <c r="C366" i="4" s="1"/>
  <c r="B357" i="4"/>
  <c r="B358" i="4" s="1"/>
  <c r="C347" i="4"/>
  <c r="C348" i="4" s="1"/>
  <c r="C349" i="4" s="1"/>
  <c r="C350" i="4" s="1"/>
  <c r="C351" i="4" s="1"/>
  <c r="C352" i="4" s="1"/>
  <c r="C353" i="4" s="1"/>
  <c r="C354" i="4" s="1"/>
  <c r="C355" i="4" s="1"/>
  <c r="C356" i="4" s="1"/>
  <c r="B347" i="4"/>
  <c r="B348" i="4" s="1"/>
  <c r="C337" i="4"/>
  <c r="C338" i="4" s="1"/>
  <c r="C339" i="4" s="1"/>
  <c r="C340" i="4" s="1"/>
  <c r="C341" i="4" s="1"/>
  <c r="C342" i="4" s="1"/>
  <c r="C343" i="4" s="1"/>
  <c r="C344" i="4" s="1"/>
  <c r="C345" i="4" s="1"/>
  <c r="C346" i="4" s="1"/>
  <c r="B337" i="4"/>
  <c r="B338" i="4" s="1"/>
  <c r="C327" i="4"/>
  <c r="C328" i="4" s="1"/>
  <c r="C329" i="4" s="1"/>
  <c r="C330" i="4" s="1"/>
  <c r="C331" i="4" s="1"/>
  <c r="C332" i="4" s="1"/>
  <c r="C333" i="4" s="1"/>
  <c r="C334" i="4" s="1"/>
  <c r="C335" i="4" s="1"/>
  <c r="C336" i="4" s="1"/>
  <c r="B327" i="4"/>
  <c r="B328" i="4" s="1"/>
  <c r="B393" i="4" l="1"/>
  <c r="D392" i="4"/>
  <c r="E392" i="4"/>
  <c r="B403" i="4"/>
  <c r="D402" i="4"/>
  <c r="E402" i="4"/>
  <c r="B413" i="4"/>
  <c r="D412" i="4"/>
  <c r="E412" i="4"/>
  <c r="B423" i="4"/>
  <c r="D422" i="4"/>
  <c r="E422" i="4"/>
  <c r="E427" i="4"/>
  <c r="E428" i="4"/>
  <c r="D428" i="4"/>
  <c r="B429" i="4"/>
  <c r="D427" i="4"/>
  <c r="E378" i="4"/>
  <c r="D378" i="4"/>
  <c r="B379" i="4"/>
  <c r="D377" i="4"/>
  <c r="E377" i="4"/>
  <c r="D367" i="4"/>
  <c r="E368" i="4"/>
  <c r="D368" i="4"/>
  <c r="B369" i="4"/>
  <c r="E367" i="4"/>
  <c r="D357" i="4"/>
  <c r="E358" i="4"/>
  <c r="D358" i="4"/>
  <c r="B359" i="4"/>
  <c r="E357" i="4"/>
  <c r="D348" i="4"/>
  <c r="E348" i="4"/>
  <c r="B349" i="4"/>
  <c r="D347" i="4"/>
  <c r="E347" i="4"/>
  <c r="E338" i="4"/>
  <c r="D338" i="4"/>
  <c r="B339" i="4"/>
  <c r="D337" i="4"/>
  <c r="E337" i="4"/>
  <c r="B329" i="4"/>
  <c r="D328" i="4"/>
  <c r="E328" i="4"/>
  <c r="D327" i="4"/>
  <c r="E327" i="4"/>
  <c r="C47" i="4"/>
  <c r="C48" i="4" s="1"/>
  <c r="C49" i="4" s="1"/>
  <c r="C50" i="4" s="1"/>
  <c r="B47" i="4"/>
  <c r="B48" i="4" s="1"/>
  <c r="B49" i="4" s="1"/>
  <c r="B50" i="4" s="1"/>
  <c r="B51" i="4" s="1"/>
  <c r="B52" i="4" s="1"/>
  <c r="B53" i="4" s="1"/>
  <c r="B54" i="4" s="1"/>
  <c r="B55" i="4" s="1"/>
  <c r="B56" i="4" s="1"/>
  <c r="D393" i="4" l="1"/>
  <c r="B394" i="4"/>
  <c r="E393" i="4"/>
  <c r="B404" i="4"/>
  <c r="E403" i="4"/>
  <c r="D403" i="4"/>
  <c r="D413" i="4"/>
  <c r="B414" i="4"/>
  <c r="E413" i="4"/>
  <c r="D423" i="4"/>
  <c r="B424" i="4"/>
  <c r="E423" i="4"/>
  <c r="B430" i="4"/>
  <c r="E429" i="4"/>
  <c r="D429" i="4"/>
  <c r="E379" i="4"/>
  <c r="D379" i="4"/>
  <c r="B380" i="4"/>
  <c r="B370" i="4"/>
  <c r="E369" i="4"/>
  <c r="D369" i="4"/>
  <c r="B360" i="4"/>
  <c r="E359" i="4"/>
  <c r="D359" i="4"/>
  <c r="B350" i="4"/>
  <c r="E349" i="4"/>
  <c r="D349" i="4"/>
  <c r="E339" i="4"/>
  <c r="D339" i="4"/>
  <c r="B340" i="4"/>
  <c r="E329" i="4"/>
  <c r="D329" i="4"/>
  <c r="B330" i="4"/>
  <c r="C51" i="4"/>
  <c r="C52" i="4" s="1"/>
  <c r="C53" i="4" s="1"/>
  <c r="C54" i="4" s="1"/>
  <c r="C55" i="4" s="1"/>
  <c r="C56" i="4" s="1"/>
  <c r="E3" i="8"/>
  <c r="F3" i="8" s="1"/>
  <c r="B395" i="4" l="1"/>
  <c r="E394" i="4"/>
  <c r="D394" i="4"/>
  <c r="E404" i="4"/>
  <c r="D404" i="4"/>
  <c r="B405" i="4"/>
  <c r="B415" i="4"/>
  <c r="E414" i="4"/>
  <c r="D414" i="4"/>
  <c r="E424" i="4"/>
  <c r="D424" i="4"/>
  <c r="B425" i="4"/>
  <c r="B431" i="4"/>
  <c r="E430" i="4"/>
  <c r="D430" i="4"/>
  <c r="B381" i="4"/>
  <c r="E380" i="4"/>
  <c r="D380" i="4"/>
  <c r="E370" i="4"/>
  <c r="D370" i="4"/>
  <c r="B371" i="4"/>
  <c r="D360" i="4"/>
  <c r="E360" i="4"/>
  <c r="B361" i="4"/>
  <c r="D350" i="4"/>
  <c r="B351" i="4"/>
  <c r="E350" i="4"/>
  <c r="B341" i="4"/>
  <c r="D340" i="4"/>
  <c r="E340" i="4"/>
  <c r="E330" i="4"/>
  <c r="B331" i="4"/>
  <c r="D330" i="4"/>
  <c r="E55" i="4"/>
  <c r="E54" i="4"/>
  <c r="E53" i="4"/>
  <c r="E52" i="4"/>
  <c r="E51" i="4"/>
  <c r="E50" i="4"/>
  <c r="E49" i="4"/>
  <c r="E48" i="4"/>
  <c r="E47" i="4"/>
  <c r="D55" i="4"/>
  <c r="D54" i="4"/>
  <c r="D53" i="4"/>
  <c r="D52" i="4"/>
  <c r="D51" i="4"/>
  <c r="D50" i="4"/>
  <c r="D49" i="4"/>
  <c r="D48" i="4"/>
  <c r="D47" i="4"/>
  <c r="E395" i="4" l="1"/>
  <c r="B396" i="4"/>
  <c r="D395" i="4"/>
  <c r="B406" i="4"/>
  <c r="E405" i="4"/>
  <c r="D405" i="4"/>
  <c r="B416" i="4"/>
  <c r="E415" i="4"/>
  <c r="D415" i="4"/>
  <c r="B426" i="4"/>
  <c r="E425" i="4"/>
  <c r="D425" i="4"/>
  <c r="E431" i="4"/>
  <c r="D431" i="4"/>
  <c r="B432" i="4"/>
  <c r="D381" i="4"/>
  <c r="B382" i="4"/>
  <c r="E381" i="4"/>
  <c r="E371" i="4"/>
  <c r="D371" i="4"/>
  <c r="B372" i="4"/>
  <c r="E361" i="4"/>
  <c r="D361" i="4"/>
  <c r="B362" i="4"/>
  <c r="E351" i="4"/>
  <c r="D351" i="4"/>
  <c r="B352" i="4"/>
  <c r="B342" i="4"/>
  <c r="E341" i="4"/>
  <c r="D341" i="4"/>
  <c r="D331" i="4"/>
  <c r="B332" i="4"/>
  <c r="E331" i="4"/>
  <c r="BD76" i="5"/>
  <c r="BD77" i="5" s="1"/>
  <c r="BC76" i="5"/>
  <c r="BC77" i="5" s="1"/>
  <c r="BB76" i="5"/>
  <c r="BB77" i="5" s="1"/>
  <c r="BA76" i="5"/>
  <c r="BA77" i="5" s="1"/>
  <c r="AZ76" i="5"/>
  <c r="AZ77" i="5" s="1"/>
  <c r="AY76" i="5"/>
  <c r="AY77" i="5" s="1"/>
  <c r="AX76" i="5"/>
  <c r="AX77" i="5" s="1"/>
  <c r="AW76" i="5"/>
  <c r="AW77" i="5" s="1"/>
  <c r="AV76" i="5"/>
  <c r="AV77" i="5" s="1"/>
  <c r="AU76" i="5"/>
  <c r="AU77" i="5" s="1"/>
  <c r="AT76" i="5"/>
  <c r="AT77" i="5" s="1"/>
  <c r="AS76" i="5"/>
  <c r="AS77" i="5" s="1"/>
  <c r="AR76" i="5"/>
  <c r="AR77" i="5" s="1"/>
  <c r="AQ76" i="5"/>
  <c r="AQ77" i="5" s="1"/>
  <c r="AP76" i="5"/>
  <c r="AP77" i="5" s="1"/>
  <c r="AO76" i="5"/>
  <c r="AO77" i="5" s="1"/>
  <c r="AN76" i="5"/>
  <c r="AN77" i="5" s="1"/>
  <c r="AM76" i="5"/>
  <c r="AM77" i="5" s="1"/>
  <c r="AL76" i="5"/>
  <c r="AL77" i="5" s="1"/>
  <c r="AK76" i="5"/>
  <c r="AK77" i="5" s="1"/>
  <c r="AJ76" i="5"/>
  <c r="AJ77" i="5" s="1"/>
  <c r="AI76" i="5"/>
  <c r="AI77" i="5" s="1"/>
  <c r="BD17" i="5"/>
  <c r="BD18" i="5" s="1"/>
  <c r="BC17" i="5"/>
  <c r="BC18" i="5" s="1"/>
  <c r="BB17" i="5"/>
  <c r="BB18" i="5" s="1"/>
  <c r="BA17" i="5"/>
  <c r="BA18" i="5" s="1"/>
  <c r="AZ17" i="5"/>
  <c r="AZ18" i="5" s="1"/>
  <c r="AY17" i="5"/>
  <c r="AY18" i="5" s="1"/>
  <c r="AX17" i="5"/>
  <c r="AX18" i="5" s="1"/>
  <c r="AW17" i="5"/>
  <c r="AW18" i="5" s="1"/>
  <c r="AV17" i="5"/>
  <c r="AV18" i="5" s="1"/>
  <c r="AU17" i="5"/>
  <c r="AU18" i="5" s="1"/>
  <c r="AT17" i="5"/>
  <c r="AT18" i="5" s="1"/>
  <c r="AS17" i="5"/>
  <c r="AS18" i="5" s="1"/>
  <c r="AR17" i="5"/>
  <c r="AR18" i="5" s="1"/>
  <c r="AQ17" i="5"/>
  <c r="AQ18" i="5" s="1"/>
  <c r="AP17" i="5"/>
  <c r="AP18" i="5" s="1"/>
  <c r="AO17" i="5"/>
  <c r="AO18" i="5" s="1"/>
  <c r="AN17" i="5"/>
  <c r="AN18" i="5" s="1"/>
  <c r="AM17" i="5"/>
  <c r="AM18" i="5" s="1"/>
  <c r="AL17" i="5"/>
  <c r="AL18" i="5" s="1"/>
  <c r="AK17" i="5"/>
  <c r="AK18" i="5" s="1"/>
  <c r="AJ17" i="5"/>
  <c r="AJ18" i="5" s="1"/>
  <c r="AI17" i="5"/>
  <c r="AI18" i="5" s="1"/>
  <c r="AG76" i="5"/>
  <c r="AG77" i="5" s="1"/>
  <c r="AF76" i="5"/>
  <c r="AF77" i="5" s="1"/>
  <c r="AE76" i="5"/>
  <c r="AE77" i="5" s="1"/>
  <c r="AD76" i="5"/>
  <c r="AD77" i="5" s="1"/>
  <c r="AC76" i="5"/>
  <c r="AC77" i="5" s="1"/>
  <c r="AB76" i="5"/>
  <c r="AB77" i="5" s="1"/>
  <c r="AA76" i="5"/>
  <c r="AA77" i="5" s="1"/>
  <c r="Z76" i="5"/>
  <c r="Z77" i="5" s="1"/>
  <c r="Y76" i="5"/>
  <c r="Y77" i="5" s="1"/>
  <c r="X76" i="5"/>
  <c r="X77" i="5" s="1"/>
  <c r="W76" i="5"/>
  <c r="W77" i="5" s="1"/>
  <c r="V76" i="5"/>
  <c r="V77" i="5" s="1"/>
  <c r="U76" i="5"/>
  <c r="U77" i="5" s="1"/>
  <c r="T76" i="5"/>
  <c r="T77" i="5" s="1"/>
  <c r="S76" i="5"/>
  <c r="S77" i="5" s="1"/>
  <c r="R76" i="5"/>
  <c r="R77" i="5" s="1"/>
  <c r="Q76" i="5"/>
  <c r="Q77" i="5" s="1"/>
  <c r="P76" i="5"/>
  <c r="P77" i="5" s="1"/>
  <c r="O76" i="5"/>
  <c r="O77" i="5" s="1"/>
  <c r="N76" i="5"/>
  <c r="N77" i="5" s="1"/>
  <c r="M76" i="5"/>
  <c r="M77" i="5" s="1"/>
  <c r="L76" i="5"/>
  <c r="L77" i="5" s="1"/>
  <c r="K76" i="5"/>
  <c r="K77" i="5" s="1"/>
  <c r="AH76" i="5"/>
  <c r="AH77" i="5" s="1"/>
  <c r="AG17" i="5"/>
  <c r="AG18" i="5" s="1"/>
  <c r="AF17" i="5"/>
  <c r="AF18" i="5" s="1"/>
  <c r="AE17" i="5"/>
  <c r="AE18" i="5" s="1"/>
  <c r="AD17" i="5"/>
  <c r="AD18" i="5" s="1"/>
  <c r="AC17" i="5"/>
  <c r="AC18" i="5" s="1"/>
  <c r="AB17" i="5"/>
  <c r="AB18" i="5" s="1"/>
  <c r="AA17" i="5"/>
  <c r="AA18" i="5" s="1"/>
  <c r="Z17" i="5"/>
  <c r="Z18" i="5" s="1"/>
  <c r="Y17" i="5"/>
  <c r="Y18" i="5" s="1"/>
  <c r="X17" i="5"/>
  <c r="X18" i="5" s="1"/>
  <c r="W17" i="5"/>
  <c r="W18" i="5" s="1"/>
  <c r="V17" i="5"/>
  <c r="V18" i="5" s="1"/>
  <c r="U17" i="5"/>
  <c r="U18" i="5" s="1"/>
  <c r="T17" i="5"/>
  <c r="T18" i="5" s="1"/>
  <c r="S17" i="5"/>
  <c r="S18" i="5" s="1"/>
  <c r="R17" i="5"/>
  <c r="R18" i="5" s="1"/>
  <c r="Q17" i="5"/>
  <c r="Q18" i="5" s="1"/>
  <c r="P17" i="5"/>
  <c r="P18" i="5" s="1"/>
  <c r="O17" i="5"/>
  <c r="O18" i="5" s="1"/>
  <c r="N17" i="5"/>
  <c r="N18" i="5" s="1"/>
  <c r="M17" i="5"/>
  <c r="M18" i="5" s="1"/>
  <c r="L17" i="5"/>
  <c r="L18" i="5" s="1"/>
  <c r="K17" i="5"/>
  <c r="K18" i="5" s="1"/>
  <c r="E396" i="4" l="1"/>
  <c r="D396" i="4"/>
  <c r="D406" i="4"/>
  <c r="E406" i="4"/>
  <c r="E416" i="4"/>
  <c r="D416" i="4"/>
  <c r="E426" i="4"/>
  <c r="D426" i="4"/>
  <c r="B433" i="4"/>
  <c r="D432" i="4"/>
  <c r="E432" i="4"/>
  <c r="B383" i="4"/>
  <c r="D382" i="4"/>
  <c r="E382" i="4"/>
  <c r="B373" i="4"/>
  <c r="E372" i="4"/>
  <c r="D372" i="4"/>
  <c r="B363" i="4"/>
  <c r="E362" i="4"/>
  <c r="D362" i="4"/>
  <c r="B353" i="4"/>
  <c r="E352" i="4"/>
  <c r="D352" i="4"/>
  <c r="E342" i="4"/>
  <c r="B343" i="4"/>
  <c r="D342" i="4"/>
  <c r="B333" i="4"/>
  <c r="E332" i="4"/>
  <c r="D332" i="4"/>
  <c r="C317" i="4"/>
  <c r="C318" i="4" s="1"/>
  <c r="C319" i="4" s="1"/>
  <c r="C320" i="4" s="1"/>
  <c r="B317" i="4"/>
  <c r="E317" i="4" s="1"/>
  <c r="C307" i="4"/>
  <c r="C308" i="4" s="1"/>
  <c r="C309" i="4" s="1"/>
  <c r="C310" i="4" s="1"/>
  <c r="B307" i="4"/>
  <c r="E307" i="4" s="1"/>
  <c r="C297" i="4"/>
  <c r="C298" i="4" s="1"/>
  <c r="C299" i="4" s="1"/>
  <c r="C300" i="4" s="1"/>
  <c r="B297" i="4"/>
  <c r="E297" i="4" s="1"/>
  <c r="B287" i="4"/>
  <c r="C287" i="4"/>
  <c r="C288" i="4" s="1"/>
  <c r="C289" i="4" s="1"/>
  <c r="C290" i="4" s="1"/>
  <c r="AH145" i="5"/>
  <c r="AH146" i="5" s="1"/>
  <c r="AG145" i="5"/>
  <c r="AG146" i="5" s="1"/>
  <c r="AF145" i="5"/>
  <c r="AF146" i="5" s="1"/>
  <c r="AE145" i="5"/>
  <c r="AE146" i="5" s="1"/>
  <c r="AD145" i="5"/>
  <c r="AD146" i="5" s="1"/>
  <c r="AC145" i="5"/>
  <c r="AC146" i="5" s="1"/>
  <c r="AB145" i="5"/>
  <c r="AB146" i="5" s="1"/>
  <c r="AA145" i="5"/>
  <c r="AA146" i="5" s="1"/>
  <c r="Z145" i="5"/>
  <c r="Z146" i="5" s="1"/>
  <c r="Y145" i="5"/>
  <c r="Y146" i="5" s="1"/>
  <c r="X145" i="5"/>
  <c r="X146" i="5" s="1"/>
  <c r="W145" i="5"/>
  <c r="W146" i="5" s="1"/>
  <c r="V145" i="5"/>
  <c r="V146" i="5" s="1"/>
  <c r="U145" i="5"/>
  <c r="U146" i="5" s="1"/>
  <c r="T145" i="5"/>
  <c r="T146" i="5" s="1"/>
  <c r="S145" i="5"/>
  <c r="S146" i="5" s="1"/>
  <c r="R145" i="5"/>
  <c r="R146" i="5" s="1"/>
  <c r="Q145" i="5"/>
  <c r="Q146" i="5" s="1"/>
  <c r="P145" i="5"/>
  <c r="P146" i="5" s="1"/>
  <c r="O145" i="5"/>
  <c r="O146" i="5" s="1"/>
  <c r="N145" i="5"/>
  <c r="N146" i="5" s="1"/>
  <c r="M145" i="5"/>
  <c r="M146" i="5" s="1"/>
  <c r="L145" i="5"/>
  <c r="L146" i="5" s="1"/>
  <c r="K145" i="5"/>
  <c r="K146" i="5" s="1"/>
  <c r="J145" i="5"/>
  <c r="J146" i="5" s="1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AJ136" i="5"/>
  <c r="G41" i="8"/>
  <c r="G29" i="8"/>
  <c r="D433" i="4" l="1"/>
  <c r="B434" i="4"/>
  <c r="E433" i="4"/>
  <c r="B384" i="4"/>
  <c r="E383" i="4"/>
  <c r="D383" i="4"/>
  <c r="D373" i="4"/>
  <c r="E373" i="4"/>
  <c r="B374" i="4"/>
  <c r="D363" i="4"/>
  <c r="B364" i="4"/>
  <c r="E363" i="4"/>
  <c r="B354" i="4"/>
  <c r="D353" i="4"/>
  <c r="E353" i="4"/>
  <c r="D343" i="4"/>
  <c r="B344" i="4"/>
  <c r="E343" i="4"/>
  <c r="E333" i="4"/>
  <c r="B334" i="4"/>
  <c r="D333" i="4"/>
  <c r="C311" i="4"/>
  <c r="C312" i="4" s="1"/>
  <c r="C313" i="4" s="1"/>
  <c r="C314" i="4" s="1"/>
  <c r="C315" i="4" s="1"/>
  <c r="C316" i="4" s="1"/>
  <c r="C301" i="4"/>
  <c r="C302" i="4" s="1"/>
  <c r="C303" i="4" s="1"/>
  <c r="C304" i="4" s="1"/>
  <c r="C305" i="4" s="1"/>
  <c r="C306" i="4" s="1"/>
  <c r="C321" i="4"/>
  <c r="C322" i="4" s="1"/>
  <c r="C323" i="4" s="1"/>
  <c r="C324" i="4" s="1"/>
  <c r="C325" i="4" s="1"/>
  <c r="C326" i="4" s="1"/>
  <c r="C291" i="4"/>
  <c r="C292" i="4" s="1"/>
  <c r="C293" i="4" s="1"/>
  <c r="C294" i="4" s="1"/>
  <c r="C295" i="4" s="1"/>
  <c r="C296" i="4" s="1"/>
  <c r="D287" i="4"/>
  <c r="E287" i="4"/>
  <c r="B318" i="4"/>
  <c r="D317" i="4"/>
  <c r="B298" i="4"/>
  <c r="D297" i="4"/>
  <c r="B308" i="4"/>
  <c r="D307" i="4"/>
  <c r="B288" i="4"/>
  <c r="G3" i="8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AH3" i="8" s="1"/>
  <c r="AI3" i="8" s="1"/>
  <c r="AJ3" i="8" s="1"/>
  <c r="AK3" i="8" s="1"/>
  <c r="AL3" i="8" s="1"/>
  <c r="AM3" i="8" s="1"/>
  <c r="AN3" i="8" s="1"/>
  <c r="AO3" i="8" s="1"/>
  <c r="AP3" i="8" s="1"/>
  <c r="AQ3" i="8" s="1"/>
  <c r="AR3" i="8" s="1"/>
  <c r="AS3" i="8" s="1"/>
  <c r="AT3" i="8" s="1"/>
  <c r="AU3" i="8" s="1"/>
  <c r="AV3" i="8" s="1"/>
  <c r="AW3" i="8" s="1"/>
  <c r="AX3" i="8" s="1"/>
  <c r="AY3" i="8" s="1"/>
  <c r="AZ3" i="8" s="1"/>
  <c r="BA3" i="8" s="1"/>
  <c r="BB3" i="8" s="1"/>
  <c r="BC3" i="8" s="1"/>
  <c r="BD3" i="8" s="1"/>
  <c r="C277" i="4"/>
  <c r="C278" i="4" s="1"/>
  <c r="C279" i="4" s="1"/>
  <c r="C280" i="4" s="1"/>
  <c r="B277" i="4"/>
  <c r="E277" i="4" s="1"/>
  <c r="C267" i="4"/>
  <c r="C268" i="4" s="1"/>
  <c r="C269" i="4" s="1"/>
  <c r="C270" i="4" s="1"/>
  <c r="B267" i="4"/>
  <c r="C257" i="4"/>
  <c r="C258" i="4" s="1"/>
  <c r="C259" i="4" s="1"/>
  <c r="C260" i="4" s="1"/>
  <c r="B257" i="4"/>
  <c r="C247" i="4"/>
  <c r="C248" i="4" s="1"/>
  <c r="C249" i="4" s="1"/>
  <c r="C250" i="4" s="1"/>
  <c r="B247" i="4"/>
  <c r="E247" i="4" s="1"/>
  <c r="C237" i="4"/>
  <c r="C238" i="4" s="1"/>
  <c r="C239" i="4" s="1"/>
  <c r="C240" i="4" s="1"/>
  <c r="B237" i="4"/>
  <c r="C227" i="4"/>
  <c r="C228" i="4" s="1"/>
  <c r="C229" i="4" s="1"/>
  <c r="C230" i="4" s="1"/>
  <c r="B227" i="4"/>
  <c r="E227" i="4" s="1"/>
  <c r="C217" i="4"/>
  <c r="C218" i="4" s="1"/>
  <c r="C219" i="4" s="1"/>
  <c r="C220" i="4" s="1"/>
  <c r="B217" i="4"/>
  <c r="E217" i="4" s="1"/>
  <c r="C207" i="4"/>
  <c r="C208" i="4" s="1"/>
  <c r="C209" i="4" s="1"/>
  <c r="C210" i="4" s="1"/>
  <c r="B207" i="4"/>
  <c r="E207" i="4" s="1"/>
  <c r="C197" i="4"/>
  <c r="C198" i="4" s="1"/>
  <c r="C199" i="4" s="1"/>
  <c r="C200" i="4" s="1"/>
  <c r="B197" i="4"/>
  <c r="E197" i="4" s="1"/>
  <c r="C187" i="4"/>
  <c r="C188" i="4" s="1"/>
  <c r="C189" i="4" s="1"/>
  <c r="C190" i="4" s="1"/>
  <c r="B187" i="4"/>
  <c r="E187" i="4" s="1"/>
  <c r="C177" i="4"/>
  <c r="C178" i="4" s="1"/>
  <c r="C179" i="4" s="1"/>
  <c r="C180" i="4" s="1"/>
  <c r="B177" i="4"/>
  <c r="E177" i="4" s="1"/>
  <c r="C167" i="4"/>
  <c r="C168" i="4" s="1"/>
  <c r="C169" i="4" s="1"/>
  <c r="C170" i="4" s="1"/>
  <c r="B167" i="4"/>
  <c r="E167" i="4" s="1"/>
  <c r="C157" i="4"/>
  <c r="C158" i="4" s="1"/>
  <c r="C159" i="4" s="1"/>
  <c r="C160" i="4" s="1"/>
  <c r="B157" i="4"/>
  <c r="E157" i="4" s="1"/>
  <c r="C147" i="4"/>
  <c r="C148" i="4" s="1"/>
  <c r="C149" i="4" s="1"/>
  <c r="C150" i="4" s="1"/>
  <c r="B147" i="4"/>
  <c r="E147" i="4" s="1"/>
  <c r="E4" i="5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BD4" i="5" s="1"/>
  <c r="E3" i="5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435" i="4" l="1"/>
  <c r="E434" i="4"/>
  <c r="D434" i="4"/>
  <c r="E384" i="4"/>
  <c r="D384" i="4"/>
  <c r="B385" i="4"/>
  <c r="B375" i="4"/>
  <c r="E374" i="4"/>
  <c r="D374" i="4"/>
  <c r="B365" i="4"/>
  <c r="E364" i="4"/>
  <c r="D364" i="4"/>
  <c r="E354" i="4"/>
  <c r="D354" i="4"/>
  <c r="B355" i="4"/>
  <c r="B345" i="4"/>
  <c r="D344" i="4"/>
  <c r="E344" i="4"/>
  <c r="E334" i="4"/>
  <c r="D334" i="4"/>
  <c r="B335" i="4"/>
  <c r="C181" i="4"/>
  <c r="C182" i="4" s="1"/>
  <c r="C183" i="4" s="1"/>
  <c r="C184" i="4" s="1"/>
  <c r="C185" i="4" s="1"/>
  <c r="C186" i="4" s="1"/>
  <c r="C151" i="4"/>
  <c r="C152" i="4" s="1"/>
  <c r="C153" i="4" s="1"/>
  <c r="C154" i="4" s="1"/>
  <c r="C155" i="4" s="1"/>
  <c r="C156" i="4" s="1"/>
  <c r="C251" i="4"/>
  <c r="C252" i="4" s="1"/>
  <c r="C253" i="4" s="1"/>
  <c r="C254" i="4" s="1"/>
  <c r="C255" i="4" s="1"/>
  <c r="C256" i="4" s="1"/>
  <c r="C191" i="4"/>
  <c r="C192" i="4" s="1"/>
  <c r="C193" i="4" s="1"/>
  <c r="C194" i="4" s="1"/>
  <c r="C195" i="4" s="1"/>
  <c r="C196" i="4" s="1"/>
  <c r="C221" i="4"/>
  <c r="C222" i="4" s="1"/>
  <c r="C223" i="4" s="1"/>
  <c r="C224" i="4" s="1"/>
  <c r="C225" i="4" s="1"/>
  <c r="C226" i="4" s="1"/>
  <c r="C161" i="4"/>
  <c r="C162" i="4" s="1"/>
  <c r="C163" i="4" s="1"/>
  <c r="C164" i="4" s="1"/>
  <c r="C165" i="4" s="1"/>
  <c r="C166" i="4" s="1"/>
  <c r="C261" i="4"/>
  <c r="C262" i="4" s="1"/>
  <c r="C263" i="4" s="1"/>
  <c r="C264" i="4" s="1"/>
  <c r="C265" i="4" s="1"/>
  <c r="C266" i="4" s="1"/>
  <c r="C171" i="4"/>
  <c r="C172" i="4" s="1"/>
  <c r="C173" i="4" s="1"/>
  <c r="C174" i="4" s="1"/>
  <c r="C175" i="4" s="1"/>
  <c r="C176" i="4" s="1"/>
  <c r="C201" i="4"/>
  <c r="C202" i="4" s="1"/>
  <c r="C203" i="4" s="1"/>
  <c r="C204" i="4" s="1"/>
  <c r="C205" i="4" s="1"/>
  <c r="C206" i="4" s="1"/>
  <c r="C231" i="4"/>
  <c r="C232" i="4" s="1"/>
  <c r="C233" i="4" s="1"/>
  <c r="C234" i="4" s="1"/>
  <c r="C235" i="4" s="1"/>
  <c r="C236" i="4" s="1"/>
  <c r="C271" i="4"/>
  <c r="C272" i="4" s="1"/>
  <c r="C273" i="4" s="1"/>
  <c r="C274" i="4" s="1"/>
  <c r="C275" i="4" s="1"/>
  <c r="C276" i="4" s="1"/>
  <c r="C211" i="4"/>
  <c r="C212" i="4" s="1"/>
  <c r="C213" i="4" s="1"/>
  <c r="C214" i="4" s="1"/>
  <c r="C215" i="4" s="1"/>
  <c r="C216" i="4" s="1"/>
  <c r="C241" i="4"/>
  <c r="C242" i="4" s="1"/>
  <c r="C243" i="4" s="1"/>
  <c r="C244" i="4" s="1"/>
  <c r="C245" i="4" s="1"/>
  <c r="C246" i="4" s="1"/>
  <c r="C281" i="4"/>
  <c r="C282" i="4" s="1"/>
  <c r="C283" i="4" s="1"/>
  <c r="C284" i="4" s="1"/>
  <c r="C285" i="4" s="1"/>
  <c r="C286" i="4" s="1"/>
  <c r="D187" i="4"/>
  <c r="D217" i="4"/>
  <c r="D257" i="4"/>
  <c r="E257" i="4"/>
  <c r="D288" i="4"/>
  <c r="E288" i="4"/>
  <c r="D177" i="4"/>
  <c r="D308" i="4"/>
  <c r="E308" i="4"/>
  <c r="D227" i="4"/>
  <c r="D267" i="4"/>
  <c r="E267" i="4"/>
  <c r="D318" i="4"/>
  <c r="E318" i="4"/>
  <c r="D237" i="4"/>
  <c r="E237" i="4"/>
  <c r="D298" i="4"/>
  <c r="E298" i="4"/>
  <c r="B299" i="4"/>
  <c r="B300" i="4" s="1"/>
  <c r="B309" i="4"/>
  <c r="B319" i="4"/>
  <c r="B208" i="4"/>
  <c r="E208" i="4" s="1"/>
  <c r="D207" i="4"/>
  <c r="B278" i="4"/>
  <c r="D277" i="4"/>
  <c r="B148" i="4"/>
  <c r="E148" i="4" s="1"/>
  <c r="D147" i="4"/>
  <c r="B248" i="4"/>
  <c r="D247" i="4"/>
  <c r="B158" i="4"/>
  <c r="E158" i="4" s="1"/>
  <c r="D157" i="4"/>
  <c r="B168" i="4"/>
  <c r="E168" i="4" s="1"/>
  <c r="D167" i="4"/>
  <c r="D197" i="4"/>
  <c r="B289" i="4"/>
  <c r="E289" i="4" s="1"/>
  <c r="B188" i="4"/>
  <c r="E188" i="4" s="1"/>
  <c r="B268" i="4"/>
  <c r="B198" i="4"/>
  <c r="E198" i="4" s="1"/>
  <c r="B258" i="4"/>
  <c r="B238" i="4"/>
  <c r="B228" i="4"/>
  <c r="E228" i="4" s="1"/>
  <c r="B218" i="4"/>
  <c r="E218" i="4" s="1"/>
  <c r="B178" i="4"/>
  <c r="E178" i="4" s="1"/>
  <c r="B436" i="4" l="1"/>
  <c r="E435" i="4"/>
  <c r="D435" i="4"/>
  <c r="B386" i="4"/>
  <c r="E385" i="4"/>
  <c r="D385" i="4"/>
  <c r="B376" i="4"/>
  <c r="D375" i="4"/>
  <c r="E375" i="4"/>
  <c r="B366" i="4"/>
  <c r="D365" i="4"/>
  <c r="E365" i="4"/>
  <c r="B356" i="4"/>
  <c r="E355" i="4"/>
  <c r="D355" i="4"/>
  <c r="B346" i="4"/>
  <c r="E345" i="4"/>
  <c r="D345" i="4"/>
  <c r="B336" i="4"/>
  <c r="E335" i="4"/>
  <c r="D335" i="4"/>
  <c r="D309" i="4"/>
  <c r="E309" i="4"/>
  <c r="D228" i="4"/>
  <c r="D300" i="4"/>
  <c r="E300" i="4"/>
  <c r="D278" i="4"/>
  <c r="E278" i="4"/>
  <c r="B209" i="4"/>
  <c r="E209" i="4" s="1"/>
  <c r="D178" i="4"/>
  <c r="D238" i="4"/>
  <c r="E238" i="4"/>
  <c r="D248" i="4"/>
  <c r="E248" i="4"/>
  <c r="D299" i="4"/>
  <c r="E299" i="4"/>
  <c r="D258" i="4"/>
  <c r="E258" i="4"/>
  <c r="D168" i="4"/>
  <c r="D158" i="4"/>
  <c r="D319" i="4"/>
  <c r="E319" i="4"/>
  <c r="D218" i="4"/>
  <c r="D268" i="4"/>
  <c r="E268" i="4"/>
  <c r="D148" i="4"/>
  <c r="B310" i="4"/>
  <c r="B249" i="4"/>
  <c r="B169" i="4"/>
  <c r="E169" i="4" s="1"/>
  <c r="B320" i="4"/>
  <c r="B159" i="4"/>
  <c r="E159" i="4" s="1"/>
  <c r="B149" i="4"/>
  <c r="E149" i="4" s="1"/>
  <c r="B279" i="4"/>
  <c r="D198" i="4"/>
  <c r="D208" i="4"/>
  <c r="B290" i="4"/>
  <c r="D289" i="4"/>
  <c r="B189" i="4"/>
  <c r="E189" i="4" s="1"/>
  <c r="D188" i="4"/>
  <c r="B301" i="4"/>
  <c r="B269" i="4"/>
  <c r="E269" i="4" s="1"/>
  <c r="B199" i="4"/>
  <c r="E199" i="4" s="1"/>
  <c r="B229" i="4"/>
  <c r="E229" i="4" s="1"/>
  <c r="B259" i="4"/>
  <c r="B219" i="4"/>
  <c r="E219" i="4" s="1"/>
  <c r="B239" i="4"/>
  <c r="B179" i="4"/>
  <c r="E179" i="4" s="1"/>
  <c r="E436" i="4" l="1"/>
  <c r="D436" i="4"/>
  <c r="E386" i="4"/>
  <c r="D386" i="4"/>
  <c r="E376" i="4"/>
  <c r="D376" i="4"/>
  <c r="E366" i="4"/>
  <c r="D366" i="4"/>
  <c r="E356" i="4"/>
  <c r="D356" i="4"/>
  <c r="E346" i="4"/>
  <c r="D346" i="4"/>
  <c r="E336" i="4"/>
  <c r="D336" i="4"/>
  <c r="B210" i="4"/>
  <c r="E210" i="4" s="1"/>
  <c r="D209" i="4"/>
  <c r="D279" i="4"/>
  <c r="E279" i="4"/>
  <c r="D179" i="4"/>
  <c r="D149" i="4"/>
  <c r="D320" i="4"/>
  <c r="E320" i="4"/>
  <c r="D199" i="4"/>
  <c r="D189" i="4"/>
  <c r="D310" i="4"/>
  <c r="E310" i="4"/>
  <c r="D239" i="4"/>
  <c r="E239" i="4"/>
  <c r="D301" i="4"/>
  <c r="E301" i="4"/>
  <c r="D290" i="4"/>
  <c r="E290" i="4"/>
  <c r="B170" i="4"/>
  <c r="E170" i="4" s="1"/>
  <c r="D249" i="4"/>
  <c r="E249" i="4"/>
  <c r="D259" i="4"/>
  <c r="E259" i="4"/>
  <c r="D229" i="4"/>
  <c r="D159" i="4"/>
  <c r="B250" i="4"/>
  <c r="B251" i="4" s="1"/>
  <c r="D169" i="4"/>
  <c r="B311" i="4"/>
  <c r="B280" i="4"/>
  <c r="B321" i="4"/>
  <c r="B150" i="4"/>
  <c r="E150" i="4" s="1"/>
  <c r="B160" i="4"/>
  <c r="E160" i="4" s="1"/>
  <c r="B190" i="4"/>
  <c r="E190" i="4" s="1"/>
  <c r="B291" i="4"/>
  <c r="B220" i="4"/>
  <c r="E220" i="4" s="1"/>
  <c r="D219" i="4"/>
  <c r="B270" i="4"/>
  <c r="D269" i="4"/>
  <c r="B302" i="4"/>
  <c r="B200" i="4"/>
  <c r="E200" i="4" s="1"/>
  <c r="B260" i="4"/>
  <c r="E260" i="4" s="1"/>
  <c r="B230" i="4"/>
  <c r="E230" i="4" s="1"/>
  <c r="B240" i="4"/>
  <c r="B180" i="4"/>
  <c r="E180" i="4" s="1"/>
  <c r="B211" i="4" l="1"/>
  <c r="E211" i="4" s="1"/>
  <c r="D210" i="4"/>
  <c r="D251" i="4"/>
  <c r="E251" i="4"/>
  <c r="D160" i="4"/>
  <c r="D291" i="4"/>
  <c r="E291" i="4"/>
  <c r="D220" i="4"/>
  <c r="D170" i="4"/>
  <c r="D150" i="4"/>
  <c r="D180" i="4"/>
  <c r="D302" i="4"/>
  <c r="E302" i="4"/>
  <c r="B171" i="4"/>
  <c r="E171" i="4" s="1"/>
  <c r="D321" i="4"/>
  <c r="E321" i="4"/>
  <c r="D250" i="4"/>
  <c r="E250" i="4"/>
  <c r="D311" i="4"/>
  <c r="E311" i="4"/>
  <c r="D240" i="4"/>
  <c r="E240" i="4"/>
  <c r="D270" i="4"/>
  <c r="E270" i="4"/>
  <c r="B191" i="4"/>
  <c r="E191" i="4" s="1"/>
  <c r="D280" i="4"/>
  <c r="E280" i="4"/>
  <c r="B312" i="4"/>
  <c r="B322" i="4"/>
  <c r="B281" i="4"/>
  <c r="B161" i="4"/>
  <c r="E161" i="4" s="1"/>
  <c r="B151" i="4"/>
  <c r="E151" i="4" s="1"/>
  <c r="B221" i="4"/>
  <c r="E221" i="4" s="1"/>
  <c r="D190" i="4"/>
  <c r="B292" i="4"/>
  <c r="B271" i="4"/>
  <c r="D230" i="4"/>
  <c r="B261" i="4"/>
  <c r="D260" i="4"/>
  <c r="D200" i="4"/>
  <c r="B303" i="4"/>
  <c r="B231" i="4"/>
  <c r="E231" i="4" s="1"/>
  <c r="B201" i="4"/>
  <c r="E201" i="4" s="1"/>
  <c r="B241" i="4"/>
  <c r="B252" i="4"/>
  <c r="B181" i="4"/>
  <c r="E181" i="4" s="1"/>
  <c r="C7" i="4"/>
  <c r="D211" i="4" l="1"/>
  <c r="B212" i="4"/>
  <c r="E212" i="4" s="1"/>
  <c r="B192" i="4"/>
  <c r="E192" i="4" s="1"/>
  <c r="B172" i="4"/>
  <c r="E172" i="4" s="1"/>
  <c r="D271" i="4"/>
  <c r="E271" i="4"/>
  <c r="D252" i="4"/>
  <c r="E252" i="4"/>
  <c r="D322" i="4"/>
  <c r="E322" i="4"/>
  <c r="D241" i="4"/>
  <c r="E241" i="4"/>
  <c r="D181" i="4"/>
  <c r="D303" i="4"/>
  <c r="E303" i="4"/>
  <c r="D151" i="4"/>
  <c r="D312" i="4"/>
  <c r="E312" i="4"/>
  <c r="D171" i="4"/>
  <c r="D221" i="4"/>
  <c r="D161" i="4"/>
  <c r="D292" i="4"/>
  <c r="E292" i="4"/>
  <c r="D261" i="4"/>
  <c r="E261" i="4"/>
  <c r="D281" i="4"/>
  <c r="E281" i="4"/>
  <c r="D191" i="4"/>
  <c r="B313" i="4"/>
  <c r="B162" i="4"/>
  <c r="E162" i="4" s="1"/>
  <c r="B323" i="4"/>
  <c r="B282" i="4"/>
  <c r="B152" i="4"/>
  <c r="E152" i="4" s="1"/>
  <c r="B222" i="4"/>
  <c r="E222" i="4" s="1"/>
  <c r="B272" i="4"/>
  <c r="B293" i="4"/>
  <c r="B262" i="4"/>
  <c r="B202" i="4"/>
  <c r="E202" i="4" s="1"/>
  <c r="D201" i="4"/>
  <c r="D231" i="4"/>
  <c r="B304" i="4"/>
  <c r="B232" i="4"/>
  <c r="E232" i="4" s="1"/>
  <c r="B242" i="4"/>
  <c r="B182" i="4"/>
  <c r="E182" i="4" s="1"/>
  <c r="B253" i="4"/>
  <c r="C8" i="4"/>
  <c r="D192" i="4" l="1"/>
  <c r="B173" i="4"/>
  <c r="E173" i="4" s="1"/>
  <c r="D172" i="4"/>
  <c r="D212" i="4"/>
  <c r="B213" i="4"/>
  <c r="E213" i="4" s="1"/>
  <c r="B193" i="4"/>
  <c r="E193" i="4" s="1"/>
  <c r="D253" i="4"/>
  <c r="E253" i="4"/>
  <c r="D313" i="4"/>
  <c r="E313" i="4"/>
  <c r="D272" i="4"/>
  <c r="E272" i="4"/>
  <c r="D282" i="4"/>
  <c r="E282" i="4"/>
  <c r="D304" i="4"/>
  <c r="E304" i="4"/>
  <c r="D182" i="4"/>
  <c r="D242" i="4"/>
  <c r="E242" i="4"/>
  <c r="D202" i="4"/>
  <c r="D262" i="4"/>
  <c r="E262" i="4"/>
  <c r="D222" i="4"/>
  <c r="D323" i="4"/>
  <c r="E323" i="4"/>
  <c r="D152" i="4"/>
  <c r="D162" i="4"/>
  <c r="D293" i="4"/>
  <c r="E293" i="4"/>
  <c r="B314" i="4"/>
  <c r="B163" i="4"/>
  <c r="E163" i="4" s="1"/>
  <c r="B283" i="4"/>
  <c r="B324" i="4"/>
  <c r="B223" i="4"/>
  <c r="E223" i="4" s="1"/>
  <c r="B153" i="4"/>
  <c r="E153" i="4" s="1"/>
  <c r="B294" i="4"/>
  <c r="B273" i="4"/>
  <c r="B263" i="4"/>
  <c r="B203" i="4"/>
  <c r="E203" i="4" s="1"/>
  <c r="B233" i="4"/>
  <c r="E233" i="4" s="1"/>
  <c r="D232" i="4"/>
  <c r="B305" i="4"/>
  <c r="B243" i="4"/>
  <c r="B254" i="4"/>
  <c r="B183" i="4"/>
  <c r="E183" i="4" s="1"/>
  <c r="C9" i="4"/>
  <c r="D213" i="4" l="1"/>
  <c r="B174" i="4"/>
  <c r="E174" i="4" s="1"/>
  <c r="B214" i="4"/>
  <c r="E214" i="4" s="1"/>
  <c r="D173" i="4"/>
  <c r="D193" i="4"/>
  <c r="B194" i="4"/>
  <c r="E194" i="4" s="1"/>
  <c r="D294" i="4"/>
  <c r="E294" i="4"/>
  <c r="D324" i="4"/>
  <c r="E324" i="4"/>
  <c r="D233" i="4"/>
  <c r="D283" i="4"/>
  <c r="E283" i="4"/>
  <c r="D273" i="4"/>
  <c r="E273" i="4"/>
  <c r="D254" i="4"/>
  <c r="E254" i="4"/>
  <c r="D203" i="4"/>
  <c r="D183" i="4"/>
  <c r="D243" i="4"/>
  <c r="E243" i="4"/>
  <c r="D153" i="4"/>
  <c r="D163" i="4"/>
  <c r="D305" i="4"/>
  <c r="E305" i="4"/>
  <c r="D263" i="4"/>
  <c r="E263" i="4"/>
  <c r="D223" i="4"/>
  <c r="D314" i="4"/>
  <c r="E314" i="4"/>
  <c r="B164" i="4"/>
  <c r="E164" i="4" s="1"/>
  <c r="B315" i="4"/>
  <c r="B316" i="4" s="1"/>
  <c r="B284" i="4"/>
  <c r="B325" i="4"/>
  <c r="B154" i="4"/>
  <c r="E154" i="4" s="1"/>
  <c r="B224" i="4"/>
  <c r="E224" i="4" s="1"/>
  <c r="B295" i="4"/>
  <c r="B274" i="4"/>
  <c r="B204" i="4"/>
  <c r="E204" i="4" s="1"/>
  <c r="B264" i="4"/>
  <c r="B234" i="4"/>
  <c r="E234" i="4" s="1"/>
  <c r="B306" i="4"/>
  <c r="B244" i="4"/>
  <c r="B255" i="4"/>
  <c r="B184" i="4"/>
  <c r="E184" i="4" s="1"/>
  <c r="C10" i="4"/>
  <c r="D174" i="4" l="1"/>
  <c r="B215" i="4"/>
  <c r="E215" i="4" s="1"/>
  <c r="B175" i="4"/>
  <c r="E175" i="4" s="1"/>
  <c r="D214" i="4"/>
  <c r="D194" i="4"/>
  <c r="B195" i="4"/>
  <c r="E195" i="4" s="1"/>
  <c r="B165" i="4"/>
  <c r="E165" i="4" s="1"/>
  <c r="D306" i="4"/>
  <c r="E306" i="4"/>
  <c r="D224" i="4"/>
  <c r="D315" i="4"/>
  <c r="E315" i="4"/>
  <c r="D154" i="4"/>
  <c r="D164" i="4"/>
  <c r="D244" i="4"/>
  <c r="E244" i="4"/>
  <c r="D274" i="4"/>
  <c r="E274" i="4"/>
  <c r="D264" i="4"/>
  <c r="E264" i="4"/>
  <c r="D184" i="4"/>
  <c r="D316" i="4"/>
  <c r="E316" i="4"/>
  <c r="D295" i="4"/>
  <c r="E295" i="4"/>
  <c r="D325" i="4"/>
  <c r="E325" i="4"/>
  <c r="D255" i="4"/>
  <c r="E255" i="4"/>
  <c r="D234" i="4"/>
  <c r="D284" i="4"/>
  <c r="E284" i="4"/>
  <c r="B285" i="4"/>
  <c r="B326" i="4"/>
  <c r="B155" i="4"/>
  <c r="E155" i="4" s="1"/>
  <c r="B225" i="4"/>
  <c r="E225" i="4" s="1"/>
  <c r="B296" i="4"/>
  <c r="B275" i="4"/>
  <c r="D204" i="4"/>
  <c r="B205" i="4"/>
  <c r="E205" i="4" s="1"/>
  <c r="B235" i="4"/>
  <c r="E235" i="4" s="1"/>
  <c r="B265" i="4"/>
  <c r="B245" i="4"/>
  <c r="B256" i="4"/>
  <c r="B185" i="4"/>
  <c r="E185" i="4" s="1"/>
  <c r="C11" i="4"/>
  <c r="D175" i="4" l="1"/>
  <c r="D215" i="4"/>
  <c r="B216" i="4"/>
  <c r="E216" i="4" s="1"/>
  <c r="B176" i="4"/>
  <c r="E176" i="4" s="1"/>
  <c r="B166" i="4"/>
  <c r="E166" i="4" s="1"/>
  <c r="B196" i="4"/>
  <c r="E196" i="4" s="1"/>
  <c r="D165" i="4"/>
  <c r="D195" i="4"/>
  <c r="D275" i="4"/>
  <c r="E275" i="4"/>
  <c r="D185" i="4"/>
  <c r="D155" i="4"/>
  <c r="D256" i="4"/>
  <c r="E256" i="4"/>
  <c r="D296" i="4"/>
  <c r="E296" i="4"/>
  <c r="D326" i="4"/>
  <c r="E326" i="4"/>
  <c r="D245" i="4"/>
  <c r="E245" i="4"/>
  <c r="D265" i="4"/>
  <c r="E265" i="4"/>
  <c r="D285" i="4"/>
  <c r="E285" i="4"/>
  <c r="D235" i="4"/>
  <c r="B206" i="4"/>
  <c r="E206" i="4" s="1"/>
  <c r="D225" i="4"/>
  <c r="B286" i="4"/>
  <c r="B226" i="4"/>
  <c r="E226" i="4" s="1"/>
  <c r="B156" i="4"/>
  <c r="E156" i="4" s="1"/>
  <c r="B276" i="4"/>
  <c r="B266" i="4"/>
  <c r="D205" i="4"/>
  <c r="B236" i="4"/>
  <c r="E236" i="4" s="1"/>
  <c r="B246" i="4"/>
  <c r="B186" i="4"/>
  <c r="E186" i="4" s="1"/>
  <c r="C12" i="4"/>
  <c r="D216" i="4" l="1"/>
  <c r="D176" i="4"/>
  <c r="D196" i="4"/>
  <c r="D166" i="4"/>
  <c r="D286" i="4"/>
  <c r="E286" i="4"/>
  <c r="D186" i="4"/>
  <c r="D226" i="4"/>
  <c r="D236" i="4"/>
  <c r="D246" i="4"/>
  <c r="E246" i="4"/>
  <c r="D266" i="4"/>
  <c r="E266" i="4"/>
  <c r="D276" i="4"/>
  <c r="E276" i="4"/>
  <c r="D156" i="4"/>
  <c r="D206" i="4"/>
  <c r="C13" i="4"/>
  <c r="C14" i="4" l="1"/>
  <c r="C15" i="4" l="1"/>
  <c r="C16" i="4" s="1"/>
  <c r="C17" i="4" s="1"/>
  <c r="C18" i="4" s="1"/>
  <c r="C19" i="4" s="1"/>
  <c r="C20" i="4" s="1"/>
  <c r="C21" i="4" l="1"/>
  <c r="C22" i="4" s="1"/>
  <c r="C23" i="4" s="1"/>
  <c r="C24" i="4" s="1"/>
  <c r="C25" i="4" s="1"/>
  <c r="C26" i="4" l="1"/>
  <c r="C27" i="4" s="1"/>
  <c r="C28" i="4" s="1"/>
  <c r="C29" i="4" s="1"/>
  <c r="C30" i="4" s="1"/>
  <c r="C31" i="4" l="1"/>
  <c r="C32" i="4" s="1"/>
  <c r="C33" i="4" s="1"/>
  <c r="C34" i="4" s="1"/>
  <c r="C35" i="4" s="1"/>
  <c r="C36" i="4" s="1"/>
  <c r="C37" i="4" l="1"/>
  <c r="C38" i="4" s="1"/>
  <c r="C39" i="4" s="1"/>
  <c r="C40" i="4" s="1"/>
  <c r="C41" i="4" l="1"/>
  <c r="C42" i="4" s="1"/>
  <c r="C43" i="4" s="1"/>
  <c r="C44" i="4" s="1"/>
  <c r="C45" i="4" s="1"/>
  <c r="C46" i="4" s="1"/>
  <c r="C57" i="4" l="1"/>
  <c r="C58" i="4" s="1"/>
  <c r="C59" i="4" s="1"/>
  <c r="C60" i="4" s="1"/>
  <c r="C61" i="4" l="1"/>
  <c r="C62" i="4" s="1"/>
  <c r="C63" i="4" s="1"/>
  <c r="C64" i="4" s="1"/>
  <c r="C65" i="4" s="1"/>
  <c r="C66" i="4" s="1"/>
  <c r="C67" i="4" s="1"/>
  <c r="C68" i="4" s="1"/>
  <c r="C69" i="4" s="1"/>
  <c r="C70" i="4" s="1"/>
  <c r="C71" i="4" l="1"/>
  <c r="C72" i="4" s="1"/>
  <c r="C73" i="4" s="1"/>
  <c r="C74" i="4" s="1"/>
  <c r="C75" i="4" s="1"/>
  <c r="C76" i="4" s="1"/>
  <c r="C77" i="4" l="1"/>
  <c r="C78" i="4" s="1"/>
  <c r="C79" i="4" s="1"/>
  <c r="C80" i="4" s="1"/>
  <c r="B37" i="4"/>
  <c r="E37" i="4" s="1"/>
  <c r="D37" i="4" l="1"/>
  <c r="C81" i="4"/>
  <c r="C82" i="4" s="1"/>
  <c r="C83" i="4" s="1"/>
  <c r="C84" i="4" s="1"/>
  <c r="C85" i="4" s="1"/>
  <c r="C86" i="4" s="1"/>
  <c r="C87" i="4" s="1"/>
  <c r="C88" i="4" s="1"/>
  <c r="C89" i="4" s="1"/>
  <c r="C90" i="4" s="1"/>
  <c r="B38" i="4"/>
  <c r="E38" i="4" s="1"/>
  <c r="D38" i="4" l="1"/>
  <c r="C91" i="4"/>
  <c r="C92" i="4" s="1"/>
  <c r="C93" i="4" s="1"/>
  <c r="C94" i="4" s="1"/>
  <c r="C95" i="4" s="1"/>
  <c r="C96" i="4" s="1"/>
  <c r="B39" i="4"/>
  <c r="E39" i="4" s="1"/>
  <c r="D39" i="4" l="1"/>
  <c r="B40" i="4"/>
  <c r="E40" i="4" s="1"/>
  <c r="D40" i="4" l="1"/>
  <c r="C97" i="4"/>
  <c r="C98" i="4" s="1"/>
  <c r="C99" i="4" s="1"/>
  <c r="C100" i="4" s="1"/>
  <c r="B41" i="4"/>
  <c r="E41" i="4" s="1"/>
  <c r="D41" i="4" l="1"/>
  <c r="C101" i="4"/>
  <c r="C102" i="4" s="1"/>
  <c r="C103" i="4" s="1"/>
  <c r="C104" i="4" s="1"/>
  <c r="C105" i="4" s="1"/>
  <c r="C106" i="4" s="1"/>
  <c r="C107" i="4" s="1"/>
  <c r="C108" i="4" s="1"/>
  <c r="C109" i="4" s="1"/>
  <c r="C110" i="4" s="1"/>
  <c r="B42" i="4"/>
  <c r="E42" i="4" s="1"/>
  <c r="D42" i="4" l="1"/>
  <c r="C111" i="4"/>
  <c r="C112" i="4" s="1"/>
  <c r="C113" i="4" s="1"/>
  <c r="C114" i="4" s="1"/>
  <c r="C115" i="4" s="1"/>
  <c r="C116" i="4" s="1"/>
  <c r="B43" i="4"/>
  <c r="E43" i="4" s="1"/>
  <c r="D43" i="4" l="1"/>
  <c r="B44" i="4"/>
  <c r="E44" i="4" s="1"/>
  <c r="D44" i="4" l="1"/>
  <c r="C117" i="4"/>
  <c r="C118" i="4" s="1"/>
  <c r="C119" i="4" s="1"/>
  <c r="C120" i="4" s="1"/>
  <c r="B45" i="4"/>
  <c r="E45" i="4" l="1"/>
  <c r="B46" i="4"/>
  <c r="D45" i="4"/>
  <c r="C121" i="4"/>
  <c r="C122" i="4" s="1"/>
  <c r="C123" i="4" s="1"/>
  <c r="C124" i="4" s="1"/>
  <c r="C125" i="4" s="1"/>
  <c r="C126" i="4" s="1"/>
  <c r="C127" i="4" s="1"/>
  <c r="C128" i="4" s="1"/>
  <c r="C129" i="4" s="1"/>
  <c r="C130" i="4" s="1"/>
  <c r="D46" i="4" l="1"/>
  <c r="E46" i="4"/>
  <c r="C131" i="4"/>
  <c r="C132" i="4" s="1"/>
  <c r="C133" i="4" s="1"/>
  <c r="C134" i="4" s="1"/>
  <c r="C135" i="4" s="1"/>
  <c r="C136" i="4" s="1"/>
  <c r="C137" i="4" s="1"/>
  <c r="C138" i="4" s="1"/>
  <c r="C139" i="4" s="1"/>
  <c r="C140" i="4" s="1"/>
  <c r="C141" i="4" l="1"/>
  <c r="C142" i="4" s="1"/>
  <c r="C143" i="4" s="1"/>
  <c r="C144" i="4" s="1"/>
  <c r="C145" i="4" s="1"/>
  <c r="C146" i="4" s="1"/>
  <c r="E56" i="4" l="1"/>
  <c r="D56" i="4" l="1"/>
  <c r="B7" i="4"/>
  <c r="E7" i="4" s="1"/>
  <c r="D7" i="4" l="1"/>
  <c r="B8" i="4"/>
  <c r="E8" i="4" s="1"/>
  <c r="D8" i="4" l="1"/>
  <c r="B9" i="4"/>
  <c r="E9" i="4" s="1"/>
  <c r="D9" i="4" l="1"/>
  <c r="B10" i="4"/>
  <c r="E10" i="4" s="1"/>
  <c r="D10" i="4" l="1"/>
  <c r="B11" i="4"/>
  <c r="E11" i="4" s="1"/>
  <c r="D11" i="4" l="1"/>
  <c r="B12" i="4"/>
  <c r="E12" i="4" s="1"/>
  <c r="D12" i="4" l="1"/>
  <c r="B13" i="4"/>
  <c r="E13" i="4" l="1"/>
  <c r="D13" i="4"/>
  <c r="B14" i="4"/>
  <c r="E14" i="4" s="1"/>
  <c r="D14" i="4" l="1"/>
  <c r="B15" i="4"/>
  <c r="E15" i="4" l="1"/>
  <c r="D15" i="4"/>
  <c r="B16" i="4"/>
  <c r="E16" i="4" l="1"/>
  <c r="D16" i="4"/>
  <c r="B17" i="4"/>
  <c r="E17" i="4" s="1"/>
  <c r="D17" i="4" l="1"/>
  <c r="B18" i="4"/>
  <c r="E18" i="4" l="1"/>
  <c r="D18" i="4"/>
  <c r="B19" i="4"/>
  <c r="E19" i="4" l="1"/>
  <c r="D19" i="4"/>
  <c r="B20" i="4"/>
  <c r="E20" i="4" l="1"/>
  <c r="D20" i="4"/>
  <c r="B21" i="4"/>
  <c r="E21" i="4" s="1"/>
  <c r="D21" i="4" l="1"/>
  <c r="B22" i="4"/>
  <c r="E22" i="4" s="1"/>
  <c r="D22" i="4" l="1"/>
  <c r="B23" i="4"/>
  <c r="E23" i="4" s="1"/>
  <c r="D23" i="4" l="1"/>
  <c r="B24" i="4"/>
  <c r="E24" i="4" s="1"/>
  <c r="D24" i="4" l="1"/>
  <c r="B25" i="4"/>
  <c r="E25" i="4" s="1"/>
  <c r="D25" i="4" l="1"/>
  <c r="B26" i="4"/>
  <c r="E26" i="4" s="1"/>
  <c r="D26" i="4" l="1"/>
  <c r="B27" i="4"/>
  <c r="E27" i="4" s="1"/>
  <c r="B57" i="4"/>
  <c r="E57" i="4" s="1"/>
  <c r="D57" i="4" l="1"/>
  <c r="D27" i="4"/>
  <c r="B28" i="4"/>
  <c r="E28" i="4" s="1"/>
  <c r="B58" i="4"/>
  <c r="E58" i="4" s="1"/>
  <c r="D58" i="4" l="1"/>
  <c r="D28" i="4"/>
  <c r="B29" i="4"/>
  <c r="E29" i="4" s="1"/>
  <c r="B59" i="4"/>
  <c r="E59" i="4" s="1"/>
  <c r="D59" i="4" l="1"/>
  <c r="D29" i="4"/>
  <c r="B30" i="4"/>
  <c r="E30" i="4" s="1"/>
  <c r="B60" i="4"/>
  <c r="E60" i="4" s="1"/>
  <c r="D60" i="4" l="1"/>
  <c r="D30" i="4"/>
  <c r="B31" i="4"/>
  <c r="E31" i="4" s="1"/>
  <c r="B61" i="4"/>
  <c r="E61" i="4" s="1"/>
  <c r="D61" i="4" l="1"/>
  <c r="D31" i="4"/>
  <c r="B32" i="4"/>
  <c r="E32" i="4" s="1"/>
  <c r="B62" i="4"/>
  <c r="E62" i="4" s="1"/>
  <c r="D32" i="4" l="1"/>
  <c r="D62" i="4"/>
  <c r="B33" i="4"/>
  <c r="E33" i="4" s="1"/>
  <c r="B63" i="4"/>
  <c r="E63" i="4" s="1"/>
  <c r="D33" i="4" l="1"/>
  <c r="D63" i="4"/>
  <c r="B34" i="4"/>
  <c r="E34" i="4" s="1"/>
  <c r="B64" i="4"/>
  <c r="E64" i="4" s="1"/>
  <c r="D34" i="4" l="1"/>
  <c r="D64" i="4"/>
  <c r="B35" i="4"/>
  <c r="E35" i="4" s="1"/>
  <c r="B65" i="4"/>
  <c r="E65" i="4" s="1"/>
  <c r="D65" i="4" l="1"/>
  <c r="D35" i="4"/>
  <c r="B36" i="4"/>
  <c r="E36" i="4" s="1"/>
  <c r="B66" i="4"/>
  <c r="E66" i="4" s="1"/>
  <c r="D66" i="4" l="1"/>
  <c r="D36" i="4"/>
  <c r="B67" i="4"/>
  <c r="E67" i="4" s="1"/>
  <c r="D67" i="4" l="1"/>
  <c r="B68" i="4"/>
  <c r="E68" i="4" s="1"/>
  <c r="D68" i="4" l="1"/>
  <c r="B69" i="4"/>
  <c r="E69" i="4" s="1"/>
  <c r="D69" i="4" l="1"/>
  <c r="B70" i="4"/>
  <c r="E70" i="4" s="1"/>
  <c r="D70" i="4" l="1"/>
  <c r="B71" i="4"/>
  <c r="E71" i="4" s="1"/>
  <c r="D71" i="4" l="1"/>
  <c r="B72" i="4"/>
  <c r="E72" i="4" s="1"/>
  <c r="D72" i="4" l="1"/>
  <c r="B73" i="4"/>
  <c r="E73" i="4" s="1"/>
  <c r="D73" i="4" l="1"/>
  <c r="B74" i="4"/>
  <c r="E74" i="4" s="1"/>
  <c r="D74" i="4" l="1"/>
  <c r="B75" i="4"/>
  <c r="E75" i="4" s="1"/>
  <c r="D75" i="4" l="1"/>
  <c r="B76" i="4"/>
  <c r="E76" i="4" s="1"/>
  <c r="D76" i="4" l="1"/>
  <c r="B77" i="4"/>
  <c r="E77" i="4" s="1"/>
  <c r="D77" i="4" l="1"/>
  <c r="B78" i="4"/>
  <c r="E78" i="4" s="1"/>
  <c r="D78" i="4" l="1"/>
  <c r="B79" i="4"/>
  <c r="E79" i="4" s="1"/>
  <c r="D79" i="4" l="1"/>
  <c r="B80" i="4"/>
  <c r="E80" i="4" s="1"/>
  <c r="D80" i="4" l="1"/>
  <c r="B81" i="4"/>
  <c r="E81" i="4" s="1"/>
  <c r="D81" i="4" l="1"/>
  <c r="B82" i="4"/>
  <c r="E82" i="4" s="1"/>
  <c r="D82" i="4" l="1"/>
  <c r="B83" i="4"/>
  <c r="E83" i="4" s="1"/>
  <c r="D83" i="4" l="1"/>
  <c r="B84" i="4"/>
  <c r="E84" i="4" s="1"/>
  <c r="D84" i="4" l="1"/>
  <c r="B85" i="4"/>
  <c r="E85" i="4" s="1"/>
  <c r="D85" i="4" l="1"/>
  <c r="B86" i="4"/>
  <c r="E86" i="4" s="1"/>
  <c r="D86" i="4" l="1"/>
  <c r="B87" i="4"/>
  <c r="E87" i="4" s="1"/>
  <c r="D87" i="4" l="1"/>
  <c r="B88" i="4"/>
  <c r="E88" i="4" s="1"/>
  <c r="D88" i="4" l="1"/>
  <c r="B89" i="4"/>
  <c r="E89" i="4" s="1"/>
  <c r="D89" i="4" l="1"/>
  <c r="B90" i="4"/>
  <c r="E90" i="4" s="1"/>
  <c r="D90" i="4" l="1"/>
  <c r="B91" i="4"/>
  <c r="E91" i="4" s="1"/>
  <c r="D91" i="4" l="1"/>
  <c r="B92" i="4"/>
  <c r="E92" i="4" s="1"/>
  <c r="G19" i="8"/>
  <c r="E2" i="8"/>
  <c r="D92" i="4" l="1"/>
  <c r="B93" i="4"/>
  <c r="E93" i="4" s="1"/>
  <c r="F2" i="8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BA2" i="8" s="1"/>
  <c r="BB2" i="8" s="1"/>
  <c r="BC2" i="8" s="1"/>
  <c r="BD2" i="8" s="1"/>
  <c r="G9" i="8"/>
  <c r="D93" i="4" l="1"/>
  <c r="B94" i="4"/>
  <c r="E94" i="4" s="1"/>
  <c r="D94" i="4" l="1"/>
  <c r="B95" i="4"/>
  <c r="E95" i="4" s="1"/>
  <c r="D95" i="4" l="1"/>
  <c r="B96" i="4"/>
  <c r="E96" i="4" s="1"/>
  <c r="D96" i="4" l="1"/>
  <c r="B97" i="4"/>
  <c r="E97" i="4" s="1"/>
  <c r="D97" i="4" l="1"/>
  <c r="B98" i="4"/>
  <c r="E98" i="4" s="1"/>
  <c r="D98" i="4" l="1"/>
  <c r="B99" i="4"/>
  <c r="E99" i="4" s="1"/>
  <c r="D99" i="4" l="1"/>
  <c r="B100" i="4"/>
  <c r="E100" i="4" s="1"/>
  <c r="D100" i="4" l="1"/>
  <c r="B101" i="4"/>
  <c r="E101" i="4" s="1"/>
  <c r="D101" i="4" l="1"/>
  <c r="B102" i="4"/>
  <c r="E102" i="4" s="1"/>
  <c r="D102" i="4" l="1"/>
  <c r="AH17" i="5"/>
  <c r="AH18" i="5" s="1"/>
  <c r="B103" i="4"/>
  <c r="E103" i="4" s="1"/>
  <c r="D103" i="4" l="1"/>
  <c r="B104" i="4"/>
  <c r="E104" i="4" s="1"/>
  <c r="D104" i="4" l="1"/>
  <c r="B105" i="4"/>
  <c r="E105" i="4" s="1"/>
  <c r="D105" i="4" l="1"/>
  <c r="B106" i="4"/>
  <c r="E106" i="4" s="1"/>
  <c r="D106" i="4" l="1"/>
  <c r="B107" i="4"/>
  <c r="E107" i="4" s="1"/>
  <c r="D107" i="4" l="1"/>
  <c r="B108" i="4"/>
  <c r="E108" i="4" s="1"/>
  <c r="D108" i="4" l="1"/>
  <c r="B109" i="4"/>
  <c r="E109" i="4" s="1"/>
  <c r="D109" i="4" l="1"/>
  <c r="B110" i="4"/>
  <c r="E110" i="4" s="1"/>
  <c r="D110" i="4" l="1"/>
  <c r="B111" i="4"/>
  <c r="E111" i="4" s="1"/>
  <c r="D111" i="4" l="1"/>
  <c r="B112" i="4"/>
  <c r="E112" i="4" s="1"/>
  <c r="D112" i="4" l="1"/>
  <c r="B113" i="4"/>
  <c r="E113" i="4" s="1"/>
  <c r="D113" i="4" l="1"/>
  <c r="B114" i="4"/>
  <c r="E114" i="4" s="1"/>
  <c r="D114" i="4" l="1"/>
  <c r="B115" i="4"/>
  <c r="E115" i="4" s="1"/>
  <c r="D115" i="4" l="1"/>
  <c r="B116" i="4"/>
  <c r="E116" i="4" s="1"/>
  <c r="D116" i="4" l="1"/>
  <c r="B117" i="4"/>
  <c r="E117" i="4" s="1"/>
  <c r="D117" i="4" l="1"/>
  <c r="B118" i="4"/>
  <c r="E118" i="4" s="1"/>
  <c r="D118" i="4" l="1"/>
  <c r="B119" i="4"/>
  <c r="E119" i="4" s="1"/>
  <c r="D119" i="4" l="1"/>
  <c r="B120" i="4"/>
  <c r="E120" i="4" s="1"/>
  <c r="D120" i="4" l="1"/>
  <c r="B121" i="4"/>
  <c r="E121" i="4" s="1"/>
  <c r="D121" i="4" l="1"/>
  <c r="B122" i="4"/>
  <c r="E122" i="4" s="1"/>
  <c r="D122" i="4" l="1"/>
  <c r="B123" i="4"/>
  <c r="E123" i="4" s="1"/>
  <c r="D123" i="4" l="1"/>
  <c r="B124" i="4"/>
  <c r="E124" i="4" s="1"/>
  <c r="D124" i="4" l="1"/>
  <c r="B125" i="4"/>
  <c r="E125" i="4" s="1"/>
  <c r="D125" i="4" l="1"/>
  <c r="B126" i="4"/>
  <c r="E126" i="4" s="1"/>
  <c r="D126" i="4" l="1"/>
  <c r="B127" i="4"/>
  <c r="E127" i="4" s="1"/>
  <c r="D127" i="4" l="1"/>
  <c r="B128" i="4"/>
  <c r="E128" i="4" s="1"/>
  <c r="D128" i="4" l="1"/>
  <c r="B129" i="4"/>
  <c r="E129" i="4" s="1"/>
  <c r="D129" i="4" l="1"/>
  <c r="B130" i="4"/>
  <c r="E130" i="4" s="1"/>
  <c r="D130" i="4" l="1"/>
  <c r="B131" i="4"/>
  <c r="E131" i="4" s="1"/>
  <c r="D131" i="4" l="1"/>
  <c r="B132" i="4"/>
  <c r="E132" i="4" s="1"/>
  <c r="D132" i="4" l="1"/>
  <c r="B133" i="4"/>
  <c r="E133" i="4" s="1"/>
  <c r="D133" i="4" l="1"/>
  <c r="B134" i="4"/>
  <c r="E134" i="4" s="1"/>
  <c r="D134" i="4" l="1"/>
  <c r="B135" i="4"/>
  <c r="E135" i="4" s="1"/>
  <c r="D135" i="4" l="1"/>
  <c r="B136" i="4"/>
  <c r="E136" i="4" s="1"/>
  <c r="D136" i="4" l="1"/>
  <c r="B137" i="4"/>
  <c r="E137" i="4" s="1"/>
  <c r="D137" i="4" l="1"/>
  <c r="B138" i="4"/>
  <c r="E138" i="4" s="1"/>
  <c r="D138" i="4" l="1"/>
  <c r="B139" i="4"/>
  <c r="E139" i="4" s="1"/>
  <c r="D139" i="4" l="1"/>
  <c r="B140" i="4"/>
  <c r="E140" i="4" s="1"/>
  <c r="D140" i="4" l="1"/>
  <c r="B141" i="4"/>
  <c r="E141" i="4" s="1"/>
  <c r="D141" i="4" l="1"/>
  <c r="B142" i="4"/>
  <c r="E142" i="4" s="1"/>
  <c r="D142" i="4" l="1"/>
  <c r="B143" i="4"/>
  <c r="E143" i="4" s="1"/>
  <c r="D143" i="4" l="1"/>
  <c r="B144" i="4"/>
  <c r="E144" i="4" s="1"/>
  <c r="D144" i="4" l="1"/>
  <c r="B145" i="4"/>
  <c r="E145" i="4" s="1"/>
  <c r="D145" i="4" l="1"/>
  <c r="B146" i="4"/>
  <c r="E146" i="4" s="1"/>
  <c r="D146" i="4" l="1"/>
  <c r="AT65" i="5"/>
  <c r="AO65" i="5"/>
  <c r="BA65" i="5"/>
  <c r="AW65" i="5"/>
  <c r="AJ65" i="5"/>
  <c r="BD65" i="5"/>
  <c r="AZ65" i="5"/>
  <c r="AL65" i="5"/>
  <c r="AR65" i="5"/>
  <c r="AY65" i="5"/>
  <c r="AP65" i="5"/>
  <c r="BB65" i="5"/>
  <c r="AN65" i="5"/>
  <c r="AI65" i="5"/>
  <c r="AX65" i="5"/>
  <c r="AS65" i="5"/>
  <c r="AQ65" i="5"/>
  <c r="AV65" i="5"/>
  <c r="AK65" i="5"/>
  <c r="AM65" i="5"/>
  <c r="BC65" i="5"/>
  <c r="AU65" i="5"/>
  <c r="AX6" i="5"/>
  <c r="AX24" i="5" s="1"/>
  <c r="AX21" i="5" s="1"/>
  <c r="AW6" i="5"/>
  <c r="AW24" i="5" s="1"/>
  <c r="AW21" i="5" s="1"/>
  <c r="AO6" i="5"/>
  <c r="AO24" i="5" s="1"/>
  <c r="AO21" i="5" s="1"/>
  <c r="AI6" i="5"/>
  <c r="AI24" i="5" s="1"/>
  <c r="AI21" i="5" s="1"/>
  <c r="AZ6" i="5"/>
  <c r="AZ24" i="5" s="1"/>
  <c r="AZ21" i="5" s="1"/>
  <c r="BB6" i="5"/>
  <c r="BB24" i="5" s="1"/>
  <c r="BB21" i="5" s="1"/>
  <c r="AP6" i="5"/>
  <c r="AP24" i="5" s="1"/>
  <c r="AP21" i="5" s="1"/>
  <c r="AK6" i="5"/>
  <c r="AK24" i="5" s="1"/>
  <c r="AK21" i="5" s="1"/>
  <c r="AT6" i="5"/>
  <c r="AT24" i="5" s="1"/>
  <c r="AT21" i="5" s="1"/>
  <c r="BA6" i="5"/>
  <c r="BA24" i="5" s="1"/>
  <c r="BA21" i="5" s="1"/>
  <c r="AL6" i="5"/>
  <c r="AL24" i="5" s="1"/>
  <c r="AL21" i="5" s="1"/>
  <c r="AY6" i="5"/>
  <c r="AY24" i="5" s="1"/>
  <c r="AY21" i="5" s="1"/>
  <c r="AS6" i="5"/>
  <c r="AS24" i="5" s="1"/>
  <c r="AS21" i="5" s="1"/>
  <c r="AQ6" i="5"/>
  <c r="AQ24" i="5" s="1"/>
  <c r="AQ21" i="5" s="1"/>
  <c r="AU6" i="5"/>
  <c r="AU24" i="5" s="1"/>
  <c r="AU21" i="5" s="1"/>
  <c r="AR6" i="5"/>
  <c r="AR24" i="5" s="1"/>
  <c r="AR21" i="5" s="1"/>
  <c r="AN6" i="5"/>
  <c r="AN24" i="5" s="1"/>
  <c r="AN21" i="5" s="1"/>
  <c r="AM6" i="5"/>
  <c r="AM24" i="5" s="1"/>
  <c r="AM21" i="5" s="1"/>
  <c r="BC6" i="5"/>
  <c r="BC24" i="5" s="1"/>
  <c r="BC21" i="5" s="1"/>
  <c r="AV6" i="5"/>
  <c r="AV24" i="5" s="1"/>
  <c r="AV21" i="5" s="1"/>
  <c r="AJ6" i="5"/>
  <c r="AJ24" i="5" s="1"/>
  <c r="AJ21" i="5" s="1"/>
  <c r="BD6" i="5"/>
  <c r="BD24" i="5" s="1"/>
  <c r="BD21" i="5" s="1"/>
  <c r="AP37" i="8"/>
  <c r="AZ37" i="8"/>
  <c r="AT37" i="8"/>
  <c r="AV37" i="8"/>
  <c r="AO37" i="8"/>
  <c r="AL37" i="8"/>
  <c r="AS37" i="8"/>
  <c r="AR37" i="8"/>
  <c r="AI37" i="8"/>
  <c r="BB37" i="8"/>
  <c r="AK37" i="8"/>
  <c r="AY37" i="8"/>
  <c r="AQ37" i="8"/>
  <c r="AN37" i="8"/>
  <c r="AW37" i="8"/>
  <c r="AJ37" i="8"/>
  <c r="AX37" i="8"/>
  <c r="BA37" i="8"/>
  <c r="AZ38" i="8"/>
  <c r="AI38" i="8"/>
  <c r="AJ38" i="8"/>
  <c r="AU38" i="8"/>
  <c r="AQ38" i="8"/>
  <c r="AN38" i="8"/>
  <c r="BA38" i="8"/>
  <c r="AY38" i="8"/>
  <c r="AS38" i="8"/>
  <c r="AP38" i="8"/>
  <c r="BB38" i="8"/>
  <c r="AV38" i="8"/>
  <c r="AM38" i="8"/>
  <c r="AX38" i="8"/>
  <c r="BC38" i="8"/>
  <c r="AT38" i="8"/>
  <c r="AL38" i="8"/>
  <c r="AR38" i="8"/>
  <c r="AK38" i="8"/>
  <c r="BD38" i="8"/>
  <c r="AU37" i="8"/>
  <c r="AM37" i="8"/>
  <c r="BC37" i="8"/>
  <c r="BD37" i="8"/>
  <c r="AO38" i="8"/>
  <c r="AW38" i="8"/>
  <c r="AL25" i="8"/>
  <c r="AW15" i="8"/>
  <c r="BD25" i="8"/>
  <c r="AZ15" i="8"/>
  <c r="AX5" i="8"/>
  <c r="AL5" i="8"/>
  <c r="AZ5" i="8"/>
  <c r="AP5" i="8"/>
  <c r="AI25" i="8"/>
  <c r="AJ25" i="8"/>
  <c r="AR5" i="8"/>
  <c r="AJ15" i="8"/>
  <c r="BD15" i="8"/>
  <c r="BA25" i="8"/>
  <c r="AV15" i="8"/>
  <c r="AT25" i="8"/>
  <c r="AK25" i="8"/>
  <c r="AQ25" i="8"/>
  <c r="AJ5" i="8"/>
  <c r="BD5" i="8"/>
  <c r="AS5" i="8"/>
  <c r="AW25" i="8"/>
  <c r="BA15" i="8"/>
  <c r="AR15" i="8"/>
  <c r="AL15" i="8"/>
  <c r="AS15" i="8"/>
  <c r="AK15" i="8"/>
  <c r="AM15" i="8"/>
  <c r="AZ25" i="8"/>
  <c r="BB5" i="8"/>
  <c r="AI5" i="8"/>
  <c r="AX15" i="8"/>
  <c r="AR25" i="8"/>
  <c r="AN15" i="8"/>
  <c r="AY25" i="8"/>
  <c r="AP25" i="8"/>
  <c r="AU15" i="8"/>
  <c r="AX25" i="8"/>
  <c r="AN25" i="8"/>
  <c r="BA5" i="8"/>
  <c r="AO5" i="8"/>
  <c r="AQ5" i="8"/>
  <c r="BB15" i="8"/>
  <c r="AW5" i="8"/>
  <c r="AO25" i="8"/>
  <c r="AV5" i="8"/>
  <c r="AS25" i="8"/>
  <c r="AK5" i="8"/>
  <c r="AT5" i="8"/>
  <c r="AV25" i="8"/>
  <c r="AT15" i="8"/>
  <c r="BB25" i="8"/>
  <c r="AO15" i="8"/>
  <c r="AY5" i="8"/>
  <c r="AP15" i="8"/>
  <c r="BC15" i="8"/>
  <c r="AN16" i="8"/>
  <c r="AR16" i="8"/>
  <c r="AT16" i="8"/>
  <c r="AR26" i="8"/>
  <c r="BB16" i="8"/>
  <c r="AL26" i="8"/>
  <c r="AU26" i="8"/>
  <c r="AZ26" i="8"/>
  <c r="AM26" i="8"/>
  <c r="BC16" i="8"/>
  <c r="AU16" i="8"/>
  <c r="AQ26" i="8"/>
  <c r="BB26" i="8"/>
  <c r="AN26" i="8"/>
  <c r="AV16" i="8"/>
  <c r="AI26" i="8"/>
  <c r="BC26" i="8"/>
  <c r="AV26" i="8"/>
  <c r="AT26" i="8"/>
  <c r="AK26" i="8"/>
  <c r="BD16" i="8"/>
  <c r="AQ16" i="8"/>
  <c r="AZ16" i="8"/>
  <c r="AL16" i="8"/>
  <c r="AY26" i="8"/>
  <c r="AX26" i="8"/>
  <c r="AP26" i="8"/>
  <c r="AJ16" i="8"/>
  <c r="AW16" i="8"/>
  <c r="AM16" i="8"/>
  <c r="AY16" i="8"/>
  <c r="AI16" i="8"/>
  <c r="AS26" i="8"/>
  <c r="AX16" i="8"/>
  <c r="BA26" i="8"/>
  <c r="AP16" i="8"/>
  <c r="AO16" i="8"/>
  <c r="BD26" i="8"/>
  <c r="BC25" i="8"/>
  <c r="AN5" i="8"/>
  <c r="AY15" i="8"/>
  <c r="AI15" i="8"/>
  <c r="AU5" i="8"/>
  <c r="AQ15" i="8"/>
  <c r="AM5" i="8"/>
  <c r="AU25" i="8"/>
  <c r="BC5" i="8"/>
  <c r="AM25" i="8"/>
  <c r="AK16" i="8"/>
  <c r="AW26" i="8"/>
  <c r="BA16" i="8"/>
  <c r="AO26" i="8"/>
  <c r="AJ26" i="8"/>
  <c r="AS16" i="8"/>
  <c r="Z6" i="5"/>
  <c r="Z19" i="5" s="1"/>
  <c r="E66" i="5"/>
  <c r="V65" i="5"/>
  <c r="R65" i="5"/>
  <c r="AC65" i="5"/>
  <c r="T65" i="5"/>
  <c r="H65" i="5"/>
  <c r="K65" i="5"/>
  <c r="X65" i="5"/>
  <c r="U65" i="5"/>
  <c r="AG65" i="5"/>
  <c r="AB65" i="5"/>
  <c r="W65" i="5"/>
  <c r="AD65" i="5"/>
  <c r="Q65" i="5"/>
  <c r="AA65" i="5"/>
  <c r="N65" i="5"/>
  <c r="O65" i="5"/>
  <c r="AF65" i="5"/>
  <c r="J65" i="5"/>
  <c r="I65" i="5"/>
  <c r="L65" i="5"/>
  <c r="G65" i="5"/>
  <c r="P65" i="5"/>
  <c r="Y65" i="5"/>
  <c r="E65" i="5"/>
  <c r="AE65" i="5"/>
  <c r="F65" i="5"/>
  <c r="Z65" i="5"/>
  <c r="S65" i="5"/>
  <c r="AH65" i="5"/>
  <c r="M65" i="5"/>
  <c r="V134" i="5"/>
  <c r="E37" i="8"/>
  <c r="N134" i="5"/>
  <c r="V37" i="8"/>
  <c r="O37" i="8"/>
  <c r="AA37" i="8"/>
  <c r="U37" i="8"/>
  <c r="Z37" i="8"/>
  <c r="R37" i="8"/>
  <c r="AC37" i="8"/>
  <c r="L37" i="8"/>
  <c r="AH134" i="5"/>
  <c r="H37" i="8"/>
  <c r="K134" i="5"/>
  <c r="G134" i="5"/>
  <c r="T134" i="5"/>
  <c r="AF134" i="5"/>
  <c r="AG37" i="8"/>
  <c r="S134" i="5"/>
  <c r="E134" i="5"/>
  <c r="E152" i="5" s="1"/>
  <c r="AE37" i="8"/>
  <c r="G37" i="8"/>
  <c r="AH37" i="8"/>
  <c r="AC134" i="5"/>
  <c r="I37" i="8"/>
  <c r="M37" i="8"/>
  <c r="L41" i="8" s="1"/>
  <c r="M134" i="5"/>
  <c r="F37" i="8"/>
  <c r="AB134" i="5"/>
  <c r="F134" i="5"/>
  <c r="Z134" i="5"/>
  <c r="AD134" i="5"/>
  <c r="Y37" i="8"/>
  <c r="P37" i="8"/>
  <c r="J37" i="8"/>
  <c r="AG134" i="5"/>
  <c r="Q37" i="8"/>
  <c r="K37" i="8"/>
  <c r="J41" i="8" s="1"/>
  <c r="Y134" i="5"/>
  <c r="Q134" i="5"/>
  <c r="AA134" i="5"/>
  <c r="P134" i="5"/>
  <c r="T37" i="8"/>
  <c r="I134" i="5"/>
  <c r="X134" i="5"/>
  <c r="AD37" i="8"/>
  <c r="W134" i="5"/>
  <c r="O134" i="5"/>
  <c r="E25" i="8"/>
  <c r="J134" i="5"/>
  <c r="U134" i="5"/>
  <c r="AB37" i="8"/>
  <c r="L134" i="5"/>
  <c r="W37" i="8"/>
  <c r="N37" i="8"/>
  <c r="X37" i="8"/>
  <c r="AF37" i="8"/>
  <c r="S37" i="8"/>
  <c r="AE134" i="5"/>
  <c r="R134" i="5"/>
  <c r="AD38" i="8"/>
  <c r="E38" i="8"/>
  <c r="N38" i="8"/>
  <c r="O38" i="8"/>
  <c r="AG38" i="8"/>
  <c r="V38" i="8"/>
  <c r="F38" i="8"/>
  <c r="P38" i="8"/>
  <c r="Z38" i="8"/>
  <c r="Y38" i="8"/>
  <c r="AB38" i="8"/>
  <c r="R38" i="8"/>
  <c r="J38" i="8"/>
  <c r="Q38" i="8"/>
  <c r="G38" i="8"/>
  <c r="I38" i="8"/>
  <c r="AF38" i="8"/>
  <c r="T38" i="8"/>
  <c r="H38" i="8"/>
  <c r="X38" i="8"/>
  <c r="AC38" i="8"/>
  <c r="L38" i="8"/>
  <c r="K42" i="8" s="1"/>
  <c r="M38" i="8"/>
  <c r="L42" i="8" s="1"/>
  <c r="U38" i="8"/>
  <c r="E135" i="5"/>
  <c r="E153" i="5" s="1"/>
  <c r="W38" i="8"/>
  <c r="S38" i="8"/>
  <c r="AA38" i="8"/>
  <c r="AH38" i="8"/>
  <c r="AE38" i="8"/>
  <c r="K38" i="8"/>
  <c r="J42" i="8" s="1"/>
  <c r="L25" i="8"/>
  <c r="K29" i="8" s="1"/>
  <c r="Z25" i="8"/>
  <c r="G25" i="8"/>
  <c r="AF25" i="8"/>
  <c r="AC25" i="8"/>
  <c r="K25" i="8"/>
  <c r="J29" i="8" s="1"/>
  <c r="Q25" i="8"/>
  <c r="AA25" i="8"/>
  <c r="U25" i="8"/>
  <c r="O25" i="8"/>
  <c r="AB25" i="8"/>
  <c r="M25" i="8"/>
  <c r="L29" i="8" s="1"/>
  <c r="AD25" i="8"/>
  <c r="T25" i="8"/>
  <c r="W25" i="8"/>
  <c r="Y25" i="8"/>
  <c r="AE25" i="8"/>
  <c r="R25" i="8"/>
  <c r="F25" i="8"/>
  <c r="H25" i="8"/>
  <c r="AG25" i="8"/>
  <c r="AH25" i="8"/>
  <c r="X25" i="8"/>
  <c r="J25" i="8"/>
  <c r="N25" i="8"/>
  <c r="P25" i="8"/>
  <c r="V25" i="8"/>
  <c r="S25" i="8"/>
  <c r="AA26" i="8"/>
  <c r="Y26" i="8"/>
  <c r="T26" i="8"/>
  <c r="H26" i="8"/>
  <c r="AF26" i="8"/>
  <c r="X26" i="8"/>
  <c r="J26" i="8"/>
  <c r="AB26" i="8"/>
  <c r="Z26" i="8"/>
  <c r="E26" i="8"/>
  <c r="L26" i="8"/>
  <c r="K30" i="8" s="1"/>
  <c r="G26" i="8"/>
  <c r="F26" i="8"/>
  <c r="K26" i="8"/>
  <c r="J30" i="8" s="1"/>
  <c r="P26" i="8"/>
  <c r="U26" i="8"/>
  <c r="V26" i="8"/>
  <c r="AD26" i="8"/>
  <c r="M26" i="8"/>
  <c r="L30" i="8" s="1"/>
  <c r="AE26" i="8"/>
  <c r="R26" i="8"/>
  <c r="N26" i="8"/>
  <c r="O26" i="8"/>
  <c r="W26" i="8"/>
  <c r="AC26" i="8"/>
  <c r="I26" i="8"/>
  <c r="Q26" i="8"/>
  <c r="S26" i="8"/>
  <c r="AG26" i="8"/>
  <c r="AH26" i="8"/>
  <c r="I25" i="8"/>
  <c r="A7" i="4"/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K71" i="5"/>
  <c r="AB1" i="4"/>
  <c r="AU1" i="4"/>
  <c r="Y1" i="4"/>
  <c r="BH1" i="4"/>
  <c r="AE1" i="4"/>
  <c r="AR1" i="4"/>
  <c r="AF1" i="4"/>
  <c r="R1" i="4"/>
  <c r="BD1" i="4"/>
  <c r="AK1" i="4"/>
  <c r="V1" i="4"/>
  <c r="AJ1" i="4"/>
  <c r="BF1" i="4"/>
  <c r="U1" i="4"/>
  <c r="BG1" i="4"/>
  <c r="AX1" i="4"/>
  <c r="W1" i="4"/>
  <c r="AD1" i="4"/>
  <c r="Z1" i="4"/>
  <c r="X1" i="4"/>
  <c r="AT1" i="4"/>
  <c r="AY1" i="4"/>
  <c r="T1" i="4"/>
  <c r="AH1" i="4"/>
  <c r="AI1" i="4"/>
  <c r="BE1" i="4"/>
  <c r="AL1" i="4"/>
  <c r="AP1" i="4"/>
  <c r="AA1" i="4"/>
  <c r="AQ1" i="4"/>
  <c r="BA1" i="4"/>
  <c r="BB1" i="4"/>
  <c r="AG1" i="4"/>
  <c r="AS1" i="4"/>
  <c r="BI1" i="4"/>
  <c r="AV1" i="4"/>
  <c r="AO1" i="4"/>
  <c r="AN1" i="4"/>
  <c r="AZ1" i="4"/>
  <c r="BC1" i="4"/>
  <c r="AW1" i="4"/>
  <c r="Q1" i="4"/>
  <c r="AC1" i="4"/>
  <c r="S1" i="4"/>
  <c r="AM1" i="4"/>
  <c r="K41" i="8"/>
  <c r="M41" i="8" s="1"/>
  <c r="AL69" i="5"/>
  <c r="AL83" i="5"/>
  <c r="AL80" i="5" s="1"/>
  <c r="AL78" i="5"/>
  <c r="AX69" i="5"/>
  <c r="AX83" i="5"/>
  <c r="AX80" i="5" s="1"/>
  <c r="AX78" i="5"/>
  <c r="AZ69" i="5"/>
  <c r="AZ83" i="5"/>
  <c r="AZ80" i="5" s="1"/>
  <c r="AZ78" i="5"/>
  <c r="AU69" i="5"/>
  <c r="AU83" i="5"/>
  <c r="AU80" i="5" s="1"/>
  <c r="AU78" i="5"/>
  <c r="AI69" i="5"/>
  <c r="AI83" i="5"/>
  <c r="AI80" i="5" s="1"/>
  <c r="AI78" i="5"/>
  <c r="BD69" i="5"/>
  <c r="BD83" i="5"/>
  <c r="BD80" i="5" s="1"/>
  <c r="BD78" i="5"/>
  <c r="AS69" i="5"/>
  <c r="AS83" i="5"/>
  <c r="AS80" i="5" s="1"/>
  <c r="AS78" i="5"/>
  <c r="BC69" i="5"/>
  <c r="BC83" i="5"/>
  <c r="BC80" i="5" s="1"/>
  <c r="BC78" i="5"/>
  <c r="AN69" i="5"/>
  <c r="AN83" i="5"/>
  <c r="AN80" i="5" s="1"/>
  <c r="AN78" i="5"/>
  <c r="AJ69" i="5"/>
  <c r="AJ83" i="5"/>
  <c r="AJ80" i="5" s="1"/>
  <c r="AJ78" i="5"/>
  <c r="AM69" i="5"/>
  <c r="AM83" i="5"/>
  <c r="AM80" i="5" s="1"/>
  <c r="AM78" i="5"/>
  <c r="BB69" i="5"/>
  <c r="BB83" i="5"/>
  <c r="BB80" i="5" s="1"/>
  <c r="BB78" i="5"/>
  <c r="AW69" i="5"/>
  <c r="AW83" i="5"/>
  <c r="AW80" i="5" s="1"/>
  <c r="AW78" i="5"/>
  <c r="AK69" i="5"/>
  <c r="AK83" i="5"/>
  <c r="AK80" i="5" s="1"/>
  <c r="AK78" i="5"/>
  <c r="AP69" i="5"/>
  <c r="AP83" i="5"/>
  <c r="AP80" i="5" s="1"/>
  <c r="AP78" i="5"/>
  <c r="BA69" i="5"/>
  <c r="BA83" i="5"/>
  <c r="BA80" i="5" s="1"/>
  <c r="BA78" i="5"/>
  <c r="AV69" i="5"/>
  <c r="AV83" i="5"/>
  <c r="AV80" i="5" s="1"/>
  <c r="AV78" i="5"/>
  <c r="AY69" i="5"/>
  <c r="AY83" i="5"/>
  <c r="AY80" i="5" s="1"/>
  <c r="AY78" i="5"/>
  <c r="AO69" i="5"/>
  <c r="AO83" i="5"/>
  <c r="AO80" i="5" s="1"/>
  <c r="AO78" i="5"/>
  <c r="AQ69" i="5"/>
  <c r="AQ83" i="5"/>
  <c r="AQ80" i="5" s="1"/>
  <c r="AQ78" i="5"/>
  <c r="AR69" i="5"/>
  <c r="AR83" i="5"/>
  <c r="AR80" i="5" s="1"/>
  <c r="AR78" i="5"/>
  <c r="AT69" i="5"/>
  <c r="AT83" i="5"/>
  <c r="AT80" i="5" s="1"/>
  <c r="AT78" i="5"/>
  <c r="AU10" i="5"/>
  <c r="AU19" i="5"/>
  <c r="BD10" i="5"/>
  <c r="BD19" i="5"/>
  <c r="AQ10" i="5"/>
  <c r="AQ19" i="5"/>
  <c r="BB10" i="5"/>
  <c r="BB19" i="5"/>
  <c r="AR10" i="5"/>
  <c r="AR19" i="5"/>
  <c r="AP10" i="5"/>
  <c r="AP19" i="5"/>
  <c r="AJ10" i="5"/>
  <c r="AJ19" i="5"/>
  <c r="AS10" i="5"/>
  <c r="AS19" i="5"/>
  <c r="AZ10" i="5"/>
  <c r="AZ19" i="5"/>
  <c r="AI10" i="5"/>
  <c r="AI19" i="5"/>
  <c r="BC10" i="5"/>
  <c r="BC19" i="5"/>
  <c r="AL10" i="5"/>
  <c r="AL19" i="5"/>
  <c r="AO10" i="5"/>
  <c r="AO19" i="5"/>
  <c r="AK10" i="5"/>
  <c r="AK19" i="5"/>
  <c r="AV10" i="5"/>
  <c r="AV19" i="5"/>
  <c r="AM10" i="5"/>
  <c r="AM19" i="5"/>
  <c r="BA10" i="5"/>
  <c r="BA19" i="5"/>
  <c r="AW10" i="5"/>
  <c r="AW19" i="5"/>
  <c r="AY10" i="5"/>
  <c r="AY19" i="5"/>
  <c r="AN10" i="5"/>
  <c r="AN19" i="5"/>
  <c r="AT10" i="5"/>
  <c r="AT19" i="5"/>
  <c r="AX10" i="5"/>
  <c r="AX19" i="5"/>
  <c r="M29" i="8"/>
  <c r="F66" i="5"/>
  <c r="G66" i="5" s="1"/>
  <c r="H66" i="5" s="1"/>
  <c r="I66" i="5" s="1"/>
  <c r="J66" i="5" s="1"/>
  <c r="K66" i="5" s="1"/>
  <c r="L66" i="5" s="1"/>
  <c r="M66" i="5" s="1"/>
  <c r="N66" i="5" s="1"/>
  <c r="O66" i="5" s="1"/>
  <c r="P66" i="5" s="1"/>
  <c r="Q66" i="5" s="1"/>
  <c r="R66" i="5" s="1"/>
  <c r="S66" i="5" s="1"/>
  <c r="T66" i="5" s="1"/>
  <c r="U66" i="5" s="1"/>
  <c r="V66" i="5" s="1"/>
  <c r="W66" i="5" s="1"/>
  <c r="X66" i="5" s="1"/>
  <c r="Y66" i="5" s="1"/>
  <c r="Z66" i="5" s="1"/>
  <c r="AA66" i="5" s="1"/>
  <c r="AB66" i="5" s="1"/>
  <c r="AC66" i="5" s="1"/>
  <c r="AD66" i="5" s="1"/>
  <c r="AE66" i="5" s="1"/>
  <c r="AF66" i="5" s="1"/>
  <c r="AG66" i="5" s="1"/>
  <c r="AH66" i="5" s="1"/>
  <c r="AI66" i="5" s="1"/>
  <c r="N41" i="8"/>
  <c r="M42" i="8"/>
  <c r="T152" i="5"/>
  <c r="T149" i="5" s="1"/>
  <c r="T147" i="5"/>
  <c r="T138" i="5"/>
  <c r="O152" i="5"/>
  <c r="O149" i="5" s="1"/>
  <c r="O147" i="5"/>
  <c r="O138" i="5"/>
  <c r="Q138" i="5"/>
  <c r="Q152" i="5"/>
  <c r="Q149" i="5" s="1"/>
  <c r="Q147" i="5"/>
  <c r="Z138" i="5"/>
  <c r="Z147" i="5"/>
  <c r="Z152" i="5"/>
  <c r="Z149" i="5" s="1"/>
  <c r="G152" i="5"/>
  <c r="N152" i="5"/>
  <c r="N149" i="5" s="1"/>
  <c r="N147" i="5"/>
  <c r="N138" i="5"/>
  <c r="AD152" i="5"/>
  <c r="AD149" i="5" s="1"/>
  <c r="AD147" i="5"/>
  <c r="AD138" i="5"/>
  <c r="W152" i="5"/>
  <c r="W149" i="5" s="1"/>
  <c r="W147" i="5"/>
  <c r="W138" i="5"/>
  <c r="Y138" i="5"/>
  <c r="Y147" i="5"/>
  <c r="Y152" i="5"/>
  <c r="Y149" i="5" s="1"/>
  <c r="F152" i="5"/>
  <c r="F135" i="5"/>
  <c r="F153" i="5" s="1"/>
  <c r="L138" i="5"/>
  <c r="L139" i="5" s="1"/>
  <c r="L152" i="5"/>
  <c r="L149" i="5" s="1"/>
  <c r="L147" i="5"/>
  <c r="AB147" i="5"/>
  <c r="AB152" i="5"/>
  <c r="AB149" i="5" s="1"/>
  <c r="AB138" i="5"/>
  <c r="K152" i="5"/>
  <c r="U152" i="5"/>
  <c r="U149" i="5" s="1"/>
  <c r="U147" i="5"/>
  <c r="U138" i="5"/>
  <c r="X152" i="5"/>
  <c r="X149" i="5" s="1"/>
  <c r="X138" i="5"/>
  <c r="X147" i="5"/>
  <c r="AC152" i="5"/>
  <c r="AC149" i="5" s="1"/>
  <c r="AC147" i="5"/>
  <c r="AC138" i="5"/>
  <c r="S138" i="5"/>
  <c r="S152" i="5"/>
  <c r="S149" i="5" s="1"/>
  <c r="S147" i="5"/>
  <c r="AA138" i="5"/>
  <c r="AA152" i="5"/>
  <c r="AA149" i="5" s="1"/>
  <c r="AA147" i="5"/>
  <c r="R138" i="5"/>
  <c r="R147" i="5"/>
  <c r="R152" i="5"/>
  <c r="R149" i="5" s="1"/>
  <c r="I152" i="5"/>
  <c r="AE152" i="5"/>
  <c r="AE149" i="5" s="1"/>
  <c r="AE147" i="5"/>
  <c r="AE138" i="5"/>
  <c r="AJ134" i="5"/>
  <c r="AK136" i="5" s="1"/>
  <c r="M152" i="5"/>
  <c r="M149" i="5" s="1"/>
  <c r="M147" i="5"/>
  <c r="M138" i="5"/>
  <c r="AH138" i="5"/>
  <c r="AH147" i="5"/>
  <c r="AH152" i="5"/>
  <c r="AH149" i="5" s="1"/>
  <c r="J152" i="5"/>
  <c r="P152" i="5"/>
  <c r="P149" i="5" s="1"/>
  <c r="P138" i="5"/>
  <c r="P147" i="5"/>
  <c r="AG138" i="5"/>
  <c r="AG147" i="5"/>
  <c r="AG152" i="5"/>
  <c r="AG149" i="5" s="1"/>
  <c r="AF152" i="5"/>
  <c r="AF149" i="5" s="1"/>
  <c r="AF147" i="5"/>
  <c r="AF138" i="5"/>
  <c r="V152" i="5"/>
  <c r="V149" i="5" s="1"/>
  <c r="V147" i="5"/>
  <c r="V138" i="5"/>
  <c r="N29" i="8"/>
  <c r="M30" i="8"/>
  <c r="A347" i="4" l="1"/>
  <c r="A348" i="4" s="1"/>
  <c r="A349" i="4" s="1"/>
  <c r="A350" i="4" s="1"/>
  <c r="A351" i="4" s="1"/>
  <c r="A352" i="4" s="1"/>
  <c r="A353" i="4" s="1"/>
  <c r="A354" i="4" s="1"/>
  <c r="A355" i="4" s="1"/>
  <c r="A35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387" i="4"/>
  <c r="A388" i="4" s="1"/>
  <c r="A389" i="4" s="1"/>
  <c r="A390" i="4" s="1"/>
  <c r="A391" i="4" s="1"/>
  <c r="A392" i="4" s="1"/>
  <c r="A393" i="4" s="1"/>
  <c r="A394" i="4" s="1"/>
  <c r="A395" i="4" s="1"/>
  <c r="A396" i="4" s="1"/>
  <c r="BG2" i="4"/>
  <c r="R2" i="4"/>
  <c r="BI2" i="4"/>
  <c r="AP2" i="4"/>
  <c r="AT2" i="4"/>
  <c r="U2" i="4"/>
  <c r="AF2" i="4"/>
  <c r="X2" i="4"/>
  <c r="BF2" i="4"/>
  <c r="AR2" i="4"/>
  <c r="AW2" i="4"/>
  <c r="AG2" i="4"/>
  <c r="BE2" i="4"/>
  <c r="Z2" i="4"/>
  <c r="AB2" i="4"/>
  <c r="AE2" i="4"/>
  <c r="AM2" i="4"/>
  <c r="BC2" i="4"/>
  <c r="BB2" i="4"/>
  <c r="AI2" i="4"/>
  <c r="AD2" i="4"/>
  <c r="AJ2" i="4"/>
  <c r="AU2" i="4"/>
  <c r="Q2" i="4"/>
  <c r="AZ2" i="4"/>
  <c r="BA2" i="4"/>
  <c r="AH2" i="4"/>
  <c r="W2" i="4"/>
  <c r="V2" i="4"/>
  <c r="AV2" i="4"/>
  <c r="AS2" i="4"/>
  <c r="AN2" i="4"/>
  <c r="AQ2" i="4"/>
  <c r="T2" i="4"/>
  <c r="AK2" i="4"/>
  <c r="BH2" i="4"/>
  <c r="AC2" i="4"/>
  <c r="AL2" i="4"/>
  <c r="S2" i="4"/>
  <c r="AO2" i="4"/>
  <c r="AA2" i="4"/>
  <c r="AY2" i="4"/>
  <c r="AX2" i="4"/>
  <c r="BD2" i="4"/>
  <c r="Y2" i="4"/>
  <c r="AJ66" i="5"/>
  <c r="AI84" i="5"/>
  <c r="AI81" i="5" s="1"/>
  <c r="M139" i="5"/>
  <c r="N139" i="5" s="1"/>
  <c r="G135" i="5"/>
  <c r="L140" i="5"/>
  <c r="L141" i="5"/>
  <c r="E6" i="8"/>
  <c r="W6" i="5"/>
  <c r="W19" i="5" s="1"/>
  <c r="E6" i="5"/>
  <c r="E24" i="5" s="1"/>
  <c r="AC6" i="5"/>
  <c r="AC19" i="5" s="1"/>
  <c r="N6" i="5"/>
  <c r="N19" i="5" s="1"/>
  <c r="AF6" i="5"/>
  <c r="AF19" i="5" s="1"/>
  <c r="U6" i="5"/>
  <c r="U19" i="5" s="1"/>
  <c r="P6" i="5"/>
  <c r="P19" i="5" s="1"/>
  <c r="AD6" i="5"/>
  <c r="AD19" i="5" s="1"/>
  <c r="L6" i="5"/>
  <c r="X6" i="5"/>
  <c r="X19" i="5" s="1"/>
  <c r="O6" i="5"/>
  <c r="O19" i="5" s="1"/>
  <c r="G6" i="5"/>
  <c r="G24" i="5" s="1"/>
  <c r="AE6" i="5"/>
  <c r="AE19" i="5" s="1"/>
  <c r="H6" i="5"/>
  <c r="H24" i="5" s="1"/>
  <c r="AH6" i="5"/>
  <c r="AH19" i="5" s="1"/>
  <c r="V6" i="5"/>
  <c r="V19" i="5" s="1"/>
  <c r="Q6" i="5"/>
  <c r="Q19" i="5" s="1"/>
  <c r="AB6" i="5"/>
  <c r="AB19" i="5" s="1"/>
  <c r="J6" i="5"/>
  <c r="J24" i="5" s="1"/>
  <c r="T6" i="5"/>
  <c r="T19" i="5" s="1"/>
  <c r="AG6" i="5"/>
  <c r="AG19" i="5" s="1"/>
  <c r="K6" i="5"/>
  <c r="K24" i="5" s="1"/>
  <c r="S6" i="5"/>
  <c r="S19" i="5" s="1"/>
  <c r="AA6" i="5"/>
  <c r="AA19" i="5" s="1"/>
  <c r="E83" i="5"/>
  <c r="F6" i="5"/>
  <c r="Y6" i="5"/>
  <c r="Y19" i="5" s="1"/>
  <c r="M6" i="5"/>
  <c r="M19" i="5" s="1"/>
  <c r="R6" i="5"/>
  <c r="R19" i="5" s="1"/>
  <c r="I6" i="5"/>
  <c r="I24" i="5" s="1"/>
  <c r="N16" i="8"/>
  <c r="T16" i="8"/>
  <c r="E84" i="5"/>
  <c r="R78" i="5"/>
  <c r="N78" i="5"/>
  <c r="Z78" i="5"/>
  <c r="H83" i="5"/>
  <c r="Q78" i="5"/>
  <c r="U78" i="5"/>
  <c r="I83" i="5"/>
  <c r="K83" i="5"/>
  <c r="G83" i="5"/>
  <c r="J83" i="5"/>
  <c r="F83" i="5"/>
  <c r="E5" i="8"/>
  <c r="AH5" i="8"/>
  <c r="I16" i="8"/>
  <c r="U16" i="8"/>
  <c r="AA16" i="8"/>
  <c r="AH16" i="8"/>
  <c r="E7" i="5"/>
  <c r="E25" i="5" s="1"/>
  <c r="R16" i="8"/>
  <c r="AC16" i="8"/>
  <c r="E16" i="8"/>
  <c r="AF16" i="8"/>
  <c r="AD16" i="8"/>
  <c r="X5" i="8"/>
  <c r="S5" i="8"/>
  <c r="V16" i="8"/>
  <c r="Y16" i="8"/>
  <c r="Z5" i="8"/>
  <c r="AG16" i="8"/>
  <c r="K16" i="8"/>
  <c r="J20" i="8" s="1"/>
  <c r="Y5" i="8"/>
  <c r="O16" i="8"/>
  <c r="M16" i="8"/>
  <c r="L20" i="8" s="1"/>
  <c r="S16" i="8"/>
  <c r="AD5" i="8"/>
  <c r="AC5" i="8"/>
  <c r="L15" i="8"/>
  <c r="K19" i="8" s="1"/>
  <c r="M19" i="8" s="1"/>
  <c r="K15" i="8"/>
  <c r="J19" i="8" s="1"/>
  <c r="P5" i="8"/>
  <c r="F5" i="8"/>
  <c r="W5" i="8"/>
  <c r="P16" i="8"/>
  <c r="AE16" i="8"/>
  <c r="J16" i="8"/>
  <c r="V5" i="8"/>
  <c r="J5" i="8"/>
  <c r="K5" i="8"/>
  <c r="J9" i="8" s="1"/>
  <c r="F15" i="8"/>
  <c r="T5" i="8"/>
  <c r="Q5" i="8"/>
  <c r="AB16" i="8"/>
  <c r="AB5" i="8"/>
  <c r="L16" i="8"/>
  <c r="K20" i="8" s="1"/>
  <c r="G16" i="8"/>
  <c r="F16" i="8"/>
  <c r="AD15" i="8"/>
  <c r="S15" i="8"/>
  <c r="T15" i="8"/>
  <c r="O5" i="8"/>
  <c r="H15" i="8"/>
  <c r="I5" i="8"/>
  <c r="AA5" i="8"/>
  <c r="G5" i="8"/>
  <c r="AG5" i="8"/>
  <c r="Q16" i="8"/>
  <c r="X16" i="8"/>
  <c r="Z15" i="8"/>
  <c r="M5" i="8"/>
  <c r="L5" i="8"/>
  <c r="K9" i="8" s="1"/>
  <c r="Z16" i="8"/>
  <c r="H16" i="8"/>
  <c r="U15" i="8"/>
  <c r="X15" i="8"/>
  <c r="R5" i="8"/>
  <c r="AE15" i="8"/>
  <c r="N5" i="8"/>
  <c r="AF5" i="8"/>
  <c r="AA15" i="8"/>
  <c r="U5" i="8"/>
  <c r="Y15" i="8"/>
  <c r="J15" i="8"/>
  <c r="N15" i="8"/>
  <c r="AF15" i="8"/>
  <c r="M15" i="8"/>
  <c r="L19" i="8" s="1"/>
  <c r="P15" i="8"/>
  <c r="AG15" i="8"/>
  <c r="AB15" i="8"/>
  <c r="H5" i="8"/>
  <c r="V15" i="8"/>
  <c r="W15" i="8"/>
  <c r="I15" i="8"/>
  <c r="AE5" i="8"/>
  <c r="W16" i="8"/>
  <c r="G15" i="8"/>
  <c r="R15" i="8"/>
  <c r="AH15" i="8"/>
  <c r="Q15" i="8"/>
  <c r="AC15" i="8"/>
  <c r="O15" i="8"/>
  <c r="E15" i="8"/>
  <c r="A357" i="4" l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L19" i="5"/>
  <c r="K12" i="5"/>
  <c r="AK66" i="5"/>
  <c r="AJ84" i="5"/>
  <c r="AJ81" i="5" s="1"/>
  <c r="AA83" i="5"/>
  <c r="AA80" i="5" s="1"/>
  <c r="AA78" i="5"/>
  <c r="AH83" i="5"/>
  <c r="AH80" i="5" s="1"/>
  <c r="AH78" i="5"/>
  <c r="Y83" i="5"/>
  <c r="Y80" i="5" s="1"/>
  <c r="Y78" i="5"/>
  <c r="AB83" i="5"/>
  <c r="AB80" i="5" s="1"/>
  <c r="AB78" i="5"/>
  <c r="V83" i="5"/>
  <c r="V80" i="5" s="1"/>
  <c r="V78" i="5"/>
  <c r="T83" i="5"/>
  <c r="T80" i="5" s="1"/>
  <c r="T78" i="5"/>
  <c r="P83" i="5"/>
  <c r="P80" i="5" s="1"/>
  <c r="P78" i="5"/>
  <c r="O83" i="5"/>
  <c r="O80" i="5" s="1"/>
  <c r="O78" i="5"/>
  <c r="M83" i="5"/>
  <c r="M80" i="5" s="1"/>
  <c r="M78" i="5"/>
  <c r="L83" i="5"/>
  <c r="L80" i="5" s="1"/>
  <c r="L78" i="5"/>
  <c r="AD83" i="5"/>
  <c r="AD80" i="5" s="1"/>
  <c r="AD78" i="5"/>
  <c r="AF83" i="5"/>
  <c r="AF80" i="5" s="1"/>
  <c r="AF78" i="5"/>
  <c r="AG83" i="5"/>
  <c r="AG80" i="5" s="1"/>
  <c r="AG78" i="5"/>
  <c r="X83" i="5"/>
  <c r="X80" i="5" s="1"/>
  <c r="X78" i="5"/>
  <c r="S83" i="5"/>
  <c r="S80" i="5" s="1"/>
  <c r="S78" i="5"/>
  <c r="AE83" i="5"/>
  <c r="AE80" i="5" s="1"/>
  <c r="AE78" i="5"/>
  <c r="AC83" i="5"/>
  <c r="AC80" i="5" s="1"/>
  <c r="AC78" i="5"/>
  <c r="W83" i="5"/>
  <c r="W80" i="5" s="1"/>
  <c r="W78" i="5"/>
  <c r="M141" i="5"/>
  <c r="M140" i="5"/>
  <c r="G153" i="5"/>
  <c r="N141" i="5"/>
  <c r="N140" i="5"/>
  <c r="O139" i="5"/>
  <c r="U83" i="5"/>
  <c r="U80" i="5" s="1"/>
  <c r="Q83" i="5"/>
  <c r="Q80" i="5" s="1"/>
  <c r="Z69" i="5"/>
  <c r="Z83" i="5"/>
  <c r="Z80" i="5" s="1"/>
  <c r="N69" i="5"/>
  <c r="N83" i="5"/>
  <c r="N80" i="5" s="1"/>
  <c r="R83" i="5"/>
  <c r="R80" i="5" s="1"/>
  <c r="L9" i="8"/>
  <c r="U69" i="5"/>
  <c r="F84" i="5"/>
  <c r="F6" i="8"/>
  <c r="G6" i="8" s="1"/>
  <c r="H6" i="8" s="1"/>
  <c r="I6" i="8" s="1"/>
  <c r="J6" i="8" s="1"/>
  <c r="K6" i="8" s="1"/>
  <c r="J10" i="8" s="1"/>
  <c r="R69" i="5"/>
  <c r="W69" i="5"/>
  <c r="Q69" i="5"/>
  <c r="X69" i="5"/>
  <c r="P69" i="5"/>
  <c r="T69" i="5"/>
  <c r="Y69" i="5"/>
  <c r="AC69" i="5"/>
  <c r="AB69" i="5"/>
  <c r="L69" i="5"/>
  <c r="L70" i="5" s="1"/>
  <c r="L71" i="5" s="1"/>
  <c r="AD69" i="5"/>
  <c r="AA69" i="5"/>
  <c r="O69" i="5"/>
  <c r="AF69" i="5"/>
  <c r="AG69" i="5"/>
  <c r="AE69" i="5"/>
  <c r="S69" i="5"/>
  <c r="AH69" i="5"/>
  <c r="M69" i="5"/>
  <c r="V69" i="5"/>
  <c r="M9" i="8"/>
  <c r="AF10" i="5"/>
  <c r="AF24" i="5"/>
  <c r="AF21" i="5" s="1"/>
  <c r="X10" i="5"/>
  <c r="X24" i="5"/>
  <c r="X21" i="5" s="1"/>
  <c r="M24" i="5"/>
  <c r="M21" i="5" s="1"/>
  <c r="M10" i="5"/>
  <c r="M20" i="8"/>
  <c r="N19" i="8"/>
  <c r="AE10" i="5"/>
  <c r="AE24" i="5"/>
  <c r="AE21" i="5" s="1"/>
  <c r="O10" i="5"/>
  <c r="O24" i="5"/>
  <c r="O21" i="5" s="1"/>
  <c r="L10" i="5"/>
  <c r="L11" i="5" s="1"/>
  <c r="L24" i="5"/>
  <c r="L21" i="5" s="1"/>
  <c r="N10" i="5"/>
  <c r="N24" i="5"/>
  <c r="N21" i="5" s="1"/>
  <c r="V10" i="5"/>
  <c r="V24" i="5"/>
  <c r="V21" i="5" s="1"/>
  <c r="AC24" i="5"/>
  <c r="AC21" i="5" s="1"/>
  <c r="AC10" i="5"/>
  <c r="U24" i="5"/>
  <c r="U21" i="5" s="1"/>
  <c r="U10" i="5"/>
  <c r="Y10" i="5"/>
  <c r="Y24" i="5"/>
  <c r="Y21" i="5" s="1"/>
  <c r="R10" i="5"/>
  <c r="R24" i="5"/>
  <c r="R21" i="5" s="1"/>
  <c r="Z24" i="5"/>
  <c r="Z21" i="5" s="1"/>
  <c r="Z10" i="5"/>
  <c r="P24" i="5"/>
  <c r="P21" i="5" s="1"/>
  <c r="P10" i="5"/>
  <c r="AG24" i="5"/>
  <c r="AG21" i="5" s="1"/>
  <c r="AG10" i="5"/>
  <c r="W24" i="5"/>
  <c r="W21" i="5" s="1"/>
  <c r="W10" i="5"/>
  <c r="AH10" i="5"/>
  <c r="AH24" i="5"/>
  <c r="AH21" i="5" s="1"/>
  <c r="F7" i="5"/>
  <c r="F24" i="5"/>
  <c r="Q10" i="5"/>
  <c r="Q24" i="5"/>
  <c r="Q21" i="5" s="1"/>
  <c r="AD10" i="5"/>
  <c r="AD24" i="5"/>
  <c r="AD21" i="5" s="1"/>
  <c r="S24" i="5"/>
  <c r="S21" i="5" s="1"/>
  <c r="S10" i="5"/>
  <c r="T24" i="5"/>
  <c r="T21" i="5" s="1"/>
  <c r="T10" i="5"/>
  <c r="AB24" i="5"/>
  <c r="AB21" i="5" s="1"/>
  <c r="AB10" i="5"/>
  <c r="AA24" i="5"/>
  <c r="AA21" i="5" s="1"/>
  <c r="AA10" i="5"/>
  <c r="A417" i="4" l="1"/>
  <c r="A418" i="4" s="1"/>
  <c r="A419" i="4" s="1"/>
  <c r="A420" i="4" s="1"/>
  <c r="A421" i="4" s="1"/>
  <c r="A422" i="4" s="1"/>
  <c r="A423" i="4" s="1"/>
  <c r="A424" i="4" s="1"/>
  <c r="A425" i="4" s="1"/>
  <c r="A426" i="4" s="1"/>
  <c r="A407" i="4"/>
  <c r="A408" i="4" s="1"/>
  <c r="A409" i="4" s="1"/>
  <c r="A410" i="4" s="1"/>
  <c r="A411" i="4" s="1"/>
  <c r="A412" i="4" s="1"/>
  <c r="A413" i="4" s="1"/>
  <c r="A414" i="4" s="1"/>
  <c r="A415" i="4" s="1"/>
  <c r="A416" i="4" s="1"/>
  <c r="L12" i="5"/>
  <c r="AL66" i="5"/>
  <c r="AK84" i="5"/>
  <c r="AK81" i="5" s="1"/>
  <c r="O141" i="5"/>
  <c r="O140" i="5"/>
  <c r="P139" i="5"/>
  <c r="I135" i="5"/>
  <c r="L72" i="5"/>
  <c r="M70" i="5"/>
  <c r="M71" i="5" s="1"/>
  <c r="L6" i="8"/>
  <c r="L13" i="5"/>
  <c r="M11" i="5"/>
  <c r="M12" i="5" s="1"/>
  <c r="G7" i="5"/>
  <c r="F25" i="5"/>
  <c r="AM66" i="5" l="1"/>
  <c r="AL84" i="5"/>
  <c r="AL81" i="5" s="1"/>
  <c r="I153" i="5"/>
  <c r="J135" i="5"/>
  <c r="P140" i="5"/>
  <c r="P141" i="5"/>
  <c r="Q139" i="5"/>
  <c r="H84" i="5"/>
  <c r="G84" i="5"/>
  <c r="K10" i="8"/>
  <c r="M10" i="8" s="1"/>
  <c r="M6" i="8"/>
  <c r="L10" i="8" s="1"/>
  <c r="M72" i="5"/>
  <c r="N70" i="5"/>
  <c r="N71" i="5" s="1"/>
  <c r="N11" i="5"/>
  <c r="N12" i="5" s="1"/>
  <c r="M13" i="5"/>
  <c r="G25" i="5"/>
  <c r="H7" i="5"/>
  <c r="AN66" i="5" l="1"/>
  <c r="AM84" i="5"/>
  <c r="AM81" i="5" s="1"/>
  <c r="J153" i="5"/>
  <c r="K135" i="5"/>
  <c r="Q140" i="5"/>
  <c r="Q141" i="5"/>
  <c r="R139" i="5"/>
  <c r="I84" i="5"/>
  <c r="N9" i="8"/>
  <c r="O70" i="5"/>
  <c r="O71" i="5" s="1"/>
  <c r="N72" i="5"/>
  <c r="N6" i="8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O11" i="5"/>
  <c r="O12" i="5" s="1"/>
  <c r="N13" i="5"/>
  <c r="I7" i="5"/>
  <c r="H25" i="5"/>
  <c r="AO66" i="5" l="1"/>
  <c r="AN84" i="5"/>
  <c r="AN81" i="5" s="1"/>
  <c r="R140" i="5"/>
  <c r="R141" i="5"/>
  <c r="S139" i="5"/>
  <c r="K153" i="5"/>
  <c r="L135" i="5"/>
  <c r="J84" i="5"/>
  <c r="P70" i="5"/>
  <c r="P71" i="5" s="1"/>
  <c r="O72" i="5"/>
  <c r="P11" i="5"/>
  <c r="P12" i="5" s="1"/>
  <c r="O13" i="5"/>
  <c r="I25" i="5"/>
  <c r="J7" i="5"/>
  <c r="AP66" i="5" l="1"/>
  <c r="AO84" i="5"/>
  <c r="AO81" i="5" s="1"/>
  <c r="L153" i="5"/>
  <c r="L150" i="5" s="1"/>
  <c r="M135" i="5"/>
  <c r="S140" i="5"/>
  <c r="S141" i="5"/>
  <c r="T139" i="5"/>
  <c r="K84" i="5"/>
  <c r="Q70" i="5"/>
  <c r="Q71" i="5" s="1"/>
  <c r="P72" i="5"/>
  <c r="Q11" i="5"/>
  <c r="Q12" i="5" s="1"/>
  <c r="P13" i="5"/>
  <c r="J25" i="5"/>
  <c r="K7" i="5"/>
  <c r="AQ66" i="5" l="1"/>
  <c r="AP84" i="5"/>
  <c r="AP81" i="5" s="1"/>
  <c r="T140" i="5"/>
  <c r="T141" i="5"/>
  <c r="U139" i="5"/>
  <c r="M153" i="5"/>
  <c r="M150" i="5" s="1"/>
  <c r="N135" i="5"/>
  <c r="M84" i="5"/>
  <c r="M81" i="5" s="1"/>
  <c r="R70" i="5"/>
  <c r="R71" i="5" s="1"/>
  <c r="Q72" i="5"/>
  <c r="R11" i="5"/>
  <c r="R12" i="5" s="1"/>
  <c r="Q13" i="5"/>
  <c r="K25" i="5"/>
  <c r="L7" i="5"/>
  <c r="AR66" i="5" l="1"/>
  <c r="AQ84" i="5"/>
  <c r="AQ81" i="5" s="1"/>
  <c r="U140" i="5"/>
  <c r="U141" i="5"/>
  <c r="V139" i="5"/>
  <c r="N153" i="5"/>
  <c r="N150" i="5" s="1"/>
  <c r="O135" i="5"/>
  <c r="N84" i="5"/>
  <c r="N81" i="5" s="1"/>
  <c r="L84" i="5"/>
  <c r="L81" i="5" s="1"/>
  <c r="S70" i="5"/>
  <c r="S71" i="5" s="1"/>
  <c r="R72" i="5"/>
  <c r="R13" i="5"/>
  <c r="S11" i="5"/>
  <c r="S12" i="5" s="1"/>
  <c r="M7" i="5"/>
  <c r="L25" i="5"/>
  <c r="L22" i="5" s="1"/>
  <c r="AS66" i="5" l="1"/>
  <c r="AR84" i="5"/>
  <c r="AR81" i="5" s="1"/>
  <c r="O153" i="5"/>
  <c r="O150" i="5" s="1"/>
  <c r="P135" i="5"/>
  <c r="V141" i="5"/>
  <c r="V140" i="5"/>
  <c r="W139" i="5"/>
  <c r="O84" i="5"/>
  <c r="O81" i="5" s="1"/>
  <c r="S72" i="5"/>
  <c r="T70" i="5"/>
  <c r="T71" i="5" s="1"/>
  <c r="T11" i="5"/>
  <c r="T12" i="5" s="1"/>
  <c r="S13" i="5"/>
  <c r="M25" i="5"/>
  <c r="M22" i="5" s="1"/>
  <c r="N7" i="5"/>
  <c r="AT66" i="5" l="1"/>
  <c r="AS84" i="5"/>
  <c r="AS81" i="5" s="1"/>
  <c r="W141" i="5"/>
  <c r="W140" i="5"/>
  <c r="X139" i="5"/>
  <c r="P153" i="5"/>
  <c r="P150" i="5" s="1"/>
  <c r="Q135" i="5"/>
  <c r="P84" i="5"/>
  <c r="P81" i="5" s="1"/>
  <c r="T72" i="5"/>
  <c r="U70" i="5"/>
  <c r="U71" i="5" s="1"/>
  <c r="U11" i="5"/>
  <c r="U12" i="5" s="1"/>
  <c r="T13" i="5"/>
  <c r="O7" i="5"/>
  <c r="N25" i="5"/>
  <c r="N22" i="5" s="1"/>
  <c r="AU66" i="5" l="1"/>
  <c r="AT84" i="5"/>
  <c r="AT81" i="5" s="1"/>
  <c r="Q153" i="5"/>
  <c r="Q150" i="5" s="1"/>
  <c r="R135" i="5"/>
  <c r="X140" i="5"/>
  <c r="X141" i="5"/>
  <c r="Y139" i="5"/>
  <c r="Q84" i="5"/>
  <c r="Q81" i="5" s="1"/>
  <c r="V70" i="5"/>
  <c r="V71" i="5" s="1"/>
  <c r="U72" i="5"/>
  <c r="V11" i="5"/>
  <c r="V12" i="5" s="1"/>
  <c r="U13" i="5"/>
  <c r="O25" i="5"/>
  <c r="O22" i="5" s="1"/>
  <c r="P7" i="5"/>
  <c r="AV66" i="5" l="1"/>
  <c r="AU84" i="5"/>
  <c r="AU81" i="5" s="1"/>
  <c r="Y140" i="5"/>
  <c r="Y141" i="5"/>
  <c r="Z139" i="5"/>
  <c r="R153" i="5"/>
  <c r="R150" i="5" s="1"/>
  <c r="S135" i="5"/>
  <c r="R84" i="5"/>
  <c r="R81" i="5" s="1"/>
  <c r="W70" i="5"/>
  <c r="W71" i="5" s="1"/>
  <c r="V72" i="5"/>
  <c r="W11" i="5"/>
  <c r="W12" i="5" s="1"/>
  <c r="V13" i="5"/>
  <c r="P25" i="5"/>
  <c r="P22" i="5" s="1"/>
  <c r="Q7" i="5"/>
  <c r="AW66" i="5" l="1"/>
  <c r="AV84" i="5"/>
  <c r="AV81" i="5" s="1"/>
  <c r="Z140" i="5"/>
  <c r="Z141" i="5"/>
  <c r="AA139" i="5"/>
  <c r="S153" i="5"/>
  <c r="S150" i="5" s="1"/>
  <c r="T135" i="5"/>
  <c r="S84" i="5"/>
  <c r="S81" i="5" s="1"/>
  <c r="X70" i="5"/>
  <c r="X71" i="5" s="1"/>
  <c r="W72" i="5"/>
  <c r="X11" i="5"/>
  <c r="X12" i="5" s="1"/>
  <c r="W13" i="5"/>
  <c r="Q25" i="5"/>
  <c r="Q22" i="5" s="1"/>
  <c r="R7" i="5"/>
  <c r="AX66" i="5" l="1"/>
  <c r="AW84" i="5"/>
  <c r="AW81" i="5" s="1"/>
  <c r="T153" i="5"/>
  <c r="T150" i="5" s="1"/>
  <c r="U135" i="5"/>
  <c r="AA140" i="5"/>
  <c r="AA141" i="5"/>
  <c r="AB139" i="5"/>
  <c r="T84" i="5"/>
  <c r="T81" i="5" s="1"/>
  <c r="Y70" i="5"/>
  <c r="Y71" i="5" s="1"/>
  <c r="X72" i="5"/>
  <c r="X13" i="5"/>
  <c r="Y11" i="5"/>
  <c r="Y12" i="5" s="1"/>
  <c r="S7" i="5"/>
  <c r="R25" i="5"/>
  <c r="R22" i="5" s="1"/>
  <c r="AY66" i="5" l="1"/>
  <c r="AX84" i="5"/>
  <c r="AX81" i="5" s="1"/>
  <c r="AB140" i="5"/>
  <c r="AB141" i="5"/>
  <c r="AC139" i="5"/>
  <c r="U153" i="5"/>
  <c r="U150" i="5" s="1"/>
  <c r="V135" i="5"/>
  <c r="U84" i="5"/>
  <c r="U81" i="5" s="1"/>
  <c r="Z70" i="5"/>
  <c r="Z71" i="5" s="1"/>
  <c r="Y72" i="5"/>
  <c r="Y13" i="5"/>
  <c r="Z11" i="5"/>
  <c r="Z12" i="5" s="1"/>
  <c r="S25" i="5"/>
  <c r="S22" i="5" s="1"/>
  <c r="T7" i="5"/>
  <c r="AZ66" i="5" l="1"/>
  <c r="AY84" i="5"/>
  <c r="AY81" i="5" s="1"/>
  <c r="V153" i="5"/>
  <c r="V150" i="5" s="1"/>
  <c r="W135" i="5"/>
  <c r="AC140" i="5"/>
  <c r="AC141" i="5"/>
  <c r="AD139" i="5"/>
  <c r="V84" i="5"/>
  <c r="V81" i="5" s="1"/>
  <c r="AA70" i="5"/>
  <c r="AA71" i="5" s="1"/>
  <c r="Z72" i="5"/>
  <c r="Z13" i="5"/>
  <c r="AA11" i="5"/>
  <c r="AA12" i="5" s="1"/>
  <c r="T25" i="5"/>
  <c r="T22" i="5" s="1"/>
  <c r="U7" i="5"/>
  <c r="BA66" i="5" l="1"/>
  <c r="AZ84" i="5"/>
  <c r="AZ81" i="5" s="1"/>
  <c r="AD141" i="5"/>
  <c r="AD140" i="5"/>
  <c r="AE139" i="5"/>
  <c r="W153" i="5"/>
  <c r="W150" i="5" s="1"/>
  <c r="X135" i="5"/>
  <c r="W84" i="5"/>
  <c r="W81" i="5" s="1"/>
  <c r="AA72" i="5"/>
  <c r="AB70" i="5"/>
  <c r="AB71" i="5" s="1"/>
  <c r="AA13" i="5"/>
  <c r="AB11" i="5"/>
  <c r="AB12" i="5" s="1"/>
  <c r="U25" i="5"/>
  <c r="U22" i="5" s="1"/>
  <c r="V7" i="5"/>
  <c r="BB66" i="5" l="1"/>
  <c r="BA84" i="5"/>
  <c r="BA81" i="5" s="1"/>
  <c r="AE141" i="5"/>
  <c r="AE140" i="5"/>
  <c r="AF139" i="5"/>
  <c r="X153" i="5"/>
  <c r="X150" i="5" s="1"/>
  <c r="Y135" i="5"/>
  <c r="X84" i="5"/>
  <c r="X81" i="5" s="1"/>
  <c r="AC70" i="5"/>
  <c r="AC71" i="5" s="1"/>
  <c r="AB72" i="5"/>
  <c r="AC11" i="5"/>
  <c r="AC12" i="5" s="1"/>
  <c r="AB13" i="5"/>
  <c r="W7" i="5"/>
  <c r="V25" i="5"/>
  <c r="V22" i="5" s="1"/>
  <c r="BC66" i="5" l="1"/>
  <c r="BB84" i="5"/>
  <c r="BB81" i="5" s="1"/>
  <c r="Y153" i="5"/>
  <c r="Y150" i="5" s="1"/>
  <c r="Z135" i="5"/>
  <c r="AF141" i="5"/>
  <c r="AF140" i="5"/>
  <c r="AG139" i="5"/>
  <c r="Y84" i="5"/>
  <c r="Y81" i="5" s="1"/>
  <c r="AD70" i="5"/>
  <c r="AD71" i="5" s="1"/>
  <c r="AC72" i="5"/>
  <c r="AD11" i="5"/>
  <c r="AD12" i="5" s="1"/>
  <c r="AC13" i="5"/>
  <c r="X7" i="5"/>
  <c r="W25" i="5"/>
  <c r="W22" i="5" s="1"/>
  <c r="BD66" i="5" l="1"/>
  <c r="BD84" i="5" s="1"/>
  <c r="BD81" i="5" s="1"/>
  <c r="BC84" i="5"/>
  <c r="BC81" i="5" s="1"/>
  <c r="Z153" i="5"/>
  <c r="Z150" i="5" s="1"/>
  <c r="AA135" i="5"/>
  <c r="AG140" i="5"/>
  <c r="AG141" i="5"/>
  <c r="AH139" i="5"/>
  <c r="Z84" i="5"/>
  <c r="Z81" i="5" s="1"/>
  <c r="AE70" i="5"/>
  <c r="AE71" i="5" s="1"/>
  <c r="AD72" i="5"/>
  <c r="AD13" i="5"/>
  <c r="AE11" i="5"/>
  <c r="AE12" i="5" s="1"/>
  <c r="Y7" i="5"/>
  <c r="X25" i="5"/>
  <c r="X22" i="5" s="1"/>
  <c r="AH140" i="5" l="1"/>
  <c r="AH141" i="5"/>
  <c r="AA153" i="5"/>
  <c r="AA150" i="5" s="1"/>
  <c r="AB135" i="5"/>
  <c r="AA84" i="5"/>
  <c r="AA81" i="5" s="1"/>
  <c r="AF70" i="5"/>
  <c r="AF71" i="5" s="1"/>
  <c r="AE72" i="5"/>
  <c r="AE13" i="5"/>
  <c r="AF11" i="5"/>
  <c r="AF12" i="5" s="1"/>
  <c r="Z7" i="5"/>
  <c r="Y25" i="5"/>
  <c r="Y22" i="5" s="1"/>
  <c r="AB153" i="5" l="1"/>
  <c r="AB150" i="5" s="1"/>
  <c r="AC135" i="5"/>
  <c r="AB84" i="5"/>
  <c r="AB81" i="5" s="1"/>
  <c r="AG70" i="5"/>
  <c r="AG71" i="5" s="1"/>
  <c r="AF72" i="5"/>
  <c r="AG11" i="5"/>
  <c r="AG12" i="5" s="1"/>
  <c r="AF13" i="5"/>
  <c r="Z25" i="5"/>
  <c r="Z22" i="5" s="1"/>
  <c r="AA7" i="5"/>
  <c r="AC153" i="5" l="1"/>
  <c r="AC150" i="5" s="1"/>
  <c r="AD135" i="5"/>
  <c r="AC84" i="5"/>
  <c r="AC81" i="5" s="1"/>
  <c r="AG72" i="5"/>
  <c r="AH70" i="5"/>
  <c r="AH11" i="5"/>
  <c r="AG13" i="5"/>
  <c r="AA25" i="5"/>
  <c r="AA22" i="5" s="1"/>
  <c r="AB7" i="5"/>
  <c r="AI11" i="5" l="1"/>
  <c r="AI12" i="5" s="1"/>
  <c r="AH12" i="5"/>
  <c r="AI70" i="5"/>
  <c r="AI71" i="5" s="1"/>
  <c r="AH71" i="5"/>
  <c r="AD153" i="5"/>
  <c r="AD150" i="5" s="1"/>
  <c r="AE135" i="5"/>
  <c r="AD84" i="5"/>
  <c r="AD81" i="5" s="1"/>
  <c r="AH72" i="5"/>
  <c r="AH13" i="5"/>
  <c r="AB25" i="5"/>
  <c r="AB22" i="5" s="1"/>
  <c r="AC7" i="5"/>
  <c r="AI13" i="5" l="1"/>
  <c r="AI72" i="5"/>
  <c r="AJ11" i="5"/>
  <c r="AJ12" i="5" s="1"/>
  <c r="AJ70" i="5"/>
  <c r="AJ71" i="5" s="1"/>
  <c r="AE153" i="5"/>
  <c r="AE150" i="5" s="1"/>
  <c r="AF135" i="5"/>
  <c r="AD7" i="5"/>
  <c r="AC25" i="5"/>
  <c r="AC22" i="5" s="1"/>
  <c r="AK70" i="5" l="1"/>
  <c r="AK71" i="5" s="1"/>
  <c r="AJ72" i="5"/>
  <c r="AK11" i="5"/>
  <c r="AK12" i="5" s="1"/>
  <c r="AJ13" i="5"/>
  <c r="AF153" i="5"/>
  <c r="AF150" i="5" s="1"/>
  <c r="AG135" i="5"/>
  <c r="AE84" i="5"/>
  <c r="AE81" i="5" s="1"/>
  <c r="AD25" i="5"/>
  <c r="AD22" i="5" s="1"/>
  <c r="AE7" i="5"/>
  <c r="AL70" i="5" l="1"/>
  <c r="AL71" i="5" s="1"/>
  <c r="AK72" i="5"/>
  <c r="AL11" i="5"/>
  <c r="AL12" i="5" s="1"/>
  <c r="AK13" i="5"/>
  <c r="AG153" i="5"/>
  <c r="AG150" i="5" s="1"/>
  <c r="AH135" i="5"/>
  <c r="AH153" i="5" s="1"/>
  <c r="AH150" i="5" s="1"/>
  <c r="AF84" i="5"/>
  <c r="AF81" i="5" s="1"/>
  <c r="AE25" i="5"/>
  <c r="AE22" i="5" s="1"/>
  <c r="AF7" i="5"/>
  <c r="AM70" i="5" l="1"/>
  <c r="AM71" i="5" s="1"/>
  <c r="AL72" i="5"/>
  <c r="AM11" i="5"/>
  <c r="AM12" i="5" s="1"/>
  <c r="AL13" i="5"/>
  <c r="AG84" i="5"/>
  <c r="AG81" i="5" s="1"/>
  <c r="AH84" i="5"/>
  <c r="AH81" i="5" s="1"/>
  <c r="AF25" i="5"/>
  <c r="AF22" i="5" s="1"/>
  <c r="AG7" i="5"/>
  <c r="AN70" i="5" l="1"/>
  <c r="AN71" i="5" s="1"/>
  <c r="AM72" i="5"/>
  <c r="AM13" i="5"/>
  <c r="AN11" i="5"/>
  <c r="AN12" i="5" s="1"/>
  <c r="AG25" i="5"/>
  <c r="AG22" i="5" s="1"/>
  <c r="AH7" i="5"/>
  <c r="AO70" i="5" l="1"/>
  <c r="AO71" i="5" s="1"/>
  <c r="AN72" i="5"/>
  <c r="AO11" i="5"/>
  <c r="AO12" i="5" s="1"/>
  <c r="AN13" i="5"/>
  <c r="AH25" i="5"/>
  <c r="AH22" i="5" s="1"/>
  <c r="AI7" i="5"/>
  <c r="AP11" i="5" l="1"/>
  <c r="AP12" i="5" s="1"/>
  <c r="AP70" i="5"/>
  <c r="AP71" i="5" s="1"/>
  <c r="AO72" i="5"/>
  <c r="AO13" i="5"/>
  <c r="AJ7" i="5"/>
  <c r="AI25" i="5"/>
  <c r="AI22" i="5" s="1"/>
  <c r="AQ11" i="5" l="1"/>
  <c r="AQ12" i="5" s="1"/>
  <c r="AP13" i="5"/>
  <c r="AQ70" i="5"/>
  <c r="AQ71" i="5" s="1"/>
  <c r="AP72" i="5"/>
  <c r="AK7" i="5"/>
  <c r="AJ25" i="5"/>
  <c r="AJ22" i="5" s="1"/>
  <c r="AR11" i="5" l="1"/>
  <c r="AR12" i="5" s="1"/>
  <c r="AQ13" i="5"/>
  <c r="AR70" i="5"/>
  <c r="AR71" i="5" s="1"/>
  <c r="AQ72" i="5"/>
  <c r="AL7" i="5"/>
  <c r="AK25" i="5"/>
  <c r="AK22" i="5" s="1"/>
  <c r="AS11" i="5" l="1"/>
  <c r="AS12" i="5" s="1"/>
  <c r="AR13" i="5"/>
  <c r="AR72" i="5"/>
  <c r="AS70" i="5"/>
  <c r="AS71" i="5" s="1"/>
  <c r="AM7" i="5"/>
  <c r="AL25" i="5"/>
  <c r="AL22" i="5" s="1"/>
  <c r="AS13" i="5" l="1"/>
  <c r="AT11" i="5"/>
  <c r="AT12" i="5" s="1"/>
  <c r="AT70" i="5"/>
  <c r="AT71" i="5" s="1"/>
  <c r="AS72" i="5"/>
  <c r="AN7" i="5"/>
  <c r="AM25" i="5"/>
  <c r="AM22" i="5" s="1"/>
  <c r="AU11" i="5" l="1"/>
  <c r="AU12" i="5" s="1"/>
  <c r="AT13" i="5"/>
  <c r="AU70" i="5"/>
  <c r="AU71" i="5" s="1"/>
  <c r="AT72" i="5"/>
  <c r="AO7" i="5"/>
  <c r="AN25" i="5"/>
  <c r="AN22" i="5" s="1"/>
  <c r="AV11" i="5" l="1"/>
  <c r="AV12" i="5" s="1"/>
  <c r="AU13" i="5"/>
  <c r="AV70" i="5"/>
  <c r="AV71" i="5" s="1"/>
  <c r="AU72" i="5"/>
  <c r="AP7" i="5"/>
  <c r="AO25" i="5"/>
  <c r="AO22" i="5" s="1"/>
  <c r="AV13" i="5" l="1"/>
  <c r="AW11" i="5"/>
  <c r="AW12" i="5" s="1"/>
  <c r="AW70" i="5"/>
  <c r="AW71" i="5" s="1"/>
  <c r="AV72" i="5"/>
  <c r="AQ7" i="5"/>
  <c r="AP25" i="5"/>
  <c r="AP22" i="5" s="1"/>
  <c r="AW13" i="5" l="1"/>
  <c r="AX11" i="5"/>
  <c r="AX12" i="5" s="1"/>
  <c r="AX70" i="5"/>
  <c r="AX71" i="5" s="1"/>
  <c r="AW72" i="5"/>
  <c r="AR7" i="5"/>
  <c r="AQ25" i="5"/>
  <c r="AQ22" i="5" s="1"/>
  <c r="AY11" i="5" l="1"/>
  <c r="AY12" i="5" s="1"/>
  <c r="AX13" i="5"/>
  <c r="AY70" i="5"/>
  <c r="AY71" i="5" s="1"/>
  <c r="AX72" i="5"/>
  <c r="AS7" i="5"/>
  <c r="AR25" i="5"/>
  <c r="AR22" i="5" s="1"/>
  <c r="AZ11" i="5" l="1"/>
  <c r="AZ12" i="5" s="1"/>
  <c r="AY13" i="5"/>
  <c r="AZ70" i="5"/>
  <c r="AZ71" i="5" s="1"/>
  <c r="AY72" i="5"/>
  <c r="AT7" i="5"/>
  <c r="AS25" i="5"/>
  <c r="AS22" i="5" s="1"/>
  <c r="BA11" i="5" l="1"/>
  <c r="BA12" i="5" s="1"/>
  <c r="AZ13" i="5"/>
  <c r="BA70" i="5"/>
  <c r="BA71" i="5" s="1"/>
  <c r="AZ72" i="5"/>
  <c r="AU7" i="5"/>
  <c r="AT25" i="5"/>
  <c r="AT22" i="5" s="1"/>
  <c r="BB11" i="5" l="1"/>
  <c r="BB12" i="5" s="1"/>
  <c r="BA13" i="5"/>
  <c r="BB70" i="5"/>
  <c r="BB71" i="5" s="1"/>
  <c r="BA72" i="5"/>
  <c r="AV7" i="5"/>
  <c r="AU25" i="5"/>
  <c r="AU22" i="5" s="1"/>
  <c r="BC11" i="5" l="1"/>
  <c r="BC12" i="5" s="1"/>
  <c r="BB13" i="5"/>
  <c r="BC70" i="5"/>
  <c r="BC71" i="5" s="1"/>
  <c r="BB72" i="5"/>
  <c r="AW7" i="5"/>
  <c r="AV25" i="5"/>
  <c r="AV22" i="5" s="1"/>
  <c r="BD11" i="5" l="1"/>
  <c r="BD12" i="5" s="1"/>
  <c r="BC13" i="5"/>
  <c r="BC72" i="5"/>
  <c r="BD70" i="5"/>
  <c r="BD71" i="5" s="1"/>
  <c r="AX7" i="5"/>
  <c r="AW25" i="5"/>
  <c r="AW22" i="5" s="1"/>
  <c r="BD13" i="5" l="1"/>
  <c r="BD72" i="5"/>
  <c r="AY7" i="5"/>
  <c r="AX25" i="5"/>
  <c r="AX22" i="5" s="1"/>
  <c r="AZ7" i="5" l="1"/>
  <c r="AY25" i="5"/>
  <c r="AY22" i="5" s="1"/>
  <c r="BA7" i="5" l="1"/>
  <c r="AZ25" i="5"/>
  <c r="AZ22" i="5" s="1"/>
  <c r="BB7" i="5" l="1"/>
  <c r="BA25" i="5"/>
  <c r="BA22" i="5" s="1"/>
  <c r="BC7" i="5" l="1"/>
  <c r="BB25" i="5"/>
  <c r="BB22" i="5" s="1"/>
  <c r="BD7" i="5" l="1"/>
  <c r="BD25" i="5" s="1"/>
  <c r="BD22" i="5" s="1"/>
  <c r="BC25" i="5"/>
  <c r="BC22" i="5" s="1"/>
</calcChain>
</file>

<file path=xl/comments1.xml><?xml version="1.0" encoding="utf-8"?>
<comments xmlns="http://schemas.openxmlformats.org/spreadsheetml/2006/main">
  <authors>
    <author>Haden Phifer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Haden Phifer:</t>
        </r>
        <r>
          <rPr>
            <sz val="9"/>
            <color indexed="81"/>
            <rFont val="Tahoma"/>
            <family val="2"/>
          </rPr>
          <t xml:space="preserve">
Columns in yellow are needed for Total tabs and Final SR tab.
Green columns can be adjusted as need</t>
        </r>
      </text>
    </comment>
  </commentList>
</comments>
</file>

<file path=xl/sharedStrings.xml><?xml version="1.0" encoding="utf-8"?>
<sst xmlns="http://schemas.openxmlformats.org/spreadsheetml/2006/main" count="16785" uniqueCount="363">
  <si>
    <t xml:space="preserve">               </t>
  </si>
  <si>
    <t xml:space="preserve">SHIP           </t>
  </si>
  <si>
    <t xml:space="preserve">FAB            </t>
  </si>
  <si>
    <t xml:space="preserve">RAW            </t>
  </si>
  <si>
    <t/>
  </si>
  <si>
    <t xml:space="preserve">ETD Date                                     </t>
  </si>
  <si>
    <t>Family Totals</t>
  </si>
  <si>
    <t xml:space="preserve">Net Family Totals                            </t>
  </si>
  <si>
    <t xml:space="preserve">Cum Family Totals                            </t>
  </si>
  <si>
    <t>THIS WEEK</t>
  </si>
  <si>
    <t>NET</t>
  </si>
  <si>
    <t>CUM</t>
  </si>
  <si>
    <t>LAST SR</t>
  </si>
  <si>
    <t>TOTAL NO OF PALLETS</t>
  </si>
  <si>
    <t>NO OF CONTAINERS</t>
  </si>
  <si>
    <t xml:space="preserve">ETD                               </t>
  </si>
  <si>
    <t>NORMAL</t>
  </si>
  <si>
    <t>EXTENDED</t>
  </si>
  <si>
    <t>MAXIMUM</t>
  </si>
  <si>
    <t xml:space="preserve">CUM Family Totals                            </t>
  </si>
  <si>
    <t xml:space="preserve">Net Totals w/o Level Load                            </t>
  </si>
  <si>
    <t xml:space="preserve">Cum Totals w/o Level Load                            </t>
  </si>
  <si>
    <t>(SAP vs Level Load)</t>
  </si>
  <si>
    <t>CUM Diff</t>
  </si>
  <si>
    <t>Extra DOH</t>
  </si>
  <si>
    <t>Estimated Cost</t>
  </si>
  <si>
    <t>Working days</t>
  </si>
  <si>
    <t>Planned Capacity</t>
  </si>
  <si>
    <t>Difference Capacity - SR</t>
  </si>
  <si>
    <t>Net Difference</t>
  </si>
  <si>
    <t>Cum Difference</t>
  </si>
  <si>
    <t>SR Waterfall</t>
  </si>
  <si>
    <t>Net Totals</t>
  </si>
  <si>
    <t>Cum Totals</t>
  </si>
  <si>
    <t xml:space="preserve">Part Number </t>
  </si>
  <si>
    <t>SAP ID</t>
  </si>
  <si>
    <t xml:space="preserve">AFF </t>
  </si>
  <si>
    <t xml:space="preserve">Carline </t>
  </si>
  <si>
    <t xml:space="preserve">MY </t>
  </si>
  <si>
    <t>Market</t>
  </si>
  <si>
    <t xml:space="preserve">Last ETD or First ETD </t>
  </si>
  <si>
    <t xml:space="preserve">BO or SOP </t>
  </si>
  <si>
    <t xml:space="preserve">Service Overbuy </t>
  </si>
  <si>
    <t>Qty Service</t>
  </si>
  <si>
    <t xml:space="preserve">PSA Number </t>
  </si>
  <si>
    <t>C/O</t>
  </si>
  <si>
    <t>SNP</t>
  </si>
  <si>
    <t>Vendor Code</t>
  </si>
  <si>
    <t>Yazaki North America, Inc.</t>
  </si>
  <si>
    <t>Supplier Shipping Release</t>
  </si>
  <si>
    <t xml:space="preserve">Ordering Plant                               </t>
  </si>
  <si>
    <t xml:space="preserve">Ordering Plant Name                          </t>
  </si>
  <si>
    <t xml:space="preserve">Memphis                                      </t>
  </si>
  <si>
    <t xml:space="preserve">Product Group  </t>
  </si>
  <si>
    <t xml:space="preserve">NONE           </t>
  </si>
  <si>
    <t xml:space="preserve">Vendor                                       </t>
  </si>
  <si>
    <t xml:space="preserve">Vendor Name                                  </t>
  </si>
  <si>
    <t xml:space="preserve">Date Created   </t>
  </si>
  <si>
    <t xml:space="preserve">                                             </t>
  </si>
  <si>
    <t>PSA#</t>
  </si>
  <si>
    <t>Release#</t>
  </si>
  <si>
    <t>BEAMS ID</t>
  </si>
  <si>
    <t>Release Date</t>
  </si>
  <si>
    <t>Std. Pack</t>
  </si>
  <si>
    <t>YNA Part#</t>
  </si>
  <si>
    <t>YNA Part Description</t>
  </si>
  <si>
    <t>Model Year</t>
  </si>
  <si>
    <t>Eng. Revision</t>
  </si>
  <si>
    <t>Customer Part#</t>
  </si>
  <si>
    <t>PIA Part#</t>
  </si>
  <si>
    <t>High Fab</t>
  </si>
  <si>
    <t>ETD Date</t>
  </si>
  <si>
    <t>High Raw</t>
  </si>
  <si>
    <t>Car line</t>
  </si>
  <si>
    <t>Net</t>
  </si>
  <si>
    <t>Family</t>
  </si>
  <si>
    <t>Cum</t>
  </si>
  <si>
    <t>Cum Received</t>
  </si>
  <si>
    <t xml:space="preserve">Last Goods Receipt Invoice                   </t>
  </si>
  <si>
    <t>Comments</t>
  </si>
  <si>
    <t>JAI</t>
  </si>
  <si>
    <t>220D-HV</t>
  </si>
  <si>
    <t xml:space="preserve">PT JATIM AUTOCOMP INDONESIA                  </t>
  </si>
  <si>
    <t>ETA Date</t>
  </si>
  <si>
    <t>82115-0EA10</t>
  </si>
  <si>
    <t>GRAND HIGHLANDER HYBRID 200D</t>
  </si>
  <si>
    <t>82115-0E480</t>
  </si>
  <si>
    <t>82115-0E490</t>
  </si>
  <si>
    <t>82115-0EA00</t>
  </si>
  <si>
    <t>82115-0E440</t>
  </si>
  <si>
    <t>82115-0E460</t>
  </si>
  <si>
    <t>GRAND HIGHLANDER 200D</t>
  </si>
  <si>
    <t>82115-0E450</t>
  </si>
  <si>
    <t>Total</t>
  </si>
  <si>
    <t>Net Family Totals</t>
  </si>
  <si>
    <t>Cum Family Totals</t>
  </si>
  <si>
    <t>JAI Meeting Notes from 01/05</t>
  </si>
  <si>
    <t>Release Notes from 01/05</t>
  </si>
  <si>
    <t>JAI Meeting Notes from 01/08</t>
  </si>
  <si>
    <t>Release Notes from 01/10</t>
  </si>
  <si>
    <t>Release Notes from 01/15</t>
  </si>
  <si>
    <t>Release Notes from 01/22</t>
  </si>
  <si>
    <t>Release Notes from 01/29</t>
  </si>
  <si>
    <t>Release Notes from 02/05</t>
  </si>
  <si>
    <t>Release Notes from 02/12</t>
  </si>
  <si>
    <t>Release Notes from 02/19</t>
  </si>
  <si>
    <t>Release Notes from 02/26</t>
  </si>
  <si>
    <t>Release Notes from 03/04</t>
  </si>
  <si>
    <t>.</t>
  </si>
  <si>
    <t>Release Notes from 03/11</t>
  </si>
  <si>
    <t>Release Notes from 03/18</t>
  </si>
  <si>
    <t>82115-0E501</t>
  </si>
  <si>
    <t>564D-GAS</t>
  </si>
  <si>
    <t>L/O</t>
  </si>
  <si>
    <t>82115-0E511</t>
  </si>
  <si>
    <t>82115-0E521</t>
  </si>
  <si>
    <t>82115-0E531</t>
  </si>
  <si>
    <t>82115-0E541</t>
  </si>
  <si>
    <t>82115-0E551</t>
  </si>
  <si>
    <t>82115-0E561</t>
  </si>
  <si>
    <t>82115-0EA21</t>
  </si>
  <si>
    <t>82115-0EA31</t>
  </si>
  <si>
    <t>82115-0E310</t>
  </si>
  <si>
    <t>82115-0EZ30</t>
  </si>
  <si>
    <t>82115-0EZ40</t>
  </si>
  <si>
    <t>82115-0EZ50</t>
  </si>
  <si>
    <t>82115-0EZ60</t>
  </si>
  <si>
    <t>82115-0EZ70</t>
  </si>
  <si>
    <t>82115-0EZ80</t>
  </si>
  <si>
    <t>82115-0EZ90</t>
  </si>
  <si>
    <t>LEXUS TX 564D</t>
  </si>
  <si>
    <t>F0014825701</t>
  </si>
  <si>
    <t>82115-0E310_A0 564D-2025 82115</t>
  </si>
  <si>
    <t xml:space="preserve">A0             </t>
  </si>
  <si>
    <t>F0014825801</t>
  </si>
  <si>
    <t>82115-0EZ80_A0 564D-2025 82115</t>
  </si>
  <si>
    <t>F0014825901</t>
  </si>
  <si>
    <t>82115-0EZ30_A0 564D-2025 82115</t>
  </si>
  <si>
    <t>F0014826001</t>
  </si>
  <si>
    <t>F0014826101</t>
  </si>
  <si>
    <t>F0014826201</t>
  </si>
  <si>
    <t>F0014826301</t>
  </si>
  <si>
    <t>82115-0EZ70_A0 564D-2025 82115</t>
  </si>
  <si>
    <t>F0014826401</t>
  </si>
  <si>
    <t>F0014826501</t>
  </si>
  <si>
    <t>F0014826601</t>
  </si>
  <si>
    <t>F0014826701</t>
  </si>
  <si>
    <t>F0014826801</t>
  </si>
  <si>
    <t>F0014826901</t>
  </si>
  <si>
    <t>F0014827001</t>
  </si>
  <si>
    <t>F0014827101</t>
  </si>
  <si>
    <t>F0014827201</t>
  </si>
  <si>
    <t>F0014827301</t>
  </si>
  <si>
    <t>220D-GAS</t>
  </si>
  <si>
    <t>F0013547307</t>
  </si>
  <si>
    <t>F0013546307</t>
  </si>
  <si>
    <t>F0013547907</t>
  </si>
  <si>
    <t>F0013548107</t>
  </si>
  <si>
    <t>F0013548007</t>
  </si>
  <si>
    <t>F0013547807</t>
  </si>
  <si>
    <t>JAOJ40122B</t>
  </si>
  <si>
    <t>Boxes</t>
  </si>
  <si>
    <t>40FT</t>
  </si>
  <si>
    <t>JAOJ40161B</t>
  </si>
  <si>
    <t>F0013547808</t>
  </si>
  <si>
    <t>F0013547908</t>
  </si>
  <si>
    <t>F0013548008</t>
  </si>
  <si>
    <t>F0013548108</t>
  </si>
  <si>
    <t>F0013546308</t>
  </si>
  <si>
    <t>F0013547308</t>
  </si>
  <si>
    <t>SHIP</t>
  </si>
  <si>
    <t>491D-HV</t>
  </si>
  <si>
    <t>F0013547909</t>
  </si>
  <si>
    <t>F0013548109</t>
  </si>
  <si>
    <t>F0013548009</t>
  </si>
  <si>
    <t>F0013547809</t>
  </si>
  <si>
    <t>F0013547309</t>
  </si>
  <si>
    <t>F0013546309</t>
  </si>
  <si>
    <t>F0014826803</t>
  </si>
  <si>
    <t>F0014827303</t>
  </si>
  <si>
    <t>F0014826703</t>
  </si>
  <si>
    <t>F0014827203</t>
  </si>
  <si>
    <t>F0014826603</t>
  </si>
  <si>
    <t>F0014827003</t>
  </si>
  <si>
    <t>F0014826503</t>
  </si>
  <si>
    <t>F0014826903</t>
  </si>
  <si>
    <t>F0014827103</t>
  </si>
  <si>
    <t>F0014825903</t>
  </si>
  <si>
    <t>F0014826103</t>
  </si>
  <si>
    <t>F0014826403</t>
  </si>
  <si>
    <t>F0014826003</t>
  </si>
  <si>
    <t>F0014826303</t>
  </si>
  <si>
    <t>F0014825803</t>
  </si>
  <si>
    <t>F0014826203</t>
  </si>
  <si>
    <t>82115-0EA10_J1 491D HV-2025 82115</t>
  </si>
  <si>
    <t xml:space="preserve">J1             </t>
  </si>
  <si>
    <t>82115-0E490_J1 491D HV-2025 82115</t>
  </si>
  <si>
    <t>82115-0EA00_K0 200D-2023 82115</t>
  </si>
  <si>
    <t xml:space="preserve">K0             </t>
  </si>
  <si>
    <t>82115-0E440_K0 200D-2023 82115</t>
  </si>
  <si>
    <t>82115-0E460_K0 200D-2023 82115</t>
  </si>
  <si>
    <t>82115-0E450_K0 200D-2023 82115</t>
  </si>
  <si>
    <t>82115-0EZ80_B1 564D-2025 82115</t>
  </si>
  <si>
    <t xml:space="preserve">B1             </t>
  </si>
  <si>
    <t>82115-0EZ30_B1 564D-2025 82115</t>
  </si>
  <si>
    <t>82115-0EZ60_B1 564D-2025 82115</t>
  </si>
  <si>
    <t>82115-0EZ40_B1 564D-2025 82115</t>
  </si>
  <si>
    <t>82115-0EZ90_B1 564D-2025 82115</t>
  </si>
  <si>
    <t>82115-0EZ70_B1 564D-2025 82115</t>
  </si>
  <si>
    <t>82115-0EZ50_B1 564D-2025 82115</t>
  </si>
  <si>
    <t>Release Notes from 1/13/25</t>
  </si>
  <si>
    <t>GAS</t>
  </si>
  <si>
    <t>Daily Capacity</t>
  </si>
  <si>
    <t>1. 564 and 491 Gas requirements combined into 1 waterfall (GAS) on TOTALss tab</t>
  </si>
  <si>
    <t>3. Requirements for ETD 3/31 zeroed out, spread out between the 3 weeks before</t>
  </si>
  <si>
    <t>4. 400 pcs per week added for ETD 4/21-6/16 for F0013546509</t>
  </si>
  <si>
    <t>2. Most containers cubed out through ETD 3/24</t>
  </si>
  <si>
    <t>Release Notes from 1/20/25</t>
  </si>
  <si>
    <t>1. Most containers cubed out through ETD 3/31</t>
  </si>
  <si>
    <t>2. Decreases on ETD 2/3 to 3/3, 4/28, and 5/5 to for GAS parts</t>
  </si>
  <si>
    <t>3. Decreases from ETD 4/21 to 6/23 for HV parts</t>
  </si>
  <si>
    <t>Release Notes from 1/27/25</t>
  </si>
  <si>
    <t>3. Due to decreases in EDI, supplemental requirements for 82115-0E480 are no longer needed and have been taken off</t>
  </si>
  <si>
    <t>2. F0013548110 (82115-0E450): Large increase on ETD 2/10</t>
  </si>
  <si>
    <t>1. F0013548107 (82115-0E450): 544 pcs on ETD 2/3 taken off</t>
  </si>
  <si>
    <t>Release Notes from 2/3/25</t>
  </si>
  <si>
    <t>1. Gas increases, HV decreases starting ETD 2/17 through 7/7. Based on newest volume forecast from Toyota</t>
  </si>
  <si>
    <t>Release Notes from 2/27/25</t>
  </si>
  <si>
    <t>1. Slight Gas decreases ETD 3/17 and 3/24. Caused by customer zero-order day in March</t>
  </si>
  <si>
    <t xml:space="preserve">Super Product Group </t>
  </si>
  <si>
    <t>Product Group</t>
  </si>
  <si>
    <t>DC</t>
  </si>
  <si>
    <t>Project Code</t>
  </si>
  <si>
    <t>Model Code</t>
  </si>
  <si>
    <t>491D</t>
  </si>
  <si>
    <t>564D</t>
  </si>
  <si>
    <t>910W</t>
  </si>
  <si>
    <t>909W</t>
  </si>
  <si>
    <t>Grand Highlander</t>
  </si>
  <si>
    <t>Lexus TX</t>
  </si>
  <si>
    <t>B</t>
  </si>
  <si>
    <t>C</t>
  </si>
  <si>
    <t>F0013546510</t>
  </si>
  <si>
    <t>JAOJ50106B</t>
  </si>
  <si>
    <t>Final CUM</t>
  </si>
  <si>
    <t>82115-0E561_B1 564D-2025 82115</t>
  </si>
  <si>
    <t>82115-0E541_A0 564D-2025 82115</t>
  </si>
  <si>
    <t>JAOJ40141B</t>
  </si>
  <si>
    <t>82115-0E541_B1 564D-2025 82115</t>
  </si>
  <si>
    <t>82115-0E521_B1 564D-2025 82115</t>
  </si>
  <si>
    <t>82115-0E501_A0 564D-2025 82115</t>
  </si>
  <si>
    <t>82115-0E501_B1 564D-2025 82115</t>
  </si>
  <si>
    <t>82115-0EA21_A0 564D-2025 82115</t>
  </si>
  <si>
    <t>JAOJ40140B</t>
  </si>
  <si>
    <t>82115-0EA21_B1 564D-2025 82115</t>
  </si>
  <si>
    <t>82115-0E551_A0 564D-2025 82115</t>
  </si>
  <si>
    <t>82115-0E551_B1 564D-2025 82115</t>
  </si>
  <si>
    <t>82115-0EA31_A0 564D-2025 82115</t>
  </si>
  <si>
    <t>82115-0EA31_B1 564D-2025 82115</t>
  </si>
  <si>
    <t>82115-0E531_B1 564D-2025 82115</t>
  </si>
  <si>
    <t>A</t>
  </si>
  <si>
    <t>82115-0E511_B1 564D-2025 82115</t>
  </si>
  <si>
    <t>Rank</t>
  </si>
  <si>
    <t>82115-0E480_K0 491D-2025 82115</t>
  </si>
  <si>
    <t>F0014825702</t>
  </si>
  <si>
    <t>F0013547812</t>
  </si>
  <si>
    <t>564D_82115_25</t>
  </si>
  <si>
    <t>TOYOTA_200D_82115</t>
  </si>
  <si>
    <t>GRAND HL 82115</t>
  </si>
  <si>
    <t>LEXUS TX 82115</t>
  </si>
  <si>
    <t>F0013547912</t>
  </si>
  <si>
    <t>F0013548112</t>
  </si>
  <si>
    <t>F0013548012</t>
  </si>
  <si>
    <t>F0013546310</t>
  </si>
  <si>
    <t>F0013547310</t>
  </si>
  <si>
    <t>SIJ1605003663</t>
  </si>
  <si>
    <t>82115-0EA10_K0 491D-2025 82115</t>
  </si>
  <si>
    <t>82115-0E490_K0 491D-2025 82115</t>
  </si>
  <si>
    <t>82115-0EA00_M0 777D-2027 82115</t>
  </si>
  <si>
    <t xml:space="preserve">M0             </t>
  </si>
  <si>
    <t>82115-0E440_M0 777D-2027 82115</t>
  </si>
  <si>
    <t>82115-0E460_M0 777D-2027 82115</t>
  </si>
  <si>
    <t>82115-0E450_M0 777D-2027 82115</t>
  </si>
  <si>
    <t>82115-0E310_B0 564D-2025 82115</t>
  </si>
  <si>
    <t xml:space="preserve">B0             </t>
  </si>
  <si>
    <t>F0013547911</t>
  </si>
  <si>
    <t>F0013548111</t>
  </si>
  <si>
    <t>F0013548011</t>
  </si>
  <si>
    <t>F0013547811</t>
  </si>
  <si>
    <t>495D</t>
  </si>
  <si>
    <t>82115-0EA00_L0 491D-2025 82115</t>
  </si>
  <si>
    <t>82115-0E460_L0 491D-2025 82115</t>
  </si>
  <si>
    <t>82115-0E450_L0 491D-2025 82115</t>
  </si>
  <si>
    <t>82115-0E440_L0 491D-2025 82115</t>
  </si>
  <si>
    <t xml:space="preserve">L0             </t>
  </si>
  <si>
    <t>GRAND HIGHLANDER 491D</t>
  </si>
  <si>
    <t>495D-HV</t>
  </si>
  <si>
    <t>JAOJ50240B</t>
  </si>
  <si>
    <t>1. Time fence not extending all the way to FAB week on 82115-0E460 / F0013548011 and  82115-0E450 / F0013548111</t>
  </si>
  <si>
    <t>2. Slight decreases ETD 3/2 and 3/9 on both gas and HV</t>
  </si>
  <si>
    <t>Pending</t>
  </si>
  <si>
    <t>Release Notes from 2/23/25</t>
  </si>
  <si>
    <t>1.  Toyota approved level M parts, need JAI's implementation date</t>
  </si>
  <si>
    <t>JAOJ50234B</t>
  </si>
  <si>
    <t>SNPs: 100</t>
  </si>
  <si>
    <t>Release Notes from 3/2/25</t>
  </si>
  <si>
    <t>3.) Multiplier increase</t>
  </si>
  <si>
    <t>1.) Adjust level M first ETD to 3/9, in alignment with delivery schedule</t>
  </si>
  <si>
    <t>4.) Ask JAI what happened with container delays in February</t>
  </si>
  <si>
    <t>JAOJ60001B</t>
  </si>
  <si>
    <t>SNPs: 95</t>
  </si>
  <si>
    <t>GRAND HIGHLANDER HYBRID 491D</t>
  </si>
  <si>
    <t>SNPs: 1</t>
  </si>
  <si>
    <t>SNPs: -76</t>
  </si>
  <si>
    <t>SNPs: -180</t>
  </si>
  <si>
    <t>GRAND HIGHLANDER 495D</t>
  </si>
  <si>
    <t>SNPs: -32</t>
  </si>
  <si>
    <t>SNPs: 59</t>
  </si>
  <si>
    <t>SNPs: -198</t>
  </si>
  <si>
    <t>GRAND HIGHLANDER 777D</t>
  </si>
  <si>
    <t>SNPs: 130</t>
  </si>
  <si>
    <t>SNPs: -18</t>
  </si>
  <si>
    <t>SNPs: 41</t>
  </si>
  <si>
    <t>SNPs: -10</t>
  </si>
  <si>
    <t>SNPs: 4</t>
  </si>
  <si>
    <t>SNPs: 2</t>
  </si>
  <si>
    <t>5.) Ask for updated capacity check to be filled out</t>
  </si>
  <si>
    <t>2.) 82115-0E480: Reduction from 348/wk to 248/wk starting ETD 3/30</t>
  </si>
  <si>
    <t>Release Notes from 2/16/26</t>
  </si>
  <si>
    <t>82115-0EA10 J</t>
  </si>
  <si>
    <t>82115-0EA10 K</t>
  </si>
  <si>
    <t>82115-0E480 K</t>
  </si>
  <si>
    <t>82115-0E490 J</t>
  </si>
  <si>
    <t>82115-0E490 K</t>
  </si>
  <si>
    <t>82115-0EA00.</t>
  </si>
  <si>
    <t>82115-0EA00 L</t>
  </si>
  <si>
    <t>82115-0EA00 M</t>
  </si>
  <si>
    <t>82115-0E440.</t>
  </si>
  <si>
    <t>82115-0E440 L</t>
  </si>
  <si>
    <t>82115-0E440 M</t>
  </si>
  <si>
    <t>82115-0E460.</t>
  </si>
  <si>
    <t>82115-0E460 L</t>
  </si>
  <si>
    <t>82115-0E460 M</t>
  </si>
  <si>
    <t>82115-0E450.</t>
  </si>
  <si>
    <t>82115-0E450 L</t>
  </si>
  <si>
    <t>82115-0E450 M</t>
  </si>
  <si>
    <t>82115-0E310 B</t>
  </si>
  <si>
    <t>82115-0EZ80 B</t>
  </si>
  <si>
    <t>82115-0EZ30 B</t>
  </si>
  <si>
    <t>82115-0EZ60 B</t>
  </si>
  <si>
    <t>82115-0EZ40 B</t>
  </si>
  <si>
    <t>82115-0EZ90 B</t>
  </si>
  <si>
    <t>82115-0EZ70 B</t>
  </si>
  <si>
    <t>82115-0EZ50 B</t>
  </si>
  <si>
    <t>82115-0E561 B</t>
  </si>
  <si>
    <t>82115-0E541 B</t>
  </si>
  <si>
    <t>82115-0E521 B</t>
  </si>
  <si>
    <t>82115-0E501 B</t>
  </si>
  <si>
    <t>82115-0EA21 B</t>
  </si>
  <si>
    <t>82115-0E551 B</t>
  </si>
  <si>
    <t>82115-0EA31 B</t>
  </si>
  <si>
    <t>82115-0E531 B</t>
  </si>
  <si>
    <t>82115-0E511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</si>
</sst>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164" formatCode="m/d/yy"/>
    <numFmt numFmtId="165" formatCode="mm/d/yy"/>
    <numFmt numFmtId="166" formatCode="mm/dd/yy;@"/>
    <numFmt numFmtId="167" formatCode="_(&quot;$&quot;* #,##0_);_(&quot;$&quot;* \(#,##0\);_(&quot;$&quot;* &quot;-&quot;??_);_(@_)"/>
    <numFmt numFmtId="168" formatCode="0.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indexed="55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43"/>
      <name val="Calibri"/>
      <family val="2"/>
      <scheme val="minor"/>
    </font>
    <font>
      <b/>
      <sz val="11"/>
      <color indexed="4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2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1"/>
      <color indexed="18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/>
    <xf numFmtId="0" fontId="1" fillId="0" borderId="0"/>
    <xf numFmtId="44" fontId="1" fillId="0" borderId="0" applyFont="0" applyFill="0" applyBorder="0" applyAlignment="0" applyProtection="0"/>
    <xf numFmtId="0" fontId="38" fillId="0" borderId="0"/>
    <xf numFmtId="0" fontId="24" fillId="0" borderId="0"/>
  </cellStyleXfs>
  <cellXfs count="253">
    <xf numFmtId="0" fontId="0" fillId="0" borderId="0" xfId="0"/>
    <xf numFmtId="0" fontId="16" fillId="0" borderId="0" xfId="0" applyFont="1"/>
    <xf numFmtId="0" fontId="18" fillId="33" borderId="10" xfId="0" applyFont="1" applyFill="1" applyBorder="1"/>
    <xf numFmtId="0" fontId="16" fillId="33" borderId="10" xfId="0" applyFont="1" applyFill="1" applyBorder="1"/>
    <xf numFmtId="0" fontId="0" fillId="0" borderId="0" xfId="0" applyAlignment="1">
      <alignment horizontal="left"/>
    </xf>
    <xf numFmtId="0" fontId="16" fillId="36" borderId="15" xfId="0" applyFont="1" applyFill="1" applyBorder="1"/>
    <xf numFmtId="0" fontId="0" fillId="36" borderId="11" xfId="0" applyFill="1" applyBorder="1"/>
    <xf numFmtId="0" fontId="0" fillId="36" borderId="12" xfId="0" applyFill="1" applyBorder="1"/>
    <xf numFmtId="0" fontId="0" fillId="36" borderId="13" xfId="0" applyFill="1" applyBorder="1"/>
    <xf numFmtId="0" fontId="19" fillId="36" borderId="15" xfId="0" applyFont="1" applyFill="1" applyBorder="1"/>
    <xf numFmtId="0" fontId="19" fillId="36" borderId="16" xfId="0" applyFont="1" applyFill="1" applyBorder="1"/>
    <xf numFmtId="0" fontId="16" fillId="37" borderId="15" xfId="0" applyFont="1" applyFill="1" applyBorder="1"/>
    <xf numFmtId="0" fontId="16" fillId="37" borderId="16" xfId="0" applyFont="1" applyFill="1" applyBorder="1"/>
    <xf numFmtId="165" fontId="0" fillId="34" borderId="11" xfId="0" applyNumberFormat="1" applyFill="1" applyBorder="1"/>
    <xf numFmtId="165" fontId="0" fillId="34" borderId="12" xfId="0" applyNumberFormat="1" applyFill="1" applyBorder="1"/>
    <xf numFmtId="165" fontId="0" fillId="34" borderId="13" xfId="0" applyNumberFormat="1" applyFill="1" applyBorder="1"/>
    <xf numFmtId="165" fontId="0" fillId="34" borderId="10" xfId="0" applyNumberFormat="1" applyFill="1" applyBorder="1"/>
    <xf numFmtId="165" fontId="0" fillId="34" borderId="14" xfId="0" applyNumberFormat="1" applyFill="1" applyBorder="1"/>
    <xf numFmtId="0" fontId="22" fillId="33" borderId="12" xfId="0" applyFont="1" applyFill="1" applyBorder="1" applyAlignment="1">
      <alignment horizontal="left"/>
    </xf>
    <xf numFmtId="0" fontId="23" fillId="33" borderId="12" xfId="0" applyFont="1" applyFill="1" applyBorder="1"/>
    <xf numFmtId="0" fontId="22" fillId="33" borderId="12" xfId="0" applyFont="1" applyFill="1" applyBorder="1"/>
    <xf numFmtId="0" fontId="22" fillId="0" borderId="0" xfId="0" applyFont="1"/>
    <xf numFmtId="0" fontId="1" fillId="38" borderId="0" xfId="0" applyFont="1" applyFill="1"/>
    <xf numFmtId="0" fontId="1" fillId="0" borderId="0" xfId="0" applyFont="1"/>
    <xf numFmtId="0" fontId="24" fillId="0" borderId="0" xfId="42"/>
    <xf numFmtId="0" fontId="25" fillId="39" borderId="11" xfId="42" applyFont="1" applyFill="1" applyBorder="1"/>
    <xf numFmtId="0" fontId="25" fillId="39" borderId="13" xfId="42" applyFont="1" applyFill="1" applyBorder="1"/>
    <xf numFmtId="166" fontId="24" fillId="39" borderId="12" xfId="42" applyNumberFormat="1" applyFill="1" applyBorder="1"/>
    <xf numFmtId="0" fontId="25" fillId="33" borderId="10" xfId="42" applyFont="1" applyFill="1" applyBorder="1"/>
    <xf numFmtId="0" fontId="25" fillId="33" borderId="14" xfId="42" applyFont="1" applyFill="1" applyBorder="1" applyAlignment="1">
      <alignment horizontal="center"/>
    </xf>
    <xf numFmtId="0" fontId="25" fillId="33" borderId="0" xfId="42" applyFont="1" applyFill="1"/>
    <xf numFmtId="0" fontId="24" fillId="37" borderId="13" xfId="42" applyFill="1" applyBorder="1"/>
    <xf numFmtId="0" fontId="25" fillId="42" borderId="17" xfId="42" applyFont="1" applyFill="1" applyBorder="1" applyAlignment="1">
      <alignment horizontal="center"/>
    </xf>
    <xf numFmtId="0" fontId="25" fillId="42" borderId="18" xfId="42" applyFont="1" applyFill="1" applyBorder="1" applyAlignment="1">
      <alignment horizontal="center"/>
    </xf>
    <xf numFmtId="0" fontId="25" fillId="42" borderId="19" xfId="42" applyFont="1" applyFill="1" applyBorder="1"/>
    <xf numFmtId="0" fontId="24" fillId="42" borderId="18" xfId="42" applyFill="1" applyBorder="1"/>
    <xf numFmtId="0" fontId="25" fillId="42" borderId="20" xfId="42" applyFont="1" applyFill="1" applyBorder="1"/>
    <xf numFmtId="0" fontId="25" fillId="42" borderId="0" xfId="42" applyFont="1" applyFill="1" applyAlignment="1">
      <alignment horizontal="center"/>
    </xf>
    <xf numFmtId="0" fontId="25" fillId="42" borderId="0" xfId="42" applyFont="1" applyFill="1"/>
    <xf numFmtId="0" fontId="24" fillId="42" borderId="0" xfId="42" applyFill="1"/>
    <xf numFmtId="0" fontId="27" fillId="42" borderId="0" xfId="42" applyFont="1" applyFill="1"/>
    <xf numFmtId="0" fontId="28" fillId="42" borderId="0" xfId="42" applyFont="1" applyFill="1"/>
    <xf numFmtId="2" fontId="27" fillId="42" borderId="0" xfId="42" applyNumberFormat="1" applyFont="1" applyFill="1"/>
    <xf numFmtId="0" fontId="24" fillId="43" borderId="0" xfId="42" applyFill="1"/>
    <xf numFmtId="166" fontId="24" fillId="0" borderId="0" xfId="42" applyNumberFormat="1"/>
    <xf numFmtId="0" fontId="0" fillId="38" borderId="0" xfId="0" applyFill="1"/>
    <xf numFmtId="0" fontId="0" fillId="33" borderId="0" xfId="0" applyFill="1" applyAlignment="1">
      <alignment horizontal="left"/>
    </xf>
    <xf numFmtId="0" fontId="16" fillId="33" borderId="0" xfId="0" applyFont="1" applyFill="1"/>
    <xf numFmtId="0" fontId="0" fillId="33" borderId="0" xfId="0" applyFill="1"/>
    <xf numFmtId="165" fontId="0" fillId="34" borderId="0" xfId="0" applyNumberFormat="1" applyFill="1"/>
    <xf numFmtId="0" fontId="20" fillId="34" borderId="0" xfId="0" applyFont="1" applyFill="1"/>
    <xf numFmtId="0" fontId="30" fillId="41" borderId="0" xfId="42" applyFont="1" applyFill="1" applyAlignment="1">
      <alignment horizontal="center"/>
    </xf>
    <xf numFmtId="0" fontId="0" fillId="0" borderId="0" xfId="0" applyAlignment="1">
      <alignment horizontal="center"/>
    </xf>
    <xf numFmtId="0" fontId="30" fillId="41" borderId="0" xfId="42" applyFont="1" applyFill="1" applyAlignment="1">
      <alignment horizontal="center" wrapText="1"/>
    </xf>
    <xf numFmtId="0" fontId="25" fillId="0" borderId="0" xfId="42" applyFont="1"/>
    <xf numFmtId="0" fontId="25" fillId="43" borderId="0" xfId="42" applyFont="1" applyFill="1"/>
    <xf numFmtId="0" fontId="25" fillId="43" borderId="0" xfId="42" applyFont="1" applyFill="1" applyAlignment="1">
      <alignment horizontal="right"/>
    </xf>
    <xf numFmtId="166" fontId="25" fillId="43" borderId="0" xfId="42" applyNumberFormat="1" applyFont="1" applyFill="1"/>
    <xf numFmtId="166" fontId="24" fillId="43" borderId="0" xfId="42" applyNumberFormat="1" applyFill="1"/>
    <xf numFmtId="0" fontId="25" fillId="43" borderId="0" xfId="42" applyFont="1" applyFill="1" applyAlignment="1">
      <alignment horizontal="center"/>
    </xf>
    <xf numFmtId="0" fontId="24" fillId="0" borderId="21" xfId="42" applyBorder="1"/>
    <xf numFmtId="0" fontId="24" fillId="0" borderId="22" xfId="42" applyBorder="1"/>
    <xf numFmtId="0" fontId="24" fillId="43" borderId="0" xfId="42" applyFill="1" applyAlignment="1">
      <alignment horizontal="right"/>
    </xf>
    <xf numFmtId="0" fontId="24" fillId="44" borderId="0" xfId="42" applyFill="1" applyAlignment="1">
      <alignment horizontal="right"/>
    </xf>
    <xf numFmtId="167" fontId="27" fillId="42" borderId="0" xfId="44" applyNumberFormat="1" applyFont="1" applyFill="1"/>
    <xf numFmtId="0" fontId="31" fillId="33" borderId="11" xfId="0" applyFont="1" applyFill="1" applyBorder="1"/>
    <xf numFmtId="0" fontId="25" fillId="0" borderId="0" xfId="42" applyFont="1" applyAlignment="1">
      <alignment horizontal="center"/>
    </xf>
    <xf numFmtId="0" fontId="25" fillId="0" borderId="0" xfId="42" applyFont="1" applyAlignment="1">
      <alignment horizontal="right"/>
    </xf>
    <xf numFmtId="0" fontId="24" fillId="0" borderId="0" xfId="42" applyAlignment="1">
      <alignment horizontal="right"/>
    </xf>
    <xf numFmtId="0" fontId="34" fillId="0" borderId="0" xfId="42" applyFont="1" applyAlignment="1">
      <alignment horizontal="center"/>
    </xf>
    <xf numFmtId="14" fontId="35" fillId="45" borderId="0" xfId="42" applyNumberFormat="1" applyFont="1" applyFill="1" applyAlignment="1">
      <alignment horizontal="center"/>
    </xf>
    <xf numFmtId="0" fontId="35" fillId="45" borderId="0" xfId="42" applyFont="1" applyFill="1" applyAlignment="1">
      <alignment horizontal="center"/>
    </xf>
    <xf numFmtId="0" fontId="33" fillId="45" borderId="0" xfId="42" applyFont="1" applyFill="1" applyAlignment="1">
      <alignment horizontal="center"/>
    </xf>
    <xf numFmtId="0" fontId="34" fillId="47" borderId="0" xfId="42" applyFont="1" applyFill="1" applyAlignment="1">
      <alignment horizontal="center"/>
    </xf>
    <xf numFmtId="0" fontId="32" fillId="0" borderId="0" xfId="42" applyFont="1" applyAlignment="1">
      <alignment horizontal="center"/>
    </xf>
    <xf numFmtId="0" fontId="34" fillId="0" borderId="0" xfId="42" applyFont="1" applyAlignment="1">
      <alignment horizontal="left"/>
    </xf>
    <xf numFmtId="0" fontId="34" fillId="0" borderId="0" xfId="42" applyFont="1" applyAlignment="1">
      <alignment horizontal="center" vertical="center"/>
    </xf>
    <xf numFmtId="0" fontId="30" fillId="40" borderId="0" xfId="42" applyFont="1" applyFill="1" applyAlignment="1">
      <alignment horizontal="center"/>
    </xf>
    <xf numFmtId="0" fontId="24" fillId="45" borderId="0" xfId="42" applyFill="1" applyAlignment="1">
      <alignment horizontal="left"/>
    </xf>
    <xf numFmtId="0" fontId="25" fillId="45" borderId="0" xfId="42" applyFont="1" applyFill="1" applyAlignment="1">
      <alignment horizontal="center"/>
    </xf>
    <xf numFmtId="0" fontId="28" fillId="45" borderId="14" xfId="42" applyFont="1" applyFill="1" applyBorder="1" applyAlignment="1">
      <alignment horizontal="center"/>
    </xf>
    <xf numFmtId="0" fontId="38" fillId="0" borderId="0" xfId="45"/>
    <xf numFmtId="0" fontId="39" fillId="0" borderId="0" xfId="45" applyFont="1"/>
    <xf numFmtId="0" fontId="24" fillId="0" borderId="30" xfId="42" applyBorder="1"/>
    <xf numFmtId="0" fontId="24" fillId="0" borderId="31" xfId="42" applyBorder="1"/>
    <xf numFmtId="0" fontId="24" fillId="0" borderId="35" xfId="42" applyBorder="1"/>
    <xf numFmtId="0" fontId="24" fillId="0" borderId="36" xfId="42" applyBorder="1"/>
    <xf numFmtId="0" fontId="24" fillId="0" borderId="33" xfId="42" applyBorder="1"/>
    <xf numFmtId="0" fontId="24" fillId="0" borderId="0" xfId="45" applyFont="1"/>
    <xf numFmtId="0" fontId="25" fillId="0" borderId="0" xfId="45" applyFont="1" applyAlignment="1">
      <alignment horizontal="center" wrapText="1"/>
    </xf>
    <xf numFmtId="0" fontId="25" fillId="0" borderId="0" xfId="45" applyFont="1"/>
    <xf numFmtId="0" fontId="38" fillId="0" borderId="0" xfId="45" applyAlignment="1">
      <alignment horizontal="left"/>
    </xf>
    <xf numFmtId="0" fontId="39" fillId="0" borderId="0" xfId="45" applyFont="1" applyAlignment="1">
      <alignment horizontal="left"/>
    </xf>
    <xf numFmtId="0" fontId="38" fillId="48" borderId="29" xfId="45" applyFill="1" applyBorder="1"/>
    <xf numFmtId="0" fontId="26" fillId="48" borderId="29" xfId="45" applyFont="1" applyFill="1" applyBorder="1"/>
    <xf numFmtId="0" fontId="25" fillId="48" borderId="29" xfId="45" applyFont="1" applyFill="1" applyBorder="1"/>
    <xf numFmtId="0" fontId="39" fillId="48" borderId="27" xfId="45" applyFont="1" applyFill="1" applyBorder="1"/>
    <xf numFmtId="0" fontId="38" fillId="34" borderId="26" xfId="45" applyFill="1" applyBorder="1"/>
    <xf numFmtId="0" fontId="38" fillId="37" borderId="25" xfId="45" applyFill="1" applyBorder="1"/>
    <xf numFmtId="0" fontId="25" fillId="37" borderId="23" xfId="45" applyFont="1" applyFill="1" applyBorder="1"/>
    <xf numFmtId="0" fontId="38" fillId="33" borderId="25" xfId="45" applyFill="1" applyBorder="1" applyAlignment="1">
      <alignment horizontal="left"/>
    </xf>
    <xf numFmtId="0" fontId="39" fillId="33" borderId="23" xfId="45" applyFont="1" applyFill="1" applyBorder="1" applyAlignment="1">
      <alignment horizontal="left"/>
    </xf>
    <xf numFmtId="0" fontId="40" fillId="34" borderId="26" xfId="45" applyFont="1" applyFill="1" applyBorder="1"/>
    <xf numFmtId="0" fontId="38" fillId="37" borderId="28" xfId="45" applyFill="1" applyBorder="1"/>
    <xf numFmtId="0" fontId="25" fillId="37" borderId="27" xfId="45" applyFont="1" applyFill="1" applyBorder="1"/>
    <xf numFmtId="0" fontId="25" fillId="33" borderId="13" xfId="45" applyFont="1" applyFill="1" applyBorder="1" applyAlignment="1">
      <alignment horizontal="center"/>
    </xf>
    <xf numFmtId="0" fontId="41" fillId="33" borderId="11" xfId="45" applyFont="1" applyFill="1" applyBorder="1"/>
    <xf numFmtId="166" fontId="24" fillId="39" borderId="12" xfId="45" applyNumberFormat="1" applyFont="1" applyFill="1" applyBorder="1"/>
    <xf numFmtId="165" fontId="38" fillId="34" borderId="11" xfId="45" applyNumberFormat="1" applyFill="1" applyBorder="1"/>
    <xf numFmtId="0" fontId="0" fillId="0" borderId="14" xfId="0" applyBorder="1"/>
    <xf numFmtId="2" fontId="24" fillId="0" borderId="26" xfId="42" applyNumberFormat="1" applyBorder="1"/>
    <xf numFmtId="0" fontId="25" fillId="0" borderId="26" xfId="42" applyFont="1" applyBorder="1"/>
    <xf numFmtId="0" fontId="24" fillId="35" borderId="27" xfId="42" applyFill="1" applyBorder="1"/>
    <xf numFmtId="0" fontId="24" fillId="35" borderId="29" xfId="42" applyFill="1" applyBorder="1"/>
    <xf numFmtId="0" fontId="26" fillId="35" borderId="29" xfId="42" applyFont="1" applyFill="1" applyBorder="1"/>
    <xf numFmtId="0" fontId="25" fillId="37" borderId="27" xfId="42" applyFont="1" applyFill="1" applyBorder="1"/>
    <xf numFmtId="0" fontId="24" fillId="37" borderId="28" xfId="42" applyFill="1" applyBorder="1"/>
    <xf numFmtId="0" fontId="20" fillId="34" borderId="10" xfId="0" applyFont="1" applyFill="1" applyBorder="1"/>
    <xf numFmtId="0" fontId="20" fillId="34" borderId="14" xfId="0" applyFont="1" applyFill="1" applyBorder="1"/>
    <xf numFmtId="0" fontId="0" fillId="33" borderId="13" xfId="0" applyFill="1" applyBorder="1" applyAlignment="1">
      <alignment horizontal="left"/>
    </xf>
    <xf numFmtId="0" fontId="34" fillId="46" borderId="39" xfId="42" applyFont="1" applyFill="1" applyBorder="1" applyAlignment="1">
      <alignment horizontal="center"/>
    </xf>
    <xf numFmtId="0" fontId="16" fillId="34" borderId="43" xfId="0" applyFont="1" applyFill="1" applyBorder="1"/>
    <xf numFmtId="0" fontId="0" fillId="36" borderId="40" xfId="0" applyFill="1" applyBorder="1"/>
    <xf numFmtId="0" fontId="0" fillId="36" borderId="41" xfId="0" applyFill="1" applyBorder="1"/>
    <xf numFmtId="0" fontId="0" fillId="36" borderId="42" xfId="0" applyFill="1" applyBorder="1"/>
    <xf numFmtId="0" fontId="0" fillId="33" borderId="45" xfId="0" applyFill="1" applyBorder="1" applyAlignment="1">
      <alignment horizontal="left"/>
    </xf>
    <xf numFmtId="0" fontId="0" fillId="33" borderId="46" xfId="0" applyFill="1" applyBorder="1"/>
    <xf numFmtId="0" fontId="0" fillId="35" borderId="47" xfId="0" applyFill="1" applyBorder="1" applyAlignment="1">
      <alignment horizontal="left"/>
    </xf>
    <xf numFmtId="0" fontId="16" fillId="35" borderId="47" xfId="0" applyFont="1" applyFill="1" applyBorder="1"/>
    <xf numFmtId="0" fontId="0" fillId="35" borderId="47" xfId="0" applyFill="1" applyBorder="1"/>
    <xf numFmtId="0" fontId="16" fillId="33" borderId="11" xfId="0" applyFont="1" applyFill="1" applyBorder="1"/>
    <xf numFmtId="0" fontId="0" fillId="33" borderId="14" xfId="0" applyFill="1" applyBorder="1" applyAlignment="1">
      <alignment horizontal="left"/>
    </xf>
    <xf numFmtId="0" fontId="16" fillId="40" borderId="0" xfId="0" applyFont="1" applyFill="1"/>
    <xf numFmtId="0" fontId="0" fillId="40" borderId="0" xfId="0" applyFill="1"/>
    <xf numFmtId="0" fontId="21" fillId="36" borderId="47" xfId="0" applyFont="1" applyFill="1" applyBorder="1"/>
    <xf numFmtId="0" fontId="21" fillId="36" borderId="46" xfId="0" applyFont="1" applyFill="1" applyBorder="1"/>
    <xf numFmtId="0" fontId="16" fillId="34" borderId="48" xfId="0" applyFont="1" applyFill="1" applyBorder="1"/>
    <xf numFmtId="0" fontId="0" fillId="33" borderId="48" xfId="0" applyFill="1" applyBorder="1" applyAlignment="1">
      <alignment horizontal="left"/>
    </xf>
    <xf numFmtId="0" fontId="0" fillId="33" borderId="45" xfId="0" applyFill="1" applyBorder="1"/>
    <xf numFmtId="0" fontId="0" fillId="33" borderId="47" xfId="0" applyFill="1" applyBorder="1"/>
    <xf numFmtId="0" fontId="16" fillId="34" borderId="45" xfId="0" applyFont="1" applyFill="1" applyBorder="1"/>
    <xf numFmtId="0" fontId="0" fillId="34" borderId="46" xfId="0" applyFill="1" applyBorder="1"/>
    <xf numFmtId="14" fontId="0" fillId="33" borderId="46" xfId="0" applyNumberFormat="1" applyFill="1" applyBorder="1"/>
    <xf numFmtId="164" fontId="0" fillId="33" borderId="45" xfId="0" applyNumberFormat="1" applyFill="1" applyBorder="1"/>
    <xf numFmtId="0" fontId="16" fillId="35" borderId="45" xfId="0" applyFont="1" applyFill="1" applyBorder="1"/>
    <xf numFmtId="0" fontId="0" fillId="35" borderId="46" xfId="0" applyFill="1" applyBorder="1"/>
    <xf numFmtId="0" fontId="0" fillId="33" borderId="43" xfId="0" applyFill="1" applyBorder="1" applyAlignment="1">
      <alignment horizontal="left"/>
    </xf>
    <xf numFmtId="14" fontId="16" fillId="34" borderId="43" xfId="0" applyNumberFormat="1" applyFont="1" applyFill="1" applyBorder="1"/>
    <xf numFmtId="0" fontId="0" fillId="34" borderId="43" xfId="0" applyFill="1" applyBorder="1" applyAlignment="1">
      <alignment horizontal="left"/>
    </xf>
    <xf numFmtId="164" fontId="0" fillId="33" borderId="43" xfId="0" applyNumberFormat="1" applyFill="1" applyBorder="1"/>
    <xf numFmtId="0" fontId="0" fillId="33" borderId="49" xfId="0" applyFill="1" applyBorder="1"/>
    <xf numFmtId="0" fontId="0" fillId="33" borderId="50" xfId="0" applyFill="1" applyBorder="1"/>
    <xf numFmtId="0" fontId="0" fillId="33" borderId="51" xfId="0" applyFill="1" applyBorder="1"/>
    <xf numFmtId="0" fontId="0" fillId="33" borderId="43" xfId="0" applyFill="1" applyBorder="1"/>
    <xf numFmtId="0" fontId="0" fillId="33" borderId="52" xfId="0" applyFill="1" applyBorder="1"/>
    <xf numFmtId="0" fontId="0" fillId="33" borderId="53" xfId="0" applyFill="1" applyBorder="1"/>
    <xf numFmtId="0" fontId="21" fillId="36" borderId="40" xfId="0" applyFont="1" applyFill="1" applyBorder="1"/>
    <xf numFmtId="0" fontId="21" fillId="36" borderId="41" xfId="0" applyFont="1" applyFill="1" applyBorder="1"/>
    <xf numFmtId="0" fontId="19" fillId="36" borderId="44" xfId="0" applyFont="1" applyFill="1" applyBorder="1"/>
    <xf numFmtId="0" fontId="16" fillId="37" borderId="44" xfId="0" applyFont="1" applyFill="1" applyBorder="1"/>
    <xf numFmtId="0" fontId="0" fillId="33" borderId="43" xfId="0" applyFill="1" applyBorder="1" applyAlignment="1">
      <alignment horizontal="left" shrinkToFit="1"/>
    </xf>
    <xf numFmtId="0" fontId="0" fillId="34" borderId="54" xfId="0" applyFill="1" applyBorder="1"/>
    <xf numFmtId="0" fontId="0" fillId="34" borderId="55" xfId="0" applyFill="1" applyBorder="1"/>
    <xf numFmtId="0" fontId="0" fillId="34" borderId="56" xfId="0" applyFill="1" applyBorder="1"/>
    <xf numFmtId="0" fontId="16" fillId="34" borderId="57" xfId="0" applyFont="1" applyFill="1" applyBorder="1"/>
    <xf numFmtId="0" fontId="0" fillId="33" borderId="44" xfId="0" applyFill="1" applyBorder="1" applyAlignment="1">
      <alignment horizontal="left"/>
    </xf>
    <xf numFmtId="0" fontId="16" fillId="34" borderId="49" xfId="0" applyFont="1" applyFill="1" applyBorder="1"/>
    <xf numFmtId="0" fontId="0" fillId="34" borderId="51" xfId="0" applyFill="1" applyBorder="1"/>
    <xf numFmtId="0" fontId="0" fillId="33" borderId="43" xfId="0" applyFill="1" applyBorder="1" applyAlignment="1">
      <alignment shrinkToFit="1"/>
    </xf>
    <xf numFmtId="0" fontId="0" fillId="36" borderId="54" xfId="0" applyFill="1" applyBorder="1"/>
    <xf numFmtId="0" fontId="0" fillId="36" borderId="55" xfId="0" applyFill="1" applyBorder="1"/>
    <xf numFmtId="0" fontId="0" fillId="36" borderId="56" xfId="0" applyFill="1" applyBorder="1"/>
    <xf numFmtId="0" fontId="16" fillId="34" borderId="58" xfId="0" applyFont="1" applyFill="1" applyBorder="1"/>
    <xf numFmtId="0" fontId="0" fillId="33" borderId="59" xfId="0" applyFill="1" applyBorder="1" applyAlignment="1">
      <alignment horizontal="left"/>
    </xf>
    <xf numFmtId="0" fontId="16" fillId="33" borderId="60" xfId="0" applyFont="1" applyFill="1" applyBorder="1"/>
    <xf numFmtId="0" fontId="0" fillId="33" borderId="60" xfId="0" applyFill="1" applyBorder="1"/>
    <xf numFmtId="0" fontId="0" fillId="33" borderId="61" xfId="0" applyFill="1" applyBorder="1"/>
    <xf numFmtId="0" fontId="16" fillId="35" borderId="52" xfId="0" applyFont="1" applyFill="1" applyBorder="1"/>
    <xf numFmtId="0" fontId="0" fillId="35" borderId="62" xfId="0" applyFill="1" applyBorder="1" applyAlignment="1">
      <alignment horizontal="left"/>
    </xf>
    <xf numFmtId="0" fontId="16" fillId="35" borderId="62" xfId="0" applyFont="1" applyFill="1" applyBorder="1"/>
    <xf numFmtId="0" fontId="0" fillId="35" borderId="62" xfId="0" applyFill="1" applyBorder="1"/>
    <xf numFmtId="0" fontId="0" fillId="35" borderId="53" xfId="0" applyFill="1" applyBorder="1"/>
    <xf numFmtId="9" fontId="42" fillId="36" borderId="55" xfId="0" applyNumberFormat="1" applyFont="1" applyFill="1" applyBorder="1"/>
    <xf numFmtId="0" fontId="43" fillId="33" borderId="60" xfId="0" applyFont="1" applyFill="1" applyBorder="1"/>
    <xf numFmtId="0" fontId="16" fillId="37" borderId="45" xfId="0" applyFont="1" applyFill="1" applyBorder="1"/>
    <xf numFmtId="0" fontId="0" fillId="37" borderId="46" xfId="0" applyFill="1" applyBorder="1"/>
    <xf numFmtId="0" fontId="20" fillId="34" borderId="43" xfId="0" applyFont="1" applyFill="1" applyBorder="1"/>
    <xf numFmtId="0" fontId="16" fillId="37" borderId="49" xfId="0" applyFont="1" applyFill="1" applyBorder="1"/>
    <xf numFmtId="0" fontId="0" fillId="37" borderId="51" xfId="0" applyFill="1" applyBorder="1"/>
    <xf numFmtId="0" fontId="0" fillId="34" borderId="43" xfId="0" applyFill="1" applyBorder="1"/>
    <xf numFmtId="0" fontId="34" fillId="46" borderId="57" xfId="42" applyFont="1" applyFill="1" applyBorder="1" applyAlignment="1">
      <alignment horizontal="center"/>
    </xf>
    <xf numFmtId="0" fontId="25" fillId="49" borderId="63" xfId="46" applyFont="1" applyFill="1" applyBorder="1" applyAlignment="1">
      <alignment horizontal="center"/>
    </xf>
    <xf numFmtId="168" fontId="25" fillId="49" borderId="64" xfId="46" applyNumberFormat="1" applyFont="1" applyFill="1" applyBorder="1" applyAlignment="1">
      <alignment horizontal="center"/>
    </xf>
    <xf numFmtId="165" fontId="25" fillId="49" borderId="65" xfId="46" applyNumberFormat="1" applyFont="1" applyFill="1" applyBorder="1" applyAlignment="1">
      <alignment horizontal="center"/>
    </xf>
    <xf numFmtId="0" fontId="25" fillId="39" borderId="54" xfId="42" applyFont="1" applyFill="1" applyBorder="1"/>
    <xf numFmtId="0" fontId="25" fillId="39" borderId="56" xfId="42" applyFont="1" applyFill="1" applyBorder="1"/>
    <xf numFmtId="0" fontId="25" fillId="42" borderId="13" xfId="42" applyFont="1" applyFill="1" applyBorder="1" applyAlignment="1">
      <alignment horizontal="center" vertical="center"/>
    </xf>
    <xf numFmtId="0" fontId="25" fillId="42" borderId="66" xfId="42" applyFont="1" applyFill="1" applyBorder="1" applyAlignment="1">
      <alignment vertical="center"/>
    </xf>
    <xf numFmtId="0" fontId="38" fillId="0" borderId="0" xfId="45" applyBorder="1" applyAlignment="1">
      <alignment horizontal="center" vertical="center" wrapText="1"/>
    </xf>
    <xf numFmtId="0" fontId="27" fillId="0" borderId="0" xfId="42" applyFont="1" applyBorder="1" applyAlignment="1">
      <alignment horizontal="center" vertical="center" wrapText="1"/>
    </xf>
    <xf numFmtId="0" fontId="24" fillId="0" borderId="0" xfId="42" applyBorder="1"/>
    <xf numFmtId="0" fontId="29" fillId="0" borderId="0" xfId="45" applyFont="1" applyBorder="1" applyAlignment="1">
      <alignment horizontal="center" vertical="center" wrapText="1"/>
    </xf>
    <xf numFmtId="0" fontId="40" fillId="34" borderId="57" xfId="45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14" fontId="35" fillId="0" borderId="0" xfId="42" applyNumberFormat="1" applyFont="1" applyFill="1" applyAlignment="1">
      <alignment horizontal="center"/>
    </xf>
    <xf numFmtId="0" fontId="33" fillId="0" borderId="0" xfId="42" applyFont="1" applyFill="1" applyAlignment="1">
      <alignment horizontal="center"/>
    </xf>
    <xf numFmtId="0" fontId="24" fillId="0" borderId="0" xfId="42" applyFill="1"/>
    <xf numFmtId="0" fontId="34" fillId="0" borderId="0" xfId="42" applyFont="1" applyFill="1" applyAlignment="1">
      <alignment horizontal="center"/>
    </xf>
    <xf numFmtId="0" fontId="44" fillId="40" borderId="0" xfId="0" applyFont="1" applyFill="1"/>
    <xf numFmtId="1" fontId="24" fillId="43" borderId="0" xfId="42" applyNumberFormat="1" applyFill="1" applyAlignment="1">
      <alignment horizontal="right"/>
    </xf>
    <xf numFmtId="1" fontId="24" fillId="44" borderId="0" xfId="42" applyNumberFormat="1" applyFill="1" applyAlignment="1">
      <alignment horizontal="right"/>
    </xf>
    <xf numFmtId="2" fontId="24" fillId="43" borderId="0" xfId="42" applyNumberFormat="1" applyFill="1" applyAlignment="1">
      <alignment horizontal="right"/>
    </xf>
    <xf numFmtId="2" fontId="25" fillId="49" borderId="67" xfId="46" applyNumberFormat="1" applyFont="1" applyFill="1" applyBorder="1" applyAlignment="1">
      <alignment horizontal="center"/>
    </xf>
    <xf numFmtId="0" fontId="45" fillId="38" borderId="0" xfId="0" applyFont="1" applyFill="1"/>
    <xf numFmtId="17" fontId="38" fillId="0" borderId="0" xfId="45" applyNumberFormat="1"/>
    <xf numFmtId="16" fontId="38" fillId="0" borderId="0" xfId="45" applyNumberFormat="1"/>
    <xf numFmtId="16" fontId="34" fillId="0" borderId="0" xfId="42" applyNumberFormat="1" applyFont="1" applyAlignment="1">
      <alignment horizontal="center"/>
    </xf>
    <xf numFmtId="14" fontId="0" fillId="0" borderId="0" xfId="0" applyNumberFormat="1" applyFill="1"/>
    <xf numFmtId="0" fontId="0" fillId="50" borderId="0" xfId="0" applyFill="1" applyAlignment="1">
      <alignment horizontal="center"/>
    </xf>
    <xf numFmtId="0" fontId="0" fillId="50" borderId="0" xfId="0" applyFill="1"/>
    <xf numFmtId="0" fontId="16" fillId="0" borderId="0" xfId="0" applyFont="1" applyAlignment="1">
      <alignment horizontal="center"/>
    </xf>
    <xf numFmtId="0" fontId="16" fillId="50" borderId="0" xfId="0" applyFont="1" applyFill="1" applyAlignment="1">
      <alignment horizontal="center"/>
    </xf>
    <xf numFmtId="16" fontId="24" fillId="0" borderId="0" xfId="42" applyNumberFormat="1"/>
    <xf numFmtId="0" fontId="0" fillId="44" borderId="0" xfId="0" applyFill="1" applyAlignment="1">
      <alignment horizontal="center"/>
    </xf>
    <xf numFmtId="0" fontId="0" fillId="44" borderId="0" xfId="0" applyFill="1"/>
    <xf numFmtId="0" fontId="16" fillId="44" borderId="0" xfId="0" applyFont="1" applyFill="1" applyAlignment="1">
      <alignment horizontal="center"/>
    </xf>
    <xf numFmtId="0" fontId="0" fillId="40" borderId="0" xfId="0" applyFill="1" applyAlignment="1">
      <alignment horizontal="center"/>
    </xf>
    <xf numFmtId="14" fontId="0" fillId="40" borderId="0" xfId="0" applyNumberFormat="1" applyFill="1"/>
    <xf numFmtId="14" fontId="0" fillId="4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29" fillId="0" borderId="36" xfId="45" applyFont="1" applyBorder="1" applyAlignment="1">
      <alignment horizontal="center" vertical="center" wrapText="1"/>
    </xf>
    <xf numFmtId="0" fontId="29" fillId="0" borderId="21" xfId="45" applyFont="1" applyBorder="1" applyAlignment="1">
      <alignment horizontal="center" vertical="center" wrapText="1"/>
    </xf>
    <xf numFmtId="0" fontId="29" fillId="0" borderId="35" xfId="45" applyFont="1" applyBorder="1" applyAlignment="1">
      <alignment horizontal="center" vertical="center" wrapText="1"/>
    </xf>
    <xf numFmtId="0" fontId="29" fillId="0" borderId="34" xfId="45" applyFont="1" applyBorder="1" applyAlignment="1">
      <alignment horizontal="center" vertical="center" wrapText="1"/>
    </xf>
    <xf numFmtId="0" fontId="29" fillId="0" borderId="0" xfId="45" applyFont="1" applyAlignment="1">
      <alignment horizontal="center" vertical="center" wrapText="1"/>
    </xf>
    <xf numFmtId="0" fontId="29" fillId="0" borderId="33" xfId="45" applyFont="1" applyBorder="1" applyAlignment="1">
      <alignment horizontal="center" vertical="center" wrapText="1"/>
    </xf>
    <xf numFmtId="0" fontId="29" fillId="0" borderId="31" xfId="45" applyFont="1" applyBorder="1" applyAlignment="1">
      <alignment horizontal="center" vertical="center" wrapText="1"/>
    </xf>
    <xf numFmtId="0" fontId="29" fillId="0" borderId="22" xfId="45" applyFont="1" applyBorder="1" applyAlignment="1">
      <alignment horizontal="center" vertical="center" wrapText="1"/>
    </xf>
    <xf numFmtId="0" fontId="29" fillId="0" borderId="30" xfId="45" applyFont="1" applyBorder="1" applyAlignment="1">
      <alignment horizontal="center" vertical="center" wrapText="1"/>
    </xf>
    <xf numFmtId="0" fontId="38" fillId="0" borderId="37" xfId="45" applyBorder="1" applyAlignment="1">
      <alignment horizontal="center" vertical="center" wrapText="1"/>
    </xf>
    <xf numFmtId="0" fontId="38" fillId="0" borderId="38" xfId="45" applyBorder="1" applyAlignment="1">
      <alignment horizontal="center" vertical="center" wrapText="1"/>
    </xf>
    <xf numFmtId="0" fontId="38" fillId="0" borderId="32" xfId="45" applyBorder="1" applyAlignment="1">
      <alignment horizontal="center" vertical="center" wrapText="1"/>
    </xf>
    <xf numFmtId="0" fontId="27" fillId="0" borderId="37" xfId="42" applyFont="1" applyBorder="1" applyAlignment="1">
      <alignment horizontal="center" vertical="center" wrapText="1"/>
    </xf>
    <xf numFmtId="0" fontId="27" fillId="0" borderId="32" xfId="42" applyFont="1" applyBorder="1" applyAlignment="1">
      <alignment horizontal="center" vertical="center" wrapText="1"/>
    </xf>
    <xf numFmtId="0" fontId="25" fillId="39" borderId="0" xfId="45" applyFont="1" applyFill="1"/>
    <xf numFmtId="0" fontId="25" fillId="39" borderId="14" xfId="45" applyFont="1" applyFill="1" applyBorder="1"/>
    <xf numFmtId="0" fontId="25" fillId="39" borderId="24" xfId="45" applyFont="1" applyFill="1" applyBorder="1"/>
    <xf numFmtId="0" fontId="25" fillId="39" borderId="25" xfId="45" applyFont="1" applyFill="1" applyBorder="1"/>
    <xf numFmtId="0" fontId="29" fillId="0" borderId="0" xfId="45" applyFont="1" applyBorder="1" applyAlignment="1">
      <alignment horizontal="center" vertical="center" wrapText="1"/>
    </xf>
    <xf numFmtId="0" fontId="25" fillId="0" borderId="27" xfId="42" applyFont="1" applyBorder="1" applyAlignment="1">
      <alignment horizontal="center"/>
    </xf>
    <xf numFmtId="0" fontId="25" fillId="0" borderId="29" xfId="42" applyFont="1" applyBorder="1" applyAlignment="1">
      <alignment horizontal="center"/>
    </xf>
    <xf numFmtId="0" fontId="25" fillId="0" borderId="28" xfId="42" applyFont="1" applyBorder="1" applyAlignment="1">
      <alignment horizont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4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4 4" xfId="46"/>
    <cellStyle name="Normal 2" xfId="42"/>
    <cellStyle name="Normal 3" xfId="45"/>
    <cellStyle name="Normal 46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CC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20</xdr:col>
      <xdr:colOff>392051</xdr:colOff>
      <xdr:row>21</xdr:row>
      <xdr:rowOff>28134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6E402-5F50-4918-84AA-81732515A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13190476" cy="3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24</xdr:row>
      <xdr:rowOff>6350</xdr:rowOff>
    </xdr:from>
    <xdr:to>
      <xdr:col>26</xdr:col>
      <xdr:colOff>550219</xdr:colOff>
      <xdr:row>36</xdr:row>
      <xdr:rowOff>104434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7194D-60DA-470C-80C5-7E822F794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425950"/>
          <a:ext cx="16984019" cy="2311059"/>
        </a:xfrm>
        <a:prstGeom prst="rect">
          <a:avLst/>
        </a:prstGeom>
      </xdr:spPr>
    </xdr:pic>
    <xdr:clientData/>
  </xdr:twoCellAnchor>
  <xdr:twoCellAnchor editAs="oneCell">
    <xdr:from>
      <xdr:col>0</xdr:col>
      <xdr:colOff>546100</xdr:colOff>
      <xdr:row>39</xdr:row>
      <xdr:rowOff>182495</xdr:rowOff>
    </xdr:from>
    <xdr:to>
      <xdr:col>17</xdr:col>
      <xdr:colOff>220765</xdr:colOff>
      <xdr:row>50</xdr:row>
      <xdr:rowOff>79121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5F0D24-2B60-4775-9CE1-A6AB4C297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100" y="7364345"/>
          <a:ext cx="11253890" cy="1922276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53</xdr:row>
      <xdr:rowOff>50800</xdr:rowOff>
    </xdr:from>
    <xdr:to>
      <xdr:col>14</xdr:col>
      <xdr:colOff>608386</xdr:colOff>
      <xdr:row>61</xdr:row>
      <xdr:rowOff>66489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B08E1D-6555-4A1E-BF9D-B295D9612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1350" y="9810750"/>
          <a:ext cx="9714286" cy="1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64</xdr:row>
      <xdr:rowOff>180842</xdr:rowOff>
    </xdr:from>
    <xdr:to>
      <xdr:col>15</xdr:col>
      <xdr:colOff>158959</xdr:colOff>
      <xdr:row>71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588128-DAAD-47ED-A069-6165C3EE1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2300" y="11966442"/>
          <a:ext cx="9896684" cy="11336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107950</xdr:rowOff>
    </xdr:from>
    <xdr:to>
      <xdr:col>27</xdr:col>
      <xdr:colOff>143899</xdr:colOff>
      <xdr:row>86</xdr:row>
      <xdr:rowOff>123754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CFC2F3-482C-476D-A35C-E38F34810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5392400"/>
          <a:ext cx="17209524" cy="5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75</xdr:row>
      <xdr:rowOff>3199</xdr:rowOff>
    </xdr:from>
    <xdr:to>
      <xdr:col>19</xdr:col>
      <xdr:colOff>67594</xdr:colOff>
      <xdr:row>83</xdr:row>
      <xdr:rowOff>85438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F13377-BE0D-4B04-AEF1-04403B082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3250" y="13814449"/>
          <a:ext cx="12256419" cy="155226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90</xdr:row>
      <xdr:rowOff>31271</xdr:rowOff>
    </xdr:from>
    <xdr:to>
      <xdr:col>13</xdr:col>
      <xdr:colOff>239753</xdr:colOff>
      <xdr:row>96</xdr:row>
      <xdr:rowOff>107742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69B4B3-31E0-4104-9C83-C49834E59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8650" y="16604771"/>
          <a:ext cx="8745578" cy="1178196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99</xdr:row>
      <xdr:rowOff>87077</xdr:rowOff>
    </xdr:from>
    <xdr:to>
      <xdr:col>11</xdr:col>
      <xdr:colOff>503332</xdr:colOff>
      <xdr:row>106</xdr:row>
      <xdr:rowOff>9294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C5E1778-9380-4040-BE3F-F770C08D3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5950" y="18317927"/>
          <a:ext cx="7809007" cy="120809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110</xdr:row>
      <xdr:rowOff>5848</xdr:rowOff>
    </xdr:from>
    <xdr:to>
      <xdr:col>10</xdr:col>
      <xdr:colOff>447675</xdr:colOff>
      <xdr:row>114</xdr:row>
      <xdr:rowOff>123824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8854F92-A279-4F4A-987E-75ECEA2A2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0" y="20262348"/>
          <a:ext cx="7124700" cy="8577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67583</xdr:rowOff>
    </xdr:from>
    <xdr:to>
      <xdr:col>10</xdr:col>
      <xdr:colOff>561975</xdr:colOff>
      <xdr:row>121</xdr:row>
      <xdr:rowOff>145848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3A95B7-F096-4F11-A555-3428840DB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1613133"/>
          <a:ext cx="7264400" cy="81804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124</xdr:row>
      <xdr:rowOff>16207</xdr:rowOff>
    </xdr:from>
    <xdr:to>
      <xdr:col>12</xdr:col>
      <xdr:colOff>578791</xdr:colOff>
      <xdr:row>130</xdr:row>
      <xdr:rowOff>66370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CDE2FC0-7FAC-40C9-A26B-F739702C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2300" y="22850807"/>
          <a:ext cx="8487716" cy="1158238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508000</xdr:colOff>
      <xdr:row>133</xdr:row>
      <xdr:rowOff>61124</xdr:rowOff>
    </xdr:from>
    <xdr:to>
      <xdr:col>13</xdr:col>
      <xdr:colOff>26665</xdr:colOff>
      <xdr:row>139</xdr:row>
      <xdr:rowOff>28339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CC16F33-A6E2-466E-BAD2-2D2EB770E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8000" y="24553074"/>
          <a:ext cx="8659490" cy="1068940"/>
        </a:xfrm>
        <a:prstGeom prst="rect">
          <a:avLst/>
        </a:prstGeom>
      </xdr:spPr>
    </xdr:pic>
    <xdr:clientData/>
  </xdr:twoCellAnchor>
  <xdr:twoCellAnchor editAs="oneCell">
    <xdr:from>
      <xdr:col>0</xdr:col>
      <xdr:colOff>590092</xdr:colOff>
      <xdr:row>141</xdr:row>
      <xdr:rowOff>38100</xdr:rowOff>
    </xdr:from>
    <xdr:to>
      <xdr:col>13</xdr:col>
      <xdr:colOff>0</xdr:colOff>
      <xdr:row>146</xdr:row>
      <xdr:rowOff>152179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434C7D0-12B5-4E46-90CC-CA1E707BF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0092" y="25824180"/>
          <a:ext cx="8515808" cy="102847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149</xdr:row>
      <xdr:rowOff>107606</xdr:rowOff>
    </xdr:from>
    <xdr:to>
      <xdr:col>12</xdr:col>
      <xdr:colOff>495300</xdr:colOff>
      <xdr:row>157</xdr:row>
      <xdr:rowOff>142874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7327B7D-6DAD-409F-8756-575FF8B05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52780" y="27545956"/>
          <a:ext cx="8510270" cy="15116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701301</xdr:colOff>
      <xdr:row>7</xdr:row>
      <xdr:rowOff>253067</xdr:rowOff>
    </xdr:from>
    <xdr:to>
      <xdr:col>5</xdr:col>
      <xdr:colOff>97584</xdr:colOff>
      <xdr:row>12</xdr:row>
      <xdr:rowOff>98520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3ED2873-7404-4A78-A3E1-DAC961930337}"/>
            </a:ext>
          </a:extLst>
        </xdr:cNvPr>
        <xdr:cNvSpPr/>
      </xdr:nvSpPr>
      <xdr:spPr>
        <a:xfrm>
          <a:off x="701301" y="1411942"/>
          <a:ext cx="3293596" cy="7820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Needs to be udpdated</a:t>
          </a:r>
          <a:r>
            <a:rPr lang="en-US" sz="1100" baseline="0"/>
            <a:t> with last weeks total 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yazaki-my.sharepoint.com/Users/10014313/AppData/Local/Microsoft/Windows/INetCache/Content.Outlook/DFKIY881/EMI%20SR%2011.20.2023%20177D%20MY%2023.5-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yazaki-my.sharepoint.com/Shared/Workarea/PRODUCTION%20CONTROL/Affiliates%20Capacity%20Database/Capacity%20Confirmation/2023/EMI/Nov%202023/Returned%20YNAN-EMI%20Capacity%20Confirmation%20Form%20SR%2011-09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7D"/>
      <sheetName val="Sheet1"/>
      <sheetName val="177D TOTALs"/>
      <sheetName val="Prod. Line Totals"/>
      <sheetName val="Timing Table"/>
      <sheetName val="Chart"/>
    </sheetNames>
    <sheetDataSet>
      <sheetData sheetId="0"/>
      <sheetData sheetId="1" refreshError="1"/>
      <sheetData sheetId="2" refreshError="1"/>
      <sheetData sheetId="3"/>
      <sheetData sheetId="4"/>
      <sheetData sheetId="5">
        <row r="66">
          <cell r="A66" t="str">
            <v>24010-P42M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I"/>
    </sheetNames>
    <sheetDataSet>
      <sheetData sheetId="0" refreshError="1">
        <row r="5">
          <cell r="D5" t="str">
            <v>ETD Port</v>
          </cell>
          <cell r="E5">
            <v>45255</v>
          </cell>
          <cell r="F5">
            <v>45262</v>
          </cell>
          <cell r="G5">
            <v>45269</v>
          </cell>
          <cell r="H5">
            <v>45276</v>
          </cell>
          <cell r="I5">
            <v>45283</v>
          </cell>
          <cell r="J5">
            <v>45290</v>
          </cell>
          <cell r="K5">
            <v>45297</v>
          </cell>
          <cell r="L5">
            <v>45304</v>
          </cell>
          <cell r="M5">
            <v>45311</v>
          </cell>
          <cell r="N5">
            <v>45318</v>
          </cell>
          <cell r="O5">
            <v>45325</v>
          </cell>
          <cell r="P5">
            <v>45332</v>
          </cell>
          <cell r="Q5">
            <v>45339</v>
          </cell>
          <cell r="R5">
            <v>45346</v>
          </cell>
          <cell r="S5">
            <v>45353</v>
          </cell>
          <cell r="T5">
            <v>45360</v>
          </cell>
          <cell r="U5">
            <v>45367</v>
          </cell>
          <cell r="V5">
            <v>45374</v>
          </cell>
          <cell r="W5">
            <v>45381</v>
          </cell>
          <cell r="X5">
            <v>45388</v>
          </cell>
          <cell r="Y5">
            <v>45395</v>
          </cell>
          <cell r="Z5">
            <v>45402</v>
          </cell>
          <cell r="AA5">
            <v>45409</v>
          </cell>
        </row>
        <row r="6">
          <cell r="D6">
            <v>45409</v>
          </cell>
          <cell r="E6">
            <v>45409</v>
          </cell>
          <cell r="F6">
            <v>45409</v>
          </cell>
          <cell r="G6">
            <v>45409</v>
          </cell>
          <cell r="H6">
            <v>45409</v>
          </cell>
          <cell r="I6">
            <v>45409</v>
          </cell>
          <cell r="J6">
            <v>45409</v>
          </cell>
          <cell r="K6">
            <v>45409</v>
          </cell>
          <cell r="L6">
            <v>45409</v>
          </cell>
          <cell r="M6">
            <v>45409</v>
          </cell>
          <cell r="N6">
            <v>45409</v>
          </cell>
          <cell r="O6">
            <v>45409</v>
          </cell>
          <cell r="P6">
            <v>45409</v>
          </cell>
          <cell r="Q6">
            <v>45409</v>
          </cell>
          <cell r="R6">
            <v>45409</v>
          </cell>
          <cell r="S6">
            <v>45409</v>
          </cell>
          <cell r="T6">
            <v>45409</v>
          </cell>
          <cell r="U6">
            <v>45409</v>
          </cell>
          <cell r="V6">
            <v>45409</v>
          </cell>
          <cell r="W6">
            <v>45409</v>
          </cell>
          <cell r="X6">
            <v>45409</v>
          </cell>
          <cell r="Y6">
            <v>45409</v>
          </cell>
          <cell r="Z6">
            <v>45409</v>
          </cell>
          <cell r="AA6">
            <v>45409</v>
          </cell>
        </row>
        <row r="7">
          <cell r="D7" t="str">
            <v>Order NET</v>
          </cell>
          <cell r="E7">
            <v>3312</v>
          </cell>
          <cell r="F7">
            <v>3360</v>
          </cell>
          <cell r="G7">
            <v>3504</v>
          </cell>
          <cell r="H7">
            <v>3504</v>
          </cell>
          <cell r="I7">
            <v>3504</v>
          </cell>
          <cell r="J7">
            <v>2640</v>
          </cell>
          <cell r="K7">
            <v>0</v>
          </cell>
          <cell r="L7">
            <v>3216</v>
          </cell>
          <cell r="M7">
            <v>2976</v>
          </cell>
          <cell r="N7">
            <v>2928</v>
          </cell>
          <cell r="O7">
            <v>2688</v>
          </cell>
          <cell r="P7">
            <v>2688</v>
          </cell>
          <cell r="Q7">
            <v>2688</v>
          </cell>
          <cell r="R7">
            <v>2640</v>
          </cell>
          <cell r="S7">
            <v>2496</v>
          </cell>
          <cell r="T7">
            <v>2448</v>
          </cell>
          <cell r="U7">
            <v>2256</v>
          </cell>
          <cell r="V7">
            <v>2256</v>
          </cell>
          <cell r="W7">
            <v>2256</v>
          </cell>
          <cell r="X7">
            <v>2256</v>
          </cell>
          <cell r="Y7">
            <v>2256</v>
          </cell>
          <cell r="Z7">
            <v>2256</v>
          </cell>
          <cell r="AA7">
            <v>2256</v>
          </cell>
        </row>
        <row r="8">
          <cell r="D8" t="str">
            <v xml:space="preserve"> Order CUM</v>
          </cell>
          <cell r="E8">
            <v>325272</v>
          </cell>
          <cell r="F8">
            <v>328632</v>
          </cell>
          <cell r="G8">
            <v>332136</v>
          </cell>
          <cell r="H8">
            <v>335640</v>
          </cell>
          <cell r="I8">
            <v>339144</v>
          </cell>
          <cell r="J8">
            <v>341784</v>
          </cell>
          <cell r="K8">
            <v>341784</v>
          </cell>
          <cell r="L8">
            <v>345000</v>
          </cell>
          <cell r="M8">
            <v>347976</v>
          </cell>
          <cell r="N8">
            <v>350904</v>
          </cell>
          <cell r="O8">
            <v>353592</v>
          </cell>
          <cell r="P8">
            <v>356280</v>
          </cell>
          <cell r="Q8">
            <v>358968</v>
          </cell>
          <cell r="R8">
            <v>361608</v>
          </cell>
          <cell r="S8">
            <v>364104</v>
          </cell>
          <cell r="T8">
            <v>366552</v>
          </cell>
          <cell r="U8">
            <v>368808</v>
          </cell>
          <cell r="V8">
            <v>371064</v>
          </cell>
          <cell r="W8">
            <v>373320</v>
          </cell>
          <cell r="X8">
            <v>375576</v>
          </cell>
          <cell r="Y8">
            <v>377832</v>
          </cell>
          <cell r="Z8">
            <v>380088</v>
          </cell>
          <cell r="AA8">
            <v>382344</v>
          </cell>
        </row>
        <row r="9">
          <cell r="D9" t="str">
            <v>SHIP NET</v>
          </cell>
          <cell r="E9">
            <v>3312</v>
          </cell>
          <cell r="F9">
            <v>3360</v>
          </cell>
          <cell r="G9">
            <v>3504</v>
          </cell>
          <cell r="H9">
            <v>3504</v>
          </cell>
          <cell r="I9">
            <v>3504</v>
          </cell>
          <cell r="J9">
            <v>2640</v>
          </cell>
          <cell r="K9">
            <v>0</v>
          </cell>
          <cell r="L9">
            <v>3216</v>
          </cell>
          <cell r="M9">
            <v>2976</v>
          </cell>
          <cell r="N9">
            <v>2928</v>
          </cell>
          <cell r="O9">
            <v>2688</v>
          </cell>
          <cell r="P9">
            <v>2688</v>
          </cell>
          <cell r="Q9">
            <v>2688</v>
          </cell>
          <cell r="R9">
            <v>2640</v>
          </cell>
          <cell r="S9">
            <v>2496</v>
          </cell>
          <cell r="T9">
            <v>2448</v>
          </cell>
          <cell r="U9">
            <v>2256</v>
          </cell>
          <cell r="V9">
            <v>2256</v>
          </cell>
          <cell r="W9">
            <v>2256</v>
          </cell>
          <cell r="X9">
            <v>2256</v>
          </cell>
          <cell r="Y9">
            <v>2256</v>
          </cell>
          <cell r="Z9">
            <v>2256</v>
          </cell>
          <cell r="AA9">
            <v>2256</v>
          </cell>
        </row>
        <row r="10">
          <cell r="D10" t="str">
            <v xml:space="preserve"> SHIP CUM</v>
          </cell>
          <cell r="E10">
            <v>325272</v>
          </cell>
          <cell r="F10">
            <v>328632</v>
          </cell>
          <cell r="G10">
            <v>332136</v>
          </cell>
          <cell r="H10">
            <v>335640</v>
          </cell>
          <cell r="I10">
            <v>339144</v>
          </cell>
          <cell r="J10">
            <v>341784</v>
          </cell>
          <cell r="K10">
            <v>341784</v>
          </cell>
          <cell r="L10">
            <v>345000</v>
          </cell>
          <cell r="M10">
            <v>347976</v>
          </cell>
          <cell r="N10">
            <v>350904</v>
          </cell>
          <cell r="O10">
            <v>353592</v>
          </cell>
          <cell r="P10">
            <v>356280</v>
          </cell>
          <cell r="Q10">
            <v>358968</v>
          </cell>
          <cell r="R10">
            <v>361608</v>
          </cell>
          <cell r="S10">
            <v>364104</v>
          </cell>
          <cell r="T10">
            <v>366552</v>
          </cell>
          <cell r="U10">
            <v>368808</v>
          </cell>
          <cell r="V10">
            <v>371064</v>
          </cell>
          <cell r="W10">
            <v>373320</v>
          </cell>
          <cell r="X10">
            <v>375576</v>
          </cell>
          <cell r="Y10">
            <v>377832</v>
          </cell>
          <cell r="Z10">
            <v>380088</v>
          </cell>
          <cell r="AA10">
            <v>382344</v>
          </cell>
        </row>
        <row r="11">
          <cell r="D11" t="str">
            <v>Balance</v>
          </cell>
          <cell r="E11">
            <v>382344</v>
          </cell>
          <cell r="F11">
            <v>382344</v>
          </cell>
          <cell r="G11">
            <v>382344</v>
          </cell>
          <cell r="H11">
            <v>382344</v>
          </cell>
          <cell r="I11">
            <v>382344</v>
          </cell>
          <cell r="J11">
            <v>382344</v>
          </cell>
          <cell r="K11">
            <v>382344</v>
          </cell>
          <cell r="L11">
            <v>382344</v>
          </cell>
          <cell r="M11">
            <v>382344</v>
          </cell>
          <cell r="N11">
            <v>382344</v>
          </cell>
          <cell r="O11">
            <v>382344</v>
          </cell>
          <cell r="P11">
            <v>382344</v>
          </cell>
          <cell r="Q11">
            <v>382344</v>
          </cell>
          <cell r="R11">
            <v>382344</v>
          </cell>
          <cell r="S11">
            <v>382344</v>
          </cell>
          <cell r="T11">
            <v>382344</v>
          </cell>
          <cell r="U11">
            <v>382344</v>
          </cell>
          <cell r="V11">
            <v>382344</v>
          </cell>
          <cell r="W11">
            <v>382344</v>
          </cell>
          <cell r="X11">
            <v>382344</v>
          </cell>
          <cell r="Y11">
            <v>382344</v>
          </cell>
          <cell r="Z11">
            <v>382344</v>
          </cell>
          <cell r="AA11">
            <v>382344</v>
          </cell>
        </row>
        <row r="12">
          <cell r="D12" t="str">
            <v>Qty/Hour</v>
          </cell>
          <cell r="E12">
            <v>382344</v>
          </cell>
          <cell r="F12">
            <v>382344</v>
          </cell>
          <cell r="G12">
            <v>382344</v>
          </cell>
          <cell r="H12">
            <v>382344</v>
          </cell>
          <cell r="I12">
            <v>382344</v>
          </cell>
          <cell r="J12">
            <v>382344</v>
          </cell>
          <cell r="K12">
            <v>382344</v>
          </cell>
          <cell r="L12">
            <v>382344</v>
          </cell>
          <cell r="M12">
            <v>382344</v>
          </cell>
          <cell r="N12">
            <v>382344</v>
          </cell>
          <cell r="O12">
            <v>382344</v>
          </cell>
          <cell r="P12">
            <v>382344</v>
          </cell>
          <cell r="Q12">
            <v>382344</v>
          </cell>
          <cell r="R12">
            <v>382344</v>
          </cell>
          <cell r="S12">
            <v>382344</v>
          </cell>
          <cell r="T12">
            <v>382344</v>
          </cell>
          <cell r="U12">
            <v>382344</v>
          </cell>
          <cell r="V12">
            <v>382344</v>
          </cell>
          <cell r="W12">
            <v>382344</v>
          </cell>
          <cell r="X12">
            <v>382344</v>
          </cell>
          <cell r="Y12">
            <v>382344</v>
          </cell>
          <cell r="Z12">
            <v>382344</v>
          </cell>
          <cell r="AA12">
            <v>382344</v>
          </cell>
        </row>
        <row r="13">
          <cell r="D13" t="str">
            <v>Reg Hrs/ Day</v>
          </cell>
          <cell r="E13">
            <v>382344</v>
          </cell>
          <cell r="F13">
            <v>382344</v>
          </cell>
          <cell r="G13">
            <v>382344</v>
          </cell>
          <cell r="H13">
            <v>382344</v>
          </cell>
          <cell r="I13">
            <v>382344</v>
          </cell>
          <cell r="J13">
            <v>382344</v>
          </cell>
          <cell r="K13">
            <v>382344</v>
          </cell>
          <cell r="L13">
            <v>382344</v>
          </cell>
          <cell r="M13">
            <v>382344</v>
          </cell>
          <cell r="N13">
            <v>382344</v>
          </cell>
          <cell r="O13">
            <v>382344</v>
          </cell>
          <cell r="P13">
            <v>382344</v>
          </cell>
          <cell r="Q13">
            <v>382344</v>
          </cell>
          <cell r="R13">
            <v>382344</v>
          </cell>
          <cell r="S13">
            <v>382344</v>
          </cell>
          <cell r="T13">
            <v>382344</v>
          </cell>
          <cell r="U13">
            <v>382344</v>
          </cell>
          <cell r="V13">
            <v>382344</v>
          </cell>
          <cell r="W13">
            <v>382344</v>
          </cell>
          <cell r="X13">
            <v>382344</v>
          </cell>
          <cell r="Y13">
            <v>382344</v>
          </cell>
          <cell r="Z13">
            <v>382344</v>
          </cell>
          <cell r="AA13">
            <v>382344</v>
          </cell>
        </row>
        <row r="14">
          <cell r="D14" t="str">
            <v>OT Hrs/Day</v>
          </cell>
          <cell r="E14">
            <v>382344</v>
          </cell>
          <cell r="F14">
            <v>382344</v>
          </cell>
          <cell r="G14">
            <v>382344</v>
          </cell>
          <cell r="H14">
            <v>382344</v>
          </cell>
          <cell r="I14">
            <v>382344</v>
          </cell>
          <cell r="J14">
            <v>382344</v>
          </cell>
          <cell r="K14">
            <v>382344</v>
          </cell>
          <cell r="L14">
            <v>382344</v>
          </cell>
          <cell r="M14">
            <v>382344</v>
          </cell>
          <cell r="N14">
            <v>382344</v>
          </cell>
          <cell r="O14">
            <v>382344</v>
          </cell>
          <cell r="P14">
            <v>382344</v>
          </cell>
          <cell r="Q14">
            <v>382344</v>
          </cell>
          <cell r="R14">
            <v>382344</v>
          </cell>
          <cell r="S14">
            <v>382344</v>
          </cell>
          <cell r="T14">
            <v>382344</v>
          </cell>
          <cell r="U14">
            <v>382344</v>
          </cell>
          <cell r="V14">
            <v>382344</v>
          </cell>
          <cell r="W14">
            <v>382344</v>
          </cell>
          <cell r="X14">
            <v>382344</v>
          </cell>
          <cell r="Y14">
            <v>382344</v>
          </cell>
          <cell r="Z14">
            <v>382344</v>
          </cell>
          <cell r="AA14">
            <v>382344</v>
          </cell>
        </row>
        <row r="15">
          <cell r="D15" t="str">
            <v>Total Hrs/Day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D16" t="str">
            <v>Daily Target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D17" t="str">
            <v>Days/Week</v>
          </cell>
          <cell r="E17">
            <v>5</v>
          </cell>
          <cell r="F17">
            <v>5</v>
          </cell>
          <cell r="G17">
            <v>4</v>
          </cell>
          <cell r="H17">
            <v>6</v>
          </cell>
          <cell r="I17">
            <v>5</v>
          </cell>
          <cell r="J17">
            <v>4</v>
          </cell>
          <cell r="K17">
            <v>0</v>
          </cell>
          <cell r="L17">
            <v>4</v>
          </cell>
          <cell r="M17">
            <v>5</v>
          </cell>
          <cell r="N17">
            <v>6</v>
          </cell>
          <cell r="O17">
            <v>5</v>
          </cell>
          <cell r="P17">
            <v>6</v>
          </cell>
          <cell r="Q17">
            <v>5</v>
          </cell>
          <cell r="R17">
            <v>6</v>
          </cell>
          <cell r="S17">
            <v>5</v>
          </cell>
          <cell r="T17">
            <v>6</v>
          </cell>
          <cell r="U17">
            <v>5</v>
          </cell>
          <cell r="V17">
            <v>6</v>
          </cell>
          <cell r="W17">
            <v>5</v>
          </cell>
          <cell r="X17">
            <v>2</v>
          </cell>
          <cell r="Y17">
            <v>4</v>
          </cell>
          <cell r="Z17">
            <v>4</v>
          </cell>
          <cell r="AA17">
            <v>5</v>
          </cell>
        </row>
        <row r="18">
          <cell r="D18" t="str">
            <v>Prodn Qty</v>
          </cell>
          <cell r="E18">
            <v>3780</v>
          </cell>
          <cell r="F18">
            <v>3780</v>
          </cell>
          <cell r="G18">
            <v>2640</v>
          </cell>
          <cell r="H18">
            <v>4600</v>
          </cell>
          <cell r="I18">
            <v>3780</v>
          </cell>
          <cell r="J18">
            <v>2640</v>
          </cell>
          <cell r="K18">
            <v>0</v>
          </cell>
          <cell r="L18">
            <v>2640</v>
          </cell>
          <cell r="M18">
            <v>3300</v>
          </cell>
          <cell r="N18">
            <v>3300</v>
          </cell>
          <cell r="O18">
            <v>2475</v>
          </cell>
          <cell r="P18">
            <v>2970</v>
          </cell>
          <cell r="Q18">
            <v>2475</v>
          </cell>
          <cell r="R18">
            <v>2970</v>
          </cell>
          <cell r="S18">
            <v>2475</v>
          </cell>
          <cell r="T18">
            <v>2475</v>
          </cell>
          <cell r="U18">
            <v>2310</v>
          </cell>
          <cell r="V18">
            <v>2805</v>
          </cell>
          <cell r="W18">
            <v>2475</v>
          </cell>
          <cell r="X18">
            <v>990</v>
          </cell>
          <cell r="Y18">
            <v>1980</v>
          </cell>
          <cell r="Z18">
            <v>1980</v>
          </cell>
          <cell r="AA18">
            <v>2475</v>
          </cell>
        </row>
        <row r="19">
          <cell r="D19">
            <v>-457</v>
          </cell>
          <cell r="E19">
            <v>11</v>
          </cell>
          <cell r="F19">
            <v>431</v>
          </cell>
          <cell r="G19">
            <v>-433</v>
          </cell>
          <cell r="H19">
            <v>663</v>
          </cell>
          <cell r="I19">
            <v>939</v>
          </cell>
          <cell r="J19">
            <v>939</v>
          </cell>
          <cell r="K19">
            <v>939</v>
          </cell>
          <cell r="L19">
            <v>363</v>
          </cell>
          <cell r="M19">
            <v>687</v>
          </cell>
          <cell r="N19">
            <v>1059</v>
          </cell>
          <cell r="O19">
            <v>846</v>
          </cell>
          <cell r="P19">
            <v>1128</v>
          </cell>
          <cell r="Q19">
            <v>915</v>
          </cell>
          <cell r="R19">
            <v>1245</v>
          </cell>
          <cell r="S19">
            <v>1224</v>
          </cell>
          <cell r="T19">
            <v>1251</v>
          </cell>
          <cell r="U19">
            <v>1305</v>
          </cell>
          <cell r="V19">
            <v>1854</v>
          </cell>
          <cell r="W19">
            <v>2073</v>
          </cell>
          <cell r="X19">
            <v>807</v>
          </cell>
          <cell r="Y19">
            <v>531</v>
          </cell>
          <cell r="Z19">
            <v>255</v>
          </cell>
          <cell r="AA19">
            <v>474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B195"/>
  <sheetViews>
    <sheetView topLeftCell="A158" zoomScale="90" zoomScaleNormal="90" workbookViewId="0">
      <selection activeCell="O199" sqref="O199"/>
    </sheetView>
  </sheetViews>
  <sheetFormatPr defaultColWidth="8.85546875" defaultRowHeight="15" x14ac:dyDescent="0.25"/>
  <cols>
    <col min="2" max="2" width="26.140625" bestFit="1" customWidth="1"/>
  </cols>
  <sheetData>
    <row r="2" spans="2:2" x14ac:dyDescent="0.25">
      <c r="B2" s="132" t="s">
        <v>96</v>
      </c>
    </row>
    <row r="24" spans="2:2" x14ac:dyDescent="0.25">
      <c r="B24" s="133" t="s">
        <v>97</v>
      </c>
    </row>
    <row r="40" spans="2:2" x14ac:dyDescent="0.25">
      <c r="B40" s="132" t="s">
        <v>98</v>
      </c>
    </row>
    <row r="53" spans="2:2" x14ac:dyDescent="0.25">
      <c r="B53" s="132" t="s">
        <v>99</v>
      </c>
    </row>
    <row r="64" spans="2:2" x14ac:dyDescent="0.25">
      <c r="B64" s="132" t="s">
        <v>100</v>
      </c>
    </row>
    <row r="74" spans="2:2" x14ac:dyDescent="0.25">
      <c r="B74" s="132" t="s">
        <v>101</v>
      </c>
    </row>
    <row r="90" spans="2:2" x14ac:dyDescent="0.25">
      <c r="B90" s="132" t="s">
        <v>102</v>
      </c>
    </row>
    <row r="99" spans="2:2" x14ac:dyDescent="0.25">
      <c r="B99" s="132" t="s">
        <v>103</v>
      </c>
    </row>
    <row r="109" spans="2:2" x14ac:dyDescent="0.25">
      <c r="B109" s="132" t="s">
        <v>104</v>
      </c>
    </row>
    <row r="117" spans="2:2" x14ac:dyDescent="0.25">
      <c r="B117" s="132" t="s">
        <v>105</v>
      </c>
    </row>
    <row r="124" spans="2:2" x14ac:dyDescent="0.25">
      <c r="B124" s="132" t="s">
        <v>106</v>
      </c>
    </row>
    <row r="133" spans="2:2" x14ac:dyDescent="0.25">
      <c r="B133" s="132" t="s">
        <v>107</v>
      </c>
    </row>
    <row r="141" spans="2:2" x14ac:dyDescent="0.25">
      <c r="B141" s="132" t="s">
        <v>109</v>
      </c>
    </row>
    <row r="142" spans="2:2" x14ac:dyDescent="0.25">
      <c r="B142" t="s">
        <v>108</v>
      </c>
    </row>
    <row r="149" spans="2:2" x14ac:dyDescent="0.25">
      <c r="B149" s="132" t="s">
        <v>110</v>
      </c>
    </row>
    <row r="161" spans="2:2" x14ac:dyDescent="0.25">
      <c r="B161" s="209" t="s">
        <v>210</v>
      </c>
    </row>
    <row r="162" spans="2:2" x14ac:dyDescent="0.25">
      <c r="B162" t="s">
        <v>213</v>
      </c>
    </row>
    <row r="163" spans="2:2" x14ac:dyDescent="0.25">
      <c r="B163" t="s">
        <v>216</v>
      </c>
    </row>
    <row r="164" spans="2:2" x14ac:dyDescent="0.25">
      <c r="B164" t="s">
        <v>214</v>
      </c>
    </row>
    <row r="165" spans="2:2" x14ac:dyDescent="0.25">
      <c r="B165" t="s">
        <v>215</v>
      </c>
    </row>
    <row r="167" spans="2:2" x14ac:dyDescent="0.25">
      <c r="B167" s="209" t="s">
        <v>217</v>
      </c>
    </row>
    <row r="168" spans="2:2" x14ac:dyDescent="0.25">
      <c r="B168" t="s">
        <v>218</v>
      </c>
    </row>
    <row r="169" spans="2:2" x14ac:dyDescent="0.25">
      <c r="B169" t="s">
        <v>219</v>
      </c>
    </row>
    <row r="170" spans="2:2" x14ac:dyDescent="0.25">
      <c r="B170" t="s">
        <v>220</v>
      </c>
    </row>
    <row r="172" spans="2:2" x14ac:dyDescent="0.25">
      <c r="B172" s="209" t="s">
        <v>221</v>
      </c>
    </row>
    <row r="173" spans="2:2" x14ac:dyDescent="0.25">
      <c r="B173" t="s">
        <v>224</v>
      </c>
    </row>
    <row r="174" spans="2:2" x14ac:dyDescent="0.25">
      <c r="B174" t="s">
        <v>223</v>
      </c>
    </row>
    <row r="175" spans="2:2" x14ac:dyDescent="0.25">
      <c r="B175" t="s">
        <v>222</v>
      </c>
    </row>
    <row r="177" spans="2:2" x14ac:dyDescent="0.25">
      <c r="B177" s="209" t="s">
        <v>225</v>
      </c>
    </row>
    <row r="178" spans="2:2" x14ac:dyDescent="0.25">
      <c r="B178" t="s">
        <v>226</v>
      </c>
    </row>
    <row r="180" spans="2:2" x14ac:dyDescent="0.25">
      <c r="B180" s="209" t="s">
        <v>227</v>
      </c>
    </row>
    <row r="181" spans="2:2" x14ac:dyDescent="0.25">
      <c r="B181" t="s">
        <v>228</v>
      </c>
    </row>
    <row r="183" spans="2:2" x14ac:dyDescent="0.25">
      <c r="B183" s="209" t="s">
        <v>328</v>
      </c>
    </row>
    <row r="184" spans="2:2" x14ac:dyDescent="0.25">
      <c r="B184" t="s">
        <v>298</v>
      </c>
    </row>
    <row r="185" spans="2:2" x14ac:dyDescent="0.25">
      <c r="B185" t="s">
        <v>299</v>
      </c>
    </row>
    <row r="187" spans="2:2" x14ac:dyDescent="0.25">
      <c r="B187" s="209" t="s">
        <v>301</v>
      </c>
    </row>
    <row r="188" spans="2:2" x14ac:dyDescent="0.25">
      <c r="B188" t="s">
        <v>302</v>
      </c>
    </row>
    <row r="190" spans="2:2" x14ac:dyDescent="0.25">
      <c r="B190" s="209" t="s">
        <v>305</v>
      </c>
    </row>
    <row r="191" spans="2:2" x14ac:dyDescent="0.25">
      <c r="B191" t="s">
        <v>307</v>
      </c>
    </row>
    <row r="192" spans="2:2" x14ac:dyDescent="0.25">
      <c r="B192" t="s">
        <v>327</v>
      </c>
    </row>
    <row r="193" spans="2:2" x14ac:dyDescent="0.25">
      <c r="B193" t="s">
        <v>306</v>
      </c>
    </row>
    <row r="194" spans="2:2" x14ac:dyDescent="0.25">
      <c r="B194" t="s">
        <v>308</v>
      </c>
    </row>
    <row r="195" spans="2:2" x14ac:dyDescent="0.25">
      <c r="B195" t="s">
        <v>326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I444"/>
  <sheetViews>
    <sheetView tabSelected="1" zoomScaleNormal="100" workbookViewId="0">
      <pane xSplit="9" ySplit="6" topLeftCell="J7" activePane="bottomRight" state="frozen"/>
      <selection activeCell="B21" sqref="B21"/>
      <selection pane="topRight" activeCell="B21" sqref="B21"/>
      <selection pane="bottomLeft" activeCell="B21" sqref="B21"/>
      <selection pane="bottomRight" activeCell="H432" sqref="H432"/>
    </sheetView>
  </sheetViews>
  <sheetFormatPr defaultColWidth="8.85546875" defaultRowHeight="15" x14ac:dyDescent="0.25"/>
  <cols>
    <col min="1" max="1" width="6.140625" style="23" hidden="1" customWidth="1"/>
    <col min="2" max="2" width="11.85546875" hidden="1" customWidth="1"/>
    <col min="3" max="3" width="12.140625" style="23" hidden="1" customWidth="1"/>
    <col min="4" max="4" width="5.5703125" hidden="1" customWidth="1"/>
    <col min="5" max="5" width="9.5703125" style="23" hidden="1" customWidth="1"/>
    <col min="6" max="6" width="15.5703125" style="1" customWidth="1"/>
    <col min="7" max="7" width="15.5703125" style="4" customWidth="1"/>
    <col min="8" max="8" width="20.5703125" style="1" customWidth="1"/>
    <col min="9" max="9" width="15.140625" customWidth="1"/>
    <col min="10" max="11" width="11.85546875" customWidth="1"/>
    <col min="12" max="12" width="14.5703125" customWidth="1"/>
    <col min="13" max="13" width="12.85546875" customWidth="1"/>
    <col min="14" max="14" width="12.140625" customWidth="1"/>
    <col min="15" max="15" width="12.5703125" customWidth="1"/>
    <col min="16" max="16" width="11.85546875" customWidth="1"/>
    <col min="17" max="17" width="8.85546875" style="109" customWidth="1"/>
    <col min="18" max="18" width="8.85546875" customWidth="1"/>
    <col min="19" max="19" width="11.85546875" customWidth="1"/>
    <col min="20" max="20" width="10.5703125" customWidth="1"/>
    <col min="21" max="22" width="11.85546875" customWidth="1"/>
    <col min="23" max="23" width="12.140625" customWidth="1"/>
    <col min="24" max="24" width="11" customWidth="1"/>
    <col min="25" max="60" width="11.85546875" customWidth="1"/>
    <col min="61" max="61" width="9.42578125" customWidth="1"/>
  </cols>
  <sheetData>
    <row r="1" spans="1:61" s="21" customFormat="1" ht="30" x14ac:dyDescent="0.4">
      <c r="A1" s="22">
        <v>1</v>
      </c>
      <c r="B1" s="45"/>
      <c r="C1" s="22"/>
      <c r="D1" s="45"/>
      <c r="E1" s="22"/>
      <c r="F1" s="65" t="s">
        <v>48</v>
      </c>
      <c r="G1" s="18"/>
      <c r="H1" s="19"/>
      <c r="I1" s="20"/>
      <c r="J1" s="20"/>
      <c r="K1" s="20" t="s">
        <v>0</v>
      </c>
      <c r="L1" s="20" t="s">
        <v>0</v>
      </c>
      <c r="M1" s="20" t="s">
        <v>0</v>
      </c>
      <c r="N1" s="20" t="s">
        <v>0</v>
      </c>
      <c r="O1" s="20" t="s">
        <v>0</v>
      </c>
      <c r="P1" s="191" t="s">
        <v>161</v>
      </c>
      <c r="Q1" s="192">
        <f>Q437/4</f>
        <v>1256</v>
      </c>
      <c r="R1" s="192">
        <f t="shared" ref="R1:AM1" si="0">R437/4</f>
        <v>0</v>
      </c>
      <c r="S1" s="192">
        <f t="shared" si="0"/>
        <v>800</v>
      </c>
      <c r="T1" s="192">
        <f t="shared" si="0"/>
        <v>800</v>
      </c>
      <c r="U1" s="192">
        <f t="shared" si="0"/>
        <v>799</v>
      </c>
      <c r="V1" s="192">
        <f t="shared" si="0"/>
        <v>640</v>
      </c>
      <c r="W1" s="192">
        <f t="shared" si="0"/>
        <v>606</v>
      </c>
      <c r="X1" s="192">
        <f t="shared" si="0"/>
        <v>441</v>
      </c>
      <c r="Y1" s="192">
        <f t="shared" si="0"/>
        <v>451</v>
      </c>
      <c r="Z1" s="192">
        <f t="shared" si="0"/>
        <v>625</v>
      </c>
      <c r="AA1" s="192">
        <f t="shared" si="0"/>
        <v>775</v>
      </c>
      <c r="AB1" s="192">
        <f>AB437/4</f>
        <v>772</v>
      </c>
      <c r="AC1" s="192">
        <f t="shared" si="0"/>
        <v>775</v>
      </c>
      <c r="AD1" s="192">
        <f t="shared" si="0"/>
        <v>616</v>
      </c>
      <c r="AE1" s="192">
        <f t="shared" si="0"/>
        <v>636</v>
      </c>
      <c r="AF1" s="192">
        <f t="shared" si="0"/>
        <v>628</v>
      </c>
      <c r="AG1" s="192">
        <f t="shared" si="0"/>
        <v>747</v>
      </c>
      <c r="AH1" s="192">
        <f t="shared" si="0"/>
        <v>530</v>
      </c>
      <c r="AI1" s="192">
        <f t="shared" si="0"/>
        <v>704</v>
      </c>
      <c r="AJ1" s="192">
        <f t="shared" si="0"/>
        <v>809</v>
      </c>
      <c r="AK1" s="192">
        <f t="shared" si="0"/>
        <v>809</v>
      </c>
      <c r="AL1" s="192">
        <f t="shared" si="0"/>
        <v>1053</v>
      </c>
      <c r="AM1" s="192">
        <f t="shared" si="0"/>
        <v>1027</v>
      </c>
      <c r="AN1" s="192">
        <f t="shared" ref="AN1:BI1" si="1">AN437/4</f>
        <v>1002</v>
      </c>
      <c r="AO1" s="192">
        <f t="shared" si="1"/>
        <v>1002</v>
      </c>
      <c r="AP1" s="192">
        <f t="shared" si="1"/>
        <v>1002</v>
      </c>
      <c r="AQ1" s="192">
        <f t="shared" si="1"/>
        <v>1002</v>
      </c>
      <c r="AR1" s="192">
        <f t="shared" si="1"/>
        <v>1002</v>
      </c>
      <c r="AS1" s="192">
        <f t="shared" si="1"/>
        <v>1002</v>
      </c>
      <c r="AT1" s="192">
        <f t="shared" si="1"/>
        <v>1002</v>
      </c>
      <c r="AU1" s="192">
        <f t="shared" si="1"/>
        <v>1002</v>
      </c>
      <c r="AV1" s="192">
        <f t="shared" si="1"/>
        <v>1002</v>
      </c>
      <c r="AW1" s="192">
        <f t="shared" si="1"/>
        <v>1002</v>
      </c>
      <c r="AX1" s="192">
        <f t="shared" si="1"/>
        <v>1002</v>
      </c>
      <c r="AY1" s="192">
        <f t="shared" si="1"/>
        <v>1002</v>
      </c>
      <c r="AZ1" s="192">
        <f t="shared" si="1"/>
        <v>1002</v>
      </c>
      <c r="BA1" s="192">
        <f t="shared" si="1"/>
        <v>1002</v>
      </c>
      <c r="BB1" s="192">
        <f t="shared" si="1"/>
        <v>1002</v>
      </c>
      <c r="BC1" s="192">
        <f t="shared" si="1"/>
        <v>1002</v>
      </c>
      <c r="BD1" s="192">
        <f t="shared" si="1"/>
        <v>1002</v>
      </c>
      <c r="BE1" s="192">
        <f t="shared" si="1"/>
        <v>1002</v>
      </c>
      <c r="BF1" s="192">
        <f t="shared" si="1"/>
        <v>1002</v>
      </c>
      <c r="BG1" s="192">
        <f t="shared" si="1"/>
        <v>1002</v>
      </c>
      <c r="BH1" s="192">
        <f t="shared" si="1"/>
        <v>1002</v>
      </c>
      <c r="BI1" s="192">
        <f t="shared" si="1"/>
        <v>1002</v>
      </c>
    </row>
    <row r="2" spans="1:61" ht="24" thickBot="1" x14ac:dyDescent="0.4">
      <c r="A2" s="22">
        <v>2</v>
      </c>
      <c r="B2" s="45"/>
      <c r="C2" s="22"/>
      <c r="D2" s="45"/>
      <c r="E2" s="22"/>
      <c r="F2" s="2" t="s">
        <v>49</v>
      </c>
      <c r="G2" s="46"/>
      <c r="H2" s="47"/>
      <c r="I2" s="48"/>
      <c r="J2" s="48"/>
      <c r="K2" s="48"/>
      <c r="L2" s="48"/>
      <c r="M2" s="48"/>
      <c r="N2" s="48"/>
      <c r="O2" s="48"/>
      <c r="P2" s="193" t="s">
        <v>162</v>
      </c>
      <c r="Q2" s="213">
        <f>Q1/160</f>
        <v>7.85</v>
      </c>
      <c r="R2" s="213">
        <f t="shared" ref="R2:AM2" si="2">R1/160</f>
        <v>0</v>
      </c>
      <c r="S2" s="213">
        <f t="shared" si="2"/>
        <v>5</v>
      </c>
      <c r="T2" s="213">
        <f t="shared" si="2"/>
        <v>5</v>
      </c>
      <c r="U2" s="213">
        <f>U1/160</f>
        <v>4.9937500000000004</v>
      </c>
      <c r="V2" s="213">
        <f>V1/160</f>
        <v>4</v>
      </c>
      <c r="W2" s="213">
        <f t="shared" si="2"/>
        <v>3.7875000000000001</v>
      </c>
      <c r="X2" s="213">
        <f t="shared" si="2"/>
        <v>2.7562500000000001</v>
      </c>
      <c r="Y2" s="213">
        <f t="shared" si="2"/>
        <v>2.8187500000000001</v>
      </c>
      <c r="Z2" s="213">
        <f t="shared" si="2"/>
        <v>3.90625</v>
      </c>
      <c r="AA2" s="213">
        <f t="shared" si="2"/>
        <v>4.84375</v>
      </c>
      <c r="AB2" s="213">
        <f t="shared" si="2"/>
        <v>4.8250000000000002</v>
      </c>
      <c r="AC2" s="213">
        <f t="shared" si="2"/>
        <v>4.84375</v>
      </c>
      <c r="AD2" s="213">
        <f t="shared" si="2"/>
        <v>3.85</v>
      </c>
      <c r="AE2" s="213">
        <f t="shared" si="2"/>
        <v>3.9750000000000001</v>
      </c>
      <c r="AF2" s="213">
        <f t="shared" si="2"/>
        <v>3.9249999999999998</v>
      </c>
      <c r="AG2" s="213">
        <f t="shared" si="2"/>
        <v>4.6687500000000002</v>
      </c>
      <c r="AH2" s="213">
        <f t="shared" si="2"/>
        <v>3.3125</v>
      </c>
      <c r="AI2" s="213">
        <f t="shared" si="2"/>
        <v>4.4000000000000004</v>
      </c>
      <c r="AJ2" s="213">
        <f t="shared" si="2"/>
        <v>5.0562500000000004</v>
      </c>
      <c r="AK2" s="213">
        <f t="shared" si="2"/>
        <v>5.0562500000000004</v>
      </c>
      <c r="AL2" s="213">
        <f t="shared" si="2"/>
        <v>6.5812499999999998</v>
      </c>
      <c r="AM2" s="213">
        <f t="shared" si="2"/>
        <v>6.4187500000000002</v>
      </c>
      <c r="AN2" s="213">
        <f t="shared" ref="AN2:BI2" si="3">AN1/160</f>
        <v>6.2625000000000002</v>
      </c>
      <c r="AO2" s="213">
        <f t="shared" si="3"/>
        <v>6.2625000000000002</v>
      </c>
      <c r="AP2" s="213">
        <f t="shared" si="3"/>
        <v>6.2625000000000002</v>
      </c>
      <c r="AQ2" s="213">
        <f t="shared" si="3"/>
        <v>6.2625000000000002</v>
      </c>
      <c r="AR2" s="213">
        <f t="shared" si="3"/>
        <v>6.2625000000000002</v>
      </c>
      <c r="AS2" s="213">
        <f t="shared" si="3"/>
        <v>6.2625000000000002</v>
      </c>
      <c r="AT2" s="213">
        <f t="shared" si="3"/>
        <v>6.2625000000000002</v>
      </c>
      <c r="AU2" s="213">
        <f t="shared" si="3"/>
        <v>6.2625000000000002</v>
      </c>
      <c r="AV2" s="213">
        <f t="shared" si="3"/>
        <v>6.2625000000000002</v>
      </c>
      <c r="AW2" s="213">
        <f t="shared" si="3"/>
        <v>6.2625000000000002</v>
      </c>
      <c r="AX2" s="213">
        <f t="shared" si="3"/>
        <v>6.2625000000000002</v>
      </c>
      <c r="AY2" s="213">
        <f t="shared" si="3"/>
        <v>6.2625000000000002</v>
      </c>
      <c r="AZ2" s="213">
        <f t="shared" si="3"/>
        <v>6.2625000000000002</v>
      </c>
      <c r="BA2" s="213">
        <f t="shared" si="3"/>
        <v>6.2625000000000002</v>
      </c>
      <c r="BB2" s="213">
        <f t="shared" si="3"/>
        <v>6.2625000000000002</v>
      </c>
      <c r="BC2" s="213">
        <f t="shared" si="3"/>
        <v>6.2625000000000002</v>
      </c>
      <c r="BD2" s="213">
        <f t="shared" si="3"/>
        <v>6.2625000000000002</v>
      </c>
      <c r="BE2" s="213">
        <f t="shared" si="3"/>
        <v>6.2625000000000002</v>
      </c>
      <c r="BF2" s="213">
        <f t="shared" si="3"/>
        <v>6.2625000000000002</v>
      </c>
      <c r="BG2" s="213">
        <f t="shared" si="3"/>
        <v>6.2625000000000002</v>
      </c>
      <c r="BH2" s="213">
        <f t="shared" si="3"/>
        <v>6.2625000000000002</v>
      </c>
      <c r="BI2" s="213">
        <f t="shared" si="3"/>
        <v>6.2625000000000002</v>
      </c>
    </row>
    <row r="3" spans="1:61" x14ac:dyDescent="0.25">
      <c r="A3" s="22">
        <v>3</v>
      </c>
      <c r="B3" s="45"/>
      <c r="C3" s="22"/>
      <c r="D3" s="45"/>
      <c r="E3" s="22"/>
      <c r="F3" s="3"/>
      <c r="G3" s="46"/>
      <c r="H3" s="47"/>
      <c r="I3" s="48"/>
      <c r="J3" s="48"/>
      <c r="K3" s="48"/>
      <c r="L3" s="48"/>
      <c r="M3" s="48"/>
      <c r="N3" s="48"/>
      <c r="O3" s="48"/>
      <c r="P3" s="134" t="s">
        <v>0</v>
      </c>
      <c r="Q3" s="134" t="s">
        <v>1</v>
      </c>
      <c r="R3" s="134" t="s">
        <v>2</v>
      </c>
      <c r="S3" s="134" t="s">
        <v>0</v>
      </c>
      <c r="T3" s="134" t="s">
        <v>0</v>
      </c>
      <c r="U3" s="134" t="s">
        <v>0</v>
      </c>
      <c r="V3" s="134" t="s">
        <v>0</v>
      </c>
      <c r="W3" s="134" t="s">
        <v>0</v>
      </c>
      <c r="X3" s="134" t="s">
        <v>0</v>
      </c>
      <c r="Y3" s="134" t="s">
        <v>0</v>
      </c>
      <c r="Z3" s="134" t="s">
        <v>3</v>
      </c>
      <c r="AA3" s="134" t="s">
        <v>0</v>
      </c>
      <c r="AB3" s="134" t="s">
        <v>0</v>
      </c>
      <c r="AC3" s="134" t="s">
        <v>0</v>
      </c>
      <c r="AD3" s="134" t="s">
        <v>0</v>
      </c>
      <c r="AE3" s="134" t="s">
        <v>0</v>
      </c>
      <c r="AF3" s="134" t="s">
        <v>0</v>
      </c>
      <c r="AG3" s="134" t="s">
        <v>0</v>
      </c>
      <c r="AH3" s="134" t="s">
        <v>0</v>
      </c>
      <c r="AI3" s="134" t="s">
        <v>0</v>
      </c>
      <c r="AJ3" s="134" t="s">
        <v>0</v>
      </c>
      <c r="AK3" s="134" t="s">
        <v>0</v>
      </c>
      <c r="AL3" s="134" t="s">
        <v>0</v>
      </c>
      <c r="AM3" s="134" t="s">
        <v>0</v>
      </c>
      <c r="AN3" s="134" t="s">
        <v>0</v>
      </c>
      <c r="AO3" s="134" t="s">
        <v>0</v>
      </c>
      <c r="AP3" s="134" t="s">
        <v>0</v>
      </c>
      <c r="AQ3" s="134" t="s">
        <v>0</v>
      </c>
      <c r="AR3" s="134" t="s">
        <v>0</v>
      </c>
      <c r="AS3" s="134" t="s">
        <v>0</v>
      </c>
      <c r="AT3" s="134" t="s">
        <v>0</v>
      </c>
      <c r="AU3" s="134" t="s">
        <v>0</v>
      </c>
      <c r="AV3" s="134" t="s">
        <v>0</v>
      </c>
      <c r="AW3" s="134" t="s">
        <v>0</v>
      </c>
      <c r="AX3" s="134" t="s">
        <v>0</v>
      </c>
      <c r="AY3" s="134" t="s">
        <v>0</v>
      </c>
      <c r="AZ3" s="134" t="s">
        <v>0</v>
      </c>
      <c r="BA3" s="134" t="s">
        <v>0</v>
      </c>
      <c r="BB3" s="134" t="s">
        <v>0</v>
      </c>
      <c r="BC3" s="134" t="s">
        <v>0</v>
      </c>
      <c r="BD3" s="134" t="s">
        <v>0</v>
      </c>
      <c r="BE3" s="134" t="s">
        <v>0</v>
      </c>
      <c r="BF3" s="134" t="s">
        <v>0</v>
      </c>
      <c r="BG3" s="134" t="s">
        <v>0</v>
      </c>
      <c r="BH3" s="134" t="s">
        <v>0</v>
      </c>
      <c r="BI3" s="135" t="s">
        <v>4</v>
      </c>
    </row>
    <row r="4" spans="1:61" x14ac:dyDescent="0.25">
      <c r="A4" s="22">
        <v>4</v>
      </c>
      <c r="B4" s="45"/>
      <c r="C4" s="22"/>
      <c r="D4" s="45"/>
      <c r="E4" s="22"/>
      <c r="F4" s="136" t="s">
        <v>50</v>
      </c>
      <c r="G4" s="137">
        <v>1090</v>
      </c>
      <c r="H4" s="136" t="s">
        <v>51</v>
      </c>
      <c r="I4" s="138" t="s">
        <v>52</v>
      </c>
      <c r="J4" s="139"/>
      <c r="K4" s="126"/>
      <c r="L4" s="140" t="s">
        <v>53</v>
      </c>
      <c r="M4" s="141"/>
      <c r="N4" s="138" t="s">
        <v>54</v>
      </c>
      <c r="O4" s="126" t="s">
        <v>0</v>
      </c>
      <c r="P4" s="14">
        <v>46083</v>
      </c>
      <c r="Q4" s="14">
        <v>46090</v>
      </c>
      <c r="R4" s="14">
        <v>46097</v>
      </c>
      <c r="S4" s="14">
        <v>46104</v>
      </c>
      <c r="T4" s="14">
        <v>46111</v>
      </c>
      <c r="U4" s="14">
        <v>46118</v>
      </c>
      <c r="V4" s="14">
        <v>46125</v>
      </c>
      <c r="W4" s="14">
        <v>46132</v>
      </c>
      <c r="X4" s="14">
        <v>46139</v>
      </c>
      <c r="Y4" s="14">
        <v>46146</v>
      </c>
      <c r="Z4" s="14">
        <v>46153</v>
      </c>
      <c r="AA4" s="14">
        <v>46160</v>
      </c>
      <c r="AB4" s="14">
        <v>46167</v>
      </c>
      <c r="AC4" s="14">
        <v>46174</v>
      </c>
      <c r="AD4" s="14">
        <v>46181</v>
      </c>
      <c r="AE4" s="14">
        <v>46188</v>
      </c>
      <c r="AF4" s="14">
        <v>46195</v>
      </c>
      <c r="AG4" s="14">
        <v>46202</v>
      </c>
      <c r="AH4" s="14">
        <v>46209</v>
      </c>
      <c r="AI4" s="14">
        <v>46216</v>
      </c>
      <c r="AJ4" s="14">
        <v>46223</v>
      </c>
      <c r="AK4" s="14">
        <v>46230</v>
      </c>
      <c r="AL4" s="14">
        <v>46237</v>
      </c>
      <c r="AM4" s="14">
        <v>46244</v>
      </c>
      <c r="AN4" s="14">
        <v>46251</v>
      </c>
      <c r="AO4" s="14">
        <v>46258</v>
      </c>
      <c r="AP4" s="14">
        <v>46265</v>
      </c>
      <c r="AQ4" s="14">
        <v>46272</v>
      </c>
      <c r="AR4" s="14">
        <v>46279</v>
      </c>
      <c r="AS4" s="14">
        <v>46286</v>
      </c>
      <c r="AT4" s="14">
        <v>46293</v>
      </c>
      <c r="AU4" s="14">
        <v>46300</v>
      </c>
      <c r="AV4" s="14">
        <v>46307</v>
      </c>
      <c r="AW4" s="14">
        <v>46314</v>
      </c>
      <c r="AX4" s="14">
        <v>46321</v>
      </c>
      <c r="AY4" s="14">
        <v>46328</v>
      </c>
      <c r="AZ4" s="14">
        <v>46335</v>
      </c>
      <c r="BA4" s="14">
        <v>46342</v>
      </c>
      <c r="BB4" s="14">
        <v>46349</v>
      </c>
      <c r="BC4" s="14">
        <v>46356</v>
      </c>
      <c r="BD4" s="14">
        <v>46363</v>
      </c>
      <c r="BE4" s="14">
        <v>46370</v>
      </c>
      <c r="BF4" s="14">
        <v>46377</v>
      </c>
      <c r="BG4" s="14">
        <v>46384</v>
      </c>
      <c r="BH4" s="14">
        <v>46391</v>
      </c>
      <c r="BI4" s="15">
        <v>46398</v>
      </c>
    </row>
    <row r="5" spans="1:61" x14ac:dyDescent="0.25">
      <c r="A5" s="22">
        <v>5</v>
      </c>
      <c r="B5" s="45"/>
      <c r="C5" s="22"/>
      <c r="D5" s="45"/>
      <c r="E5" s="22"/>
      <c r="F5" s="136" t="s">
        <v>55</v>
      </c>
      <c r="G5" s="137">
        <v>6000224</v>
      </c>
      <c r="H5" s="136" t="s">
        <v>56</v>
      </c>
      <c r="I5" s="138" t="s">
        <v>82</v>
      </c>
      <c r="J5" s="139"/>
      <c r="K5" s="142"/>
      <c r="L5" s="140" t="s">
        <v>57</v>
      </c>
      <c r="M5" s="141"/>
      <c r="N5" s="143">
        <v>46086</v>
      </c>
      <c r="O5" s="126" t="s">
        <v>0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17"/>
    </row>
    <row r="6" spans="1:61" ht="13.7" customHeight="1" x14ac:dyDescent="0.25">
      <c r="A6" s="78"/>
      <c r="B6" s="78"/>
      <c r="C6" s="78"/>
      <c r="D6" s="79"/>
      <c r="E6" s="80"/>
      <c r="F6" s="144" t="s">
        <v>58</v>
      </c>
      <c r="G6" s="127" t="s">
        <v>58</v>
      </c>
      <c r="H6" s="128" t="s">
        <v>58</v>
      </c>
      <c r="I6" s="129" t="s">
        <v>58</v>
      </c>
      <c r="J6" s="129" t="s">
        <v>0</v>
      </c>
      <c r="K6" s="129" t="s">
        <v>0</v>
      </c>
      <c r="L6" s="129" t="s">
        <v>0</v>
      </c>
      <c r="M6" s="129" t="s">
        <v>0</v>
      </c>
      <c r="N6" s="129" t="s">
        <v>0</v>
      </c>
      <c r="O6" s="129" t="s">
        <v>0</v>
      </c>
      <c r="P6" s="129" t="s">
        <v>0</v>
      </c>
      <c r="Q6" s="129" t="s">
        <v>0</v>
      </c>
      <c r="R6" s="129" t="s">
        <v>0</v>
      </c>
      <c r="S6" s="129" t="s">
        <v>0</v>
      </c>
      <c r="T6" s="129" t="s">
        <v>0</v>
      </c>
      <c r="U6" s="129" t="s">
        <v>0</v>
      </c>
      <c r="V6" s="129" t="s">
        <v>0</v>
      </c>
      <c r="W6" s="129" t="s">
        <v>0</v>
      </c>
      <c r="X6" s="129" t="s">
        <v>0</v>
      </c>
      <c r="Y6" s="129" t="s">
        <v>0</v>
      </c>
      <c r="Z6" s="129" t="s">
        <v>0</v>
      </c>
      <c r="AA6" s="129" t="s">
        <v>0</v>
      </c>
      <c r="AB6" s="129" t="s">
        <v>0</v>
      </c>
      <c r="AC6" s="129" t="s">
        <v>0</v>
      </c>
      <c r="AD6" s="129" t="s">
        <v>0</v>
      </c>
      <c r="AE6" s="129" t="s">
        <v>0</v>
      </c>
      <c r="AF6" s="129" t="s">
        <v>0</v>
      </c>
      <c r="AG6" s="129" t="s">
        <v>0</v>
      </c>
      <c r="AH6" s="129" t="s">
        <v>0</v>
      </c>
      <c r="AI6" s="129" t="s">
        <v>0</v>
      </c>
      <c r="AJ6" s="129" t="s">
        <v>0</v>
      </c>
      <c r="AK6" s="129" t="s">
        <v>0</v>
      </c>
      <c r="AL6" s="129" t="s">
        <v>0</v>
      </c>
      <c r="AM6" s="129" t="s">
        <v>0</v>
      </c>
      <c r="AN6" s="129" t="s">
        <v>0</v>
      </c>
      <c r="AO6" s="129" t="s">
        <v>0</v>
      </c>
      <c r="AP6" s="129" t="s">
        <v>0</v>
      </c>
      <c r="AQ6" s="129" t="s">
        <v>0</v>
      </c>
      <c r="AR6" s="129" t="s">
        <v>0</v>
      </c>
      <c r="AS6" s="129" t="s">
        <v>0</v>
      </c>
      <c r="AT6" s="129" t="s">
        <v>0</v>
      </c>
      <c r="AU6" s="129" t="s">
        <v>0</v>
      </c>
      <c r="AV6" s="129" t="s">
        <v>0</v>
      </c>
      <c r="AW6" s="129" t="s">
        <v>0</v>
      </c>
      <c r="AX6" s="129" t="s">
        <v>0</v>
      </c>
      <c r="AY6" s="129" t="s">
        <v>0</v>
      </c>
      <c r="AZ6" s="129" t="s">
        <v>0</v>
      </c>
      <c r="BA6" s="129" t="s">
        <v>0</v>
      </c>
      <c r="BB6" s="129" t="s">
        <v>0</v>
      </c>
      <c r="BC6" s="129" t="s">
        <v>0</v>
      </c>
      <c r="BD6" s="129" t="s">
        <v>0</v>
      </c>
      <c r="BE6" s="129" t="s">
        <v>0</v>
      </c>
      <c r="BF6" s="129" t="s">
        <v>0</v>
      </c>
      <c r="BG6" s="129" t="s">
        <v>0</v>
      </c>
      <c r="BH6" s="129" t="s">
        <v>0</v>
      </c>
      <c r="BI6" s="145"/>
    </row>
    <row r="7" spans="1:61" x14ac:dyDescent="0.25">
      <c r="A7" s="22">
        <f t="shared" ref="A7:A70" si="4">+A6+1</f>
        <v>1</v>
      </c>
      <c r="B7" s="214" t="str">
        <f t="shared" ref="B7:B56" si="5">IF(F7=$F$7,G8,B6)</f>
        <v>F0013546309</v>
      </c>
      <c r="C7" s="214" t="str">
        <f t="shared" ref="C7:C56" si="6">IF(F7=$F$7,G9,C6)</f>
        <v>82115-0EA10 J</v>
      </c>
      <c r="D7" s="45" t="str">
        <f>VLOOKUP(B7,'Timing Table'!B:J,9,0)</f>
        <v>C/O</v>
      </c>
      <c r="E7" s="22" t="str">
        <f>VLOOKUP(B7,'Timing Table'!B:H,7,0)</f>
        <v>495D-HV</v>
      </c>
      <c r="F7" s="121" t="s">
        <v>59</v>
      </c>
      <c r="G7" s="146">
        <v>5501017964</v>
      </c>
      <c r="H7" s="121" t="s">
        <v>60</v>
      </c>
      <c r="I7" s="146">
        <v>93</v>
      </c>
      <c r="J7" s="121" t="s">
        <v>61</v>
      </c>
      <c r="K7" s="125">
        <v>1177750</v>
      </c>
      <c r="L7" s="126"/>
      <c r="M7" s="147" t="s">
        <v>62</v>
      </c>
      <c r="N7" s="148"/>
      <c r="O7" s="149">
        <v>46086</v>
      </c>
      <c r="P7" s="121" t="s">
        <v>63</v>
      </c>
      <c r="Q7" s="146">
        <v>4</v>
      </c>
      <c r="R7" s="6" t="s">
        <v>0</v>
      </c>
      <c r="S7" s="7" t="s">
        <v>0</v>
      </c>
      <c r="T7" s="7" t="s">
        <v>0</v>
      </c>
      <c r="U7" s="7" t="s">
        <v>0</v>
      </c>
      <c r="V7" s="7" t="s">
        <v>0</v>
      </c>
      <c r="W7" s="7" t="s">
        <v>0</v>
      </c>
      <c r="X7" s="7" t="s">
        <v>0</v>
      </c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7" t="s">
        <v>0</v>
      </c>
      <c r="AU7" s="7" t="s">
        <v>0</v>
      </c>
      <c r="AV7" s="7" t="s">
        <v>0</v>
      </c>
      <c r="AW7" s="7" t="s">
        <v>0</v>
      </c>
      <c r="AX7" s="7" t="s">
        <v>0</v>
      </c>
      <c r="AY7" s="7" t="s">
        <v>0</v>
      </c>
      <c r="AZ7" s="7" t="s">
        <v>0</v>
      </c>
      <c r="BA7" s="7" t="s">
        <v>0</v>
      </c>
      <c r="BB7" s="7" t="s">
        <v>0</v>
      </c>
      <c r="BC7" s="7" t="s">
        <v>0</v>
      </c>
      <c r="BD7" s="7" t="s">
        <v>0</v>
      </c>
      <c r="BE7" s="7" t="s">
        <v>0</v>
      </c>
      <c r="BF7" s="7" t="s">
        <v>0</v>
      </c>
      <c r="BG7" s="7" t="s">
        <v>0</v>
      </c>
      <c r="BH7" s="7" t="s">
        <v>0</v>
      </c>
      <c r="BI7" s="8"/>
    </row>
    <row r="8" spans="1:61" x14ac:dyDescent="0.25">
      <c r="A8" s="22">
        <f t="shared" si="4"/>
        <v>2</v>
      </c>
      <c r="B8" s="214" t="str">
        <f t="shared" si="5"/>
        <v>F0013546309</v>
      </c>
      <c r="C8" s="214" t="str">
        <f t="shared" si="6"/>
        <v>82115-0EA10 J</v>
      </c>
      <c r="D8" s="45" t="str">
        <f>VLOOKUP(B8,'Timing Table'!B:J,9,0)</f>
        <v>C/O</v>
      </c>
      <c r="E8" s="22" t="str">
        <f>VLOOKUP(B8,'Timing Table'!B:H,7,0)</f>
        <v>495D-HV</v>
      </c>
      <c r="F8" s="121" t="s">
        <v>64</v>
      </c>
      <c r="G8" s="146" t="s">
        <v>177</v>
      </c>
      <c r="H8" s="121" t="s">
        <v>65</v>
      </c>
      <c r="I8" s="150" t="s">
        <v>194</v>
      </c>
      <c r="J8" s="151"/>
      <c r="K8" s="151"/>
      <c r="L8" s="152"/>
      <c r="M8" s="121" t="s">
        <v>66</v>
      </c>
      <c r="N8" s="146">
        <v>2025</v>
      </c>
      <c r="O8" s="140" t="s">
        <v>67</v>
      </c>
      <c r="P8" s="141"/>
      <c r="Q8" s="153" t="s">
        <v>195</v>
      </c>
      <c r="R8" s="122" t="s">
        <v>0</v>
      </c>
      <c r="S8" s="123" t="s">
        <v>0</v>
      </c>
      <c r="T8" s="123" t="s">
        <v>0</v>
      </c>
      <c r="U8" s="123" t="s">
        <v>0</v>
      </c>
      <c r="V8" s="123" t="s">
        <v>0</v>
      </c>
      <c r="W8" s="123" t="s">
        <v>0</v>
      </c>
      <c r="X8" s="123" t="s">
        <v>0</v>
      </c>
      <c r="Y8" s="123" t="s">
        <v>0</v>
      </c>
      <c r="Z8" s="123" t="s">
        <v>0</v>
      </c>
      <c r="AA8" s="123" t="s">
        <v>0</v>
      </c>
      <c r="AB8" s="123" t="s">
        <v>0</v>
      </c>
      <c r="AC8" s="123" t="s">
        <v>0</v>
      </c>
      <c r="AD8" s="123" t="s">
        <v>0</v>
      </c>
      <c r="AE8" s="123" t="s">
        <v>0</v>
      </c>
      <c r="AF8" s="123" t="s">
        <v>0</v>
      </c>
      <c r="AG8" s="123" t="s">
        <v>0</v>
      </c>
      <c r="AH8" s="123" t="s">
        <v>0</v>
      </c>
      <c r="AI8" s="123" t="s">
        <v>0</v>
      </c>
      <c r="AJ8" s="123" t="s">
        <v>0</v>
      </c>
      <c r="AK8" s="123" t="s">
        <v>0</v>
      </c>
      <c r="AL8" s="123" t="s">
        <v>0</v>
      </c>
      <c r="AM8" s="123" t="s">
        <v>0</v>
      </c>
      <c r="AN8" s="123" t="s">
        <v>0</v>
      </c>
      <c r="AO8" s="123" t="s">
        <v>0</v>
      </c>
      <c r="AP8" s="123" t="s">
        <v>0</v>
      </c>
      <c r="AQ8" s="123" t="s">
        <v>0</v>
      </c>
      <c r="AR8" s="123" t="s">
        <v>0</v>
      </c>
      <c r="AS8" s="123" t="s">
        <v>0</v>
      </c>
      <c r="AT8" s="123" t="s">
        <v>0</v>
      </c>
      <c r="AU8" s="123" t="s">
        <v>0</v>
      </c>
      <c r="AV8" s="123" t="s">
        <v>0</v>
      </c>
      <c r="AW8" s="123" t="s">
        <v>0</v>
      </c>
      <c r="AX8" s="123" t="s">
        <v>0</v>
      </c>
      <c r="AY8" s="123" t="s">
        <v>0</v>
      </c>
      <c r="AZ8" s="123" t="s">
        <v>0</v>
      </c>
      <c r="BA8" s="123" t="s">
        <v>0</v>
      </c>
      <c r="BB8" s="123" t="s">
        <v>0</v>
      </c>
      <c r="BC8" s="123" t="s">
        <v>0</v>
      </c>
      <c r="BD8" s="123" t="s">
        <v>0</v>
      </c>
      <c r="BE8" s="123" t="s">
        <v>0</v>
      </c>
      <c r="BF8" s="123" t="s">
        <v>0</v>
      </c>
      <c r="BG8" s="123" t="s">
        <v>0</v>
      </c>
      <c r="BH8" s="123" t="s">
        <v>0</v>
      </c>
      <c r="BI8" s="124"/>
    </row>
    <row r="9" spans="1:61" x14ac:dyDescent="0.25">
      <c r="A9" s="22">
        <f t="shared" si="4"/>
        <v>3</v>
      </c>
      <c r="B9" s="214" t="str">
        <f t="shared" si="5"/>
        <v>F0013546309</v>
      </c>
      <c r="C9" s="214" t="str">
        <f t="shared" si="6"/>
        <v>82115-0EA10 J</v>
      </c>
      <c r="D9" s="45" t="str">
        <f>VLOOKUP(B9,'Timing Table'!B:J,9,0)</f>
        <v>C/O</v>
      </c>
      <c r="E9" s="22" t="str">
        <f>VLOOKUP(B9,'Timing Table'!B:H,7,0)</f>
        <v>495D-HV</v>
      </c>
      <c r="F9" s="121" t="s">
        <v>68</v>
      </c>
      <c r="G9" s="146" t="s">
        <v>329</v>
      </c>
      <c r="H9" s="121" t="s">
        <v>69</v>
      </c>
      <c r="I9" s="154" t="s">
        <v>58</v>
      </c>
      <c r="J9" s="155" t="s">
        <v>0</v>
      </c>
      <c r="K9" s="156" t="s">
        <v>0</v>
      </c>
      <c r="L9" s="157" t="s">
        <v>0</v>
      </c>
      <c r="M9" s="134" t="s">
        <v>0</v>
      </c>
      <c r="N9" s="134" t="s">
        <v>0</v>
      </c>
      <c r="O9" s="134" t="s">
        <v>0</v>
      </c>
      <c r="P9" s="134" t="s">
        <v>0</v>
      </c>
      <c r="Q9" s="134" t="s">
        <v>1</v>
      </c>
      <c r="R9" s="134" t="s">
        <v>2</v>
      </c>
      <c r="S9" s="134" t="s">
        <v>0</v>
      </c>
      <c r="T9" s="134" t="s">
        <v>0</v>
      </c>
      <c r="U9" s="134" t="s">
        <v>0</v>
      </c>
      <c r="V9" s="134" t="s">
        <v>0</v>
      </c>
      <c r="W9" s="134" t="s">
        <v>0</v>
      </c>
      <c r="X9" s="134" t="s">
        <v>0</v>
      </c>
      <c r="Y9" s="134" t="s">
        <v>0</v>
      </c>
      <c r="Z9" s="134" t="s">
        <v>3</v>
      </c>
      <c r="AA9" s="134" t="s">
        <v>0</v>
      </c>
      <c r="AB9" s="134" t="s">
        <v>0</v>
      </c>
      <c r="AC9" s="134" t="s">
        <v>0</v>
      </c>
      <c r="AD9" s="134" t="s">
        <v>0</v>
      </c>
      <c r="AE9" s="134" t="s">
        <v>0</v>
      </c>
      <c r="AF9" s="134" t="s">
        <v>0</v>
      </c>
      <c r="AG9" s="134" t="s">
        <v>0</v>
      </c>
      <c r="AH9" s="134" t="s">
        <v>0</v>
      </c>
      <c r="AI9" s="134" t="s">
        <v>0</v>
      </c>
      <c r="AJ9" s="134" t="s">
        <v>0</v>
      </c>
      <c r="AK9" s="134" t="s">
        <v>0</v>
      </c>
      <c r="AL9" s="134" t="s">
        <v>0</v>
      </c>
      <c r="AM9" s="134" t="s">
        <v>0</v>
      </c>
      <c r="AN9" s="134" t="s">
        <v>0</v>
      </c>
      <c r="AO9" s="134" t="s">
        <v>0</v>
      </c>
      <c r="AP9" s="134" t="s">
        <v>0</v>
      </c>
      <c r="AQ9" s="134" t="s">
        <v>0</v>
      </c>
      <c r="AR9" s="134" t="s">
        <v>0</v>
      </c>
      <c r="AS9" s="134" t="s">
        <v>0</v>
      </c>
      <c r="AT9" s="134" t="s">
        <v>0</v>
      </c>
      <c r="AU9" s="134" t="s">
        <v>0</v>
      </c>
      <c r="AV9" s="134" t="s">
        <v>0</v>
      </c>
      <c r="AW9" s="134" t="s">
        <v>0</v>
      </c>
      <c r="AX9" s="134" t="s">
        <v>0</v>
      </c>
      <c r="AY9" s="134" t="s">
        <v>0</v>
      </c>
      <c r="AZ9" s="134" t="s">
        <v>0</v>
      </c>
      <c r="BA9" s="134" t="s">
        <v>0</v>
      </c>
      <c r="BB9" s="134" t="s">
        <v>0</v>
      </c>
      <c r="BC9" s="134" t="s">
        <v>0</v>
      </c>
      <c r="BD9" s="134" t="s">
        <v>0</v>
      </c>
      <c r="BE9" s="134" t="s">
        <v>0</v>
      </c>
      <c r="BF9" s="134" t="s">
        <v>0</v>
      </c>
      <c r="BG9" s="134" t="s">
        <v>0</v>
      </c>
      <c r="BH9" s="134" t="s">
        <v>0</v>
      </c>
      <c r="BI9" s="135" t="s">
        <v>4</v>
      </c>
    </row>
    <row r="10" spans="1:61" x14ac:dyDescent="0.25">
      <c r="A10" s="22">
        <f t="shared" si="4"/>
        <v>4</v>
      </c>
      <c r="B10" s="214" t="str">
        <f t="shared" si="5"/>
        <v>F0013546309</v>
      </c>
      <c r="C10" s="214" t="str">
        <f t="shared" si="6"/>
        <v>82115-0EA10 J</v>
      </c>
      <c r="D10" s="45" t="str">
        <f>VLOOKUP(B10,'Timing Table'!B:J,9,0)</f>
        <v>C/O</v>
      </c>
      <c r="E10" s="22" t="str">
        <f>VLOOKUP(B10,'Timing Table'!B:H,7,0)</f>
        <v>495D-HV</v>
      </c>
      <c r="F10" s="121" t="s">
        <v>70</v>
      </c>
      <c r="G10" s="146">
        <v>21448</v>
      </c>
      <c r="H10" s="158" t="s">
        <v>240</v>
      </c>
      <c r="I10" s="159" t="s">
        <v>71</v>
      </c>
      <c r="J10" s="13">
        <v>46041</v>
      </c>
      <c r="K10" s="14">
        <v>46048</v>
      </c>
      <c r="L10" s="14">
        <v>46055</v>
      </c>
      <c r="M10" s="14">
        <v>46062</v>
      </c>
      <c r="N10" s="14">
        <v>46069</v>
      </c>
      <c r="O10" s="14">
        <v>46076</v>
      </c>
      <c r="P10" s="14">
        <v>46083</v>
      </c>
      <c r="Q10" s="14">
        <v>46090</v>
      </c>
      <c r="R10" s="14">
        <v>46097</v>
      </c>
      <c r="S10" s="14">
        <v>46104</v>
      </c>
      <c r="T10" s="14">
        <v>46111</v>
      </c>
      <c r="U10" s="14">
        <v>46118</v>
      </c>
      <c r="V10" s="14">
        <v>46125</v>
      </c>
      <c r="W10" s="14">
        <v>46132</v>
      </c>
      <c r="X10" s="14">
        <v>46139</v>
      </c>
      <c r="Y10" s="14">
        <v>46146</v>
      </c>
      <c r="Z10" s="14">
        <v>46153</v>
      </c>
      <c r="AA10" s="14">
        <v>46160</v>
      </c>
      <c r="AB10" s="14">
        <v>46167</v>
      </c>
      <c r="AC10" s="14">
        <v>46174</v>
      </c>
      <c r="AD10" s="14">
        <v>46181</v>
      </c>
      <c r="AE10" s="14">
        <v>46188</v>
      </c>
      <c r="AF10" s="14">
        <v>46195</v>
      </c>
      <c r="AG10" s="14">
        <v>46202</v>
      </c>
      <c r="AH10" s="14">
        <v>46209</v>
      </c>
      <c r="AI10" s="14">
        <v>46216</v>
      </c>
      <c r="AJ10" s="14">
        <v>46223</v>
      </c>
      <c r="AK10" s="14">
        <v>46230</v>
      </c>
      <c r="AL10" s="14">
        <v>46237</v>
      </c>
      <c r="AM10" s="14">
        <v>46244</v>
      </c>
      <c r="AN10" s="14">
        <v>46251</v>
      </c>
      <c r="AO10" s="14">
        <v>46258</v>
      </c>
      <c r="AP10" s="14">
        <v>46265</v>
      </c>
      <c r="AQ10" s="14">
        <v>46272</v>
      </c>
      <c r="AR10" s="14">
        <v>46279</v>
      </c>
      <c r="AS10" s="14">
        <v>46286</v>
      </c>
      <c r="AT10" s="14">
        <v>46293</v>
      </c>
      <c r="AU10" s="14">
        <v>46300</v>
      </c>
      <c r="AV10" s="14">
        <v>46307</v>
      </c>
      <c r="AW10" s="14">
        <v>46314</v>
      </c>
      <c r="AX10" s="14">
        <v>46321</v>
      </c>
      <c r="AY10" s="14">
        <v>46328</v>
      </c>
      <c r="AZ10" s="14">
        <v>46335</v>
      </c>
      <c r="BA10" s="14">
        <v>46342</v>
      </c>
      <c r="BB10" s="14">
        <v>46349</v>
      </c>
      <c r="BC10" s="14">
        <v>46356</v>
      </c>
      <c r="BD10" s="14">
        <v>46363</v>
      </c>
      <c r="BE10" s="14">
        <v>46370</v>
      </c>
      <c r="BF10" s="14">
        <v>46377</v>
      </c>
      <c r="BG10" s="14">
        <v>46384</v>
      </c>
      <c r="BH10" s="14">
        <v>46391</v>
      </c>
      <c r="BI10" s="15">
        <v>46398</v>
      </c>
    </row>
    <row r="11" spans="1:61" x14ac:dyDescent="0.25">
      <c r="A11" s="22">
        <f t="shared" si="4"/>
        <v>5</v>
      </c>
      <c r="B11" s="214" t="str">
        <f t="shared" si="5"/>
        <v>F0013546309</v>
      </c>
      <c r="C11" s="214" t="str">
        <f t="shared" si="6"/>
        <v>82115-0EA10 J</v>
      </c>
      <c r="D11" s="45" t="str">
        <f>VLOOKUP(B11,'Timing Table'!B:J,9,0)</f>
        <v>C/O</v>
      </c>
      <c r="E11" s="22" t="str">
        <f>VLOOKUP(B11,'Timing Table'!B:H,7,0)</f>
        <v>495D-HV</v>
      </c>
      <c r="F11" s="121" t="s">
        <v>72</v>
      </c>
      <c r="G11" s="146">
        <v>22720</v>
      </c>
      <c r="H11" s="5" t="s">
        <v>58</v>
      </c>
      <c r="I11" s="11" t="s">
        <v>83</v>
      </c>
      <c r="J11" s="16">
        <v>46083</v>
      </c>
      <c r="K11" s="49">
        <v>46090</v>
      </c>
      <c r="L11" s="49">
        <v>46097</v>
      </c>
      <c r="M11" s="49">
        <v>46104</v>
      </c>
      <c r="N11" s="49">
        <v>46111</v>
      </c>
      <c r="O11" s="49">
        <v>46118</v>
      </c>
      <c r="P11" s="49">
        <v>46125</v>
      </c>
      <c r="Q11" s="49">
        <v>46132</v>
      </c>
      <c r="R11" s="49">
        <v>46139</v>
      </c>
      <c r="S11" s="49">
        <v>46146</v>
      </c>
      <c r="T11" s="49">
        <v>46153</v>
      </c>
      <c r="U11" s="49">
        <v>46160</v>
      </c>
      <c r="V11" s="49">
        <v>46167</v>
      </c>
      <c r="W11" s="49">
        <v>46174</v>
      </c>
      <c r="X11" s="49">
        <v>46181</v>
      </c>
      <c r="Y11" s="49">
        <v>46188</v>
      </c>
      <c r="Z11" s="49">
        <v>46195</v>
      </c>
      <c r="AA11" s="49">
        <v>46202</v>
      </c>
      <c r="AB11" s="49">
        <v>46209</v>
      </c>
      <c r="AC11" s="49">
        <v>46216</v>
      </c>
      <c r="AD11" s="49">
        <v>46223</v>
      </c>
      <c r="AE11" s="49">
        <v>46230</v>
      </c>
      <c r="AF11" s="49">
        <v>46237</v>
      </c>
      <c r="AG11" s="49">
        <v>46244</v>
      </c>
      <c r="AH11" s="49">
        <v>46251</v>
      </c>
      <c r="AI11" s="49">
        <v>46258</v>
      </c>
      <c r="AJ11" s="49">
        <v>46265</v>
      </c>
      <c r="AK11" s="49">
        <v>46272</v>
      </c>
      <c r="AL11" s="49">
        <v>46279</v>
      </c>
      <c r="AM11" s="49">
        <v>46286</v>
      </c>
      <c r="AN11" s="49">
        <v>46293</v>
      </c>
      <c r="AO11" s="49">
        <v>46300</v>
      </c>
      <c r="AP11" s="49">
        <v>46307</v>
      </c>
      <c r="AQ11" s="49">
        <v>46314</v>
      </c>
      <c r="AR11" s="49">
        <v>46321</v>
      </c>
      <c r="AS11" s="49">
        <v>46328</v>
      </c>
      <c r="AT11" s="49">
        <v>46335</v>
      </c>
      <c r="AU11" s="49">
        <v>46342</v>
      </c>
      <c r="AV11" s="49">
        <v>46349</v>
      </c>
      <c r="AW11" s="49">
        <v>46356</v>
      </c>
      <c r="AX11" s="49">
        <v>46363</v>
      </c>
      <c r="AY11" s="49">
        <v>46370</v>
      </c>
      <c r="AZ11" s="49">
        <v>46377</v>
      </c>
      <c r="BA11" s="49">
        <v>46384</v>
      </c>
      <c r="BB11" s="49">
        <v>46391</v>
      </c>
      <c r="BC11" s="49">
        <v>46398</v>
      </c>
      <c r="BD11" s="49">
        <v>46399</v>
      </c>
      <c r="BE11" s="49">
        <v>46406</v>
      </c>
      <c r="BF11" s="49">
        <v>46413</v>
      </c>
      <c r="BG11" s="49">
        <v>46420</v>
      </c>
      <c r="BH11" s="49">
        <v>46427</v>
      </c>
      <c r="BI11" s="17">
        <f>+BH11+7</f>
        <v>46434</v>
      </c>
    </row>
    <row r="12" spans="1:61" x14ac:dyDescent="0.25">
      <c r="A12" s="22">
        <f t="shared" si="4"/>
        <v>6</v>
      </c>
      <c r="B12" s="214" t="str">
        <f t="shared" si="5"/>
        <v>F0013546309</v>
      </c>
      <c r="C12" s="214" t="str">
        <f t="shared" si="6"/>
        <v>82115-0EA10 J</v>
      </c>
      <c r="D12" s="45" t="str">
        <f>VLOOKUP(B12,'Timing Table'!B:J,9,0)</f>
        <v>C/O</v>
      </c>
      <c r="E12" s="22" t="str">
        <f>VLOOKUP(B12,'Timing Table'!B:H,7,0)</f>
        <v>495D-HV</v>
      </c>
      <c r="F12" s="121" t="s">
        <v>73</v>
      </c>
      <c r="G12" s="160" t="s">
        <v>85</v>
      </c>
      <c r="H12" s="9" t="s">
        <v>84</v>
      </c>
      <c r="I12" s="11" t="s">
        <v>74</v>
      </c>
      <c r="J12" s="117">
        <v>1444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  <c r="AV12" s="50">
        <v>0</v>
      </c>
      <c r="AW12" s="50">
        <v>0</v>
      </c>
      <c r="AX12" s="50">
        <v>0</v>
      </c>
      <c r="AY12" s="50">
        <v>0</v>
      </c>
      <c r="AZ12" s="50">
        <v>0</v>
      </c>
      <c r="BA12" s="50">
        <v>0</v>
      </c>
      <c r="BB12" s="50">
        <v>0</v>
      </c>
      <c r="BC12" s="50">
        <v>0</v>
      </c>
      <c r="BD12" s="50">
        <v>0</v>
      </c>
      <c r="BE12" s="50">
        <v>0</v>
      </c>
      <c r="BF12" s="50">
        <v>0</v>
      </c>
      <c r="BG12" s="50">
        <v>0</v>
      </c>
      <c r="BH12" s="50">
        <v>0</v>
      </c>
      <c r="BI12" s="118">
        <v>0</v>
      </c>
    </row>
    <row r="13" spans="1:61" x14ac:dyDescent="0.25">
      <c r="A13" s="22">
        <f t="shared" si="4"/>
        <v>7</v>
      </c>
      <c r="B13" s="214" t="str">
        <f t="shared" si="5"/>
        <v>F0013546309</v>
      </c>
      <c r="C13" s="214" t="str">
        <f t="shared" si="6"/>
        <v>82115-0EA10 J</v>
      </c>
      <c r="D13" s="45" t="str">
        <f>VLOOKUP(B13,'Timing Table'!B:J,9,0)</f>
        <v>C/O</v>
      </c>
      <c r="E13" s="22" t="str">
        <f>VLOOKUP(B13,'Timing Table'!B:H,7,0)</f>
        <v>495D-HV</v>
      </c>
      <c r="F13" s="121" t="s">
        <v>75</v>
      </c>
      <c r="G13" s="146">
        <v>82115</v>
      </c>
      <c r="H13" s="10" t="s">
        <v>84</v>
      </c>
      <c r="I13" s="12" t="s">
        <v>76</v>
      </c>
      <c r="J13" s="161">
        <v>21448</v>
      </c>
      <c r="K13" s="162">
        <v>21448</v>
      </c>
      <c r="L13" s="162">
        <v>21448</v>
      </c>
      <c r="M13" s="162">
        <v>21448</v>
      </c>
      <c r="N13" s="162">
        <v>21448</v>
      </c>
      <c r="O13" s="162">
        <v>21448</v>
      </c>
      <c r="P13" s="162">
        <v>21448</v>
      </c>
      <c r="Q13" s="162">
        <v>21448</v>
      </c>
      <c r="R13" s="162">
        <v>21448</v>
      </c>
      <c r="S13" s="162">
        <v>21448</v>
      </c>
      <c r="T13" s="162">
        <v>21448</v>
      </c>
      <c r="U13" s="162">
        <v>21448</v>
      </c>
      <c r="V13" s="162">
        <v>21448</v>
      </c>
      <c r="W13" s="162">
        <v>21448</v>
      </c>
      <c r="X13" s="162">
        <v>21448</v>
      </c>
      <c r="Y13" s="162">
        <v>21448</v>
      </c>
      <c r="Z13" s="162">
        <v>21448</v>
      </c>
      <c r="AA13" s="162">
        <v>21448</v>
      </c>
      <c r="AB13" s="162">
        <v>21448</v>
      </c>
      <c r="AC13" s="162">
        <v>21448</v>
      </c>
      <c r="AD13" s="162">
        <v>21448</v>
      </c>
      <c r="AE13" s="162">
        <v>21448</v>
      </c>
      <c r="AF13" s="162">
        <v>21448</v>
      </c>
      <c r="AG13" s="162">
        <v>21448</v>
      </c>
      <c r="AH13" s="162">
        <v>21448</v>
      </c>
      <c r="AI13" s="162">
        <v>21448</v>
      </c>
      <c r="AJ13" s="162">
        <v>21448</v>
      </c>
      <c r="AK13" s="162">
        <v>21448</v>
      </c>
      <c r="AL13" s="162">
        <v>21448</v>
      </c>
      <c r="AM13" s="162">
        <v>21448</v>
      </c>
      <c r="AN13" s="162">
        <v>21448</v>
      </c>
      <c r="AO13" s="162">
        <v>21448</v>
      </c>
      <c r="AP13" s="162">
        <v>21448</v>
      </c>
      <c r="AQ13" s="162">
        <v>21448</v>
      </c>
      <c r="AR13" s="162">
        <v>21448</v>
      </c>
      <c r="AS13" s="162">
        <v>21448</v>
      </c>
      <c r="AT13" s="162">
        <v>21448</v>
      </c>
      <c r="AU13" s="162">
        <v>21448</v>
      </c>
      <c r="AV13" s="162">
        <v>21448</v>
      </c>
      <c r="AW13" s="162">
        <v>21448</v>
      </c>
      <c r="AX13" s="162">
        <v>21448</v>
      </c>
      <c r="AY13" s="162">
        <v>21448</v>
      </c>
      <c r="AZ13" s="162">
        <v>21448</v>
      </c>
      <c r="BA13" s="162">
        <v>21448</v>
      </c>
      <c r="BB13" s="162">
        <v>21448</v>
      </c>
      <c r="BC13" s="162">
        <v>21448</v>
      </c>
      <c r="BD13" s="162">
        <v>21448</v>
      </c>
      <c r="BE13" s="162">
        <v>21448</v>
      </c>
      <c r="BF13" s="162">
        <v>21448</v>
      </c>
      <c r="BG13" s="162">
        <v>21448</v>
      </c>
      <c r="BH13" s="162">
        <v>21448</v>
      </c>
      <c r="BI13" s="162">
        <v>21448</v>
      </c>
    </row>
    <row r="14" spans="1:61" x14ac:dyDescent="0.25">
      <c r="A14" s="22">
        <f t="shared" si="4"/>
        <v>8</v>
      </c>
      <c r="B14" s="214" t="str">
        <f t="shared" si="5"/>
        <v>F0013546309</v>
      </c>
      <c r="C14" s="214" t="str">
        <f t="shared" si="6"/>
        <v>82115-0EA10 J</v>
      </c>
      <c r="D14" s="45" t="str">
        <f>VLOOKUP(B14,'Timing Table'!B:J,9,0)</f>
        <v>C/O</v>
      </c>
      <c r="E14" s="22" t="str">
        <f>VLOOKUP(B14,'Timing Table'!B:H,7,0)</f>
        <v>495D-HV</v>
      </c>
      <c r="F14" s="164" t="s">
        <v>77</v>
      </c>
      <c r="G14" s="165">
        <v>20004</v>
      </c>
      <c r="H14" s="166" t="s">
        <v>78</v>
      </c>
      <c r="I14" s="167"/>
      <c r="J14" s="168" t="s">
        <v>309</v>
      </c>
      <c r="K14" s="169"/>
      <c r="L14" s="170" t="s">
        <v>0</v>
      </c>
      <c r="M14" s="170" t="s">
        <v>0</v>
      </c>
      <c r="N14" s="170" t="s">
        <v>0</v>
      </c>
      <c r="O14" s="170" t="s">
        <v>0</v>
      </c>
      <c r="P14" s="170" t="s">
        <v>0</v>
      </c>
      <c r="Q14" s="170" t="s">
        <v>0</v>
      </c>
      <c r="R14" s="170" t="s">
        <v>0</v>
      </c>
      <c r="S14" s="170" t="s">
        <v>0</v>
      </c>
      <c r="T14" s="170" t="s">
        <v>0</v>
      </c>
      <c r="U14" s="170" t="s">
        <v>0</v>
      </c>
      <c r="V14" s="170" t="s">
        <v>0</v>
      </c>
      <c r="W14" s="170" t="s">
        <v>0</v>
      </c>
      <c r="X14" s="170" t="s">
        <v>0</v>
      </c>
      <c r="Y14" s="170" t="s">
        <v>0</v>
      </c>
      <c r="Z14" s="170" t="s">
        <v>0</v>
      </c>
      <c r="AA14" s="170" t="s">
        <v>0</v>
      </c>
      <c r="AB14" s="170" t="s">
        <v>0</v>
      </c>
      <c r="AC14" s="170" t="s">
        <v>0</v>
      </c>
      <c r="AD14" s="170" t="s">
        <v>0</v>
      </c>
      <c r="AE14" s="170" t="s">
        <v>0</v>
      </c>
      <c r="AF14" s="170" t="s">
        <v>0</v>
      </c>
      <c r="AG14" s="170" t="s">
        <v>0</v>
      </c>
      <c r="AH14" s="170" t="s">
        <v>0</v>
      </c>
      <c r="AI14" s="170" t="s">
        <v>0</v>
      </c>
      <c r="AJ14" s="170" t="s">
        <v>0</v>
      </c>
      <c r="AK14" s="170" t="s">
        <v>0</v>
      </c>
      <c r="AL14" s="170" t="s">
        <v>0</v>
      </c>
      <c r="AM14" s="170" t="s">
        <v>0</v>
      </c>
      <c r="AN14" s="170" t="s">
        <v>0</v>
      </c>
      <c r="AO14" s="170" t="s">
        <v>0</v>
      </c>
      <c r="AP14" s="170" t="s">
        <v>0</v>
      </c>
      <c r="AQ14" s="170" t="s">
        <v>0</v>
      </c>
      <c r="AR14" s="170" t="s">
        <v>0</v>
      </c>
      <c r="AS14" s="170" t="s">
        <v>0</v>
      </c>
      <c r="AT14" s="170" t="s">
        <v>0</v>
      </c>
      <c r="AU14" s="170" t="s">
        <v>0</v>
      </c>
      <c r="AV14" s="170" t="s">
        <v>0</v>
      </c>
      <c r="AW14" s="170" t="s">
        <v>0</v>
      </c>
      <c r="AX14" s="170" t="s">
        <v>0</v>
      </c>
      <c r="AY14" s="170" t="s">
        <v>0</v>
      </c>
      <c r="AZ14" s="170" t="s">
        <v>0</v>
      </c>
      <c r="BA14" s="170" t="s">
        <v>0</v>
      </c>
      <c r="BB14" s="170" t="s">
        <v>0</v>
      </c>
      <c r="BC14" s="170" t="s">
        <v>0</v>
      </c>
      <c r="BD14" s="170" t="s">
        <v>0</v>
      </c>
      <c r="BE14" s="170" t="s">
        <v>0</v>
      </c>
      <c r="BF14" s="170" t="s">
        <v>0</v>
      </c>
      <c r="BG14" s="170" t="s">
        <v>0</v>
      </c>
      <c r="BH14" s="170" t="s">
        <v>0</v>
      </c>
      <c r="BI14" s="171"/>
    </row>
    <row r="15" spans="1:61" x14ac:dyDescent="0.25">
      <c r="A15" s="22">
        <f t="shared" si="4"/>
        <v>9</v>
      </c>
      <c r="B15" s="214" t="str">
        <f t="shared" si="5"/>
        <v>F0013546309</v>
      </c>
      <c r="C15" s="214" t="str">
        <f t="shared" si="6"/>
        <v>82115-0EA10 J</v>
      </c>
      <c r="D15" s="45" t="str">
        <f>VLOOKUP(B15,'Timing Table'!B:J,9,0)</f>
        <v>C/O</v>
      </c>
      <c r="E15" s="22" t="str">
        <f>VLOOKUP(B15,'Timing Table'!B:H,7,0)</f>
        <v>495D-HV</v>
      </c>
      <c r="F15" s="172" t="s">
        <v>79</v>
      </c>
      <c r="G15" s="173" t="s">
        <v>58</v>
      </c>
      <c r="H15" s="174" t="s">
        <v>58</v>
      </c>
      <c r="I15" s="175" t="s">
        <v>58</v>
      </c>
      <c r="J15" s="175" t="s">
        <v>0</v>
      </c>
      <c r="K15" s="175" t="s">
        <v>0</v>
      </c>
      <c r="L15" s="175" t="s">
        <v>0</v>
      </c>
      <c r="M15" s="175" t="s">
        <v>0</v>
      </c>
      <c r="N15" s="175" t="s">
        <v>0</v>
      </c>
      <c r="O15" s="175" t="s">
        <v>0</v>
      </c>
      <c r="P15" s="175" t="s">
        <v>0</v>
      </c>
      <c r="Q15" s="175" t="s">
        <v>0</v>
      </c>
      <c r="R15" s="175" t="s">
        <v>0</v>
      </c>
      <c r="S15" s="175" t="s">
        <v>0</v>
      </c>
      <c r="T15" s="175" t="s">
        <v>0</v>
      </c>
      <c r="U15" s="175" t="s">
        <v>0</v>
      </c>
      <c r="V15" s="175" t="s">
        <v>0</v>
      </c>
      <c r="W15" s="175" t="s">
        <v>0</v>
      </c>
      <c r="X15" s="175" t="s">
        <v>0</v>
      </c>
      <c r="Y15" s="175" t="s">
        <v>0</v>
      </c>
      <c r="Z15" s="175" t="s">
        <v>0</v>
      </c>
      <c r="AA15" s="175" t="s">
        <v>0</v>
      </c>
      <c r="AB15" s="175" t="s">
        <v>0</v>
      </c>
      <c r="AC15" s="175" t="s">
        <v>0</v>
      </c>
      <c r="AD15" s="175" t="s">
        <v>0</v>
      </c>
      <c r="AE15" s="175" t="s">
        <v>0</v>
      </c>
      <c r="AF15" s="175" t="s">
        <v>0</v>
      </c>
      <c r="AG15" s="175" t="s">
        <v>0</v>
      </c>
      <c r="AH15" s="175" t="s">
        <v>0</v>
      </c>
      <c r="AI15" s="175" t="s">
        <v>0</v>
      </c>
      <c r="AJ15" s="175" t="s">
        <v>0</v>
      </c>
      <c r="AK15" s="175" t="s">
        <v>0</v>
      </c>
      <c r="AL15" s="175" t="s">
        <v>0</v>
      </c>
      <c r="AM15" s="175" t="s">
        <v>0</v>
      </c>
      <c r="AN15" s="175" t="s">
        <v>0</v>
      </c>
      <c r="AO15" s="175" t="s">
        <v>0</v>
      </c>
      <c r="AP15" s="175" t="s">
        <v>0</v>
      </c>
      <c r="AQ15" s="175" t="s">
        <v>0</v>
      </c>
      <c r="AR15" s="175" t="s">
        <v>0</v>
      </c>
      <c r="AS15" s="175" t="s">
        <v>0</v>
      </c>
      <c r="AT15" s="175" t="s">
        <v>0</v>
      </c>
      <c r="AU15" s="175" t="s">
        <v>0</v>
      </c>
      <c r="AV15" s="175" t="s">
        <v>0</v>
      </c>
      <c r="AW15" s="175" t="s">
        <v>0</v>
      </c>
      <c r="AX15" s="175" t="s">
        <v>0</v>
      </c>
      <c r="AY15" s="175" t="s">
        <v>0</v>
      </c>
      <c r="AZ15" s="175" t="s">
        <v>0</v>
      </c>
      <c r="BA15" s="175" t="s">
        <v>0</v>
      </c>
      <c r="BB15" s="175" t="s">
        <v>0</v>
      </c>
      <c r="BC15" s="175" t="s">
        <v>0</v>
      </c>
      <c r="BD15" s="175" t="s">
        <v>0</v>
      </c>
      <c r="BE15" s="175" t="s">
        <v>0</v>
      </c>
      <c r="BF15" s="175" t="s">
        <v>0</v>
      </c>
      <c r="BG15" s="175" t="s">
        <v>0</v>
      </c>
      <c r="BH15" s="175" t="s">
        <v>0</v>
      </c>
      <c r="BI15" s="176"/>
    </row>
    <row r="16" spans="1:61" x14ac:dyDescent="0.25">
      <c r="A16" s="22">
        <f t="shared" si="4"/>
        <v>10</v>
      </c>
      <c r="B16" s="214" t="str">
        <f t="shared" si="5"/>
        <v>F0013546309</v>
      </c>
      <c r="C16" s="214" t="str">
        <f t="shared" si="6"/>
        <v>82115-0EA10 J</v>
      </c>
      <c r="D16" s="45" t="str">
        <f>VLOOKUP(B16,'Timing Table'!B:J,9,0)</f>
        <v>C/O</v>
      </c>
      <c r="E16" s="22" t="str">
        <f>VLOOKUP(B16,'Timing Table'!B:H,7,0)</f>
        <v>495D-HV</v>
      </c>
      <c r="F16" s="177" t="s">
        <v>58</v>
      </c>
      <c r="G16" s="178" t="s">
        <v>58</v>
      </c>
      <c r="H16" s="179" t="s">
        <v>58</v>
      </c>
      <c r="I16" s="180" t="s">
        <v>58</v>
      </c>
      <c r="J16" s="180" t="s">
        <v>0</v>
      </c>
      <c r="K16" s="180" t="s">
        <v>0</v>
      </c>
      <c r="L16" s="180" t="s">
        <v>0</v>
      </c>
      <c r="M16" s="180" t="s">
        <v>0</v>
      </c>
      <c r="N16" s="180" t="s">
        <v>0</v>
      </c>
      <c r="O16" s="180" t="s">
        <v>0</v>
      </c>
      <c r="P16" s="180" t="s">
        <v>0</v>
      </c>
      <c r="Q16" s="180" t="s">
        <v>0</v>
      </c>
      <c r="R16" s="180" t="s">
        <v>0</v>
      </c>
      <c r="S16" s="180" t="s">
        <v>0</v>
      </c>
      <c r="T16" s="180" t="s">
        <v>0</v>
      </c>
      <c r="U16" s="180" t="s">
        <v>0</v>
      </c>
      <c r="V16" s="180" t="s">
        <v>0</v>
      </c>
      <c r="W16" s="180" t="s">
        <v>0</v>
      </c>
      <c r="X16" s="180" t="s">
        <v>0</v>
      </c>
      <c r="Y16" s="180" t="s">
        <v>0</v>
      </c>
      <c r="Z16" s="180" t="s">
        <v>0</v>
      </c>
      <c r="AA16" s="180" t="s">
        <v>0</v>
      </c>
      <c r="AB16" s="180" t="s">
        <v>0</v>
      </c>
      <c r="AC16" s="180" t="s">
        <v>0</v>
      </c>
      <c r="AD16" s="180" t="s">
        <v>0</v>
      </c>
      <c r="AE16" s="180" t="s">
        <v>0</v>
      </c>
      <c r="AF16" s="180" t="s">
        <v>0</v>
      </c>
      <c r="AG16" s="180" t="s">
        <v>0</v>
      </c>
      <c r="AH16" s="180" t="s">
        <v>0</v>
      </c>
      <c r="AI16" s="180" t="s">
        <v>0</v>
      </c>
      <c r="AJ16" s="180" t="s">
        <v>0</v>
      </c>
      <c r="AK16" s="180" t="s">
        <v>0</v>
      </c>
      <c r="AL16" s="180" t="s">
        <v>0</v>
      </c>
      <c r="AM16" s="180" t="s">
        <v>0</v>
      </c>
      <c r="AN16" s="180" t="s">
        <v>0</v>
      </c>
      <c r="AO16" s="180" t="s">
        <v>0</v>
      </c>
      <c r="AP16" s="180" t="s">
        <v>0</v>
      </c>
      <c r="AQ16" s="180" t="s">
        <v>0</v>
      </c>
      <c r="AR16" s="180" t="s">
        <v>0</v>
      </c>
      <c r="AS16" s="180" t="s">
        <v>0</v>
      </c>
      <c r="AT16" s="180" t="s">
        <v>0</v>
      </c>
      <c r="AU16" s="180" t="s">
        <v>0</v>
      </c>
      <c r="AV16" s="180" t="s">
        <v>0</v>
      </c>
      <c r="AW16" s="180" t="s">
        <v>0</v>
      </c>
      <c r="AX16" s="180" t="s">
        <v>0</v>
      </c>
      <c r="AY16" s="180" t="s">
        <v>0</v>
      </c>
      <c r="AZ16" s="180" t="s">
        <v>0</v>
      </c>
      <c r="BA16" s="180" t="s">
        <v>0</v>
      </c>
      <c r="BB16" s="180" t="s">
        <v>0</v>
      </c>
      <c r="BC16" s="180" t="s">
        <v>0</v>
      </c>
      <c r="BD16" s="180" t="s">
        <v>0</v>
      </c>
      <c r="BE16" s="180" t="s">
        <v>0</v>
      </c>
      <c r="BF16" s="180" t="s">
        <v>0</v>
      </c>
      <c r="BG16" s="180" t="s">
        <v>0</v>
      </c>
      <c r="BH16" s="180" t="s">
        <v>0</v>
      </c>
      <c r="BI16" s="181"/>
    </row>
    <row r="17" spans="1:61" x14ac:dyDescent="0.25">
      <c r="A17" s="22">
        <f t="shared" si="4"/>
        <v>11</v>
      </c>
      <c r="B17" s="214" t="str">
        <f t="shared" si="5"/>
        <v>F0013546310</v>
      </c>
      <c r="C17" s="214" t="str">
        <f t="shared" si="6"/>
        <v>82115-0EA10 K</v>
      </c>
      <c r="D17" s="45" t="str">
        <f>VLOOKUP(B17,'Timing Table'!B:J,9,0)</f>
        <v>C/O</v>
      </c>
      <c r="E17" s="22" t="str">
        <f>VLOOKUP(B17,'Timing Table'!B:H,7,0)</f>
        <v>495D-HV</v>
      </c>
      <c r="F17" s="121" t="s">
        <v>59</v>
      </c>
      <c r="G17" s="146">
        <v>5501060671</v>
      </c>
      <c r="H17" s="121" t="s">
        <v>60</v>
      </c>
      <c r="I17" s="146">
        <v>18</v>
      </c>
      <c r="J17" s="121" t="s">
        <v>61</v>
      </c>
      <c r="K17" s="125">
        <v>1179886</v>
      </c>
      <c r="L17" s="126"/>
      <c r="M17" s="147" t="s">
        <v>62</v>
      </c>
      <c r="N17" s="148"/>
      <c r="O17" s="149">
        <v>46086</v>
      </c>
      <c r="P17" s="121" t="s">
        <v>63</v>
      </c>
      <c r="Q17" s="146">
        <v>4</v>
      </c>
      <c r="R17" s="6" t="s">
        <v>0</v>
      </c>
      <c r="S17" s="7" t="s">
        <v>0</v>
      </c>
      <c r="T17" s="7" t="s">
        <v>0</v>
      </c>
      <c r="U17" s="7" t="s">
        <v>0</v>
      </c>
      <c r="V17" s="7" t="s">
        <v>0</v>
      </c>
      <c r="W17" s="7" t="s">
        <v>0</v>
      </c>
      <c r="X17" s="7" t="s">
        <v>0</v>
      </c>
      <c r="Y17" s="7" t="s">
        <v>0</v>
      </c>
      <c r="Z17" s="7" t="s">
        <v>0</v>
      </c>
      <c r="AA17" s="7" t="s">
        <v>0</v>
      </c>
      <c r="AB17" s="7" t="s">
        <v>0</v>
      </c>
      <c r="AC17" s="7" t="s">
        <v>0</v>
      </c>
      <c r="AD17" s="7" t="s">
        <v>0</v>
      </c>
      <c r="AE17" s="7" t="s">
        <v>0</v>
      </c>
      <c r="AF17" s="7" t="s">
        <v>0</v>
      </c>
      <c r="AG17" s="7" t="s">
        <v>0</v>
      </c>
      <c r="AH17" s="7" t="s">
        <v>0</v>
      </c>
      <c r="AI17" s="7" t="s">
        <v>0</v>
      </c>
      <c r="AJ17" s="7" t="s">
        <v>0</v>
      </c>
      <c r="AK17" s="7" t="s">
        <v>0</v>
      </c>
      <c r="AL17" s="7" t="s">
        <v>0</v>
      </c>
      <c r="AM17" s="7" t="s">
        <v>0</v>
      </c>
      <c r="AN17" s="7" t="s">
        <v>0</v>
      </c>
      <c r="AO17" s="7" t="s">
        <v>0</v>
      </c>
      <c r="AP17" s="7" t="s">
        <v>0</v>
      </c>
      <c r="AQ17" s="7" t="s">
        <v>0</v>
      </c>
      <c r="AR17" s="7" t="s">
        <v>0</v>
      </c>
      <c r="AS17" s="7" t="s">
        <v>0</v>
      </c>
      <c r="AT17" s="7" t="s">
        <v>0</v>
      </c>
      <c r="AU17" s="7" t="s">
        <v>0</v>
      </c>
      <c r="AV17" s="7" t="s">
        <v>0</v>
      </c>
      <c r="AW17" s="7" t="s">
        <v>0</v>
      </c>
      <c r="AX17" s="7" t="s">
        <v>0</v>
      </c>
      <c r="AY17" s="7" t="s">
        <v>0</v>
      </c>
      <c r="AZ17" s="7" t="s">
        <v>0</v>
      </c>
      <c r="BA17" s="7" t="s">
        <v>0</v>
      </c>
      <c r="BB17" s="7" t="s">
        <v>0</v>
      </c>
      <c r="BC17" s="7" t="s">
        <v>0</v>
      </c>
      <c r="BD17" s="7" t="s">
        <v>0</v>
      </c>
      <c r="BE17" s="7" t="s">
        <v>0</v>
      </c>
      <c r="BF17" s="7" t="s">
        <v>0</v>
      </c>
      <c r="BG17" s="7" t="s">
        <v>0</v>
      </c>
      <c r="BH17" s="7" t="s">
        <v>0</v>
      </c>
      <c r="BI17" s="8"/>
    </row>
    <row r="18" spans="1:61" x14ac:dyDescent="0.25">
      <c r="A18" s="22">
        <f t="shared" si="4"/>
        <v>12</v>
      </c>
      <c r="B18" s="214" t="str">
        <f t="shared" si="5"/>
        <v>F0013546310</v>
      </c>
      <c r="C18" s="214" t="str">
        <f t="shared" si="6"/>
        <v>82115-0EA10 K</v>
      </c>
      <c r="D18" s="45" t="str">
        <f>VLOOKUP(B18,'Timing Table'!B:J,9,0)</f>
        <v>C/O</v>
      </c>
      <c r="E18" s="22" t="str">
        <f>VLOOKUP(B18,'Timing Table'!B:H,7,0)</f>
        <v>495D-HV</v>
      </c>
      <c r="F18" s="121" t="s">
        <v>64</v>
      </c>
      <c r="G18" s="146" t="s">
        <v>273</v>
      </c>
      <c r="H18" s="121" t="s">
        <v>65</v>
      </c>
      <c r="I18" s="150" t="s">
        <v>276</v>
      </c>
      <c r="J18" s="151"/>
      <c r="K18" s="151"/>
      <c r="L18" s="152"/>
      <c r="M18" s="121" t="s">
        <v>66</v>
      </c>
      <c r="N18" s="146">
        <v>2023</v>
      </c>
      <c r="O18" s="140" t="s">
        <v>67</v>
      </c>
      <c r="P18" s="141"/>
      <c r="Q18" s="153" t="s">
        <v>198</v>
      </c>
      <c r="R18" s="122" t="s">
        <v>0</v>
      </c>
      <c r="S18" s="123"/>
      <c r="T18" s="123"/>
      <c r="U18" s="123" t="s">
        <v>0</v>
      </c>
      <c r="V18" s="123" t="s">
        <v>0</v>
      </c>
      <c r="W18" s="123" t="s">
        <v>0</v>
      </c>
      <c r="X18" s="123" t="s">
        <v>0</v>
      </c>
      <c r="Y18" s="123" t="s">
        <v>0</v>
      </c>
      <c r="Z18" s="123" t="s">
        <v>0</v>
      </c>
      <c r="AA18" s="123" t="s">
        <v>0</v>
      </c>
      <c r="AB18" s="123" t="s">
        <v>0</v>
      </c>
      <c r="AC18" s="123" t="s">
        <v>0</v>
      </c>
      <c r="AD18" s="123" t="s">
        <v>0</v>
      </c>
      <c r="AE18" s="123" t="s">
        <v>0</v>
      </c>
      <c r="AF18" s="123" t="s">
        <v>0</v>
      </c>
      <c r="AG18" s="123" t="s">
        <v>0</v>
      </c>
      <c r="AH18" s="123" t="s">
        <v>0</v>
      </c>
      <c r="AI18" s="123" t="s">
        <v>0</v>
      </c>
      <c r="AJ18" s="123" t="s">
        <v>0</v>
      </c>
      <c r="AK18" s="123" t="s">
        <v>0</v>
      </c>
      <c r="AL18" s="123" t="s">
        <v>0</v>
      </c>
      <c r="AM18" s="123" t="s">
        <v>0</v>
      </c>
      <c r="AN18" s="123" t="s">
        <v>0</v>
      </c>
      <c r="AO18" s="123" t="s">
        <v>0</v>
      </c>
      <c r="AP18" s="123" t="s">
        <v>0</v>
      </c>
      <c r="AQ18" s="123" t="s">
        <v>0</v>
      </c>
      <c r="AR18" s="123" t="s">
        <v>0</v>
      </c>
      <c r="AS18" s="123" t="s">
        <v>0</v>
      </c>
      <c r="AT18" s="123" t="s">
        <v>0</v>
      </c>
      <c r="AU18" s="123" t="s">
        <v>0</v>
      </c>
      <c r="AV18" s="123" t="s">
        <v>0</v>
      </c>
      <c r="AW18" s="123" t="s">
        <v>0</v>
      </c>
      <c r="AX18" s="123" t="s">
        <v>0</v>
      </c>
      <c r="AY18" s="123" t="s">
        <v>0</v>
      </c>
      <c r="AZ18" s="123" t="s">
        <v>0</v>
      </c>
      <c r="BA18" s="123" t="s">
        <v>0</v>
      </c>
      <c r="BB18" s="123" t="s">
        <v>0</v>
      </c>
      <c r="BC18" s="123" t="s">
        <v>0</v>
      </c>
      <c r="BD18" s="123" t="s">
        <v>0</v>
      </c>
      <c r="BE18" s="123" t="s">
        <v>0</v>
      </c>
      <c r="BF18" s="123" t="s">
        <v>0</v>
      </c>
      <c r="BG18" s="123" t="s">
        <v>0</v>
      </c>
      <c r="BH18" s="123" t="s">
        <v>0</v>
      </c>
      <c r="BI18" s="124"/>
    </row>
    <row r="19" spans="1:61" x14ac:dyDescent="0.25">
      <c r="A19" s="22">
        <f t="shared" si="4"/>
        <v>13</v>
      </c>
      <c r="B19" s="214" t="str">
        <f t="shared" si="5"/>
        <v>F0013546310</v>
      </c>
      <c r="C19" s="214" t="str">
        <f t="shared" si="6"/>
        <v>82115-0EA10 K</v>
      </c>
      <c r="D19" s="45" t="str">
        <f>VLOOKUP(B19,'Timing Table'!B:J,9,0)</f>
        <v>C/O</v>
      </c>
      <c r="E19" s="22" t="str">
        <f>VLOOKUP(B19,'Timing Table'!B:H,7,0)</f>
        <v>495D-HV</v>
      </c>
      <c r="F19" s="121" t="s">
        <v>68</v>
      </c>
      <c r="G19" s="146" t="s">
        <v>330</v>
      </c>
      <c r="H19" s="121" t="s">
        <v>69</v>
      </c>
      <c r="I19" s="154" t="s">
        <v>58</v>
      </c>
      <c r="J19" s="155" t="s">
        <v>0</v>
      </c>
      <c r="K19" s="156" t="s">
        <v>0</v>
      </c>
      <c r="L19" s="157" t="s">
        <v>0</v>
      </c>
      <c r="M19" s="134" t="s">
        <v>0</v>
      </c>
      <c r="N19" s="134" t="s">
        <v>0</v>
      </c>
      <c r="O19" s="134" t="s">
        <v>0</v>
      </c>
      <c r="P19" s="134" t="s">
        <v>0</v>
      </c>
      <c r="Q19" s="134" t="s">
        <v>1</v>
      </c>
      <c r="R19" s="134" t="s">
        <v>2</v>
      </c>
      <c r="S19" s="134" t="s">
        <v>0</v>
      </c>
      <c r="T19" s="134" t="s">
        <v>0</v>
      </c>
      <c r="U19" s="134" t="s">
        <v>0</v>
      </c>
      <c r="V19" s="134" t="s">
        <v>0</v>
      </c>
      <c r="W19" s="134" t="s">
        <v>0</v>
      </c>
      <c r="X19" s="134" t="s">
        <v>0</v>
      </c>
      <c r="Y19" s="134" t="s">
        <v>0</v>
      </c>
      <c r="Z19" s="134" t="s">
        <v>3</v>
      </c>
      <c r="AA19" s="134" t="s">
        <v>0</v>
      </c>
      <c r="AB19" s="134" t="s">
        <v>0</v>
      </c>
      <c r="AC19" s="134" t="s">
        <v>0</v>
      </c>
      <c r="AD19" s="134" t="s">
        <v>0</v>
      </c>
      <c r="AE19" s="134" t="s">
        <v>0</v>
      </c>
      <c r="AF19" s="134" t="s">
        <v>0</v>
      </c>
      <c r="AG19" s="134" t="s">
        <v>0</v>
      </c>
      <c r="AH19" s="134" t="s">
        <v>0</v>
      </c>
      <c r="AI19" s="134" t="s">
        <v>0</v>
      </c>
      <c r="AJ19" s="134" t="s">
        <v>0</v>
      </c>
      <c r="AK19" s="134" t="s">
        <v>0</v>
      </c>
      <c r="AL19" s="134" t="s">
        <v>0</v>
      </c>
      <c r="AM19" s="134" t="s">
        <v>0</v>
      </c>
      <c r="AN19" s="134" t="s">
        <v>0</v>
      </c>
      <c r="AO19" s="134" t="s">
        <v>0</v>
      </c>
      <c r="AP19" s="134" t="s">
        <v>0</v>
      </c>
      <c r="AQ19" s="134" t="s">
        <v>0</v>
      </c>
      <c r="AR19" s="134" t="s">
        <v>0</v>
      </c>
      <c r="AS19" s="134" t="s">
        <v>0</v>
      </c>
      <c r="AT19" s="134" t="s">
        <v>0</v>
      </c>
      <c r="AU19" s="134" t="s">
        <v>0</v>
      </c>
      <c r="AV19" s="134" t="s">
        <v>0</v>
      </c>
      <c r="AW19" s="134" t="s">
        <v>0</v>
      </c>
      <c r="AX19" s="134" t="s">
        <v>0</v>
      </c>
      <c r="AY19" s="134" t="s">
        <v>0</v>
      </c>
      <c r="AZ19" s="134" t="s">
        <v>0</v>
      </c>
      <c r="BA19" s="134" t="s">
        <v>0</v>
      </c>
      <c r="BB19" s="134" t="s">
        <v>0</v>
      </c>
      <c r="BC19" s="134" t="s">
        <v>0</v>
      </c>
      <c r="BD19" s="134" t="s">
        <v>0</v>
      </c>
      <c r="BE19" s="134" t="s">
        <v>0</v>
      </c>
      <c r="BF19" s="134" t="s">
        <v>0</v>
      </c>
      <c r="BG19" s="134" t="s">
        <v>0</v>
      </c>
      <c r="BH19" s="134" t="s">
        <v>0</v>
      </c>
      <c r="BI19" s="135" t="s">
        <v>4</v>
      </c>
    </row>
    <row r="20" spans="1:61" x14ac:dyDescent="0.25">
      <c r="A20" s="22">
        <f t="shared" si="4"/>
        <v>14</v>
      </c>
      <c r="B20" s="214" t="str">
        <f t="shared" si="5"/>
        <v>F0013546310</v>
      </c>
      <c r="C20" s="214" t="str">
        <f t="shared" si="6"/>
        <v>82115-0EA10 K</v>
      </c>
      <c r="D20" s="45" t="str">
        <f>VLOOKUP(B20,'Timing Table'!B:J,9,0)</f>
        <v>C/O</v>
      </c>
      <c r="E20" s="22" t="str">
        <f>VLOOKUP(B20,'Timing Table'!B:H,7,0)</f>
        <v>495D-HV</v>
      </c>
      <c r="F20" s="121" t="s">
        <v>70</v>
      </c>
      <c r="G20" s="146">
        <v>5536</v>
      </c>
      <c r="H20" s="158" t="s">
        <v>240</v>
      </c>
      <c r="I20" s="159" t="s">
        <v>71</v>
      </c>
      <c r="J20" s="13">
        <v>46041</v>
      </c>
      <c r="K20" s="14">
        <v>46048</v>
      </c>
      <c r="L20" s="14">
        <v>46055</v>
      </c>
      <c r="M20" s="14">
        <v>46062</v>
      </c>
      <c r="N20" s="14">
        <v>46069</v>
      </c>
      <c r="O20" s="14">
        <v>46076</v>
      </c>
      <c r="P20" s="14">
        <v>46083</v>
      </c>
      <c r="Q20" s="14">
        <v>46090</v>
      </c>
      <c r="R20" s="14">
        <v>46097</v>
      </c>
      <c r="S20" s="14">
        <v>46104</v>
      </c>
      <c r="T20" s="14">
        <v>46111</v>
      </c>
      <c r="U20" s="14">
        <v>46118</v>
      </c>
      <c r="V20" s="14">
        <v>46125</v>
      </c>
      <c r="W20" s="14">
        <v>46132</v>
      </c>
      <c r="X20" s="14">
        <v>46139</v>
      </c>
      <c r="Y20" s="14">
        <v>46146</v>
      </c>
      <c r="Z20" s="14">
        <v>46153</v>
      </c>
      <c r="AA20" s="14">
        <v>46160</v>
      </c>
      <c r="AB20" s="14">
        <v>46167</v>
      </c>
      <c r="AC20" s="14">
        <v>46174</v>
      </c>
      <c r="AD20" s="14">
        <v>46181</v>
      </c>
      <c r="AE20" s="14">
        <v>46188</v>
      </c>
      <c r="AF20" s="14">
        <v>46195</v>
      </c>
      <c r="AG20" s="14">
        <v>46202</v>
      </c>
      <c r="AH20" s="14">
        <v>46209</v>
      </c>
      <c r="AI20" s="14">
        <v>46216</v>
      </c>
      <c r="AJ20" s="14">
        <v>46223</v>
      </c>
      <c r="AK20" s="14">
        <v>46230</v>
      </c>
      <c r="AL20" s="14">
        <v>46237</v>
      </c>
      <c r="AM20" s="14">
        <v>46244</v>
      </c>
      <c r="AN20" s="14">
        <v>46251</v>
      </c>
      <c r="AO20" s="14">
        <v>46258</v>
      </c>
      <c r="AP20" s="14">
        <v>46265</v>
      </c>
      <c r="AQ20" s="14">
        <v>46272</v>
      </c>
      <c r="AR20" s="14">
        <v>46279</v>
      </c>
      <c r="AS20" s="14">
        <v>46286</v>
      </c>
      <c r="AT20" s="14">
        <v>46293</v>
      </c>
      <c r="AU20" s="14">
        <v>46300</v>
      </c>
      <c r="AV20" s="14">
        <v>46307</v>
      </c>
      <c r="AW20" s="14">
        <v>46314</v>
      </c>
      <c r="AX20" s="14">
        <v>46321</v>
      </c>
      <c r="AY20" s="14">
        <v>46328</v>
      </c>
      <c r="AZ20" s="14">
        <v>46335</v>
      </c>
      <c r="BA20" s="14">
        <v>46342</v>
      </c>
      <c r="BB20" s="14">
        <v>46349</v>
      </c>
      <c r="BC20" s="14">
        <v>46356</v>
      </c>
      <c r="BD20" s="14">
        <v>46363</v>
      </c>
      <c r="BE20" s="14">
        <v>46370</v>
      </c>
      <c r="BF20" s="14">
        <v>46377</v>
      </c>
      <c r="BG20" s="14">
        <v>46384</v>
      </c>
      <c r="BH20" s="14">
        <v>46391</v>
      </c>
      <c r="BI20" s="15">
        <v>46398</v>
      </c>
    </row>
    <row r="21" spans="1:61" x14ac:dyDescent="0.25">
      <c r="A21" s="22">
        <f t="shared" si="4"/>
        <v>15</v>
      </c>
      <c r="B21" s="214" t="str">
        <f t="shared" si="5"/>
        <v>F0013546310</v>
      </c>
      <c r="C21" s="214" t="str">
        <f t="shared" si="6"/>
        <v>82115-0EA10 K</v>
      </c>
      <c r="D21" s="45" t="str">
        <f>VLOOKUP(B21,'Timing Table'!B:J,9,0)</f>
        <v>C/O</v>
      </c>
      <c r="E21" s="22" t="str">
        <f>VLOOKUP(B21,'Timing Table'!B:H,7,0)</f>
        <v>495D-HV</v>
      </c>
      <c r="F21" s="121" t="s">
        <v>72</v>
      </c>
      <c r="G21" s="146">
        <v>8080</v>
      </c>
      <c r="H21" s="5" t="s">
        <v>58</v>
      </c>
      <c r="I21" s="11" t="s">
        <v>83</v>
      </c>
      <c r="J21" s="16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17"/>
    </row>
    <row r="22" spans="1:61" x14ac:dyDescent="0.25">
      <c r="A22" s="22">
        <f t="shared" si="4"/>
        <v>16</v>
      </c>
      <c r="B22" s="214" t="str">
        <f t="shared" si="5"/>
        <v>F0013546310</v>
      </c>
      <c r="C22" s="214" t="str">
        <f t="shared" si="6"/>
        <v>82115-0EA10 K</v>
      </c>
      <c r="D22" s="45" t="str">
        <f>VLOOKUP(B22,'Timing Table'!B:J,9,0)</f>
        <v>C/O</v>
      </c>
      <c r="E22" s="22" t="str">
        <f>VLOOKUP(B22,'Timing Table'!B:H,7,0)</f>
        <v>495D-HV</v>
      </c>
      <c r="F22" s="121" t="s">
        <v>73</v>
      </c>
      <c r="G22" s="160" t="s">
        <v>85</v>
      </c>
      <c r="H22" s="9" t="s">
        <v>84</v>
      </c>
      <c r="I22" s="11" t="s">
        <v>74</v>
      </c>
      <c r="J22" s="117">
        <v>456</v>
      </c>
      <c r="K22" s="50">
        <v>680</v>
      </c>
      <c r="L22" s="50">
        <v>320</v>
      </c>
      <c r="M22" s="50">
        <v>592</v>
      </c>
      <c r="N22" s="50">
        <v>1172</v>
      </c>
      <c r="O22" s="50">
        <v>640</v>
      </c>
      <c r="P22" s="50">
        <v>400</v>
      </c>
      <c r="Q22" s="50">
        <v>780</v>
      </c>
      <c r="R22" s="50">
        <v>0</v>
      </c>
      <c r="S22" s="50">
        <v>496</v>
      </c>
      <c r="T22" s="50">
        <v>228</v>
      </c>
      <c r="U22" s="50">
        <v>512</v>
      </c>
      <c r="V22" s="50">
        <v>284</v>
      </c>
      <c r="W22" s="50">
        <v>480</v>
      </c>
      <c r="X22" s="50">
        <v>304</v>
      </c>
      <c r="Y22" s="50">
        <v>304</v>
      </c>
      <c r="Z22" s="50">
        <v>432</v>
      </c>
      <c r="AA22" s="50">
        <v>564</v>
      </c>
      <c r="AB22" s="50">
        <v>564</v>
      </c>
      <c r="AC22" s="50">
        <v>568</v>
      </c>
      <c r="AD22" s="50">
        <v>476</v>
      </c>
      <c r="AE22" s="50">
        <v>480</v>
      </c>
      <c r="AF22" s="50">
        <v>392</v>
      </c>
      <c r="AG22" s="50">
        <v>544</v>
      </c>
      <c r="AH22" s="50">
        <v>324</v>
      </c>
      <c r="AI22" s="50">
        <v>556</v>
      </c>
      <c r="AJ22" s="50">
        <v>528</v>
      </c>
      <c r="AK22" s="50">
        <v>532</v>
      </c>
      <c r="AL22" s="50">
        <v>732</v>
      </c>
      <c r="AM22" s="50">
        <v>736</v>
      </c>
      <c r="AN22" s="50">
        <v>736</v>
      </c>
      <c r="AO22" s="50">
        <v>736</v>
      </c>
      <c r="AP22" s="50">
        <v>736</v>
      </c>
      <c r="AQ22" s="50">
        <v>736</v>
      </c>
      <c r="AR22" s="50">
        <v>736</v>
      </c>
      <c r="AS22" s="50">
        <v>736</v>
      </c>
      <c r="AT22" s="50">
        <v>736</v>
      </c>
      <c r="AU22" s="50">
        <v>736</v>
      </c>
      <c r="AV22" s="50">
        <v>736</v>
      </c>
      <c r="AW22" s="50">
        <v>736</v>
      </c>
      <c r="AX22" s="50">
        <v>736</v>
      </c>
      <c r="AY22" s="50">
        <v>736</v>
      </c>
      <c r="AZ22" s="50">
        <v>736</v>
      </c>
      <c r="BA22" s="50">
        <v>736</v>
      </c>
      <c r="BB22" s="50">
        <v>736</v>
      </c>
      <c r="BC22" s="50">
        <v>736</v>
      </c>
      <c r="BD22" s="50">
        <v>736</v>
      </c>
      <c r="BE22" s="50">
        <v>736</v>
      </c>
      <c r="BF22" s="50">
        <v>736</v>
      </c>
      <c r="BG22" s="50">
        <v>736</v>
      </c>
      <c r="BH22" s="50">
        <v>736</v>
      </c>
      <c r="BI22" s="118">
        <v>736</v>
      </c>
    </row>
    <row r="23" spans="1:61" x14ac:dyDescent="0.25">
      <c r="A23" s="22">
        <f t="shared" si="4"/>
        <v>17</v>
      </c>
      <c r="B23" s="214" t="str">
        <f t="shared" si="5"/>
        <v>F0013546310</v>
      </c>
      <c r="C23" s="214" t="str">
        <f t="shared" si="6"/>
        <v>82115-0EA10 K</v>
      </c>
      <c r="D23" s="45" t="str">
        <f>VLOOKUP(B23,'Timing Table'!B:J,9,0)</f>
        <v>C/O</v>
      </c>
      <c r="E23" s="22" t="str">
        <f>VLOOKUP(B23,'Timing Table'!B:H,7,0)</f>
        <v>495D-HV</v>
      </c>
      <c r="F23" s="121" t="s">
        <v>75</v>
      </c>
      <c r="G23" s="146">
        <v>82115</v>
      </c>
      <c r="H23" s="10" t="s">
        <v>84</v>
      </c>
      <c r="I23" s="12" t="s">
        <v>76</v>
      </c>
      <c r="J23" s="161">
        <v>456</v>
      </c>
      <c r="K23" s="162">
        <v>1136</v>
      </c>
      <c r="L23" s="162">
        <v>1456</v>
      </c>
      <c r="M23" s="162">
        <v>2048</v>
      </c>
      <c r="N23" s="162">
        <v>3220</v>
      </c>
      <c r="O23" s="162">
        <v>3860</v>
      </c>
      <c r="P23" s="162">
        <v>4260</v>
      </c>
      <c r="Q23" s="162">
        <v>5040</v>
      </c>
      <c r="R23" s="162">
        <v>5040</v>
      </c>
      <c r="S23" s="162">
        <v>5536</v>
      </c>
      <c r="T23" s="162">
        <v>5764</v>
      </c>
      <c r="U23" s="162">
        <v>6276</v>
      </c>
      <c r="V23" s="162">
        <v>6560</v>
      </c>
      <c r="W23" s="162">
        <v>7040</v>
      </c>
      <c r="X23" s="162">
        <v>7344</v>
      </c>
      <c r="Y23" s="162">
        <v>7648</v>
      </c>
      <c r="Z23" s="162">
        <v>8080</v>
      </c>
      <c r="AA23" s="162">
        <v>8644</v>
      </c>
      <c r="AB23" s="162">
        <v>9208</v>
      </c>
      <c r="AC23" s="162">
        <v>9776</v>
      </c>
      <c r="AD23" s="162">
        <v>10252</v>
      </c>
      <c r="AE23" s="162">
        <v>10732</v>
      </c>
      <c r="AF23" s="162">
        <v>11124</v>
      </c>
      <c r="AG23" s="162">
        <v>11668</v>
      </c>
      <c r="AH23" s="162">
        <v>11992</v>
      </c>
      <c r="AI23" s="162">
        <v>12548</v>
      </c>
      <c r="AJ23" s="162">
        <v>13076</v>
      </c>
      <c r="AK23" s="162">
        <v>13608</v>
      </c>
      <c r="AL23" s="162">
        <v>14340</v>
      </c>
      <c r="AM23" s="162">
        <v>15076</v>
      </c>
      <c r="AN23" s="162">
        <v>15812</v>
      </c>
      <c r="AO23" s="162">
        <v>16548</v>
      </c>
      <c r="AP23" s="162">
        <v>17284</v>
      </c>
      <c r="AQ23" s="162">
        <v>18020</v>
      </c>
      <c r="AR23" s="162">
        <v>18756</v>
      </c>
      <c r="AS23" s="162">
        <v>19492</v>
      </c>
      <c r="AT23" s="162">
        <v>20228</v>
      </c>
      <c r="AU23" s="162">
        <v>20964</v>
      </c>
      <c r="AV23" s="162">
        <v>21700</v>
      </c>
      <c r="AW23" s="162">
        <v>22436</v>
      </c>
      <c r="AX23" s="162">
        <v>23172</v>
      </c>
      <c r="AY23" s="162">
        <v>23908</v>
      </c>
      <c r="AZ23" s="162">
        <v>24644</v>
      </c>
      <c r="BA23" s="162">
        <v>25380</v>
      </c>
      <c r="BB23" s="162">
        <v>26116</v>
      </c>
      <c r="BC23" s="162">
        <v>26852</v>
      </c>
      <c r="BD23" s="162">
        <v>27588</v>
      </c>
      <c r="BE23" s="162">
        <v>28324</v>
      </c>
      <c r="BF23" s="162">
        <v>29060</v>
      </c>
      <c r="BG23" s="162">
        <v>29796</v>
      </c>
      <c r="BH23" s="162">
        <v>30532</v>
      </c>
      <c r="BI23" s="162">
        <v>31268</v>
      </c>
    </row>
    <row r="24" spans="1:61" x14ac:dyDescent="0.25">
      <c r="A24" s="22">
        <f t="shared" si="4"/>
        <v>18</v>
      </c>
      <c r="B24" s="214" t="str">
        <f t="shared" si="5"/>
        <v>F0013546310</v>
      </c>
      <c r="C24" s="214" t="str">
        <f t="shared" si="6"/>
        <v>82115-0EA10 K</v>
      </c>
      <c r="D24" s="45" t="str">
        <f>VLOOKUP(B24,'Timing Table'!B:J,9,0)</f>
        <v>C/O</v>
      </c>
      <c r="E24" s="22" t="str">
        <f>VLOOKUP(B24,'Timing Table'!B:H,7,0)</f>
        <v>495D-HV</v>
      </c>
      <c r="F24" s="164" t="s">
        <v>77</v>
      </c>
      <c r="G24" s="165">
        <v>0</v>
      </c>
      <c r="H24" s="166" t="s">
        <v>78</v>
      </c>
      <c r="I24" s="167"/>
      <c r="J24" s="168"/>
      <c r="K24" s="169"/>
      <c r="L24" s="170" t="s">
        <v>0</v>
      </c>
      <c r="M24" s="170" t="s">
        <v>0</v>
      </c>
      <c r="N24" s="170" t="s">
        <v>0</v>
      </c>
      <c r="O24" s="170" t="s">
        <v>0</v>
      </c>
      <c r="P24" s="170" t="s">
        <v>0</v>
      </c>
      <c r="Q24" s="170">
        <v>0.95</v>
      </c>
      <c r="R24" s="170" t="s">
        <v>0</v>
      </c>
      <c r="S24" s="170" t="s">
        <v>0</v>
      </c>
      <c r="T24" s="170" t="s">
        <v>0</v>
      </c>
      <c r="U24" s="170" t="s">
        <v>0</v>
      </c>
      <c r="V24" s="170" t="s">
        <v>0</v>
      </c>
      <c r="W24" s="170" t="s">
        <v>0</v>
      </c>
      <c r="X24" s="170" t="s">
        <v>0</v>
      </c>
      <c r="Y24" s="170" t="s">
        <v>0</v>
      </c>
      <c r="Z24" s="170" t="s">
        <v>0</v>
      </c>
      <c r="AA24" s="170" t="s">
        <v>0</v>
      </c>
      <c r="AB24" s="170" t="s">
        <v>0</v>
      </c>
      <c r="AC24" s="170" t="s">
        <v>0</v>
      </c>
      <c r="AD24" s="170" t="s">
        <v>0</v>
      </c>
      <c r="AE24" s="170" t="s">
        <v>0</v>
      </c>
      <c r="AF24" s="170" t="s">
        <v>0</v>
      </c>
      <c r="AG24" s="170" t="s">
        <v>0</v>
      </c>
      <c r="AH24" s="170" t="s">
        <v>0</v>
      </c>
      <c r="AI24" s="170" t="s">
        <v>0</v>
      </c>
      <c r="AJ24" s="170" t="s">
        <v>0</v>
      </c>
      <c r="AK24" s="170" t="s">
        <v>0</v>
      </c>
      <c r="AL24" s="170" t="s">
        <v>0</v>
      </c>
      <c r="AM24" s="170" t="s">
        <v>0</v>
      </c>
      <c r="AN24" s="170" t="s">
        <v>0</v>
      </c>
      <c r="AO24" s="170" t="s">
        <v>0</v>
      </c>
      <c r="AP24" s="170" t="s">
        <v>0</v>
      </c>
      <c r="AQ24" s="170" t="s">
        <v>0</v>
      </c>
      <c r="AR24" s="170" t="s">
        <v>0</v>
      </c>
      <c r="AS24" s="170" t="s">
        <v>0</v>
      </c>
      <c r="AT24" s="170" t="s">
        <v>0</v>
      </c>
      <c r="AU24" s="170" t="s">
        <v>0</v>
      </c>
      <c r="AV24" s="170" t="s">
        <v>0</v>
      </c>
      <c r="AW24" s="170" t="s">
        <v>0</v>
      </c>
      <c r="AX24" s="170" t="s">
        <v>0</v>
      </c>
      <c r="AY24" s="170" t="s">
        <v>0</v>
      </c>
      <c r="AZ24" s="170" t="s">
        <v>0</v>
      </c>
      <c r="BA24" s="170" t="s">
        <v>0</v>
      </c>
      <c r="BB24" s="170" t="s">
        <v>0</v>
      </c>
      <c r="BC24" s="170" t="s">
        <v>0</v>
      </c>
      <c r="BD24" s="170" t="s">
        <v>0</v>
      </c>
      <c r="BE24" s="170" t="s">
        <v>0</v>
      </c>
      <c r="BF24" s="170" t="s">
        <v>0</v>
      </c>
      <c r="BG24" s="170" t="s">
        <v>0</v>
      </c>
      <c r="BH24" s="170" t="s">
        <v>0</v>
      </c>
      <c r="BI24" s="171"/>
    </row>
    <row r="25" spans="1:61" x14ac:dyDescent="0.25">
      <c r="A25" s="22">
        <f t="shared" si="4"/>
        <v>19</v>
      </c>
      <c r="B25" s="214" t="str">
        <f t="shared" si="5"/>
        <v>F0013546310</v>
      </c>
      <c r="C25" s="214" t="str">
        <f t="shared" si="6"/>
        <v>82115-0EA10 K</v>
      </c>
      <c r="D25" s="45" t="str">
        <f>VLOOKUP(B25,'Timing Table'!B:J,9,0)</f>
        <v>C/O</v>
      </c>
      <c r="E25" s="22" t="str">
        <f>VLOOKUP(B25,'Timing Table'!B:H,7,0)</f>
        <v>495D-HV</v>
      </c>
      <c r="F25" s="172" t="s">
        <v>79</v>
      </c>
      <c r="G25" s="173" t="s">
        <v>58</v>
      </c>
      <c r="H25" s="174" t="s">
        <v>58</v>
      </c>
      <c r="I25" s="175" t="s">
        <v>58</v>
      </c>
      <c r="J25" s="175" t="s">
        <v>0</v>
      </c>
      <c r="K25" s="175" t="s">
        <v>0</v>
      </c>
      <c r="L25" s="175" t="s">
        <v>0</v>
      </c>
      <c r="M25" s="175" t="s">
        <v>0</v>
      </c>
      <c r="N25" s="175" t="s">
        <v>0</v>
      </c>
      <c r="O25" s="175" t="s">
        <v>0</v>
      </c>
      <c r="P25" s="175" t="s">
        <v>0</v>
      </c>
      <c r="Q25" s="175" t="s">
        <v>310</v>
      </c>
      <c r="R25" s="175"/>
      <c r="S25" s="175" t="s">
        <v>0</v>
      </c>
      <c r="T25" s="175" t="s">
        <v>0</v>
      </c>
      <c r="U25" s="175" t="s">
        <v>0</v>
      </c>
      <c r="V25" s="175" t="s">
        <v>0</v>
      </c>
      <c r="W25" s="175" t="s">
        <v>0</v>
      </c>
      <c r="X25" s="175" t="s">
        <v>0</v>
      </c>
      <c r="Y25" s="175" t="s">
        <v>0</v>
      </c>
      <c r="Z25" s="175" t="s">
        <v>0</v>
      </c>
      <c r="AA25" s="175" t="s">
        <v>0</v>
      </c>
      <c r="AB25" s="175" t="s">
        <v>0</v>
      </c>
      <c r="AC25" s="175" t="s">
        <v>0</v>
      </c>
      <c r="AD25" s="175" t="s">
        <v>0</v>
      </c>
      <c r="AE25" s="175" t="s">
        <v>0</v>
      </c>
      <c r="AF25" s="175" t="s">
        <v>0</v>
      </c>
      <c r="AG25" s="175" t="s">
        <v>0</v>
      </c>
      <c r="AH25" s="175" t="s">
        <v>0</v>
      </c>
      <c r="AI25" s="175" t="s">
        <v>0</v>
      </c>
      <c r="AJ25" s="175" t="s">
        <v>0</v>
      </c>
      <c r="AK25" s="175" t="s">
        <v>0</v>
      </c>
      <c r="AL25" s="175" t="s">
        <v>0</v>
      </c>
      <c r="AM25" s="175" t="s">
        <v>0</v>
      </c>
      <c r="AN25" s="175" t="s">
        <v>0</v>
      </c>
      <c r="AO25" s="175" t="s">
        <v>0</v>
      </c>
      <c r="AP25" s="175" t="s">
        <v>0</v>
      </c>
      <c r="AQ25" s="175" t="s">
        <v>0</v>
      </c>
      <c r="AR25" s="175" t="s">
        <v>0</v>
      </c>
      <c r="AS25" s="175" t="s">
        <v>0</v>
      </c>
      <c r="AT25" s="175" t="s">
        <v>0</v>
      </c>
      <c r="AU25" s="175" t="s">
        <v>0</v>
      </c>
      <c r="AV25" s="175" t="s">
        <v>0</v>
      </c>
      <c r="AW25" s="175" t="s">
        <v>0</v>
      </c>
      <c r="AX25" s="175" t="s">
        <v>0</v>
      </c>
      <c r="AY25" s="175" t="s">
        <v>0</v>
      </c>
      <c r="AZ25" s="175" t="s">
        <v>0</v>
      </c>
      <c r="BA25" s="175" t="s">
        <v>0</v>
      </c>
      <c r="BB25" s="175" t="s">
        <v>0</v>
      </c>
      <c r="BC25" s="175" t="s">
        <v>0</v>
      </c>
      <c r="BD25" s="175" t="s">
        <v>0</v>
      </c>
      <c r="BE25" s="175" t="s">
        <v>0</v>
      </c>
      <c r="BF25" s="175" t="s">
        <v>0</v>
      </c>
      <c r="BG25" s="175" t="s">
        <v>0</v>
      </c>
      <c r="BH25" s="175" t="s">
        <v>0</v>
      </c>
      <c r="BI25" s="176"/>
    </row>
    <row r="26" spans="1:61" x14ac:dyDescent="0.25">
      <c r="A26" s="22">
        <f t="shared" si="4"/>
        <v>20</v>
      </c>
      <c r="B26" s="214" t="str">
        <f t="shared" si="5"/>
        <v>F0013546310</v>
      </c>
      <c r="C26" s="214" t="str">
        <f t="shared" si="6"/>
        <v>82115-0EA10 K</v>
      </c>
      <c r="D26" s="45" t="str">
        <f>VLOOKUP(B26,'Timing Table'!B:J,9,0)</f>
        <v>C/O</v>
      </c>
      <c r="E26" s="22" t="str">
        <f>VLOOKUP(B26,'Timing Table'!B:H,7,0)</f>
        <v>495D-HV</v>
      </c>
      <c r="F26" s="177" t="s">
        <v>58</v>
      </c>
      <c r="G26" s="178" t="s">
        <v>58</v>
      </c>
      <c r="H26" s="179" t="s">
        <v>58</v>
      </c>
      <c r="I26" s="180" t="s">
        <v>58</v>
      </c>
      <c r="J26" s="180" t="s">
        <v>0</v>
      </c>
      <c r="K26" s="180" t="s">
        <v>0</v>
      </c>
      <c r="L26" s="180" t="s">
        <v>0</v>
      </c>
      <c r="M26" s="180" t="s">
        <v>0</v>
      </c>
      <c r="N26" s="180" t="s">
        <v>0</v>
      </c>
      <c r="O26" s="180" t="s">
        <v>0</v>
      </c>
      <c r="P26" s="180" t="s">
        <v>0</v>
      </c>
      <c r="Q26" s="180" t="s">
        <v>0</v>
      </c>
      <c r="R26" s="180" t="s">
        <v>0</v>
      </c>
      <c r="S26" s="180" t="s">
        <v>0</v>
      </c>
      <c r="T26" s="180" t="s">
        <v>0</v>
      </c>
      <c r="U26" s="180" t="s">
        <v>0</v>
      </c>
      <c r="V26" s="180" t="s">
        <v>0</v>
      </c>
      <c r="W26" s="180" t="s">
        <v>0</v>
      </c>
      <c r="X26" s="180" t="s">
        <v>0</v>
      </c>
      <c r="Y26" s="180" t="s">
        <v>0</v>
      </c>
      <c r="Z26" s="180" t="s">
        <v>0</v>
      </c>
      <c r="AA26" s="180" t="s">
        <v>0</v>
      </c>
      <c r="AB26" s="180" t="s">
        <v>0</v>
      </c>
      <c r="AC26" s="180" t="s">
        <v>0</v>
      </c>
      <c r="AD26" s="180" t="s">
        <v>0</v>
      </c>
      <c r="AE26" s="180" t="s">
        <v>0</v>
      </c>
      <c r="AF26" s="180" t="s">
        <v>0</v>
      </c>
      <c r="AG26" s="180" t="s">
        <v>0</v>
      </c>
      <c r="AH26" s="180" t="s">
        <v>0</v>
      </c>
      <c r="AI26" s="180" t="s">
        <v>0</v>
      </c>
      <c r="AJ26" s="180" t="s">
        <v>0</v>
      </c>
      <c r="AK26" s="180" t="s">
        <v>0</v>
      </c>
      <c r="AL26" s="180" t="s">
        <v>0</v>
      </c>
      <c r="AM26" s="180" t="s">
        <v>0</v>
      </c>
      <c r="AN26" s="180" t="s">
        <v>0</v>
      </c>
      <c r="AO26" s="180" t="s">
        <v>0</v>
      </c>
      <c r="AP26" s="180" t="s">
        <v>0</v>
      </c>
      <c r="AQ26" s="180" t="s">
        <v>0</v>
      </c>
      <c r="AR26" s="180" t="s">
        <v>0</v>
      </c>
      <c r="AS26" s="180" t="s">
        <v>0</v>
      </c>
      <c r="AT26" s="180" t="s">
        <v>0</v>
      </c>
      <c r="AU26" s="180" t="s">
        <v>0</v>
      </c>
      <c r="AV26" s="180" t="s">
        <v>0</v>
      </c>
      <c r="AW26" s="180" t="s">
        <v>0</v>
      </c>
      <c r="AX26" s="180" t="s">
        <v>0</v>
      </c>
      <c r="AY26" s="180" t="s">
        <v>0</v>
      </c>
      <c r="AZ26" s="180" t="s">
        <v>0</v>
      </c>
      <c r="BA26" s="180" t="s">
        <v>0</v>
      </c>
      <c r="BB26" s="180" t="s">
        <v>0</v>
      </c>
      <c r="BC26" s="180" t="s">
        <v>0</v>
      </c>
      <c r="BD26" s="180" t="s">
        <v>0</v>
      </c>
      <c r="BE26" s="180" t="s">
        <v>0</v>
      </c>
      <c r="BF26" s="180" t="s">
        <v>0</v>
      </c>
      <c r="BG26" s="180" t="s">
        <v>0</v>
      </c>
      <c r="BH26" s="180" t="s">
        <v>0</v>
      </c>
      <c r="BI26" s="181"/>
    </row>
    <row r="27" spans="1:61" x14ac:dyDescent="0.25">
      <c r="A27" s="22">
        <f t="shared" si="4"/>
        <v>21</v>
      </c>
      <c r="B27" s="214" t="str">
        <f t="shared" si="5"/>
        <v>F0013546510</v>
      </c>
      <c r="C27" s="214" t="str">
        <f t="shared" si="6"/>
        <v>82115-0E480 K</v>
      </c>
      <c r="D27" s="45" t="str">
        <f>VLOOKUP(B27,'Timing Table'!B:J,9,0)</f>
        <v>C/O</v>
      </c>
      <c r="E27" s="22" t="str">
        <f>VLOOKUP(B27,'Timing Table'!B:H,7,0)</f>
        <v>495D-HV</v>
      </c>
      <c r="F27" s="121" t="s">
        <v>59</v>
      </c>
      <c r="G27" s="146">
        <v>5501044286</v>
      </c>
      <c r="H27" s="121" t="s">
        <v>60</v>
      </c>
      <c r="I27" s="146">
        <v>51</v>
      </c>
      <c r="J27" s="121" t="s">
        <v>61</v>
      </c>
      <c r="K27" s="125">
        <v>1179884</v>
      </c>
      <c r="L27" s="126"/>
      <c r="M27" s="147" t="s">
        <v>62</v>
      </c>
      <c r="N27" s="148"/>
      <c r="O27" s="149">
        <v>46086</v>
      </c>
      <c r="P27" s="121" t="s">
        <v>63</v>
      </c>
      <c r="Q27" s="146">
        <v>4</v>
      </c>
      <c r="R27" s="6" t="s">
        <v>0</v>
      </c>
      <c r="S27" s="7" t="s">
        <v>0</v>
      </c>
      <c r="T27" s="7" t="s">
        <v>0</v>
      </c>
      <c r="U27" s="7" t="s">
        <v>0</v>
      </c>
      <c r="V27" s="7" t="s">
        <v>0</v>
      </c>
      <c r="W27" s="7" t="s">
        <v>0</v>
      </c>
      <c r="X27" s="7" t="s">
        <v>0</v>
      </c>
      <c r="Y27" s="7" t="s">
        <v>0</v>
      </c>
      <c r="Z27" s="7" t="s">
        <v>0</v>
      </c>
      <c r="AA27" s="7" t="s">
        <v>0</v>
      </c>
      <c r="AB27" s="7" t="s">
        <v>0</v>
      </c>
      <c r="AC27" s="7" t="s">
        <v>0</v>
      </c>
      <c r="AD27" s="7" t="s">
        <v>0</v>
      </c>
      <c r="AE27" s="7" t="s">
        <v>0</v>
      </c>
      <c r="AF27" s="7" t="s">
        <v>0</v>
      </c>
      <c r="AG27" s="7" t="s">
        <v>0</v>
      </c>
      <c r="AH27" s="7" t="s">
        <v>0</v>
      </c>
      <c r="AI27" s="7" t="s">
        <v>0</v>
      </c>
      <c r="AJ27" s="7" t="s">
        <v>0</v>
      </c>
      <c r="AK27" s="7" t="s">
        <v>0</v>
      </c>
      <c r="AL27" s="7" t="s">
        <v>0</v>
      </c>
      <c r="AM27" s="7" t="s">
        <v>0</v>
      </c>
      <c r="AN27" s="7" t="s">
        <v>0</v>
      </c>
      <c r="AO27" s="7" t="s">
        <v>0</v>
      </c>
      <c r="AP27" s="7" t="s">
        <v>0</v>
      </c>
      <c r="AQ27" s="7" t="s">
        <v>0</v>
      </c>
      <c r="AR27" s="7" t="s">
        <v>0</v>
      </c>
      <c r="AS27" s="7" t="s">
        <v>0</v>
      </c>
      <c r="AT27" s="7" t="s">
        <v>0</v>
      </c>
      <c r="AU27" s="7" t="s">
        <v>0</v>
      </c>
      <c r="AV27" s="7" t="s">
        <v>0</v>
      </c>
      <c r="AW27" s="7" t="s">
        <v>0</v>
      </c>
      <c r="AX27" s="7" t="s">
        <v>0</v>
      </c>
      <c r="AY27" s="7" t="s">
        <v>0</v>
      </c>
      <c r="AZ27" s="7" t="s">
        <v>0</v>
      </c>
      <c r="BA27" s="7" t="s">
        <v>0</v>
      </c>
      <c r="BB27" s="7" t="s">
        <v>0</v>
      </c>
      <c r="BC27" s="7" t="s">
        <v>0</v>
      </c>
      <c r="BD27" s="7" t="s">
        <v>0</v>
      </c>
      <c r="BE27" s="7" t="s">
        <v>0</v>
      </c>
      <c r="BF27" s="7" t="s">
        <v>0</v>
      </c>
      <c r="BG27" s="7" t="s">
        <v>0</v>
      </c>
      <c r="BH27" s="7" t="s">
        <v>0</v>
      </c>
      <c r="BI27" s="8"/>
    </row>
    <row r="28" spans="1:61" x14ac:dyDescent="0.25">
      <c r="A28" s="22">
        <f t="shared" si="4"/>
        <v>22</v>
      </c>
      <c r="B28" s="214" t="str">
        <f t="shared" si="5"/>
        <v>F0013546510</v>
      </c>
      <c r="C28" s="214" t="str">
        <f t="shared" si="6"/>
        <v>82115-0E480 K</v>
      </c>
      <c r="D28" s="45" t="str">
        <f>VLOOKUP(B28,'Timing Table'!B:J,9,0)</f>
        <v>C/O</v>
      </c>
      <c r="E28" s="22" t="str">
        <f>VLOOKUP(B28,'Timing Table'!B:H,7,0)</f>
        <v>495D-HV</v>
      </c>
      <c r="F28" s="121" t="s">
        <v>64</v>
      </c>
      <c r="G28" s="146" t="s">
        <v>242</v>
      </c>
      <c r="H28" s="121" t="s">
        <v>65</v>
      </c>
      <c r="I28" s="150" t="s">
        <v>263</v>
      </c>
      <c r="J28" s="151"/>
      <c r="K28" s="151"/>
      <c r="L28" s="152"/>
      <c r="M28" s="121" t="s">
        <v>66</v>
      </c>
      <c r="N28" s="146">
        <v>2023</v>
      </c>
      <c r="O28" s="140" t="s">
        <v>67</v>
      </c>
      <c r="P28" s="141"/>
      <c r="Q28" s="153" t="s">
        <v>198</v>
      </c>
      <c r="R28" s="122" t="s">
        <v>0</v>
      </c>
      <c r="S28" s="123" t="s">
        <v>0</v>
      </c>
      <c r="T28" s="123" t="s">
        <v>0</v>
      </c>
      <c r="U28" s="123" t="s">
        <v>0</v>
      </c>
      <c r="V28" s="123" t="s">
        <v>0</v>
      </c>
      <c r="W28" s="123" t="s">
        <v>0</v>
      </c>
      <c r="X28" s="123" t="s">
        <v>0</v>
      </c>
      <c r="Y28" s="123" t="s">
        <v>0</v>
      </c>
      <c r="Z28" s="123" t="s">
        <v>0</v>
      </c>
      <c r="AA28" s="123" t="s">
        <v>0</v>
      </c>
      <c r="AB28" s="123" t="s">
        <v>0</v>
      </c>
      <c r="AC28" s="123" t="s">
        <v>0</v>
      </c>
      <c r="AD28" s="123" t="s">
        <v>0</v>
      </c>
      <c r="AE28" s="123" t="s">
        <v>0</v>
      </c>
      <c r="AF28" s="123" t="s">
        <v>0</v>
      </c>
      <c r="AG28" s="123" t="s">
        <v>0</v>
      </c>
      <c r="AH28" s="123" t="s">
        <v>0</v>
      </c>
      <c r="AI28" s="123" t="s">
        <v>0</v>
      </c>
      <c r="AJ28" s="123" t="s">
        <v>0</v>
      </c>
      <c r="AK28" s="123" t="s">
        <v>0</v>
      </c>
      <c r="AL28" s="123" t="s">
        <v>0</v>
      </c>
      <c r="AM28" s="123" t="s">
        <v>0</v>
      </c>
      <c r="AN28" s="123" t="s">
        <v>0</v>
      </c>
      <c r="AO28" s="123" t="s">
        <v>0</v>
      </c>
      <c r="AP28" s="123" t="s">
        <v>0</v>
      </c>
      <c r="AQ28" s="123" t="s">
        <v>0</v>
      </c>
      <c r="AR28" s="123" t="s">
        <v>0</v>
      </c>
      <c r="AS28" s="123" t="s">
        <v>0</v>
      </c>
      <c r="AT28" s="123" t="s">
        <v>0</v>
      </c>
      <c r="AU28" s="123" t="s">
        <v>0</v>
      </c>
      <c r="AV28" s="123" t="s">
        <v>0</v>
      </c>
      <c r="AW28" s="123" t="s">
        <v>0</v>
      </c>
      <c r="AX28" s="123" t="s">
        <v>0</v>
      </c>
      <c r="AY28" s="123" t="s">
        <v>0</v>
      </c>
      <c r="AZ28" s="123" t="s">
        <v>0</v>
      </c>
      <c r="BA28" s="123" t="s">
        <v>0</v>
      </c>
      <c r="BB28" s="123" t="s">
        <v>0</v>
      </c>
      <c r="BC28" s="123" t="s">
        <v>0</v>
      </c>
      <c r="BD28" s="123" t="s">
        <v>0</v>
      </c>
      <c r="BE28" s="123" t="s">
        <v>0</v>
      </c>
      <c r="BF28" s="123" t="s">
        <v>0</v>
      </c>
      <c r="BG28" s="123" t="s">
        <v>0</v>
      </c>
      <c r="BH28" s="123" t="s">
        <v>0</v>
      </c>
      <c r="BI28" s="124"/>
    </row>
    <row r="29" spans="1:61" x14ac:dyDescent="0.25">
      <c r="A29" s="22">
        <f t="shared" si="4"/>
        <v>23</v>
      </c>
      <c r="B29" s="214" t="str">
        <f t="shared" si="5"/>
        <v>F0013546510</v>
      </c>
      <c r="C29" s="214" t="str">
        <f t="shared" si="6"/>
        <v>82115-0E480 K</v>
      </c>
      <c r="D29" s="45" t="str">
        <f>VLOOKUP(B29,'Timing Table'!B:J,9,0)</f>
        <v>C/O</v>
      </c>
      <c r="E29" s="22" t="str">
        <f>VLOOKUP(B29,'Timing Table'!B:H,7,0)</f>
        <v>495D-HV</v>
      </c>
      <c r="F29" s="121" t="s">
        <v>68</v>
      </c>
      <c r="G29" s="146" t="s">
        <v>331</v>
      </c>
      <c r="H29" s="121" t="s">
        <v>69</v>
      </c>
      <c r="I29" s="154" t="s">
        <v>58</v>
      </c>
      <c r="J29" s="155" t="s">
        <v>0</v>
      </c>
      <c r="K29" s="156" t="s">
        <v>0</v>
      </c>
      <c r="L29" s="157" t="s">
        <v>0</v>
      </c>
      <c r="M29" s="134" t="s">
        <v>0</v>
      </c>
      <c r="N29" s="134" t="s">
        <v>0</v>
      </c>
      <c r="O29" s="134" t="s">
        <v>0</v>
      </c>
      <c r="P29" s="134" t="s">
        <v>0</v>
      </c>
      <c r="Q29" s="134" t="s">
        <v>1</v>
      </c>
      <c r="R29" s="134" t="s">
        <v>2</v>
      </c>
      <c r="S29" s="134" t="s">
        <v>0</v>
      </c>
      <c r="T29" s="134" t="s">
        <v>0</v>
      </c>
      <c r="U29" s="134" t="s">
        <v>0</v>
      </c>
      <c r="V29" s="134" t="s">
        <v>0</v>
      </c>
      <c r="W29" s="134" t="s">
        <v>0</v>
      </c>
      <c r="X29" s="134" t="s">
        <v>0</v>
      </c>
      <c r="Y29" s="134" t="s">
        <v>0</v>
      </c>
      <c r="Z29" s="134" t="s">
        <v>3</v>
      </c>
      <c r="AA29" s="134" t="s">
        <v>0</v>
      </c>
      <c r="AB29" s="134" t="s">
        <v>0</v>
      </c>
      <c r="AC29" s="134" t="s">
        <v>0</v>
      </c>
      <c r="AD29" s="134" t="s">
        <v>0</v>
      </c>
      <c r="AE29" s="134" t="s">
        <v>0</v>
      </c>
      <c r="AF29" s="134" t="s">
        <v>0</v>
      </c>
      <c r="AG29" s="134" t="s">
        <v>0</v>
      </c>
      <c r="AH29" s="134" t="s">
        <v>0</v>
      </c>
      <c r="AI29" s="134" t="s">
        <v>0</v>
      </c>
      <c r="AJ29" s="134" t="s">
        <v>0</v>
      </c>
      <c r="AK29" s="134" t="s">
        <v>0</v>
      </c>
      <c r="AL29" s="134" t="s">
        <v>0</v>
      </c>
      <c r="AM29" s="134" t="s">
        <v>0</v>
      </c>
      <c r="AN29" s="134" t="s">
        <v>0</v>
      </c>
      <c r="AO29" s="134" t="s">
        <v>0</v>
      </c>
      <c r="AP29" s="134" t="s">
        <v>0</v>
      </c>
      <c r="AQ29" s="134" t="s">
        <v>0</v>
      </c>
      <c r="AR29" s="134" t="s">
        <v>0</v>
      </c>
      <c r="AS29" s="134" t="s">
        <v>0</v>
      </c>
      <c r="AT29" s="134" t="s">
        <v>0</v>
      </c>
      <c r="AU29" s="134" t="s">
        <v>0</v>
      </c>
      <c r="AV29" s="134" t="s">
        <v>0</v>
      </c>
      <c r="AW29" s="134" t="s">
        <v>0</v>
      </c>
      <c r="AX29" s="134" t="s">
        <v>0</v>
      </c>
      <c r="AY29" s="134" t="s">
        <v>0</v>
      </c>
      <c r="AZ29" s="134" t="s">
        <v>0</v>
      </c>
      <c r="BA29" s="134" t="s">
        <v>0</v>
      </c>
      <c r="BB29" s="134" t="s">
        <v>0</v>
      </c>
      <c r="BC29" s="134" t="s">
        <v>0</v>
      </c>
      <c r="BD29" s="134" t="s">
        <v>0</v>
      </c>
      <c r="BE29" s="134" t="s">
        <v>0</v>
      </c>
      <c r="BF29" s="134" t="s">
        <v>0</v>
      </c>
      <c r="BG29" s="134" t="s">
        <v>0</v>
      </c>
      <c r="BH29" s="134" t="s">
        <v>0</v>
      </c>
      <c r="BI29" s="135" t="s">
        <v>4</v>
      </c>
    </row>
    <row r="30" spans="1:61" x14ac:dyDescent="0.25">
      <c r="A30" s="22">
        <f t="shared" si="4"/>
        <v>24</v>
      </c>
      <c r="B30" s="214" t="str">
        <f t="shared" si="5"/>
        <v>F0013546510</v>
      </c>
      <c r="C30" s="214" t="str">
        <f t="shared" si="6"/>
        <v>82115-0E480 K</v>
      </c>
      <c r="D30" s="45" t="str">
        <f>VLOOKUP(B30,'Timing Table'!B:J,9,0)</f>
        <v>C/O</v>
      </c>
      <c r="E30" s="22" t="str">
        <f>VLOOKUP(B30,'Timing Table'!B:H,7,0)</f>
        <v>495D-HV</v>
      </c>
      <c r="F30" s="121" t="s">
        <v>70</v>
      </c>
      <c r="G30" s="146">
        <v>7576</v>
      </c>
      <c r="H30" s="158" t="s">
        <v>4</v>
      </c>
      <c r="I30" s="159" t="s">
        <v>71</v>
      </c>
      <c r="J30" s="13">
        <v>46041</v>
      </c>
      <c r="K30" s="14">
        <v>46048</v>
      </c>
      <c r="L30" s="14">
        <v>46055</v>
      </c>
      <c r="M30" s="14">
        <v>46062</v>
      </c>
      <c r="N30" s="14">
        <v>46069</v>
      </c>
      <c r="O30" s="14">
        <v>46076</v>
      </c>
      <c r="P30" s="14">
        <v>46083</v>
      </c>
      <c r="Q30" s="14">
        <v>46090</v>
      </c>
      <c r="R30" s="14">
        <v>46097</v>
      </c>
      <c r="S30" s="14">
        <v>46104</v>
      </c>
      <c r="T30" s="14">
        <v>46111</v>
      </c>
      <c r="U30" s="14">
        <v>46118</v>
      </c>
      <c r="V30" s="14">
        <v>46125</v>
      </c>
      <c r="W30" s="14">
        <v>46132</v>
      </c>
      <c r="X30" s="14">
        <v>46139</v>
      </c>
      <c r="Y30" s="14">
        <v>46146</v>
      </c>
      <c r="Z30" s="14">
        <v>46153</v>
      </c>
      <c r="AA30" s="14">
        <v>46160</v>
      </c>
      <c r="AB30" s="14">
        <v>46167</v>
      </c>
      <c r="AC30" s="14">
        <v>46174</v>
      </c>
      <c r="AD30" s="14">
        <v>46181</v>
      </c>
      <c r="AE30" s="14">
        <v>46188</v>
      </c>
      <c r="AF30" s="14">
        <v>46195</v>
      </c>
      <c r="AG30" s="14">
        <v>46202</v>
      </c>
      <c r="AH30" s="14">
        <v>46209</v>
      </c>
      <c r="AI30" s="14">
        <v>46216</v>
      </c>
      <c r="AJ30" s="14">
        <v>46223</v>
      </c>
      <c r="AK30" s="14">
        <v>46230</v>
      </c>
      <c r="AL30" s="14">
        <v>46237</v>
      </c>
      <c r="AM30" s="14">
        <v>46244</v>
      </c>
      <c r="AN30" s="14">
        <v>46251</v>
      </c>
      <c r="AO30" s="14">
        <v>46258</v>
      </c>
      <c r="AP30" s="14">
        <v>46265</v>
      </c>
      <c r="AQ30" s="14">
        <v>46272</v>
      </c>
      <c r="AR30" s="14">
        <v>46279</v>
      </c>
      <c r="AS30" s="14">
        <v>46286</v>
      </c>
      <c r="AT30" s="14">
        <v>46293</v>
      </c>
      <c r="AU30" s="14">
        <v>46300</v>
      </c>
      <c r="AV30" s="14">
        <v>46307</v>
      </c>
      <c r="AW30" s="14">
        <v>46314</v>
      </c>
      <c r="AX30" s="14">
        <v>46321</v>
      </c>
      <c r="AY30" s="14">
        <v>46328</v>
      </c>
      <c r="AZ30" s="14">
        <v>46335</v>
      </c>
      <c r="BA30" s="14">
        <v>46342</v>
      </c>
      <c r="BB30" s="14">
        <v>46349</v>
      </c>
      <c r="BC30" s="14">
        <v>46356</v>
      </c>
      <c r="BD30" s="14">
        <v>46363</v>
      </c>
      <c r="BE30" s="14">
        <v>46370</v>
      </c>
      <c r="BF30" s="14">
        <v>46377</v>
      </c>
      <c r="BG30" s="14">
        <v>46384</v>
      </c>
      <c r="BH30" s="14">
        <v>46391</v>
      </c>
      <c r="BI30" s="15">
        <v>46398</v>
      </c>
    </row>
    <row r="31" spans="1:61" x14ac:dyDescent="0.25">
      <c r="A31" s="22">
        <f t="shared" si="4"/>
        <v>25</v>
      </c>
      <c r="B31" s="214" t="str">
        <f t="shared" si="5"/>
        <v>F0013546510</v>
      </c>
      <c r="C31" s="214" t="str">
        <f t="shared" si="6"/>
        <v>82115-0E480 K</v>
      </c>
      <c r="D31" s="45" t="str">
        <f>VLOOKUP(B31,'Timing Table'!B:J,9,0)</f>
        <v>C/O</v>
      </c>
      <c r="E31" s="22" t="str">
        <f>VLOOKUP(B31,'Timing Table'!B:H,7,0)</f>
        <v>495D-HV</v>
      </c>
      <c r="F31" s="121" t="s">
        <v>72</v>
      </c>
      <c r="G31" s="146">
        <v>9836</v>
      </c>
      <c r="H31" s="5" t="s">
        <v>58</v>
      </c>
      <c r="I31" s="11" t="s">
        <v>83</v>
      </c>
      <c r="J31" s="16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17"/>
    </row>
    <row r="32" spans="1:61" x14ac:dyDescent="0.25">
      <c r="A32" s="22">
        <f t="shared" si="4"/>
        <v>26</v>
      </c>
      <c r="B32" s="214" t="str">
        <f t="shared" si="5"/>
        <v>F0013546510</v>
      </c>
      <c r="C32" s="214" t="str">
        <f t="shared" si="6"/>
        <v>82115-0E480 K</v>
      </c>
      <c r="D32" s="45" t="str">
        <f>VLOOKUP(B32,'Timing Table'!B:J,9,0)</f>
        <v>C/O</v>
      </c>
      <c r="E32" s="22" t="str">
        <f>VLOOKUP(B32,'Timing Table'!B:H,7,0)</f>
        <v>495D-HV</v>
      </c>
      <c r="F32" s="121" t="s">
        <v>73</v>
      </c>
      <c r="G32" s="160" t="s">
        <v>311</v>
      </c>
      <c r="H32" s="9" t="s">
        <v>86</v>
      </c>
      <c r="I32" s="11" t="s">
        <v>74</v>
      </c>
      <c r="J32" s="117">
        <v>788</v>
      </c>
      <c r="K32" s="50">
        <v>348</v>
      </c>
      <c r="L32" s="50">
        <v>348</v>
      </c>
      <c r="M32" s="50">
        <v>348</v>
      </c>
      <c r="N32" s="50">
        <v>348</v>
      </c>
      <c r="O32" s="50">
        <v>348</v>
      </c>
      <c r="P32" s="50">
        <v>520</v>
      </c>
      <c r="Q32" s="50">
        <v>524</v>
      </c>
      <c r="R32" s="50">
        <v>0</v>
      </c>
      <c r="S32" s="50">
        <v>596</v>
      </c>
      <c r="T32" s="50">
        <v>248</v>
      </c>
      <c r="U32" s="50">
        <v>248</v>
      </c>
      <c r="V32" s="50">
        <v>248</v>
      </c>
      <c r="W32" s="50">
        <v>248</v>
      </c>
      <c r="X32" s="50">
        <v>248</v>
      </c>
      <c r="Y32" s="50">
        <v>248</v>
      </c>
      <c r="Z32" s="50">
        <v>248</v>
      </c>
      <c r="AA32" s="50">
        <v>248</v>
      </c>
      <c r="AB32" s="50">
        <v>248</v>
      </c>
      <c r="AC32" s="50">
        <v>248</v>
      </c>
      <c r="AD32" s="50">
        <v>248</v>
      </c>
      <c r="AE32" s="50">
        <v>248</v>
      </c>
      <c r="AF32" s="50">
        <v>248</v>
      </c>
      <c r="AG32" s="50">
        <v>248</v>
      </c>
      <c r="AH32" s="50">
        <v>248</v>
      </c>
      <c r="AI32" s="50">
        <v>248</v>
      </c>
      <c r="AJ32" s="50">
        <v>248</v>
      </c>
      <c r="AK32" s="50">
        <v>248</v>
      </c>
      <c r="AL32" s="50">
        <v>248</v>
      </c>
      <c r="AM32" s="50">
        <v>248</v>
      </c>
      <c r="AN32" s="50">
        <v>248</v>
      </c>
      <c r="AO32" s="50">
        <v>248</v>
      </c>
      <c r="AP32" s="50">
        <v>248</v>
      </c>
      <c r="AQ32" s="50">
        <v>248</v>
      </c>
      <c r="AR32" s="50">
        <v>248</v>
      </c>
      <c r="AS32" s="50">
        <v>248</v>
      </c>
      <c r="AT32" s="50">
        <v>248</v>
      </c>
      <c r="AU32" s="50">
        <v>248</v>
      </c>
      <c r="AV32" s="50">
        <v>248</v>
      </c>
      <c r="AW32" s="50">
        <v>248</v>
      </c>
      <c r="AX32" s="50">
        <v>248</v>
      </c>
      <c r="AY32" s="50">
        <v>248</v>
      </c>
      <c r="AZ32" s="50">
        <v>248</v>
      </c>
      <c r="BA32" s="50">
        <v>248</v>
      </c>
      <c r="BB32" s="50">
        <v>248</v>
      </c>
      <c r="BC32" s="50">
        <v>248</v>
      </c>
      <c r="BD32" s="50">
        <v>248</v>
      </c>
      <c r="BE32" s="50">
        <v>248</v>
      </c>
      <c r="BF32" s="50">
        <v>248</v>
      </c>
      <c r="BG32" s="50">
        <v>248</v>
      </c>
      <c r="BH32" s="50">
        <v>248</v>
      </c>
      <c r="BI32" s="50">
        <v>248</v>
      </c>
    </row>
    <row r="33" spans="1:61" x14ac:dyDescent="0.25">
      <c r="A33" s="22">
        <f t="shared" si="4"/>
        <v>27</v>
      </c>
      <c r="B33" s="214" t="str">
        <f t="shared" si="5"/>
        <v>F0013546510</v>
      </c>
      <c r="C33" s="214" t="str">
        <f t="shared" si="6"/>
        <v>82115-0E480 K</v>
      </c>
      <c r="D33" s="45" t="str">
        <f>VLOOKUP(B33,'Timing Table'!B:J,9,0)</f>
        <v>C/O</v>
      </c>
      <c r="E33" s="22" t="str">
        <f>VLOOKUP(B33,'Timing Table'!B:H,7,0)</f>
        <v>495D-HV</v>
      </c>
      <c r="F33" s="121" t="s">
        <v>75</v>
      </c>
      <c r="G33" s="146">
        <v>82115</v>
      </c>
      <c r="H33" s="10" t="s">
        <v>86</v>
      </c>
      <c r="I33" s="12" t="s">
        <v>76</v>
      </c>
      <c r="J33" s="161">
        <v>4444</v>
      </c>
      <c r="K33" s="162">
        <v>4792</v>
      </c>
      <c r="L33" s="162">
        <v>5140</v>
      </c>
      <c r="M33" s="162">
        <v>5488</v>
      </c>
      <c r="N33" s="162">
        <v>5836</v>
      </c>
      <c r="O33" s="162">
        <v>6184</v>
      </c>
      <c r="P33" s="162">
        <v>6704</v>
      </c>
      <c r="Q33" s="162">
        <v>7228</v>
      </c>
      <c r="R33" s="162">
        <v>7228</v>
      </c>
      <c r="S33" s="162">
        <v>7824</v>
      </c>
      <c r="T33" s="162">
        <v>8072</v>
      </c>
      <c r="U33" s="162">
        <v>8320</v>
      </c>
      <c r="V33" s="162">
        <v>8568</v>
      </c>
      <c r="W33" s="162">
        <v>8816</v>
      </c>
      <c r="X33" s="162">
        <v>9064</v>
      </c>
      <c r="Y33" s="162">
        <v>9312</v>
      </c>
      <c r="Z33" s="162">
        <v>9560</v>
      </c>
      <c r="AA33" s="162">
        <v>9808</v>
      </c>
      <c r="AB33" s="162">
        <v>10056</v>
      </c>
      <c r="AC33" s="162">
        <v>10304</v>
      </c>
      <c r="AD33" s="162">
        <v>10552</v>
      </c>
      <c r="AE33" s="162">
        <v>10800</v>
      </c>
      <c r="AF33" s="162">
        <v>11048</v>
      </c>
      <c r="AG33" s="162">
        <v>11296</v>
      </c>
      <c r="AH33" s="162">
        <v>11544</v>
      </c>
      <c r="AI33" s="162">
        <v>11792</v>
      </c>
      <c r="AJ33" s="162">
        <v>12040</v>
      </c>
      <c r="AK33" s="162">
        <v>12288</v>
      </c>
      <c r="AL33" s="162">
        <v>12536</v>
      </c>
      <c r="AM33" s="162">
        <v>12784</v>
      </c>
      <c r="AN33" s="162">
        <v>13032</v>
      </c>
      <c r="AO33" s="162">
        <v>13280</v>
      </c>
      <c r="AP33" s="162">
        <v>13528</v>
      </c>
      <c r="AQ33" s="162">
        <v>13776</v>
      </c>
      <c r="AR33" s="162">
        <v>14024</v>
      </c>
      <c r="AS33" s="162">
        <v>14272</v>
      </c>
      <c r="AT33" s="162">
        <v>14520</v>
      </c>
      <c r="AU33" s="162">
        <v>14768</v>
      </c>
      <c r="AV33" s="162">
        <v>15016</v>
      </c>
      <c r="AW33" s="162">
        <v>15264</v>
      </c>
      <c r="AX33" s="162">
        <v>15512</v>
      </c>
      <c r="AY33" s="162">
        <v>15760</v>
      </c>
      <c r="AZ33" s="162">
        <v>16008</v>
      </c>
      <c r="BA33" s="162">
        <v>16256</v>
      </c>
      <c r="BB33" s="162">
        <v>16504</v>
      </c>
      <c r="BC33" s="162">
        <v>16752</v>
      </c>
      <c r="BD33" s="162">
        <v>17000</v>
      </c>
      <c r="BE33" s="162">
        <v>17248</v>
      </c>
      <c r="BF33" s="162">
        <v>17496</v>
      </c>
      <c r="BG33" s="162">
        <v>17744</v>
      </c>
      <c r="BH33" s="162">
        <v>17992</v>
      </c>
      <c r="BI33" s="162">
        <v>18240</v>
      </c>
    </row>
    <row r="34" spans="1:61" x14ac:dyDescent="0.25">
      <c r="A34" s="22">
        <f t="shared" si="4"/>
        <v>28</v>
      </c>
      <c r="B34" s="214" t="str">
        <f t="shared" si="5"/>
        <v>F0013546510</v>
      </c>
      <c r="C34" s="214" t="str">
        <f t="shared" si="6"/>
        <v>82115-0E480 K</v>
      </c>
      <c r="D34" s="45" t="str">
        <f>VLOOKUP(B34,'Timing Table'!B:J,9,0)</f>
        <v>C/O</v>
      </c>
      <c r="E34" s="22" t="str">
        <f>VLOOKUP(B34,'Timing Table'!B:H,7,0)</f>
        <v>495D-HV</v>
      </c>
      <c r="F34" s="164" t="s">
        <v>77</v>
      </c>
      <c r="G34" s="165">
        <v>3656</v>
      </c>
      <c r="H34" s="166" t="s">
        <v>78</v>
      </c>
      <c r="I34" s="167"/>
      <c r="J34" s="168" t="s">
        <v>297</v>
      </c>
      <c r="K34" s="169"/>
      <c r="L34" s="170" t="s">
        <v>0</v>
      </c>
      <c r="M34" s="170" t="s">
        <v>0</v>
      </c>
      <c r="N34" s="170" t="s">
        <v>0</v>
      </c>
      <c r="O34" s="170" t="s">
        <v>0</v>
      </c>
      <c r="P34" s="170" t="s">
        <v>0</v>
      </c>
      <c r="Q34" s="170">
        <v>7.6923076923076927E-3</v>
      </c>
      <c r="R34" s="170" t="s">
        <v>0</v>
      </c>
      <c r="S34" s="170" t="s">
        <v>0</v>
      </c>
      <c r="T34" s="170" t="s">
        <v>0</v>
      </c>
      <c r="U34" s="170" t="s">
        <v>0</v>
      </c>
      <c r="V34" s="170" t="s">
        <v>0</v>
      </c>
      <c r="W34" s="170" t="s">
        <v>0</v>
      </c>
      <c r="X34" s="170" t="s">
        <v>0</v>
      </c>
      <c r="Y34" s="170" t="s">
        <v>0</v>
      </c>
      <c r="Z34" s="170" t="s">
        <v>0</v>
      </c>
      <c r="AA34" s="170" t="s">
        <v>0</v>
      </c>
      <c r="AB34" s="170" t="s">
        <v>0</v>
      </c>
      <c r="AC34" s="170" t="s">
        <v>0</v>
      </c>
      <c r="AD34" s="170" t="s">
        <v>0</v>
      </c>
      <c r="AE34" s="170" t="s">
        <v>0</v>
      </c>
      <c r="AF34" s="170" t="s">
        <v>0</v>
      </c>
      <c r="AG34" s="170" t="s">
        <v>0</v>
      </c>
      <c r="AH34" s="170" t="s">
        <v>0</v>
      </c>
      <c r="AI34" s="170" t="s">
        <v>0</v>
      </c>
      <c r="AJ34" s="170" t="s">
        <v>0</v>
      </c>
      <c r="AK34" s="170" t="s">
        <v>0</v>
      </c>
      <c r="AL34" s="170" t="s">
        <v>0</v>
      </c>
      <c r="AM34" s="170" t="s">
        <v>0</v>
      </c>
      <c r="AN34" s="170" t="s">
        <v>0</v>
      </c>
      <c r="AO34" s="170" t="s">
        <v>0</v>
      </c>
      <c r="AP34" s="170" t="s">
        <v>0</v>
      </c>
      <c r="AQ34" s="170" t="s">
        <v>0</v>
      </c>
      <c r="AR34" s="170" t="s">
        <v>0</v>
      </c>
      <c r="AS34" s="170" t="s">
        <v>0</v>
      </c>
      <c r="AT34" s="170" t="s">
        <v>0</v>
      </c>
      <c r="AU34" s="170" t="s">
        <v>0</v>
      </c>
      <c r="AV34" s="170" t="s">
        <v>0</v>
      </c>
      <c r="AW34" s="170" t="s">
        <v>0</v>
      </c>
      <c r="AX34" s="170" t="s">
        <v>0</v>
      </c>
      <c r="AY34" s="170" t="s">
        <v>0</v>
      </c>
      <c r="AZ34" s="170" t="s">
        <v>0</v>
      </c>
      <c r="BA34" s="170" t="s">
        <v>0</v>
      </c>
      <c r="BB34" s="170" t="s">
        <v>0</v>
      </c>
      <c r="BC34" s="170" t="s">
        <v>0</v>
      </c>
      <c r="BD34" s="170" t="s">
        <v>0</v>
      </c>
      <c r="BE34" s="170" t="s">
        <v>0</v>
      </c>
      <c r="BF34" s="170" t="s">
        <v>0</v>
      </c>
      <c r="BG34" s="170" t="s">
        <v>0</v>
      </c>
      <c r="BH34" s="170" t="s">
        <v>0</v>
      </c>
      <c r="BI34" s="171"/>
    </row>
    <row r="35" spans="1:61" x14ac:dyDescent="0.25">
      <c r="A35" s="22">
        <f t="shared" si="4"/>
        <v>29</v>
      </c>
      <c r="B35" s="214" t="str">
        <f t="shared" si="5"/>
        <v>F0013546510</v>
      </c>
      <c r="C35" s="214" t="str">
        <f>IF(F35=$F$7,#REF!,C34)</f>
        <v>82115-0E480 K</v>
      </c>
      <c r="D35" s="45" t="str">
        <f>VLOOKUP(B35,'Timing Table'!B:J,9,0)</f>
        <v>C/O</v>
      </c>
      <c r="E35" s="22" t="str">
        <f>VLOOKUP(B35,'Timing Table'!B:H,7,0)</f>
        <v>495D-HV</v>
      </c>
      <c r="F35" s="172" t="s">
        <v>79</v>
      </c>
      <c r="G35" s="173" t="s">
        <v>58</v>
      </c>
      <c r="H35" s="174" t="s">
        <v>58</v>
      </c>
      <c r="I35" s="175" t="s">
        <v>58</v>
      </c>
      <c r="J35" s="175" t="s">
        <v>0</v>
      </c>
      <c r="K35" s="175" t="s">
        <v>0</v>
      </c>
      <c r="L35" s="175" t="s">
        <v>0</v>
      </c>
      <c r="M35" s="175" t="s">
        <v>0</v>
      </c>
      <c r="N35" s="175" t="s">
        <v>0</v>
      </c>
      <c r="O35" s="175" t="s">
        <v>0</v>
      </c>
      <c r="P35" s="175" t="s">
        <v>0</v>
      </c>
      <c r="Q35" s="175" t="s">
        <v>312</v>
      </c>
      <c r="R35" s="175"/>
      <c r="S35" s="175" t="s">
        <v>0</v>
      </c>
      <c r="T35" s="175" t="s">
        <v>0</v>
      </c>
      <c r="U35" s="175" t="s">
        <v>0</v>
      </c>
      <c r="V35" s="175" t="s">
        <v>0</v>
      </c>
      <c r="W35" s="175" t="s">
        <v>0</v>
      </c>
      <c r="X35" s="175" t="s">
        <v>0</v>
      </c>
      <c r="Y35" s="175" t="s">
        <v>0</v>
      </c>
      <c r="Z35" s="175" t="s">
        <v>0</v>
      </c>
      <c r="AA35" s="175" t="s">
        <v>0</v>
      </c>
      <c r="AB35" s="175" t="s">
        <v>0</v>
      </c>
      <c r="AC35" s="175" t="s">
        <v>0</v>
      </c>
      <c r="AD35" s="175" t="s">
        <v>0</v>
      </c>
      <c r="AE35" s="175" t="s">
        <v>0</v>
      </c>
      <c r="AF35" s="175" t="s">
        <v>0</v>
      </c>
      <c r="AG35" s="175" t="s">
        <v>0</v>
      </c>
      <c r="AH35" s="175" t="s">
        <v>0</v>
      </c>
      <c r="AI35" s="175" t="s">
        <v>0</v>
      </c>
      <c r="AJ35" s="175" t="s">
        <v>0</v>
      </c>
      <c r="AK35" s="175" t="s">
        <v>0</v>
      </c>
      <c r="AL35" s="175" t="s">
        <v>0</v>
      </c>
      <c r="AM35" s="175" t="s">
        <v>0</v>
      </c>
      <c r="AN35" s="175" t="s">
        <v>0</v>
      </c>
      <c r="AO35" s="175" t="s">
        <v>0</v>
      </c>
      <c r="AP35" s="175" t="s">
        <v>0</v>
      </c>
      <c r="AQ35" s="175" t="s">
        <v>0</v>
      </c>
      <c r="AR35" s="175" t="s">
        <v>0</v>
      </c>
      <c r="AS35" s="175" t="s">
        <v>0</v>
      </c>
      <c r="AT35" s="175" t="s">
        <v>0</v>
      </c>
      <c r="AU35" s="175" t="s">
        <v>0</v>
      </c>
      <c r="AV35" s="175" t="s">
        <v>0</v>
      </c>
      <c r="AW35" s="175" t="s">
        <v>0</v>
      </c>
      <c r="AX35" s="175" t="s">
        <v>0</v>
      </c>
      <c r="AY35" s="175" t="s">
        <v>0</v>
      </c>
      <c r="AZ35" s="175" t="s">
        <v>0</v>
      </c>
      <c r="BA35" s="175" t="s">
        <v>0</v>
      </c>
      <c r="BB35" s="175" t="s">
        <v>0</v>
      </c>
      <c r="BC35" s="175" t="s">
        <v>0</v>
      </c>
      <c r="BD35" s="175" t="s">
        <v>0</v>
      </c>
      <c r="BE35" s="175" t="s">
        <v>0</v>
      </c>
      <c r="BF35" s="175" t="s">
        <v>0</v>
      </c>
      <c r="BG35" s="175" t="s">
        <v>0</v>
      </c>
      <c r="BH35" s="175" t="s">
        <v>0</v>
      </c>
      <c r="BI35" s="176"/>
    </row>
    <row r="36" spans="1:61" x14ac:dyDescent="0.25">
      <c r="A36" s="22">
        <f t="shared" si="4"/>
        <v>30</v>
      </c>
      <c r="B36" s="214" t="str">
        <f>IF(F36=$F$7,#REF!,B35)</f>
        <v>F0013546510</v>
      </c>
      <c r="C36" s="214" t="str">
        <f>IF(F36=$F$7,#REF!,C35)</f>
        <v>82115-0E480 K</v>
      </c>
      <c r="D36" s="45" t="str">
        <f>VLOOKUP(B36,'Timing Table'!B:J,9,0)</f>
        <v>C/O</v>
      </c>
      <c r="E36" s="22" t="str">
        <f>VLOOKUP(B36,'Timing Table'!B:H,7,0)</f>
        <v>495D-HV</v>
      </c>
      <c r="F36" s="177" t="s">
        <v>58</v>
      </c>
      <c r="G36" s="178" t="s">
        <v>58</v>
      </c>
      <c r="H36" s="179" t="s">
        <v>58</v>
      </c>
      <c r="I36" s="180" t="s">
        <v>58</v>
      </c>
      <c r="J36" s="180" t="s">
        <v>0</v>
      </c>
      <c r="K36" s="180" t="s">
        <v>0</v>
      </c>
      <c r="L36" s="180" t="s">
        <v>0</v>
      </c>
      <c r="M36" s="180" t="s">
        <v>0</v>
      </c>
      <c r="N36" s="180" t="s">
        <v>0</v>
      </c>
      <c r="O36" s="180" t="s">
        <v>0</v>
      </c>
      <c r="P36" s="180" t="s">
        <v>0</v>
      </c>
      <c r="Q36" s="180" t="s">
        <v>0</v>
      </c>
      <c r="R36" s="180" t="s">
        <v>0</v>
      </c>
      <c r="S36" s="180" t="s">
        <v>0</v>
      </c>
      <c r="T36" s="180" t="s">
        <v>0</v>
      </c>
      <c r="U36" s="180" t="s">
        <v>0</v>
      </c>
      <c r="V36" s="180" t="s">
        <v>0</v>
      </c>
      <c r="W36" s="180" t="s">
        <v>0</v>
      </c>
      <c r="X36" s="180" t="s">
        <v>0</v>
      </c>
      <c r="Y36" s="180" t="s">
        <v>0</v>
      </c>
      <c r="Z36" s="180" t="s">
        <v>0</v>
      </c>
      <c r="AA36" s="180" t="s">
        <v>0</v>
      </c>
      <c r="AB36" s="180" t="s">
        <v>0</v>
      </c>
      <c r="AC36" s="180" t="s">
        <v>0</v>
      </c>
      <c r="AD36" s="180" t="s">
        <v>0</v>
      </c>
      <c r="AE36" s="180" t="s">
        <v>0</v>
      </c>
      <c r="AF36" s="180" t="s">
        <v>0</v>
      </c>
      <c r="AG36" s="180" t="s">
        <v>0</v>
      </c>
      <c r="AH36" s="180" t="s">
        <v>0</v>
      </c>
      <c r="AI36" s="180" t="s">
        <v>0</v>
      </c>
      <c r="AJ36" s="180" t="s">
        <v>0</v>
      </c>
      <c r="AK36" s="180" t="s">
        <v>0</v>
      </c>
      <c r="AL36" s="180" t="s">
        <v>0</v>
      </c>
      <c r="AM36" s="180" t="s">
        <v>0</v>
      </c>
      <c r="AN36" s="180" t="s">
        <v>0</v>
      </c>
      <c r="AO36" s="180" t="s">
        <v>0</v>
      </c>
      <c r="AP36" s="180" t="s">
        <v>0</v>
      </c>
      <c r="AQ36" s="180" t="s">
        <v>0</v>
      </c>
      <c r="AR36" s="180" t="s">
        <v>0</v>
      </c>
      <c r="AS36" s="180" t="s">
        <v>0</v>
      </c>
      <c r="AT36" s="180" t="s">
        <v>0</v>
      </c>
      <c r="AU36" s="180" t="s">
        <v>0</v>
      </c>
      <c r="AV36" s="180" t="s">
        <v>0</v>
      </c>
      <c r="AW36" s="180" t="s">
        <v>0</v>
      </c>
      <c r="AX36" s="180" t="s">
        <v>0</v>
      </c>
      <c r="AY36" s="180" t="s">
        <v>0</v>
      </c>
      <c r="AZ36" s="180" t="s">
        <v>0</v>
      </c>
      <c r="BA36" s="180" t="s">
        <v>0</v>
      </c>
      <c r="BB36" s="180" t="s">
        <v>0</v>
      </c>
      <c r="BC36" s="180" t="s">
        <v>0</v>
      </c>
      <c r="BD36" s="180" t="s">
        <v>0</v>
      </c>
      <c r="BE36" s="180" t="s">
        <v>0</v>
      </c>
      <c r="BF36" s="180" t="s">
        <v>0</v>
      </c>
      <c r="BG36" s="180" t="s">
        <v>0</v>
      </c>
      <c r="BH36" s="180" t="s">
        <v>0</v>
      </c>
      <c r="BI36" s="181"/>
    </row>
    <row r="37" spans="1:61" x14ac:dyDescent="0.25">
      <c r="A37" s="22">
        <f t="shared" si="4"/>
        <v>31</v>
      </c>
      <c r="B37" s="214" t="str">
        <f>IF(F37=$F$7,G38,#REF!)</f>
        <v>F0013547309</v>
      </c>
      <c r="C37" s="214" t="str">
        <f>IF(F37=$F$7,G39,#REF!)</f>
        <v>82115-0E490 J</v>
      </c>
      <c r="D37" s="45" t="str">
        <f>VLOOKUP(B37,'Timing Table'!B:J,9,0)</f>
        <v>C/O</v>
      </c>
      <c r="E37" s="22" t="str">
        <f>VLOOKUP(B37,'Timing Table'!B:H,7,0)</f>
        <v>495D-HV</v>
      </c>
      <c r="F37" s="121" t="s">
        <v>59</v>
      </c>
      <c r="G37" s="146">
        <v>5501017963</v>
      </c>
      <c r="H37" s="121" t="s">
        <v>60</v>
      </c>
      <c r="I37" s="146">
        <v>91</v>
      </c>
      <c r="J37" s="121" t="s">
        <v>61</v>
      </c>
      <c r="K37" s="125">
        <v>1177749</v>
      </c>
      <c r="L37" s="126"/>
      <c r="M37" s="147" t="s">
        <v>62</v>
      </c>
      <c r="N37" s="148"/>
      <c r="O37" s="149">
        <v>46086</v>
      </c>
      <c r="P37" s="121" t="s">
        <v>63</v>
      </c>
      <c r="Q37" s="146">
        <v>4</v>
      </c>
      <c r="R37" s="6" t="s">
        <v>0</v>
      </c>
      <c r="S37" s="7" t="s">
        <v>0</v>
      </c>
      <c r="T37" s="7" t="s">
        <v>0</v>
      </c>
      <c r="U37" s="7" t="s">
        <v>0</v>
      </c>
      <c r="V37" s="7" t="s">
        <v>0</v>
      </c>
      <c r="W37" s="7" t="s">
        <v>0</v>
      </c>
      <c r="X37" s="7" t="s">
        <v>0</v>
      </c>
      <c r="Y37" s="7" t="s">
        <v>0</v>
      </c>
      <c r="Z37" s="7" t="s">
        <v>0</v>
      </c>
      <c r="AA37" s="7" t="s">
        <v>0</v>
      </c>
      <c r="AB37" s="7" t="s">
        <v>0</v>
      </c>
      <c r="AC37" s="7" t="s">
        <v>0</v>
      </c>
      <c r="AD37" s="7" t="s">
        <v>0</v>
      </c>
      <c r="AE37" s="7" t="s">
        <v>0</v>
      </c>
      <c r="AF37" s="7" t="s">
        <v>0</v>
      </c>
      <c r="AG37" s="7" t="s">
        <v>0</v>
      </c>
      <c r="AH37" s="7" t="s">
        <v>0</v>
      </c>
      <c r="AI37" s="7" t="s">
        <v>0</v>
      </c>
      <c r="AJ37" s="7" t="s">
        <v>0</v>
      </c>
      <c r="AK37" s="7" t="s">
        <v>0</v>
      </c>
      <c r="AL37" s="7" t="s">
        <v>0</v>
      </c>
      <c r="AM37" s="7" t="s">
        <v>0</v>
      </c>
      <c r="AN37" s="7" t="s">
        <v>0</v>
      </c>
      <c r="AO37" s="7" t="s">
        <v>0</v>
      </c>
      <c r="AP37" s="7" t="s">
        <v>0</v>
      </c>
      <c r="AQ37" s="7" t="s">
        <v>0</v>
      </c>
      <c r="AR37" s="7" t="s">
        <v>0</v>
      </c>
      <c r="AS37" s="7" t="s">
        <v>0</v>
      </c>
      <c r="AT37" s="7" t="s">
        <v>0</v>
      </c>
      <c r="AU37" s="7" t="s">
        <v>0</v>
      </c>
      <c r="AV37" s="7" t="s">
        <v>0</v>
      </c>
      <c r="AW37" s="7" t="s">
        <v>0</v>
      </c>
      <c r="AX37" s="7" t="s">
        <v>0</v>
      </c>
      <c r="AY37" s="7" t="s">
        <v>0</v>
      </c>
      <c r="AZ37" s="7" t="s">
        <v>0</v>
      </c>
      <c r="BA37" s="7" t="s">
        <v>0</v>
      </c>
      <c r="BB37" s="7" t="s">
        <v>0</v>
      </c>
      <c r="BC37" s="7" t="s">
        <v>0</v>
      </c>
      <c r="BD37" s="7" t="s">
        <v>0</v>
      </c>
      <c r="BE37" s="7" t="s">
        <v>0</v>
      </c>
      <c r="BF37" s="7" t="s">
        <v>0</v>
      </c>
      <c r="BG37" s="7" t="s">
        <v>0</v>
      </c>
      <c r="BH37" s="7" t="s">
        <v>0</v>
      </c>
      <c r="BI37" s="8"/>
    </row>
    <row r="38" spans="1:61" x14ac:dyDescent="0.25">
      <c r="A38" s="22">
        <f t="shared" si="4"/>
        <v>32</v>
      </c>
      <c r="B38" s="214" t="str">
        <f t="shared" si="5"/>
        <v>F0013547309</v>
      </c>
      <c r="C38" s="214" t="str">
        <f t="shared" si="6"/>
        <v>82115-0E490 J</v>
      </c>
      <c r="D38" s="45" t="str">
        <f>VLOOKUP(B38,'Timing Table'!B:J,9,0)</f>
        <v>C/O</v>
      </c>
      <c r="E38" s="22" t="str">
        <f>VLOOKUP(B38,'Timing Table'!B:H,7,0)</f>
        <v>495D-HV</v>
      </c>
      <c r="F38" s="121" t="s">
        <v>64</v>
      </c>
      <c r="G38" s="146" t="s">
        <v>176</v>
      </c>
      <c r="H38" s="121" t="s">
        <v>65</v>
      </c>
      <c r="I38" s="150" t="s">
        <v>196</v>
      </c>
      <c r="J38" s="151"/>
      <c r="K38" s="151"/>
      <c r="L38" s="152"/>
      <c r="M38" s="121" t="s">
        <v>66</v>
      </c>
      <c r="N38" s="146">
        <v>2023</v>
      </c>
      <c r="O38" s="140" t="s">
        <v>67</v>
      </c>
      <c r="P38" s="141"/>
      <c r="Q38" s="153" t="s">
        <v>195</v>
      </c>
      <c r="R38" s="122" t="s">
        <v>0</v>
      </c>
      <c r="S38" s="123" t="s">
        <v>0</v>
      </c>
      <c r="T38" s="123" t="s">
        <v>0</v>
      </c>
      <c r="U38" s="123" t="s">
        <v>0</v>
      </c>
      <c r="V38" s="123" t="s">
        <v>0</v>
      </c>
      <c r="W38" s="123" t="s">
        <v>0</v>
      </c>
      <c r="X38" s="123" t="s">
        <v>0</v>
      </c>
      <c r="Y38" s="123" t="s">
        <v>0</v>
      </c>
      <c r="Z38" s="123" t="s">
        <v>0</v>
      </c>
      <c r="AA38" s="123" t="s">
        <v>0</v>
      </c>
      <c r="AB38" s="123" t="s">
        <v>0</v>
      </c>
      <c r="AC38" s="123" t="s">
        <v>0</v>
      </c>
      <c r="AD38" s="123" t="s">
        <v>0</v>
      </c>
      <c r="AE38" s="123" t="s">
        <v>0</v>
      </c>
      <c r="AF38" s="123" t="s">
        <v>0</v>
      </c>
      <c r="AG38" s="123" t="s">
        <v>0</v>
      </c>
      <c r="AH38" s="123" t="s">
        <v>0</v>
      </c>
      <c r="AI38" s="123" t="s">
        <v>0</v>
      </c>
      <c r="AJ38" s="123" t="s">
        <v>0</v>
      </c>
      <c r="AK38" s="123" t="s">
        <v>0</v>
      </c>
      <c r="AL38" s="123" t="s">
        <v>0</v>
      </c>
      <c r="AM38" s="123" t="s">
        <v>0</v>
      </c>
      <c r="AN38" s="123" t="s">
        <v>0</v>
      </c>
      <c r="AO38" s="123" t="s">
        <v>0</v>
      </c>
      <c r="AP38" s="123" t="s">
        <v>0</v>
      </c>
      <c r="AQ38" s="123" t="s">
        <v>0</v>
      </c>
      <c r="AR38" s="123" t="s">
        <v>0</v>
      </c>
      <c r="AS38" s="123" t="s">
        <v>0</v>
      </c>
      <c r="AT38" s="123" t="s">
        <v>0</v>
      </c>
      <c r="AU38" s="123" t="s">
        <v>0</v>
      </c>
      <c r="AV38" s="123" t="s">
        <v>0</v>
      </c>
      <c r="AW38" s="123" t="s">
        <v>0</v>
      </c>
      <c r="AX38" s="123" t="s">
        <v>0</v>
      </c>
      <c r="AY38" s="123" t="s">
        <v>0</v>
      </c>
      <c r="AZ38" s="123" t="s">
        <v>0</v>
      </c>
      <c r="BA38" s="123" t="s">
        <v>0</v>
      </c>
      <c r="BB38" s="123" t="s">
        <v>0</v>
      </c>
      <c r="BC38" s="123" t="s">
        <v>0</v>
      </c>
      <c r="BD38" s="123" t="s">
        <v>0</v>
      </c>
      <c r="BE38" s="123" t="s">
        <v>0</v>
      </c>
      <c r="BF38" s="123" t="s">
        <v>0</v>
      </c>
      <c r="BG38" s="123" t="s">
        <v>0</v>
      </c>
      <c r="BH38" s="123" t="s">
        <v>0</v>
      </c>
      <c r="BI38" s="124"/>
    </row>
    <row r="39" spans="1:61" x14ac:dyDescent="0.25">
      <c r="A39" s="22">
        <f t="shared" si="4"/>
        <v>33</v>
      </c>
      <c r="B39" s="214" t="str">
        <f t="shared" si="5"/>
        <v>F0013547309</v>
      </c>
      <c r="C39" s="214" t="str">
        <f t="shared" si="6"/>
        <v>82115-0E490 J</v>
      </c>
      <c r="D39" s="45" t="str">
        <f>VLOOKUP(B39,'Timing Table'!B:J,9,0)</f>
        <v>C/O</v>
      </c>
      <c r="E39" s="22" t="str">
        <f>VLOOKUP(B39,'Timing Table'!B:H,7,0)</f>
        <v>495D-HV</v>
      </c>
      <c r="F39" s="121" t="s">
        <v>68</v>
      </c>
      <c r="G39" s="146" t="s">
        <v>332</v>
      </c>
      <c r="H39" s="121" t="s">
        <v>69</v>
      </c>
      <c r="I39" s="154" t="s">
        <v>58</v>
      </c>
      <c r="J39" s="155" t="s">
        <v>0</v>
      </c>
      <c r="K39" s="156" t="s">
        <v>0</v>
      </c>
      <c r="L39" s="157" t="s">
        <v>0</v>
      </c>
      <c r="M39" s="134" t="s">
        <v>0</v>
      </c>
      <c r="N39" s="134" t="s">
        <v>0</v>
      </c>
      <c r="O39" s="134" t="s">
        <v>0</v>
      </c>
      <c r="P39" s="134" t="s">
        <v>0</v>
      </c>
      <c r="Q39" s="134" t="s">
        <v>1</v>
      </c>
      <c r="R39" s="134" t="s">
        <v>2</v>
      </c>
      <c r="S39" s="134" t="s">
        <v>0</v>
      </c>
      <c r="T39" s="134" t="s">
        <v>0</v>
      </c>
      <c r="U39" s="134" t="s">
        <v>0</v>
      </c>
      <c r="V39" s="134" t="s">
        <v>0</v>
      </c>
      <c r="W39" s="134" t="s">
        <v>0</v>
      </c>
      <c r="X39" s="134" t="s">
        <v>0</v>
      </c>
      <c r="Y39" s="134" t="s">
        <v>0</v>
      </c>
      <c r="Z39" s="134" t="s">
        <v>3</v>
      </c>
      <c r="AA39" s="134" t="s">
        <v>0</v>
      </c>
      <c r="AB39" s="134" t="s">
        <v>0</v>
      </c>
      <c r="AC39" s="134" t="s">
        <v>0</v>
      </c>
      <c r="AD39" s="134" t="s">
        <v>0</v>
      </c>
      <c r="AE39" s="134" t="s">
        <v>0</v>
      </c>
      <c r="AF39" s="134" t="s">
        <v>0</v>
      </c>
      <c r="AG39" s="134" t="s">
        <v>0</v>
      </c>
      <c r="AH39" s="134" t="s">
        <v>0</v>
      </c>
      <c r="AI39" s="134" t="s">
        <v>0</v>
      </c>
      <c r="AJ39" s="134" t="s">
        <v>0</v>
      </c>
      <c r="AK39" s="134" t="s">
        <v>0</v>
      </c>
      <c r="AL39" s="134" t="s">
        <v>0</v>
      </c>
      <c r="AM39" s="134" t="s">
        <v>0</v>
      </c>
      <c r="AN39" s="134" t="s">
        <v>0</v>
      </c>
      <c r="AO39" s="134" t="s">
        <v>0</v>
      </c>
      <c r="AP39" s="134" t="s">
        <v>0</v>
      </c>
      <c r="AQ39" s="134" t="s">
        <v>0</v>
      </c>
      <c r="AR39" s="134" t="s">
        <v>0</v>
      </c>
      <c r="AS39" s="134" t="s">
        <v>0</v>
      </c>
      <c r="AT39" s="134" t="s">
        <v>0</v>
      </c>
      <c r="AU39" s="134" t="s">
        <v>0</v>
      </c>
      <c r="AV39" s="134" t="s">
        <v>0</v>
      </c>
      <c r="AW39" s="134" t="s">
        <v>0</v>
      </c>
      <c r="AX39" s="134" t="s">
        <v>0</v>
      </c>
      <c r="AY39" s="134" t="s">
        <v>0</v>
      </c>
      <c r="AZ39" s="134" t="s">
        <v>0</v>
      </c>
      <c r="BA39" s="134" t="s">
        <v>0</v>
      </c>
      <c r="BB39" s="134" t="s">
        <v>0</v>
      </c>
      <c r="BC39" s="134" t="s">
        <v>0</v>
      </c>
      <c r="BD39" s="134" t="s">
        <v>0</v>
      </c>
      <c r="BE39" s="134" t="s">
        <v>0</v>
      </c>
      <c r="BF39" s="134" t="s">
        <v>0</v>
      </c>
      <c r="BG39" s="134" t="s">
        <v>0</v>
      </c>
      <c r="BH39" s="134" t="s">
        <v>0</v>
      </c>
      <c r="BI39" s="135" t="s">
        <v>4</v>
      </c>
    </row>
    <row r="40" spans="1:61" x14ac:dyDescent="0.25">
      <c r="A40" s="22">
        <f t="shared" si="4"/>
        <v>34</v>
      </c>
      <c r="B40" s="214" t="str">
        <f t="shared" si="5"/>
        <v>F0013547309</v>
      </c>
      <c r="C40" s="214" t="str">
        <f t="shared" si="6"/>
        <v>82115-0E490 J</v>
      </c>
      <c r="D40" s="45" t="str">
        <f>VLOOKUP(B40,'Timing Table'!B:J,9,0)</f>
        <v>C/O</v>
      </c>
      <c r="E40" s="22" t="str">
        <f>VLOOKUP(B40,'Timing Table'!B:H,7,0)</f>
        <v>495D-HV</v>
      </c>
      <c r="F40" s="121" t="s">
        <v>70</v>
      </c>
      <c r="G40" s="146">
        <v>4940</v>
      </c>
      <c r="H40" s="158" t="s">
        <v>241</v>
      </c>
      <c r="I40" s="159" t="s">
        <v>71</v>
      </c>
      <c r="J40" s="13">
        <v>46041</v>
      </c>
      <c r="K40" s="14">
        <v>46048</v>
      </c>
      <c r="L40" s="14">
        <v>46055</v>
      </c>
      <c r="M40" s="14">
        <v>46062</v>
      </c>
      <c r="N40" s="14">
        <v>46069</v>
      </c>
      <c r="O40" s="14">
        <v>46076</v>
      </c>
      <c r="P40" s="14">
        <v>46083</v>
      </c>
      <c r="Q40" s="14">
        <v>46090</v>
      </c>
      <c r="R40" s="14">
        <v>46097</v>
      </c>
      <c r="S40" s="14">
        <v>46104</v>
      </c>
      <c r="T40" s="14">
        <v>46111</v>
      </c>
      <c r="U40" s="14">
        <v>46118</v>
      </c>
      <c r="V40" s="14">
        <v>46125</v>
      </c>
      <c r="W40" s="14">
        <v>46132</v>
      </c>
      <c r="X40" s="14">
        <v>46139</v>
      </c>
      <c r="Y40" s="14">
        <v>46146</v>
      </c>
      <c r="Z40" s="14">
        <v>46153</v>
      </c>
      <c r="AA40" s="14">
        <v>46160</v>
      </c>
      <c r="AB40" s="14">
        <v>46167</v>
      </c>
      <c r="AC40" s="14">
        <v>46174</v>
      </c>
      <c r="AD40" s="14">
        <v>46181</v>
      </c>
      <c r="AE40" s="14">
        <v>46188</v>
      </c>
      <c r="AF40" s="14">
        <v>46195</v>
      </c>
      <c r="AG40" s="14">
        <v>46202</v>
      </c>
      <c r="AH40" s="14">
        <v>46209</v>
      </c>
      <c r="AI40" s="14">
        <v>46216</v>
      </c>
      <c r="AJ40" s="14">
        <v>46223</v>
      </c>
      <c r="AK40" s="14">
        <v>46230</v>
      </c>
      <c r="AL40" s="14">
        <v>46237</v>
      </c>
      <c r="AM40" s="14">
        <v>46244</v>
      </c>
      <c r="AN40" s="14">
        <v>46251</v>
      </c>
      <c r="AO40" s="14">
        <v>46258</v>
      </c>
      <c r="AP40" s="14">
        <v>46265</v>
      </c>
      <c r="AQ40" s="14">
        <v>46272</v>
      </c>
      <c r="AR40" s="14">
        <v>46279</v>
      </c>
      <c r="AS40" s="14">
        <v>46286</v>
      </c>
      <c r="AT40" s="14">
        <v>46293</v>
      </c>
      <c r="AU40" s="14">
        <v>46300</v>
      </c>
      <c r="AV40" s="14">
        <v>46307</v>
      </c>
      <c r="AW40" s="14">
        <v>46314</v>
      </c>
      <c r="AX40" s="14">
        <v>46321</v>
      </c>
      <c r="AY40" s="14">
        <v>46328</v>
      </c>
      <c r="AZ40" s="14">
        <v>46335</v>
      </c>
      <c r="BA40" s="14">
        <v>46342</v>
      </c>
      <c r="BB40" s="14">
        <v>46349</v>
      </c>
      <c r="BC40" s="14">
        <v>46356</v>
      </c>
      <c r="BD40" s="14">
        <v>46363</v>
      </c>
      <c r="BE40" s="14">
        <v>46370</v>
      </c>
      <c r="BF40" s="14">
        <v>46377</v>
      </c>
      <c r="BG40" s="14">
        <v>46384</v>
      </c>
      <c r="BH40" s="14">
        <v>46391</v>
      </c>
      <c r="BI40" s="15">
        <v>46398</v>
      </c>
    </row>
    <row r="41" spans="1:61" x14ac:dyDescent="0.25">
      <c r="A41" s="22">
        <f t="shared" si="4"/>
        <v>35</v>
      </c>
      <c r="B41" s="214" t="str">
        <f t="shared" si="5"/>
        <v>F0013547309</v>
      </c>
      <c r="C41" s="214" t="str">
        <f t="shared" si="6"/>
        <v>82115-0E490 J</v>
      </c>
      <c r="D41" s="45" t="str">
        <f>VLOOKUP(B41,'Timing Table'!B:J,9,0)</f>
        <v>C/O</v>
      </c>
      <c r="E41" s="22" t="str">
        <f>VLOOKUP(B41,'Timing Table'!B:H,7,0)</f>
        <v>495D-HV</v>
      </c>
      <c r="F41" s="121" t="s">
        <v>72</v>
      </c>
      <c r="G41" s="146">
        <v>5128</v>
      </c>
      <c r="H41" s="5" t="s">
        <v>58</v>
      </c>
      <c r="I41" s="11" t="s">
        <v>83</v>
      </c>
      <c r="J41" s="16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17"/>
    </row>
    <row r="42" spans="1:61" x14ac:dyDescent="0.25">
      <c r="A42" s="22">
        <f t="shared" si="4"/>
        <v>36</v>
      </c>
      <c r="B42" s="214" t="str">
        <f t="shared" si="5"/>
        <v>F0013547309</v>
      </c>
      <c r="C42" s="214" t="str">
        <f t="shared" si="6"/>
        <v>82115-0E490 J</v>
      </c>
      <c r="D42" s="45" t="str">
        <f>VLOOKUP(B42,'Timing Table'!B:J,9,0)</f>
        <v>C/O</v>
      </c>
      <c r="E42" s="22" t="str">
        <f>VLOOKUP(B42,'Timing Table'!B:H,7,0)</f>
        <v>495D-HV</v>
      </c>
      <c r="F42" s="121" t="s">
        <v>73</v>
      </c>
      <c r="G42" s="160" t="s">
        <v>85</v>
      </c>
      <c r="H42" s="9" t="s">
        <v>87</v>
      </c>
      <c r="I42" s="11" t="s">
        <v>74</v>
      </c>
      <c r="J42" s="117">
        <v>372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50">
        <v>0</v>
      </c>
      <c r="AH42" s="50">
        <v>0</v>
      </c>
      <c r="AI42" s="50">
        <v>0</v>
      </c>
      <c r="AJ42" s="50">
        <v>0</v>
      </c>
      <c r="AK42" s="50">
        <v>0</v>
      </c>
      <c r="AL42" s="50">
        <v>0</v>
      </c>
      <c r="AM42" s="50">
        <v>0</v>
      </c>
      <c r="AN42" s="50">
        <v>0</v>
      </c>
      <c r="AO42" s="50">
        <v>0</v>
      </c>
      <c r="AP42" s="50">
        <v>0</v>
      </c>
      <c r="AQ42" s="50">
        <v>0</v>
      </c>
      <c r="AR42" s="50">
        <v>0</v>
      </c>
      <c r="AS42" s="50">
        <v>0</v>
      </c>
      <c r="AT42" s="50">
        <v>0</v>
      </c>
      <c r="AU42" s="50">
        <v>0</v>
      </c>
      <c r="AV42" s="50">
        <v>0</v>
      </c>
      <c r="AW42" s="50">
        <v>0</v>
      </c>
      <c r="AX42" s="50">
        <v>0</v>
      </c>
      <c r="AY42" s="50">
        <v>0</v>
      </c>
      <c r="AZ42" s="50">
        <v>0</v>
      </c>
      <c r="BA42" s="50">
        <v>0</v>
      </c>
      <c r="BB42" s="50">
        <v>0</v>
      </c>
      <c r="BC42" s="50">
        <v>0</v>
      </c>
      <c r="BD42" s="50">
        <v>0</v>
      </c>
      <c r="BE42" s="50">
        <v>0</v>
      </c>
      <c r="BF42" s="50">
        <v>0</v>
      </c>
      <c r="BG42" s="50">
        <v>0</v>
      </c>
      <c r="BH42" s="50">
        <v>0</v>
      </c>
      <c r="BI42" s="118">
        <v>0</v>
      </c>
    </row>
    <row r="43" spans="1:61" x14ac:dyDescent="0.25">
      <c r="A43" s="22">
        <f t="shared" si="4"/>
        <v>37</v>
      </c>
      <c r="B43" s="214" t="str">
        <f t="shared" si="5"/>
        <v>F0013547309</v>
      </c>
      <c r="C43" s="214" t="str">
        <f t="shared" si="6"/>
        <v>82115-0E490 J</v>
      </c>
      <c r="D43" s="45" t="str">
        <f>VLOOKUP(B43,'Timing Table'!B:J,9,0)</f>
        <v>C/O</v>
      </c>
      <c r="E43" s="22" t="str">
        <f>VLOOKUP(B43,'Timing Table'!B:H,7,0)</f>
        <v>495D-HV</v>
      </c>
      <c r="F43" s="121" t="s">
        <v>75</v>
      </c>
      <c r="G43" s="146">
        <v>82115</v>
      </c>
      <c r="H43" s="10" t="s">
        <v>87</v>
      </c>
      <c r="I43" s="12" t="s">
        <v>76</v>
      </c>
      <c r="J43" s="161">
        <v>4940</v>
      </c>
      <c r="K43" s="162">
        <v>4940</v>
      </c>
      <c r="L43" s="162">
        <v>4940</v>
      </c>
      <c r="M43" s="162">
        <v>4940</v>
      </c>
      <c r="N43" s="162">
        <v>4940</v>
      </c>
      <c r="O43" s="162">
        <v>4940</v>
      </c>
      <c r="P43" s="162">
        <v>4940</v>
      </c>
      <c r="Q43" s="162">
        <v>4940</v>
      </c>
      <c r="R43" s="162">
        <v>4940</v>
      </c>
      <c r="S43" s="162">
        <v>4940</v>
      </c>
      <c r="T43" s="162">
        <v>4940</v>
      </c>
      <c r="U43" s="162">
        <v>4940</v>
      </c>
      <c r="V43" s="162">
        <v>4940</v>
      </c>
      <c r="W43" s="162">
        <v>4940</v>
      </c>
      <c r="X43" s="162">
        <v>4940</v>
      </c>
      <c r="Y43" s="162">
        <v>4940</v>
      </c>
      <c r="Z43" s="162">
        <v>4940</v>
      </c>
      <c r="AA43" s="162">
        <v>4940</v>
      </c>
      <c r="AB43" s="162">
        <v>4940</v>
      </c>
      <c r="AC43" s="162">
        <v>4940</v>
      </c>
      <c r="AD43" s="162">
        <v>4940</v>
      </c>
      <c r="AE43" s="162">
        <v>4940</v>
      </c>
      <c r="AF43" s="162">
        <v>4940</v>
      </c>
      <c r="AG43" s="162">
        <v>4940</v>
      </c>
      <c r="AH43" s="162">
        <v>4940</v>
      </c>
      <c r="AI43" s="162">
        <v>4940</v>
      </c>
      <c r="AJ43" s="162">
        <v>4940</v>
      </c>
      <c r="AK43" s="162">
        <v>4940</v>
      </c>
      <c r="AL43" s="162">
        <v>4940</v>
      </c>
      <c r="AM43" s="162">
        <v>4940</v>
      </c>
      <c r="AN43" s="162">
        <v>4940</v>
      </c>
      <c r="AO43" s="162">
        <v>4940</v>
      </c>
      <c r="AP43" s="162">
        <v>4940</v>
      </c>
      <c r="AQ43" s="162">
        <v>4940</v>
      </c>
      <c r="AR43" s="162">
        <v>4940</v>
      </c>
      <c r="AS43" s="162">
        <v>4940</v>
      </c>
      <c r="AT43" s="162">
        <v>4940</v>
      </c>
      <c r="AU43" s="162">
        <v>4940</v>
      </c>
      <c r="AV43" s="162">
        <v>4940</v>
      </c>
      <c r="AW43" s="162">
        <v>4940</v>
      </c>
      <c r="AX43" s="162">
        <v>4940</v>
      </c>
      <c r="AY43" s="162">
        <v>4940</v>
      </c>
      <c r="AZ43" s="162">
        <v>4940</v>
      </c>
      <c r="BA43" s="162">
        <v>4940</v>
      </c>
      <c r="BB43" s="162">
        <v>4940</v>
      </c>
      <c r="BC43" s="162">
        <v>4940</v>
      </c>
      <c r="BD43" s="162">
        <v>4940</v>
      </c>
      <c r="BE43" s="162">
        <v>4940</v>
      </c>
      <c r="BF43" s="162">
        <v>4940</v>
      </c>
      <c r="BG43" s="162">
        <v>4940</v>
      </c>
      <c r="BH43" s="162">
        <v>4940</v>
      </c>
      <c r="BI43" s="162">
        <v>4940</v>
      </c>
    </row>
    <row r="44" spans="1:61" x14ac:dyDescent="0.25">
      <c r="A44" s="22">
        <f t="shared" si="4"/>
        <v>38</v>
      </c>
      <c r="B44" s="214" t="str">
        <f t="shared" si="5"/>
        <v>F0013547309</v>
      </c>
      <c r="C44" s="214" t="str">
        <f t="shared" si="6"/>
        <v>82115-0E490 J</v>
      </c>
      <c r="D44" s="45" t="str">
        <f>VLOOKUP(B44,'Timing Table'!B:J,9,0)</f>
        <v>C/O</v>
      </c>
      <c r="E44" s="22" t="str">
        <f>VLOOKUP(B44,'Timing Table'!B:H,7,0)</f>
        <v>495D-HV</v>
      </c>
      <c r="F44" s="164" t="s">
        <v>77</v>
      </c>
      <c r="G44" s="165">
        <v>4568</v>
      </c>
      <c r="H44" s="166" t="s">
        <v>78</v>
      </c>
      <c r="I44" s="167"/>
      <c r="J44" s="168" t="s">
        <v>309</v>
      </c>
      <c r="K44" s="169"/>
      <c r="L44" s="170" t="s">
        <v>0</v>
      </c>
      <c r="M44" s="170" t="s">
        <v>0</v>
      </c>
      <c r="N44" s="170" t="s">
        <v>0</v>
      </c>
      <c r="O44" s="170" t="s">
        <v>0</v>
      </c>
      <c r="P44" s="170" t="s">
        <v>0</v>
      </c>
      <c r="Q44" s="170" t="s">
        <v>0</v>
      </c>
      <c r="R44" s="170" t="s">
        <v>0</v>
      </c>
      <c r="S44" s="170" t="s">
        <v>0</v>
      </c>
      <c r="T44" s="170" t="s">
        <v>0</v>
      </c>
      <c r="U44" s="170" t="s">
        <v>0</v>
      </c>
      <c r="V44" s="170" t="s">
        <v>0</v>
      </c>
      <c r="W44" s="170" t="s">
        <v>0</v>
      </c>
      <c r="X44" s="170" t="s">
        <v>0</v>
      </c>
      <c r="Y44" s="170" t="s">
        <v>0</v>
      </c>
      <c r="Z44" s="170" t="s">
        <v>0</v>
      </c>
      <c r="AA44" s="170" t="s">
        <v>0</v>
      </c>
      <c r="AB44" s="170" t="s">
        <v>0</v>
      </c>
      <c r="AC44" s="170" t="s">
        <v>0</v>
      </c>
      <c r="AD44" s="170" t="s">
        <v>0</v>
      </c>
      <c r="AE44" s="170" t="s">
        <v>0</v>
      </c>
      <c r="AF44" s="170" t="s">
        <v>0</v>
      </c>
      <c r="AG44" s="170" t="s">
        <v>0</v>
      </c>
      <c r="AH44" s="170" t="s">
        <v>0</v>
      </c>
      <c r="AI44" s="170" t="s">
        <v>0</v>
      </c>
      <c r="AJ44" s="170" t="s">
        <v>0</v>
      </c>
      <c r="AK44" s="170" t="s">
        <v>0</v>
      </c>
      <c r="AL44" s="170" t="s">
        <v>0</v>
      </c>
      <c r="AM44" s="170" t="s">
        <v>0</v>
      </c>
      <c r="AN44" s="170" t="s">
        <v>0</v>
      </c>
      <c r="AO44" s="170" t="s">
        <v>0</v>
      </c>
      <c r="AP44" s="170" t="s">
        <v>0</v>
      </c>
      <c r="AQ44" s="170" t="s">
        <v>0</v>
      </c>
      <c r="AR44" s="170" t="s">
        <v>0</v>
      </c>
      <c r="AS44" s="170" t="s">
        <v>0</v>
      </c>
      <c r="AT44" s="170" t="s">
        <v>0</v>
      </c>
      <c r="AU44" s="170" t="s">
        <v>0</v>
      </c>
      <c r="AV44" s="170" t="s">
        <v>0</v>
      </c>
      <c r="AW44" s="170" t="s">
        <v>0</v>
      </c>
      <c r="AX44" s="170" t="s">
        <v>0</v>
      </c>
      <c r="AY44" s="170" t="s">
        <v>0</v>
      </c>
      <c r="AZ44" s="170" t="s">
        <v>0</v>
      </c>
      <c r="BA44" s="170" t="s">
        <v>0</v>
      </c>
      <c r="BB44" s="170" t="s">
        <v>0</v>
      </c>
      <c r="BC44" s="170" t="s">
        <v>0</v>
      </c>
      <c r="BD44" s="170" t="s">
        <v>0</v>
      </c>
      <c r="BE44" s="170" t="s">
        <v>0</v>
      </c>
      <c r="BF44" s="170" t="s">
        <v>0</v>
      </c>
      <c r="BG44" s="170" t="s">
        <v>0</v>
      </c>
      <c r="BH44" s="170" t="s">
        <v>0</v>
      </c>
      <c r="BI44" s="171"/>
    </row>
    <row r="45" spans="1:61" x14ac:dyDescent="0.25">
      <c r="A45" s="22">
        <f t="shared" si="4"/>
        <v>39</v>
      </c>
      <c r="B45" s="214" t="str">
        <f t="shared" si="5"/>
        <v>F0013547309</v>
      </c>
      <c r="C45" s="214" t="str">
        <f t="shared" si="6"/>
        <v>82115-0E490 J</v>
      </c>
      <c r="D45" s="45" t="str">
        <f>VLOOKUP(B45,'Timing Table'!B:J,9,0)</f>
        <v>C/O</v>
      </c>
      <c r="E45" s="22" t="str">
        <f>VLOOKUP(B45,'Timing Table'!B:H,7,0)</f>
        <v>495D-HV</v>
      </c>
      <c r="F45" s="172" t="s">
        <v>79</v>
      </c>
      <c r="G45" s="173" t="s">
        <v>58</v>
      </c>
      <c r="H45" s="174" t="s">
        <v>58</v>
      </c>
      <c r="I45" s="175" t="s">
        <v>58</v>
      </c>
      <c r="J45" s="175" t="s">
        <v>0</v>
      </c>
      <c r="K45" s="175" t="s">
        <v>0</v>
      </c>
      <c r="L45" s="175" t="s">
        <v>0</v>
      </c>
      <c r="M45" s="175" t="s">
        <v>0</v>
      </c>
      <c r="N45" s="175" t="s">
        <v>0</v>
      </c>
      <c r="O45" s="175" t="s">
        <v>0</v>
      </c>
      <c r="P45" s="175" t="s">
        <v>0</v>
      </c>
      <c r="Q45" s="175" t="s">
        <v>0</v>
      </c>
      <c r="R45" s="175" t="s">
        <v>0</v>
      </c>
      <c r="S45" s="175" t="s">
        <v>0</v>
      </c>
      <c r="T45" s="175" t="s">
        <v>0</v>
      </c>
      <c r="U45" s="175" t="s">
        <v>0</v>
      </c>
      <c r="V45" s="175" t="s">
        <v>0</v>
      </c>
      <c r="W45" s="175" t="s">
        <v>0</v>
      </c>
      <c r="X45" s="175" t="s">
        <v>0</v>
      </c>
      <c r="Y45" s="175" t="s">
        <v>0</v>
      </c>
      <c r="Z45" s="175" t="s">
        <v>0</v>
      </c>
      <c r="AA45" s="175" t="s">
        <v>0</v>
      </c>
      <c r="AB45" s="175" t="s">
        <v>0</v>
      </c>
      <c r="AC45" s="175" t="s">
        <v>0</v>
      </c>
      <c r="AD45" s="175" t="s">
        <v>0</v>
      </c>
      <c r="AE45" s="175" t="s">
        <v>0</v>
      </c>
      <c r="AF45" s="175" t="s">
        <v>0</v>
      </c>
      <c r="AG45" s="175" t="s">
        <v>0</v>
      </c>
      <c r="AH45" s="175" t="s">
        <v>0</v>
      </c>
      <c r="AI45" s="175" t="s">
        <v>0</v>
      </c>
      <c r="AJ45" s="175" t="s">
        <v>0</v>
      </c>
      <c r="AK45" s="175" t="s">
        <v>0</v>
      </c>
      <c r="AL45" s="175" t="s">
        <v>0</v>
      </c>
      <c r="AM45" s="175" t="s">
        <v>0</v>
      </c>
      <c r="AN45" s="175" t="s">
        <v>0</v>
      </c>
      <c r="AO45" s="175" t="s">
        <v>0</v>
      </c>
      <c r="AP45" s="175" t="s">
        <v>0</v>
      </c>
      <c r="AQ45" s="175" t="s">
        <v>0</v>
      </c>
      <c r="AR45" s="175" t="s">
        <v>0</v>
      </c>
      <c r="AS45" s="175" t="s">
        <v>0</v>
      </c>
      <c r="AT45" s="175" t="s">
        <v>0</v>
      </c>
      <c r="AU45" s="175" t="s">
        <v>0</v>
      </c>
      <c r="AV45" s="175" t="s">
        <v>0</v>
      </c>
      <c r="AW45" s="175" t="s">
        <v>0</v>
      </c>
      <c r="AX45" s="175" t="s">
        <v>0</v>
      </c>
      <c r="AY45" s="175" t="s">
        <v>0</v>
      </c>
      <c r="AZ45" s="175" t="s">
        <v>0</v>
      </c>
      <c r="BA45" s="175" t="s">
        <v>0</v>
      </c>
      <c r="BB45" s="175" t="s">
        <v>0</v>
      </c>
      <c r="BC45" s="175" t="s">
        <v>0</v>
      </c>
      <c r="BD45" s="175" t="s">
        <v>0</v>
      </c>
      <c r="BE45" s="175" t="s">
        <v>0</v>
      </c>
      <c r="BF45" s="175" t="s">
        <v>0</v>
      </c>
      <c r="BG45" s="175" t="s">
        <v>0</v>
      </c>
      <c r="BH45" s="175" t="s">
        <v>0</v>
      </c>
      <c r="BI45" s="176"/>
    </row>
    <row r="46" spans="1:61" x14ac:dyDescent="0.25">
      <c r="A46" s="22">
        <f t="shared" si="4"/>
        <v>40</v>
      </c>
      <c r="B46" s="214" t="str">
        <f t="shared" si="5"/>
        <v>F0013547309</v>
      </c>
      <c r="C46" s="214" t="str">
        <f t="shared" si="6"/>
        <v>82115-0E490 J</v>
      </c>
      <c r="D46" s="45" t="str">
        <f>VLOOKUP(B46,'Timing Table'!B:J,9,0)</f>
        <v>C/O</v>
      </c>
      <c r="E46" s="22" t="str">
        <f>VLOOKUP(B46,'Timing Table'!B:H,7,0)</f>
        <v>495D-HV</v>
      </c>
      <c r="F46" s="177" t="s">
        <v>58</v>
      </c>
      <c r="G46" s="178" t="s">
        <v>58</v>
      </c>
      <c r="H46" s="179" t="s">
        <v>58</v>
      </c>
      <c r="I46" s="180" t="s">
        <v>58</v>
      </c>
      <c r="J46" s="180" t="s">
        <v>0</v>
      </c>
      <c r="K46" s="180" t="s">
        <v>0</v>
      </c>
      <c r="L46" s="180" t="s">
        <v>0</v>
      </c>
      <c r="M46" s="180" t="s">
        <v>0</v>
      </c>
      <c r="N46" s="180" t="s">
        <v>0</v>
      </c>
      <c r="O46" s="180" t="s">
        <v>0</v>
      </c>
      <c r="P46" s="180" t="s">
        <v>0</v>
      </c>
      <c r="Q46" s="180" t="s">
        <v>0</v>
      </c>
      <c r="R46" s="180" t="s">
        <v>0</v>
      </c>
      <c r="S46" s="180" t="s">
        <v>0</v>
      </c>
      <c r="T46" s="180" t="s">
        <v>0</v>
      </c>
      <c r="U46" s="180" t="s">
        <v>0</v>
      </c>
      <c r="V46" s="180" t="s">
        <v>0</v>
      </c>
      <c r="W46" s="180" t="s">
        <v>0</v>
      </c>
      <c r="X46" s="180" t="s">
        <v>0</v>
      </c>
      <c r="Y46" s="180" t="s">
        <v>0</v>
      </c>
      <c r="Z46" s="180" t="s">
        <v>0</v>
      </c>
      <c r="AA46" s="180" t="s">
        <v>0</v>
      </c>
      <c r="AB46" s="180" t="s">
        <v>0</v>
      </c>
      <c r="AC46" s="180" t="s">
        <v>0</v>
      </c>
      <c r="AD46" s="180" t="s">
        <v>0</v>
      </c>
      <c r="AE46" s="180" t="s">
        <v>0</v>
      </c>
      <c r="AF46" s="180" t="s">
        <v>0</v>
      </c>
      <c r="AG46" s="180" t="s">
        <v>0</v>
      </c>
      <c r="AH46" s="180" t="s">
        <v>0</v>
      </c>
      <c r="AI46" s="180" t="s">
        <v>0</v>
      </c>
      <c r="AJ46" s="180" t="s">
        <v>0</v>
      </c>
      <c r="AK46" s="180" t="s">
        <v>0</v>
      </c>
      <c r="AL46" s="180" t="s">
        <v>0</v>
      </c>
      <c r="AM46" s="180" t="s">
        <v>0</v>
      </c>
      <c r="AN46" s="180" t="s">
        <v>0</v>
      </c>
      <c r="AO46" s="180" t="s">
        <v>0</v>
      </c>
      <c r="AP46" s="180" t="s">
        <v>0</v>
      </c>
      <c r="AQ46" s="180" t="s">
        <v>0</v>
      </c>
      <c r="AR46" s="180" t="s">
        <v>0</v>
      </c>
      <c r="AS46" s="180" t="s">
        <v>0</v>
      </c>
      <c r="AT46" s="180" t="s">
        <v>0</v>
      </c>
      <c r="AU46" s="180" t="s">
        <v>0</v>
      </c>
      <c r="AV46" s="180" t="s">
        <v>0</v>
      </c>
      <c r="AW46" s="180" t="s">
        <v>0</v>
      </c>
      <c r="AX46" s="180" t="s">
        <v>0</v>
      </c>
      <c r="AY46" s="180" t="s">
        <v>0</v>
      </c>
      <c r="AZ46" s="180" t="s">
        <v>0</v>
      </c>
      <c r="BA46" s="180" t="s">
        <v>0</v>
      </c>
      <c r="BB46" s="180" t="s">
        <v>0</v>
      </c>
      <c r="BC46" s="180" t="s">
        <v>0</v>
      </c>
      <c r="BD46" s="180" t="s">
        <v>0</v>
      </c>
      <c r="BE46" s="180" t="s">
        <v>0</v>
      </c>
      <c r="BF46" s="180" t="s">
        <v>0</v>
      </c>
      <c r="BG46" s="180" t="s">
        <v>0</v>
      </c>
      <c r="BH46" s="180" t="s">
        <v>0</v>
      </c>
      <c r="BI46" s="181"/>
    </row>
    <row r="47" spans="1:61" x14ac:dyDescent="0.25">
      <c r="A47" s="22">
        <f t="shared" si="4"/>
        <v>41</v>
      </c>
      <c r="B47" s="214" t="str">
        <f t="shared" si="5"/>
        <v>F0013547310</v>
      </c>
      <c r="C47" s="214" t="str">
        <f t="shared" si="6"/>
        <v>82115-0E490 K</v>
      </c>
      <c r="D47" s="45" t="str">
        <f>VLOOKUP(B47,'Timing Table'!B:J,9,0)</f>
        <v>C/O</v>
      </c>
      <c r="E47" s="22" t="str">
        <f>VLOOKUP(B47,'Timing Table'!B:H,7,0)</f>
        <v>495D-HV</v>
      </c>
      <c r="F47" s="121" t="s">
        <v>59</v>
      </c>
      <c r="G47" s="146">
        <v>5501060670</v>
      </c>
      <c r="H47" s="121" t="s">
        <v>60</v>
      </c>
      <c r="I47" s="146">
        <v>18</v>
      </c>
      <c r="J47" s="121" t="s">
        <v>61</v>
      </c>
      <c r="K47" s="125">
        <v>1179885</v>
      </c>
      <c r="L47" s="126"/>
      <c r="M47" s="147" t="s">
        <v>62</v>
      </c>
      <c r="N47" s="148"/>
      <c r="O47" s="149">
        <v>46086</v>
      </c>
      <c r="P47" s="121" t="s">
        <v>63</v>
      </c>
      <c r="Q47" s="146">
        <v>4</v>
      </c>
      <c r="R47" s="6" t="s">
        <v>0</v>
      </c>
      <c r="S47" s="7" t="s">
        <v>0</v>
      </c>
      <c r="T47" s="7" t="s">
        <v>0</v>
      </c>
      <c r="U47" s="7" t="s">
        <v>0</v>
      </c>
      <c r="V47" s="7" t="s">
        <v>0</v>
      </c>
      <c r="W47" s="7" t="s">
        <v>0</v>
      </c>
      <c r="X47" s="7" t="s">
        <v>0</v>
      </c>
      <c r="Y47" s="7" t="s">
        <v>0</v>
      </c>
      <c r="Z47" s="7" t="s">
        <v>0</v>
      </c>
      <c r="AA47" s="7" t="s">
        <v>0</v>
      </c>
      <c r="AB47" s="7" t="s">
        <v>0</v>
      </c>
      <c r="AC47" s="7" t="s">
        <v>0</v>
      </c>
      <c r="AD47" s="7" t="s">
        <v>0</v>
      </c>
      <c r="AE47" s="7" t="s">
        <v>0</v>
      </c>
      <c r="AF47" s="7" t="s">
        <v>0</v>
      </c>
      <c r="AG47" s="7" t="s">
        <v>0</v>
      </c>
      <c r="AH47" s="7" t="s">
        <v>0</v>
      </c>
      <c r="AI47" s="7" t="s">
        <v>0</v>
      </c>
      <c r="AJ47" s="7" t="s">
        <v>0</v>
      </c>
      <c r="AK47" s="7" t="s">
        <v>0</v>
      </c>
      <c r="AL47" s="7" t="s">
        <v>0</v>
      </c>
      <c r="AM47" s="7" t="s">
        <v>0</v>
      </c>
      <c r="AN47" s="7" t="s">
        <v>0</v>
      </c>
      <c r="AO47" s="7" t="s">
        <v>0</v>
      </c>
      <c r="AP47" s="7" t="s">
        <v>0</v>
      </c>
      <c r="AQ47" s="7" t="s">
        <v>0</v>
      </c>
      <c r="AR47" s="7" t="s">
        <v>0</v>
      </c>
      <c r="AS47" s="7" t="s">
        <v>0</v>
      </c>
      <c r="AT47" s="7" t="s">
        <v>0</v>
      </c>
      <c r="AU47" s="7" t="s">
        <v>0</v>
      </c>
      <c r="AV47" s="7" t="s">
        <v>0</v>
      </c>
      <c r="AW47" s="7" t="s">
        <v>0</v>
      </c>
      <c r="AX47" s="7" t="s">
        <v>0</v>
      </c>
      <c r="AY47" s="7" t="s">
        <v>0</v>
      </c>
      <c r="AZ47" s="7" t="s">
        <v>0</v>
      </c>
      <c r="BA47" s="7" t="s">
        <v>0</v>
      </c>
      <c r="BB47" s="7" t="s">
        <v>0</v>
      </c>
      <c r="BC47" s="7" t="s">
        <v>0</v>
      </c>
      <c r="BD47" s="7" t="s">
        <v>0</v>
      </c>
      <c r="BE47" s="7" t="s">
        <v>0</v>
      </c>
      <c r="BF47" s="7" t="s">
        <v>0</v>
      </c>
      <c r="BG47" s="7" t="s">
        <v>0</v>
      </c>
      <c r="BH47" s="7" t="s">
        <v>0</v>
      </c>
      <c r="BI47" s="8"/>
    </row>
    <row r="48" spans="1:61" x14ac:dyDescent="0.25">
      <c r="A48" s="22">
        <f t="shared" si="4"/>
        <v>42</v>
      </c>
      <c r="B48" s="214" t="str">
        <f t="shared" si="5"/>
        <v>F0013547310</v>
      </c>
      <c r="C48" s="214" t="str">
        <f t="shared" si="6"/>
        <v>82115-0E490 K</v>
      </c>
      <c r="D48" s="45" t="str">
        <f>VLOOKUP(B48,'Timing Table'!B:J,9,0)</f>
        <v>C/O</v>
      </c>
      <c r="E48" s="22" t="str">
        <f>VLOOKUP(B48,'Timing Table'!B:H,7,0)</f>
        <v>495D-HV</v>
      </c>
      <c r="F48" s="121" t="s">
        <v>64</v>
      </c>
      <c r="G48" s="146" t="s">
        <v>274</v>
      </c>
      <c r="H48" s="121" t="s">
        <v>65</v>
      </c>
      <c r="I48" s="150" t="s">
        <v>277</v>
      </c>
      <c r="J48" s="151"/>
      <c r="K48" s="151"/>
      <c r="L48" s="152"/>
      <c r="M48" s="121" t="s">
        <v>66</v>
      </c>
      <c r="N48" s="146">
        <v>2025</v>
      </c>
      <c r="O48" s="140" t="s">
        <v>67</v>
      </c>
      <c r="P48" s="141"/>
      <c r="Q48" s="153" t="s">
        <v>198</v>
      </c>
      <c r="R48" s="122" t="s">
        <v>0</v>
      </c>
      <c r="S48" s="123"/>
      <c r="T48" s="123"/>
      <c r="U48" s="123" t="s">
        <v>0</v>
      </c>
      <c r="V48" s="123" t="s">
        <v>0</v>
      </c>
      <c r="W48" s="123" t="s">
        <v>0</v>
      </c>
      <c r="X48" s="123" t="s">
        <v>0</v>
      </c>
      <c r="Y48" s="123" t="s">
        <v>0</v>
      </c>
      <c r="Z48" s="123" t="s">
        <v>0</v>
      </c>
      <c r="AA48" s="123" t="s">
        <v>0</v>
      </c>
      <c r="AB48" s="123" t="s">
        <v>0</v>
      </c>
      <c r="AC48" s="123" t="s">
        <v>0</v>
      </c>
      <c r="AD48" s="123" t="s">
        <v>0</v>
      </c>
      <c r="AE48" s="123" t="s">
        <v>0</v>
      </c>
      <c r="AF48" s="123" t="s">
        <v>0</v>
      </c>
      <c r="AG48" s="123" t="s">
        <v>0</v>
      </c>
      <c r="AH48" s="123" t="s">
        <v>0</v>
      </c>
      <c r="AI48" s="123" t="s">
        <v>0</v>
      </c>
      <c r="AJ48" s="123" t="s">
        <v>0</v>
      </c>
      <c r="AK48" s="123" t="s">
        <v>0</v>
      </c>
      <c r="AL48" s="123" t="s">
        <v>0</v>
      </c>
      <c r="AM48" s="123" t="s">
        <v>0</v>
      </c>
      <c r="AN48" s="123" t="s">
        <v>0</v>
      </c>
      <c r="AO48" s="123" t="s">
        <v>0</v>
      </c>
      <c r="AP48" s="123" t="s">
        <v>0</v>
      </c>
      <c r="AQ48" s="123" t="s">
        <v>0</v>
      </c>
      <c r="AR48" s="123" t="s">
        <v>0</v>
      </c>
      <c r="AS48" s="123" t="s">
        <v>0</v>
      </c>
      <c r="AT48" s="123" t="s">
        <v>0</v>
      </c>
      <c r="AU48" s="123" t="s">
        <v>0</v>
      </c>
      <c r="AV48" s="123" t="s">
        <v>0</v>
      </c>
      <c r="AW48" s="123" t="s">
        <v>0</v>
      </c>
      <c r="AX48" s="123" t="s">
        <v>0</v>
      </c>
      <c r="AY48" s="123" t="s">
        <v>0</v>
      </c>
      <c r="AZ48" s="123" t="s">
        <v>0</v>
      </c>
      <c r="BA48" s="123" t="s">
        <v>0</v>
      </c>
      <c r="BB48" s="123" t="s">
        <v>0</v>
      </c>
      <c r="BC48" s="123" t="s">
        <v>0</v>
      </c>
      <c r="BD48" s="123" t="s">
        <v>0</v>
      </c>
      <c r="BE48" s="123" t="s">
        <v>0</v>
      </c>
      <c r="BF48" s="123" t="s">
        <v>0</v>
      </c>
      <c r="BG48" s="123" t="s">
        <v>0</v>
      </c>
      <c r="BH48" s="123" t="s">
        <v>0</v>
      </c>
      <c r="BI48" s="124"/>
    </row>
    <row r="49" spans="1:61" x14ac:dyDescent="0.25">
      <c r="A49" s="22">
        <f t="shared" si="4"/>
        <v>43</v>
      </c>
      <c r="B49" s="214" t="str">
        <f t="shared" si="5"/>
        <v>F0013547310</v>
      </c>
      <c r="C49" s="214" t="str">
        <f t="shared" si="6"/>
        <v>82115-0E490 K</v>
      </c>
      <c r="D49" s="45" t="str">
        <f>VLOOKUP(B49,'Timing Table'!B:J,9,0)</f>
        <v>C/O</v>
      </c>
      <c r="E49" s="22" t="str">
        <f>VLOOKUP(B49,'Timing Table'!B:H,7,0)</f>
        <v>495D-HV</v>
      </c>
      <c r="F49" s="121" t="s">
        <v>68</v>
      </c>
      <c r="G49" s="146" t="s">
        <v>333</v>
      </c>
      <c r="H49" s="121" t="s">
        <v>69</v>
      </c>
      <c r="I49" s="154" t="s">
        <v>58</v>
      </c>
      <c r="J49" s="155" t="s">
        <v>0</v>
      </c>
      <c r="K49" s="156" t="s">
        <v>0</v>
      </c>
      <c r="L49" s="157" t="s">
        <v>0</v>
      </c>
      <c r="M49" s="134" t="s">
        <v>0</v>
      </c>
      <c r="N49" s="134" t="s">
        <v>0</v>
      </c>
      <c r="O49" s="134" t="s">
        <v>0</v>
      </c>
      <c r="P49" s="134" t="s">
        <v>0</v>
      </c>
      <c r="Q49" s="134" t="s">
        <v>1</v>
      </c>
      <c r="R49" s="134" t="s">
        <v>2</v>
      </c>
      <c r="S49" s="134" t="s">
        <v>0</v>
      </c>
      <c r="T49" s="134" t="s">
        <v>0</v>
      </c>
      <c r="U49" s="134" t="s">
        <v>0</v>
      </c>
      <c r="V49" s="134" t="s">
        <v>0</v>
      </c>
      <c r="W49" s="134" t="s">
        <v>0</v>
      </c>
      <c r="X49" s="134" t="s">
        <v>0</v>
      </c>
      <c r="Y49" s="134" t="s">
        <v>0</v>
      </c>
      <c r="Z49" s="134" t="s">
        <v>3</v>
      </c>
      <c r="AA49" s="134" t="s">
        <v>0</v>
      </c>
      <c r="AB49" s="134" t="s">
        <v>0</v>
      </c>
      <c r="AC49" s="134" t="s">
        <v>0</v>
      </c>
      <c r="AD49" s="134" t="s">
        <v>0</v>
      </c>
      <c r="AE49" s="134" t="s">
        <v>0</v>
      </c>
      <c r="AF49" s="134" t="s">
        <v>0</v>
      </c>
      <c r="AG49" s="134" t="s">
        <v>0</v>
      </c>
      <c r="AH49" s="134" t="s">
        <v>0</v>
      </c>
      <c r="AI49" s="134" t="s">
        <v>0</v>
      </c>
      <c r="AJ49" s="134" t="s">
        <v>0</v>
      </c>
      <c r="AK49" s="134" t="s">
        <v>0</v>
      </c>
      <c r="AL49" s="134" t="s">
        <v>0</v>
      </c>
      <c r="AM49" s="134" t="s">
        <v>0</v>
      </c>
      <c r="AN49" s="134" t="s">
        <v>0</v>
      </c>
      <c r="AO49" s="134" t="s">
        <v>0</v>
      </c>
      <c r="AP49" s="134" t="s">
        <v>0</v>
      </c>
      <c r="AQ49" s="134" t="s">
        <v>0</v>
      </c>
      <c r="AR49" s="134" t="s">
        <v>0</v>
      </c>
      <c r="AS49" s="134" t="s">
        <v>0</v>
      </c>
      <c r="AT49" s="134" t="s">
        <v>0</v>
      </c>
      <c r="AU49" s="134" t="s">
        <v>0</v>
      </c>
      <c r="AV49" s="134" t="s">
        <v>0</v>
      </c>
      <c r="AW49" s="134" t="s">
        <v>0</v>
      </c>
      <c r="AX49" s="134" t="s">
        <v>0</v>
      </c>
      <c r="AY49" s="134" t="s">
        <v>0</v>
      </c>
      <c r="AZ49" s="134" t="s">
        <v>0</v>
      </c>
      <c r="BA49" s="134" t="s">
        <v>0</v>
      </c>
      <c r="BB49" s="134" t="s">
        <v>0</v>
      </c>
      <c r="BC49" s="134" t="s">
        <v>0</v>
      </c>
      <c r="BD49" s="134" t="s">
        <v>0</v>
      </c>
      <c r="BE49" s="134" t="s">
        <v>0</v>
      </c>
      <c r="BF49" s="134" t="s">
        <v>0</v>
      </c>
      <c r="BG49" s="134" t="s">
        <v>0</v>
      </c>
      <c r="BH49" s="134" t="s">
        <v>0</v>
      </c>
      <c r="BI49" s="135" t="s">
        <v>4</v>
      </c>
    </row>
    <row r="50" spans="1:61" x14ac:dyDescent="0.25">
      <c r="A50" s="22">
        <f t="shared" si="4"/>
        <v>44</v>
      </c>
      <c r="B50" s="214" t="str">
        <f t="shared" si="5"/>
        <v>F0013547310</v>
      </c>
      <c r="C50" s="214" t="str">
        <f t="shared" si="6"/>
        <v>82115-0E490 K</v>
      </c>
      <c r="D50" s="45" t="str">
        <f>VLOOKUP(B50,'Timing Table'!B:J,9,0)</f>
        <v>C/O</v>
      </c>
      <c r="E50" s="22" t="str">
        <f>VLOOKUP(B50,'Timing Table'!B:H,7,0)</f>
        <v>495D-HV</v>
      </c>
      <c r="F50" s="121" t="s">
        <v>70</v>
      </c>
      <c r="G50" s="146">
        <v>976</v>
      </c>
      <c r="H50" s="158" t="s">
        <v>241</v>
      </c>
      <c r="I50" s="159" t="s">
        <v>71</v>
      </c>
      <c r="J50" s="13">
        <v>46041</v>
      </c>
      <c r="K50" s="14">
        <v>46048</v>
      </c>
      <c r="L50" s="14">
        <v>46055</v>
      </c>
      <c r="M50" s="14">
        <v>46062</v>
      </c>
      <c r="N50" s="14">
        <v>46069</v>
      </c>
      <c r="O50" s="14">
        <v>46076</v>
      </c>
      <c r="P50" s="14">
        <v>46083</v>
      </c>
      <c r="Q50" s="14">
        <v>46090</v>
      </c>
      <c r="R50" s="14">
        <v>46097</v>
      </c>
      <c r="S50" s="14">
        <v>46104</v>
      </c>
      <c r="T50" s="14">
        <v>46111</v>
      </c>
      <c r="U50" s="14">
        <v>46118</v>
      </c>
      <c r="V50" s="14">
        <v>46125</v>
      </c>
      <c r="W50" s="14">
        <v>46132</v>
      </c>
      <c r="X50" s="14">
        <v>46139</v>
      </c>
      <c r="Y50" s="14">
        <v>46146</v>
      </c>
      <c r="Z50" s="14">
        <v>46153</v>
      </c>
      <c r="AA50" s="14">
        <v>46160</v>
      </c>
      <c r="AB50" s="14">
        <v>46167</v>
      </c>
      <c r="AC50" s="14">
        <v>46174</v>
      </c>
      <c r="AD50" s="14">
        <v>46181</v>
      </c>
      <c r="AE50" s="14">
        <v>46188</v>
      </c>
      <c r="AF50" s="14">
        <v>46195</v>
      </c>
      <c r="AG50" s="14">
        <v>46202</v>
      </c>
      <c r="AH50" s="14">
        <v>46209</v>
      </c>
      <c r="AI50" s="14">
        <v>46216</v>
      </c>
      <c r="AJ50" s="14">
        <v>46223</v>
      </c>
      <c r="AK50" s="14">
        <v>46230</v>
      </c>
      <c r="AL50" s="14">
        <v>46237</v>
      </c>
      <c r="AM50" s="14">
        <v>46244</v>
      </c>
      <c r="AN50" s="14">
        <v>46251</v>
      </c>
      <c r="AO50" s="14">
        <v>46258</v>
      </c>
      <c r="AP50" s="14">
        <v>46265</v>
      </c>
      <c r="AQ50" s="14">
        <v>46272</v>
      </c>
      <c r="AR50" s="14">
        <v>46279</v>
      </c>
      <c r="AS50" s="14">
        <v>46286</v>
      </c>
      <c r="AT50" s="14">
        <v>46293</v>
      </c>
      <c r="AU50" s="14">
        <v>46300</v>
      </c>
      <c r="AV50" s="14">
        <v>46307</v>
      </c>
      <c r="AW50" s="14">
        <v>46314</v>
      </c>
      <c r="AX50" s="14">
        <v>46321</v>
      </c>
      <c r="AY50" s="14">
        <v>46328</v>
      </c>
      <c r="AZ50" s="14">
        <v>46335</v>
      </c>
      <c r="BA50" s="14">
        <v>46342</v>
      </c>
      <c r="BB50" s="14">
        <v>46349</v>
      </c>
      <c r="BC50" s="14">
        <v>46356</v>
      </c>
      <c r="BD50" s="14">
        <v>46363</v>
      </c>
      <c r="BE50" s="14">
        <v>46370</v>
      </c>
      <c r="BF50" s="14">
        <v>46377</v>
      </c>
      <c r="BG50" s="14">
        <v>46384</v>
      </c>
      <c r="BH50" s="14">
        <v>46391</v>
      </c>
      <c r="BI50" s="15">
        <v>46398</v>
      </c>
    </row>
    <row r="51" spans="1:61" x14ac:dyDescent="0.25">
      <c r="A51" s="22">
        <f t="shared" si="4"/>
        <v>45</v>
      </c>
      <c r="B51" s="214" t="str">
        <f t="shared" si="5"/>
        <v>F0013547310</v>
      </c>
      <c r="C51" s="214" t="str">
        <f t="shared" si="6"/>
        <v>82115-0E490 K</v>
      </c>
      <c r="D51" s="45" t="str">
        <f>VLOOKUP(B51,'Timing Table'!B:J,9,0)</f>
        <v>C/O</v>
      </c>
      <c r="E51" s="22" t="str">
        <f>VLOOKUP(B51,'Timing Table'!B:H,7,0)</f>
        <v>495D-HV</v>
      </c>
      <c r="F51" s="121" t="s">
        <v>72</v>
      </c>
      <c r="G51" s="146">
        <v>1808</v>
      </c>
      <c r="H51" s="5" t="s">
        <v>58</v>
      </c>
      <c r="I51" s="11" t="s">
        <v>83</v>
      </c>
      <c r="J51" s="16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17"/>
    </row>
    <row r="52" spans="1:61" x14ac:dyDescent="0.25">
      <c r="A52" s="22">
        <f t="shared" si="4"/>
        <v>46</v>
      </c>
      <c r="B52" s="214" t="str">
        <f t="shared" si="5"/>
        <v>F0013547310</v>
      </c>
      <c r="C52" s="214" t="str">
        <f t="shared" si="6"/>
        <v>82115-0E490 K</v>
      </c>
      <c r="D52" s="45" t="str">
        <f>VLOOKUP(B52,'Timing Table'!B:J,9,0)</f>
        <v>C/O</v>
      </c>
      <c r="E52" s="22" t="str">
        <f>VLOOKUP(B52,'Timing Table'!B:H,7,0)</f>
        <v>495D-HV</v>
      </c>
      <c r="F52" s="121" t="s">
        <v>73</v>
      </c>
      <c r="G52" s="160" t="s">
        <v>295</v>
      </c>
      <c r="H52" s="9" t="s">
        <v>87</v>
      </c>
      <c r="I52" s="11" t="s">
        <v>74</v>
      </c>
      <c r="J52" s="117">
        <v>136</v>
      </c>
      <c r="K52" s="50">
        <v>84</v>
      </c>
      <c r="L52" s="50">
        <v>168</v>
      </c>
      <c r="M52" s="50">
        <v>228</v>
      </c>
      <c r="N52" s="50">
        <v>0</v>
      </c>
      <c r="O52" s="50">
        <v>56</v>
      </c>
      <c r="P52" s="50">
        <v>304</v>
      </c>
      <c r="Q52" s="50">
        <v>0</v>
      </c>
      <c r="R52" s="50">
        <v>0</v>
      </c>
      <c r="S52" s="50">
        <v>52</v>
      </c>
      <c r="T52" s="50">
        <v>84</v>
      </c>
      <c r="U52" s="50">
        <v>88</v>
      </c>
      <c r="V52" s="50">
        <v>84</v>
      </c>
      <c r="W52" s="50">
        <v>76</v>
      </c>
      <c r="X52" s="50">
        <v>60</v>
      </c>
      <c r="Y52" s="50">
        <v>60</v>
      </c>
      <c r="Z52" s="50">
        <v>80</v>
      </c>
      <c r="AA52" s="50">
        <v>104</v>
      </c>
      <c r="AB52" s="50">
        <v>100</v>
      </c>
      <c r="AC52" s="50">
        <v>104</v>
      </c>
      <c r="AD52" s="50">
        <v>84</v>
      </c>
      <c r="AE52" s="50">
        <v>112</v>
      </c>
      <c r="AF52" s="50">
        <v>68</v>
      </c>
      <c r="AG52" s="50">
        <v>100</v>
      </c>
      <c r="AH52" s="50">
        <v>40</v>
      </c>
      <c r="AI52" s="50">
        <v>104</v>
      </c>
      <c r="AJ52" s="50">
        <v>96</v>
      </c>
      <c r="AK52" s="50">
        <v>96</v>
      </c>
      <c r="AL52" s="50">
        <v>156</v>
      </c>
      <c r="AM52" s="50">
        <v>112</v>
      </c>
      <c r="AN52" s="50">
        <v>120</v>
      </c>
      <c r="AO52" s="50">
        <v>120</v>
      </c>
      <c r="AP52" s="50">
        <v>120</v>
      </c>
      <c r="AQ52" s="50">
        <v>120</v>
      </c>
      <c r="AR52" s="50">
        <v>120</v>
      </c>
      <c r="AS52" s="50">
        <v>120</v>
      </c>
      <c r="AT52" s="50">
        <v>120</v>
      </c>
      <c r="AU52" s="50">
        <v>120</v>
      </c>
      <c r="AV52" s="50">
        <v>120</v>
      </c>
      <c r="AW52" s="50">
        <v>120</v>
      </c>
      <c r="AX52" s="50">
        <v>120</v>
      </c>
      <c r="AY52" s="50">
        <v>120</v>
      </c>
      <c r="AZ52" s="50">
        <v>120</v>
      </c>
      <c r="BA52" s="50">
        <v>120</v>
      </c>
      <c r="BB52" s="50">
        <v>120</v>
      </c>
      <c r="BC52" s="50">
        <v>120</v>
      </c>
      <c r="BD52" s="50">
        <v>120</v>
      </c>
      <c r="BE52" s="50">
        <v>120</v>
      </c>
      <c r="BF52" s="50">
        <v>120</v>
      </c>
      <c r="BG52" s="50">
        <v>120</v>
      </c>
      <c r="BH52" s="50">
        <v>120</v>
      </c>
      <c r="BI52" s="50">
        <v>120</v>
      </c>
    </row>
    <row r="53" spans="1:61" x14ac:dyDescent="0.25">
      <c r="A53" s="22">
        <f t="shared" si="4"/>
        <v>47</v>
      </c>
      <c r="B53" s="214" t="str">
        <f t="shared" si="5"/>
        <v>F0013547310</v>
      </c>
      <c r="C53" s="214" t="str">
        <f t="shared" si="6"/>
        <v>82115-0E490 K</v>
      </c>
      <c r="D53" s="45" t="str">
        <f>VLOOKUP(B53,'Timing Table'!B:J,9,0)</f>
        <v>C/O</v>
      </c>
      <c r="E53" s="22" t="str">
        <f>VLOOKUP(B53,'Timing Table'!B:H,7,0)</f>
        <v>495D-HV</v>
      </c>
      <c r="F53" s="121" t="s">
        <v>75</v>
      </c>
      <c r="G53" s="146">
        <v>82115</v>
      </c>
      <c r="H53" s="10" t="s">
        <v>87</v>
      </c>
      <c r="I53" s="12" t="s">
        <v>76</v>
      </c>
      <c r="J53" s="161">
        <v>136</v>
      </c>
      <c r="K53" s="162">
        <v>220</v>
      </c>
      <c r="L53" s="162">
        <v>388</v>
      </c>
      <c r="M53" s="162">
        <v>616</v>
      </c>
      <c r="N53" s="162">
        <v>616</v>
      </c>
      <c r="O53" s="162">
        <v>672</v>
      </c>
      <c r="P53" s="162">
        <v>976</v>
      </c>
      <c r="Q53" s="162">
        <v>976</v>
      </c>
      <c r="R53" s="162">
        <v>976</v>
      </c>
      <c r="S53" s="162">
        <v>1028</v>
      </c>
      <c r="T53" s="162">
        <v>1112</v>
      </c>
      <c r="U53" s="162">
        <v>1200</v>
      </c>
      <c r="V53" s="162">
        <v>1284</v>
      </c>
      <c r="W53" s="162">
        <v>1360</v>
      </c>
      <c r="X53" s="162">
        <v>1420</v>
      </c>
      <c r="Y53" s="162">
        <v>1480</v>
      </c>
      <c r="Z53" s="162">
        <v>1560</v>
      </c>
      <c r="AA53" s="162">
        <v>1664</v>
      </c>
      <c r="AB53" s="162">
        <v>1764</v>
      </c>
      <c r="AC53" s="162">
        <v>1868</v>
      </c>
      <c r="AD53" s="162">
        <v>1952</v>
      </c>
      <c r="AE53" s="162">
        <v>2064</v>
      </c>
      <c r="AF53" s="162">
        <v>2132</v>
      </c>
      <c r="AG53" s="162">
        <v>2232</v>
      </c>
      <c r="AH53" s="162">
        <v>2272</v>
      </c>
      <c r="AI53" s="162">
        <v>2376</v>
      </c>
      <c r="AJ53" s="162">
        <v>2472</v>
      </c>
      <c r="AK53" s="162">
        <v>2568</v>
      </c>
      <c r="AL53" s="162">
        <v>2724</v>
      </c>
      <c r="AM53" s="162">
        <v>2836</v>
      </c>
      <c r="AN53" s="162">
        <v>2956</v>
      </c>
      <c r="AO53" s="162">
        <v>3076</v>
      </c>
      <c r="AP53" s="162">
        <v>3196</v>
      </c>
      <c r="AQ53" s="162">
        <v>3316</v>
      </c>
      <c r="AR53" s="162">
        <v>3436</v>
      </c>
      <c r="AS53" s="162">
        <v>3556</v>
      </c>
      <c r="AT53" s="162">
        <v>3676</v>
      </c>
      <c r="AU53" s="162">
        <v>3796</v>
      </c>
      <c r="AV53" s="162">
        <v>3916</v>
      </c>
      <c r="AW53" s="162">
        <v>4036</v>
      </c>
      <c r="AX53" s="162">
        <v>4156</v>
      </c>
      <c r="AY53" s="162">
        <v>4276</v>
      </c>
      <c r="AZ53" s="162">
        <v>4396</v>
      </c>
      <c r="BA53" s="162">
        <v>4516</v>
      </c>
      <c r="BB53" s="162">
        <v>4636</v>
      </c>
      <c r="BC53" s="162">
        <v>4756</v>
      </c>
      <c r="BD53" s="162">
        <v>4876</v>
      </c>
      <c r="BE53" s="162">
        <v>4996</v>
      </c>
      <c r="BF53" s="162">
        <v>5116</v>
      </c>
      <c r="BG53" s="162">
        <v>5236</v>
      </c>
      <c r="BH53" s="162">
        <v>5356</v>
      </c>
      <c r="BI53" s="162">
        <v>5476</v>
      </c>
    </row>
    <row r="54" spans="1:61" x14ac:dyDescent="0.25">
      <c r="A54" s="22">
        <f t="shared" si="4"/>
        <v>48</v>
      </c>
      <c r="B54" s="214" t="str">
        <f t="shared" si="5"/>
        <v>F0013547310</v>
      </c>
      <c r="C54" s="214" t="str">
        <f t="shared" si="6"/>
        <v>82115-0E490 K</v>
      </c>
      <c r="D54" s="45" t="str">
        <f>VLOOKUP(B54,'Timing Table'!B:J,9,0)</f>
        <v>C/O</v>
      </c>
      <c r="E54" s="22" t="str">
        <f>VLOOKUP(B54,'Timing Table'!B:H,7,0)</f>
        <v>495D-HV</v>
      </c>
      <c r="F54" s="164" t="s">
        <v>77</v>
      </c>
      <c r="G54" s="165">
        <v>0</v>
      </c>
      <c r="H54" s="166" t="s">
        <v>78</v>
      </c>
      <c r="I54" s="167"/>
      <c r="J54" s="168"/>
      <c r="K54" s="169"/>
      <c r="L54" s="170" t="s">
        <v>0</v>
      </c>
      <c r="M54" s="170" t="s">
        <v>0</v>
      </c>
      <c r="N54" s="170" t="s">
        <v>0</v>
      </c>
      <c r="O54" s="170" t="s">
        <v>0</v>
      </c>
      <c r="P54" s="170" t="s">
        <v>0</v>
      </c>
      <c r="Q54" s="170">
        <v>-1</v>
      </c>
      <c r="R54" s="170" t="s">
        <v>0</v>
      </c>
      <c r="S54" s="170" t="s">
        <v>0</v>
      </c>
      <c r="T54" s="170" t="s">
        <v>0</v>
      </c>
      <c r="U54" s="170" t="s">
        <v>0</v>
      </c>
      <c r="V54" s="170" t="s">
        <v>0</v>
      </c>
      <c r="W54" s="170" t="s">
        <v>0</v>
      </c>
      <c r="X54" s="170" t="s">
        <v>0</v>
      </c>
      <c r="Y54" s="170" t="s">
        <v>0</v>
      </c>
      <c r="Z54" s="170" t="s">
        <v>0</v>
      </c>
      <c r="AA54" s="170" t="s">
        <v>0</v>
      </c>
      <c r="AB54" s="170" t="s">
        <v>0</v>
      </c>
      <c r="AC54" s="170" t="s">
        <v>0</v>
      </c>
      <c r="AD54" s="170" t="s">
        <v>0</v>
      </c>
      <c r="AE54" s="170" t="s">
        <v>0</v>
      </c>
      <c r="AF54" s="170" t="s">
        <v>0</v>
      </c>
      <c r="AG54" s="170" t="s">
        <v>0</v>
      </c>
      <c r="AH54" s="170" t="s">
        <v>0</v>
      </c>
      <c r="AI54" s="170" t="s">
        <v>0</v>
      </c>
      <c r="AJ54" s="170" t="s">
        <v>0</v>
      </c>
      <c r="AK54" s="170" t="s">
        <v>0</v>
      </c>
      <c r="AL54" s="170" t="s">
        <v>0</v>
      </c>
      <c r="AM54" s="170" t="s">
        <v>0</v>
      </c>
      <c r="AN54" s="170" t="s">
        <v>0</v>
      </c>
      <c r="AO54" s="170" t="s">
        <v>0</v>
      </c>
      <c r="AP54" s="170" t="s">
        <v>0</v>
      </c>
      <c r="AQ54" s="170" t="s">
        <v>0</v>
      </c>
      <c r="AR54" s="170" t="s">
        <v>0</v>
      </c>
      <c r="AS54" s="170" t="s">
        <v>0</v>
      </c>
      <c r="AT54" s="170" t="s">
        <v>0</v>
      </c>
      <c r="AU54" s="170" t="s">
        <v>0</v>
      </c>
      <c r="AV54" s="170" t="s">
        <v>0</v>
      </c>
      <c r="AW54" s="170" t="s">
        <v>0</v>
      </c>
      <c r="AX54" s="170" t="s">
        <v>0</v>
      </c>
      <c r="AY54" s="170" t="s">
        <v>0</v>
      </c>
      <c r="AZ54" s="170" t="s">
        <v>0</v>
      </c>
      <c r="BA54" s="170" t="s">
        <v>0</v>
      </c>
      <c r="BB54" s="170" t="s">
        <v>0</v>
      </c>
      <c r="BC54" s="170" t="s">
        <v>0</v>
      </c>
      <c r="BD54" s="170" t="s">
        <v>0</v>
      </c>
      <c r="BE54" s="170" t="s">
        <v>0</v>
      </c>
      <c r="BF54" s="170" t="s">
        <v>0</v>
      </c>
      <c r="BG54" s="170" t="s">
        <v>0</v>
      </c>
      <c r="BH54" s="170" t="s">
        <v>0</v>
      </c>
      <c r="BI54" s="171"/>
    </row>
    <row r="55" spans="1:61" x14ac:dyDescent="0.25">
      <c r="A55" s="22">
        <f t="shared" si="4"/>
        <v>49</v>
      </c>
      <c r="B55" s="214" t="str">
        <f t="shared" si="5"/>
        <v>F0013547310</v>
      </c>
      <c r="C55" s="214" t="str">
        <f t="shared" si="6"/>
        <v>82115-0E490 K</v>
      </c>
      <c r="D55" s="45" t="str">
        <f>VLOOKUP(B55,'Timing Table'!B:J,9,0)</f>
        <v>C/O</v>
      </c>
      <c r="E55" s="22" t="str">
        <f>VLOOKUP(B55,'Timing Table'!B:H,7,0)</f>
        <v>495D-HV</v>
      </c>
      <c r="F55" s="172" t="s">
        <v>79</v>
      </c>
      <c r="G55" s="173" t="s">
        <v>58</v>
      </c>
      <c r="H55" s="174" t="s">
        <v>58</v>
      </c>
      <c r="I55" s="175" t="s">
        <v>58</v>
      </c>
      <c r="J55" s="175" t="s">
        <v>0</v>
      </c>
      <c r="K55" s="175" t="s">
        <v>0</v>
      </c>
      <c r="L55" s="175" t="s">
        <v>0</v>
      </c>
      <c r="M55" s="175" t="s">
        <v>0</v>
      </c>
      <c r="N55" s="175" t="s">
        <v>0</v>
      </c>
      <c r="O55" s="175" t="s">
        <v>0</v>
      </c>
      <c r="P55" s="175" t="s">
        <v>0</v>
      </c>
      <c r="Q55" s="175" t="s">
        <v>313</v>
      </c>
      <c r="R55" s="175"/>
      <c r="S55" s="175" t="s">
        <v>0</v>
      </c>
      <c r="T55" s="175" t="s">
        <v>0</v>
      </c>
      <c r="U55" s="175" t="s">
        <v>0</v>
      </c>
      <c r="V55" s="175" t="s">
        <v>0</v>
      </c>
      <c r="W55" s="175" t="s">
        <v>0</v>
      </c>
      <c r="X55" s="175" t="s">
        <v>0</v>
      </c>
      <c r="Y55" s="175" t="s">
        <v>0</v>
      </c>
      <c r="Z55" s="175" t="s">
        <v>0</v>
      </c>
      <c r="AA55" s="175" t="s">
        <v>0</v>
      </c>
      <c r="AB55" s="175" t="s">
        <v>0</v>
      </c>
      <c r="AC55" s="175" t="s">
        <v>0</v>
      </c>
      <c r="AD55" s="175" t="s">
        <v>0</v>
      </c>
      <c r="AE55" s="175" t="s">
        <v>0</v>
      </c>
      <c r="AF55" s="175" t="s">
        <v>0</v>
      </c>
      <c r="AG55" s="175" t="s">
        <v>0</v>
      </c>
      <c r="AH55" s="175" t="s">
        <v>0</v>
      </c>
      <c r="AI55" s="175" t="s">
        <v>0</v>
      </c>
      <c r="AJ55" s="175" t="s">
        <v>0</v>
      </c>
      <c r="AK55" s="175" t="s">
        <v>0</v>
      </c>
      <c r="AL55" s="175" t="s">
        <v>0</v>
      </c>
      <c r="AM55" s="175" t="s">
        <v>0</v>
      </c>
      <c r="AN55" s="175" t="s">
        <v>0</v>
      </c>
      <c r="AO55" s="175" t="s">
        <v>0</v>
      </c>
      <c r="AP55" s="175" t="s">
        <v>0</v>
      </c>
      <c r="AQ55" s="175" t="s">
        <v>0</v>
      </c>
      <c r="AR55" s="175" t="s">
        <v>0</v>
      </c>
      <c r="AS55" s="175" t="s">
        <v>0</v>
      </c>
      <c r="AT55" s="175" t="s">
        <v>0</v>
      </c>
      <c r="AU55" s="175" t="s">
        <v>0</v>
      </c>
      <c r="AV55" s="175" t="s">
        <v>0</v>
      </c>
      <c r="AW55" s="175" t="s">
        <v>0</v>
      </c>
      <c r="AX55" s="175" t="s">
        <v>0</v>
      </c>
      <c r="AY55" s="175" t="s">
        <v>0</v>
      </c>
      <c r="AZ55" s="175" t="s">
        <v>0</v>
      </c>
      <c r="BA55" s="175" t="s">
        <v>0</v>
      </c>
      <c r="BB55" s="175" t="s">
        <v>0</v>
      </c>
      <c r="BC55" s="175" t="s">
        <v>0</v>
      </c>
      <c r="BD55" s="175" t="s">
        <v>0</v>
      </c>
      <c r="BE55" s="175" t="s">
        <v>0</v>
      </c>
      <c r="BF55" s="175" t="s">
        <v>0</v>
      </c>
      <c r="BG55" s="175" t="s">
        <v>0</v>
      </c>
      <c r="BH55" s="175" t="s">
        <v>0</v>
      </c>
      <c r="BI55" s="176"/>
    </row>
    <row r="56" spans="1:61" x14ac:dyDescent="0.25">
      <c r="A56" s="22">
        <f t="shared" si="4"/>
        <v>50</v>
      </c>
      <c r="B56" s="214" t="str">
        <f t="shared" si="5"/>
        <v>F0013547310</v>
      </c>
      <c r="C56" s="214" t="str">
        <f t="shared" si="6"/>
        <v>82115-0E490 K</v>
      </c>
      <c r="D56" s="45" t="str">
        <f>VLOOKUP(B56,'Timing Table'!B:J,9,0)</f>
        <v>C/O</v>
      </c>
      <c r="E56" s="22" t="str">
        <f>VLOOKUP(B56,'Timing Table'!B:H,7,0)</f>
        <v>495D-HV</v>
      </c>
      <c r="F56" s="177" t="s">
        <v>58</v>
      </c>
      <c r="G56" s="178" t="s">
        <v>58</v>
      </c>
      <c r="H56" s="179" t="s">
        <v>58</v>
      </c>
      <c r="I56" s="180" t="s">
        <v>58</v>
      </c>
      <c r="J56" s="180" t="s">
        <v>0</v>
      </c>
      <c r="K56" s="180" t="s">
        <v>0</v>
      </c>
      <c r="L56" s="180" t="s">
        <v>0</v>
      </c>
      <c r="M56" s="180" t="s">
        <v>0</v>
      </c>
      <c r="N56" s="180" t="s">
        <v>0</v>
      </c>
      <c r="O56" s="180" t="s">
        <v>0</v>
      </c>
      <c r="P56" s="180" t="s">
        <v>0</v>
      </c>
      <c r="Q56" s="180" t="s">
        <v>0</v>
      </c>
      <c r="R56" s="180" t="s">
        <v>0</v>
      </c>
      <c r="S56" s="180" t="s">
        <v>0</v>
      </c>
      <c r="T56" s="180" t="s">
        <v>0</v>
      </c>
      <c r="U56" s="180" t="s">
        <v>0</v>
      </c>
      <c r="V56" s="180" t="s">
        <v>0</v>
      </c>
      <c r="W56" s="180" t="s">
        <v>0</v>
      </c>
      <c r="X56" s="180" t="s">
        <v>0</v>
      </c>
      <c r="Y56" s="180" t="s">
        <v>0</v>
      </c>
      <c r="Z56" s="180" t="s">
        <v>0</v>
      </c>
      <c r="AA56" s="180" t="s">
        <v>0</v>
      </c>
      <c r="AB56" s="180" t="s">
        <v>0</v>
      </c>
      <c r="AC56" s="180" t="s">
        <v>0</v>
      </c>
      <c r="AD56" s="180" t="s">
        <v>0</v>
      </c>
      <c r="AE56" s="180" t="s">
        <v>0</v>
      </c>
      <c r="AF56" s="180" t="s">
        <v>0</v>
      </c>
      <c r="AG56" s="180" t="s">
        <v>0</v>
      </c>
      <c r="AH56" s="180" t="s">
        <v>0</v>
      </c>
      <c r="AI56" s="180" t="s">
        <v>0</v>
      </c>
      <c r="AJ56" s="180" t="s">
        <v>0</v>
      </c>
      <c r="AK56" s="180" t="s">
        <v>0</v>
      </c>
      <c r="AL56" s="180" t="s">
        <v>0</v>
      </c>
      <c r="AM56" s="180" t="s">
        <v>0</v>
      </c>
      <c r="AN56" s="180" t="s">
        <v>0</v>
      </c>
      <c r="AO56" s="180" t="s">
        <v>0</v>
      </c>
      <c r="AP56" s="180" t="s">
        <v>0</v>
      </c>
      <c r="AQ56" s="180" t="s">
        <v>0</v>
      </c>
      <c r="AR56" s="180" t="s">
        <v>0</v>
      </c>
      <c r="AS56" s="180" t="s">
        <v>0</v>
      </c>
      <c r="AT56" s="180" t="s">
        <v>0</v>
      </c>
      <c r="AU56" s="180" t="s">
        <v>0</v>
      </c>
      <c r="AV56" s="180" t="s">
        <v>0</v>
      </c>
      <c r="AW56" s="180" t="s">
        <v>0</v>
      </c>
      <c r="AX56" s="180" t="s">
        <v>0</v>
      </c>
      <c r="AY56" s="180" t="s">
        <v>0</v>
      </c>
      <c r="AZ56" s="180" t="s">
        <v>0</v>
      </c>
      <c r="BA56" s="180" t="s">
        <v>0</v>
      </c>
      <c r="BB56" s="180" t="s">
        <v>0</v>
      </c>
      <c r="BC56" s="180" t="s">
        <v>0</v>
      </c>
      <c r="BD56" s="180" t="s">
        <v>0</v>
      </c>
      <c r="BE56" s="180" t="s">
        <v>0</v>
      </c>
      <c r="BF56" s="180" t="s">
        <v>0</v>
      </c>
      <c r="BG56" s="180" t="s">
        <v>0</v>
      </c>
      <c r="BH56" s="180" t="s">
        <v>0</v>
      </c>
      <c r="BI56" s="181"/>
    </row>
    <row r="57" spans="1:61" x14ac:dyDescent="0.25">
      <c r="A57" s="22">
        <f t="shared" si="4"/>
        <v>51</v>
      </c>
      <c r="B57" s="214" t="str">
        <f>IF(F57=$F$7,G58,#REF!)</f>
        <v>F0013547809</v>
      </c>
      <c r="C57" s="214" t="str">
        <f>IF(F57=$F$7,G59,#REF!)</f>
        <v>82115-0EA00.</v>
      </c>
      <c r="D57" s="45" t="str">
        <f>VLOOKUP(B57,'Timing Table'!B:J,9,0)</f>
        <v>C/O</v>
      </c>
      <c r="E57" s="22" t="str">
        <f>VLOOKUP(B57,'Timing Table'!B:H,7,0)</f>
        <v>GAS</v>
      </c>
      <c r="F57" s="121" t="s">
        <v>59</v>
      </c>
      <c r="G57" s="146">
        <v>5501017957</v>
      </c>
      <c r="H57" s="121" t="s">
        <v>60</v>
      </c>
      <c r="I57" s="146">
        <v>91</v>
      </c>
      <c r="J57" s="121" t="s">
        <v>61</v>
      </c>
      <c r="K57" s="125">
        <v>1146064</v>
      </c>
      <c r="L57" s="126"/>
      <c r="M57" s="147" t="s">
        <v>62</v>
      </c>
      <c r="N57" s="148"/>
      <c r="O57" s="149">
        <v>46086</v>
      </c>
      <c r="P57" s="121" t="s">
        <v>63</v>
      </c>
      <c r="Q57" s="146">
        <v>4</v>
      </c>
      <c r="R57" s="6" t="s">
        <v>0</v>
      </c>
      <c r="S57" s="7" t="s">
        <v>0</v>
      </c>
      <c r="T57" s="7" t="s">
        <v>0</v>
      </c>
      <c r="U57" s="7" t="s">
        <v>0</v>
      </c>
      <c r="V57" s="7" t="s">
        <v>0</v>
      </c>
      <c r="W57" s="7" t="s">
        <v>0</v>
      </c>
      <c r="X57" s="7" t="s">
        <v>0</v>
      </c>
      <c r="Y57" s="7" t="s">
        <v>0</v>
      </c>
      <c r="Z57" s="7" t="s">
        <v>0</v>
      </c>
      <c r="AA57" s="7" t="s">
        <v>0</v>
      </c>
      <c r="AB57" s="7" t="s">
        <v>0</v>
      </c>
      <c r="AC57" s="7" t="s">
        <v>0</v>
      </c>
      <c r="AD57" s="7" t="s">
        <v>0</v>
      </c>
      <c r="AE57" s="7" t="s">
        <v>0</v>
      </c>
      <c r="AF57" s="7" t="s">
        <v>0</v>
      </c>
      <c r="AG57" s="7" t="s">
        <v>0</v>
      </c>
      <c r="AH57" s="7" t="s">
        <v>0</v>
      </c>
      <c r="AI57" s="7" t="s">
        <v>0</v>
      </c>
      <c r="AJ57" s="7" t="s">
        <v>0</v>
      </c>
      <c r="AK57" s="7" t="s">
        <v>0</v>
      </c>
      <c r="AL57" s="7" t="s">
        <v>0</v>
      </c>
      <c r="AM57" s="7" t="s">
        <v>0</v>
      </c>
      <c r="AN57" s="7" t="s">
        <v>0</v>
      </c>
      <c r="AO57" s="7" t="s">
        <v>0</v>
      </c>
      <c r="AP57" s="7" t="s">
        <v>0</v>
      </c>
      <c r="AQ57" s="7" t="s">
        <v>0</v>
      </c>
      <c r="AR57" s="7" t="s">
        <v>0</v>
      </c>
      <c r="AS57" s="7" t="s">
        <v>0</v>
      </c>
      <c r="AT57" s="7" t="s">
        <v>0</v>
      </c>
      <c r="AU57" s="7" t="s">
        <v>0</v>
      </c>
      <c r="AV57" s="7" t="s">
        <v>0</v>
      </c>
      <c r="AW57" s="7" t="s">
        <v>0</v>
      </c>
      <c r="AX57" s="7" t="s">
        <v>0</v>
      </c>
      <c r="AY57" s="7" t="s">
        <v>0</v>
      </c>
      <c r="AZ57" s="7" t="s">
        <v>0</v>
      </c>
      <c r="BA57" s="7" t="s">
        <v>0</v>
      </c>
      <c r="BB57" s="7" t="s">
        <v>0</v>
      </c>
      <c r="BC57" s="7" t="s">
        <v>0</v>
      </c>
      <c r="BD57" s="7" t="s">
        <v>0</v>
      </c>
      <c r="BE57" s="7" t="s">
        <v>0</v>
      </c>
      <c r="BF57" s="7" t="s">
        <v>0</v>
      </c>
      <c r="BG57" s="7" t="s">
        <v>0</v>
      </c>
      <c r="BH57" s="7" t="s">
        <v>0</v>
      </c>
      <c r="BI57" s="8"/>
    </row>
    <row r="58" spans="1:61" x14ac:dyDescent="0.25">
      <c r="A58" s="22">
        <f t="shared" si="4"/>
        <v>52</v>
      </c>
      <c r="B58" s="214" t="str">
        <f t="shared" ref="B58:B75" si="7">IF(F58=$F$7,G59,B57)</f>
        <v>F0013547809</v>
      </c>
      <c r="C58" s="214" t="str">
        <f t="shared" ref="C58:C74" si="8">IF(F58=$F$7,G60,C57)</f>
        <v>82115-0EA00.</v>
      </c>
      <c r="D58" s="45" t="str">
        <f>VLOOKUP(B58,'Timing Table'!B:J,9,0)</f>
        <v>C/O</v>
      </c>
      <c r="E58" s="22" t="str">
        <f>VLOOKUP(B58,'Timing Table'!B:H,7,0)</f>
        <v>GAS</v>
      </c>
      <c r="F58" s="121" t="s">
        <v>64</v>
      </c>
      <c r="G58" s="146" t="s">
        <v>175</v>
      </c>
      <c r="H58" s="121" t="s">
        <v>65</v>
      </c>
      <c r="I58" s="150" t="s">
        <v>197</v>
      </c>
      <c r="J58" s="151"/>
      <c r="K58" s="151"/>
      <c r="L58" s="152"/>
      <c r="M58" s="121" t="s">
        <v>66</v>
      </c>
      <c r="N58" s="146">
        <v>2023</v>
      </c>
      <c r="O58" s="140" t="s">
        <v>67</v>
      </c>
      <c r="P58" s="141"/>
      <c r="Q58" s="153" t="s">
        <v>198</v>
      </c>
      <c r="R58" s="122" t="s">
        <v>0</v>
      </c>
      <c r="S58" s="123" t="s">
        <v>0</v>
      </c>
      <c r="T58" s="123" t="s">
        <v>0</v>
      </c>
      <c r="U58" s="123" t="s">
        <v>0</v>
      </c>
      <c r="V58" s="123" t="s">
        <v>0</v>
      </c>
      <c r="W58" s="123" t="s">
        <v>0</v>
      </c>
      <c r="X58" s="123" t="s">
        <v>0</v>
      </c>
      <c r="Y58" s="123" t="s">
        <v>0</v>
      </c>
      <c r="Z58" s="123" t="s">
        <v>0</v>
      </c>
      <c r="AA58" s="123" t="s">
        <v>0</v>
      </c>
      <c r="AB58" s="123" t="s">
        <v>0</v>
      </c>
      <c r="AC58" s="123" t="s">
        <v>0</v>
      </c>
      <c r="AD58" s="123" t="s">
        <v>0</v>
      </c>
      <c r="AE58" s="123" t="s">
        <v>0</v>
      </c>
      <c r="AF58" s="123" t="s">
        <v>0</v>
      </c>
      <c r="AG58" s="123" t="s">
        <v>0</v>
      </c>
      <c r="AH58" s="123" t="s">
        <v>0</v>
      </c>
      <c r="AI58" s="123" t="s">
        <v>0</v>
      </c>
      <c r="AJ58" s="123" t="s">
        <v>0</v>
      </c>
      <c r="AK58" s="123" t="s">
        <v>0</v>
      </c>
      <c r="AL58" s="123" t="s">
        <v>0</v>
      </c>
      <c r="AM58" s="123" t="s">
        <v>0</v>
      </c>
      <c r="AN58" s="123" t="s">
        <v>0</v>
      </c>
      <c r="AO58" s="123" t="s">
        <v>0</v>
      </c>
      <c r="AP58" s="123" t="s">
        <v>0</v>
      </c>
      <c r="AQ58" s="123" t="s">
        <v>0</v>
      </c>
      <c r="AR58" s="123" t="s">
        <v>0</v>
      </c>
      <c r="AS58" s="123" t="s">
        <v>0</v>
      </c>
      <c r="AT58" s="123" t="s">
        <v>0</v>
      </c>
      <c r="AU58" s="123" t="s">
        <v>0</v>
      </c>
      <c r="AV58" s="123" t="s">
        <v>0</v>
      </c>
      <c r="AW58" s="123" t="s">
        <v>0</v>
      </c>
      <c r="AX58" s="123" t="s">
        <v>0</v>
      </c>
      <c r="AY58" s="123" t="s">
        <v>0</v>
      </c>
      <c r="AZ58" s="123" t="s">
        <v>0</v>
      </c>
      <c r="BA58" s="123" t="s">
        <v>0</v>
      </c>
      <c r="BB58" s="123" t="s">
        <v>0</v>
      </c>
      <c r="BC58" s="123" t="s">
        <v>0</v>
      </c>
      <c r="BD58" s="123" t="s">
        <v>0</v>
      </c>
      <c r="BE58" s="123" t="s">
        <v>0</v>
      </c>
      <c r="BF58" s="123" t="s">
        <v>0</v>
      </c>
      <c r="BG58" s="123" t="s">
        <v>0</v>
      </c>
      <c r="BH58" s="123" t="s">
        <v>0</v>
      </c>
      <c r="BI58" s="124"/>
    </row>
    <row r="59" spans="1:61" x14ac:dyDescent="0.25">
      <c r="A59" s="22">
        <f t="shared" si="4"/>
        <v>53</v>
      </c>
      <c r="B59" s="214" t="str">
        <f t="shared" si="7"/>
        <v>F0013547809</v>
      </c>
      <c r="C59" s="214" t="str">
        <f t="shared" si="8"/>
        <v>82115-0EA00.</v>
      </c>
      <c r="D59" s="45" t="str">
        <f>VLOOKUP(B59,'Timing Table'!B:J,9,0)</f>
        <v>C/O</v>
      </c>
      <c r="E59" s="22" t="str">
        <f>VLOOKUP(B59,'Timing Table'!B:H,7,0)</f>
        <v>GAS</v>
      </c>
      <c r="F59" s="121" t="s">
        <v>68</v>
      </c>
      <c r="G59" s="146" t="s">
        <v>334</v>
      </c>
      <c r="H59" s="121" t="s">
        <v>69</v>
      </c>
      <c r="I59" s="154" t="s">
        <v>58</v>
      </c>
      <c r="J59" s="155" t="s">
        <v>0</v>
      </c>
      <c r="K59" s="156" t="s">
        <v>0</v>
      </c>
      <c r="L59" s="157" t="s">
        <v>0</v>
      </c>
      <c r="M59" s="134" t="s">
        <v>0</v>
      </c>
      <c r="N59" s="134" t="s">
        <v>0</v>
      </c>
      <c r="O59" s="134" t="s">
        <v>0</v>
      </c>
      <c r="P59" s="134" t="s">
        <v>0</v>
      </c>
      <c r="Q59" s="134" t="s">
        <v>1</v>
      </c>
      <c r="R59" s="134" t="s">
        <v>2</v>
      </c>
      <c r="S59" s="134" t="s">
        <v>0</v>
      </c>
      <c r="T59" s="134" t="s">
        <v>0</v>
      </c>
      <c r="U59" s="134" t="s">
        <v>0</v>
      </c>
      <c r="V59" s="134" t="s">
        <v>0</v>
      </c>
      <c r="W59" s="134" t="s">
        <v>0</v>
      </c>
      <c r="X59" s="134" t="s">
        <v>0</v>
      </c>
      <c r="Y59" s="134" t="s">
        <v>0</v>
      </c>
      <c r="Z59" s="134" t="s">
        <v>3</v>
      </c>
      <c r="AA59" s="134" t="s">
        <v>0</v>
      </c>
      <c r="AB59" s="134" t="s">
        <v>0</v>
      </c>
      <c r="AC59" s="134" t="s">
        <v>0</v>
      </c>
      <c r="AD59" s="134" t="s">
        <v>0</v>
      </c>
      <c r="AE59" s="134" t="s">
        <v>0</v>
      </c>
      <c r="AF59" s="134" t="s">
        <v>0</v>
      </c>
      <c r="AG59" s="134" t="s">
        <v>0</v>
      </c>
      <c r="AH59" s="134" t="s">
        <v>0</v>
      </c>
      <c r="AI59" s="134" t="s">
        <v>0</v>
      </c>
      <c r="AJ59" s="134" t="s">
        <v>0</v>
      </c>
      <c r="AK59" s="134" t="s">
        <v>0</v>
      </c>
      <c r="AL59" s="134" t="s">
        <v>0</v>
      </c>
      <c r="AM59" s="134" t="s">
        <v>0</v>
      </c>
      <c r="AN59" s="134" t="s">
        <v>0</v>
      </c>
      <c r="AO59" s="134" t="s">
        <v>0</v>
      </c>
      <c r="AP59" s="134" t="s">
        <v>0</v>
      </c>
      <c r="AQ59" s="134" t="s">
        <v>0</v>
      </c>
      <c r="AR59" s="134" t="s">
        <v>0</v>
      </c>
      <c r="AS59" s="134" t="s">
        <v>0</v>
      </c>
      <c r="AT59" s="134" t="s">
        <v>0</v>
      </c>
      <c r="AU59" s="134" t="s">
        <v>0</v>
      </c>
      <c r="AV59" s="134" t="s">
        <v>0</v>
      </c>
      <c r="AW59" s="134" t="s">
        <v>0</v>
      </c>
      <c r="AX59" s="134" t="s">
        <v>0</v>
      </c>
      <c r="AY59" s="134" t="s">
        <v>0</v>
      </c>
      <c r="AZ59" s="134" t="s">
        <v>0</v>
      </c>
      <c r="BA59" s="134" t="s">
        <v>0</v>
      </c>
      <c r="BB59" s="134" t="s">
        <v>0</v>
      </c>
      <c r="BC59" s="134" t="s">
        <v>0</v>
      </c>
      <c r="BD59" s="134" t="s">
        <v>0</v>
      </c>
      <c r="BE59" s="134" t="s">
        <v>0</v>
      </c>
      <c r="BF59" s="134" t="s">
        <v>0</v>
      </c>
      <c r="BG59" s="134" t="s">
        <v>0</v>
      </c>
      <c r="BH59" s="134" t="s">
        <v>0</v>
      </c>
      <c r="BI59" s="135" t="s">
        <v>4</v>
      </c>
    </row>
    <row r="60" spans="1:61" x14ac:dyDescent="0.25">
      <c r="A60" s="22">
        <f t="shared" si="4"/>
        <v>54</v>
      </c>
      <c r="B60" s="214" t="str">
        <f t="shared" si="7"/>
        <v>F0013547809</v>
      </c>
      <c r="C60" s="214" t="str">
        <f t="shared" si="8"/>
        <v>82115-0EA00.</v>
      </c>
      <c r="D60" s="45" t="str">
        <f>VLOOKUP(B60,'Timing Table'!B:J,9,0)</f>
        <v>C/O</v>
      </c>
      <c r="E60" s="22" t="str">
        <f>VLOOKUP(B60,'Timing Table'!B:H,7,0)</f>
        <v>GAS</v>
      </c>
      <c r="F60" s="121" t="s">
        <v>70</v>
      </c>
      <c r="G60" s="146">
        <v>17712</v>
      </c>
      <c r="H60" s="158" t="s">
        <v>240</v>
      </c>
      <c r="I60" s="159" t="s">
        <v>71</v>
      </c>
      <c r="J60" s="13">
        <v>46041</v>
      </c>
      <c r="K60" s="14">
        <v>46048</v>
      </c>
      <c r="L60" s="14">
        <v>46055</v>
      </c>
      <c r="M60" s="14">
        <v>46062</v>
      </c>
      <c r="N60" s="14">
        <v>46069</v>
      </c>
      <c r="O60" s="14">
        <v>46076</v>
      </c>
      <c r="P60" s="14">
        <v>46083</v>
      </c>
      <c r="Q60" s="14">
        <v>46090</v>
      </c>
      <c r="R60" s="14">
        <v>46097</v>
      </c>
      <c r="S60" s="14">
        <v>46104</v>
      </c>
      <c r="T60" s="14">
        <v>46111</v>
      </c>
      <c r="U60" s="14">
        <v>46118</v>
      </c>
      <c r="V60" s="14">
        <v>46125</v>
      </c>
      <c r="W60" s="14">
        <v>46132</v>
      </c>
      <c r="X60" s="14">
        <v>46139</v>
      </c>
      <c r="Y60" s="14">
        <v>46146</v>
      </c>
      <c r="Z60" s="14">
        <v>46153</v>
      </c>
      <c r="AA60" s="14">
        <v>46160</v>
      </c>
      <c r="AB60" s="14">
        <v>46167</v>
      </c>
      <c r="AC60" s="14">
        <v>46174</v>
      </c>
      <c r="AD60" s="14">
        <v>46181</v>
      </c>
      <c r="AE60" s="14">
        <v>46188</v>
      </c>
      <c r="AF60" s="14">
        <v>46195</v>
      </c>
      <c r="AG60" s="14">
        <v>46202</v>
      </c>
      <c r="AH60" s="14">
        <v>46209</v>
      </c>
      <c r="AI60" s="14">
        <v>46216</v>
      </c>
      <c r="AJ60" s="14">
        <v>46223</v>
      </c>
      <c r="AK60" s="14">
        <v>46230</v>
      </c>
      <c r="AL60" s="14">
        <v>46237</v>
      </c>
      <c r="AM60" s="14">
        <v>46244</v>
      </c>
      <c r="AN60" s="14">
        <v>46251</v>
      </c>
      <c r="AO60" s="14">
        <v>46258</v>
      </c>
      <c r="AP60" s="14">
        <v>46265</v>
      </c>
      <c r="AQ60" s="14">
        <v>46272</v>
      </c>
      <c r="AR60" s="14">
        <v>46279</v>
      </c>
      <c r="AS60" s="14">
        <v>46286</v>
      </c>
      <c r="AT60" s="14">
        <v>46293</v>
      </c>
      <c r="AU60" s="14">
        <v>46300</v>
      </c>
      <c r="AV60" s="14">
        <v>46307</v>
      </c>
      <c r="AW60" s="14">
        <v>46314</v>
      </c>
      <c r="AX60" s="14">
        <v>46321</v>
      </c>
      <c r="AY60" s="14">
        <v>46328</v>
      </c>
      <c r="AZ60" s="14">
        <v>46335</v>
      </c>
      <c r="BA60" s="14">
        <v>46342</v>
      </c>
      <c r="BB60" s="14">
        <v>46349</v>
      </c>
      <c r="BC60" s="14">
        <v>46356</v>
      </c>
      <c r="BD60" s="14">
        <v>46363</v>
      </c>
      <c r="BE60" s="14">
        <v>46370</v>
      </c>
      <c r="BF60" s="14">
        <v>46377</v>
      </c>
      <c r="BG60" s="14">
        <v>46384</v>
      </c>
      <c r="BH60" s="14">
        <v>46391</v>
      </c>
      <c r="BI60" s="15">
        <v>46398</v>
      </c>
    </row>
    <row r="61" spans="1:61" x14ac:dyDescent="0.25">
      <c r="A61" s="22">
        <f t="shared" si="4"/>
        <v>55</v>
      </c>
      <c r="B61" s="214" t="str">
        <f t="shared" si="7"/>
        <v>F0013547809</v>
      </c>
      <c r="C61" s="214" t="str">
        <f t="shared" si="8"/>
        <v>82115-0EA00.</v>
      </c>
      <c r="D61" s="45" t="str">
        <f>VLOOKUP(B61,'Timing Table'!B:J,9,0)</f>
        <v>C/O</v>
      </c>
      <c r="E61" s="22" t="str">
        <f>VLOOKUP(B61,'Timing Table'!B:H,7,0)</f>
        <v>GAS</v>
      </c>
      <c r="F61" s="121" t="s">
        <v>72</v>
      </c>
      <c r="G61" s="146">
        <v>18560</v>
      </c>
      <c r="H61" s="5" t="s">
        <v>58</v>
      </c>
      <c r="I61" s="11" t="s">
        <v>83</v>
      </c>
      <c r="J61" s="16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17"/>
    </row>
    <row r="62" spans="1:61" x14ac:dyDescent="0.25">
      <c r="A62" s="22">
        <f t="shared" si="4"/>
        <v>56</v>
      </c>
      <c r="B62" s="214" t="str">
        <f t="shared" si="7"/>
        <v>F0013547809</v>
      </c>
      <c r="C62" s="214" t="str">
        <f t="shared" si="8"/>
        <v>82115-0EA00.</v>
      </c>
      <c r="D62" s="45" t="str">
        <f>VLOOKUP(B62,'Timing Table'!B:J,9,0)</f>
        <v>C/O</v>
      </c>
      <c r="E62" s="22" t="str">
        <f>VLOOKUP(B62,'Timing Table'!B:H,7,0)</f>
        <v>GAS</v>
      </c>
      <c r="F62" s="121" t="s">
        <v>73</v>
      </c>
      <c r="G62" s="160" t="s">
        <v>91</v>
      </c>
      <c r="H62" s="9" t="s">
        <v>88</v>
      </c>
      <c r="I62" s="11" t="s">
        <v>74</v>
      </c>
      <c r="J62" s="117">
        <v>512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  <c r="Q62" s="50">
        <v>0</v>
      </c>
      <c r="R62" s="50">
        <v>0</v>
      </c>
      <c r="S62" s="50">
        <v>0</v>
      </c>
      <c r="T62" s="50">
        <v>0</v>
      </c>
      <c r="U62" s="50">
        <v>0</v>
      </c>
      <c r="V62" s="50">
        <v>0</v>
      </c>
      <c r="W62" s="50">
        <v>0</v>
      </c>
      <c r="X62" s="50">
        <v>0</v>
      </c>
      <c r="Y62" s="50">
        <v>0</v>
      </c>
      <c r="Z62" s="50">
        <v>0</v>
      </c>
      <c r="AA62" s="50">
        <v>0</v>
      </c>
      <c r="AB62" s="50">
        <v>0</v>
      </c>
      <c r="AC62" s="50">
        <v>0</v>
      </c>
      <c r="AD62" s="50">
        <v>0</v>
      </c>
      <c r="AE62" s="50">
        <v>0</v>
      </c>
      <c r="AF62" s="50">
        <v>0</v>
      </c>
      <c r="AG62" s="50">
        <v>0</v>
      </c>
      <c r="AH62" s="50">
        <v>0</v>
      </c>
      <c r="AI62" s="50">
        <v>0</v>
      </c>
      <c r="AJ62" s="50">
        <v>0</v>
      </c>
      <c r="AK62" s="50">
        <v>0</v>
      </c>
      <c r="AL62" s="50">
        <v>0</v>
      </c>
      <c r="AM62" s="50">
        <v>0</v>
      </c>
      <c r="AN62" s="50">
        <v>0</v>
      </c>
      <c r="AO62" s="50">
        <v>0</v>
      </c>
      <c r="AP62" s="50">
        <v>0</v>
      </c>
      <c r="AQ62" s="50">
        <v>0</v>
      </c>
      <c r="AR62" s="50">
        <v>0</v>
      </c>
      <c r="AS62" s="50">
        <v>0</v>
      </c>
      <c r="AT62" s="50">
        <v>0</v>
      </c>
      <c r="AU62" s="50">
        <v>0</v>
      </c>
      <c r="AV62" s="50">
        <v>0</v>
      </c>
      <c r="AW62" s="50">
        <v>0</v>
      </c>
      <c r="AX62" s="50">
        <v>0</v>
      </c>
      <c r="AY62" s="50">
        <v>0</v>
      </c>
      <c r="AZ62" s="50">
        <v>0</v>
      </c>
      <c r="BA62" s="50">
        <v>0</v>
      </c>
      <c r="BB62" s="50">
        <v>0</v>
      </c>
      <c r="BC62" s="50">
        <v>0</v>
      </c>
      <c r="BD62" s="50">
        <v>0</v>
      </c>
      <c r="BE62" s="50">
        <v>0</v>
      </c>
      <c r="BF62" s="50">
        <v>0</v>
      </c>
      <c r="BG62" s="50">
        <v>0</v>
      </c>
      <c r="BH62" s="50">
        <v>0</v>
      </c>
      <c r="BI62" s="118">
        <v>0</v>
      </c>
    </row>
    <row r="63" spans="1:61" x14ac:dyDescent="0.25">
      <c r="A63" s="22">
        <f t="shared" si="4"/>
        <v>57</v>
      </c>
      <c r="B63" s="214" t="str">
        <f t="shared" si="7"/>
        <v>F0013547809</v>
      </c>
      <c r="C63" s="214" t="str">
        <f t="shared" si="8"/>
        <v>82115-0EA00.</v>
      </c>
      <c r="D63" s="45" t="str">
        <f>VLOOKUP(B63,'Timing Table'!B:J,9,0)</f>
        <v>C/O</v>
      </c>
      <c r="E63" s="22" t="str">
        <f>VLOOKUP(B63,'Timing Table'!B:H,7,0)</f>
        <v>GAS</v>
      </c>
      <c r="F63" s="121" t="s">
        <v>75</v>
      </c>
      <c r="G63" s="146">
        <v>82115</v>
      </c>
      <c r="H63" s="10" t="s">
        <v>88</v>
      </c>
      <c r="I63" s="12" t="s">
        <v>76</v>
      </c>
      <c r="J63" s="161">
        <v>17712</v>
      </c>
      <c r="K63" s="162">
        <v>17712</v>
      </c>
      <c r="L63" s="162">
        <v>17712</v>
      </c>
      <c r="M63" s="162">
        <v>17712</v>
      </c>
      <c r="N63" s="162">
        <v>17712</v>
      </c>
      <c r="O63" s="162">
        <v>17712</v>
      </c>
      <c r="P63" s="162">
        <v>17712</v>
      </c>
      <c r="Q63" s="162">
        <v>17712</v>
      </c>
      <c r="R63" s="162">
        <v>17712</v>
      </c>
      <c r="S63" s="162">
        <v>17712</v>
      </c>
      <c r="T63" s="162">
        <v>17712</v>
      </c>
      <c r="U63" s="162">
        <v>17712</v>
      </c>
      <c r="V63" s="162">
        <v>17712</v>
      </c>
      <c r="W63" s="162">
        <v>17712</v>
      </c>
      <c r="X63" s="162">
        <v>17712</v>
      </c>
      <c r="Y63" s="162">
        <v>17712</v>
      </c>
      <c r="Z63" s="162">
        <v>17712</v>
      </c>
      <c r="AA63" s="162">
        <v>17712</v>
      </c>
      <c r="AB63" s="162">
        <v>17712</v>
      </c>
      <c r="AC63" s="162">
        <v>17712</v>
      </c>
      <c r="AD63" s="162">
        <v>17712</v>
      </c>
      <c r="AE63" s="162">
        <v>17712</v>
      </c>
      <c r="AF63" s="162">
        <v>17712</v>
      </c>
      <c r="AG63" s="162">
        <v>17712</v>
      </c>
      <c r="AH63" s="162">
        <v>17712</v>
      </c>
      <c r="AI63" s="162">
        <v>17712</v>
      </c>
      <c r="AJ63" s="162">
        <v>17712</v>
      </c>
      <c r="AK63" s="162">
        <v>17712</v>
      </c>
      <c r="AL63" s="162">
        <v>17712</v>
      </c>
      <c r="AM63" s="162">
        <v>17712</v>
      </c>
      <c r="AN63" s="162">
        <v>17712</v>
      </c>
      <c r="AO63" s="162">
        <v>17712</v>
      </c>
      <c r="AP63" s="162">
        <v>17712</v>
      </c>
      <c r="AQ63" s="162">
        <v>17712</v>
      </c>
      <c r="AR63" s="162">
        <v>17712</v>
      </c>
      <c r="AS63" s="162">
        <v>17712</v>
      </c>
      <c r="AT63" s="162">
        <v>17712</v>
      </c>
      <c r="AU63" s="162">
        <v>17712</v>
      </c>
      <c r="AV63" s="162">
        <v>17712</v>
      </c>
      <c r="AW63" s="162">
        <v>17712</v>
      </c>
      <c r="AX63" s="162">
        <v>17712</v>
      </c>
      <c r="AY63" s="162">
        <v>17712</v>
      </c>
      <c r="AZ63" s="162">
        <v>17712</v>
      </c>
      <c r="BA63" s="162">
        <v>17712</v>
      </c>
      <c r="BB63" s="162">
        <v>17712</v>
      </c>
      <c r="BC63" s="162">
        <v>17712</v>
      </c>
      <c r="BD63" s="162">
        <v>17712</v>
      </c>
      <c r="BE63" s="162">
        <v>17712</v>
      </c>
      <c r="BF63" s="162">
        <v>17712</v>
      </c>
      <c r="BG63" s="162">
        <v>17712</v>
      </c>
      <c r="BH63" s="162">
        <v>17712</v>
      </c>
      <c r="BI63" s="163">
        <v>17712</v>
      </c>
    </row>
    <row r="64" spans="1:61" x14ac:dyDescent="0.25">
      <c r="A64" s="22">
        <f t="shared" si="4"/>
        <v>58</v>
      </c>
      <c r="B64" s="214" t="str">
        <f t="shared" si="7"/>
        <v>F0013547809</v>
      </c>
      <c r="C64" s="214" t="str">
        <f t="shared" si="8"/>
        <v>82115-0EA00.</v>
      </c>
      <c r="D64" s="45" t="str">
        <f>VLOOKUP(B64,'Timing Table'!B:J,9,0)</f>
        <v>C/O</v>
      </c>
      <c r="E64" s="22" t="str">
        <f>VLOOKUP(B64,'Timing Table'!B:H,7,0)</f>
        <v>GAS</v>
      </c>
      <c r="F64" s="164" t="s">
        <v>77</v>
      </c>
      <c r="G64" s="165">
        <v>17200</v>
      </c>
      <c r="H64" s="166" t="s">
        <v>78</v>
      </c>
      <c r="I64" s="167"/>
      <c r="J64" s="168" t="s">
        <v>309</v>
      </c>
      <c r="K64" s="169"/>
      <c r="L64" s="170" t="s">
        <v>0</v>
      </c>
      <c r="M64" s="170" t="s">
        <v>0</v>
      </c>
      <c r="N64" s="170" t="s">
        <v>0</v>
      </c>
      <c r="O64" s="170" t="s">
        <v>0</v>
      </c>
      <c r="P64" s="170" t="s">
        <v>0</v>
      </c>
      <c r="Q64" s="170" t="s">
        <v>0</v>
      </c>
      <c r="R64" s="170" t="s">
        <v>0</v>
      </c>
      <c r="S64" s="170" t="s">
        <v>0</v>
      </c>
      <c r="T64" s="170" t="s">
        <v>0</v>
      </c>
      <c r="U64" s="170" t="s">
        <v>0</v>
      </c>
      <c r="V64" s="170" t="s">
        <v>0</v>
      </c>
      <c r="W64" s="170" t="s">
        <v>0</v>
      </c>
      <c r="X64" s="170" t="s">
        <v>0</v>
      </c>
      <c r="Y64" s="170" t="s">
        <v>0</v>
      </c>
      <c r="Z64" s="170" t="s">
        <v>0</v>
      </c>
      <c r="AA64" s="170" t="s">
        <v>0</v>
      </c>
      <c r="AB64" s="170" t="s">
        <v>0</v>
      </c>
      <c r="AC64" s="170" t="s">
        <v>0</v>
      </c>
      <c r="AD64" s="170" t="s">
        <v>0</v>
      </c>
      <c r="AE64" s="170" t="s">
        <v>0</v>
      </c>
      <c r="AF64" s="170" t="s">
        <v>0</v>
      </c>
      <c r="AG64" s="170" t="s">
        <v>0</v>
      </c>
      <c r="AH64" s="170" t="s">
        <v>0</v>
      </c>
      <c r="AI64" s="170" t="s">
        <v>0</v>
      </c>
      <c r="AJ64" s="170" t="s">
        <v>0</v>
      </c>
      <c r="AK64" s="170" t="s">
        <v>0</v>
      </c>
      <c r="AL64" s="170" t="s">
        <v>0</v>
      </c>
      <c r="AM64" s="170" t="s">
        <v>0</v>
      </c>
      <c r="AN64" s="170" t="s">
        <v>0</v>
      </c>
      <c r="AO64" s="170" t="s">
        <v>0</v>
      </c>
      <c r="AP64" s="170" t="s">
        <v>0</v>
      </c>
      <c r="AQ64" s="170" t="s">
        <v>0</v>
      </c>
      <c r="AR64" s="170" t="s">
        <v>0</v>
      </c>
      <c r="AS64" s="170" t="s">
        <v>0</v>
      </c>
      <c r="AT64" s="170" t="s">
        <v>0</v>
      </c>
      <c r="AU64" s="170" t="s">
        <v>0</v>
      </c>
      <c r="AV64" s="170" t="s">
        <v>0</v>
      </c>
      <c r="AW64" s="170" t="s">
        <v>0</v>
      </c>
      <c r="AX64" s="170" t="s">
        <v>0</v>
      </c>
      <c r="AY64" s="170" t="s">
        <v>0</v>
      </c>
      <c r="AZ64" s="170" t="s">
        <v>0</v>
      </c>
      <c r="BA64" s="170" t="s">
        <v>0</v>
      </c>
      <c r="BB64" s="170" t="s">
        <v>0</v>
      </c>
      <c r="BC64" s="170" t="s">
        <v>0</v>
      </c>
      <c r="BD64" s="170" t="s">
        <v>0</v>
      </c>
      <c r="BE64" s="170" t="s">
        <v>0</v>
      </c>
      <c r="BF64" s="170" t="s">
        <v>0</v>
      </c>
      <c r="BG64" s="170" t="s">
        <v>0</v>
      </c>
      <c r="BH64" s="170" t="s">
        <v>0</v>
      </c>
      <c r="BI64" s="171"/>
    </row>
    <row r="65" spans="1:61" x14ac:dyDescent="0.25">
      <c r="A65" s="22">
        <f t="shared" si="4"/>
        <v>59</v>
      </c>
      <c r="B65" s="214" t="str">
        <f t="shared" si="7"/>
        <v>F0013547809</v>
      </c>
      <c r="C65" s="214" t="str">
        <f t="shared" si="8"/>
        <v>82115-0EA00.</v>
      </c>
      <c r="D65" s="45" t="str">
        <f>VLOOKUP(B65,'Timing Table'!B:J,9,0)</f>
        <v>C/O</v>
      </c>
      <c r="E65" s="22" t="str">
        <f>VLOOKUP(B65,'Timing Table'!B:H,7,0)</f>
        <v>GAS</v>
      </c>
      <c r="F65" s="172" t="s">
        <v>79</v>
      </c>
      <c r="G65" s="173" t="s">
        <v>58</v>
      </c>
      <c r="H65" s="174" t="s">
        <v>58</v>
      </c>
      <c r="I65" s="175" t="s">
        <v>58</v>
      </c>
      <c r="J65" s="175" t="s">
        <v>0</v>
      </c>
      <c r="K65" s="175" t="s">
        <v>0</v>
      </c>
      <c r="L65" s="175" t="s">
        <v>0</v>
      </c>
      <c r="M65" s="175" t="s">
        <v>0</v>
      </c>
      <c r="N65" s="175" t="s">
        <v>0</v>
      </c>
      <c r="O65" s="175" t="s">
        <v>0</v>
      </c>
      <c r="P65" s="175" t="s">
        <v>0</v>
      </c>
      <c r="Q65" s="175" t="s">
        <v>0</v>
      </c>
      <c r="R65" s="175" t="s">
        <v>0</v>
      </c>
      <c r="S65" s="175" t="s">
        <v>0</v>
      </c>
      <c r="T65" s="175" t="s">
        <v>0</v>
      </c>
      <c r="U65" s="175" t="s">
        <v>0</v>
      </c>
      <c r="V65" s="175" t="s">
        <v>0</v>
      </c>
      <c r="W65" s="175" t="s">
        <v>0</v>
      </c>
      <c r="X65" s="175" t="s">
        <v>0</v>
      </c>
      <c r="Y65" s="175" t="s">
        <v>0</v>
      </c>
      <c r="Z65" s="175" t="s">
        <v>0</v>
      </c>
      <c r="AA65" s="175" t="s">
        <v>0</v>
      </c>
      <c r="AB65" s="175" t="s">
        <v>0</v>
      </c>
      <c r="AC65" s="175" t="s">
        <v>0</v>
      </c>
      <c r="AD65" s="175" t="s">
        <v>0</v>
      </c>
      <c r="AE65" s="175" t="s">
        <v>0</v>
      </c>
      <c r="AF65" s="175" t="s">
        <v>0</v>
      </c>
      <c r="AG65" s="175" t="s">
        <v>0</v>
      </c>
      <c r="AH65" s="175" t="s">
        <v>0</v>
      </c>
      <c r="AI65" s="175" t="s">
        <v>0</v>
      </c>
      <c r="AJ65" s="175" t="s">
        <v>0</v>
      </c>
      <c r="AK65" s="175" t="s">
        <v>0</v>
      </c>
      <c r="AL65" s="175" t="s">
        <v>0</v>
      </c>
      <c r="AM65" s="175" t="s">
        <v>0</v>
      </c>
      <c r="AN65" s="175" t="s">
        <v>0</v>
      </c>
      <c r="AO65" s="175" t="s">
        <v>0</v>
      </c>
      <c r="AP65" s="175" t="s">
        <v>0</v>
      </c>
      <c r="AQ65" s="175" t="s">
        <v>0</v>
      </c>
      <c r="AR65" s="175" t="s">
        <v>0</v>
      </c>
      <c r="AS65" s="175" t="s">
        <v>0</v>
      </c>
      <c r="AT65" s="175" t="s">
        <v>0</v>
      </c>
      <c r="AU65" s="175" t="s">
        <v>0</v>
      </c>
      <c r="AV65" s="175" t="s">
        <v>0</v>
      </c>
      <c r="AW65" s="175" t="s">
        <v>0</v>
      </c>
      <c r="AX65" s="175" t="s">
        <v>0</v>
      </c>
      <c r="AY65" s="175" t="s">
        <v>0</v>
      </c>
      <c r="AZ65" s="175" t="s">
        <v>0</v>
      </c>
      <c r="BA65" s="175" t="s">
        <v>0</v>
      </c>
      <c r="BB65" s="175" t="s">
        <v>0</v>
      </c>
      <c r="BC65" s="175" t="s">
        <v>0</v>
      </c>
      <c r="BD65" s="175" t="s">
        <v>0</v>
      </c>
      <c r="BE65" s="175" t="s">
        <v>0</v>
      </c>
      <c r="BF65" s="175" t="s">
        <v>0</v>
      </c>
      <c r="BG65" s="175" t="s">
        <v>0</v>
      </c>
      <c r="BH65" s="175" t="s">
        <v>0</v>
      </c>
      <c r="BI65" s="176"/>
    </row>
    <row r="66" spans="1:61" x14ac:dyDescent="0.25">
      <c r="A66" s="22">
        <f t="shared" si="4"/>
        <v>60</v>
      </c>
      <c r="B66" s="214" t="str">
        <f t="shared" si="7"/>
        <v>F0013547809</v>
      </c>
      <c r="C66" s="214" t="str">
        <f t="shared" si="8"/>
        <v>82115-0EA00.</v>
      </c>
      <c r="D66" s="45" t="str">
        <f>VLOOKUP(B66,'Timing Table'!B:J,9,0)</f>
        <v>C/O</v>
      </c>
      <c r="E66" s="22" t="str">
        <f>VLOOKUP(B66,'Timing Table'!B:H,7,0)</f>
        <v>GAS</v>
      </c>
      <c r="F66" s="177" t="s">
        <v>58</v>
      </c>
      <c r="G66" s="178" t="s">
        <v>58</v>
      </c>
      <c r="H66" s="179" t="s">
        <v>58</v>
      </c>
      <c r="I66" s="180" t="s">
        <v>58</v>
      </c>
      <c r="J66" s="180" t="s">
        <v>0</v>
      </c>
      <c r="K66" s="180" t="s">
        <v>0</v>
      </c>
      <c r="L66" s="180" t="s">
        <v>0</v>
      </c>
      <c r="M66" s="180" t="s">
        <v>0</v>
      </c>
      <c r="N66" s="180" t="s">
        <v>0</v>
      </c>
      <c r="O66" s="180" t="s">
        <v>0</v>
      </c>
      <c r="P66" s="180" t="s">
        <v>0</v>
      </c>
      <c r="Q66" s="180" t="s">
        <v>0</v>
      </c>
      <c r="R66" s="180" t="s">
        <v>0</v>
      </c>
      <c r="S66" s="180" t="s">
        <v>0</v>
      </c>
      <c r="T66" s="180" t="s">
        <v>0</v>
      </c>
      <c r="U66" s="180" t="s">
        <v>0</v>
      </c>
      <c r="V66" s="180" t="s">
        <v>0</v>
      </c>
      <c r="W66" s="180" t="s">
        <v>0</v>
      </c>
      <c r="X66" s="180" t="s">
        <v>0</v>
      </c>
      <c r="Y66" s="180" t="s">
        <v>0</v>
      </c>
      <c r="Z66" s="180" t="s">
        <v>0</v>
      </c>
      <c r="AA66" s="180" t="s">
        <v>0</v>
      </c>
      <c r="AB66" s="180" t="s">
        <v>0</v>
      </c>
      <c r="AC66" s="180" t="s">
        <v>0</v>
      </c>
      <c r="AD66" s="180" t="s">
        <v>0</v>
      </c>
      <c r="AE66" s="180" t="s">
        <v>0</v>
      </c>
      <c r="AF66" s="180" t="s">
        <v>0</v>
      </c>
      <c r="AG66" s="180" t="s">
        <v>0</v>
      </c>
      <c r="AH66" s="180" t="s">
        <v>0</v>
      </c>
      <c r="AI66" s="180" t="s">
        <v>0</v>
      </c>
      <c r="AJ66" s="180" t="s">
        <v>0</v>
      </c>
      <c r="AK66" s="180" t="s">
        <v>0</v>
      </c>
      <c r="AL66" s="180" t="s">
        <v>0</v>
      </c>
      <c r="AM66" s="180" t="s">
        <v>0</v>
      </c>
      <c r="AN66" s="180" t="s">
        <v>0</v>
      </c>
      <c r="AO66" s="180" t="s">
        <v>0</v>
      </c>
      <c r="AP66" s="180" t="s">
        <v>0</v>
      </c>
      <c r="AQ66" s="180" t="s">
        <v>0</v>
      </c>
      <c r="AR66" s="180" t="s">
        <v>0</v>
      </c>
      <c r="AS66" s="180" t="s">
        <v>0</v>
      </c>
      <c r="AT66" s="180" t="s">
        <v>0</v>
      </c>
      <c r="AU66" s="180" t="s">
        <v>0</v>
      </c>
      <c r="AV66" s="180" t="s">
        <v>0</v>
      </c>
      <c r="AW66" s="180" t="s">
        <v>0</v>
      </c>
      <c r="AX66" s="180" t="s">
        <v>0</v>
      </c>
      <c r="AY66" s="180" t="s">
        <v>0</v>
      </c>
      <c r="AZ66" s="180" t="s">
        <v>0</v>
      </c>
      <c r="BA66" s="180" t="s">
        <v>0</v>
      </c>
      <c r="BB66" s="180" t="s">
        <v>0</v>
      </c>
      <c r="BC66" s="180" t="s">
        <v>0</v>
      </c>
      <c r="BD66" s="180" t="s">
        <v>0</v>
      </c>
      <c r="BE66" s="180" t="s">
        <v>0</v>
      </c>
      <c r="BF66" s="180" t="s">
        <v>0</v>
      </c>
      <c r="BG66" s="180" t="s">
        <v>0</v>
      </c>
      <c r="BH66" s="180" t="s">
        <v>0</v>
      </c>
      <c r="BI66" s="181"/>
    </row>
    <row r="67" spans="1:61" x14ac:dyDescent="0.25">
      <c r="A67" s="22">
        <f t="shared" si="4"/>
        <v>61</v>
      </c>
      <c r="B67" s="214" t="str">
        <f t="shared" si="7"/>
        <v>F0013547811</v>
      </c>
      <c r="C67" s="214" t="str">
        <f t="shared" si="8"/>
        <v>82115-0EA00 L</v>
      </c>
      <c r="D67" s="45" t="str">
        <f>VLOOKUP(B67,'Timing Table'!B:J,9,0)</f>
        <v>C/O</v>
      </c>
      <c r="E67" s="22" t="str">
        <f>VLOOKUP(B67,'Timing Table'!B:H,7,0)</f>
        <v>GAS</v>
      </c>
      <c r="F67" s="121" t="s">
        <v>59</v>
      </c>
      <c r="G67" s="146">
        <v>5501065658</v>
      </c>
      <c r="H67" s="121" t="s">
        <v>60</v>
      </c>
      <c r="I67" s="146">
        <v>9</v>
      </c>
      <c r="J67" s="121" t="s">
        <v>61</v>
      </c>
      <c r="K67" s="125">
        <v>1179881</v>
      </c>
      <c r="L67" s="126"/>
      <c r="M67" s="147" t="s">
        <v>62</v>
      </c>
      <c r="N67" s="148"/>
      <c r="O67" s="149">
        <v>46086</v>
      </c>
      <c r="P67" s="121" t="s">
        <v>63</v>
      </c>
      <c r="Q67" s="146">
        <v>4</v>
      </c>
      <c r="R67" s="6" t="s">
        <v>0</v>
      </c>
      <c r="S67" s="7" t="s">
        <v>0</v>
      </c>
      <c r="T67" s="7" t="s">
        <v>0</v>
      </c>
      <c r="U67" s="7" t="s">
        <v>0</v>
      </c>
      <c r="V67" s="7" t="s">
        <v>0</v>
      </c>
      <c r="W67" s="7" t="s">
        <v>0</v>
      </c>
      <c r="X67" s="7" t="s">
        <v>0</v>
      </c>
      <c r="Y67" s="7" t="s">
        <v>0</v>
      </c>
      <c r="Z67" s="7" t="s">
        <v>0</v>
      </c>
      <c r="AA67" s="7" t="s">
        <v>0</v>
      </c>
      <c r="AB67" s="7" t="s">
        <v>0</v>
      </c>
      <c r="AC67" s="7" t="s">
        <v>0</v>
      </c>
      <c r="AD67" s="7" t="s">
        <v>0</v>
      </c>
      <c r="AE67" s="7" t="s">
        <v>0</v>
      </c>
      <c r="AF67" s="7" t="s">
        <v>0</v>
      </c>
      <c r="AG67" s="7" t="s">
        <v>0</v>
      </c>
      <c r="AH67" s="7" t="s">
        <v>0</v>
      </c>
      <c r="AI67" s="7" t="s">
        <v>0</v>
      </c>
      <c r="AJ67" s="7" t="s">
        <v>0</v>
      </c>
      <c r="AK67" s="7" t="s">
        <v>0</v>
      </c>
      <c r="AL67" s="7" t="s">
        <v>0</v>
      </c>
      <c r="AM67" s="7" t="s">
        <v>0</v>
      </c>
      <c r="AN67" s="7" t="s">
        <v>0</v>
      </c>
      <c r="AO67" s="7" t="s">
        <v>0</v>
      </c>
      <c r="AP67" s="7" t="s">
        <v>0</v>
      </c>
      <c r="AQ67" s="7" t="s">
        <v>0</v>
      </c>
      <c r="AR67" s="7" t="s">
        <v>0</v>
      </c>
      <c r="AS67" s="7" t="s">
        <v>0</v>
      </c>
      <c r="AT67" s="7" t="s">
        <v>0</v>
      </c>
      <c r="AU67" s="7" t="s">
        <v>0</v>
      </c>
      <c r="AV67" s="7" t="s">
        <v>0</v>
      </c>
      <c r="AW67" s="7" t="s">
        <v>0</v>
      </c>
      <c r="AX67" s="7" t="s">
        <v>0</v>
      </c>
      <c r="AY67" s="7" t="s">
        <v>0</v>
      </c>
      <c r="AZ67" s="7" t="s">
        <v>0</v>
      </c>
      <c r="BA67" s="7" t="s">
        <v>0</v>
      </c>
      <c r="BB67" s="7" t="s">
        <v>0</v>
      </c>
      <c r="BC67" s="7" t="s">
        <v>0</v>
      </c>
      <c r="BD67" s="7" t="s">
        <v>0</v>
      </c>
      <c r="BE67" s="7" t="s">
        <v>0</v>
      </c>
      <c r="BF67" s="7" t="s">
        <v>0</v>
      </c>
      <c r="BG67" s="7" t="s">
        <v>0</v>
      </c>
      <c r="BH67" s="7" t="s">
        <v>0</v>
      </c>
      <c r="BI67" s="8"/>
    </row>
    <row r="68" spans="1:61" x14ac:dyDescent="0.25">
      <c r="A68" s="22">
        <f t="shared" si="4"/>
        <v>62</v>
      </c>
      <c r="B68" s="214" t="str">
        <f t="shared" si="7"/>
        <v>F0013547811</v>
      </c>
      <c r="C68" s="214" t="str">
        <f t="shared" si="8"/>
        <v>82115-0EA00 L</v>
      </c>
      <c r="D68" s="45" t="str">
        <f>VLOOKUP(B68,'Timing Table'!B:J,9,0)</f>
        <v>C/O</v>
      </c>
      <c r="E68" s="22" t="str">
        <f>VLOOKUP(B68,'Timing Table'!B:H,7,0)</f>
        <v>GAS</v>
      </c>
      <c r="F68" s="121" t="s">
        <v>64</v>
      </c>
      <c r="G68" s="146" t="s">
        <v>288</v>
      </c>
      <c r="H68" s="121" t="s">
        <v>65</v>
      </c>
      <c r="I68" s="150" t="s">
        <v>290</v>
      </c>
      <c r="J68" s="151"/>
      <c r="K68" s="151"/>
      <c r="L68" s="152"/>
      <c r="M68" s="121" t="s">
        <v>66</v>
      </c>
      <c r="N68" s="146">
        <v>2023</v>
      </c>
      <c r="O68" s="140" t="s">
        <v>67</v>
      </c>
      <c r="P68" s="141"/>
      <c r="Q68" s="153" t="s">
        <v>294</v>
      </c>
      <c r="R68" s="122" t="s">
        <v>0</v>
      </c>
      <c r="S68" s="123"/>
      <c r="T68" s="123"/>
      <c r="U68" s="123" t="s">
        <v>0</v>
      </c>
      <c r="V68" s="123" t="s">
        <v>0</v>
      </c>
      <c r="W68" s="123" t="s">
        <v>0</v>
      </c>
      <c r="X68" s="123" t="s">
        <v>0</v>
      </c>
      <c r="Y68" s="123" t="s">
        <v>0</v>
      </c>
      <c r="Z68" s="123" t="s">
        <v>0</v>
      </c>
      <c r="AA68" s="123" t="s">
        <v>0</v>
      </c>
      <c r="AB68" s="123" t="s">
        <v>0</v>
      </c>
      <c r="AC68" s="123" t="s">
        <v>0</v>
      </c>
      <c r="AD68" s="123" t="s">
        <v>0</v>
      </c>
      <c r="AE68" s="123" t="s">
        <v>0</v>
      </c>
      <c r="AF68" s="123" t="s">
        <v>0</v>
      </c>
      <c r="AG68" s="123" t="s">
        <v>0</v>
      </c>
      <c r="AH68" s="123" t="s">
        <v>0</v>
      </c>
      <c r="AI68" s="123" t="s">
        <v>0</v>
      </c>
      <c r="AJ68" s="123" t="s">
        <v>0</v>
      </c>
      <c r="AK68" s="123" t="s">
        <v>0</v>
      </c>
      <c r="AL68" s="123" t="s">
        <v>0</v>
      </c>
      <c r="AM68" s="123" t="s">
        <v>0</v>
      </c>
      <c r="AN68" s="123" t="s">
        <v>0</v>
      </c>
      <c r="AO68" s="123" t="s">
        <v>0</v>
      </c>
      <c r="AP68" s="123" t="s">
        <v>0</v>
      </c>
      <c r="AQ68" s="123" t="s">
        <v>0</v>
      </c>
      <c r="AR68" s="123" t="s">
        <v>0</v>
      </c>
      <c r="AS68" s="123" t="s">
        <v>0</v>
      </c>
      <c r="AT68" s="123" t="s">
        <v>0</v>
      </c>
      <c r="AU68" s="123" t="s">
        <v>0</v>
      </c>
      <c r="AV68" s="123" t="s">
        <v>0</v>
      </c>
      <c r="AW68" s="123" t="s">
        <v>0</v>
      </c>
      <c r="AX68" s="123" t="s">
        <v>0</v>
      </c>
      <c r="AY68" s="123" t="s">
        <v>0</v>
      </c>
      <c r="AZ68" s="123" t="s">
        <v>0</v>
      </c>
      <c r="BA68" s="123" t="s">
        <v>0</v>
      </c>
      <c r="BB68" s="123" t="s">
        <v>0</v>
      </c>
      <c r="BC68" s="123" t="s">
        <v>0</v>
      </c>
      <c r="BD68" s="123" t="s">
        <v>0</v>
      </c>
      <c r="BE68" s="123" t="s">
        <v>0</v>
      </c>
      <c r="BF68" s="123" t="s">
        <v>0</v>
      </c>
      <c r="BG68" s="123" t="s">
        <v>0</v>
      </c>
      <c r="BH68" s="123" t="s">
        <v>0</v>
      </c>
      <c r="BI68" s="124"/>
    </row>
    <row r="69" spans="1:61" x14ac:dyDescent="0.25">
      <c r="A69" s="22">
        <f t="shared" si="4"/>
        <v>63</v>
      </c>
      <c r="B69" s="214" t="str">
        <f t="shared" si="7"/>
        <v>F0013547811</v>
      </c>
      <c r="C69" s="214" t="str">
        <f t="shared" si="8"/>
        <v>82115-0EA00 L</v>
      </c>
      <c r="D69" s="45" t="str">
        <f>VLOOKUP(B69,'Timing Table'!B:J,9,0)</f>
        <v>C/O</v>
      </c>
      <c r="E69" s="22" t="str">
        <f>VLOOKUP(B69,'Timing Table'!B:H,7,0)</f>
        <v>GAS</v>
      </c>
      <c r="F69" s="121" t="s">
        <v>68</v>
      </c>
      <c r="G69" s="146" t="s">
        <v>335</v>
      </c>
      <c r="H69" s="121" t="s">
        <v>69</v>
      </c>
      <c r="I69" s="154" t="s">
        <v>58</v>
      </c>
      <c r="J69" s="155" t="s">
        <v>0</v>
      </c>
      <c r="K69" s="156" t="s">
        <v>0</v>
      </c>
      <c r="L69" s="157" t="s">
        <v>0</v>
      </c>
      <c r="M69" s="134" t="s">
        <v>0</v>
      </c>
      <c r="N69" s="134" t="s">
        <v>0</v>
      </c>
      <c r="O69" s="134" t="s">
        <v>0</v>
      </c>
      <c r="P69" s="134" t="s">
        <v>0</v>
      </c>
      <c r="Q69" s="134" t="s">
        <v>1</v>
      </c>
      <c r="R69" s="134" t="s">
        <v>2</v>
      </c>
      <c r="S69" s="134" t="s">
        <v>0</v>
      </c>
      <c r="T69" s="134" t="s">
        <v>0</v>
      </c>
      <c r="U69" s="134" t="s">
        <v>0</v>
      </c>
      <c r="V69" s="134" t="s">
        <v>0</v>
      </c>
      <c r="W69" s="134" t="s">
        <v>0</v>
      </c>
      <c r="X69" s="134" t="s">
        <v>0</v>
      </c>
      <c r="Y69" s="134" t="s">
        <v>0</v>
      </c>
      <c r="Z69" s="134" t="s">
        <v>3</v>
      </c>
      <c r="AA69" s="134" t="s">
        <v>0</v>
      </c>
      <c r="AB69" s="134" t="s">
        <v>0</v>
      </c>
      <c r="AC69" s="134" t="s">
        <v>0</v>
      </c>
      <c r="AD69" s="134" t="s">
        <v>0</v>
      </c>
      <c r="AE69" s="134" t="s">
        <v>0</v>
      </c>
      <c r="AF69" s="134" t="s">
        <v>0</v>
      </c>
      <c r="AG69" s="134" t="s">
        <v>0</v>
      </c>
      <c r="AH69" s="134" t="s">
        <v>0</v>
      </c>
      <c r="AI69" s="134" t="s">
        <v>0</v>
      </c>
      <c r="AJ69" s="134" t="s">
        <v>0</v>
      </c>
      <c r="AK69" s="134" t="s">
        <v>0</v>
      </c>
      <c r="AL69" s="134" t="s">
        <v>0</v>
      </c>
      <c r="AM69" s="134" t="s">
        <v>0</v>
      </c>
      <c r="AN69" s="134" t="s">
        <v>0</v>
      </c>
      <c r="AO69" s="134" t="s">
        <v>0</v>
      </c>
      <c r="AP69" s="134" t="s">
        <v>0</v>
      </c>
      <c r="AQ69" s="134" t="s">
        <v>0</v>
      </c>
      <c r="AR69" s="134" t="s">
        <v>0</v>
      </c>
      <c r="AS69" s="134" t="s">
        <v>0</v>
      </c>
      <c r="AT69" s="134" t="s">
        <v>0</v>
      </c>
      <c r="AU69" s="134" t="s">
        <v>0</v>
      </c>
      <c r="AV69" s="134" t="s">
        <v>0</v>
      </c>
      <c r="AW69" s="134" t="s">
        <v>0</v>
      </c>
      <c r="AX69" s="134" t="s">
        <v>0</v>
      </c>
      <c r="AY69" s="134" t="s">
        <v>0</v>
      </c>
      <c r="AZ69" s="134" t="s">
        <v>0</v>
      </c>
      <c r="BA69" s="134" t="s">
        <v>0</v>
      </c>
      <c r="BB69" s="134" t="s">
        <v>0</v>
      </c>
      <c r="BC69" s="134" t="s">
        <v>0</v>
      </c>
      <c r="BD69" s="134" t="s">
        <v>0</v>
      </c>
      <c r="BE69" s="134" t="s">
        <v>0</v>
      </c>
      <c r="BF69" s="134" t="s">
        <v>0</v>
      </c>
      <c r="BG69" s="134" t="s">
        <v>0</v>
      </c>
      <c r="BH69" s="134" t="s">
        <v>0</v>
      </c>
      <c r="BI69" s="135" t="s">
        <v>4</v>
      </c>
    </row>
    <row r="70" spans="1:61" x14ac:dyDescent="0.25">
      <c r="A70" s="22">
        <f t="shared" si="4"/>
        <v>64</v>
      </c>
      <c r="B70" s="214" t="str">
        <f t="shared" si="7"/>
        <v>F0013547811</v>
      </c>
      <c r="C70" s="214" t="str">
        <f t="shared" si="8"/>
        <v>82115-0EA00 L</v>
      </c>
      <c r="D70" s="45" t="str">
        <f>VLOOKUP(B70,'Timing Table'!B:J,9,0)</f>
        <v>C/O</v>
      </c>
      <c r="E70" s="22" t="str">
        <f>VLOOKUP(B70,'Timing Table'!B:H,7,0)</f>
        <v>GAS</v>
      </c>
      <c r="F70" s="121" t="s">
        <v>70</v>
      </c>
      <c r="G70" s="146">
        <v>2672</v>
      </c>
      <c r="H70" s="158" t="s">
        <v>240</v>
      </c>
      <c r="I70" s="159" t="s">
        <v>71</v>
      </c>
      <c r="J70" s="13">
        <v>46041</v>
      </c>
      <c r="K70" s="14">
        <v>46048</v>
      </c>
      <c r="L70" s="14">
        <v>46055</v>
      </c>
      <c r="M70" s="14">
        <v>46062</v>
      </c>
      <c r="N70" s="14">
        <v>46069</v>
      </c>
      <c r="O70" s="14">
        <v>46076</v>
      </c>
      <c r="P70" s="14">
        <v>46083</v>
      </c>
      <c r="Q70" s="14">
        <v>46090</v>
      </c>
      <c r="R70" s="14">
        <v>46097</v>
      </c>
      <c r="S70" s="14">
        <v>46104</v>
      </c>
      <c r="T70" s="14">
        <v>46111</v>
      </c>
      <c r="U70" s="14">
        <v>46118</v>
      </c>
      <c r="V70" s="14">
        <v>46125</v>
      </c>
      <c r="W70" s="14">
        <v>46132</v>
      </c>
      <c r="X70" s="14">
        <v>46139</v>
      </c>
      <c r="Y70" s="14">
        <v>46146</v>
      </c>
      <c r="Z70" s="14">
        <v>46153</v>
      </c>
      <c r="AA70" s="14">
        <v>46160</v>
      </c>
      <c r="AB70" s="14">
        <v>46167</v>
      </c>
      <c r="AC70" s="14">
        <v>46174</v>
      </c>
      <c r="AD70" s="14">
        <v>46181</v>
      </c>
      <c r="AE70" s="14">
        <v>46188</v>
      </c>
      <c r="AF70" s="14">
        <v>46195</v>
      </c>
      <c r="AG70" s="14">
        <v>46202</v>
      </c>
      <c r="AH70" s="14">
        <v>46209</v>
      </c>
      <c r="AI70" s="14">
        <v>46216</v>
      </c>
      <c r="AJ70" s="14">
        <v>46223</v>
      </c>
      <c r="AK70" s="14">
        <v>46230</v>
      </c>
      <c r="AL70" s="14">
        <v>46237</v>
      </c>
      <c r="AM70" s="14">
        <v>46244</v>
      </c>
      <c r="AN70" s="14">
        <v>46251</v>
      </c>
      <c r="AO70" s="14">
        <v>46258</v>
      </c>
      <c r="AP70" s="14">
        <v>46265</v>
      </c>
      <c r="AQ70" s="14">
        <v>46272</v>
      </c>
      <c r="AR70" s="14">
        <v>46279</v>
      </c>
      <c r="AS70" s="14">
        <v>46286</v>
      </c>
      <c r="AT70" s="14">
        <v>46293</v>
      </c>
      <c r="AU70" s="14">
        <v>46300</v>
      </c>
      <c r="AV70" s="14">
        <v>46307</v>
      </c>
      <c r="AW70" s="14">
        <v>46314</v>
      </c>
      <c r="AX70" s="14">
        <v>46321</v>
      </c>
      <c r="AY70" s="14">
        <v>46328</v>
      </c>
      <c r="AZ70" s="14">
        <v>46335</v>
      </c>
      <c r="BA70" s="14">
        <v>46342</v>
      </c>
      <c r="BB70" s="14">
        <v>46349</v>
      </c>
      <c r="BC70" s="14">
        <v>46356</v>
      </c>
      <c r="BD70" s="14">
        <v>46363</v>
      </c>
      <c r="BE70" s="14">
        <v>46370</v>
      </c>
      <c r="BF70" s="14">
        <v>46377</v>
      </c>
      <c r="BG70" s="14">
        <v>46384</v>
      </c>
      <c r="BH70" s="14">
        <v>46391</v>
      </c>
      <c r="BI70" s="15">
        <v>46398</v>
      </c>
    </row>
    <row r="71" spans="1:61" x14ac:dyDescent="0.25">
      <c r="A71" s="22">
        <f t="shared" ref="A71:A134" si="9">+A70+1</f>
        <v>65</v>
      </c>
      <c r="B71" s="214" t="str">
        <f t="shared" si="7"/>
        <v>F0013547811</v>
      </c>
      <c r="C71" s="214" t="str">
        <f t="shared" si="8"/>
        <v>82115-0EA00 L</v>
      </c>
      <c r="D71" s="45" t="str">
        <f>VLOOKUP(B71,'Timing Table'!B:J,9,0)</f>
        <v>C/O</v>
      </c>
      <c r="E71" s="22" t="str">
        <f>VLOOKUP(B71,'Timing Table'!B:H,7,0)</f>
        <v>GAS</v>
      </c>
      <c r="F71" s="121" t="s">
        <v>72</v>
      </c>
      <c r="G71" s="146">
        <v>5040</v>
      </c>
      <c r="H71" s="5" t="s">
        <v>58</v>
      </c>
      <c r="I71" s="11" t="s">
        <v>83</v>
      </c>
      <c r="J71" s="16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17"/>
    </row>
    <row r="72" spans="1:61" x14ac:dyDescent="0.25">
      <c r="A72" s="22">
        <f t="shared" si="9"/>
        <v>66</v>
      </c>
      <c r="B72" s="214" t="str">
        <f t="shared" si="7"/>
        <v>F0013547811</v>
      </c>
      <c r="C72" s="214" t="str">
        <f t="shared" si="8"/>
        <v>82115-0EA00 L</v>
      </c>
      <c r="D72" s="45" t="str">
        <f>VLOOKUP(B72,'Timing Table'!B:J,9,0)</f>
        <v>C/O</v>
      </c>
      <c r="E72" s="22" t="str">
        <f>VLOOKUP(B72,'Timing Table'!B:H,7,0)</f>
        <v>GAS</v>
      </c>
      <c r="F72" s="121" t="s">
        <v>73</v>
      </c>
      <c r="G72" s="160" t="s">
        <v>295</v>
      </c>
      <c r="H72" s="9" t="s">
        <v>88</v>
      </c>
      <c r="I72" s="11" t="s">
        <v>74</v>
      </c>
      <c r="J72" s="117">
        <v>272</v>
      </c>
      <c r="K72" s="50">
        <v>408</v>
      </c>
      <c r="L72" s="50">
        <v>292</v>
      </c>
      <c r="M72" s="50">
        <v>180</v>
      </c>
      <c r="N72" s="50">
        <v>240</v>
      </c>
      <c r="O72" s="50">
        <v>464</v>
      </c>
      <c r="P72" s="50">
        <v>768</v>
      </c>
      <c r="Q72" s="50">
        <v>48</v>
      </c>
      <c r="R72" s="50">
        <v>0</v>
      </c>
      <c r="S72" s="50">
        <v>0</v>
      </c>
      <c r="T72" s="50">
        <v>0</v>
      </c>
      <c r="U72" s="50">
        <v>0</v>
      </c>
      <c r="V72" s="50">
        <v>0</v>
      </c>
      <c r="W72" s="50">
        <v>0</v>
      </c>
      <c r="X72" s="50">
        <v>0</v>
      </c>
      <c r="Y72" s="50">
        <v>0</v>
      </c>
      <c r="Z72" s="50">
        <v>0</v>
      </c>
      <c r="AA72" s="50">
        <v>0</v>
      </c>
      <c r="AB72" s="50">
        <v>0</v>
      </c>
      <c r="AC72" s="50">
        <v>0</v>
      </c>
      <c r="AD72" s="50">
        <v>0</v>
      </c>
      <c r="AE72" s="50">
        <v>0</v>
      </c>
      <c r="AF72" s="50">
        <v>0</v>
      </c>
      <c r="AG72" s="50">
        <v>0</v>
      </c>
      <c r="AH72" s="50">
        <v>0</v>
      </c>
      <c r="AI72" s="50">
        <v>0</v>
      </c>
      <c r="AJ72" s="50">
        <v>0</v>
      </c>
      <c r="AK72" s="50">
        <v>0</v>
      </c>
      <c r="AL72" s="50">
        <v>0</v>
      </c>
      <c r="AM72" s="50">
        <v>0</v>
      </c>
      <c r="AN72" s="50">
        <v>0</v>
      </c>
      <c r="AO72" s="50">
        <v>0</v>
      </c>
      <c r="AP72" s="50">
        <v>0</v>
      </c>
      <c r="AQ72" s="50">
        <v>0</v>
      </c>
      <c r="AR72" s="50">
        <v>0</v>
      </c>
      <c r="AS72" s="50">
        <v>0</v>
      </c>
      <c r="AT72" s="50">
        <v>0</v>
      </c>
      <c r="AU72" s="50">
        <v>0</v>
      </c>
      <c r="AV72" s="50">
        <v>0</v>
      </c>
      <c r="AW72" s="50">
        <v>0</v>
      </c>
      <c r="AX72" s="50">
        <v>0</v>
      </c>
      <c r="AY72" s="50">
        <v>0</v>
      </c>
      <c r="AZ72" s="50">
        <v>0</v>
      </c>
      <c r="BA72" s="50">
        <v>0</v>
      </c>
      <c r="BB72" s="50">
        <v>0</v>
      </c>
      <c r="BC72" s="50">
        <v>0</v>
      </c>
      <c r="BD72" s="50">
        <v>0</v>
      </c>
      <c r="BE72" s="50">
        <v>0</v>
      </c>
      <c r="BF72" s="50">
        <v>0</v>
      </c>
      <c r="BG72" s="50">
        <v>0</v>
      </c>
      <c r="BH72" s="50">
        <v>0</v>
      </c>
      <c r="BI72" s="118">
        <v>0</v>
      </c>
    </row>
    <row r="73" spans="1:61" x14ac:dyDescent="0.25">
      <c r="A73" s="22">
        <f t="shared" si="9"/>
        <v>67</v>
      </c>
      <c r="B73" s="214" t="str">
        <f t="shared" si="7"/>
        <v>F0013547811</v>
      </c>
      <c r="C73" s="214" t="str">
        <f t="shared" si="8"/>
        <v>82115-0EA00 L</v>
      </c>
      <c r="D73" s="45" t="str">
        <f>VLOOKUP(B73,'Timing Table'!B:J,9,0)</f>
        <v>C/O</v>
      </c>
      <c r="E73" s="22" t="str">
        <f>VLOOKUP(B73,'Timing Table'!B:H,7,0)</f>
        <v>GAS</v>
      </c>
      <c r="F73" s="121" t="s">
        <v>75</v>
      </c>
      <c r="G73" s="146">
        <v>82115</v>
      </c>
      <c r="H73" s="10" t="s">
        <v>88</v>
      </c>
      <c r="I73" s="12" t="s">
        <v>76</v>
      </c>
      <c r="J73" s="161">
        <v>272</v>
      </c>
      <c r="K73" s="162">
        <v>680</v>
      </c>
      <c r="L73" s="162">
        <v>972</v>
      </c>
      <c r="M73" s="162">
        <v>1152</v>
      </c>
      <c r="N73" s="162">
        <v>1392</v>
      </c>
      <c r="O73" s="162">
        <v>1856</v>
      </c>
      <c r="P73" s="162">
        <v>2624</v>
      </c>
      <c r="Q73" s="162">
        <v>2672</v>
      </c>
      <c r="R73" s="162">
        <v>2672</v>
      </c>
      <c r="S73" s="162">
        <v>2672</v>
      </c>
      <c r="T73" s="162">
        <v>2672</v>
      </c>
      <c r="U73" s="162">
        <v>2672</v>
      </c>
      <c r="V73" s="162">
        <v>2672</v>
      </c>
      <c r="W73" s="162">
        <v>2672</v>
      </c>
      <c r="X73" s="162">
        <v>2672</v>
      </c>
      <c r="Y73" s="162">
        <v>2672</v>
      </c>
      <c r="Z73" s="162">
        <v>2672</v>
      </c>
      <c r="AA73" s="162">
        <v>2672</v>
      </c>
      <c r="AB73" s="162">
        <v>2672</v>
      </c>
      <c r="AC73" s="162">
        <v>2672</v>
      </c>
      <c r="AD73" s="162">
        <v>2672</v>
      </c>
      <c r="AE73" s="162">
        <v>2672</v>
      </c>
      <c r="AF73" s="162">
        <v>2672</v>
      </c>
      <c r="AG73" s="162">
        <v>2672</v>
      </c>
      <c r="AH73" s="162">
        <v>2672</v>
      </c>
      <c r="AI73" s="162">
        <v>2672</v>
      </c>
      <c r="AJ73" s="162">
        <v>2672</v>
      </c>
      <c r="AK73" s="162">
        <v>2672</v>
      </c>
      <c r="AL73" s="162">
        <v>2672</v>
      </c>
      <c r="AM73" s="162">
        <v>2672</v>
      </c>
      <c r="AN73" s="162">
        <v>2672</v>
      </c>
      <c r="AO73" s="162">
        <v>2672</v>
      </c>
      <c r="AP73" s="162">
        <v>2672</v>
      </c>
      <c r="AQ73" s="162">
        <v>2672</v>
      </c>
      <c r="AR73" s="162">
        <v>2672</v>
      </c>
      <c r="AS73" s="162">
        <v>2672</v>
      </c>
      <c r="AT73" s="162">
        <v>2672</v>
      </c>
      <c r="AU73" s="162">
        <v>2672</v>
      </c>
      <c r="AV73" s="162">
        <v>2672</v>
      </c>
      <c r="AW73" s="162">
        <v>2672</v>
      </c>
      <c r="AX73" s="162">
        <v>2672</v>
      </c>
      <c r="AY73" s="162">
        <v>2672</v>
      </c>
      <c r="AZ73" s="162">
        <v>2672</v>
      </c>
      <c r="BA73" s="162">
        <v>2672</v>
      </c>
      <c r="BB73" s="162">
        <v>2672</v>
      </c>
      <c r="BC73" s="162">
        <v>2672</v>
      </c>
      <c r="BD73" s="162">
        <v>2672</v>
      </c>
      <c r="BE73" s="162">
        <v>2672</v>
      </c>
      <c r="BF73" s="162">
        <v>2672</v>
      </c>
      <c r="BG73" s="162">
        <v>2672</v>
      </c>
      <c r="BH73" s="162">
        <v>2672</v>
      </c>
      <c r="BI73" s="162">
        <v>2672</v>
      </c>
    </row>
    <row r="74" spans="1:61" x14ac:dyDescent="0.25">
      <c r="A74" s="22">
        <f t="shared" si="9"/>
        <v>68</v>
      </c>
      <c r="B74" s="214" t="str">
        <f t="shared" si="7"/>
        <v>F0013547811</v>
      </c>
      <c r="C74" s="214" t="str">
        <f t="shared" si="8"/>
        <v>82115-0EA00 L</v>
      </c>
      <c r="D74" s="45" t="str">
        <f>VLOOKUP(B74,'Timing Table'!B:J,9,0)</f>
        <v>C/O</v>
      </c>
      <c r="E74" s="22" t="str">
        <f>VLOOKUP(B74,'Timing Table'!B:H,7,0)</f>
        <v>GAS</v>
      </c>
      <c r="F74" s="164" t="s">
        <v>77</v>
      </c>
      <c r="G74" s="165">
        <v>0</v>
      </c>
      <c r="H74" s="166" t="s">
        <v>78</v>
      </c>
      <c r="I74" s="167"/>
      <c r="J74" s="168"/>
      <c r="K74" s="169"/>
      <c r="L74" s="170" t="s">
        <v>0</v>
      </c>
      <c r="M74" s="170" t="s">
        <v>0</v>
      </c>
      <c r="N74" s="170" t="s">
        <v>0</v>
      </c>
      <c r="O74" s="170" t="s">
        <v>0</v>
      </c>
      <c r="P74" s="170" t="s">
        <v>0</v>
      </c>
      <c r="Q74" s="170">
        <v>-0.9375</v>
      </c>
      <c r="R74" s="170" t="s">
        <v>0</v>
      </c>
      <c r="S74" s="170" t="s">
        <v>0</v>
      </c>
      <c r="T74" s="170" t="s">
        <v>0</v>
      </c>
      <c r="U74" s="170" t="s">
        <v>0</v>
      </c>
      <c r="V74" s="170" t="s">
        <v>0</v>
      </c>
      <c r="W74" s="170" t="s">
        <v>0</v>
      </c>
      <c r="X74" s="170" t="s">
        <v>0</v>
      </c>
      <c r="Y74" s="170" t="s">
        <v>0</v>
      </c>
      <c r="Z74" s="170" t="s">
        <v>0</v>
      </c>
      <c r="AA74" s="170" t="s">
        <v>0</v>
      </c>
      <c r="AB74" s="170" t="s">
        <v>0</v>
      </c>
      <c r="AC74" s="170" t="s">
        <v>0</v>
      </c>
      <c r="AD74" s="170" t="s">
        <v>0</v>
      </c>
      <c r="AE74" s="170" t="s">
        <v>0</v>
      </c>
      <c r="AF74" s="170" t="s">
        <v>0</v>
      </c>
      <c r="AG74" s="170" t="s">
        <v>0</v>
      </c>
      <c r="AH74" s="170" t="s">
        <v>0</v>
      </c>
      <c r="AI74" s="170" t="s">
        <v>0</v>
      </c>
      <c r="AJ74" s="170" t="s">
        <v>0</v>
      </c>
      <c r="AK74" s="170" t="s">
        <v>0</v>
      </c>
      <c r="AL74" s="170" t="s">
        <v>0</v>
      </c>
      <c r="AM74" s="170" t="s">
        <v>0</v>
      </c>
      <c r="AN74" s="170" t="s">
        <v>0</v>
      </c>
      <c r="AO74" s="170" t="s">
        <v>0</v>
      </c>
      <c r="AP74" s="170" t="s">
        <v>0</v>
      </c>
      <c r="AQ74" s="170" t="s">
        <v>0</v>
      </c>
      <c r="AR74" s="170" t="s">
        <v>0</v>
      </c>
      <c r="AS74" s="170" t="s">
        <v>0</v>
      </c>
      <c r="AT74" s="170" t="s">
        <v>0</v>
      </c>
      <c r="AU74" s="170" t="s">
        <v>0</v>
      </c>
      <c r="AV74" s="170" t="s">
        <v>0</v>
      </c>
      <c r="AW74" s="170" t="s">
        <v>0</v>
      </c>
      <c r="AX74" s="170" t="s">
        <v>0</v>
      </c>
      <c r="AY74" s="170" t="s">
        <v>0</v>
      </c>
      <c r="AZ74" s="170" t="s">
        <v>0</v>
      </c>
      <c r="BA74" s="170" t="s">
        <v>0</v>
      </c>
      <c r="BB74" s="170" t="s">
        <v>0</v>
      </c>
      <c r="BC74" s="170" t="s">
        <v>0</v>
      </c>
      <c r="BD74" s="170" t="s">
        <v>0</v>
      </c>
      <c r="BE74" s="170" t="s">
        <v>0</v>
      </c>
      <c r="BF74" s="170" t="s">
        <v>0</v>
      </c>
      <c r="BG74" s="170" t="s">
        <v>0</v>
      </c>
      <c r="BH74" s="170" t="s">
        <v>0</v>
      </c>
      <c r="BI74" s="171"/>
    </row>
    <row r="75" spans="1:61" x14ac:dyDescent="0.25">
      <c r="A75" s="22">
        <f t="shared" si="9"/>
        <v>69</v>
      </c>
      <c r="B75" s="214" t="str">
        <f t="shared" si="7"/>
        <v>F0013547811</v>
      </c>
      <c r="C75" s="214" t="str">
        <f>IF(F75=$F$7,#REF!,C74)</f>
        <v>82115-0EA00 L</v>
      </c>
      <c r="D75" s="45" t="str">
        <f>VLOOKUP(B75,'Timing Table'!B:J,9,0)</f>
        <v>C/O</v>
      </c>
      <c r="E75" s="22" t="str">
        <f>VLOOKUP(B75,'Timing Table'!B:H,7,0)</f>
        <v>GAS</v>
      </c>
      <c r="F75" s="172" t="s">
        <v>79</v>
      </c>
      <c r="G75" s="173" t="s">
        <v>58</v>
      </c>
      <c r="H75" s="174" t="s">
        <v>58</v>
      </c>
      <c r="I75" s="175" t="s">
        <v>58</v>
      </c>
      <c r="J75" s="175" t="s">
        <v>0</v>
      </c>
      <c r="K75" s="175" t="s">
        <v>0</v>
      </c>
      <c r="L75" s="175" t="s">
        <v>0</v>
      </c>
      <c r="M75" s="175" t="s">
        <v>0</v>
      </c>
      <c r="N75" s="175" t="s">
        <v>0</v>
      </c>
      <c r="O75" s="175" t="s">
        <v>0</v>
      </c>
      <c r="P75" s="175" t="s">
        <v>0</v>
      </c>
      <c r="Q75" s="175" t="s">
        <v>314</v>
      </c>
      <c r="R75" s="175"/>
      <c r="S75" s="175" t="s">
        <v>0</v>
      </c>
      <c r="T75" s="175" t="s">
        <v>0</v>
      </c>
      <c r="U75" s="175" t="s">
        <v>0</v>
      </c>
      <c r="V75" s="175" t="s">
        <v>0</v>
      </c>
      <c r="W75" s="175" t="s">
        <v>0</v>
      </c>
      <c r="X75" s="175" t="s">
        <v>0</v>
      </c>
      <c r="Y75" s="175" t="s">
        <v>0</v>
      </c>
      <c r="Z75" s="175" t="s">
        <v>0</v>
      </c>
      <c r="AA75" s="175" t="s">
        <v>0</v>
      </c>
      <c r="AB75" s="175" t="s">
        <v>0</v>
      </c>
      <c r="AC75" s="175" t="s">
        <v>0</v>
      </c>
      <c r="AD75" s="175" t="s">
        <v>0</v>
      </c>
      <c r="AE75" s="175" t="s">
        <v>0</v>
      </c>
      <c r="AF75" s="175" t="s">
        <v>0</v>
      </c>
      <c r="AG75" s="175" t="s">
        <v>0</v>
      </c>
      <c r="AH75" s="175" t="s">
        <v>0</v>
      </c>
      <c r="AI75" s="175" t="s">
        <v>0</v>
      </c>
      <c r="AJ75" s="175" t="s">
        <v>0</v>
      </c>
      <c r="AK75" s="175" t="s">
        <v>0</v>
      </c>
      <c r="AL75" s="175" t="s">
        <v>0</v>
      </c>
      <c r="AM75" s="175" t="s">
        <v>0</v>
      </c>
      <c r="AN75" s="175" t="s">
        <v>0</v>
      </c>
      <c r="AO75" s="175" t="s">
        <v>0</v>
      </c>
      <c r="AP75" s="175" t="s">
        <v>0</v>
      </c>
      <c r="AQ75" s="175" t="s">
        <v>0</v>
      </c>
      <c r="AR75" s="175" t="s">
        <v>0</v>
      </c>
      <c r="AS75" s="175" t="s">
        <v>0</v>
      </c>
      <c r="AT75" s="175" t="s">
        <v>0</v>
      </c>
      <c r="AU75" s="175" t="s">
        <v>0</v>
      </c>
      <c r="AV75" s="175" t="s">
        <v>0</v>
      </c>
      <c r="AW75" s="175" t="s">
        <v>0</v>
      </c>
      <c r="AX75" s="175" t="s">
        <v>0</v>
      </c>
      <c r="AY75" s="175" t="s">
        <v>0</v>
      </c>
      <c r="AZ75" s="175" t="s">
        <v>0</v>
      </c>
      <c r="BA75" s="175" t="s">
        <v>0</v>
      </c>
      <c r="BB75" s="175" t="s">
        <v>0</v>
      </c>
      <c r="BC75" s="175" t="s">
        <v>0</v>
      </c>
      <c r="BD75" s="175" t="s">
        <v>0</v>
      </c>
      <c r="BE75" s="175" t="s">
        <v>0</v>
      </c>
      <c r="BF75" s="175" t="s">
        <v>0</v>
      </c>
      <c r="BG75" s="175" t="s">
        <v>0</v>
      </c>
      <c r="BH75" s="175" t="s">
        <v>0</v>
      </c>
      <c r="BI75" s="176"/>
    </row>
    <row r="76" spans="1:61" x14ac:dyDescent="0.25">
      <c r="A76" s="22">
        <f t="shared" si="9"/>
        <v>70</v>
      </c>
      <c r="B76" s="214" t="str">
        <f>IF(F76=$F$7,#REF!,B75)</f>
        <v>F0013547811</v>
      </c>
      <c r="C76" s="214" t="str">
        <f>IF(F76=$F$7,#REF!,C75)</f>
        <v>82115-0EA00 L</v>
      </c>
      <c r="D76" s="45" t="str">
        <f>VLOOKUP(B76,'Timing Table'!B:J,9,0)</f>
        <v>C/O</v>
      </c>
      <c r="E76" s="22" t="str">
        <f>VLOOKUP(B76,'Timing Table'!B:H,7,0)</f>
        <v>GAS</v>
      </c>
      <c r="F76" s="177" t="s">
        <v>58</v>
      </c>
      <c r="G76" s="178" t="s">
        <v>58</v>
      </c>
      <c r="H76" s="179" t="s">
        <v>58</v>
      </c>
      <c r="I76" s="180" t="s">
        <v>58</v>
      </c>
      <c r="J76" s="180" t="s">
        <v>0</v>
      </c>
      <c r="K76" s="180" t="s">
        <v>0</v>
      </c>
      <c r="L76" s="180" t="s">
        <v>0</v>
      </c>
      <c r="M76" s="180" t="s">
        <v>0</v>
      </c>
      <c r="N76" s="180" t="s">
        <v>0</v>
      </c>
      <c r="O76" s="180" t="s">
        <v>0</v>
      </c>
      <c r="P76" s="180" t="s">
        <v>0</v>
      </c>
      <c r="Q76" s="180" t="s">
        <v>0</v>
      </c>
      <c r="R76" s="180" t="s">
        <v>0</v>
      </c>
      <c r="S76" s="180" t="s">
        <v>0</v>
      </c>
      <c r="T76" s="180" t="s">
        <v>0</v>
      </c>
      <c r="U76" s="180" t="s">
        <v>0</v>
      </c>
      <c r="V76" s="180" t="s">
        <v>0</v>
      </c>
      <c r="W76" s="180" t="s">
        <v>0</v>
      </c>
      <c r="X76" s="180" t="s">
        <v>0</v>
      </c>
      <c r="Y76" s="180" t="s">
        <v>0</v>
      </c>
      <c r="Z76" s="180" t="s">
        <v>0</v>
      </c>
      <c r="AA76" s="180" t="s">
        <v>0</v>
      </c>
      <c r="AB76" s="180" t="s">
        <v>0</v>
      </c>
      <c r="AC76" s="180" t="s">
        <v>0</v>
      </c>
      <c r="AD76" s="180" t="s">
        <v>0</v>
      </c>
      <c r="AE76" s="180" t="s">
        <v>0</v>
      </c>
      <c r="AF76" s="180" t="s">
        <v>0</v>
      </c>
      <c r="AG76" s="180" t="s">
        <v>0</v>
      </c>
      <c r="AH76" s="180" t="s">
        <v>0</v>
      </c>
      <c r="AI76" s="180" t="s">
        <v>0</v>
      </c>
      <c r="AJ76" s="180" t="s">
        <v>0</v>
      </c>
      <c r="AK76" s="180" t="s">
        <v>0</v>
      </c>
      <c r="AL76" s="180" t="s">
        <v>0</v>
      </c>
      <c r="AM76" s="180" t="s">
        <v>0</v>
      </c>
      <c r="AN76" s="180" t="s">
        <v>0</v>
      </c>
      <c r="AO76" s="180" t="s">
        <v>0</v>
      </c>
      <c r="AP76" s="180" t="s">
        <v>0</v>
      </c>
      <c r="AQ76" s="180" t="s">
        <v>0</v>
      </c>
      <c r="AR76" s="180" t="s">
        <v>0</v>
      </c>
      <c r="AS76" s="180" t="s">
        <v>0</v>
      </c>
      <c r="AT76" s="180" t="s">
        <v>0</v>
      </c>
      <c r="AU76" s="180" t="s">
        <v>0</v>
      </c>
      <c r="AV76" s="180" t="s">
        <v>0</v>
      </c>
      <c r="AW76" s="180" t="s">
        <v>0</v>
      </c>
      <c r="AX76" s="180" t="s">
        <v>0</v>
      </c>
      <c r="AY76" s="180" t="s">
        <v>0</v>
      </c>
      <c r="AZ76" s="180" t="s">
        <v>0</v>
      </c>
      <c r="BA76" s="180" t="s">
        <v>0</v>
      </c>
      <c r="BB76" s="180" t="s">
        <v>0</v>
      </c>
      <c r="BC76" s="180" t="s">
        <v>0</v>
      </c>
      <c r="BD76" s="180" t="s">
        <v>0</v>
      </c>
      <c r="BE76" s="180" t="s">
        <v>0</v>
      </c>
      <c r="BF76" s="180" t="s">
        <v>0</v>
      </c>
      <c r="BG76" s="180" t="s">
        <v>0</v>
      </c>
      <c r="BH76" s="180" t="s">
        <v>0</v>
      </c>
      <c r="BI76" s="181"/>
    </row>
    <row r="77" spans="1:61" x14ac:dyDescent="0.25">
      <c r="A77" s="22">
        <f t="shared" si="9"/>
        <v>71</v>
      </c>
      <c r="B77" s="214" t="str">
        <f>IF(F77=$F$7,G78,#REF!)</f>
        <v>F0013547812</v>
      </c>
      <c r="C77" s="214" t="str">
        <f>IF(F77=$F$7,G79,#REF!)</f>
        <v>82115-0EA00 M</v>
      </c>
      <c r="D77" s="45" t="str">
        <f>VLOOKUP(B77,'Timing Table'!B:J,9,0)</f>
        <v>C/O</v>
      </c>
      <c r="E77" s="22" t="str">
        <f>VLOOKUP(B77,'Timing Table'!B:H,7,0)</f>
        <v>GAS</v>
      </c>
      <c r="F77" s="121" t="s">
        <v>59</v>
      </c>
      <c r="G77" s="146">
        <v>5501060666</v>
      </c>
      <c r="H77" s="121" t="s">
        <v>60</v>
      </c>
      <c r="I77" s="146">
        <v>18</v>
      </c>
      <c r="J77" s="121" t="s">
        <v>61</v>
      </c>
      <c r="K77" s="125">
        <v>1210847</v>
      </c>
      <c r="L77" s="126"/>
      <c r="M77" s="147" t="s">
        <v>62</v>
      </c>
      <c r="N77" s="148"/>
      <c r="O77" s="149">
        <v>46086</v>
      </c>
      <c r="P77" s="121" t="s">
        <v>63</v>
      </c>
      <c r="Q77" s="146">
        <v>4</v>
      </c>
      <c r="R77" s="6" t="s">
        <v>0</v>
      </c>
      <c r="S77" s="7" t="s">
        <v>0</v>
      </c>
      <c r="T77" s="7" t="s">
        <v>0</v>
      </c>
      <c r="U77" s="7" t="s">
        <v>0</v>
      </c>
      <c r="V77" s="7" t="s">
        <v>0</v>
      </c>
      <c r="W77" s="7" t="s">
        <v>0</v>
      </c>
      <c r="X77" s="7" t="s">
        <v>0</v>
      </c>
      <c r="Y77" s="7" t="s">
        <v>0</v>
      </c>
      <c r="Z77" s="7" t="s">
        <v>0</v>
      </c>
      <c r="AA77" s="7" t="s">
        <v>0</v>
      </c>
      <c r="AB77" s="7" t="s">
        <v>0</v>
      </c>
      <c r="AC77" s="7" t="s">
        <v>0</v>
      </c>
      <c r="AD77" s="7" t="s">
        <v>0</v>
      </c>
      <c r="AE77" s="7" t="s">
        <v>0</v>
      </c>
      <c r="AF77" s="7" t="s">
        <v>0</v>
      </c>
      <c r="AG77" s="7" t="s">
        <v>0</v>
      </c>
      <c r="AH77" s="7" t="s">
        <v>0</v>
      </c>
      <c r="AI77" s="7" t="s">
        <v>0</v>
      </c>
      <c r="AJ77" s="7" t="s">
        <v>0</v>
      </c>
      <c r="AK77" s="7" t="s">
        <v>0</v>
      </c>
      <c r="AL77" s="7" t="s">
        <v>0</v>
      </c>
      <c r="AM77" s="7" t="s">
        <v>0</v>
      </c>
      <c r="AN77" s="7" t="s">
        <v>0</v>
      </c>
      <c r="AO77" s="7" t="s">
        <v>0</v>
      </c>
      <c r="AP77" s="7" t="s">
        <v>0</v>
      </c>
      <c r="AQ77" s="7" t="s">
        <v>0</v>
      </c>
      <c r="AR77" s="7" t="s">
        <v>0</v>
      </c>
      <c r="AS77" s="7" t="s">
        <v>0</v>
      </c>
      <c r="AT77" s="7" t="s">
        <v>0</v>
      </c>
      <c r="AU77" s="7" t="s">
        <v>0</v>
      </c>
      <c r="AV77" s="7" t="s">
        <v>0</v>
      </c>
      <c r="AW77" s="7" t="s">
        <v>0</v>
      </c>
      <c r="AX77" s="7" t="s">
        <v>0</v>
      </c>
      <c r="AY77" s="7" t="s">
        <v>0</v>
      </c>
      <c r="AZ77" s="7" t="s">
        <v>0</v>
      </c>
      <c r="BA77" s="7" t="s">
        <v>0</v>
      </c>
      <c r="BB77" s="7" t="s">
        <v>0</v>
      </c>
      <c r="BC77" s="7" t="s">
        <v>0</v>
      </c>
      <c r="BD77" s="7" t="s">
        <v>0</v>
      </c>
      <c r="BE77" s="7" t="s">
        <v>0</v>
      </c>
      <c r="BF77" s="7" t="s">
        <v>0</v>
      </c>
      <c r="BG77" s="7" t="s">
        <v>0</v>
      </c>
      <c r="BH77" s="7" t="s">
        <v>0</v>
      </c>
      <c r="BI77" s="8"/>
    </row>
    <row r="78" spans="1:61" x14ac:dyDescent="0.25">
      <c r="A78" s="22">
        <f t="shared" si="9"/>
        <v>72</v>
      </c>
      <c r="B78" s="214" t="str">
        <f t="shared" ref="B78:B115" si="10">IF(F78=$F$7,G79,B77)</f>
        <v>F0013547812</v>
      </c>
      <c r="C78" s="214" t="str">
        <f t="shared" ref="C78:C114" si="11">IF(F78=$F$7,G80,C77)</f>
        <v>82115-0EA00 M</v>
      </c>
      <c r="D78" s="45" t="str">
        <f>VLOOKUP(B78,'Timing Table'!B:J,9,0)</f>
        <v>C/O</v>
      </c>
      <c r="E78" s="22" t="str">
        <f>VLOOKUP(B78,'Timing Table'!B:H,7,0)</f>
        <v>GAS</v>
      </c>
      <c r="F78" s="121" t="s">
        <v>64</v>
      </c>
      <c r="G78" s="146" t="s">
        <v>265</v>
      </c>
      <c r="H78" s="121" t="s">
        <v>65</v>
      </c>
      <c r="I78" s="150" t="s">
        <v>278</v>
      </c>
      <c r="J78" s="151"/>
      <c r="K78" s="151"/>
      <c r="L78" s="152"/>
      <c r="M78" s="121" t="s">
        <v>66</v>
      </c>
      <c r="N78" s="146">
        <v>2025</v>
      </c>
      <c r="O78" s="140" t="s">
        <v>67</v>
      </c>
      <c r="P78" s="141"/>
      <c r="Q78" s="153" t="s">
        <v>279</v>
      </c>
      <c r="R78" s="122" t="s">
        <v>0</v>
      </c>
      <c r="S78" s="123"/>
      <c r="T78" s="123"/>
      <c r="U78" s="123" t="s">
        <v>0</v>
      </c>
      <c r="V78" s="123" t="s">
        <v>0</v>
      </c>
      <c r="W78" s="123" t="s">
        <v>0</v>
      </c>
      <c r="X78" s="123" t="s">
        <v>0</v>
      </c>
      <c r="Y78" s="123" t="s">
        <v>0</v>
      </c>
      <c r="Z78" s="123" t="s">
        <v>0</v>
      </c>
      <c r="AA78" s="123" t="s">
        <v>0</v>
      </c>
      <c r="AB78" s="123" t="s">
        <v>0</v>
      </c>
      <c r="AC78" s="123" t="s">
        <v>0</v>
      </c>
      <c r="AD78" s="123" t="s">
        <v>0</v>
      </c>
      <c r="AE78" s="123" t="s">
        <v>0</v>
      </c>
      <c r="AF78" s="123" t="s">
        <v>0</v>
      </c>
      <c r="AG78" s="123" t="s">
        <v>0</v>
      </c>
      <c r="AH78" s="123" t="s">
        <v>0</v>
      </c>
      <c r="AI78" s="123" t="s">
        <v>0</v>
      </c>
      <c r="AJ78" s="123" t="s">
        <v>0</v>
      </c>
      <c r="AK78" s="123" t="s">
        <v>0</v>
      </c>
      <c r="AL78" s="123" t="s">
        <v>0</v>
      </c>
      <c r="AM78" s="123" t="s">
        <v>0</v>
      </c>
      <c r="AN78" s="123" t="s">
        <v>0</v>
      </c>
      <c r="AO78" s="123" t="s">
        <v>0</v>
      </c>
      <c r="AP78" s="123" t="s">
        <v>0</v>
      </c>
      <c r="AQ78" s="123" t="s">
        <v>0</v>
      </c>
      <c r="AR78" s="123" t="s">
        <v>0</v>
      </c>
      <c r="AS78" s="123" t="s">
        <v>0</v>
      </c>
      <c r="AT78" s="123" t="s">
        <v>0</v>
      </c>
      <c r="AU78" s="123" t="s">
        <v>0</v>
      </c>
      <c r="AV78" s="123" t="s">
        <v>0</v>
      </c>
      <c r="AW78" s="123" t="s">
        <v>0</v>
      </c>
      <c r="AX78" s="123" t="s">
        <v>0</v>
      </c>
      <c r="AY78" s="123" t="s">
        <v>0</v>
      </c>
      <c r="AZ78" s="123" t="s">
        <v>0</v>
      </c>
      <c r="BA78" s="123" t="s">
        <v>0</v>
      </c>
      <c r="BB78" s="123" t="s">
        <v>0</v>
      </c>
      <c r="BC78" s="123" t="s">
        <v>0</v>
      </c>
      <c r="BD78" s="123" t="s">
        <v>0</v>
      </c>
      <c r="BE78" s="123" t="s">
        <v>0</v>
      </c>
      <c r="BF78" s="123" t="s">
        <v>0</v>
      </c>
      <c r="BG78" s="123" t="s">
        <v>0</v>
      </c>
      <c r="BH78" s="123" t="s">
        <v>0</v>
      </c>
      <c r="BI78" s="124"/>
    </row>
    <row r="79" spans="1:61" x14ac:dyDescent="0.25">
      <c r="A79" s="22">
        <f t="shared" si="9"/>
        <v>73</v>
      </c>
      <c r="B79" s="214" t="str">
        <f t="shared" si="10"/>
        <v>F0013547812</v>
      </c>
      <c r="C79" s="214" t="str">
        <f t="shared" si="11"/>
        <v>82115-0EA00 M</v>
      </c>
      <c r="D79" s="45" t="str">
        <f>VLOOKUP(B79,'Timing Table'!B:J,9,0)</f>
        <v>C/O</v>
      </c>
      <c r="E79" s="22" t="str">
        <f>VLOOKUP(B79,'Timing Table'!B:H,7,0)</f>
        <v>GAS</v>
      </c>
      <c r="F79" s="121" t="s">
        <v>68</v>
      </c>
      <c r="G79" s="146" t="s">
        <v>336</v>
      </c>
      <c r="H79" s="121" t="s">
        <v>69</v>
      </c>
      <c r="I79" s="154" t="s">
        <v>58</v>
      </c>
      <c r="J79" s="155" t="s">
        <v>0</v>
      </c>
      <c r="K79" s="156" t="s">
        <v>0</v>
      </c>
      <c r="L79" s="157" t="s">
        <v>0</v>
      </c>
      <c r="M79" s="134" t="s">
        <v>0</v>
      </c>
      <c r="N79" s="134" t="s">
        <v>0</v>
      </c>
      <c r="O79" s="134" t="s">
        <v>0</v>
      </c>
      <c r="P79" s="134" t="s">
        <v>0</v>
      </c>
      <c r="Q79" s="134" t="s">
        <v>1</v>
      </c>
      <c r="R79" s="134" t="s">
        <v>2</v>
      </c>
      <c r="S79" s="134" t="s">
        <v>0</v>
      </c>
      <c r="T79" s="134" t="s">
        <v>0</v>
      </c>
      <c r="U79" s="134" t="s">
        <v>0</v>
      </c>
      <c r="V79" s="134" t="s">
        <v>0</v>
      </c>
      <c r="W79" s="134" t="s">
        <v>0</v>
      </c>
      <c r="X79" s="134" t="s">
        <v>0</v>
      </c>
      <c r="Y79" s="134" t="s">
        <v>0</v>
      </c>
      <c r="Z79" s="134" t="s">
        <v>3</v>
      </c>
      <c r="AA79" s="134" t="s">
        <v>0</v>
      </c>
      <c r="AB79" s="134" t="s">
        <v>0</v>
      </c>
      <c r="AC79" s="134" t="s">
        <v>0</v>
      </c>
      <c r="AD79" s="134" t="s">
        <v>0</v>
      </c>
      <c r="AE79" s="134" t="s">
        <v>0</v>
      </c>
      <c r="AF79" s="134" t="s">
        <v>0</v>
      </c>
      <c r="AG79" s="134" t="s">
        <v>0</v>
      </c>
      <c r="AH79" s="134" t="s">
        <v>0</v>
      </c>
      <c r="AI79" s="134" t="s">
        <v>0</v>
      </c>
      <c r="AJ79" s="134" t="s">
        <v>0</v>
      </c>
      <c r="AK79" s="134" t="s">
        <v>0</v>
      </c>
      <c r="AL79" s="134" t="s">
        <v>0</v>
      </c>
      <c r="AM79" s="134" t="s">
        <v>0</v>
      </c>
      <c r="AN79" s="134" t="s">
        <v>0</v>
      </c>
      <c r="AO79" s="134" t="s">
        <v>0</v>
      </c>
      <c r="AP79" s="134" t="s">
        <v>0</v>
      </c>
      <c r="AQ79" s="134" t="s">
        <v>0</v>
      </c>
      <c r="AR79" s="134" t="s">
        <v>0</v>
      </c>
      <c r="AS79" s="134" t="s">
        <v>0</v>
      </c>
      <c r="AT79" s="134" t="s">
        <v>0</v>
      </c>
      <c r="AU79" s="134" t="s">
        <v>0</v>
      </c>
      <c r="AV79" s="134" t="s">
        <v>0</v>
      </c>
      <c r="AW79" s="134" t="s">
        <v>0</v>
      </c>
      <c r="AX79" s="134" t="s">
        <v>0</v>
      </c>
      <c r="AY79" s="134" t="s">
        <v>0</v>
      </c>
      <c r="AZ79" s="134" t="s">
        <v>0</v>
      </c>
      <c r="BA79" s="134" t="s">
        <v>0</v>
      </c>
      <c r="BB79" s="134" t="s">
        <v>0</v>
      </c>
      <c r="BC79" s="134" t="s">
        <v>0</v>
      </c>
      <c r="BD79" s="134" t="s">
        <v>0</v>
      </c>
      <c r="BE79" s="134" t="s">
        <v>0</v>
      </c>
      <c r="BF79" s="134" t="s">
        <v>0</v>
      </c>
      <c r="BG79" s="134" t="s">
        <v>0</v>
      </c>
      <c r="BH79" s="134" t="s">
        <v>0</v>
      </c>
      <c r="BI79" s="135" t="s">
        <v>4</v>
      </c>
    </row>
    <row r="80" spans="1:61" x14ac:dyDescent="0.25">
      <c r="A80" s="22">
        <f t="shared" si="9"/>
        <v>74</v>
      </c>
      <c r="B80" s="214" t="str">
        <f t="shared" si="10"/>
        <v>F0013547812</v>
      </c>
      <c r="C80" s="214" t="str">
        <f t="shared" si="11"/>
        <v>82115-0EA00 M</v>
      </c>
      <c r="D80" s="45" t="str">
        <f>VLOOKUP(B80,'Timing Table'!B:J,9,0)</f>
        <v>C/O</v>
      </c>
      <c r="E80" s="22" t="str">
        <f>VLOOKUP(B80,'Timing Table'!B:H,7,0)</f>
        <v>GAS</v>
      </c>
      <c r="F80" s="121" t="s">
        <v>70</v>
      </c>
      <c r="G80" s="146">
        <v>1172</v>
      </c>
      <c r="H80" s="158" t="s">
        <v>240</v>
      </c>
      <c r="I80" s="159" t="s">
        <v>71</v>
      </c>
      <c r="J80" s="13">
        <v>46041</v>
      </c>
      <c r="K80" s="14">
        <v>46048</v>
      </c>
      <c r="L80" s="14">
        <v>46055</v>
      </c>
      <c r="M80" s="14">
        <v>46062</v>
      </c>
      <c r="N80" s="14">
        <v>46069</v>
      </c>
      <c r="O80" s="14">
        <v>46076</v>
      </c>
      <c r="P80" s="14">
        <v>46083</v>
      </c>
      <c r="Q80" s="14">
        <v>46090</v>
      </c>
      <c r="R80" s="14">
        <v>46097</v>
      </c>
      <c r="S80" s="14">
        <v>46104</v>
      </c>
      <c r="T80" s="14">
        <v>46111</v>
      </c>
      <c r="U80" s="14">
        <v>46118</v>
      </c>
      <c r="V80" s="14">
        <v>46125</v>
      </c>
      <c r="W80" s="14">
        <v>46132</v>
      </c>
      <c r="X80" s="14">
        <v>46139</v>
      </c>
      <c r="Y80" s="14">
        <v>46146</v>
      </c>
      <c r="Z80" s="14">
        <v>46153</v>
      </c>
      <c r="AA80" s="14">
        <v>46160</v>
      </c>
      <c r="AB80" s="14">
        <v>46167</v>
      </c>
      <c r="AC80" s="14">
        <v>46174</v>
      </c>
      <c r="AD80" s="14">
        <v>46181</v>
      </c>
      <c r="AE80" s="14">
        <v>46188</v>
      </c>
      <c r="AF80" s="14">
        <v>46195</v>
      </c>
      <c r="AG80" s="14">
        <v>46202</v>
      </c>
      <c r="AH80" s="14">
        <v>46209</v>
      </c>
      <c r="AI80" s="14">
        <v>46216</v>
      </c>
      <c r="AJ80" s="14">
        <v>46223</v>
      </c>
      <c r="AK80" s="14">
        <v>46230</v>
      </c>
      <c r="AL80" s="14">
        <v>46237</v>
      </c>
      <c r="AM80" s="14">
        <v>46244</v>
      </c>
      <c r="AN80" s="14">
        <v>46251</v>
      </c>
      <c r="AO80" s="14">
        <v>46258</v>
      </c>
      <c r="AP80" s="14">
        <v>46265</v>
      </c>
      <c r="AQ80" s="14">
        <v>46272</v>
      </c>
      <c r="AR80" s="14">
        <v>46279</v>
      </c>
      <c r="AS80" s="14">
        <v>46286</v>
      </c>
      <c r="AT80" s="14">
        <v>46293</v>
      </c>
      <c r="AU80" s="14">
        <v>46300</v>
      </c>
      <c r="AV80" s="14">
        <v>46307</v>
      </c>
      <c r="AW80" s="14">
        <v>46314</v>
      </c>
      <c r="AX80" s="14">
        <v>46321</v>
      </c>
      <c r="AY80" s="14">
        <v>46328</v>
      </c>
      <c r="AZ80" s="14">
        <v>46335</v>
      </c>
      <c r="BA80" s="14">
        <v>46342</v>
      </c>
      <c r="BB80" s="14">
        <v>46349</v>
      </c>
      <c r="BC80" s="14">
        <v>46356</v>
      </c>
      <c r="BD80" s="14">
        <v>46363</v>
      </c>
      <c r="BE80" s="14">
        <v>46370</v>
      </c>
      <c r="BF80" s="14">
        <v>46377</v>
      </c>
      <c r="BG80" s="14">
        <v>46384</v>
      </c>
      <c r="BH80" s="14">
        <v>46391</v>
      </c>
      <c r="BI80" s="15">
        <v>46398</v>
      </c>
    </row>
    <row r="81" spans="1:61" x14ac:dyDescent="0.25">
      <c r="A81" s="22">
        <f t="shared" si="9"/>
        <v>75</v>
      </c>
      <c r="B81" s="214" t="str">
        <f t="shared" si="10"/>
        <v>F0013547812</v>
      </c>
      <c r="C81" s="214" t="str">
        <f t="shared" si="11"/>
        <v>82115-0EA00 M</v>
      </c>
      <c r="D81" s="45" t="str">
        <f>VLOOKUP(B81,'Timing Table'!B:J,9,0)</f>
        <v>C/O</v>
      </c>
      <c r="E81" s="22" t="str">
        <f>VLOOKUP(B81,'Timing Table'!B:H,7,0)</f>
        <v>GAS</v>
      </c>
      <c r="F81" s="121" t="s">
        <v>72</v>
      </c>
      <c r="G81" s="146">
        <v>3724</v>
      </c>
      <c r="H81" s="5" t="s">
        <v>58</v>
      </c>
      <c r="I81" s="11" t="s">
        <v>83</v>
      </c>
      <c r="J81" s="16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17"/>
    </row>
    <row r="82" spans="1:61" x14ac:dyDescent="0.25">
      <c r="A82" s="22">
        <f t="shared" si="9"/>
        <v>76</v>
      </c>
      <c r="B82" s="214" t="str">
        <f t="shared" si="10"/>
        <v>F0013547812</v>
      </c>
      <c r="C82" s="214" t="str">
        <f t="shared" si="11"/>
        <v>82115-0EA00 M</v>
      </c>
      <c r="D82" s="45" t="str">
        <f>VLOOKUP(B82,'Timing Table'!B:J,9,0)</f>
        <v>C/O</v>
      </c>
      <c r="E82" s="22" t="str">
        <f>VLOOKUP(B82,'Timing Table'!B:H,7,0)</f>
        <v>GAS</v>
      </c>
      <c r="F82" s="121" t="s">
        <v>73</v>
      </c>
      <c r="G82" s="160" t="s">
        <v>315</v>
      </c>
      <c r="H82" s="9" t="s">
        <v>88</v>
      </c>
      <c r="I82" s="11" t="s">
        <v>74</v>
      </c>
      <c r="J82" s="117">
        <v>0</v>
      </c>
      <c r="K82" s="50">
        <v>0</v>
      </c>
      <c r="L82" s="50">
        <v>0</v>
      </c>
      <c r="M82" s="50">
        <v>0</v>
      </c>
      <c r="N82" s="50">
        <v>0</v>
      </c>
      <c r="O82" s="50">
        <v>0</v>
      </c>
      <c r="P82" s="50">
        <v>0</v>
      </c>
      <c r="Q82" s="50">
        <v>412</v>
      </c>
      <c r="R82" s="50">
        <v>0</v>
      </c>
      <c r="S82" s="50">
        <v>464</v>
      </c>
      <c r="T82" s="50">
        <v>460</v>
      </c>
      <c r="U82" s="50">
        <v>432</v>
      </c>
      <c r="V82" s="50">
        <v>332</v>
      </c>
      <c r="W82" s="50">
        <v>240</v>
      </c>
      <c r="X82" s="50">
        <v>180</v>
      </c>
      <c r="Y82" s="50">
        <v>180</v>
      </c>
      <c r="Z82" s="50">
        <v>240</v>
      </c>
      <c r="AA82" s="50">
        <v>328</v>
      </c>
      <c r="AB82" s="50">
        <v>332</v>
      </c>
      <c r="AC82" s="50">
        <v>328</v>
      </c>
      <c r="AD82" s="50">
        <v>280</v>
      </c>
      <c r="AE82" s="50">
        <v>276</v>
      </c>
      <c r="AF82" s="50">
        <v>228</v>
      </c>
      <c r="AG82" s="50">
        <v>320</v>
      </c>
      <c r="AH82" s="50">
        <v>196</v>
      </c>
      <c r="AI82" s="50">
        <v>264</v>
      </c>
      <c r="AJ82" s="50">
        <v>380</v>
      </c>
      <c r="AK82" s="50">
        <v>380</v>
      </c>
      <c r="AL82" s="50">
        <v>536</v>
      </c>
      <c r="AM82" s="50">
        <v>524</v>
      </c>
      <c r="AN82" s="50">
        <v>524</v>
      </c>
      <c r="AO82" s="50">
        <v>524</v>
      </c>
      <c r="AP82" s="50">
        <v>524</v>
      </c>
      <c r="AQ82" s="50">
        <v>524</v>
      </c>
      <c r="AR82" s="50">
        <v>524</v>
      </c>
      <c r="AS82" s="50">
        <v>524</v>
      </c>
      <c r="AT82" s="50">
        <v>524</v>
      </c>
      <c r="AU82" s="50">
        <v>524</v>
      </c>
      <c r="AV82" s="50">
        <v>524</v>
      </c>
      <c r="AW82" s="50">
        <v>524</v>
      </c>
      <c r="AX82" s="50">
        <v>524</v>
      </c>
      <c r="AY82" s="50">
        <v>524</v>
      </c>
      <c r="AZ82" s="50">
        <v>524</v>
      </c>
      <c r="BA82" s="50">
        <v>524</v>
      </c>
      <c r="BB82" s="50">
        <v>524</v>
      </c>
      <c r="BC82" s="50">
        <v>524</v>
      </c>
      <c r="BD82" s="50">
        <v>524</v>
      </c>
      <c r="BE82" s="50">
        <v>524</v>
      </c>
      <c r="BF82" s="50">
        <v>524</v>
      </c>
      <c r="BG82" s="50">
        <v>524</v>
      </c>
      <c r="BH82" s="50">
        <v>524</v>
      </c>
      <c r="BI82" s="118">
        <v>524</v>
      </c>
    </row>
    <row r="83" spans="1:61" x14ac:dyDescent="0.25">
      <c r="A83" s="22">
        <f t="shared" si="9"/>
        <v>77</v>
      </c>
      <c r="B83" s="214" t="str">
        <f t="shared" si="10"/>
        <v>F0013547812</v>
      </c>
      <c r="C83" s="214" t="str">
        <f t="shared" si="11"/>
        <v>82115-0EA00 M</v>
      </c>
      <c r="D83" s="45" t="str">
        <f>VLOOKUP(B83,'Timing Table'!B:J,9,0)</f>
        <v>C/O</v>
      </c>
      <c r="E83" s="22" t="str">
        <f>VLOOKUP(B83,'Timing Table'!B:H,7,0)</f>
        <v>GAS</v>
      </c>
      <c r="F83" s="121" t="s">
        <v>75</v>
      </c>
      <c r="G83" s="146">
        <v>82115</v>
      </c>
      <c r="H83" s="10" t="s">
        <v>88</v>
      </c>
      <c r="I83" s="12" t="s">
        <v>76</v>
      </c>
      <c r="J83" s="161">
        <v>0</v>
      </c>
      <c r="K83" s="162">
        <v>0</v>
      </c>
      <c r="L83" s="162">
        <v>0</v>
      </c>
      <c r="M83" s="162">
        <v>0</v>
      </c>
      <c r="N83" s="162">
        <v>0</v>
      </c>
      <c r="O83" s="162">
        <v>0</v>
      </c>
      <c r="P83" s="162">
        <v>0</v>
      </c>
      <c r="Q83" s="162">
        <v>412</v>
      </c>
      <c r="R83" s="162">
        <v>412</v>
      </c>
      <c r="S83" s="162">
        <v>876</v>
      </c>
      <c r="T83" s="162">
        <v>1336</v>
      </c>
      <c r="U83" s="162">
        <v>1768</v>
      </c>
      <c r="V83" s="162">
        <v>2100</v>
      </c>
      <c r="W83" s="162">
        <v>2340</v>
      </c>
      <c r="X83" s="162">
        <v>2520</v>
      </c>
      <c r="Y83" s="162">
        <v>2700</v>
      </c>
      <c r="Z83" s="162">
        <v>2940</v>
      </c>
      <c r="AA83" s="162">
        <v>3268</v>
      </c>
      <c r="AB83" s="162">
        <v>3600</v>
      </c>
      <c r="AC83" s="162">
        <v>3928</v>
      </c>
      <c r="AD83" s="162">
        <v>4208</v>
      </c>
      <c r="AE83" s="162">
        <v>4484</v>
      </c>
      <c r="AF83" s="162">
        <v>4712</v>
      </c>
      <c r="AG83" s="162">
        <v>5032</v>
      </c>
      <c r="AH83" s="162">
        <v>5228</v>
      </c>
      <c r="AI83" s="162">
        <v>5492</v>
      </c>
      <c r="AJ83" s="162">
        <v>5872</v>
      </c>
      <c r="AK83" s="162">
        <v>6252</v>
      </c>
      <c r="AL83" s="162">
        <v>6788</v>
      </c>
      <c r="AM83" s="162">
        <v>7312</v>
      </c>
      <c r="AN83" s="162">
        <v>7836</v>
      </c>
      <c r="AO83" s="162">
        <v>8360</v>
      </c>
      <c r="AP83" s="162">
        <v>8884</v>
      </c>
      <c r="AQ83" s="162">
        <v>9408</v>
      </c>
      <c r="AR83" s="162">
        <v>9932</v>
      </c>
      <c r="AS83" s="162">
        <v>10456</v>
      </c>
      <c r="AT83" s="162">
        <v>10980</v>
      </c>
      <c r="AU83" s="162">
        <v>11504</v>
      </c>
      <c r="AV83" s="162">
        <v>12028</v>
      </c>
      <c r="AW83" s="162">
        <v>12552</v>
      </c>
      <c r="AX83" s="162">
        <v>13076</v>
      </c>
      <c r="AY83" s="162">
        <v>13600</v>
      </c>
      <c r="AZ83" s="162">
        <v>14124</v>
      </c>
      <c r="BA83" s="162">
        <v>14648</v>
      </c>
      <c r="BB83" s="162">
        <v>15172</v>
      </c>
      <c r="BC83" s="162">
        <v>15696</v>
      </c>
      <c r="BD83" s="162">
        <v>16220</v>
      </c>
      <c r="BE83" s="162">
        <v>16744</v>
      </c>
      <c r="BF83" s="162">
        <v>17268</v>
      </c>
      <c r="BG83" s="162">
        <v>17792</v>
      </c>
      <c r="BH83" s="162">
        <v>18316</v>
      </c>
      <c r="BI83" s="163">
        <v>18840</v>
      </c>
    </row>
    <row r="84" spans="1:61" x14ac:dyDescent="0.25">
      <c r="A84" s="22">
        <f t="shared" si="9"/>
        <v>78</v>
      </c>
      <c r="B84" s="214" t="str">
        <f t="shared" si="10"/>
        <v>F0013547812</v>
      </c>
      <c r="C84" s="214" t="str">
        <f t="shared" si="11"/>
        <v>82115-0EA00 M</v>
      </c>
      <c r="D84" s="45" t="str">
        <f>VLOOKUP(B84,'Timing Table'!B:J,9,0)</f>
        <v>C/O</v>
      </c>
      <c r="E84" s="22" t="str">
        <f>VLOOKUP(B84,'Timing Table'!B:H,7,0)</f>
        <v>GAS</v>
      </c>
      <c r="F84" s="164" t="s">
        <v>77</v>
      </c>
      <c r="G84" s="165">
        <v>0</v>
      </c>
      <c r="H84" s="166" t="s">
        <v>78</v>
      </c>
      <c r="I84" s="167"/>
      <c r="J84" s="168"/>
      <c r="K84" s="169"/>
      <c r="L84" s="170" t="s">
        <v>0</v>
      </c>
      <c r="M84" s="170" t="s">
        <v>0</v>
      </c>
      <c r="N84" s="170" t="s">
        <v>0</v>
      </c>
      <c r="O84" s="170" t="s">
        <v>0</v>
      </c>
      <c r="P84" s="170" t="s">
        <v>0</v>
      </c>
      <c r="Q84" s="170" t="s">
        <v>0</v>
      </c>
      <c r="R84" s="170" t="s">
        <v>0</v>
      </c>
      <c r="S84" s="170" t="s">
        <v>0</v>
      </c>
      <c r="T84" s="170" t="s">
        <v>0</v>
      </c>
      <c r="U84" s="170" t="s">
        <v>0</v>
      </c>
      <c r="V84" s="170" t="s">
        <v>0</v>
      </c>
      <c r="W84" s="170" t="s">
        <v>0</v>
      </c>
      <c r="X84" s="170" t="s">
        <v>0</v>
      </c>
      <c r="Y84" s="170" t="s">
        <v>0</v>
      </c>
      <c r="Z84" s="170" t="s">
        <v>0</v>
      </c>
      <c r="AA84" s="170" t="s">
        <v>0</v>
      </c>
      <c r="AB84" s="170" t="s">
        <v>0</v>
      </c>
      <c r="AC84" s="170" t="s">
        <v>0</v>
      </c>
      <c r="AD84" s="170" t="s">
        <v>0</v>
      </c>
      <c r="AE84" s="170" t="s">
        <v>0</v>
      </c>
      <c r="AF84" s="170" t="s">
        <v>0</v>
      </c>
      <c r="AG84" s="170" t="s">
        <v>0</v>
      </c>
      <c r="AH84" s="170" t="s">
        <v>0</v>
      </c>
      <c r="AI84" s="170" t="s">
        <v>0</v>
      </c>
      <c r="AJ84" s="170" t="s">
        <v>0</v>
      </c>
      <c r="AK84" s="170" t="s">
        <v>0</v>
      </c>
      <c r="AL84" s="170" t="s">
        <v>0</v>
      </c>
      <c r="AM84" s="170" t="s">
        <v>0</v>
      </c>
      <c r="AN84" s="170" t="s">
        <v>0</v>
      </c>
      <c r="AO84" s="170" t="s">
        <v>0</v>
      </c>
      <c r="AP84" s="170" t="s">
        <v>0</v>
      </c>
      <c r="AQ84" s="170" t="s">
        <v>0</v>
      </c>
      <c r="AR84" s="170" t="s">
        <v>0</v>
      </c>
      <c r="AS84" s="170" t="s">
        <v>0</v>
      </c>
      <c r="AT84" s="170" t="s">
        <v>0</v>
      </c>
      <c r="AU84" s="170" t="s">
        <v>0</v>
      </c>
      <c r="AV84" s="170" t="s">
        <v>0</v>
      </c>
      <c r="AW84" s="170" t="s">
        <v>0</v>
      </c>
      <c r="AX84" s="170" t="s">
        <v>0</v>
      </c>
      <c r="AY84" s="170" t="s">
        <v>0</v>
      </c>
      <c r="AZ84" s="170" t="s">
        <v>0</v>
      </c>
      <c r="BA84" s="170" t="s">
        <v>0</v>
      </c>
      <c r="BB84" s="170" t="s">
        <v>0</v>
      </c>
      <c r="BC84" s="170" t="s">
        <v>0</v>
      </c>
      <c r="BD84" s="170" t="s">
        <v>0</v>
      </c>
      <c r="BE84" s="170" t="s">
        <v>0</v>
      </c>
      <c r="BF84" s="170" t="s">
        <v>0</v>
      </c>
      <c r="BG84" s="170" t="s">
        <v>0</v>
      </c>
      <c r="BH84" s="170" t="s">
        <v>0</v>
      </c>
      <c r="BI84" s="171"/>
    </row>
    <row r="85" spans="1:61" x14ac:dyDescent="0.25">
      <c r="A85" s="22">
        <f t="shared" si="9"/>
        <v>79</v>
      </c>
      <c r="B85" s="214" t="str">
        <f t="shared" si="10"/>
        <v>F0013547812</v>
      </c>
      <c r="C85" s="214" t="str">
        <f t="shared" si="11"/>
        <v>82115-0EA00 M</v>
      </c>
      <c r="D85" s="45" t="str">
        <f>VLOOKUP(B85,'Timing Table'!B:J,9,0)</f>
        <v>C/O</v>
      </c>
      <c r="E85" s="22" t="str">
        <f>VLOOKUP(B85,'Timing Table'!B:H,7,0)</f>
        <v>GAS</v>
      </c>
      <c r="F85" s="172" t="s">
        <v>79</v>
      </c>
      <c r="G85" s="173" t="s">
        <v>58</v>
      </c>
      <c r="H85" s="174" t="s">
        <v>58</v>
      </c>
      <c r="I85" s="175" t="s">
        <v>58</v>
      </c>
      <c r="J85" s="175" t="s">
        <v>0</v>
      </c>
      <c r="K85" s="175" t="s">
        <v>0</v>
      </c>
      <c r="L85" s="175" t="s">
        <v>0</v>
      </c>
      <c r="M85" s="175" t="s">
        <v>0</v>
      </c>
      <c r="N85" s="175" t="s">
        <v>0</v>
      </c>
      <c r="O85" s="175" t="s">
        <v>0</v>
      </c>
      <c r="P85" s="175" t="s">
        <v>0</v>
      </c>
      <c r="Q85" s="175" t="s">
        <v>0</v>
      </c>
      <c r="R85" s="175" t="s">
        <v>0</v>
      </c>
      <c r="S85" s="175" t="s">
        <v>0</v>
      </c>
      <c r="T85" s="175" t="s">
        <v>0</v>
      </c>
      <c r="U85" s="175" t="s">
        <v>0</v>
      </c>
      <c r="V85" s="175" t="s">
        <v>0</v>
      </c>
      <c r="W85" s="175" t="s">
        <v>0</v>
      </c>
      <c r="X85" s="175" t="s">
        <v>0</v>
      </c>
      <c r="Y85" s="175" t="s">
        <v>0</v>
      </c>
      <c r="Z85" s="175" t="s">
        <v>0</v>
      </c>
      <c r="AA85" s="175" t="s">
        <v>0</v>
      </c>
      <c r="AB85" s="175" t="s">
        <v>0</v>
      </c>
      <c r="AC85" s="175" t="s">
        <v>0</v>
      </c>
      <c r="AD85" s="175" t="s">
        <v>0</v>
      </c>
      <c r="AE85" s="175" t="s">
        <v>0</v>
      </c>
      <c r="AF85" s="175" t="s">
        <v>0</v>
      </c>
      <c r="AG85" s="175" t="s">
        <v>0</v>
      </c>
      <c r="AH85" s="175" t="s">
        <v>0</v>
      </c>
      <c r="AI85" s="175" t="s">
        <v>0</v>
      </c>
      <c r="AJ85" s="175" t="s">
        <v>0</v>
      </c>
      <c r="AK85" s="175" t="s">
        <v>0</v>
      </c>
      <c r="AL85" s="175" t="s">
        <v>0</v>
      </c>
      <c r="AM85" s="175" t="s">
        <v>0</v>
      </c>
      <c r="AN85" s="175" t="s">
        <v>0</v>
      </c>
      <c r="AO85" s="175" t="s">
        <v>0</v>
      </c>
      <c r="AP85" s="175" t="s">
        <v>0</v>
      </c>
      <c r="AQ85" s="175" t="s">
        <v>0</v>
      </c>
      <c r="AR85" s="175" t="s">
        <v>0</v>
      </c>
      <c r="AS85" s="175" t="s">
        <v>0</v>
      </c>
      <c r="AT85" s="175" t="s">
        <v>0</v>
      </c>
      <c r="AU85" s="175" t="s">
        <v>0</v>
      </c>
      <c r="AV85" s="175" t="s">
        <v>0</v>
      </c>
      <c r="AW85" s="175" t="s">
        <v>0</v>
      </c>
      <c r="AX85" s="175" t="s">
        <v>0</v>
      </c>
      <c r="AY85" s="175" t="s">
        <v>0</v>
      </c>
      <c r="AZ85" s="175" t="s">
        <v>0</v>
      </c>
      <c r="BA85" s="175" t="s">
        <v>0</v>
      </c>
      <c r="BB85" s="175" t="s">
        <v>0</v>
      </c>
      <c r="BC85" s="175" t="s">
        <v>0</v>
      </c>
      <c r="BD85" s="175" t="s">
        <v>0</v>
      </c>
      <c r="BE85" s="175" t="s">
        <v>0</v>
      </c>
      <c r="BF85" s="175" t="s">
        <v>0</v>
      </c>
      <c r="BG85" s="175" t="s">
        <v>0</v>
      </c>
      <c r="BH85" s="175" t="s">
        <v>0</v>
      </c>
      <c r="BI85" s="176"/>
    </row>
    <row r="86" spans="1:61" x14ac:dyDescent="0.25">
      <c r="A86" s="22">
        <f t="shared" si="9"/>
        <v>80</v>
      </c>
      <c r="B86" s="214" t="str">
        <f t="shared" si="10"/>
        <v>F0013547812</v>
      </c>
      <c r="C86" s="214" t="str">
        <f t="shared" si="11"/>
        <v>82115-0EA00 M</v>
      </c>
      <c r="D86" s="45" t="str">
        <f>VLOOKUP(B86,'Timing Table'!B:J,9,0)</f>
        <v>C/O</v>
      </c>
      <c r="E86" s="22" t="str">
        <f>VLOOKUP(B86,'Timing Table'!B:H,7,0)</f>
        <v>GAS</v>
      </c>
      <c r="F86" s="177" t="s">
        <v>58</v>
      </c>
      <c r="G86" s="178" t="s">
        <v>58</v>
      </c>
      <c r="H86" s="179" t="s">
        <v>58</v>
      </c>
      <c r="I86" s="180" t="s">
        <v>58</v>
      </c>
      <c r="J86" s="180" t="s">
        <v>0</v>
      </c>
      <c r="K86" s="180" t="s">
        <v>0</v>
      </c>
      <c r="L86" s="180" t="s">
        <v>0</v>
      </c>
      <c r="M86" s="180" t="s">
        <v>0</v>
      </c>
      <c r="N86" s="180" t="s">
        <v>0</v>
      </c>
      <c r="O86" s="180" t="s">
        <v>0</v>
      </c>
      <c r="P86" s="180" t="s">
        <v>0</v>
      </c>
      <c r="Q86" s="180" t="s">
        <v>0</v>
      </c>
      <c r="R86" s="180" t="s">
        <v>0</v>
      </c>
      <c r="S86" s="180" t="s">
        <v>0</v>
      </c>
      <c r="T86" s="180" t="s">
        <v>0</v>
      </c>
      <c r="U86" s="180" t="s">
        <v>0</v>
      </c>
      <c r="V86" s="180" t="s">
        <v>0</v>
      </c>
      <c r="W86" s="180" t="s">
        <v>0</v>
      </c>
      <c r="X86" s="180" t="s">
        <v>0</v>
      </c>
      <c r="Y86" s="180" t="s">
        <v>0</v>
      </c>
      <c r="Z86" s="180" t="s">
        <v>0</v>
      </c>
      <c r="AA86" s="180" t="s">
        <v>0</v>
      </c>
      <c r="AB86" s="180" t="s">
        <v>0</v>
      </c>
      <c r="AC86" s="180" t="s">
        <v>0</v>
      </c>
      <c r="AD86" s="180" t="s">
        <v>0</v>
      </c>
      <c r="AE86" s="180" t="s">
        <v>0</v>
      </c>
      <c r="AF86" s="180" t="s">
        <v>0</v>
      </c>
      <c r="AG86" s="180" t="s">
        <v>0</v>
      </c>
      <c r="AH86" s="180" t="s">
        <v>0</v>
      </c>
      <c r="AI86" s="180" t="s">
        <v>0</v>
      </c>
      <c r="AJ86" s="180" t="s">
        <v>0</v>
      </c>
      <c r="AK86" s="180" t="s">
        <v>0</v>
      </c>
      <c r="AL86" s="180" t="s">
        <v>0</v>
      </c>
      <c r="AM86" s="180" t="s">
        <v>0</v>
      </c>
      <c r="AN86" s="180" t="s">
        <v>0</v>
      </c>
      <c r="AO86" s="180" t="s">
        <v>0</v>
      </c>
      <c r="AP86" s="180" t="s">
        <v>0</v>
      </c>
      <c r="AQ86" s="180" t="s">
        <v>0</v>
      </c>
      <c r="AR86" s="180" t="s">
        <v>0</v>
      </c>
      <c r="AS86" s="180" t="s">
        <v>0</v>
      </c>
      <c r="AT86" s="180" t="s">
        <v>0</v>
      </c>
      <c r="AU86" s="180" t="s">
        <v>0</v>
      </c>
      <c r="AV86" s="180" t="s">
        <v>0</v>
      </c>
      <c r="AW86" s="180" t="s">
        <v>0</v>
      </c>
      <c r="AX86" s="180" t="s">
        <v>0</v>
      </c>
      <c r="AY86" s="180" t="s">
        <v>0</v>
      </c>
      <c r="AZ86" s="180" t="s">
        <v>0</v>
      </c>
      <c r="BA86" s="180" t="s">
        <v>0</v>
      </c>
      <c r="BB86" s="180" t="s">
        <v>0</v>
      </c>
      <c r="BC86" s="180" t="s">
        <v>0</v>
      </c>
      <c r="BD86" s="180" t="s">
        <v>0</v>
      </c>
      <c r="BE86" s="180" t="s">
        <v>0</v>
      </c>
      <c r="BF86" s="180" t="s">
        <v>0</v>
      </c>
      <c r="BG86" s="180" t="s">
        <v>0</v>
      </c>
      <c r="BH86" s="180" t="s">
        <v>0</v>
      </c>
      <c r="BI86" s="181"/>
    </row>
    <row r="87" spans="1:61" x14ac:dyDescent="0.25">
      <c r="A87" s="22">
        <f t="shared" si="9"/>
        <v>81</v>
      </c>
      <c r="B87" s="214" t="str">
        <f t="shared" si="10"/>
        <v>F0013547909</v>
      </c>
      <c r="C87" s="214" t="str">
        <f t="shared" si="11"/>
        <v>82115-0E440.</v>
      </c>
      <c r="D87" s="45" t="str">
        <f>VLOOKUP(B87,'Timing Table'!B:J,9,0)</f>
        <v>C/O</v>
      </c>
      <c r="E87" s="22" t="str">
        <f>VLOOKUP(B87,'Timing Table'!B:H,7,0)</f>
        <v>GAS</v>
      </c>
      <c r="F87" s="121" t="s">
        <v>59</v>
      </c>
      <c r="G87" s="146">
        <v>5501017954</v>
      </c>
      <c r="H87" s="121" t="s">
        <v>60</v>
      </c>
      <c r="I87" s="146">
        <v>91</v>
      </c>
      <c r="J87" s="121" t="s">
        <v>61</v>
      </c>
      <c r="K87" s="125">
        <v>1146061</v>
      </c>
      <c r="L87" s="126"/>
      <c r="M87" s="147" t="s">
        <v>62</v>
      </c>
      <c r="N87" s="148"/>
      <c r="O87" s="149">
        <v>46086</v>
      </c>
      <c r="P87" s="121" t="s">
        <v>63</v>
      </c>
      <c r="Q87" s="146">
        <v>4</v>
      </c>
      <c r="R87" s="6" t="s">
        <v>0</v>
      </c>
      <c r="S87" s="7" t="s">
        <v>0</v>
      </c>
      <c r="T87" s="7" t="s">
        <v>0</v>
      </c>
      <c r="U87" s="7" t="s">
        <v>0</v>
      </c>
      <c r="V87" s="7" t="s">
        <v>0</v>
      </c>
      <c r="W87" s="7" t="s">
        <v>0</v>
      </c>
      <c r="X87" s="7" t="s">
        <v>0</v>
      </c>
      <c r="Y87" s="7" t="s">
        <v>0</v>
      </c>
      <c r="Z87" s="7" t="s">
        <v>0</v>
      </c>
      <c r="AA87" s="7" t="s">
        <v>0</v>
      </c>
      <c r="AB87" s="7" t="s">
        <v>0</v>
      </c>
      <c r="AC87" s="7" t="s">
        <v>0</v>
      </c>
      <c r="AD87" s="7" t="s">
        <v>0</v>
      </c>
      <c r="AE87" s="7" t="s">
        <v>0</v>
      </c>
      <c r="AF87" s="7" t="s">
        <v>0</v>
      </c>
      <c r="AG87" s="7" t="s">
        <v>0</v>
      </c>
      <c r="AH87" s="7" t="s">
        <v>0</v>
      </c>
      <c r="AI87" s="7" t="s">
        <v>0</v>
      </c>
      <c r="AJ87" s="7" t="s">
        <v>0</v>
      </c>
      <c r="AK87" s="7" t="s">
        <v>0</v>
      </c>
      <c r="AL87" s="7" t="s">
        <v>0</v>
      </c>
      <c r="AM87" s="7" t="s">
        <v>0</v>
      </c>
      <c r="AN87" s="7" t="s">
        <v>0</v>
      </c>
      <c r="AO87" s="7" t="s">
        <v>0</v>
      </c>
      <c r="AP87" s="7" t="s">
        <v>0</v>
      </c>
      <c r="AQ87" s="7" t="s">
        <v>0</v>
      </c>
      <c r="AR87" s="7" t="s">
        <v>0</v>
      </c>
      <c r="AS87" s="7" t="s">
        <v>0</v>
      </c>
      <c r="AT87" s="7" t="s">
        <v>0</v>
      </c>
      <c r="AU87" s="7" t="s">
        <v>0</v>
      </c>
      <c r="AV87" s="7" t="s">
        <v>0</v>
      </c>
      <c r="AW87" s="7" t="s">
        <v>0</v>
      </c>
      <c r="AX87" s="7" t="s">
        <v>0</v>
      </c>
      <c r="AY87" s="7" t="s">
        <v>0</v>
      </c>
      <c r="AZ87" s="7" t="s">
        <v>0</v>
      </c>
      <c r="BA87" s="7" t="s">
        <v>0</v>
      </c>
      <c r="BB87" s="7" t="s">
        <v>0</v>
      </c>
      <c r="BC87" s="7" t="s">
        <v>0</v>
      </c>
      <c r="BD87" s="7" t="s">
        <v>0</v>
      </c>
      <c r="BE87" s="7" t="s">
        <v>0</v>
      </c>
      <c r="BF87" s="7" t="s">
        <v>0</v>
      </c>
      <c r="BG87" s="7" t="s">
        <v>0</v>
      </c>
      <c r="BH87" s="7" t="s">
        <v>0</v>
      </c>
      <c r="BI87" s="8"/>
    </row>
    <row r="88" spans="1:61" x14ac:dyDescent="0.25">
      <c r="A88" s="22">
        <f t="shared" si="9"/>
        <v>82</v>
      </c>
      <c r="B88" s="214" t="str">
        <f t="shared" si="10"/>
        <v>F0013547909</v>
      </c>
      <c r="C88" s="214" t="str">
        <f t="shared" si="11"/>
        <v>82115-0E440.</v>
      </c>
      <c r="D88" s="45" t="str">
        <f>VLOOKUP(B88,'Timing Table'!B:J,9,0)</f>
        <v>C/O</v>
      </c>
      <c r="E88" s="22" t="str">
        <f>VLOOKUP(B88,'Timing Table'!B:H,7,0)</f>
        <v>GAS</v>
      </c>
      <c r="F88" s="121" t="s">
        <v>64</v>
      </c>
      <c r="G88" s="146" t="s">
        <v>172</v>
      </c>
      <c r="H88" s="121" t="s">
        <v>65</v>
      </c>
      <c r="I88" s="150" t="s">
        <v>199</v>
      </c>
      <c r="J88" s="151"/>
      <c r="K88" s="151"/>
      <c r="L88" s="152"/>
      <c r="M88" s="121" t="s">
        <v>66</v>
      </c>
      <c r="N88" s="146">
        <v>2023</v>
      </c>
      <c r="O88" s="140" t="s">
        <v>67</v>
      </c>
      <c r="P88" s="141"/>
      <c r="Q88" s="153" t="s">
        <v>198</v>
      </c>
      <c r="R88" s="122" t="s">
        <v>0</v>
      </c>
      <c r="S88" s="123" t="s">
        <v>0</v>
      </c>
      <c r="T88" s="123" t="s">
        <v>0</v>
      </c>
      <c r="U88" s="123" t="s">
        <v>0</v>
      </c>
      <c r="V88" s="123" t="s">
        <v>0</v>
      </c>
      <c r="W88" s="123" t="s">
        <v>0</v>
      </c>
      <c r="X88" s="123" t="s">
        <v>0</v>
      </c>
      <c r="Y88" s="123" t="s">
        <v>0</v>
      </c>
      <c r="Z88" s="123" t="s">
        <v>0</v>
      </c>
      <c r="AA88" s="123" t="s">
        <v>0</v>
      </c>
      <c r="AB88" s="123" t="s">
        <v>0</v>
      </c>
      <c r="AC88" s="123" t="s">
        <v>0</v>
      </c>
      <c r="AD88" s="123" t="s">
        <v>0</v>
      </c>
      <c r="AE88" s="123" t="s">
        <v>0</v>
      </c>
      <c r="AF88" s="123" t="s">
        <v>0</v>
      </c>
      <c r="AG88" s="123" t="s">
        <v>0</v>
      </c>
      <c r="AH88" s="123" t="s">
        <v>0</v>
      </c>
      <c r="AI88" s="123" t="s">
        <v>0</v>
      </c>
      <c r="AJ88" s="123" t="s">
        <v>0</v>
      </c>
      <c r="AK88" s="123" t="s">
        <v>0</v>
      </c>
      <c r="AL88" s="123" t="s">
        <v>0</v>
      </c>
      <c r="AM88" s="123" t="s">
        <v>0</v>
      </c>
      <c r="AN88" s="123" t="s">
        <v>0</v>
      </c>
      <c r="AO88" s="123" t="s">
        <v>0</v>
      </c>
      <c r="AP88" s="123" t="s">
        <v>0</v>
      </c>
      <c r="AQ88" s="123" t="s">
        <v>0</v>
      </c>
      <c r="AR88" s="123" t="s">
        <v>0</v>
      </c>
      <c r="AS88" s="123" t="s">
        <v>0</v>
      </c>
      <c r="AT88" s="123" t="s">
        <v>0</v>
      </c>
      <c r="AU88" s="123" t="s">
        <v>0</v>
      </c>
      <c r="AV88" s="123" t="s">
        <v>0</v>
      </c>
      <c r="AW88" s="123" t="s">
        <v>0</v>
      </c>
      <c r="AX88" s="123" t="s">
        <v>0</v>
      </c>
      <c r="AY88" s="123" t="s">
        <v>0</v>
      </c>
      <c r="AZ88" s="123" t="s">
        <v>0</v>
      </c>
      <c r="BA88" s="123" t="s">
        <v>0</v>
      </c>
      <c r="BB88" s="123" t="s">
        <v>0</v>
      </c>
      <c r="BC88" s="123" t="s">
        <v>0</v>
      </c>
      <c r="BD88" s="123" t="s">
        <v>0</v>
      </c>
      <c r="BE88" s="123" t="s">
        <v>0</v>
      </c>
      <c r="BF88" s="123" t="s">
        <v>0</v>
      </c>
      <c r="BG88" s="123" t="s">
        <v>0</v>
      </c>
      <c r="BH88" s="123" t="s">
        <v>0</v>
      </c>
      <c r="BI88" s="124"/>
    </row>
    <row r="89" spans="1:61" x14ac:dyDescent="0.25">
      <c r="A89" s="22">
        <f t="shared" si="9"/>
        <v>83</v>
      </c>
      <c r="B89" s="214" t="str">
        <f t="shared" si="10"/>
        <v>F0013547909</v>
      </c>
      <c r="C89" s="214" t="str">
        <f t="shared" si="11"/>
        <v>82115-0E440.</v>
      </c>
      <c r="D89" s="45" t="str">
        <f>VLOOKUP(B89,'Timing Table'!B:J,9,0)</f>
        <v>C/O</v>
      </c>
      <c r="E89" s="22" t="str">
        <f>VLOOKUP(B89,'Timing Table'!B:H,7,0)</f>
        <v>GAS</v>
      </c>
      <c r="F89" s="121" t="s">
        <v>68</v>
      </c>
      <c r="G89" s="146" t="s">
        <v>337</v>
      </c>
      <c r="H89" s="121" t="s">
        <v>69</v>
      </c>
      <c r="I89" s="154" t="s">
        <v>58</v>
      </c>
      <c r="J89" s="155" t="s">
        <v>0</v>
      </c>
      <c r="K89" s="156" t="s">
        <v>0</v>
      </c>
      <c r="L89" s="157" t="s">
        <v>0</v>
      </c>
      <c r="M89" s="134" t="s">
        <v>0</v>
      </c>
      <c r="N89" s="134" t="s">
        <v>0</v>
      </c>
      <c r="O89" s="134" t="s">
        <v>0</v>
      </c>
      <c r="P89" s="134" t="s">
        <v>0</v>
      </c>
      <c r="Q89" s="134" t="s">
        <v>1</v>
      </c>
      <c r="R89" s="134" t="s">
        <v>2</v>
      </c>
      <c r="S89" s="134" t="s">
        <v>0</v>
      </c>
      <c r="T89" s="134" t="s">
        <v>0</v>
      </c>
      <c r="U89" s="134" t="s">
        <v>0</v>
      </c>
      <c r="V89" s="134" t="s">
        <v>0</v>
      </c>
      <c r="W89" s="134" t="s">
        <v>0</v>
      </c>
      <c r="X89" s="134" t="s">
        <v>0</v>
      </c>
      <c r="Y89" s="134" t="s">
        <v>0</v>
      </c>
      <c r="Z89" s="134" t="s">
        <v>3</v>
      </c>
      <c r="AA89" s="134" t="s">
        <v>0</v>
      </c>
      <c r="AB89" s="134" t="s">
        <v>0</v>
      </c>
      <c r="AC89" s="134" t="s">
        <v>0</v>
      </c>
      <c r="AD89" s="134" t="s">
        <v>0</v>
      </c>
      <c r="AE89" s="134" t="s">
        <v>0</v>
      </c>
      <c r="AF89" s="134" t="s">
        <v>0</v>
      </c>
      <c r="AG89" s="134" t="s">
        <v>0</v>
      </c>
      <c r="AH89" s="134" t="s">
        <v>0</v>
      </c>
      <c r="AI89" s="134" t="s">
        <v>0</v>
      </c>
      <c r="AJ89" s="134" t="s">
        <v>0</v>
      </c>
      <c r="AK89" s="134" t="s">
        <v>0</v>
      </c>
      <c r="AL89" s="134" t="s">
        <v>0</v>
      </c>
      <c r="AM89" s="134" t="s">
        <v>0</v>
      </c>
      <c r="AN89" s="134" t="s">
        <v>0</v>
      </c>
      <c r="AO89" s="134" t="s">
        <v>0</v>
      </c>
      <c r="AP89" s="134" t="s">
        <v>0</v>
      </c>
      <c r="AQ89" s="134" t="s">
        <v>0</v>
      </c>
      <c r="AR89" s="134" t="s">
        <v>0</v>
      </c>
      <c r="AS89" s="134" t="s">
        <v>0</v>
      </c>
      <c r="AT89" s="134" t="s">
        <v>0</v>
      </c>
      <c r="AU89" s="134" t="s">
        <v>0</v>
      </c>
      <c r="AV89" s="134" t="s">
        <v>0</v>
      </c>
      <c r="AW89" s="134" t="s">
        <v>0</v>
      </c>
      <c r="AX89" s="134" t="s">
        <v>0</v>
      </c>
      <c r="AY89" s="134" t="s">
        <v>0</v>
      </c>
      <c r="AZ89" s="134" t="s">
        <v>0</v>
      </c>
      <c r="BA89" s="134" t="s">
        <v>0</v>
      </c>
      <c r="BB89" s="134" t="s">
        <v>0</v>
      </c>
      <c r="BC89" s="134" t="s">
        <v>0</v>
      </c>
      <c r="BD89" s="134" t="s">
        <v>0</v>
      </c>
      <c r="BE89" s="134" t="s">
        <v>0</v>
      </c>
      <c r="BF89" s="134" t="s">
        <v>0</v>
      </c>
      <c r="BG89" s="134" t="s">
        <v>0</v>
      </c>
      <c r="BH89" s="134" t="s">
        <v>0</v>
      </c>
      <c r="BI89" s="135" t="s">
        <v>4</v>
      </c>
    </row>
    <row r="90" spans="1:61" x14ac:dyDescent="0.25">
      <c r="A90" s="22">
        <f t="shared" si="9"/>
        <v>84</v>
      </c>
      <c r="B90" s="214" t="str">
        <f t="shared" si="10"/>
        <v>F0013547909</v>
      </c>
      <c r="C90" s="214" t="str">
        <f t="shared" si="11"/>
        <v>82115-0E440.</v>
      </c>
      <c r="D90" s="45" t="str">
        <f>VLOOKUP(B90,'Timing Table'!B:J,9,0)</f>
        <v>C/O</v>
      </c>
      <c r="E90" s="22" t="str">
        <f>VLOOKUP(B90,'Timing Table'!B:H,7,0)</f>
        <v>GAS</v>
      </c>
      <c r="F90" s="121" t="s">
        <v>70</v>
      </c>
      <c r="G90" s="146">
        <v>15736</v>
      </c>
      <c r="H90" s="158" t="s">
        <v>240</v>
      </c>
      <c r="I90" s="159" t="s">
        <v>71</v>
      </c>
      <c r="J90" s="13">
        <v>46041</v>
      </c>
      <c r="K90" s="14">
        <v>46048</v>
      </c>
      <c r="L90" s="14">
        <v>46055</v>
      </c>
      <c r="M90" s="14">
        <v>46062</v>
      </c>
      <c r="N90" s="14">
        <v>46069</v>
      </c>
      <c r="O90" s="14">
        <v>46076</v>
      </c>
      <c r="P90" s="14">
        <v>46083</v>
      </c>
      <c r="Q90" s="14">
        <v>46090</v>
      </c>
      <c r="R90" s="14">
        <v>46097</v>
      </c>
      <c r="S90" s="14">
        <v>46104</v>
      </c>
      <c r="T90" s="14">
        <v>46111</v>
      </c>
      <c r="U90" s="14">
        <v>46118</v>
      </c>
      <c r="V90" s="14">
        <v>46125</v>
      </c>
      <c r="W90" s="14">
        <v>46132</v>
      </c>
      <c r="X90" s="14">
        <v>46139</v>
      </c>
      <c r="Y90" s="14">
        <v>46146</v>
      </c>
      <c r="Z90" s="14">
        <v>46153</v>
      </c>
      <c r="AA90" s="14">
        <v>46160</v>
      </c>
      <c r="AB90" s="14">
        <v>46167</v>
      </c>
      <c r="AC90" s="14">
        <v>46174</v>
      </c>
      <c r="AD90" s="14">
        <v>46181</v>
      </c>
      <c r="AE90" s="14">
        <v>46188</v>
      </c>
      <c r="AF90" s="14">
        <v>46195</v>
      </c>
      <c r="AG90" s="14">
        <v>46202</v>
      </c>
      <c r="AH90" s="14">
        <v>46209</v>
      </c>
      <c r="AI90" s="14">
        <v>46216</v>
      </c>
      <c r="AJ90" s="14">
        <v>46223</v>
      </c>
      <c r="AK90" s="14">
        <v>46230</v>
      </c>
      <c r="AL90" s="14">
        <v>46237</v>
      </c>
      <c r="AM90" s="14">
        <v>46244</v>
      </c>
      <c r="AN90" s="14">
        <v>46251</v>
      </c>
      <c r="AO90" s="14">
        <v>46258</v>
      </c>
      <c r="AP90" s="14">
        <v>46265</v>
      </c>
      <c r="AQ90" s="14">
        <v>46272</v>
      </c>
      <c r="AR90" s="14">
        <v>46279</v>
      </c>
      <c r="AS90" s="14">
        <v>46286</v>
      </c>
      <c r="AT90" s="14">
        <v>46293</v>
      </c>
      <c r="AU90" s="14">
        <v>46300</v>
      </c>
      <c r="AV90" s="14">
        <v>46307</v>
      </c>
      <c r="AW90" s="14">
        <v>46314</v>
      </c>
      <c r="AX90" s="14">
        <v>46321</v>
      </c>
      <c r="AY90" s="14">
        <v>46328</v>
      </c>
      <c r="AZ90" s="14">
        <v>46335</v>
      </c>
      <c r="BA90" s="14">
        <v>46342</v>
      </c>
      <c r="BB90" s="14">
        <v>46349</v>
      </c>
      <c r="BC90" s="14">
        <v>46356</v>
      </c>
      <c r="BD90" s="14">
        <v>46363</v>
      </c>
      <c r="BE90" s="14">
        <v>46370</v>
      </c>
      <c r="BF90" s="14">
        <v>46377</v>
      </c>
      <c r="BG90" s="14">
        <v>46384</v>
      </c>
      <c r="BH90" s="14">
        <v>46391</v>
      </c>
      <c r="BI90" s="15">
        <v>46398</v>
      </c>
    </row>
    <row r="91" spans="1:61" x14ac:dyDescent="0.25">
      <c r="A91" s="22">
        <f t="shared" si="9"/>
        <v>85</v>
      </c>
      <c r="B91" s="214" t="str">
        <f t="shared" si="10"/>
        <v>F0013547909</v>
      </c>
      <c r="C91" s="214" t="str">
        <f t="shared" si="11"/>
        <v>82115-0E440.</v>
      </c>
      <c r="D91" s="45" t="str">
        <f>VLOOKUP(B91,'Timing Table'!B:J,9,0)</f>
        <v>C/O</v>
      </c>
      <c r="E91" s="22" t="str">
        <f>VLOOKUP(B91,'Timing Table'!B:H,7,0)</f>
        <v>GAS</v>
      </c>
      <c r="F91" s="121" t="s">
        <v>72</v>
      </c>
      <c r="G91" s="146">
        <v>16744</v>
      </c>
      <c r="H91" s="5" t="s">
        <v>58</v>
      </c>
      <c r="I91" s="11" t="s">
        <v>83</v>
      </c>
      <c r="J91" s="16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17"/>
    </row>
    <row r="92" spans="1:61" x14ac:dyDescent="0.25">
      <c r="A92" s="22">
        <f t="shared" si="9"/>
        <v>86</v>
      </c>
      <c r="B92" s="214" t="str">
        <f t="shared" si="10"/>
        <v>F0013547909</v>
      </c>
      <c r="C92" s="214" t="str">
        <f t="shared" si="11"/>
        <v>82115-0E440.</v>
      </c>
      <c r="D92" s="45" t="str">
        <f>VLOOKUP(B92,'Timing Table'!B:J,9,0)</f>
        <v>C/O</v>
      </c>
      <c r="E92" s="22" t="str">
        <f>VLOOKUP(B92,'Timing Table'!B:H,7,0)</f>
        <v>GAS</v>
      </c>
      <c r="F92" s="121" t="s">
        <v>73</v>
      </c>
      <c r="G92" s="160" t="s">
        <v>91</v>
      </c>
      <c r="H92" s="9" t="s">
        <v>89</v>
      </c>
      <c r="I92" s="11" t="s">
        <v>74</v>
      </c>
      <c r="J92" s="117">
        <v>1224</v>
      </c>
      <c r="K92" s="50">
        <v>0</v>
      </c>
      <c r="L92" s="50">
        <v>0</v>
      </c>
      <c r="M92" s="50">
        <v>0</v>
      </c>
      <c r="N92" s="50">
        <v>0</v>
      </c>
      <c r="O92" s="50">
        <v>0</v>
      </c>
      <c r="P92" s="50">
        <v>0</v>
      </c>
      <c r="Q92" s="50">
        <v>0</v>
      </c>
      <c r="R92" s="50">
        <v>0</v>
      </c>
      <c r="S92" s="50">
        <v>0</v>
      </c>
      <c r="T92" s="50">
        <v>0</v>
      </c>
      <c r="U92" s="50">
        <v>0</v>
      </c>
      <c r="V92" s="50">
        <v>0</v>
      </c>
      <c r="W92" s="50">
        <v>0</v>
      </c>
      <c r="X92" s="50">
        <v>0</v>
      </c>
      <c r="Y92" s="50">
        <v>0</v>
      </c>
      <c r="Z92" s="50">
        <v>0</v>
      </c>
      <c r="AA92" s="50">
        <v>0</v>
      </c>
      <c r="AB92" s="50">
        <v>0</v>
      </c>
      <c r="AC92" s="50">
        <v>0</v>
      </c>
      <c r="AD92" s="50">
        <v>0</v>
      </c>
      <c r="AE92" s="50">
        <v>0</v>
      </c>
      <c r="AF92" s="50">
        <v>0</v>
      </c>
      <c r="AG92" s="50">
        <v>0</v>
      </c>
      <c r="AH92" s="50">
        <v>0</v>
      </c>
      <c r="AI92" s="50">
        <v>0</v>
      </c>
      <c r="AJ92" s="50">
        <v>0</v>
      </c>
      <c r="AK92" s="50">
        <v>0</v>
      </c>
      <c r="AL92" s="50">
        <v>0</v>
      </c>
      <c r="AM92" s="50">
        <v>0</v>
      </c>
      <c r="AN92" s="50">
        <v>0</v>
      </c>
      <c r="AO92" s="50">
        <v>0</v>
      </c>
      <c r="AP92" s="50">
        <v>0</v>
      </c>
      <c r="AQ92" s="50">
        <v>0</v>
      </c>
      <c r="AR92" s="50">
        <v>0</v>
      </c>
      <c r="AS92" s="50">
        <v>0</v>
      </c>
      <c r="AT92" s="50">
        <v>0</v>
      </c>
      <c r="AU92" s="50">
        <v>0</v>
      </c>
      <c r="AV92" s="50">
        <v>0</v>
      </c>
      <c r="AW92" s="50">
        <v>0</v>
      </c>
      <c r="AX92" s="50">
        <v>0</v>
      </c>
      <c r="AY92" s="50">
        <v>0</v>
      </c>
      <c r="AZ92" s="50">
        <v>0</v>
      </c>
      <c r="BA92" s="50">
        <v>0</v>
      </c>
      <c r="BB92" s="50">
        <v>0</v>
      </c>
      <c r="BC92" s="50">
        <v>0</v>
      </c>
      <c r="BD92" s="50">
        <v>0</v>
      </c>
      <c r="BE92" s="50">
        <v>0</v>
      </c>
      <c r="BF92" s="50">
        <v>0</v>
      </c>
      <c r="BG92" s="50">
        <v>0</v>
      </c>
      <c r="BH92" s="50">
        <v>0</v>
      </c>
      <c r="BI92" s="118">
        <v>0</v>
      </c>
    </row>
    <row r="93" spans="1:61" x14ac:dyDescent="0.25">
      <c r="A93" s="22">
        <f t="shared" si="9"/>
        <v>87</v>
      </c>
      <c r="B93" s="214" t="str">
        <f t="shared" si="10"/>
        <v>F0013547909</v>
      </c>
      <c r="C93" s="214" t="str">
        <f t="shared" si="11"/>
        <v>82115-0E440.</v>
      </c>
      <c r="D93" s="45" t="str">
        <f>VLOOKUP(B93,'Timing Table'!B:J,9,0)</f>
        <v>C/O</v>
      </c>
      <c r="E93" s="22" t="str">
        <f>VLOOKUP(B93,'Timing Table'!B:H,7,0)</f>
        <v>GAS</v>
      </c>
      <c r="F93" s="121" t="s">
        <v>75</v>
      </c>
      <c r="G93" s="146">
        <v>82115</v>
      </c>
      <c r="H93" s="10" t="s">
        <v>89</v>
      </c>
      <c r="I93" s="12" t="s">
        <v>76</v>
      </c>
      <c r="J93" s="161">
        <v>15736</v>
      </c>
      <c r="K93" s="162">
        <v>15736</v>
      </c>
      <c r="L93" s="162">
        <v>15736</v>
      </c>
      <c r="M93" s="162">
        <v>15736</v>
      </c>
      <c r="N93" s="162">
        <v>15736</v>
      </c>
      <c r="O93" s="162">
        <v>15736</v>
      </c>
      <c r="P93" s="162">
        <v>15736</v>
      </c>
      <c r="Q93" s="162">
        <v>15736</v>
      </c>
      <c r="R93" s="162">
        <v>15736</v>
      </c>
      <c r="S93" s="162">
        <v>15736</v>
      </c>
      <c r="T93" s="162">
        <v>15736</v>
      </c>
      <c r="U93" s="162">
        <v>15736</v>
      </c>
      <c r="V93" s="162">
        <v>15736</v>
      </c>
      <c r="W93" s="162">
        <v>15736</v>
      </c>
      <c r="X93" s="162">
        <v>15736</v>
      </c>
      <c r="Y93" s="162">
        <v>15736</v>
      </c>
      <c r="Z93" s="162">
        <v>15736</v>
      </c>
      <c r="AA93" s="162">
        <v>15736</v>
      </c>
      <c r="AB93" s="162">
        <v>15736</v>
      </c>
      <c r="AC93" s="162">
        <v>15736</v>
      </c>
      <c r="AD93" s="162">
        <v>15736</v>
      </c>
      <c r="AE93" s="162">
        <v>15736</v>
      </c>
      <c r="AF93" s="162">
        <v>15736</v>
      </c>
      <c r="AG93" s="162">
        <v>15736</v>
      </c>
      <c r="AH93" s="162">
        <v>15736</v>
      </c>
      <c r="AI93" s="162">
        <v>15736</v>
      </c>
      <c r="AJ93" s="162">
        <v>15736</v>
      </c>
      <c r="AK93" s="162">
        <v>15736</v>
      </c>
      <c r="AL93" s="162">
        <v>15736</v>
      </c>
      <c r="AM93" s="162">
        <v>15736</v>
      </c>
      <c r="AN93" s="162">
        <v>15736</v>
      </c>
      <c r="AO93" s="162">
        <v>15736</v>
      </c>
      <c r="AP93" s="162">
        <v>15736</v>
      </c>
      <c r="AQ93" s="162">
        <v>15736</v>
      </c>
      <c r="AR93" s="162">
        <v>15736</v>
      </c>
      <c r="AS93" s="162">
        <v>15736</v>
      </c>
      <c r="AT93" s="162">
        <v>15736</v>
      </c>
      <c r="AU93" s="162">
        <v>15736</v>
      </c>
      <c r="AV93" s="162">
        <v>15736</v>
      </c>
      <c r="AW93" s="162">
        <v>15736</v>
      </c>
      <c r="AX93" s="162">
        <v>15736</v>
      </c>
      <c r="AY93" s="162">
        <v>15736</v>
      </c>
      <c r="AZ93" s="162">
        <v>15736</v>
      </c>
      <c r="BA93" s="162">
        <v>15736</v>
      </c>
      <c r="BB93" s="162">
        <v>15736</v>
      </c>
      <c r="BC93" s="162">
        <v>15736</v>
      </c>
      <c r="BD93" s="162">
        <v>15736</v>
      </c>
      <c r="BE93" s="162">
        <v>15736</v>
      </c>
      <c r="BF93" s="162">
        <v>15736</v>
      </c>
      <c r="BG93" s="162">
        <v>15736</v>
      </c>
      <c r="BH93" s="162">
        <v>15736</v>
      </c>
      <c r="BI93" s="162">
        <v>15736</v>
      </c>
    </row>
    <row r="94" spans="1:61" x14ac:dyDescent="0.25">
      <c r="A94" s="22">
        <f t="shared" si="9"/>
        <v>88</v>
      </c>
      <c r="B94" s="214" t="str">
        <f t="shared" si="10"/>
        <v>F0013547909</v>
      </c>
      <c r="C94" s="214" t="str">
        <f t="shared" si="11"/>
        <v>82115-0E440.</v>
      </c>
      <c r="D94" s="45" t="str">
        <f>VLOOKUP(B94,'Timing Table'!B:J,9,0)</f>
        <v>C/O</v>
      </c>
      <c r="E94" s="22" t="str">
        <f>VLOOKUP(B94,'Timing Table'!B:H,7,0)</f>
        <v>GAS</v>
      </c>
      <c r="F94" s="164" t="s">
        <v>77</v>
      </c>
      <c r="G94" s="165">
        <v>14512</v>
      </c>
      <c r="H94" s="166" t="s">
        <v>78</v>
      </c>
      <c r="I94" s="167"/>
      <c r="J94" s="168" t="s">
        <v>309</v>
      </c>
      <c r="K94" s="169"/>
      <c r="L94" s="170" t="s">
        <v>0</v>
      </c>
      <c r="M94" s="170" t="s">
        <v>0</v>
      </c>
      <c r="N94" s="170" t="s">
        <v>0</v>
      </c>
      <c r="O94" s="170" t="s">
        <v>0</v>
      </c>
      <c r="P94" s="170" t="s">
        <v>0</v>
      </c>
      <c r="Q94" s="170" t="s">
        <v>0</v>
      </c>
      <c r="R94" s="170" t="s">
        <v>0</v>
      </c>
      <c r="S94" s="170" t="s">
        <v>0</v>
      </c>
      <c r="T94" s="170" t="s">
        <v>0</v>
      </c>
      <c r="U94" s="170" t="s">
        <v>0</v>
      </c>
      <c r="V94" s="170" t="s">
        <v>0</v>
      </c>
      <c r="W94" s="170" t="s">
        <v>0</v>
      </c>
      <c r="X94" s="170" t="s">
        <v>0</v>
      </c>
      <c r="Y94" s="170" t="s">
        <v>0</v>
      </c>
      <c r="Z94" s="170" t="s">
        <v>0</v>
      </c>
      <c r="AA94" s="170" t="s">
        <v>0</v>
      </c>
      <c r="AB94" s="170" t="s">
        <v>0</v>
      </c>
      <c r="AC94" s="170" t="s">
        <v>0</v>
      </c>
      <c r="AD94" s="170" t="s">
        <v>0</v>
      </c>
      <c r="AE94" s="170" t="s">
        <v>0</v>
      </c>
      <c r="AF94" s="170" t="s">
        <v>0</v>
      </c>
      <c r="AG94" s="170" t="s">
        <v>0</v>
      </c>
      <c r="AH94" s="170" t="s">
        <v>0</v>
      </c>
      <c r="AI94" s="170" t="s">
        <v>0</v>
      </c>
      <c r="AJ94" s="170" t="s">
        <v>0</v>
      </c>
      <c r="AK94" s="170" t="s">
        <v>0</v>
      </c>
      <c r="AL94" s="170" t="s">
        <v>0</v>
      </c>
      <c r="AM94" s="170" t="s">
        <v>0</v>
      </c>
      <c r="AN94" s="170" t="s">
        <v>0</v>
      </c>
      <c r="AO94" s="170" t="s">
        <v>0</v>
      </c>
      <c r="AP94" s="170" t="s">
        <v>0</v>
      </c>
      <c r="AQ94" s="170" t="s">
        <v>0</v>
      </c>
      <c r="AR94" s="170" t="s">
        <v>0</v>
      </c>
      <c r="AS94" s="170" t="s">
        <v>0</v>
      </c>
      <c r="AT94" s="170" t="s">
        <v>0</v>
      </c>
      <c r="AU94" s="170" t="s">
        <v>0</v>
      </c>
      <c r="AV94" s="170" t="s">
        <v>0</v>
      </c>
      <c r="AW94" s="170" t="s">
        <v>0</v>
      </c>
      <c r="AX94" s="170" t="s">
        <v>0</v>
      </c>
      <c r="AY94" s="170" t="s">
        <v>0</v>
      </c>
      <c r="AZ94" s="170" t="s">
        <v>0</v>
      </c>
      <c r="BA94" s="170" t="s">
        <v>0</v>
      </c>
      <c r="BB94" s="170" t="s">
        <v>0</v>
      </c>
      <c r="BC94" s="170" t="s">
        <v>0</v>
      </c>
      <c r="BD94" s="170" t="s">
        <v>0</v>
      </c>
      <c r="BE94" s="170" t="s">
        <v>0</v>
      </c>
      <c r="BF94" s="170" t="s">
        <v>0</v>
      </c>
      <c r="BG94" s="170" t="s">
        <v>0</v>
      </c>
      <c r="BH94" s="170" t="s">
        <v>0</v>
      </c>
      <c r="BI94" s="171"/>
    </row>
    <row r="95" spans="1:61" x14ac:dyDescent="0.25">
      <c r="A95" s="22">
        <f t="shared" si="9"/>
        <v>89</v>
      </c>
      <c r="B95" s="214" t="str">
        <f t="shared" si="10"/>
        <v>F0013547909</v>
      </c>
      <c r="C95" s="214" t="str">
        <f>IF(F95=$F$7,#REF!,C94)</f>
        <v>82115-0E440.</v>
      </c>
      <c r="D95" s="45" t="str">
        <f>VLOOKUP(B95,'Timing Table'!B:J,9,0)</f>
        <v>C/O</v>
      </c>
      <c r="E95" s="22" t="str">
        <f>VLOOKUP(B95,'Timing Table'!B:H,7,0)</f>
        <v>GAS</v>
      </c>
      <c r="F95" s="172" t="s">
        <v>79</v>
      </c>
      <c r="G95" s="173" t="s">
        <v>58</v>
      </c>
      <c r="H95" s="174" t="s">
        <v>58</v>
      </c>
      <c r="I95" s="175" t="s">
        <v>58</v>
      </c>
      <c r="J95" s="175" t="s">
        <v>0</v>
      </c>
      <c r="K95" s="175" t="s">
        <v>0</v>
      </c>
      <c r="L95" s="175" t="s">
        <v>0</v>
      </c>
      <c r="M95" s="175" t="s">
        <v>0</v>
      </c>
      <c r="N95" s="175" t="s">
        <v>0</v>
      </c>
      <c r="O95" s="175" t="s">
        <v>0</v>
      </c>
      <c r="P95" s="175" t="s">
        <v>0</v>
      </c>
      <c r="Q95" s="175" t="s">
        <v>0</v>
      </c>
      <c r="R95" s="175" t="s">
        <v>0</v>
      </c>
      <c r="S95" s="175" t="s">
        <v>0</v>
      </c>
      <c r="T95" s="175" t="s">
        <v>0</v>
      </c>
      <c r="U95" s="175" t="s">
        <v>0</v>
      </c>
      <c r="V95" s="175" t="s">
        <v>0</v>
      </c>
      <c r="W95" s="175" t="s">
        <v>0</v>
      </c>
      <c r="X95" s="175" t="s">
        <v>0</v>
      </c>
      <c r="Y95" s="175" t="s">
        <v>0</v>
      </c>
      <c r="Z95" s="175" t="s">
        <v>0</v>
      </c>
      <c r="AA95" s="175" t="s">
        <v>0</v>
      </c>
      <c r="AB95" s="175" t="s">
        <v>0</v>
      </c>
      <c r="AC95" s="175" t="s">
        <v>0</v>
      </c>
      <c r="AD95" s="175" t="s">
        <v>0</v>
      </c>
      <c r="AE95" s="175" t="s">
        <v>0</v>
      </c>
      <c r="AF95" s="175" t="s">
        <v>0</v>
      </c>
      <c r="AG95" s="175" t="s">
        <v>0</v>
      </c>
      <c r="AH95" s="175" t="s">
        <v>0</v>
      </c>
      <c r="AI95" s="175" t="s">
        <v>0</v>
      </c>
      <c r="AJ95" s="175" t="s">
        <v>0</v>
      </c>
      <c r="AK95" s="175" t="s">
        <v>0</v>
      </c>
      <c r="AL95" s="175" t="s">
        <v>0</v>
      </c>
      <c r="AM95" s="175" t="s">
        <v>0</v>
      </c>
      <c r="AN95" s="175" t="s">
        <v>0</v>
      </c>
      <c r="AO95" s="175" t="s">
        <v>0</v>
      </c>
      <c r="AP95" s="175" t="s">
        <v>0</v>
      </c>
      <c r="AQ95" s="175" t="s">
        <v>0</v>
      </c>
      <c r="AR95" s="175" t="s">
        <v>0</v>
      </c>
      <c r="AS95" s="175" t="s">
        <v>0</v>
      </c>
      <c r="AT95" s="175" t="s">
        <v>0</v>
      </c>
      <c r="AU95" s="175" t="s">
        <v>0</v>
      </c>
      <c r="AV95" s="175" t="s">
        <v>0</v>
      </c>
      <c r="AW95" s="175" t="s">
        <v>0</v>
      </c>
      <c r="AX95" s="175" t="s">
        <v>0</v>
      </c>
      <c r="AY95" s="175" t="s">
        <v>0</v>
      </c>
      <c r="AZ95" s="175" t="s">
        <v>0</v>
      </c>
      <c r="BA95" s="175" t="s">
        <v>0</v>
      </c>
      <c r="BB95" s="175" t="s">
        <v>0</v>
      </c>
      <c r="BC95" s="175" t="s">
        <v>0</v>
      </c>
      <c r="BD95" s="175" t="s">
        <v>0</v>
      </c>
      <c r="BE95" s="175" t="s">
        <v>0</v>
      </c>
      <c r="BF95" s="175" t="s">
        <v>0</v>
      </c>
      <c r="BG95" s="175" t="s">
        <v>0</v>
      </c>
      <c r="BH95" s="175" t="s">
        <v>0</v>
      </c>
      <c r="BI95" s="176"/>
    </row>
    <row r="96" spans="1:61" x14ac:dyDescent="0.25">
      <c r="A96" s="22">
        <f t="shared" si="9"/>
        <v>90</v>
      </c>
      <c r="B96" s="214" t="str">
        <f>IF(F96=$F$7,#REF!,B95)</f>
        <v>F0013547909</v>
      </c>
      <c r="C96" s="214" t="str">
        <f>IF(F96=$F$7,#REF!,C95)</f>
        <v>82115-0E440.</v>
      </c>
      <c r="D96" s="45" t="str">
        <f>VLOOKUP(B96,'Timing Table'!B:J,9,0)</f>
        <v>C/O</v>
      </c>
      <c r="E96" s="22" t="str">
        <f>VLOOKUP(B96,'Timing Table'!B:H,7,0)</f>
        <v>GAS</v>
      </c>
      <c r="F96" s="177" t="s">
        <v>58</v>
      </c>
      <c r="G96" s="178" t="s">
        <v>58</v>
      </c>
      <c r="H96" s="179" t="s">
        <v>58</v>
      </c>
      <c r="I96" s="180" t="s">
        <v>58</v>
      </c>
      <c r="J96" s="180" t="s">
        <v>0</v>
      </c>
      <c r="K96" s="180" t="s">
        <v>0</v>
      </c>
      <c r="L96" s="180" t="s">
        <v>0</v>
      </c>
      <c r="M96" s="180" t="s">
        <v>0</v>
      </c>
      <c r="N96" s="180" t="s">
        <v>0</v>
      </c>
      <c r="O96" s="180" t="s">
        <v>0</v>
      </c>
      <c r="P96" s="180" t="s">
        <v>0</v>
      </c>
      <c r="Q96" s="180" t="s">
        <v>0</v>
      </c>
      <c r="R96" s="180" t="s">
        <v>0</v>
      </c>
      <c r="S96" s="180" t="s">
        <v>0</v>
      </c>
      <c r="T96" s="180" t="s">
        <v>0</v>
      </c>
      <c r="U96" s="180" t="s">
        <v>0</v>
      </c>
      <c r="V96" s="180" t="s">
        <v>0</v>
      </c>
      <c r="W96" s="180" t="s">
        <v>0</v>
      </c>
      <c r="X96" s="180" t="s">
        <v>0</v>
      </c>
      <c r="Y96" s="180" t="s">
        <v>0</v>
      </c>
      <c r="Z96" s="180" t="s">
        <v>0</v>
      </c>
      <c r="AA96" s="180" t="s">
        <v>0</v>
      </c>
      <c r="AB96" s="180" t="s">
        <v>0</v>
      </c>
      <c r="AC96" s="180" t="s">
        <v>0</v>
      </c>
      <c r="AD96" s="180" t="s">
        <v>0</v>
      </c>
      <c r="AE96" s="180" t="s">
        <v>0</v>
      </c>
      <c r="AF96" s="180" t="s">
        <v>0</v>
      </c>
      <c r="AG96" s="180" t="s">
        <v>0</v>
      </c>
      <c r="AH96" s="180" t="s">
        <v>0</v>
      </c>
      <c r="AI96" s="180" t="s">
        <v>0</v>
      </c>
      <c r="AJ96" s="180" t="s">
        <v>0</v>
      </c>
      <c r="AK96" s="180" t="s">
        <v>0</v>
      </c>
      <c r="AL96" s="180" t="s">
        <v>0</v>
      </c>
      <c r="AM96" s="180" t="s">
        <v>0</v>
      </c>
      <c r="AN96" s="180" t="s">
        <v>0</v>
      </c>
      <c r="AO96" s="180" t="s">
        <v>0</v>
      </c>
      <c r="AP96" s="180" t="s">
        <v>0</v>
      </c>
      <c r="AQ96" s="180" t="s">
        <v>0</v>
      </c>
      <c r="AR96" s="180" t="s">
        <v>0</v>
      </c>
      <c r="AS96" s="180" t="s">
        <v>0</v>
      </c>
      <c r="AT96" s="180" t="s">
        <v>0</v>
      </c>
      <c r="AU96" s="180" t="s">
        <v>0</v>
      </c>
      <c r="AV96" s="180" t="s">
        <v>0</v>
      </c>
      <c r="AW96" s="180" t="s">
        <v>0</v>
      </c>
      <c r="AX96" s="180" t="s">
        <v>0</v>
      </c>
      <c r="AY96" s="180" t="s">
        <v>0</v>
      </c>
      <c r="AZ96" s="180" t="s">
        <v>0</v>
      </c>
      <c r="BA96" s="180" t="s">
        <v>0</v>
      </c>
      <c r="BB96" s="180" t="s">
        <v>0</v>
      </c>
      <c r="BC96" s="180" t="s">
        <v>0</v>
      </c>
      <c r="BD96" s="180" t="s">
        <v>0</v>
      </c>
      <c r="BE96" s="180" t="s">
        <v>0</v>
      </c>
      <c r="BF96" s="180" t="s">
        <v>0</v>
      </c>
      <c r="BG96" s="180" t="s">
        <v>0</v>
      </c>
      <c r="BH96" s="180" t="s">
        <v>0</v>
      </c>
      <c r="BI96" s="181"/>
    </row>
    <row r="97" spans="1:61" x14ac:dyDescent="0.25">
      <c r="A97" s="22">
        <f t="shared" si="9"/>
        <v>91</v>
      </c>
      <c r="B97" s="214" t="str">
        <f>IF(F97=$F$7,G98,#REF!)</f>
        <v>F0013547911</v>
      </c>
      <c r="C97" s="214" t="str">
        <f>IF(F97=$F$7,G99,#REF!)</f>
        <v>82115-0E440 L</v>
      </c>
      <c r="D97" s="45" t="str">
        <f>VLOOKUP(B97,'Timing Table'!B:J,9,0)</f>
        <v>C/O</v>
      </c>
      <c r="E97" s="22" t="str">
        <f>VLOOKUP(B97,'Timing Table'!B:H,7,0)</f>
        <v>GAS</v>
      </c>
      <c r="F97" s="121" t="s">
        <v>59</v>
      </c>
      <c r="G97" s="146">
        <v>5501065659</v>
      </c>
      <c r="H97" s="121" t="s">
        <v>60</v>
      </c>
      <c r="I97" s="146">
        <v>9</v>
      </c>
      <c r="J97" s="121" t="s">
        <v>61</v>
      </c>
      <c r="K97" s="125">
        <v>1179878</v>
      </c>
      <c r="L97" s="126"/>
      <c r="M97" s="147" t="s">
        <v>62</v>
      </c>
      <c r="N97" s="148"/>
      <c r="O97" s="149">
        <v>46086</v>
      </c>
      <c r="P97" s="121" t="s">
        <v>63</v>
      </c>
      <c r="Q97" s="146">
        <v>4</v>
      </c>
      <c r="R97" s="6" t="s">
        <v>0</v>
      </c>
      <c r="S97" s="7" t="s">
        <v>0</v>
      </c>
      <c r="T97" s="7" t="s">
        <v>0</v>
      </c>
      <c r="U97" s="7" t="s">
        <v>0</v>
      </c>
      <c r="V97" s="7" t="s">
        <v>0</v>
      </c>
      <c r="W97" s="7" t="s">
        <v>0</v>
      </c>
      <c r="X97" s="7" t="s">
        <v>0</v>
      </c>
      <c r="Y97" s="7" t="s">
        <v>0</v>
      </c>
      <c r="Z97" s="7" t="s">
        <v>0</v>
      </c>
      <c r="AA97" s="7" t="s">
        <v>0</v>
      </c>
      <c r="AB97" s="7" t="s">
        <v>0</v>
      </c>
      <c r="AC97" s="7" t="s">
        <v>0</v>
      </c>
      <c r="AD97" s="7" t="s">
        <v>0</v>
      </c>
      <c r="AE97" s="7" t="s">
        <v>0</v>
      </c>
      <c r="AF97" s="7" t="s">
        <v>0</v>
      </c>
      <c r="AG97" s="7" t="s">
        <v>0</v>
      </c>
      <c r="AH97" s="7" t="s">
        <v>0</v>
      </c>
      <c r="AI97" s="7" t="s">
        <v>0</v>
      </c>
      <c r="AJ97" s="7" t="s">
        <v>0</v>
      </c>
      <c r="AK97" s="7" t="s">
        <v>0</v>
      </c>
      <c r="AL97" s="7" t="s">
        <v>0</v>
      </c>
      <c r="AM97" s="7" t="s">
        <v>0</v>
      </c>
      <c r="AN97" s="7" t="s">
        <v>0</v>
      </c>
      <c r="AO97" s="7" t="s">
        <v>0</v>
      </c>
      <c r="AP97" s="7" t="s">
        <v>0</v>
      </c>
      <c r="AQ97" s="7" t="s">
        <v>0</v>
      </c>
      <c r="AR97" s="7" t="s">
        <v>0</v>
      </c>
      <c r="AS97" s="7" t="s">
        <v>0</v>
      </c>
      <c r="AT97" s="7" t="s">
        <v>0</v>
      </c>
      <c r="AU97" s="7" t="s">
        <v>0</v>
      </c>
      <c r="AV97" s="7" t="s">
        <v>0</v>
      </c>
      <c r="AW97" s="7" t="s">
        <v>0</v>
      </c>
      <c r="AX97" s="7" t="s">
        <v>0</v>
      </c>
      <c r="AY97" s="7" t="s">
        <v>0</v>
      </c>
      <c r="AZ97" s="7" t="s">
        <v>0</v>
      </c>
      <c r="BA97" s="7" t="s">
        <v>0</v>
      </c>
      <c r="BB97" s="7" t="s">
        <v>0</v>
      </c>
      <c r="BC97" s="7" t="s">
        <v>0</v>
      </c>
      <c r="BD97" s="7" t="s">
        <v>0</v>
      </c>
      <c r="BE97" s="7" t="s">
        <v>0</v>
      </c>
      <c r="BF97" s="7" t="s">
        <v>0</v>
      </c>
      <c r="BG97" s="7" t="s">
        <v>0</v>
      </c>
      <c r="BH97" s="7" t="s">
        <v>0</v>
      </c>
      <c r="BI97" s="8"/>
    </row>
    <row r="98" spans="1:61" x14ac:dyDescent="0.25">
      <c r="A98" s="22">
        <f t="shared" si="9"/>
        <v>92</v>
      </c>
      <c r="B98" s="214" t="str">
        <f t="shared" si="10"/>
        <v>F0013547911</v>
      </c>
      <c r="C98" s="214" t="str">
        <f t="shared" si="11"/>
        <v>82115-0E440 L</v>
      </c>
      <c r="D98" s="45" t="str">
        <f>VLOOKUP(B98,'Timing Table'!B:J,9,0)</f>
        <v>C/O</v>
      </c>
      <c r="E98" s="22" t="str">
        <f>VLOOKUP(B98,'Timing Table'!B:H,7,0)</f>
        <v>GAS</v>
      </c>
      <c r="F98" s="121" t="s">
        <v>64</v>
      </c>
      <c r="G98" s="146" t="s">
        <v>285</v>
      </c>
      <c r="H98" s="121" t="s">
        <v>65</v>
      </c>
      <c r="I98" s="150" t="s">
        <v>293</v>
      </c>
      <c r="J98" s="151"/>
      <c r="K98" s="151"/>
      <c r="L98" s="152"/>
      <c r="M98" s="121" t="s">
        <v>66</v>
      </c>
      <c r="N98" s="146">
        <v>2023</v>
      </c>
      <c r="O98" s="140" t="s">
        <v>67</v>
      </c>
      <c r="P98" s="141"/>
      <c r="Q98" s="153" t="s">
        <v>294</v>
      </c>
      <c r="R98" s="122" t="s">
        <v>0</v>
      </c>
      <c r="S98" s="123"/>
      <c r="T98" s="123"/>
      <c r="U98" s="123" t="s">
        <v>0</v>
      </c>
      <c r="V98" s="123" t="s">
        <v>0</v>
      </c>
      <c r="W98" s="123" t="s">
        <v>0</v>
      </c>
      <c r="X98" s="123" t="s">
        <v>0</v>
      </c>
      <c r="Y98" s="123" t="s">
        <v>0</v>
      </c>
      <c r="Z98" s="123" t="s">
        <v>0</v>
      </c>
      <c r="AA98" s="123" t="s">
        <v>0</v>
      </c>
      <c r="AB98" s="123" t="s">
        <v>0</v>
      </c>
      <c r="AC98" s="123" t="s">
        <v>0</v>
      </c>
      <c r="AD98" s="123" t="s">
        <v>0</v>
      </c>
      <c r="AE98" s="123" t="s">
        <v>0</v>
      </c>
      <c r="AF98" s="123" t="s">
        <v>0</v>
      </c>
      <c r="AG98" s="123" t="s">
        <v>0</v>
      </c>
      <c r="AH98" s="123" t="s">
        <v>0</v>
      </c>
      <c r="AI98" s="123" t="s">
        <v>0</v>
      </c>
      <c r="AJ98" s="123" t="s">
        <v>0</v>
      </c>
      <c r="AK98" s="123" t="s">
        <v>0</v>
      </c>
      <c r="AL98" s="123" t="s">
        <v>0</v>
      </c>
      <c r="AM98" s="123" t="s">
        <v>0</v>
      </c>
      <c r="AN98" s="123" t="s">
        <v>0</v>
      </c>
      <c r="AO98" s="123" t="s">
        <v>0</v>
      </c>
      <c r="AP98" s="123" t="s">
        <v>0</v>
      </c>
      <c r="AQ98" s="123" t="s">
        <v>0</v>
      </c>
      <c r="AR98" s="123" t="s">
        <v>0</v>
      </c>
      <c r="AS98" s="123" t="s">
        <v>0</v>
      </c>
      <c r="AT98" s="123" t="s">
        <v>0</v>
      </c>
      <c r="AU98" s="123" t="s">
        <v>0</v>
      </c>
      <c r="AV98" s="123" t="s">
        <v>0</v>
      </c>
      <c r="AW98" s="123" t="s">
        <v>0</v>
      </c>
      <c r="AX98" s="123" t="s">
        <v>0</v>
      </c>
      <c r="AY98" s="123" t="s">
        <v>0</v>
      </c>
      <c r="AZ98" s="123" t="s">
        <v>0</v>
      </c>
      <c r="BA98" s="123" t="s">
        <v>0</v>
      </c>
      <c r="BB98" s="123" t="s">
        <v>0</v>
      </c>
      <c r="BC98" s="123" t="s">
        <v>0</v>
      </c>
      <c r="BD98" s="123" t="s">
        <v>0</v>
      </c>
      <c r="BE98" s="123" t="s">
        <v>0</v>
      </c>
      <c r="BF98" s="123" t="s">
        <v>0</v>
      </c>
      <c r="BG98" s="123" t="s">
        <v>0</v>
      </c>
      <c r="BH98" s="123" t="s">
        <v>0</v>
      </c>
      <c r="BI98" s="124"/>
    </row>
    <row r="99" spans="1:61" x14ac:dyDescent="0.25">
      <c r="A99" s="22">
        <f t="shared" si="9"/>
        <v>93</v>
      </c>
      <c r="B99" s="214" t="str">
        <f t="shared" si="10"/>
        <v>F0013547911</v>
      </c>
      <c r="C99" s="214" t="str">
        <f t="shared" si="11"/>
        <v>82115-0E440 L</v>
      </c>
      <c r="D99" s="45" t="str">
        <f>VLOOKUP(B99,'Timing Table'!B:J,9,0)</f>
        <v>C/O</v>
      </c>
      <c r="E99" s="22" t="str">
        <f>VLOOKUP(B99,'Timing Table'!B:H,7,0)</f>
        <v>GAS</v>
      </c>
      <c r="F99" s="121" t="s">
        <v>68</v>
      </c>
      <c r="G99" s="146" t="s">
        <v>338</v>
      </c>
      <c r="H99" s="121" t="s">
        <v>69</v>
      </c>
      <c r="I99" s="154" t="s">
        <v>58</v>
      </c>
      <c r="J99" s="155" t="s">
        <v>0</v>
      </c>
      <c r="K99" s="156" t="s">
        <v>0</v>
      </c>
      <c r="L99" s="157" t="s">
        <v>0</v>
      </c>
      <c r="M99" s="134" t="s">
        <v>0</v>
      </c>
      <c r="N99" s="134" t="s">
        <v>0</v>
      </c>
      <c r="O99" s="134" t="s">
        <v>0</v>
      </c>
      <c r="P99" s="134" t="s">
        <v>0</v>
      </c>
      <c r="Q99" s="134" t="s">
        <v>1</v>
      </c>
      <c r="R99" s="134" t="s">
        <v>2</v>
      </c>
      <c r="S99" s="134" t="s">
        <v>0</v>
      </c>
      <c r="T99" s="134" t="s">
        <v>0</v>
      </c>
      <c r="U99" s="134" t="s">
        <v>0</v>
      </c>
      <c r="V99" s="134" t="s">
        <v>0</v>
      </c>
      <c r="W99" s="134" t="s">
        <v>0</v>
      </c>
      <c r="X99" s="134" t="s">
        <v>0</v>
      </c>
      <c r="Y99" s="134" t="s">
        <v>0</v>
      </c>
      <c r="Z99" s="134" t="s">
        <v>3</v>
      </c>
      <c r="AA99" s="134" t="s">
        <v>0</v>
      </c>
      <c r="AB99" s="134" t="s">
        <v>0</v>
      </c>
      <c r="AC99" s="134" t="s">
        <v>0</v>
      </c>
      <c r="AD99" s="134" t="s">
        <v>0</v>
      </c>
      <c r="AE99" s="134" t="s">
        <v>0</v>
      </c>
      <c r="AF99" s="134" t="s">
        <v>0</v>
      </c>
      <c r="AG99" s="134" t="s">
        <v>0</v>
      </c>
      <c r="AH99" s="134" t="s">
        <v>0</v>
      </c>
      <c r="AI99" s="134" t="s">
        <v>0</v>
      </c>
      <c r="AJ99" s="134" t="s">
        <v>0</v>
      </c>
      <c r="AK99" s="134" t="s">
        <v>0</v>
      </c>
      <c r="AL99" s="134" t="s">
        <v>0</v>
      </c>
      <c r="AM99" s="134" t="s">
        <v>0</v>
      </c>
      <c r="AN99" s="134" t="s">
        <v>0</v>
      </c>
      <c r="AO99" s="134" t="s">
        <v>0</v>
      </c>
      <c r="AP99" s="134" t="s">
        <v>0</v>
      </c>
      <c r="AQ99" s="134" t="s">
        <v>0</v>
      </c>
      <c r="AR99" s="134" t="s">
        <v>0</v>
      </c>
      <c r="AS99" s="134" t="s">
        <v>0</v>
      </c>
      <c r="AT99" s="134" t="s">
        <v>0</v>
      </c>
      <c r="AU99" s="134" t="s">
        <v>0</v>
      </c>
      <c r="AV99" s="134" t="s">
        <v>0</v>
      </c>
      <c r="AW99" s="134" t="s">
        <v>0</v>
      </c>
      <c r="AX99" s="134" t="s">
        <v>0</v>
      </c>
      <c r="AY99" s="134" t="s">
        <v>0</v>
      </c>
      <c r="AZ99" s="134" t="s">
        <v>0</v>
      </c>
      <c r="BA99" s="134" t="s">
        <v>0</v>
      </c>
      <c r="BB99" s="134" t="s">
        <v>0</v>
      </c>
      <c r="BC99" s="134" t="s">
        <v>0</v>
      </c>
      <c r="BD99" s="134" t="s">
        <v>0</v>
      </c>
      <c r="BE99" s="134" t="s">
        <v>0</v>
      </c>
      <c r="BF99" s="134" t="s">
        <v>0</v>
      </c>
      <c r="BG99" s="134" t="s">
        <v>0</v>
      </c>
      <c r="BH99" s="134" t="s">
        <v>0</v>
      </c>
      <c r="BI99" s="135" t="s">
        <v>4</v>
      </c>
    </row>
    <row r="100" spans="1:61" x14ac:dyDescent="0.25">
      <c r="A100" s="22">
        <f t="shared" si="9"/>
        <v>94</v>
      </c>
      <c r="B100" s="214" t="str">
        <f t="shared" si="10"/>
        <v>F0013547911</v>
      </c>
      <c r="C100" s="214" t="str">
        <f t="shared" si="11"/>
        <v>82115-0E440 L</v>
      </c>
      <c r="D100" s="45" t="str">
        <f>VLOOKUP(B100,'Timing Table'!B:J,9,0)</f>
        <v>C/O</v>
      </c>
      <c r="E100" s="22" t="str">
        <f>VLOOKUP(B100,'Timing Table'!B:H,7,0)</f>
        <v>GAS</v>
      </c>
      <c r="F100" s="121" t="s">
        <v>70</v>
      </c>
      <c r="G100" s="146">
        <v>3336</v>
      </c>
      <c r="H100" s="158" t="s">
        <v>240</v>
      </c>
      <c r="I100" s="159" t="s">
        <v>71</v>
      </c>
      <c r="J100" s="13">
        <v>46041</v>
      </c>
      <c r="K100" s="14">
        <v>46048</v>
      </c>
      <c r="L100" s="14">
        <v>46055</v>
      </c>
      <c r="M100" s="14">
        <v>46062</v>
      </c>
      <c r="N100" s="14">
        <v>46069</v>
      </c>
      <c r="O100" s="14">
        <v>46076</v>
      </c>
      <c r="P100" s="14">
        <v>46083</v>
      </c>
      <c r="Q100" s="14">
        <v>46090</v>
      </c>
      <c r="R100" s="14">
        <v>46097</v>
      </c>
      <c r="S100" s="14">
        <v>46104</v>
      </c>
      <c r="T100" s="14">
        <v>46111</v>
      </c>
      <c r="U100" s="14">
        <v>46118</v>
      </c>
      <c r="V100" s="14">
        <v>46125</v>
      </c>
      <c r="W100" s="14">
        <v>46132</v>
      </c>
      <c r="X100" s="14">
        <v>46139</v>
      </c>
      <c r="Y100" s="14">
        <v>46146</v>
      </c>
      <c r="Z100" s="14">
        <v>46153</v>
      </c>
      <c r="AA100" s="14">
        <v>46160</v>
      </c>
      <c r="AB100" s="14">
        <v>46167</v>
      </c>
      <c r="AC100" s="14">
        <v>46174</v>
      </c>
      <c r="AD100" s="14">
        <v>46181</v>
      </c>
      <c r="AE100" s="14">
        <v>46188</v>
      </c>
      <c r="AF100" s="14">
        <v>46195</v>
      </c>
      <c r="AG100" s="14">
        <v>46202</v>
      </c>
      <c r="AH100" s="14">
        <v>46209</v>
      </c>
      <c r="AI100" s="14">
        <v>46216</v>
      </c>
      <c r="AJ100" s="14">
        <v>46223</v>
      </c>
      <c r="AK100" s="14">
        <v>46230</v>
      </c>
      <c r="AL100" s="14">
        <v>46237</v>
      </c>
      <c r="AM100" s="14">
        <v>46244</v>
      </c>
      <c r="AN100" s="14">
        <v>46251</v>
      </c>
      <c r="AO100" s="14">
        <v>46258</v>
      </c>
      <c r="AP100" s="14">
        <v>46265</v>
      </c>
      <c r="AQ100" s="14">
        <v>46272</v>
      </c>
      <c r="AR100" s="14">
        <v>46279</v>
      </c>
      <c r="AS100" s="14">
        <v>46286</v>
      </c>
      <c r="AT100" s="14">
        <v>46293</v>
      </c>
      <c r="AU100" s="14">
        <v>46300</v>
      </c>
      <c r="AV100" s="14">
        <v>46307</v>
      </c>
      <c r="AW100" s="14">
        <v>46314</v>
      </c>
      <c r="AX100" s="14">
        <v>46321</v>
      </c>
      <c r="AY100" s="14">
        <v>46328</v>
      </c>
      <c r="AZ100" s="14">
        <v>46335</v>
      </c>
      <c r="BA100" s="14">
        <v>46342</v>
      </c>
      <c r="BB100" s="14">
        <v>46349</v>
      </c>
      <c r="BC100" s="14">
        <v>46356</v>
      </c>
      <c r="BD100" s="14">
        <v>46363</v>
      </c>
      <c r="BE100" s="14">
        <v>46370</v>
      </c>
      <c r="BF100" s="14">
        <v>46377</v>
      </c>
      <c r="BG100" s="14">
        <v>46384</v>
      </c>
      <c r="BH100" s="14">
        <v>46391</v>
      </c>
      <c r="BI100" s="15">
        <v>46398</v>
      </c>
    </row>
    <row r="101" spans="1:61" x14ac:dyDescent="0.25">
      <c r="A101" s="22">
        <f t="shared" si="9"/>
        <v>95</v>
      </c>
      <c r="B101" s="214" t="str">
        <f t="shared" si="10"/>
        <v>F0013547911</v>
      </c>
      <c r="C101" s="214" t="str">
        <f t="shared" si="11"/>
        <v>82115-0E440 L</v>
      </c>
      <c r="D101" s="45" t="str">
        <f>VLOOKUP(B101,'Timing Table'!B:J,9,0)</f>
        <v>C/O</v>
      </c>
      <c r="E101" s="22" t="str">
        <f>VLOOKUP(B101,'Timing Table'!B:H,7,0)</f>
        <v>GAS</v>
      </c>
      <c r="F101" s="121" t="s">
        <v>72</v>
      </c>
      <c r="G101" s="146">
        <v>5960</v>
      </c>
      <c r="H101" s="5" t="s">
        <v>58</v>
      </c>
      <c r="I101" s="11" t="s">
        <v>83</v>
      </c>
      <c r="J101" s="16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17"/>
    </row>
    <row r="102" spans="1:61" x14ac:dyDescent="0.25">
      <c r="A102" s="22">
        <f t="shared" si="9"/>
        <v>96</v>
      </c>
      <c r="B102" s="214" t="str">
        <f t="shared" si="10"/>
        <v>F0013547911</v>
      </c>
      <c r="C102" s="214" t="str">
        <f t="shared" si="11"/>
        <v>82115-0E440 L</v>
      </c>
      <c r="D102" s="45" t="str">
        <f>VLOOKUP(B102,'Timing Table'!B:J,9,0)</f>
        <v>C/O</v>
      </c>
      <c r="E102" s="22" t="str">
        <f>VLOOKUP(B102,'Timing Table'!B:H,7,0)</f>
        <v>GAS</v>
      </c>
      <c r="F102" s="121" t="s">
        <v>73</v>
      </c>
      <c r="G102" s="160" t="s">
        <v>91</v>
      </c>
      <c r="H102" s="9" t="s">
        <v>89</v>
      </c>
      <c r="I102" s="11" t="s">
        <v>74</v>
      </c>
      <c r="J102" s="117">
        <v>260</v>
      </c>
      <c r="K102" s="50">
        <v>364</v>
      </c>
      <c r="L102" s="50">
        <v>380</v>
      </c>
      <c r="M102" s="50">
        <v>600</v>
      </c>
      <c r="N102" s="50">
        <v>936</v>
      </c>
      <c r="O102" s="50">
        <v>476</v>
      </c>
      <c r="P102" s="50">
        <v>128</v>
      </c>
      <c r="Q102" s="50">
        <v>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</v>
      </c>
      <c r="Y102" s="50">
        <v>0</v>
      </c>
      <c r="Z102" s="50">
        <v>0</v>
      </c>
      <c r="AA102" s="50">
        <v>0</v>
      </c>
      <c r="AB102" s="50">
        <v>0</v>
      </c>
      <c r="AC102" s="50">
        <v>0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0">
        <v>0</v>
      </c>
      <c r="AL102" s="50">
        <v>0</v>
      </c>
      <c r="AM102" s="50">
        <v>0</v>
      </c>
      <c r="AN102" s="50">
        <v>0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0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50">
        <v>0</v>
      </c>
      <c r="BH102" s="50">
        <v>0</v>
      </c>
      <c r="BI102" s="118">
        <v>0</v>
      </c>
    </row>
    <row r="103" spans="1:61" x14ac:dyDescent="0.25">
      <c r="A103" s="22">
        <f t="shared" si="9"/>
        <v>97</v>
      </c>
      <c r="B103" s="214" t="str">
        <f t="shared" si="10"/>
        <v>F0013547911</v>
      </c>
      <c r="C103" s="214" t="str">
        <f t="shared" si="11"/>
        <v>82115-0E440 L</v>
      </c>
      <c r="D103" s="45" t="str">
        <f>VLOOKUP(B103,'Timing Table'!B:J,9,0)</f>
        <v>C/O</v>
      </c>
      <c r="E103" s="22" t="str">
        <f>VLOOKUP(B103,'Timing Table'!B:H,7,0)</f>
        <v>GAS</v>
      </c>
      <c r="F103" s="121" t="s">
        <v>75</v>
      </c>
      <c r="G103" s="146">
        <v>82115</v>
      </c>
      <c r="H103" s="10" t="s">
        <v>89</v>
      </c>
      <c r="I103" s="12" t="s">
        <v>76</v>
      </c>
      <c r="J103" s="161">
        <v>260</v>
      </c>
      <c r="K103" s="162">
        <v>624</v>
      </c>
      <c r="L103" s="162">
        <v>1004</v>
      </c>
      <c r="M103" s="162">
        <v>1604</v>
      </c>
      <c r="N103" s="162">
        <v>2540</v>
      </c>
      <c r="O103" s="162">
        <v>3016</v>
      </c>
      <c r="P103" s="162">
        <v>3144</v>
      </c>
      <c r="Q103" s="162">
        <v>3144</v>
      </c>
      <c r="R103" s="162">
        <v>3144</v>
      </c>
      <c r="S103" s="162">
        <v>3144</v>
      </c>
      <c r="T103" s="162">
        <v>3144</v>
      </c>
      <c r="U103" s="162">
        <v>3144</v>
      </c>
      <c r="V103" s="162">
        <v>3144</v>
      </c>
      <c r="W103" s="162">
        <v>3144</v>
      </c>
      <c r="X103" s="162">
        <v>3144</v>
      </c>
      <c r="Y103" s="162">
        <v>3144</v>
      </c>
      <c r="Z103" s="162">
        <v>3144</v>
      </c>
      <c r="AA103" s="162">
        <v>3144</v>
      </c>
      <c r="AB103" s="162">
        <v>3144</v>
      </c>
      <c r="AC103" s="162">
        <v>3144</v>
      </c>
      <c r="AD103" s="162">
        <v>3144</v>
      </c>
      <c r="AE103" s="162">
        <v>3144</v>
      </c>
      <c r="AF103" s="162">
        <v>3144</v>
      </c>
      <c r="AG103" s="162">
        <v>3144</v>
      </c>
      <c r="AH103" s="162">
        <v>3144</v>
      </c>
      <c r="AI103" s="162">
        <v>3144</v>
      </c>
      <c r="AJ103" s="162">
        <v>3144</v>
      </c>
      <c r="AK103" s="162">
        <v>3144</v>
      </c>
      <c r="AL103" s="162">
        <v>3144</v>
      </c>
      <c r="AM103" s="162">
        <v>3144</v>
      </c>
      <c r="AN103" s="162">
        <v>3144</v>
      </c>
      <c r="AO103" s="162">
        <v>3144</v>
      </c>
      <c r="AP103" s="162">
        <v>3144</v>
      </c>
      <c r="AQ103" s="162">
        <v>3144</v>
      </c>
      <c r="AR103" s="162">
        <v>3144</v>
      </c>
      <c r="AS103" s="162">
        <v>3144</v>
      </c>
      <c r="AT103" s="162">
        <v>3144</v>
      </c>
      <c r="AU103" s="162">
        <v>3144</v>
      </c>
      <c r="AV103" s="162">
        <v>3144</v>
      </c>
      <c r="AW103" s="162">
        <v>3144</v>
      </c>
      <c r="AX103" s="162">
        <v>3144</v>
      </c>
      <c r="AY103" s="162">
        <v>3144</v>
      </c>
      <c r="AZ103" s="162">
        <v>3144</v>
      </c>
      <c r="BA103" s="162">
        <v>3144</v>
      </c>
      <c r="BB103" s="162">
        <v>3144</v>
      </c>
      <c r="BC103" s="162">
        <v>3144</v>
      </c>
      <c r="BD103" s="162">
        <v>3144</v>
      </c>
      <c r="BE103" s="162">
        <v>3144</v>
      </c>
      <c r="BF103" s="162">
        <v>3144</v>
      </c>
      <c r="BG103" s="162">
        <v>3144</v>
      </c>
      <c r="BH103" s="162">
        <v>3144</v>
      </c>
      <c r="BI103" s="162">
        <v>3144</v>
      </c>
    </row>
    <row r="104" spans="1:61" x14ac:dyDescent="0.25">
      <c r="A104" s="22">
        <f t="shared" si="9"/>
        <v>98</v>
      </c>
      <c r="B104" s="214" t="str">
        <f t="shared" si="10"/>
        <v>F0013547911</v>
      </c>
      <c r="C104" s="214" t="str">
        <f t="shared" si="11"/>
        <v>82115-0E440 L</v>
      </c>
      <c r="D104" s="45" t="str">
        <f>VLOOKUP(B104,'Timing Table'!B:J,9,0)</f>
        <v>C/O</v>
      </c>
      <c r="E104" s="22" t="str">
        <f>VLOOKUP(B104,'Timing Table'!B:H,7,0)</f>
        <v>GAS</v>
      </c>
      <c r="F104" s="164" t="s">
        <v>77</v>
      </c>
      <c r="G104" s="165">
        <v>0</v>
      </c>
      <c r="H104" s="166" t="s">
        <v>78</v>
      </c>
      <c r="I104" s="167"/>
      <c r="J104" s="168"/>
      <c r="K104" s="169"/>
      <c r="L104" s="170" t="s">
        <v>0</v>
      </c>
      <c r="M104" s="170" t="s">
        <v>0</v>
      </c>
      <c r="N104" s="170" t="s">
        <v>0</v>
      </c>
      <c r="O104" s="170" t="s">
        <v>0</v>
      </c>
      <c r="P104" s="170" t="s">
        <v>0</v>
      </c>
      <c r="Q104" s="170">
        <v>-1</v>
      </c>
      <c r="R104" s="170" t="s">
        <v>0</v>
      </c>
      <c r="S104" s="170" t="s">
        <v>0</v>
      </c>
      <c r="T104" s="170" t="s">
        <v>0</v>
      </c>
      <c r="U104" s="170" t="s">
        <v>0</v>
      </c>
      <c r="V104" s="170" t="s">
        <v>0</v>
      </c>
      <c r="W104" s="170" t="s">
        <v>0</v>
      </c>
      <c r="X104" s="170" t="s">
        <v>0</v>
      </c>
      <c r="Y104" s="170" t="s">
        <v>0</v>
      </c>
      <c r="Z104" s="170" t="s">
        <v>0</v>
      </c>
      <c r="AA104" s="170" t="s">
        <v>0</v>
      </c>
      <c r="AB104" s="170" t="s">
        <v>0</v>
      </c>
      <c r="AC104" s="170" t="s">
        <v>0</v>
      </c>
      <c r="AD104" s="170" t="s">
        <v>0</v>
      </c>
      <c r="AE104" s="170" t="s">
        <v>0</v>
      </c>
      <c r="AF104" s="170" t="s">
        <v>0</v>
      </c>
      <c r="AG104" s="170" t="s">
        <v>0</v>
      </c>
      <c r="AH104" s="170" t="s">
        <v>0</v>
      </c>
      <c r="AI104" s="170" t="s">
        <v>0</v>
      </c>
      <c r="AJ104" s="170" t="s">
        <v>0</v>
      </c>
      <c r="AK104" s="170" t="s">
        <v>0</v>
      </c>
      <c r="AL104" s="170" t="s">
        <v>0</v>
      </c>
      <c r="AM104" s="170" t="s">
        <v>0</v>
      </c>
      <c r="AN104" s="170" t="s">
        <v>0</v>
      </c>
      <c r="AO104" s="170" t="s">
        <v>0</v>
      </c>
      <c r="AP104" s="170" t="s">
        <v>0</v>
      </c>
      <c r="AQ104" s="170" t="s">
        <v>0</v>
      </c>
      <c r="AR104" s="170" t="s">
        <v>0</v>
      </c>
      <c r="AS104" s="170" t="s">
        <v>0</v>
      </c>
      <c r="AT104" s="170" t="s">
        <v>0</v>
      </c>
      <c r="AU104" s="170" t="s">
        <v>0</v>
      </c>
      <c r="AV104" s="170" t="s">
        <v>0</v>
      </c>
      <c r="AW104" s="170" t="s">
        <v>0</v>
      </c>
      <c r="AX104" s="170" t="s">
        <v>0</v>
      </c>
      <c r="AY104" s="170" t="s">
        <v>0</v>
      </c>
      <c r="AZ104" s="170" t="s">
        <v>0</v>
      </c>
      <c r="BA104" s="170" t="s">
        <v>0</v>
      </c>
      <c r="BB104" s="170" t="s">
        <v>0</v>
      </c>
      <c r="BC104" s="170" t="s">
        <v>0</v>
      </c>
      <c r="BD104" s="170" t="s">
        <v>0</v>
      </c>
      <c r="BE104" s="170" t="s">
        <v>0</v>
      </c>
      <c r="BF104" s="170" t="s">
        <v>0</v>
      </c>
      <c r="BG104" s="170" t="s">
        <v>0</v>
      </c>
      <c r="BH104" s="170" t="s">
        <v>0</v>
      </c>
      <c r="BI104" s="171"/>
    </row>
    <row r="105" spans="1:61" x14ac:dyDescent="0.25">
      <c r="A105" s="22">
        <f t="shared" si="9"/>
        <v>99</v>
      </c>
      <c r="B105" s="214" t="str">
        <f t="shared" si="10"/>
        <v>F0013547911</v>
      </c>
      <c r="C105" s="214" t="str">
        <f t="shared" si="11"/>
        <v>82115-0E440 L</v>
      </c>
      <c r="D105" s="45" t="str">
        <f>VLOOKUP(B105,'Timing Table'!B:J,9,0)</f>
        <v>C/O</v>
      </c>
      <c r="E105" s="22" t="str">
        <f>VLOOKUP(B105,'Timing Table'!B:H,7,0)</f>
        <v>GAS</v>
      </c>
      <c r="F105" s="172" t="s">
        <v>79</v>
      </c>
      <c r="G105" s="173" t="s">
        <v>58</v>
      </c>
      <c r="H105" s="174" t="s">
        <v>58</v>
      </c>
      <c r="I105" s="175" t="s">
        <v>58</v>
      </c>
      <c r="J105" s="175" t="s">
        <v>0</v>
      </c>
      <c r="K105" s="175" t="s">
        <v>0</v>
      </c>
      <c r="L105" s="175" t="s">
        <v>0</v>
      </c>
      <c r="M105" s="175" t="s">
        <v>0</v>
      </c>
      <c r="N105" s="175" t="s">
        <v>0</v>
      </c>
      <c r="O105" s="175" t="s">
        <v>0</v>
      </c>
      <c r="P105" s="175" t="s">
        <v>0</v>
      </c>
      <c r="Q105" s="175" t="s">
        <v>316</v>
      </c>
      <c r="R105" s="175"/>
      <c r="S105" s="175" t="s">
        <v>0</v>
      </c>
      <c r="T105" s="175" t="s">
        <v>0</v>
      </c>
      <c r="U105" s="175" t="s">
        <v>0</v>
      </c>
      <c r="V105" s="175" t="s">
        <v>0</v>
      </c>
      <c r="W105" s="175" t="s">
        <v>0</v>
      </c>
      <c r="X105" s="175" t="s">
        <v>0</v>
      </c>
      <c r="Y105" s="175" t="s">
        <v>0</v>
      </c>
      <c r="Z105" s="175" t="s">
        <v>0</v>
      </c>
      <c r="AA105" s="175" t="s">
        <v>0</v>
      </c>
      <c r="AB105" s="175" t="s">
        <v>0</v>
      </c>
      <c r="AC105" s="175" t="s">
        <v>0</v>
      </c>
      <c r="AD105" s="175" t="s">
        <v>0</v>
      </c>
      <c r="AE105" s="175" t="s">
        <v>0</v>
      </c>
      <c r="AF105" s="175" t="s">
        <v>0</v>
      </c>
      <c r="AG105" s="175" t="s">
        <v>0</v>
      </c>
      <c r="AH105" s="175" t="s">
        <v>0</v>
      </c>
      <c r="AI105" s="175" t="s">
        <v>0</v>
      </c>
      <c r="AJ105" s="175" t="s">
        <v>0</v>
      </c>
      <c r="AK105" s="175" t="s">
        <v>0</v>
      </c>
      <c r="AL105" s="175" t="s">
        <v>0</v>
      </c>
      <c r="AM105" s="175" t="s">
        <v>0</v>
      </c>
      <c r="AN105" s="175" t="s">
        <v>0</v>
      </c>
      <c r="AO105" s="175" t="s">
        <v>0</v>
      </c>
      <c r="AP105" s="175" t="s">
        <v>0</v>
      </c>
      <c r="AQ105" s="175" t="s">
        <v>0</v>
      </c>
      <c r="AR105" s="175" t="s">
        <v>0</v>
      </c>
      <c r="AS105" s="175" t="s">
        <v>0</v>
      </c>
      <c r="AT105" s="175" t="s">
        <v>0</v>
      </c>
      <c r="AU105" s="175" t="s">
        <v>0</v>
      </c>
      <c r="AV105" s="175" t="s">
        <v>0</v>
      </c>
      <c r="AW105" s="175" t="s">
        <v>0</v>
      </c>
      <c r="AX105" s="175" t="s">
        <v>0</v>
      </c>
      <c r="AY105" s="175" t="s">
        <v>0</v>
      </c>
      <c r="AZ105" s="175" t="s">
        <v>0</v>
      </c>
      <c r="BA105" s="175" t="s">
        <v>0</v>
      </c>
      <c r="BB105" s="175" t="s">
        <v>0</v>
      </c>
      <c r="BC105" s="175" t="s">
        <v>0</v>
      </c>
      <c r="BD105" s="175" t="s">
        <v>0</v>
      </c>
      <c r="BE105" s="175" t="s">
        <v>0</v>
      </c>
      <c r="BF105" s="175" t="s">
        <v>0</v>
      </c>
      <c r="BG105" s="175" t="s">
        <v>0</v>
      </c>
      <c r="BH105" s="175" t="s">
        <v>0</v>
      </c>
      <c r="BI105" s="176"/>
    </row>
    <row r="106" spans="1:61" x14ac:dyDescent="0.25">
      <c r="A106" s="22">
        <f t="shared" si="9"/>
        <v>100</v>
      </c>
      <c r="B106" s="214" t="str">
        <f t="shared" si="10"/>
        <v>F0013547911</v>
      </c>
      <c r="C106" s="214" t="str">
        <f t="shared" si="11"/>
        <v>82115-0E440 L</v>
      </c>
      <c r="D106" s="45" t="str">
        <f>VLOOKUP(B106,'Timing Table'!B:J,9,0)</f>
        <v>C/O</v>
      </c>
      <c r="E106" s="22" t="str">
        <f>VLOOKUP(B106,'Timing Table'!B:H,7,0)</f>
        <v>GAS</v>
      </c>
      <c r="F106" s="177" t="s">
        <v>58</v>
      </c>
      <c r="G106" s="178" t="s">
        <v>58</v>
      </c>
      <c r="H106" s="179" t="s">
        <v>58</v>
      </c>
      <c r="I106" s="180" t="s">
        <v>58</v>
      </c>
      <c r="J106" s="180" t="s">
        <v>0</v>
      </c>
      <c r="K106" s="180" t="s">
        <v>0</v>
      </c>
      <c r="L106" s="180" t="s">
        <v>0</v>
      </c>
      <c r="M106" s="180" t="s">
        <v>0</v>
      </c>
      <c r="N106" s="180" t="s">
        <v>0</v>
      </c>
      <c r="O106" s="180" t="s">
        <v>0</v>
      </c>
      <c r="P106" s="180" t="s">
        <v>0</v>
      </c>
      <c r="Q106" s="180" t="s">
        <v>0</v>
      </c>
      <c r="R106" s="180" t="s">
        <v>0</v>
      </c>
      <c r="S106" s="180" t="s">
        <v>0</v>
      </c>
      <c r="T106" s="180" t="s">
        <v>0</v>
      </c>
      <c r="U106" s="180" t="s">
        <v>0</v>
      </c>
      <c r="V106" s="180" t="s">
        <v>0</v>
      </c>
      <c r="W106" s="180" t="s">
        <v>0</v>
      </c>
      <c r="X106" s="180" t="s">
        <v>0</v>
      </c>
      <c r="Y106" s="180" t="s">
        <v>0</v>
      </c>
      <c r="Z106" s="180" t="s">
        <v>0</v>
      </c>
      <c r="AA106" s="180" t="s">
        <v>0</v>
      </c>
      <c r="AB106" s="180" t="s">
        <v>0</v>
      </c>
      <c r="AC106" s="180" t="s">
        <v>0</v>
      </c>
      <c r="AD106" s="180" t="s">
        <v>0</v>
      </c>
      <c r="AE106" s="180" t="s">
        <v>0</v>
      </c>
      <c r="AF106" s="180" t="s">
        <v>0</v>
      </c>
      <c r="AG106" s="180" t="s">
        <v>0</v>
      </c>
      <c r="AH106" s="180" t="s">
        <v>0</v>
      </c>
      <c r="AI106" s="180" t="s">
        <v>0</v>
      </c>
      <c r="AJ106" s="180" t="s">
        <v>0</v>
      </c>
      <c r="AK106" s="180" t="s">
        <v>0</v>
      </c>
      <c r="AL106" s="180" t="s">
        <v>0</v>
      </c>
      <c r="AM106" s="180" t="s">
        <v>0</v>
      </c>
      <c r="AN106" s="180" t="s">
        <v>0</v>
      </c>
      <c r="AO106" s="180" t="s">
        <v>0</v>
      </c>
      <c r="AP106" s="180" t="s">
        <v>0</v>
      </c>
      <c r="AQ106" s="180" t="s">
        <v>0</v>
      </c>
      <c r="AR106" s="180" t="s">
        <v>0</v>
      </c>
      <c r="AS106" s="180" t="s">
        <v>0</v>
      </c>
      <c r="AT106" s="180" t="s">
        <v>0</v>
      </c>
      <c r="AU106" s="180" t="s">
        <v>0</v>
      </c>
      <c r="AV106" s="180" t="s">
        <v>0</v>
      </c>
      <c r="AW106" s="180" t="s">
        <v>0</v>
      </c>
      <c r="AX106" s="180" t="s">
        <v>0</v>
      </c>
      <c r="AY106" s="180" t="s">
        <v>0</v>
      </c>
      <c r="AZ106" s="180" t="s">
        <v>0</v>
      </c>
      <c r="BA106" s="180" t="s">
        <v>0</v>
      </c>
      <c r="BB106" s="180" t="s">
        <v>0</v>
      </c>
      <c r="BC106" s="180" t="s">
        <v>0</v>
      </c>
      <c r="BD106" s="180" t="s">
        <v>0</v>
      </c>
      <c r="BE106" s="180" t="s">
        <v>0</v>
      </c>
      <c r="BF106" s="180" t="s">
        <v>0</v>
      </c>
      <c r="BG106" s="180" t="s">
        <v>0</v>
      </c>
      <c r="BH106" s="180" t="s">
        <v>0</v>
      </c>
      <c r="BI106" s="181"/>
    </row>
    <row r="107" spans="1:61" x14ac:dyDescent="0.25">
      <c r="A107" s="22">
        <f t="shared" si="9"/>
        <v>101</v>
      </c>
      <c r="B107" s="214" t="str">
        <f t="shared" si="10"/>
        <v>F0013547912</v>
      </c>
      <c r="C107" s="214" t="str">
        <f t="shared" si="11"/>
        <v>82115-0E440 M</v>
      </c>
      <c r="D107" s="45" t="str">
        <f>VLOOKUP(B107,'Timing Table'!B:J,9,0)</f>
        <v>C/O</v>
      </c>
      <c r="E107" s="22" t="str">
        <f>VLOOKUP(B107,'Timing Table'!B:H,7,0)</f>
        <v>GAS</v>
      </c>
      <c r="F107" s="121" t="s">
        <v>59</v>
      </c>
      <c r="G107" s="146">
        <v>5501060667</v>
      </c>
      <c r="H107" s="121" t="s">
        <v>60</v>
      </c>
      <c r="I107" s="146">
        <v>18</v>
      </c>
      <c r="J107" s="121" t="s">
        <v>61</v>
      </c>
      <c r="K107" s="125">
        <v>1210844</v>
      </c>
      <c r="L107" s="126"/>
      <c r="M107" s="147" t="s">
        <v>62</v>
      </c>
      <c r="N107" s="148"/>
      <c r="O107" s="149">
        <v>46086</v>
      </c>
      <c r="P107" s="121" t="s">
        <v>63</v>
      </c>
      <c r="Q107" s="146">
        <v>4</v>
      </c>
      <c r="R107" s="6" t="s">
        <v>0</v>
      </c>
      <c r="S107" s="7" t="s">
        <v>0</v>
      </c>
      <c r="T107" s="7" t="s">
        <v>0</v>
      </c>
      <c r="U107" s="7" t="s">
        <v>0</v>
      </c>
      <c r="V107" s="7" t="s">
        <v>0</v>
      </c>
      <c r="W107" s="7" t="s">
        <v>0</v>
      </c>
      <c r="X107" s="7" t="s">
        <v>0</v>
      </c>
      <c r="Y107" s="7" t="s">
        <v>0</v>
      </c>
      <c r="Z107" s="7" t="s">
        <v>0</v>
      </c>
      <c r="AA107" s="7" t="s">
        <v>0</v>
      </c>
      <c r="AB107" s="7" t="s">
        <v>0</v>
      </c>
      <c r="AC107" s="7" t="s">
        <v>0</v>
      </c>
      <c r="AD107" s="7" t="s">
        <v>0</v>
      </c>
      <c r="AE107" s="7" t="s">
        <v>0</v>
      </c>
      <c r="AF107" s="7" t="s">
        <v>0</v>
      </c>
      <c r="AG107" s="7" t="s">
        <v>0</v>
      </c>
      <c r="AH107" s="7" t="s">
        <v>0</v>
      </c>
      <c r="AI107" s="7" t="s">
        <v>0</v>
      </c>
      <c r="AJ107" s="7" t="s">
        <v>0</v>
      </c>
      <c r="AK107" s="7" t="s">
        <v>0</v>
      </c>
      <c r="AL107" s="7" t="s">
        <v>0</v>
      </c>
      <c r="AM107" s="7" t="s">
        <v>0</v>
      </c>
      <c r="AN107" s="7" t="s">
        <v>0</v>
      </c>
      <c r="AO107" s="7" t="s">
        <v>0</v>
      </c>
      <c r="AP107" s="7" t="s">
        <v>0</v>
      </c>
      <c r="AQ107" s="7" t="s">
        <v>0</v>
      </c>
      <c r="AR107" s="7" t="s">
        <v>0</v>
      </c>
      <c r="AS107" s="7" t="s">
        <v>0</v>
      </c>
      <c r="AT107" s="7" t="s">
        <v>0</v>
      </c>
      <c r="AU107" s="7" t="s">
        <v>0</v>
      </c>
      <c r="AV107" s="7" t="s">
        <v>0</v>
      </c>
      <c r="AW107" s="7" t="s">
        <v>0</v>
      </c>
      <c r="AX107" s="7" t="s">
        <v>0</v>
      </c>
      <c r="AY107" s="7" t="s">
        <v>0</v>
      </c>
      <c r="AZ107" s="7" t="s">
        <v>0</v>
      </c>
      <c r="BA107" s="7" t="s">
        <v>0</v>
      </c>
      <c r="BB107" s="7" t="s">
        <v>0</v>
      </c>
      <c r="BC107" s="7" t="s">
        <v>0</v>
      </c>
      <c r="BD107" s="7" t="s">
        <v>0</v>
      </c>
      <c r="BE107" s="7" t="s">
        <v>0</v>
      </c>
      <c r="BF107" s="7" t="s">
        <v>0</v>
      </c>
      <c r="BG107" s="7" t="s">
        <v>0</v>
      </c>
      <c r="BH107" s="7" t="s">
        <v>0</v>
      </c>
      <c r="BI107" s="8"/>
    </row>
    <row r="108" spans="1:61" x14ac:dyDescent="0.25">
      <c r="A108" s="22">
        <f t="shared" si="9"/>
        <v>102</v>
      </c>
      <c r="B108" s="214" t="str">
        <f t="shared" si="10"/>
        <v>F0013547912</v>
      </c>
      <c r="C108" s="214" t="str">
        <f t="shared" si="11"/>
        <v>82115-0E440 M</v>
      </c>
      <c r="D108" s="45" t="str">
        <f>VLOOKUP(B108,'Timing Table'!B:J,9,0)</f>
        <v>C/O</v>
      </c>
      <c r="E108" s="22" t="str">
        <f>VLOOKUP(B108,'Timing Table'!B:H,7,0)</f>
        <v>GAS</v>
      </c>
      <c r="F108" s="121" t="s">
        <v>64</v>
      </c>
      <c r="G108" s="146" t="s">
        <v>270</v>
      </c>
      <c r="H108" s="121" t="s">
        <v>65</v>
      </c>
      <c r="I108" s="150" t="s">
        <v>280</v>
      </c>
      <c r="J108" s="151"/>
      <c r="K108" s="151"/>
      <c r="L108" s="152"/>
      <c r="M108" s="121" t="s">
        <v>66</v>
      </c>
      <c r="N108" s="146">
        <v>2023</v>
      </c>
      <c r="O108" s="140" t="s">
        <v>67</v>
      </c>
      <c r="P108" s="141"/>
      <c r="Q108" s="153" t="s">
        <v>279</v>
      </c>
      <c r="R108" s="122" t="s">
        <v>0</v>
      </c>
      <c r="S108" s="123"/>
      <c r="T108" s="123"/>
      <c r="U108" s="123" t="s">
        <v>0</v>
      </c>
      <c r="V108" s="123" t="s">
        <v>0</v>
      </c>
      <c r="W108" s="123" t="s">
        <v>0</v>
      </c>
      <c r="X108" s="123" t="s">
        <v>0</v>
      </c>
      <c r="Y108" s="123" t="s">
        <v>0</v>
      </c>
      <c r="Z108" s="123" t="s">
        <v>0</v>
      </c>
      <c r="AA108" s="123" t="s">
        <v>0</v>
      </c>
      <c r="AB108" s="123" t="s">
        <v>0</v>
      </c>
      <c r="AC108" s="123" t="s">
        <v>0</v>
      </c>
      <c r="AD108" s="123" t="s">
        <v>0</v>
      </c>
      <c r="AE108" s="123" t="s">
        <v>0</v>
      </c>
      <c r="AF108" s="123" t="s">
        <v>0</v>
      </c>
      <c r="AG108" s="123" t="s">
        <v>0</v>
      </c>
      <c r="AH108" s="123" t="s">
        <v>0</v>
      </c>
      <c r="AI108" s="123" t="s">
        <v>0</v>
      </c>
      <c r="AJ108" s="123" t="s">
        <v>0</v>
      </c>
      <c r="AK108" s="123" t="s">
        <v>0</v>
      </c>
      <c r="AL108" s="123" t="s">
        <v>0</v>
      </c>
      <c r="AM108" s="123" t="s">
        <v>0</v>
      </c>
      <c r="AN108" s="123" t="s">
        <v>0</v>
      </c>
      <c r="AO108" s="123" t="s">
        <v>0</v>
      </c>
      <c r="AP108" s="123" t="s">
        <v>0</v>
      </c>
      <c r="AQ108" s="123" t="s">
        <v>0</v>
      </c>
      <c r="AR108" s="123" t="s">
        <v>0</v>
      </c>
      <c r="AS108" s="123" t="s">
        <v>0</v>
      </c>
      <c r="AT108" s="123" t="s">
        <v>0</v>
      </c>
      <c r="AU108" s="123" t="s">
        <v>0</v>
      </c>
      <c r="AV108" s="123" t="s">
        <v>0</v>
      </c>
      <c r="AW108" s="123" t="s">
        <v>0</v>
      </c>
      <c r="AX108" s="123" t="s">
        <v>0</v>
      </c>
      <c r="AY108" s="123" t="s">
        <v>0</v>
      </c>
      <c r="AZ108" s="123" t="s">
        <v>0</v>
      </c>
      <c r="BA108" s="123" t="s">
        <v>0</v>
      </c>
      <c r="BB108" s="123" t="s">
        <v>0</v>
      </c>
      <c r="BC108" s="123" t="s">
        <v>0</v>
      </c>
      <c r="BD108" s="123" t="s">
        <v>0</v>
      </c>
      <c r="BE108" s="123" t="s">
        <v>0</v>
      </c>
      <c r="BF108" s="123" t="s">
        <v>0</v>
      </c>
      <c r="BG108" s="123" t="s">
        <v>0</v>
      </c>
      <c r="BH108" s="123" t="s">
        <v>0</v>
      </c>
      <c r="BI108" s="124"/>
    </row>
    <row r="109" spans="1:61" x14ac:dyDescent="0.25">
      <c r="A109" s="22">
        <f t="shared" si="9"/>
        <v>103</v>
      </c>
      <c r="B109" s="214" t="str">
        <f t="shared" si="10"/>
        <v>F0013547912</v>
      </c>
      <c r="C109" s="214" t="str">
        <f t="shared" si="11"/>
        <v>82115-0E440 M</v>
      </c>
      <c r="D109" s="45" t="str">
        <f>VLOOKUP(B109,'Timing Table'!B:J,9,0)</f>
        <v>C/O</v>
      </c>
      <c r="E109" s="22" t="str">
        <f>VLOOKUP(B109,'Timing Table'!B:H,7,0)</f>
        <v>GAS</v>
      </c>
      <c r="F109" s="121" t="s">
        <v>68</v>
      </c>
      <c r="G109" s="146" t="s">
        <v>339</v>
      </c>
      <c r="H109" s="121" t="s">
        <v>69</v>
      </c>
      <c r="I109" s="154" t="s">
        <v>58</v>
      </c>
      <c r="J109" s="155" t="s">
        <v>0</v>
      </c>
      <c r="K109" s="156" t="s">
        <v>0</v>
      </c>
      <c r="L109" s="157" t="s">
        <v>0</v>
      </c>
      <c r="M109" s="134" t="s">
        <v>0</v>
      </c>
      <c r="N109" s="134" t="s">
        <v>0</v>
      </c>
      <c r="O109" s="134" t="s">
        <v>0</v>
      </c>
      <c r="P109" s="134" t="s">
        <v>0</v>
      </c>
      <c r="Q109" s="134" t="s">
        <v>1</v>
      </c>
      <c r="R109" s="134" t="s">
        <v>2</v>
      </c>
      <c r="S109" s="134" t="s">
        <v>0</v>
      </c>
      <c r="T109" s="134" t="s">
        <v>0</v>
      </c>
      <c r="U109" s="134" t="s">
        <v>0</v>
      </c>
      <c r="V109" s="134" t="s">
        <v>0</v>
      </c>
      <c r="W109" s="134" t="s">
        <v>0</v>
      </c>
      <c r="X109" s="134" t="s">
        <v>0</v>
      </c>
      <c r="Y109" s="134" t="s">
        <v>0</v>
      </c>
      <c r="Z109" s="134" t="s">
        <v>3</v>
      </c>
      <c r="AA109" s="134" t="s">
        <v>0</v>
      </c>
      <c r="AB109" s="134" t="s">
        <v>0</v>
      </c>
      <c r="AC109" s="134" t="s">
        <v>0</v>
      </c>
      <c r="AD109" s="134" t="s">
        <v>0</v>
      </c>
      <c r="AE109" s="134" t="s">
        <v>0</v>
      </c>
      <c r="AF109" s="134" t="s">
        <v>0</v>
      </c>
      <c r="AG109" s="134" t="s">
        <v>0</v>
      </c>
      <c r="AH109" s="134" t="s">
        <v>0</v>
      </c>
      <c r="AI109" s="134" t="s">
        <v>0</v>
      </c>
      <c r="AJ109" s="134" t="s">
        <v>0</v>
      </c>
      <c r="AK109" s="134" t="s">
        <v>0</v>
      </c>
      <c r="AL109" s="134" t="s">
        <v>0</v>
      </c>
      <c r="AM109" s="134" t="s">
        <v>0</v>
      </c>
      <c r="AN109" s="134" t="s">
        <v>0</v>
      </c>
      <c r="AO109" s="134" t="s">
        <v>0</v>
      </c>
      <c r="AP109" s="134" t="s">
        <v>0</v>
      </c>
      <c r="AQ109" s="134" t="s">
        <v>0</v>
      </c>
      <c r="AR109" s="134" t="s">
        <v>0</v>
      </c>
      <c r="AS109" s="134" t="s">
        <v>0</v>
      </c>
      <c r="AT109" s="134" t="s">
        <v>0</v>
      </c>
      <c r="AU109" s="134" t="s">
        <v>0</v>
      </c>
      <c r="AV109" s="134" t="s">
        <v>0</v>
      </c>
      <c r="AW109" s="134" t="s">
        <v>0</v>
      </c>
      <c r="AX109" s="134" t="s">
        <v>0</v>
      </c>
      <c r="AY109" s="134" t="s">
        <v>0</v>
      </c>
      <c r="AZ109" s="134" t="s">
        <v>0</v>
      </c>
      <c r="BA109" s="134" t="s">
        <v>0</v>
      </c>
      <c r="BB109" s="134" t="s">
        <v>0</v>
      </c>
      <c r="BC109" s="134" t="s">
        <v>0</v>
      </c>
      <c r="BD109" s="134" t="s">
        <v>0</v>
      </c>
      <c r="BE109" s="134" t="s">
        <v>0</v>
      </c>
      <c r="BF109" s="134" t="s">
        <v>0</v>
      </c>
      <c r="BG109" s="134" t="s">
        <v>0</v>
      </c>
      <c r="BH109" s="134" t="s">
        <v>0</v>
      </c>
      <c r="BI109" s="135" t="s">
        <v>4</v>
      </c>
    </row>
    <row r="110" spans="1:61" x14ac:dyDescent="0.25">
      <c r="A110" s="22">
        <f t="shared" si="9"/>
        <v>104</v>
      </c>
      <c r="B110" s="214" t="str">
        <f t="shared" si="10"/>
        <v>F0013547912</v>
      </c>
      <c r="C110" s="214" t="str">
        <f t="shared" si="11"/>
        <v>82115-0E440 M</v>
      </c>
      <c r="D110" s="45" t="str">
        <f>VLOOKUP(B110,'Timing Table'!B:J,9,0)</f>
        <v>C/O</v>
      </c>
      <c r="E110" s="22" t="str">
        <f>VLOOKUP(B110,'Timing Table'!B:H,7,0)</f>
        <v>GAS</v>
      </c>
      <c r="F110" s="121" t="s">
        <v>70</v>
      </c>
      <c r="G110" s="146">
        <v>1016</v>
      </c>
      <c r="H110" s="158" t="s">
        <v>240</v>
      </c>
      <c r="I110" s="159" t="s">
        <v>71</v>
      </c>
      <c r="J110" s="13">
        <v>46041</v>
      </c>
      <c r="K110" s="14">
        <v>46048</v>
      </c>
      <c r="L110" s="14">
        <v>46055</v>
      </c>
      <c r="M110" s="14">
        <v>46062</v>
      </c>
      <c r="N110" s="14">
        <v>46069</v>
      </c>
      <c r="O110" s="14">
        <v>46076</v>
      </c>
      <c r="P110" s="14">
        <v>46083</v>
      </c>
      <c r="Q110" s="14">
        <v>46090</v>
      </c>
      <c r="R110" s="14">
        <v>46097</v>
      </c>
      <c r="S110" s="14">
        <v>46104</v>
      </c>
      <c r="T110" s="14">
        <v>46111</v>
      </c>
      <c r="U110" s="14">
        <v>46118</v>
      </c>
      <c r="V110" s="14">
        <v>46125</v>
      </c>
      <c r="W110" s="14">
        <v>46132</v>
      </c>
      <c r="X110" s="14">
        <v>46139</v>
      </c>
      <c r="Y110" s="14">
        <v>46146</v>
      </c>
      <c r="Z110" s="14">
        <v>46153</v>
      </c>
      <c r="AA110" s="14">
        <v>46160</v>
      </c>
      <c r="AB110" s="14">
        <v>46167</v>
      </c>
      <c r="AC110" s="14">
        <v>46174</v>
      </c>
      <c r="AD110" s="14">
        <v>46181</v>
      </c>
      <c r="AE110" s="14">
        <v>46188</v>
      </c>
      <c r="AF110" s="14">
        <v>46195</v>
      </c>
      <c r="AG110" s="14">
        <v>46202</v>
      </c>
      <c r="AH110" s="14">
        <v>46209</v>
      </c>
      <c r="AI110" s="14">
        <v>46216</v>
      </c>
      <c r="AJ110" s="14">
        <v>46223</v>
      </c>
      <c r="AK110" s="14">
        <v>46230</v>
      </c>
      <c r="AL110" s="14">
        <v>46237</v>
      </c>
      <c r="AM110" s="14">
        <v>46244</v>
      </c>
      <c r="AN110" s="14">
        <v>46251</v>
      </c>
      <c r="AO110" s="14">
        <v>46258</v>
      </c>
      <c r="AP110" s="14">
        <v>46265</v>
      </c>
      <c r="AQ110" s="14">
        <v>46272</v>
      </c>
      <c r="AR110" s="14">
        <v>46279</v>
      </c>
      <c r="AS110" s="14">
        <v>46286</v>
      </c>
      <c r="AT110" s="14">
        <v>46293</v>
      </c>
      <c r="AU110" s="14">
        <v>46300</v>
      </c>
      <c r="AV110" s="14">
        <v>46307</v>
      </c>
      <c r="AW110" s="14">
        <v>46314</v>
      </c>
      <c r="AX110" s="14">
        <v>46321</v>
      </c>
      <c r="AY110" s="14">
        <v>46328</v>
      </c>
      <c r="AZ110" s="14">
        <v>46335</v>
      </c>
      <c r="BA110" s="14">
        <v>46342</v>
      </c>
      <c r="BB110" s="14">
        <v>46349</v>
      </c>
      <c r="BC110" s="14">
        <v>46356</v>
      </c>
      <c r="BD110" s="14">
        <v>46363</v>
      </c>
      <c r="BE110" s="14">
        <v>46370</v>
      </c>
      <c r="BF110" s="14">
        <v>46377</v>
      </c>
      <c r="BG110" s="14">
        <v>46384</v>
      </c>
      <c r="BH110" s="14">
        <v>46391</v>
      </c>
      <c r="BI110" s="15">
        <v>46398</v>
      </c>
    </row>
    <row r="111" spans="1:61" x14ac:dyDescent="0.25">
      <c r="A111" s="22">
        <f t="shared" si="9"/>
        <v>105</v>
      </c>
      <c r="B111" s="214" t="str">
        <f t="shared" si="10"/>
        <v>F0013547912</v>
      </c>
      <c r="C111" s="214" t="str">
        <f t="shared" si="11"/>
        <v>82115-0E440 M</v>
      </c>
      <c r="D111" s="45" t="str">
        <f>VLOOKUP(B111,'Timing Table'!B:J,9,0)</f>
        <v>C/O</v>
      </c>
      <c r="E111" s="22" t="str">
        <f>VLOOKUP(B111,'Timing Table'!B:H,7,0)</f>
        <v>GAS</v>
      </c>
      <c r="F111" s="121" t="s">
        <v>72</v>
      </c>
      <c r="G111" s="146">
        <v>3716</v>
      </c>
      <c r="H111" s="5" t="s">
        <v>58</v>
      </c>
      <c r="I111" s="11" t="s">
        <v>83</v>
      </c>
      <c r="J111" s="16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17"/>
    </row>
    <row r="112" spans="1:61" x14ac:dyDescent="0.25">
      <c r="A112" s="22">
        <f t="shared" si="9"/>
        <v>106</v>
      </c>
      <c r="B112" s="214" t="str">
        <f t="shared" si="10"/>
        <v>F0013547912</v>
      </c>
      <c r="C112" s="214" t="str">
        <f t="shared" si="11"/>
        <v>82115-0E440 M</v>
      </c>
      <c r="D112" s="45" t="str">
        <f>VLOOKUP(B112,'Timing Table'!B:J,9,0)</f>
        <v>C/O</v>
      </c>
      <c r="E112" s="22" t="str">
        <f>VLOOKUP(B112,'Timing Table'!B:H,7,0)</f>
        <v>GAS</v>
      </c>
      <c r="F112" s="121" t="s">
        <v>73</v>
      </c>
      <c r="G112" s="160" t="s">
        <v>295</v>
      </c>
      <c r="H112" s="9" t="s">
        <v>89</v>
      </c>
      <c r="I112" s="11" t="s">
        <v>74</v>
      </c>
      <c r="J112" s="117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192</v>
      </c>
      <c r="Q112" s="50">
        <v>428</v>
      </c>
      <c r="R112" s="50">
        <v>0</v>
      </c>
      <c r="S112" s="50">
        <v>416</v>
      </c>
      <c r="T112" s="50">
        <v>412</v>
      </c>
      <c r="U112" s="50">
        <v>364</v>
      </c>
      <c r="V112" s="50">
        <v>360</v>
      </c>
      <c r="W112" s="50">
        <v>224</v>
      </c>
      <c r="X112" s="50">
        <v>168</v>
      </c>
      <c r="Y112" s="50">
        <v>168</v>
      </c>
      <c r="Z112" s="50">
        <v>220</v>
      </c>
      <c r="AA112" s="50">
        <v>308</v>
      </c>
      <c r="AB112" s="50">
        <v>304</v>
      </c>
      <c r="AC112" s="50">
        <v>308</v>
      </c>
      <c r="AD112" s="50">
        <v>260</v>
      </c>
      <c r="AE112" s="50">
        <v>260</v>
      </c>
      <c r="AF112" s="50">
        <v>212</v>
      </c>
      <c r="AG112" s="50">
        <v>296</v>
      </c>
      <c r="AH112" s="50">
        <v>176</v>
      </c>
      <c r="AI112" s="50">
        <v>252</v>
      </c>
      <c r="AJ112" s="50">
        <v>352</v>
      </c>
      <c r="AK112" s="50">
        <v>352</v>
      </c>
      <c r="AL112" s="50">
        <v>492</v>
      </c>
      <c r="AM112" s="50">
        <v>492</v>
      </c>
      <c r="AN112" s="50">
        <v>492</v>
      </c>
      <c r="AO112" s="50">
        <v>492</v>
      </c>
      <c r="AP112" s="50">
        <v>492</v>
      </c>
      <c r="AQ112" s="50">
        <v>492</v>
      </c>
      <c r="AR112" s="50">
        <v>492</v>
      </c>
      <c r="AS112" s="50">
        <v>492</v>
      </c>
      <c r="AT112" s="50">
        <v>492</v>
      </c>
      <c r="AU112" s="50">
        <v>492</v>
      </c>
      <c r="AV112" s="50">
        <v>492</v>
      </c>
      <c r="AW112" s="50">
        <v>492</v>
      </c>
      <c r="AX112" s="50">
        <v>492</v>
      </c>
      <c r="AY112" s="50">
        <v>492</v>
      </c>
      <c r="AZ112" s="50">
        <v>492</v>
      </c>
      <c r="BA112" s="50">
        <v>492</v>
      </c>
      <c r="BB112" s="50">
        <v>492</v>
      </c>
      <c r="BC112" s="50">
        <v>492</v>
      </c>
      <c r="BD112" s="50">
        <v>492</v>
      </c>
      <c r="BE112" s="50">
        <v>492</v>
      </c>
      <c r="BF112" s="50">
        <v>492</v>
      </c>
      <c r="BG112" s="50">
        <v>492</v>
      </c>
      <c r="BH112" s="50">
        <v>492</v>
      </c>
      <c r="BI112" s="118">
        <v>492</v>
      </c>
    </row>
    <row r="113" spans="1:61" x14ac:dyDescent="0.25">
      <c r="A113" s="22">
        <f t="shared" si="9"/>
        <v>107</v>
      </c>
      <c r="B113" s="214" t="str">
        <f t="shared" si="10"/>
        <v>F0013547912</v>
      </c>
      <c r="C113" s="214" t="str">
        <f t="shared" si="11"/>
        <v>82115-0E440 M</v>
      </c>
      <c r="D113" s="45" t="str">
        <f>VLOOKUP(B113,'Timing Table'!B:J,9,0)</f>
        <v>C/O</v>
      </c>
      <c r="E113" s="22" t="str">
        <f>VLOOKUP(B113,'Timing Table'!B:H,7,0)</f>
        <v>GAS</v>
      </c>
      <c r="F113" s="121" t="s">
        <v>75</v>
      </c>
      <c r="G113" s="146">
        <v>82115</v>
      </c>
      <c r="H113" s="10" t="s">
        <v>89</v>
      </c>
      <c r="I113" s="12" t="s">
        <v>76</v>
      </c>
      <c r="J113" s="161">
        <v>0</v>
      </c>
      <c r="K113" s="162">
        <v>0</v>
      </c>
      <c r="L113" s="162">
        <v>0</v>
      </c>
      <c r="M113" s="162">
        <v>0</v>
      </c>
      <c r="N113" s="162">
        <v>0</v>
      </c>
      <c r="O113" s="162">
        <v>0</v>
      </c>
      <c r="P113" s="162">
        <v>192</v>
      </c>
      <c r="Q113" s="162">
        <v>620</v>
      </c>
      <c r="R113" s="162">
        <v>620</v>
      </c>
      <c r="S113" s="162">
        <v>1036</v>
      </c>
      <c r="T113" s="162">
        <v>1448</v>
      </c>
      <c r="U113" s="162">
        <v>1812</v>
      </c>
      <c r="V113" s="162">
        <v>2172</v>
      </c>
      <c r="W113" s="162">
        <v>2396</v>
      </c>
      <c r="X113" s="162">
        <v>2564</v>
      </c>
      <c r="Y113" s="162">
        <v>2732</v>
      </c>
      <c r="Z113" s="162">
        <v>2952</v>
      </c>
      <c r="AA113" s="162">
        <v>3260</v>
      </c>
      <c r="AB113" s="162">
        <v>3564</v>
      </c>
      <c r="AC113" s="162">
        <v>3872</v>
      </c>
      <c r="AD113" s="162">
        <v>4132</v>
      </c>
      <c r="AE113" s="162">
        <v>4392</v>
      </c>
      <c r="AF113" s="162">
        <v>4604</v>
      </c>
      <c r="AG113" s="162">
        <v>4900</v>
      </c>
      <c r="AH113" s="162">
        <v>5076</v>
      </c>
      <c r="AI113" s="162">
        <v>5328</v>
      </c>
      <c r="AJ113" s="162">
        <v>5680</v>
      </c>
      <c r="AK113" s="162">
        <v>6032</v>
      </c>
      <c r="AL113" s="162">
        <v>6524</v>
      </c>
      <c r="AM113" s="162">
        <v>7016</v>
      </c>
      <c r="AN113" s="162">
        <v>7508</v>
      </c>
      <c r="AO113" s="162">
        <v>8000</v>
      </c>
      <c r="AP113" s="162">
        <v>8492</v>
      </c>
      <c r="AQ113" s="162">
        <v>8984</v>
      </c>
      <c r="AR113" s="162">
        <v>9476</v>
      </c>
      <c r="AS113" s="162">
        <v>9968</v>
      </c>
      <c r="AT113" s="162">
        <v>10460</v>
      </c>
      <c r="AU113" s="162">
        <v>10952</v>
      </c>
      <c r="AV113" s="162">
        <v>11444</v>
      </c>
      <c r="AW113" s="162">
        <v>11936</v>
      </c>
      <c r="AX113" s="162">
        <v>12428</v>
      </c>
      <c r="AY113" s="162">
        <v>12920</v>
      </c>
      <c r="AZ113" s="162">
        <v>13412</v>
      </c>
      <c r="BA113" s="162">
        <v>13904</v>
      </c>
      <c r="BB113" s="162">
        <v>14396</v>
      </c>
      <c r="BC113" s="162">
        <v>14888</v>
      </c>
      <c r="BD113" s="162">
        <v>15380</v>
      </c>
      <c r="BE113" s="162">
        <v>15872</v>
      </c>
      <c r="BF113" s="162">
        <v>16364</v>
      </c>
      <c r="BG113" s="162">
        <v>16856</v>
      </c>
      <c r="BH113" s="162">
        <v>17348</v>
      </c>
      <c r="BI113" s="162">
        <v>17840</v>
      </c>
    </row>
    <row r="114" spans="1:61" x14ac:dyDescent="0.25">
      <c r="A114" s="22">
        <f t="shared" si="9"/>
        <v>108</v>
      </c>
      <c r="B114" s="214" t="str">
        <f t="shared" si="10"/>
        <v>F0013547912</v>
      </c>
      <c r="C114" s="214" t="str">
        <f t="shared" si="11"/>
        <v>82115-0E440 M</v>
      </c>
      <c r="D114" s="45" t="str">
        <f>VLOOKUP(B114,'Timing Table'!B:J,9,0)</f>
        <v>C/O</v>
      </c>
      <c r="E114" s="22" t="str">
        <f>VLOOKUP(B114,'Timing Table'!B:H,7,0)</f>
        <v>GAS</v>
      </c>
      <c r="F114" s="164" t="s">
        <v>77</v>
      </c>
      <c r="G114" s="165">
        <v>0</v>
      </c>
      <c r="H114" s="166" t="s">
        <v>78</v>
      </c>
      <c r="I114" s="167"/>
      <c r="J114" s="168"/>
      <c r="K114" s="169"/>
      <c r="L114" s="170" t="s">
        <v>0</v>
      </c>
      <c r="M114" s="170" t="s">
        <v>0</v>
      </c>
      <c r="N114" s="170" t="s">
        <v>0</v>
      </c>
      <c r="O114" s="170" t="s">
        <v>0</v>
      </c>
      <c r="P114" s="170" t="s">
        <v>0</v>
      </c>
      <c r="Q114" s="170">
        <v>1.2291666666666667</v>
      </c>
      <c r="R114" s="170" t="s">
        <v>0</v>
      </c>
      <c r="S114" s="170" t="s">
        <v>0</v>
      </c>
      <c r="T114" s="170" t="s">
        <v>0</v>
      </c>
      <c r="U114" s="170" t="s">
        <v>0</v>
      </c>
      <c r="V114" s="170" t="s">
        <v>0</v>
      </c>
      <c r="W114" s="170" t="s">
        <v>0</v>
      </c>
      <c r="X114" s="170" t="s">
        <v>0</v>
      </c>
      <c r="Y114" s="170" t="s">
        <v>0</v>
      </c>
      <c r="Z114" s="170" t="s">
        <v>0</v>
      </c>
      <c r="AA114" s="170" t="s">
        <v>0</v>
      </c>
      <c r="AB114" s="170" t="s">
        <v>0</v>
      </c>
      <c r="AC114" s="170" t="s">
        <v>0</v>
      </c>
      <c r="AD114" s="170" t="s">
        <v>0</v>
      </c>
      <c r="AE114" s="170" t="s">
        <v>0</v>
      </c>
      <c r="AF114" s="170" t="s">
        <v>0</v>
      </c>
      <c r="AG114" s="170" t="s">
        <v>0</v>
      </c>
      <c r="AH114" s="170" t="s">
        <v>0</v>
      </c>
      <c r="AI114" s="170" t="s">
        <v>0</v>
      </c>
      <c r="AJ114" s="170" t="s">
        <v>0</v>
      </c>
      <c r="AK114" s="170" t="s">
        <v>0</v>
      </c>
      <c r="AL114" s="170" t="s">
        <v>0</v>
      </c>
      <c r="AM114" s="170" t="s">
        <v>0</v>
      </c>
      <c r="AN114" s="170" t="s">
        <v>0</v>
      </c>
      <c r="AO114" s="170" t="s">
        <v>0</v>
      </c>
      <c r="AP114" s="170" t="s">
        <v>0</v>
      </c>
      <c r="AQ114" s="170" t="s">
        <v>0</v>
      </c>
      <c r="AR114" s="170" t="s">
        <v>0</v>
      </c>
      <c r="AS114" s="170" t="s">
        <v>0</v>
      </c>
      <c r="AT114" s="170" t="s">
        <v>0</v>
      </c>
      <c r="AU114" s="170" t="s">
        <v>0</v>
      </c>
      <c r="AV114" s="170" t="s">
        <v>0</v>
      </c>
      <c r="AW114" s="170" t="s">
        <v>0</v>
      </c>
      <c r="AX114" s="170" t="s">
        <v>0</v>
      </c>
      <c r="AY114" s="170" t="s">
        <v>0</v>
      </c>
      <c r="AZ114" s="170" t="s">
        <v>0</v>
      </c>
      <c r="BA114" s="170" t="s">
        <v>0</v>
      </c>
      <c r="BB114" s="170" t="s">
        <v>0</v>
      </c>
      <c r="BC114" s="170" t="s">
        <v>0</v>
      </c>
      <c r="BD114" s="170" t="s">
        <v>0</v>
      </c>
      <c r="BE114" s="170" t="s">
        <v>0</v>
      </c>
      <c r="BF114" s="170" t="s">
        <v>0</v>
      </c>
      <c r="BG114" s="170" t="s">
        <v>0</v>
      </c>
      <c r="BH114" s="170" t="s">
        <v>0</v>
      </c>
      <c r="BI114" s="171"/>
    </row>
    <row r="115" spans="1:61" x14ac:dyDescent="0.25">
      <c r="A115" s="22">
        <f t="shared" si="9"/>
        <v>109</v>
      </c>
      <c r="B115" s="214" t="str">
        <f t="shared" si="10"/>
        <v>F0013547912</v>
      </c>
      <c r="C115" s="214" t="str">
        <f>IF(F115=$F$7,#REF!,C114)</f>
        <v>82115-0E440 M</v>
      </c>
      <c r="D115" s="45" t="str">
        <f>VLOOKUP(B115,'Timing Table'!B:J,9,0)</f>
        <v>C/O</v>
      </c>
      <c r="E115" s="22" t="str">
        <f>VLOOKUP(B115,'Timing Table'!B:H,7,0)</f>
        <v>GAS</v>
      </c>
      <c r="F115" s="172" t="s">
        <v>79</v>
      </c>
      <c r="G115" s="173" t="s">
        <v>58</v>
      </c>
      <c r="H115" s="174" t="s">
        <v>58</v>
      </c>
      <c r="I115" s="175" t="s">
        <v>58</v>
      </c>
      <c r="J115" s="175" t="s">
        <v>0</v>
      </c>
      <c r="K115" s="175" t="s">
        <v>0</v>
      </c>
      <c r="L115" s="175" t="s">
        <v>0</v>
      </c>
      <c r="M115" s="175" t="s">
        <v>0</v>
      </c>
      <c r="N115" s="175" t="s">
        <v>0</v>
      </c>
      <c r="O115" s="175" t="s">
        <v>0</v>
      </c>
      <c r="P115" s="175" t="s">
        <v>0</v>
      </c>
      <c r="Q115" s="175" t="s">
        <v>317</v>
      </c>
      <c r="R115" s="175"/>
      <c r="S115" s="175" t="s">
        <v>0</v>
      </c>
      <c r="T115" s="175" t="s">
        <v>0</v>
      </c>
      <c r="U115" s="175" t="s">
        <v>0</v>
      </c>
      <c r="V115" s="175" t="s">
        <v>0</v>
      </c>
      <c r="W115" s="175" t="s">
        <v>0</v>
      </c>
      <c r="X115" s="175" t="s">
        <v>0</v>
      </c>
      <c r="Y115" s="175" t="s">
        <v>0</v>
      </c>
      <c r="Z115" s="175" t="s">
        <v>0</v>
      </c>
      <c r="AA115" s="175" t="s">
        <v>0</v>
      </c>
      <c r="AB115" s="175" t="s">
        <v>0</v>
      </c>
      <c r="AC115" s="175" t="s">
        <v>0</v>
      </c>
      <c r="AD115" s="175" t="s">
        <v>0</v>
      </c>
      <c r="AE115" s="175" t="s">
        <v>0</v>
      </c>
      <c r="AF115" s="175" t="s">
        <v>0</v>
      </c>
      <c r="AG115" s="175" t="s">
        <v>0</v>
      </c>
      <c r="AH115" s="175" t="s">
        <v>0</v>
      </c>
      <c r="AI115" s="175" t="s">
        <v>0</v>
      </c>
      <c r="AJ115" s="175" t="s">
        <v>0</v>
      </c>
      <c r="AK115" s="175" t="s">
        <v>0</v>
      </c>
      <c r="AL115" s="175" t="s">
        <v>0</v>
      </c>
      <c r="AM115" s="175" t="s">
        <v>0</v>
      </c>
      <c r="AN115" s="175" t="s">
        <v>0</v>
      </c>
      <c r="AO115" s="175" t="s">
        <v>0</v>
      </c>
      <c r="AP115" s="175" t="s">
        <v>0</v>
      </c>
      <c r="AQ115" s="175" t="s">
        <v>0</v>
      </c>
      <c r="AR115" s="175" t="s">
        <v>0</v>
      </c>
      <c r="AS115" s="175" t="s">
        <v>0</v>
      </c>
      <c r="AT115" s="175" t="s">
        <v>0</v>
      </c>
      <c r="AU115" s="175" t="s">
        <v>0</v>
      </c>
      <c r="AV115" s="175" t="s">
        <v>0</v>
      </c>
      <c r="AW115" s="175" t="s">
        <v>0</v>
      </c>
      <c r="AX115" s="175" t="s">
        <v>0</v>
      </c>
      <c r="AY115" s="175" t="s">
        <v>0</v>
      </c>
      <c r="AZ115" s="175" t="s">
        <v>0</v>
      </c>
      <c r="BA115" s="175" t="s">
        <v>0</v>
      </c>
      <c r="BB115" s="175" t="s">
        <v>0</v>
      </c>
      <c r="BC115" s="175" t="s">
        <v>0</v>
      </c>
      <c r="BD115" s="175" t="s">
        <v>0</v>
      </c>
      <c r="BE115" s="175" t="s">
        <v>0</v>
      </c>
      <c r="BF115" s="175" t="s">
        <v>0</v>
      </c>
      <c r="BG115" s="175" t="s">
        <v>0</v>
      </c>
      <c r="BH115" s="175" t="s">
        <v>0</v>
      </c>
      <c r="BI115" s="176"/>
    </row>
    <row r="116" spans="1:61" x14ac:dyDescent="0.25">
      <c r="A116" s="22">
        <f t="shared" si="9"/>
        <v>110</v>
      </c>
      <c r="B116" s="214" t="str">
        <f>IF(F116=$F$7,#REF!,B115)</f>
        <v>F0013547912</v>
      </c>
      <c r="C116" s="214" t="str">
        <f>IF(F116=$F$7,#REF!,C115)</f>
        <v>82115-0E440 M</v>
      </c>
      <c r="D116" s="45" t="str">
        <f>VLOOKUP(B116,'Timing Table'!B:J,9,0)</f>
        <v>C/O</v>
      </c>
      <c r="E116" s="22" t="str">
        <f>VLOOKUP(B116,'Timing Table'!B:H,7,0)</f>
        <v>GAS</v>
      </c>
      <c r="F116" s="177" t="s">
        <v>58</v>
      </c>
      <c r="G116" s="178" t="s">
        <v>58</v>
      </c>
      <c r="H116" s="179" t="s">
        <v>58</v>
      </c>
      <c r="I116" s="180" t="s">
        <v>58</v>
      </c>
      <c r="J116" s="180" t="s">
        <v>0</v>
      </c>
      <c r="K116" s="180" t="s">
        <v>0</v>
      </c>
      <c r="L116" s="180" t="s">
        <v>0</v>
      </c>
      <c r="M116" s="180" t="s">
        <v>0</v>
      </c>
      <c r="N116" s="180" t="s">
        <v>0</v>
      </c>
      <c r="O116" s="180" t="s">
        <v>0</v>
      </c>
      <c r="P116" s="180" t="s">
        <v>0</v>
      </c>
      <c r="Q116" s="180" t="s">
        <v>0</v>
      </c>
      <c r="R116" s="180" t="s">
        <v>0</v>
      </c>
      <c r="S116" s="180" t="s">
        <v>0</v>
      </c>
      <c r="T116" s="180" t="s">
        <v>0</v>
      </c>
      <c r="U116" s="180" t="s">
        <v>0</v>
      </c>
      <c r="V116" s="180" t="s">
        <v>0</v>
      </c>
      <c r="W116" s="180" t="s">
        <v>0</v>
      </c>
      <c r="X116" s="180" t="s">
        <v>0</v>
      </c>
      <c r="Y116" s="180" t="s">
        <v>0</v>
      </c>
      <c r="Z116" s="180" t="s">
        <v>0</v>
      </c>
      <c r="AA116" s="180" t="s">
        <v>0</v>
      </c>
      <c r="AB116" s="180" t="s">
        <v>0</v>
      </c>
      <c r="AC116" s="180" t="s">
        <v>0</v>
      </c>
      <c r="AD116" s="180" t="s">
        <v>0</v>
      </c>
      <c r="AE116" s="180" t="s">
        <v>0</v>
      </c>
      <c r="AF116" s="180" t="s">
        <v>0</v>
      </c>
      <c r="AG116" s="180" t="s">
        <v>0</v>
      </c>
      <c r="AH116" s="180" t="s">
        <v>0</v>
      </c>
      <c r="AI116" s="180" t="s">
        <v>0</v>
      </c>
      <c r="AJ116" s="180" t="s">
        <v>0</v>
      </c>
      <c r="AK116" s="180" t="s">
        <v>0</v>
      </c>
      <c r="AL116" s="180" t="s">
        <v>0</v>
      </c>
      <c r="AM116" s="180" t="s">
        <v>0</v>
      </c>
      <c r="AN116" s="180" t="s">
        <v>0</v>
      </c>
      <c r="AO116" s="180" t="s">
        <v>0</v>
      </c>
      <c r="AP116" s="180" t="s">
        <v>0</v>
      </c>
      <c r="AQ116" s="180" t="s">
        <v>0</v>
      </c>
      <c r="AR116" s="180" t="s">
        <v>0</v>
      </c>
      <c r="AS116" s="180" t="s">
        <v>0</v>
      </c>
      <c r="AT116" s="180" t="s">
        <v>0</v>
      </c>
      <c r="AU116" s="180" t="s">
        <v>0</v>
      </c>
      <c r="AV116" s="180" t="s">
        <v>0</v>
      </c>
      <c r="AW116" s="180" t="s">
        <v>0</v>
      </c>
      <c r="AX116" s="180" t="s">
        <v>0</v>
      </c>
      <c r="AY116" s="180" t="s">
        <v>0</v>
      </c>
      <c r="AZ116" s="180" t="s">
        <v>0</v>
      </c>
      <c r="BA116" s="180" t="s">
        <v>0</v>
      </c>
      <c r="BB116" s="180" t="s">
        <v>0</v>
      </c>
      <c r="BC116" s="180" t="s">
        <v>0</v>
      </c>
      <c r="BD116" s="180" t="s">
        <v>0</v>
      </c>
      <c r="BE116" s="180" t="s">
        <v>0</v>
      </c>
      <c r="BF116" s="180" t="s">
        <v>0</v>
      </c>
      <c r="BG116" s="180" t="s">
        <v>0</v>
      </c>
      <c r="BH116" s="180" t="s">
        <v>0</v>
      </c>
      <c r="BI116" s="181"/>
    </row>
    <row r="117" spans="1:61" x14ac:dyDescent="0.25">
      <c r="A117" s="22">
        <f t="shared" si="9"/>
        <v>111</v>
      </c>
      <c r="B117" s="214" t="str">
        <f>IF(F117=$F$7,G118,#REF!)</f>
        <v>F0013548009</v>
      </c>
      <c r="C117" s="214" t="str">
        <f>IF(F117=$F$7,G119,#REF!)</f>
        <v>82115-0E460.</v>
      </c>
      <c r="D117" s="45" t="str">
        <f>VLOOKUP(B117,'Timing Table'!B:J,9,0)</f>
        <v>C/O</v>
      </c>
      <c r="E117" s="22" t="str">
        <f>VLOOKUP(B117,'Timing Table'!B:H,7,0)</f>
        <v>GAS</v>
      </c>
      <c r="F117" s="121" t="s">
        <v>59</v>
      </c>
      <c r="G117" s="146">
        <v>5501017956</v>
      </c>
      <c r="H117" s="121" t="s">
        <v>60</v>
      </c>
      <c r="I117" s="146">
        <v>91</v>
      </c>
      <c r="J117" s="121" t="s">
        <v>61</v>
      </c>
      <c r="K117" s="125">
        <v>1146063</v>
      </c>
      <c r="L117" s="126"/>
      <c r="M117" s="147" t="s">
        <v>62</v>
      </c>
      <c r="N117" s="148"/>
      <c r="O117" s="149">
        <v>46086</v>
      </c>
      <c r="P117" s="121" t="s">
        <v>63</v>
      </c>
      <c r="Q117" s="146">
        <v>4</v>
      </c>
      <c r="R117" s="6" t="s">
        <v>0</v>
      </c>
      <c r="S117" s="7" t="s">
        <v>0</v>
      </c>
      <c r="T117" s="7" t="s">
        <v>0</v>
      </c>
      <c r="U117" s="7" t="s">
        <v>0</v>
      </c>
      <c r="V117" s="7" t="s">
        <v>0</v>
      </c>
      <c r="W117" s="7" t="s">
        <v>0</v>
      </c>
      <c r="X117" s="7" t="s">
        <v>0</v>
      </c>
      <c r="Y117" s="7" t="s">
        <v>0</v>
      </c>
      <c r="Z117" s="7" t="s">
        <v>0</v>
      </c>
      <c r="AA117" s="7" t="s">
        <v>0</v>
      </c>
      <c r="AB117" s="7" t="s">
        <v>0</v>
      </c>
      <c r="AC117" s="7" t="s">
        <v>0</v>
      </c>
      <c r="AD117" s="7" t="s">
        <v>0</v>
      </c>
      <c r="AE117" s="7" t="s">
        <v>0</v>
      </c>
      <c r="AF117" s="7" t="s">
        <v>0</v>
      </c>
      <c r="AG117" s="7" t="s">
        <v>0</v>
      </c>
      <c r="AH117" s="7" t="s">
        <v>0</v>
      </c>
      <c r="AI117" s="7" t="s">
        <v>0</v>
      </c>
      <c r="AJ117" s="7" t="s">
        <v>0</v>
      </c>
      <c r="AK117" s="7" t="s">
        <v>0</v>
      </c>
      <c r="AL117" s="7" t="s">
        <v>0</v>
      </c>
      <c r="AM117" s="7" t="s">
        <v>0</v>
      </c>
      <c r="AN117" s="7" t="s">
        <v>0</v>
      </c>
      <c r="AO117" s="7" t="s">
        <v>0</v>
      </c>
      <c r="AP117" s="7" t="s">
        <v>0</v>
      </c>
      <c r="AQ117" s="7" t="s">
        <v>0</v>
      </c>
      <c r="AR117" s="7" t="s">
        <v>0</v>
      </c>
      <c r="AS117" s="7" t="s">
        <v>0</v>
      </c>
      <c r="AT117" s="7" t="s">
        <v>0</v>
      </c>
      <c r="AU117" s="7" t="s">
        <v>0</v>
      </c>
      <c r="AV117" s="7" t="s">
        <v>0</v>
      </c>
      <c r="AW117" s="7" t="s">
        <v>0</v>
      </c>
      <c r="AX117" s="7" t="s">
        <v>0</v>
      </c>
      <c r="AY117" s="7" t="s">
        <v>0</v>
      </c>
      <c r="AZ117" s="7" t="s">
        <v>0</v>
      </c>
      <c r="BA117" s="7" t="s">
        <v>0</v>
      </c>
      <c r="BB117" s="7" t="s">
        <v>0</v>
      </c>
      <c r="BC117" s="7" t="s">
        <v>0</v>
      </c>
      <c r="BD117" s="7" t="s">
        <v>0</v>
      </c>
      <c r="BE117" s="7" t="s">
        <v>0</v>
      </c>
      <c r="BF117" s="7" t="s">
        <v>0</v>
      </c>
      <c r="BG117" s="7" t="s">
        <v>0</v>
      </c>
      <c r="BH117" s="7" t="s">
        <v>0</v>
      </c>
      <c r="BI117" s="8"/>
    </row>
    <row r="118" spans="1:61" x14ac:dyDescent="0.25">
      <c r="A118" s="22">
        <f t="shared" si="9"/>
        <v>112</v>
      </c>
      <c r="B118" s="214" t="str">
        <f t="shared" ref="B118:B145" si="12">IF(F118=$F$7,G119,B117)</f>
        <v>F0013548009</v>
      </c>
      <c r="C118" s="214" t="str">
        <f t="shared" ref="C118:C144" si="13">IF(F118=$F$7,G120,C117)</f>
        <v>82115-0E460.</v>
      </c>
      <c r="D118" s="45" t="str">
        <f>VLOOKUP(B118,'Timing Table'!B:J,9,0)</f>
        <v>C/O</v>
      </c>
      <c r="E118" s="22" t="str">
        <f>VLOOKUP(B118,'Timing Table'!B:H,7,0)</f>
        <v>GAS</v>
      </c>
      <c r="F118" s="121" t="s">
        <v>64</v>
      </c>
      <c r="G118" s="146" t="s">
        <v>174</v>
      </c>
      <c r="H118" s="121" t="s">
        <v>65</v>
      </c>
      <c r="I118" s="150" t="s">
        <v>200</v>
      </c>
      <c r="J118" s="151"/>
      <c r="K118" s="151"/>
      <c r="L118" s="152"/>
      <c r="M118" s="121" t="s">
        <v>66</v>
      </c>
      <c r="N118" s="146">
        <v>2023</v>
      </c>
      <c r="O118" s="140" t="s">
        <v>67</v>
      </c>
      <c r="P118" s="141"/>
      <c r="Q118" s="153" t="s">
        <v>198</v>
      </c>
      <c r="R118" s="122" t="s">
        <v>0</v>
      </c>
      <c r="S118" s="123" t="s">
        <v>0</v>
      </c>
      <c r="T118" s="123" t="s">
        <v>0</v>
      </c>
      <c r="U118" s="123" t="s">
        <v>0</v>
      </c>
      <c r="V118" s="123" t="s">
        <v>0</v>
      </c>
      <c r="W118" s="123" t="s">
        <v>0</v>
      </c>
      <c r="X118" s="123" t="s">
        <v>0</v>
      </c>
      <c r="Y118" s="123" t="s">
        <v>0</v>
      </c>
      <c r="Z118" s="123" t="s">
        <v>0</v>
      </c>
      <c r="AA118" s="123" t="s">
        <v>0</v>
      </c>
      <c r="AB118" s="123" t="s">
        <v>0</v>
      </c>
      <c r="AC118" s="123" t="s">
        <v>0</v>
      </c>
      <c r="AD118" s="123" t="s">
        <v>0</v>
      </c>
      <c r="AE118" s="123" t="s">
        <v>0</v>
      </c>
      <c r="AF118" s="123" t="s">
        <v>0</v>
      </c>
      <c r="AG118" s="123" t="s">
        <v>0</v>
      </c>
      <c r="AH118" s="123" t="s">
        <v>0</v>
      </c>
      <c r="AI118" s="123" t="s">
        <v>0</v>
      </c>
      <c r="AJ118" s="123" t="s">
        <v>0</v>
      </c>
      <c r="AK118" s="123" t="s">
        <v>0</v>
      </c>
      <c r="AL118" s="123" t="s">
        <v>0</v>
      </c>
      <c r="AM118" s="123" t="s">
        <v>0</v>
      </c>
      <c r="AN118" s="123" t="s">
        <v>0</v>
      </c>
      <c r="AO118" s="123" t="s">
        <v>0</v>
      </c>
      <c r="AP118" s="123" t="s">
        <v>0</v>
      </c>
      <c r="AQ118" s="123" t="s">
        <v>0</v>
      </c>
      <c r="AR118" s="123" t="s">
        <v>0</v>
      </c>
      <c r="AS118" s="123" t="s">
        <v>0</v>
      </c>
      <c r="AT118" s="123" t="s">
        <v>0</v>
      </c>
      <c r="AU118" s="123" t="s">
        <v>0</v>
      </c>
      <c r="AV118" s="123" t="s">
        <v>0</v>
      </c>
      <c r="AW118" s="123" t="s">
        <v>0</v>
      </c>
      <c r="AX118" s="123" t="s">
        <v>0</v>
      </c>
      <c r="AY118" s="123" t="s">
        <v>0</v>
      </c>
      <c r="AZ118" s="123" t="s">
        <v>0</v>
      </c>
      <c r="BA118" s="123" t="s">
        <v>0</v>
      </c>
      <c r="BB118" s="123" t="s">
        <v>0</v>
      </c>
      <c r="BC118" s="123" t="s">
        <v>0</v>
      </c>
      <c r="BD118" s="123" t="s">
        <v>0</v>
      </c>
      <c r="BE118" s="123" t="s">
        <v>0</v>
      </c>
      <c r="BF118" s="123" t="s">
        <v>0</v>
      </c>
      <c r="BG118" s="123" t="s">
        <v>0</v>
      </c>
      <c r="BH118" s="123" t="s">
        <v>0</v>
      </c>
      <c r="BI118" s="124"/>
    </row>
    <row r="119" spans="1:61" x14ac:dyDescent="0.25">
      <c r="A119" s="22">
        <f t="shared" si="9"/>
        <v>113</v>
      </c>
      <c r="B119" s="214" t="str">
        <f t="shared" si="12"/>
        <v>F0013548009</v>
      </c>
      <c r="C119" s="214" t="str">
        <f t="shared" si="13"/>
        <v>82115-0E460.</v>
      </c>
      <c r="D119" s="45" t="str">
        <f>VLOOKUP(B119,'Timing Table'!B:J,9,0)</f>
        <v>C/O</v>
      </c>
      <c r="E119" s="22" t="str">
        <f>VLOOKUP(B119,'Timing Table'!B:H,7,0)</f>
        <v>GAS</v>
      </c>
      <c r="F119" s="121" t="s">
        <v>68</v>
      </c>
      <c r="G119" s="146" t="s">
        <v>340</v>
      </c>
      <c r="H119" s="121" t="s">
        <v>69</v>
      </c>
      <c r="I119" s="154" t="s">
        <v>58</v>
      </c>
      <c r="J119" s="155" t="s">
        <v>0</v>
      </c>
      <c r="K119" s="156" t="s">
        <v>0</v>
      </c>
      <c r="L119" s="157" t="s">
        <v>0</v>
      </c>
      <c r="M119" s="134" t="s">
        <v>0</v>
      </c>
      <c r="N119" s="134" t="s">
        <v>0</v>
      </c>
      <c r="O119" s="134" t="s">
        <v>0</v>
      </c>
      <c r="P119" s="134" t="s">
        <v>0</v>
      </c>
      <c r="Q119" s="134" t="s">
        <v>1</v>
      </c>
      <c r="R119" s="134" t="s">
        <v>2</v>
      </c>
      <c r="S119" s="134" t="s">
        <v>0</v>
      </c>
      <c r="T119" s="134" t="s">
        <v>0</v>
      </c>
      <c r="U119" s="134" t="s">
        <v>0</v>
      </c>
      <c r="V119" s="134" t="s">
        <v>0</v>
      </c>
      <c r="W119" s="134" t="s">
        <v>0</v>
      </c>
      <c r="X119" s="134" t="s">
        <v>0</v>
      </c>
      <c r="Y119" s="134" t="s">
        <v>0</v>
      </c>
      <c r="Z119" s="134" t="s">
        <v>3</v>
      </c>
      <c r="AA119" s="134" t="s">
        <v>0</v>
      </c>
      <c r="AB119" s="134" t="s">
        <v>0</v>
      </c>
      <c r="AC119" s="134" t="s">
        <v>0</v>
      </c>
      <c r="AD119" s="134" t="s">
        <v>0</v>
      </c>
      <c r="AE119" s="134" t="s">
        <v>0</v>
      </c>
      <c r="AF119" s="134" t="s">
        <v>0</v>
      </c>
      <c r="AG119" s="134" t="s">
        <v>0</v>
      </c>
      <c r="AH119" s="134" t="s">
        <v>0</v>
      </c>
      <c r="AI119" s="134" t="s">
        <v>0</v>
      </c>
      <c r="AJ119" s="134" t="s">
        <v>0</v>
      </c>
      <c r="AK119" s="134" t="s">
        <v>0</v>
      </c>
      <c r="AL119" s="134" t="s">
        <v>0</v>
      </c>
      <c r="AM119" s="134" t="s">
        <v>0</v>
      </c>
      <c r="AN119" s="134" t="s">
        <v>0</v>
      </c>
      <c r="AO119" s="134" t="s">
        <v>0</v>
      </c>
      <c r="AP119" s="134" t="s">
        <v>0</v>
      </c>
      <c r="AQ119" s="134" t="s">
        <v>0</v>
      </c>
      <c r="AR119" s="134" t="s">
        <v>0</v>
      </c>
      <c r="AS119" s="134" t="s">
        <v>0</v>
      </c>
      <c r="AT119" s="134" t="s">
        <v>0</v>
      </c>
      <c r="AU119" s="134" t="s">
        <v>0</v>
      </c>
      <c r="AV119" s="134" t="s">
        <v>0</v>
      </c>
      <c r="AW119" s="134" t="s">
        <v>0</v>
      </c>
      <c r="AX119" s="134" t="s">
        <v>0</v>
      </c>
      <c r="AY119" s="134" t="s">
        <v>0</v>
      </c>
      <c r="AZ119" s="134" t="s">
        <v>0</v>
      </c>
      <c r="BA119" s="134" t="s">
        <v>0</v>
      </c>
      <c r="BB119" s="134" t="s">
        <v>0</v>
      </c>
      <c r="BC119" s="134" t="s">
        <v>0</v>
      </c>
      <c r="BD119" s="134" t="s">
        <v>0</v>
      </c>
      <c r="BE119" s="134" t="s">
        <v>0</v>
      </c>
      <c r="BF119" s="134" t="s">
        <v>0</v>
      </c>
      <c r="BG119" s="134" t="s">
        <v>0</v>
      </c>
      <c r="BH119" s="134" t="s">
        <v>0</v>
      </c>
      <c r="BI119" s="135" t="s">
        <v>4</v>
      </c>
    </row>
    <row r="120" spans="1:61" x14ac:dyDescent="0.25">
      <c r="A120" s="22">
        <f t="shared" si="9"/>
        <v>114</v>
      </c>
      <c r="B120" s="214" t="str">
        <f t="shared" si="12"/>
        <v>F0013548009</v>
      </c>
      <c r="C120" s="214" t="str">
        <f t="shared" si="13"/>
        <v>82115-0E460.</v>
      </c>
      <c r="D120" s="45" t="str">
        <f>VLOOKUP(B120,'Timing Table'!B:J,9,0)</f>
        <v>C/O</v>
      </c>
      <c r="E120" s="22" t="str">
        <f>VLOOKUP(B120,'Timing Table'!B:H,7,0)</f>
        <v>GAS</v>
      </c>
      <c r="F120" s="121" t="s">
        <v>70</v>
      </c>
      <c r="G120" s="146">
        <v>18912</v>
      </c>
      <c r="H120" s="158" t="s">
        <v>240</v>
      </c>
      <c r="I120" s="159" t="s">
        <v>71</v>
      </c>
      <c r="J120" s="13">
        <v>46041</v>
      </c>
      <c r="K120" s="14">
        <v>46048</v>
      </c>
      <c r="L120" s="14">
        <v>46055</v>
      </c>
      <c r="M120" s="14">
        <v>46062</v>
      </c>
      <c r="N120" s="14">
        <v>46069</v>
      </c>
      <c r="O120" s="14">
        <v>46076</v>
      </c>
      <c r="P120" s="14">
        <v>46083</v>
      </c>
      <c r="Q120" s="14">
        <v>46090</v>
      </c>
      <c r="R120" s="14">
        <v>46097</v>
      </c>
      <c r="S120" s="14">
        <v>46104</v>
      </c>
      <c r="T120" s="14">
        <v>46111</v>
      </c>
      <c r="U120" s="14">
        <v>46118</v>
      </c>
      <c r="V120" s="14">
        <v>46125</v>
      </c>
      <c r="W120" s="14">
        <v>46132</v>
      </c>
      <c r="X120" s="14">
        <v>46139</v>
      </c>
      <c r="Y120" s="14">
        <v>46146</v>
      </c>
      <c r="Z120" s="14">
        <v>46153</v>
      </c>
      <c r="AA120" s="14">
        <v>46160</v>
      </c>
      <c r="AB120" s="14">
        <v>46167</v>
      </c>
      <c r="AC120" s="14">
        <v>46174</v>
      </c>
      <c r="AD120" s="14">
        <v>46181</v>
      </c>
      <c r="AE120" s="14">
        <v>46188</v>
      </c>
      <c r="AF120" s="14">
        <v>46195</v>
      </c>
      <c r="AG120" s="14">
        <v>46202</v>
      </c>
      <c r="AH120" s="14">
        <v>46209</v>
      </c>
      <c r="AI120" s="14">
        <v>46216</v>
      </c>
      <c r="AJ120" s="14">
        <v>46223</v>
      </c>
      <c r="AK120" s="14">
        <v>46230</v>
      </c>
      <c r="AL120" s="14">
        <v>46237</v>
      </c>
      <c r="AM120" s="14">
        <v>46244</v>
      </c>
      <c r="AN120" s="14">
        <v>46251</v>
      </c>
      <c r="AO120" s="14">
        <v>46258</v>
      </c>
      <c r="AP120" s="14">
        <v>46265</v>
      </c>
      <c r="AQ120" s="14">
        <v>46272</v>
      </c>
      <c r="AR120" s="14">
        <v>46279</v>
      </c>
      <c r="AS120" s="14">
        <v>46286</v>
      </c>
      <c r="AT120" s="14">
        <v>46293</v>
      </c>
      <c r="AU120" s="14">
        <v>46300</v>
      </c>
      <c r="AV120" s="14">
        <v>46307</v>
      </c>
      <c r="AW120" s="14">
        <v>46314</v>
      </c>
      <c r="AX120" s="14">
        <v>46321</v>
      </c>
      <c r="AY120" s="14">
        <v>46328</v>
      </c>
      <c r="AZ120" s="14">
        <v>46335</v>
      </c>
      <c r="BA120" s="14">
        <v>46342</v>
      </c>
      <c r="BB120" s="14">
        <v>46349</v>
      </c>
      <c r="BC120" s="14">
        <v>46356</v>
      </c>
      <c r="BD120" s="14">
        <v>46363</v>
      </c>
      <c r="BE120" s="14">
        <v>46370</v>
      </c>
      <c r="BF120" s="14">
        <v>46377</v>
      </c>
      <c r="BG120" s="14">
        <v>46384</v>
      </c>
      <c r="BH120" s="14">
        <v>46391</v>
      </c>
      <c r="BI120" s="15">
        <v>46398</v>
      </c>
    </row>
    <row r="121" spans="1:61" x14ac:dyDescent="0.25">
      <c r="A121" s="22">
        <f t="shared" si="9"/>
        <v>115</v>
      </c>
      <c r="B121" s="214" t="str">
        <f t="shared" si="12"/>
        <v>F0013548009</v>
      </c>
      <c r="C121" s="214" t="str">
        <f t="shared" si="13"/>
        <v>82115-0E460.</v>
      </c>
      <c r="D121" s="45" t="str">
        <f>VLOOKUP(B121,'Timing Table'!B:J,9,0)</f>
        <v>C/O</v>
      </c>
      <c r="E121" s="22" t="str">
        <f>VLOOKUP(B121,'Timing Table'!B:H,7,0)</f>
        <v>GAS</v>
      </c>
      <c r="F121" s="121" t="s">
        <v>72</v>
      </c>
      <c r="G121" s="146">
        <v>19908</v>
      </c>
      <c r="H121" s="5" t="s">
        <v>58</v>
      </c>
      <c r="I121" s="11" t="s">
        <v>83</v>
      </c>
      <c r="J121" s="16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17"/>
    </row>
    <row r="122" spans="1:61" x14ac:dyDescent="0.25">
      <c r="A122" s="22">
        <f t="shared" si="9"/>
        <v>116</v>
      </c>
      <c r="B122" s="214" t="str">
        <f t="shared" si="12"/>
        <v>F0013548009</v>
      </c>
      <c r="C122" s="214" t="str">
        <f t="shared" si="13"/>
        <v>82115-0E460.</v>
      </c>
      <c r="D122" s="45" t="str">
        <f>VLOOKUP(B122,'Timing Table'!B:J,9,0)</f>
        <v>C/O</v>
      </c>
      <c r="E122" s="22" t="str">
        <f>VLOOKUP(B122,'Timing Table'!B:H,7,0)</f>
        <v>GAS</v>
      </c>
      <c r="F122" s="121" t="s">
        <v>73</v>
      </c>
      <c r="G122" s="160" t="s">
        <v>91</v>
      </c>
      <c r="H122" s="9" t="s">
        <v>90</v>
      </c>
      <c r="I122" s="11" t="s">
        <v>74</v>
      </c>
      <c r="J122" s="117">
        <v>896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  <c r="Q122" s="50">
        <v>0</v>
      </c>
      <c r="R122" s="50">
        <v>0</v>
      </c>
      <c r="S122" s="50">
        <v>0</v>
      </c>
      <c r="T122" s="50">
        <v>0</v>
      </c>
      <c r="U122" s="50">
        <v>0</v>
      </c>
      <c r="V122" s="50">
        <v>0</v>
      </c>
      <c r="W122" s="50">
        <v>0</v>
      </c>
      <c r="X122" s="50">
        <v>0</v>
      </c>
      <c r="Y122" s="50">
        <v>0</v>
      </c>
      <c r="Z122" s="50">
        <v>0</v>
      </c>
      <c r="AA122" s="50">
        <v>0</v>
      </c>
      <c r="AB122" s="50">
        <v>0</v>
      </c>
      <c r="AC122" s="50">
        <v>0</v>
      </c>
      <c r="AD122" s="50">
        <v>0</v>
      </c>
      <c r="AE122" s="50">
        <v>0</v>
      </c>
      <c r="AF122" s="50">
        <v>0</v>
      </c>
      <c r="AG122" s="50">
        <v>0</v>
      </c>
      <c r="AH122" s="50">
        <v>0</v>
      </c>
      <c r="AI122" s="50">
        <v>0</v>
      </c>
      <c r="AJ122" s="50">
        <v>0</v>
      </c>
      <c r="AK122" s="50">
        <v>0</v>
      </c>
      <c r="AL122" s="50">
        <v>0</v>
      </c>
      <c r="AM122" s="50">
        <v>0</v>
      </c>
      <c r="AN122" s="50">
        <v>0</v>
      </c>
      <c r="AO122" s="50">
        <v>0</v>
      </c>
      <c r="AP122" s="50">
        <v>0</v>
      </c>
      <c r="AQ122" s="50">
        <v>0</v>
      </c>
      <c r="AR122" s="50">
        <v>0</v>
      </c>
      <c r="AS122" s="50">
        <v>0</v>
      </c>
      <c r="AT122" s="50">
        <v>0</v>
      </c>
      <c r="AU122" s="50">
        <v>0</v>
      </c>
      <c r="AV122" s="50">
        <v>0</v>
      </c>
      <c r="AW122" s="50">
        <v>0</v>
      </c>
      <c r="AX122" s="50">
        <v>0</v>
      </c>
      <c r="AY122" s="50">
        <v>0</v>
      </c>
      <c r="AZ122" s="50">
        <v>0</v>
      </c>
      <c r="BA122" s="50">
        <v>0</v>
      </c>
      <c r="BB122" s="50">
        <v>0</v>
      </c>
      <c r="BC122" s="50">
        <v>0</v>
      </c>
      <c r="BD122" s="50">
        <v>0</v>
      </c>
      <c r="BE122" s="50">
        <v>0</v>
      </c>
      <c r="BF122" s="50">
        <v>0</v>
      </c>
      <c r="BG122" s="50">
        <v>0</v>
      </c>
      <c r="BH122" s="50">
        <v>0</v>
      </c>
      <c r="BI122" s="118">
        <v>0</v>
      </c>
    </row>
    <row r="123" spans="1:61" x14ac:dyDescent="0.25">
      <c r="A123" s="22">
        <f t="shared" si="9"/>
        <v>117</v>
      </c>
      <c r="B123" s="214" t="str">
        <f t="shared" si="12"/>
        <v>F0013548009</v>
      </c>
      <c r="C123" s="214" t="str">
        <f t="shared" si="13"/>
        <v>82115-0E460.</v>
      </c>
      <c r="D123" s="45" t="str">
        <f>VLOOKUP(B123,'Timing Table'!B:J,9,0)</f>
        <v>C/O</v>
      </c>
      <c r="E123" s="22" t="str">
        <f>VLOOKUP(B123,'Timing Table'!B:H,7,0)</f>
        <v>GAS</v>
      </c>
      <c r="F123" s="121" t="s">
        <v>75</v>
      </c>
      <c r="G123" s="146">
        <v>82115</v>
      </c>
      <c r="H123" s="10" t="s">
        <v>90</v>
      </c>
      <c r="I123" s="12" t="s">
        <v>76</v>
      </c>
      <c r="J123" s="161">
        <v>18912</v>
      </c>
      <c r="K123" s="162">
        <v>18912</v>
      </c>
      <c r="L123" s="162">
        <v>18912</v>
      </c>
      <c r="M123" s="162">
        <v>18912</v>
      </c>
      <c r="N123" s="162">
        <v>18912</v>
      </c>
      <c r="O123" s="162">
        <v>18912</v>
      </c>
      <c r="P123" s="162">
        <v>18912</v>
      </c>
      <c r="Q123" s="162">
        <v>18912</v>
      </c>
      <c r="R123" s="162">
        <v>18912</v>
      </c>
      <c r="S123" s="162">
        <v>18912</v>
      </c>
      <c r="T123" s="162">
        <v>18912</v>
      </c>
      <c r="U123" s="162">
        <v>18912</v>
      </c>
      <c r="V123" s="162">
        <v>18912</v>
      </c>
      <c r="W123" s="162">
        <v>18912</v>
      </c>
      <c r="X123" s="162">
        <v>18912</v>
      </c>
      <c r="Y123" s="162">
        <v>18912</v>
      </c>
      <c r="Z123" s="162">
        <v>18912</v>
      </c>
      <c r="AA123" s="162">
        <v>18912</v>
      </c>
      <c r="AB123" s="162">
        <v>18912</v>
      </c>
      <c r="AC123" s="162">
        <v>18912</v>
      </c>
      <c r="AD123" s="162">
        <v>18912</v>
      </c>
      <c r="AE123" s="162">
        <v>18912</v>
      </c>
      <c r="AF123" s="162">
        <v>18912</v>
      </c>
      <c r="AG123" s="162">
        <v>18912</v>
      </c>
      <c r="AH123" s="162">
        <v>18912</v>
      </c>
      <c r="AI123" s="162">
        <v>18912</v>
      </c>
      <c r="AJ123" s="162">
        <v>18912</v>
      </c>
      <c r="AK123" s="162">
        <v>18912</v>
      </c>
      <c r="AL123" s="162">
        <v>18912</v>
      </c>
      <c r="AM123" s="162">
        <v>18912</v>
      </c>
      <c r="AN123" s="162">
        <v>18912</v>
      </c>
      <c r="AO123" s="162">
        <v>18912</v>
      </c>
      <c r="AP123" s="162">
        <v>18912</v>
      </c>
      <c r="AQ123" s="162">
        <v>18912</v>
      </c>
      <c r="AR123" s="162">
        <v>18912</v>
      </c>
      <c r="AS123" s="162">
        <v>18912</v>
      </c>
      <c r="AT123" s="162">
        <v>18912</v>
      </c>
      <c r="AU123" s="162">
        <v>18912</v>
      </c>
      <c r="AV123" s="162">
        <v>18912</v>
      </c>
      <c r="AW123" s="162">
        <v>18912</v>
      </c>
      <c r="AX123" s="162">
        <v>18912</v>
      </c>
      <c r="AY123" s="162">
        <v>18912</v>
      </c>
      <c r="AZ123" s="162">
        <v>18912</v>
      </c>
      <c r="BA123" s="162">
        <v>18912</v>
      </c>
      <c r="BB123" s="162">
        <v>18912</v>
      </c>
      <c r="BC123" s="162">
        <v>18912</v>
      </c>
      <c r="BD123" s="162">
        <v>18912</v>
      </c>
      <c r="BE123" s="162">
        <v>18912</v>
      </c>
      <c r="BF123" s="162">
        <v>18912</v>
      </c>
      <c r="BG123" s="162">
        <v>18912</v>
      </c>
      <c r="BH123" s="162">
        <v>18912</v>
      </c>
      <c r="BI123" s="162">
        <v>18912</v>
      </c>
    </row>
    <row r="124" spans="1:61" x14ac:dyDescent="0.25">
      <c r="A124" s="22">
        <f t="shared" si="9"/>
        <v>118</v>
      </c>
      <c r="B124" s="214" t="str">
        <f t="shared" si="12"/>
        <v>F0013548009</v>
      </c>
      <c r="C124" s="214" t="str">
        <f t="shared" si="13"/>
        <v>82115-0E460.</v>
      </c>
      <c r="D124" s="45" t="str">
        <f>VLOOKUP(B124,'Timing Table'!B:J,9,0)</f>
        <v>C/O</v>
      </c>
      <c r="E124" s="22" t="str">
        <f>VLOOKUP(B124,'Timing Table'!B:H,7,0)</f>
        <v>GAS</v>
      </c>
      <c r="F124" s="164" t="s">
        <v>77</v>
      </c>
      <c r="G124" s="165">
        <v>18016</v>
      </c>
      <c r="H124" s="166" t="s">
        <v>78</v>
      </c>
      <c r="I124" s="167"/>
      <c r="J124" s="168" t="s">
        <v>309</v>
      </c>
      <c r="K124" s="169"/>
      <c r="L124" s="170" t="s">
        <v>0</v>
      </c>
      <c r="M124" s="170" t="s">
        <v>0</v>
      </c>
      <c r="N124" s="170" t="s">
        <v>0</v>
      </c>
      <c r="O124" s="170" t="s">
        <v>0</v>
      </c>
      <c r="P124" s="170" t="s">
        <v>0</v>
      </c>
      <c r="Q124" s="170" t="s">
        <v>0</v>
      </c>
      <c r="R124" s="170" t="s">
        <v>0</v>
      </c>
      <c r="S124" s="170" t="s">
        <v>0</v>
      </c>
      <c r="T124" s="170" t="s">
        <v>0</v>
      </c>
      <c r="U124" s="170" t="s">
        <v>0</v>
      </c>
      <c r="V124" s="170" t="s">
        <v>0</v>
      </c>
      <c r="W124" s="170" t="s">
        <v>0</v>
      </c>
      <c r="X124" s="170" t="s">
        <v>0</v>
      </c>
      <c r="Y124" s="170" t="s">
        <v>0</v>
      </c>
      <c r="Z124" s="170" t="s">
        <v>0</v>
      </c>
      <c r="AA124" s="170" t="s">
        <v>0</v>
      </c>
      <c r="AB124" s="170" t="s">
        <v>0</v>
      </c>
      <c r="AC124" s="170" t="s">
        <v>0</v>
      </c>
      <c r="AD124" s="170" t="s">
        <v>0</v>
      </c>
      <c r="AE124" s="170" t="s">
        <v>0</v>
      </c>
      <c r="AF124" s="170" t="s">
        <v>0</v>
      </c>
      <c r="AG124" s="170" t="s">
        <v>0</v>
      </c>
      <c r="AH124" s="170" t="s">
        <v>0</v>
      </c>
      <c r="AI124" s="170" t="s">
        <v>0</v>
      </c>
      <c r="AJ124" s="170" t="s">
        <v>0</v>
      </c>
      <c r="AK124" s="170" t="s">
        <v>0</v>
      </c>
      <c r="AL124" s="170" t="s">
        <v>0</v>
      </c>
      <c r="AM124" s="170" t="s">
        <v>0</v>
      </c>
      <c r="AN124" s="170" t="s">
        <v>0</v>
      </c>
      <c r="AO124" s="170" t="s">
        <v>0</v>
      </c>
      <c r="AP124" s="170" t="s">
        <v>0</v>
      </c>
      <c r="AQ124" s="170" t="s">
        <v>0</v>
      </c>
      <c r="AR124" s="170" t="s">
        <v>0</v>
      </c>
      <c r="AS124" s="170" t="s">
        <v>0</v>
      </c>
      <c r="AT124" s="170" t="s">
        <v>0</v>
      </c>
      <c r="AU124" s="170" t="s">
        <v>0</v>
      </c>
      <c r="AV124" s="170" t="s">
        <v>0</v>
      </c>
      <c r="AW124" s="170" t="s">
        <v>0</v>
      </c>
      <c r="AX124" s="170" t="s">
        <v>0</v>
      </c>
      <c r="AY124" s="170" t="s">
        <v>0</v>
      </c>
      <c r="AZ124" s="170" t="s">
        <v>0</v>
      </c>
      <c r="BA124" s="170" t="s">
        <v>0</v>
      </c>
      <c r="BB124" s="170" t="s">
        <v>0</v>
      </c>
      <c r="BC124" s="170" t="s">
        <v>0</v>
      </c>
      <c r="BD124" s="170" t="s">
        <v>0</v>
      </c>
      <c r="BE124" s="170" t="s">
        <v>0</v>
      </c>
      <c r="BF124" s="170" t="s">
        <v>0</v>
      </c>
      <c r="BG124" s="170" t="s">
        <v>0</v>
      </c>
      <c r="BH124" s="170" t="s">
        <v>0</v>
      </c>
      <c r="BI124" s="171"/>
    </row>
    <row r="125" spans="1:61" x14ac:dyDescent="0.25">
      <c r="A125" s="22">
        <f t="shared" si="9"/>
        <v>119</v>
      </c>
      <c r="B125" s="214" t="str">
        <f t="shared" si="12"/>
        <v>F0013548009</v>
      </c>
      <c r="C125" s="214" t="str">
        <f t="shared" si="13"/>
        <v>82115-0E460.</v>
      </c>
      <c r="D125" s="45" t="str">
        <f>VLOOKUP(B125,'Timing Table'!B:J,9,0)</f>
        <v>C/O</v>
      </c>
      <c r="E125" s="22" t="str">
        <f>VLOOKUP(B125,'Timing Table'!B:H,7,0)</f>
        <v>GAS</v>
      </c>
      <c r="F125" s="172" t="s">
        <v>79</v>
      </c>
      <c r="G125" s="173" t="s">
        <v>58</v>
      </c>
      <c r="H125" s="174" t="s">
        <v>58</v>
      </c>
      <c r="I125" s="175" t="s">
        <v>58</v>
      </c>
      <c r="J125" s="175" t="s">
        <v>0</v>
      </c>
      <c r="K125" s="175" t="s">
        <v>0</v>
      </c>
      <c r="L125" s="175" t="s">
        <v>0</v>
      </c>
      <c r="M125" s="175" t="s">
        <v>0</v>
      </c>
      <c r="N125" s="175" t="s">
        <v>0</v>
      </c>
      <c r="O125" s="175" t="s">
        <v>0</v>
      </c>
      <c r="P125" s="175" t="s">
        <v>0</v>
      </c>
      <c r="Q125" s="175" t="s">
        <v>0</v>
      </c>
      <c r="R125" s="175" t="s">
        <v>0</v>
      </c>
      <c r="S125" s="175" t="s">
        <v>0</v>
      </c>
      <c r="T125" s="175" t="s">
        <v>0</v>
      </c>
      <c r="U125" s="175" t="s">
        <v>0</v>
      </c>
      <c r="V125" s="175" t="s">
        <v>0</v>
      </c>
      <c r="W125" s="175" t="s">
        <v>0</v>
      </c>
      <c r="X125" s="175" t="s">
        <v>0</v>
      </c>
      <c r="Y125" s="175" t="s">
        <v>0</v>
      </c>
      <c r="Z125" s="175" t="s">
        <v>0</v>
      </c>
      <c r="AA125" s="175" t="s">
        <v>0</v>
      </c>
      <c r="AB125" s="175" t="s">
        <v>0</v>
      </c>
      <c r="AC125" s="175" t="s">
        <v>0</v>
      </c>
      <c r="AD125" s="175" t="s">
        <v>0</v>
      </c>
      <c r="AE125" s="175" t="s">
        <v>0</v>
      </c>
      <c r="AF125" s="175" t="s">
        <v>0</v>
      </c>
      <c r="AG125" s="175" t="s">
        <v>0</v>
      </c>
      <c r="AH125" s="175" t="s">
        <v>0</v>
      </c>
      <c r="AI125" s="175" t="s">
        <v>0</v>
      </c>
      <c r="AJ125" s="175" t="s">
        <v>0</v>
      </c>
      <c r="AK125" s="175" t="s">
        <v>0</v>
      </c>
      <c r="AL125" s="175" t="s">
        <v>0</v>
      </c>
      <c r="AM125" s="175" t="s">
        <v>0</v>
      </c>
      <c r="AN125" s="175" t="s">
        <v>0</v>
      </c>
      <c r="AO125" s="175" t="s">
        <v>0</v>
      </c>
      <c r="AP125" s="175" t="s">
        <v>0</v>
      </c>
      <c r="AQ125" s="175" t="s">
        <v>0</v>
      </c>
      <c r="AR125" s="175" t="s">
        <v>0</v>
      </c>
      <c r="AS125" s="175" t="s">
        <v>0</v>
      </c>
      <c r="AT125" s="175" t="s">
        <v>0</v>
      </c>
      <c r="AU125" s="175" t="s">
        <v>0</v>
      </c>
      <c r="AV125" s="175" t="s">
        <v>0</v>
      </c>
      <c r="AW125" s="175" t="s">
        <v>0</v>
      </c>
      <c r="AX125" s="175" t="s">
        <v>0</v>
      </c>
      <c r="AY125" s="175" t="s">
        <v>0</v>
      </c>
      <c r="AZ125" s="175" t="s">
        <v>0</v>
      </c>
      <c r="BA125" s="175" t="s">
        <v>0</v>
      </c>
      <c r="BB125" s="175" t="s">
        <v>0</v>
      </c>
      <c r="BC125" s="175" t="s">
        <v>0</v>
      </c>
      <c r="BD125" s="175" t="s">
        <v>0</v>
      </c>
      <c r="BE125" s="175" t="s">
        <v>0</v>
      </c>
      <c r="BF125" s="175" t="s">
        <v>0</v>
      </c>
      <c r="BG125" s="175" t="s">
        <v>0</v>
      </c>
      <c r="BH125" s="175" t="s">
        <v>0</v>
      </c>
      <c r="BI125" s="176"/>
    </row>
    <row r="126" spans="1:61" x14ac:dyDescent="0.25">
      <c r="A126" s="22">
        <f t="shared" si="9"/>
        <v>120</v>
      </c>
      <c r="B126" s="214" t="str">
        <f t="shared" si="12"/>
        <v>F0013548009</v>
      </c>
      <c r="C126" s="214" t="str">
        <f t="shared" si="13"/>
        <v>82115-0E460.</v>
      </c>
      <c r="D126" s="45" t="str">
        <f>VLOOKUP(B126,'Timing Table'!B:J,9,0)</f>
        <v>C/O</v>
      </c>
      <c r="E126" s="22" t="str">
        <f>VLOOKUP(B126,'Timing Table'!B:H,7,0)</f>
        <v>GAS</v>
      </c>
      <c r="F126" s="177" t="s">
        <v>58</v>
      </c>
      <c r="G126" s="178" t="s">
        <v>58</v>
      </c>
      <c r="H126" s="179" t="s">
        <v>58</v>
      </c>
      <c r="I126" s="180" t="s">
        <v>58</v>
      </c>
      <c r="J126" s="180" t="s">
        <v>0</v>
      </c>
      <c r="K126" s="180" t="s">
        <v>0</v>
      </c>
      <c r="L126" s="180" t="s">
        <v>0</v>
      </c>
      <c r="M126" s="180" t="s">
        <v>0</v>
      </c>
      <c r="N126" s="180" t="s">
        <v>0</v>
      </c>
      <c r="O126" s="180" t="s">
        <v>0</v>
      </c>
      <c r="P126" s="180" t="s">
        <v>0</v>
      </c>
      <c r="Q126" s="180" t="s">
        <v>0</v>
      </c>
      <c r="R126" s="180" t="s">
        <v>0</v>
      </c>
      <c r="S126" s="180" t="s">
        <v>0</v>
      </c>
      <c r="T126" s="180" t="s">
        <v>0</v>
      </c>
      <c r="U126" s="180" t="s">
        <v>0</v>
      </c>
      <c r="V126" s="180" t="s">
        <v>0</v>
      </c>
      <c r="W126" s="180" t="s">
        <v>0</v>
      </c>
      <c r="X126" s="180" t="s">
        <v>0</v>
      </c>
      <c r="Y126" s="180" t="s">
        <v>0</v>
      </c>
      <c r="Z126" s="180" t="s">
        <v>0</v>
      </c>
      <c r="AA126" s="180" t="s">
        <v>0</v>
      </c>
      <c r="AB126" s="180" t="s">
        <v>0</v>
      </c>
      <c r="AC126" s="180" t="s">
        <v>0</v>
      </c>
      <c r="AD126" s="180" t="s">
        <v>0</v>
      </c>
      <c r="AE126" s="180" t="s">
        <v>0</v>
      </c>
      <c r="AF126" s="180" t="s">
        <v>0</v>
      </c>
      <c r="AG126" s="180" t="s">
        <v>0</v>
      </c>
      <c r="AH126" s="180" t="s">
        <v>0</v>
      </c>
      <c r="AI126" s="180" t="s">
        <v>0</v>
      </c>
      <c r="AJ126" s="180" t="s">
        <v>0</v>
      </c>
      <c r="AK126" s="180" t="s">
        <v>0</v>
      </c>
      <c r="AL126" s="180" t="s">
        <v>0</v>
      </c>
      <c r="AM126" s="180" t="s">
        <v>0</v>
      </c>
      <c r="AN126" s="180" t="s">
        <v>0</v>
      </c>
      <c r="AO126" s="180" t="s">
        <v>0</v>
      </c>
      <c r="AP126" s="180" t="s">
        <v>0</v>
      </c>
      <c r="AQ126" s="180" t="s">
        <v>0</v>
      </c>
      <c r="AR126" s="180" t="s">
        <v>0</v>
      </c>
      <c r="AS126" s="180" t="s">
        <v>0</v>
      </c>
      <c r="AT126" s="180" t="s">
        <v>0</v>
      </c>
      <c r="AU126" s="180" t="s">
        <v>0</v>
      </c>
      <c r="AV126" s="180" t="s">
        <v>0</v>
      </c>
      <c r="AW126" s="180" t="s">
        <v>0</v>
      </c>
      <c r="AX126" s="180" t="s">
        <v>0</v>
      </c>
      <c r="AY126" s="180" t="s">
        <v>0</v>
      </c>
      <c r="AZ126" s="180" t="s">
        <v>0</v>
      </c>
      <c r="BA126" s="180" t="s">
        <v>0</v>
      </c>
      <c r="BB126" s="180" t="s">
        <v>0</v>
      </c>
      <c r="BC126" s="180" t="s">
        <v>0</v>
      </c>
      <c r="BD126" s="180" t="s">
        <v>0</v>
      </c>
      <c r="BE126" s="180" t="s">
        <v>0</v>
      </c>
      <c r="BF126" s="180" t="s">
        <v>0</v>
      </c>
      <c r="BG126" s="180" t="s">
        <v>0</v>
      </c>
      <c r="BH126" s="180" t="s">
        <v>0</v>
      </c>
      <c r="BI126" s="181"/>
    </row>
    <row r="127" spans="1:61" x14ac:dyDescent="0.25">
      <c r="A127" s="22">
        <f t="shared" si="9"/>
        <v>121</v>
      </c>
      <c r="B127" s="214" t="str">
        <f t="shared" si="12"/>
        <v>F0013548011</v>
      </c>
      <c r="C127" s="214" t="str">
        <f t="shared" si="13"/>
        <v>82115-0E460 L</v>
      </c>
      <c r="D127" s="45" t="str">
        <f>VLOOKUP(B127,'Timing Table'!B:J,9,0)</f>
        <v>C/O</v>
      </c>
      <c r="E127" s="22" t="str">
        <f>VLOOKUP(B127,'Timing Table'!B:H,7,0)</f>
        <v>GAS</v>
      </c>
      <c r="F127" s="121" t="s">
        <v>59</v>
      </c>
      <c r="G127" s="146">
        <v>5501065661</v>
      </c>
      <c r="H127" s="121" t="s">
        <v>60</v>
      </c>
      <c r="I127" s="146">
        <v>9</v>
      </c>
      <c r="J127" s="121" t="s">
        <v>61</v>
      </c>
      <c r="K127" s="125">
        <v>1179880</v>
      </c>
      <c r="L127" s="126"/>
      <c r="M127" s="147" t="s">
        <v>62</v>
      </c>
      <c r="N127" s="148"/>
      <c r="O127" s="149">
        <v>46086</v>
      </c>
      <c r="P127" s="121" t="s">
        <v>63</v>
      </c>
      <c r="Q127" s="146">
        <v>4</v>
      </c>
      <c r="R127" s="6" t="s">
        <v>0</v>
      </c>
      <c r="S127" s="7" t="s">
        <v>0</v>
      </c>
      <c r="T127" s="7" t="s">
        <v>0</v>
      </c>
      <c r="U127" s="7" t="s">
        <v>0</v>
      </c>
      <c r="V127" s="7" t="s">
        <v>0</v>
      </c>
      <c r="W127" s="7" t="s">
        <v>0</v>
      </c>
      <c r="X127" s="7" t="s">
        <v>0</v>
      </c>
      <c r="Y127" s="7" t="s">
        <v>0</v>
      </c>
      <c r="Z127" s="7" t="s">
        <v>0</v>
      </c>
      <c r="AA127" s="7" t="s">
        <v>0</v>
      </c>
      <c r="AB127" s="7" t="s">
        <v>0</v>
      </c>
      <c r="AC127" s="7" t="s">
        <v>0</v>
      </c>
      <c r="AD127" s="7" t="s">
        <v>0</v>
      </c>
      <c r="AE127" s="7" t="s">
        <v>0</v>
      </c>
      <c r="AF127" s="7" t="s">
        <v>0</v>
      </c>
      <c r="AG127" s="7" t="s">
        <v>0</v>
      </c>
      <c r="AH127" s="7" t="s">
        <v>0</v>
      </c>
      <c r="AI127" s="7" t="s">
        <v>0</v>
      </c>
      <c r="AJ127" s="7" t="s">
        <v>0</v>
      </c>
      <c r="AK127" s="7" t="s">
        <v>0</v>
      </c>
      <c r="AL127" s="7" t="s">
        <v>0</v>
      </c>
      <c r="AM127" s="7" t="s">
        <v>0</v>
      </c>
      <c r="AN127" s="7" t="s">
        <v>0</v>
      </c>
      <c r="AO127" s="7" t="s">
        <v>0</v>
      </c>
      <c r="AP127" s="7" t="s">
        <v>0</v>
      </c>
      <c r="AQ127" s="7" t="s">
        <v>0</v>
      </c>
      <c r="AR127" s="7" t="s">
        <v>0</v>
      </c>
      <c r="AS127" s="7" t="s">
        <v>0</v>
      </c>
      <c r="AT127" s="7" t="s">
        <v>0</v>
      </c>
      <c r="AU127" s="7" t="s">
        <v>0</v>
      </c>
      <c r="AV127" s="7" t="s">
        <v>0</v>
      </c>
      <c r="AW127" s="7" t="s">
        <v>0</v>
      </c>
      <c r="AX127" s="7" t="s">
        <v>0</v>
      </c>
      <c r="AY127" s="7" t="s">
        <v>0</v>
      </c>
      <c r="AZ127" s="7" t="s">
        <v>0</v>
      </c>
      <c r="BA127" s="7" t="s">
        <v>0</v>
      </c>
      <c r="BB127" s="7" t="s">
        <v>0</v>
      </c>
      <c r="BC127" s="7" t="s">
        <v>0</v>
      </c>
      <c r="BD127" s="7" t="s">
        <v>0</v>
      </c>
      <c r="BE127" s="7" t="s">
        <v>0</v>
      </c>
      <c r="BF127" s="7" t="s">
        <v>0</v>
      </c>
      <c r="BG127" s="7" t="s">
        <v>0</v>
      </c>
      <c r="BH127" s="7" t="s">
        <v>0</v>
      </c>
      <c r="BI127" s="8"/>
    </row>
    <row r="128" spans="1:61" x14ac:dyDescent="0.25">
      <c r="A128" s="22">
        <f t="shared" si="9"/>
        <v>122</v>
      </c>
      <c r="B128" s="214" t="str">
        <f t="shared" si="12"/>
        <v>F0013548011</v>
      </c>
      <c r="C128" s="214" t="str">
        <f t="shared" si="13"/>
        <v>82115-0E460 L</v>
      </c>
      <c r="D128" s="45" t="str">
        <f>VLOOKUP(B128,'Timing Table'!B:J,9,0)</f>
        <v>C/O</v>
      </c>
      <c r="E128" s="22" t="str">
        <f>VLOOKUP(B128,'Timing Table'!B:H,7,0)</f>
        <v>GAS</v>
      </c>
      <c r="F128" s="121" t="s">
        <v>64</v>
      </c>
      <c r="G128" s="146" t="s">
        <v>287</v>
      </c>
      <c r="H128" s="121" t="s">
        <v>65</v>
      </c>
      <c r="I128" s="150" t="s">
        <v>291</v>
      </c>
      <c r="J128" s="151"/>
      <c r="K128" s="151"/>
      <c r="L128" s="152"/>
      <c r="M128" s="121" t="s">
        <v>66</v>
      </c>
      <c r="N128" s="146">
        <v>2025</v>
      </c>
      <c r="O128" s="140" t="s">
        <v>67</v>
      </c>
      <c r="P128" s="141"/>
      <c r="Q128" s="153" t="s">
        <v>294</v>
      </c>
      <c r="R128" s="122" t="s">
        <v>0</v>
      </c>
      <c r="S128" s="123"/>
      <c r="T128" s="123"/>
      <c r="U128" s="123" t="s">
        <v>0</v>
      </c>
      <c r="V128" s="123" t="s">
        <v>0</v>
      </c>
      <c r="W128" s="123" t="s">
        <v>0</v>
      </c>
      <c r="X128" s="123" t="s">
        <v>0</v>
      </c>
      <c r="Y128" s="123" t="s">
        <v>0</v>
      </c>
      <c r="Z128" s="123" t="s">
        <v>0</v>
      </c>
      <c r="AA128" s="123" t="s">
        <v>0</v>
      </c>
      <c r="AB128" s="123" t="s">
        <v>0</v>
      </c>
      <c r="AC128" s="123" t="s">
        <v>0</v>
      </c>
      <c r="AD128" s="123" t="s">
        <v>0</v>
      </c>
      <c r="AE128" s="123" t="s">
        <v>0</v>
      </c>
      <c r="AF128" s="123" t="s">
        <v>0</v>
      </c>
      <c r="AG128" s="123" t="s">
        <v>0</v>
      </c>
      <c r="AH128" s="123" t="s">
        <v>0</v>
      </c>
      <c r="AI128" s="123" t="s">
        <v>0</v>
      </c>
      <c r="AJ128" s="123" t="s">
        <v>0</v>
      </c>
      <c r="AK128" s="123" t="s">
        <v>0</v>
      </c>
      <c r="AL128" s="123" t="s">
        <v>0</v>
      </c>
      <c r="AM128" s="123" t="s">
        <v>0</v>
      </c>
      <c r="AN128" s="123" t="s">
        <v>0</v>
      </c>
      <c r="AO128" s="123" t="s">
        <v>0</v>
      </c>
      <c r="AP128" s="123" t="s">
        <v>0</v>
      </c>
      <c r="AQ128" s="123" t="s">
        <v>0</v>
      </c>
      <c r="AR128" s="123" t="s">
        <v>0</v>
      </c>
      <c r="AS128" s="123" t="s">
        <v>0</v>
      </c>
      <c r="AT128" s="123" t="s">
        <v>0</v>
      </c>
      <c r="AU128" s="123" t="s">
        <v>0</v>
      </c>
      <c r="AV128" s="123" t="s">
        <v>0</v>
      </c>
      <c r="AW128" s="123" t="s">
        <v>0</v>
      </c>
      <c r="AX128" s="123" t="s">
        <v>0</v>
      </c>
      <c r="AY128" s="123" t="s">
        <v>0</v>
      </c>
      <c r="AZ128" s="123" t="s">
        <v>0</v>
      </c>
      <c r="BA128" s="123" t="s">
        <v>0</v>
      </c>
      <c r="BB128" s="123" t="s">
        <v>0</v>
      </c>
      <c r="BC128" s="123" t="s">
        <v>0</v>
      </c>
      <c r="BD128" s="123" t="s">
        <v>0</v>
      </c>
      <c r="BE128" s="123" t="s">
        <v>0</v>
      </c>
      <c r="BF128" s="123" t="s">
        <v>0</v>
      </c>
      <c r="BG128" s="123" t="s">
        <v>0</v>
      </c>
      <c r="BH128" s="123" t="s">
        <v>0</v>
      </c>
      <c r="BI128" s="124"/>
    </row>
    <row r="129" spans="1:61" x14ac:dyDescent="0.25">
      <c r="A129" s="22">
        <f t="shared" si="9"/>
        <v>123</v>
      </c>
      <c r="B129" s="214" t="str">
        <f t="shared" si="12"/>
        <v>F0013548011</v>
      </c>
      <c r="C129" s="214" t="str">
        <f t="shared" si="13"/>
        <v>82115-0E460 L</v>
      </c>
      <c r="D129" s="45" t="str">
        <f>VLOOKUP(B129,'Timing Table'!B:J,9,0)</f>
        <v>C/O</v>
      </c>
      <c r="E129" s="22" t="str">
        <f>VLOOKUP(B129,'Timing Table'!B:H,7,0)</f>
        <v>GAS</v>
      </c>
      <c r="F129" s="121" t="s">
        <v>68</v>
      </c>
      <c r="G129" s="146" t="s">
        <v>341</v>
      </c>
      <c r="H129" s="121" t="s">
        <v>69</v>
      </c>
      <c r="I129" s="154" t="s">
        <v>58</v>
      </c>
      <c r="J129" s="155" t="s">
        <v>0</v>
      </c>
      <c r="K129" s="156" t="s">
        <v>0</v>
      </c>
      <c r="L129" s="157" t="s">
        <v>0</v>
      </c>
      <c r="M129" s="134" t="s">
        <v>0</v>
      </c>
      <c r="N129" s="134" t="s">
        <v>0</v>
      </c>
      <c r="O129" s="134" t="s">
        <v>0</v>
      </c>
      <c r="P129" s="134" t="s">
        <v>0</v>
      </c>
      <c r="Q129" s="134" t="s">
        <v>1</v>
      </c>
      <c r="R129" s="134" t="s">
        <v>2</v>
      </c>
      <c r="S129" s="134" t="s">
        <v>0</v>
      </c>
      <c r="T129" s="134" t="s">
        <v>0</v>
      </c>
      <c r="U129" s="134" t="s">
        <v>0</v>
      </c>
      <c r="V129" s="134" t="s">
        <v>0</v>
      </c>
      <c r="W129" s="134" t="s">
        <v>0</v>
      </c>
      <c r="X129" s="134" t="s">
        <v>0</v>
      </c>
      <c r="Y129" s="134" t="s">
        <v>0</v>
      </c>
      <c r="Z129" s="134" t="s">
        <v>3</v>
      </c>
      <c r="AA129" s="134" t="s">
        <v>0</v>
      </c>
      <c r="AB129" s="134" t="s">
        <v>0</v>
      </c>
      <c r="AC129" s="134" t="s">
        <v>0</v>
      </c>
      <c r="AD129" s="134" t="s">
        <v>0</v>
      </c>
      <c r="AE129" s="134" t="s">
        <v>0</v>
      </c>
      <c r="AF129" s="134" t="s">
        <v>0</v>
      </c>
      <c r="AG129" s="134" t="s">
        <v>0</v>
      </c>
      <c r="AH129" s="134" t="s">
        <v>0</v>
      </c>
      <c r="AI129" s="134" t="s">
        <v>0</v>
      </c>
      <c r="AJ129" s="134" t="s">
        <v>0</v>
      </c>
      <c r="AK129" s="134" t="s">
        <v>0</v>
      </c>
      <c r="AL129" s="134" t="s">
        <v>0</v>
      </c>
      <c r="AM129" s="134" t="s">
        <v>0</v>
      </c>
      <c r="AN129" s="134" t="s">
        <v>0</v>
      </c>
      <c r="AO129" s="134" t="s">
        <v>0</v>
      </c>
      <c r="AP129" s="134" t="s">
        <v>0</v>
      </c>
      <c r="AQ129" s="134" t="s">
        <v>0</v>
      </c>
      <c r="AR129" s="134" t="s">
        <v>0</v>
      </c>
      <c r="AS129" s="134" t="s">
        <v>0</v>
      </c>
      <c r="AT129" s="134" t="s">
        <v>0</v>
      </c>
      <c r="AU129" s="134" t="s">
        <v>0</v>
      </c>
      <c r="AV129" s="134" t="s">
        <v>0</v>
      </c>
      <c r="AW129" s="134" t="s">
        <v>0</v>
      </c>
      <c r="AX129" s="134" t="s">
        <v>0</v>
      </c>
      <c r="AY129" s="134" t="s">
        <v>0</v>
      </c>
      <c r="AZ129" s="134" t="s">
        <v>0</v>
      </c>
      <c r="BA129" s="134" t="s">
        <v>0</v>
      </c>
      <c r="BB129" s="134" t="s">
        <v>0</v>
      </c>
      <c r="BC129" s="134" t="s">
        <v>0</v>
      </c>
      <c r="BD129" s="134" t="s">
        <v>0</v>
      </c>
      <c r="BE129" s="134" t="s">
        <v>0</v>
      </c>
      <c r="BF129" s="134" t="s">
        <v>0</v>
      </c>
      <c r="BG129" s="134" t="s">
        <v>0</v>
      </c>
      <c r="BH129" s="134" t="s">
        <v>0</v>
      </c>
      <c r="BI129" s="135" t="s">
        <v>4</v>
      </c>
    </row>
    <row r="130" spans="1:61" x14ac:dyDescent="0.25">
      <c r="A130" s="22">
        <f t="shared" si="9"/>
        <v>124</v>
      </c>
      <c r="B130" s="214" t="str">
        <f t="shared" si="12"/>
        <v>F0013548011</v>
      </c>
      <c r="C130" s="214" t="str">
        <f t="shared" si="13"/>
        <v>82115-0E460 L</v>
      </c>
      <c r="D130" s="45" t="str">
        <f>VLOOKUP(B130,'Timing Table'!B:J,9,0)</f>
        <v>C/O</v>
      </c>
      <c r="E130" s="22" t="str">
        <f>VLOOKUP(B130,'Timing Table'!B:H,7,0)</f>
        <v>GAS</v>
      </c>
      <c r="F130" s="121" t="s">
        <v>70</v>
      </c>
      <c r="G130" s="146">
        <v>2636</v>
      </c>
      <c r="H130" s="158" t="s">
        <v>240</v>
      </c>
      <c r="I130" s="159" t="s">
        <v>71</v>
      </c>
      <c r="J130" s="13">
        <v>46041</v>
      </c>
      <c r="K130" s="14">
        <v>46048</v>
      </c>
      <c r="L130" s="14">
        <v>46055</v>
      </c>
      <c r="M130" s="14">
        <v>46062</v>
      </c>
      <c r="N130" s="14">
        <v>46069</v>
      </c>
      <c r="O130" s="14">
        <v>46076</v>
      </c>
      <c r="P130" s="14">
        <v>46083</v>
      </c>
      <c r="Q130" s="14">
        <v>46090</v>
      </c>
      <c r="R130" s="14">
        <v>46097</v>
      </c>
      <c r="S130" s="14">
        <v>46104</v>
      </c>
      <c r="T130" s="14">
        <v>46111</v>
      </c>
      <c r="U130" s="14">
        <v>46118</v>
      </c>
      <c r="V130" s="14">
        <v>46125</v>
      </c>
      <c r="W130" s="14">
        <v>46132</v>
      </c>
      <c r="X130" s="14">
        <v>46139</v>
      </c>
      <c r="Y130" s="14">
        <v>46146</v>
      </c>
      <c r="Z130" s="14">
        <v>46153</v>
      </c>
      <c r="AA130" s="14">
        <v>46160</v>
      </c>
      <c r="AB130" s="14">
        <v>46167</v>
      </c>
      <c r="AC130" s="14">
        <v>46174</v>
      </c>
      <c r="AD130" s="14">
        <v>46181</v>
      </c>
      <c r="AE130" s="14">
        <v>46188</v>
      </c>
      <c r="AF130" s="14">
        <v>46195</v>
      </c>
      <c r="AG130" s="14">
        <v>46202</v>
      </c>
      <c r="AH130" s="14">
        <v>46209</v>
      </c>
      <c r="AI130" s="14">
        <v>46216</v>
      </c>
      <c r="AJ130" s="14">
        <v>46223</v>
      </c>
      <c r="AK130" s="14">
        <v>46230</v>
      </c>
      <c r="AL130" s="14">
        <v>46237</v>
      </c>
      <c r="AM130" s="14">
        <v>46244</v>
      </c>
      <c r="AN130" s="14">
        <v>46251</v>
      </c>
      <c r="AO130" s="14">
        <v>46258</v>
      </c>
      <c r="AP130" s="14">
        <v>46265</v>
      </c>
      <c r="AQ130" s="14">
        <v>46272</v>
      </c>
      <c r="AR130" s="14">
        <v>46279</v>
      </c>
      <c r="AS130" s="14">
        <v>46286</v>
      </c>
      <c r="AT130" s="14">
        <v>46293</v>
      </c>
      <c r="AU130" s="14">
        <v>46300</v>
      </c>
      <c r="AV130" s="14">
        <v>46307</v>
      </c>
      <c r="AW130" s="14">
        <v>46314</v>
      </c>
      <c r="AX130" s="14">
        <v>46321</v>
      </c>
      <c r="AY130" s="14">
        <v>46328</v>
      </c>
      <c r="AZ130" s="14">
        <v>46335</v>
      </c>
      <c r="BA130" s="14">
        <v>46342</v>
      </c>
      <c r="BB130" s="14">
        <v>46349</v>
      </c>
      <c r="BC130" s="14">
        <v>46356</v>
      </c>
      <c r="BD130" s="14">
        <v>46363</v>
      </c>
      <c r="BE130" s="14">
        <v>46370</v>
      </c>
      <c r="BF130" s="14">
        <v>46377</v>
      </c>
      <c r="BG130" s="14">
        <v>46384</v>
      </c>
      <c r="BH130" s="14">
        <v>46391</v>
      </c>
      <c r="BI130" s="15">
        <v>46398</v>
      </c>
    </row>
    <row r="131" spans="1:61" x14ac:dyDescent="0.25">
      <c r="A131" s="22">
        <f t="shared" si="9"/>
        <v>125</v>
      </c>
      <c r="B131" s="214" t="str">
        <f t="shared" si="12"/>
        <v>F0013548011</v>
      </c>
      <c r="C131" s="214" t="str">
        <f t="shared" si="13"/>
        <v>82115-0E460 L</v>
      </c>
      <c r="D131" s="45" t="str">
        <f>VLOOKUP(B131,'Timing Table'!B:J,9,0)</f>
        <v>C/O</v>
      </c>
      <c r="E131" s="22" t="str">
        <f>VLOOKUP(B131,'Timing Table'!B:H,7,0)</f>
        <v>GAS</v>
      </c>
      <c r="F131" s="121" t="s">
        <v>72</v>
      </c>
      <c r="G131" s="146">
        <v>4984</v>
      </c>
      <c r="H131" s="5" t="s">
        <v>58</v>
      </c>
      <c r="I131" s="11" t="s">
        <v>83</v>
      </c>
      <c r="J131" s="16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17"/>
    </row>
    <row r="132" spans="1:61" x14ac:dyDescent="0.25">
      <c r="A132" s="22">
        <f t="shared" si="9"/>
        <v>126</v>
      </c>
      <c r="B132" s="214" t="str">
        <f t="shared" si="12"/>
        <v>F0013548011</v>
      </c>
      <c r="C132" s="214" t="str">
        <f t="shared" si="13"/>
        <v>82115-0E460 L</v>
      </c>
      <c r="D132" s="45" t="str">
        <f>VLOOKUP(B132,'Timing Table'!B:J,9,0)</f>
        <v>C/O</v>
      </c>
      <c r="E132" s="22" t="str">
        <f>VLOOKUP(B132,'Timing Table'!B:H,7,0)</f>
        <v>GAS</v>
      </c>
      <c r="F132" s="121" t="s">
        <v>73</v>
      </c>
      <c r="G132" s="160" t="s">
        <v>295</v>
      </c>
      <c r="H132" s="9" t="s">
        <v>90</v>
      </c>
      <c r="I132" s="11" t="s">
        <v>74</v>
      </c>
      <c r="J132" s="117">
        <v>204</v>
      </c>
      <c r="K132" s="50">
        <v>408</v>
      </c>
      <c r="L132" s="50">
        <v>504</v>
      </c>
      <c r="M132" s="50">
        <v>0</v>
      </c>
      <c r="N132" s="50">
        <v>264</v>
      </c>
      <c r="O132" s="50">
        <v>380</v>
      </c>
      <c r="P132" s="50">
        <v>792</v>
      </c>
      <c r="Q132" s="50">
        <v>0</v>
      </c>
      <c r="R132" s="50">
        <v>0</v>
      </c>
      <c r="S132" s="50">
        <v>0</v>
      </c>
      <c r="T132" s="50">
        <v>0</v>
      </c>
      <c r="U132" s="50">
        <v>0</v>
      </c>
      <c r="V132" s="50">
        <v>0</v>
      </c>
      <c r="W132" s="50">
        <v>0</v>
      </c>
      <c r="X132" s="50">
        <v>0</v>
      </c>
      <c r="Y132" s="50">
        <v>0</v>
      </c>
      <c r="Z132" s="50">
        <v>0</v>
      </c>
      <c r="AA132" s="50">
        <v>0</v>
      </c>
      <c r="AB132" s="50">
        <v>0</v>
      </c>
      <c r="AC132" s="50">
        <v>0</v>
      </c>
      <c r="AD132" s="50">
        <v>0</v>
      </c>
      <c r="AE132" s="50">
        <v>0</v>
      </c>
      <c r="AF132" s="50">
        <v>0</v>
      </c>
      <c r="AG132" s="50">
        <v>0</v>
      </c>
      <c r="AH132" s="50">
        <v>0</v>
      </c>
      <c r="AI132" s="50">
        <v>0</v>
      </c>
      <c r="AJ132" s="50">
        <v>0</v>
      </c>
      <c r="AK132" s="50">
        <v>0</v>
      </c>
      <c r="AL132" s="50">
        <v>0</v>
      </c>
      <c r="AM132" s="50">
        <v>0</v>
      </c>
      <c r="AN132" s="50">
        <v>0</v>
      </c>
      <c r="AO132" s="50">
        <v>0</v>
      </c>
      <c r="AP132" s="50">
        <v>0</v>
      </c>
      <c r="AQ132" s="50">
        <v>0</v>
      </c>
      <c r="AR132" s="50">
        <v>0</v>
      </c>
      <c r="AS132" s="50">
        <v>0</v>
      </c>
      <c r="AT132" s="50">
        <v>0</v>
      </c>
      <c r="AU132" s="50">
        <v>0</v>
      </c>
      <c r="AV132" s="50">
        <v>0</v>
      </c>
      <c r="AW132" s="50">
        <v>0</v>
      </c>
      <c r="AX132" s="50">
        <v>0</v>
      </c>
      <c r="AY132" s="50">
        <v>0</v>
      </c>
      <c r="AZ132" s="50">
        <v>0</v>
      </c>
      <c r="BA132" s="50">
        <v>0</v>
      </c>
      <c r="BB132" s="50">
        <v>0</v>
      </c>
      <c r="BC132" s="50">
        <v>0</v>
      </c>
      <c r="BD132" s="50">
        <v>0</v>
      </c>
      <c r="BE132" s="50">
        <v>0</v>
      </c>
      <c r="BF132" s="50">
        <v>0</v>
      </c>
      <c r="BG132" s="50">
        <v>0</v>
      </c>
      <c r="BH132" s="50">
        <v>0</v>
      </c>
      <c r="BI132" s="118">
        <v>0</v>
      </c>
    </row>
    <row r="133" spans="1:61" x14ac:dyDescent="0.25">
      <c r="A133" s="22">
        <f t="shared" si="9"/>
        <v>127</v>
      </c>
      <c r="B133" s="214" t="str">
        <f t="shared" si="12"/>
        <v>F0013548011</v>
      </c>
      <c r="C133" s="214" t="str">
        <f t="shared" si="13"/>
        <v>82115-0E460 L</v>
      </c>
      <c r="D133" s="45" t="str">
        <f>VLOOKUP(B133,'Timing Table'!B:J,9,0)</f>
        <v>C/O</v>
      </c>
      <c r="E133" s="22" t="str">
        <f>VLOOKUP(B133,'Timing Table'!B:H,7,0)</f>
        <v>GAS</v>
      </c>
      <c r="F133" s="121" t="s">
        <v>75</v>
      </c>
      <c r="G133" s="146">
        <v>82115</v>
      </c>
      <c r="H133" s="10" t="s">
        <v>90</v>
      </c>
      <c r="I133" s="12" t="s">
        <v>76</v>
      </c>
      <c r="J133" s="161">
        <v>204</v>
      </c>
      <c r="K133" s="162">
        <v>612</v>
      </c>
      <c r="L133" s="162">
        <v>1116</v>
      </c>
      <c r="M133" s="162">
        <v>1116</v>
      </c>
      <c r="N133" s="162">
        <v>1380</v>
      </c>
      <c r="O133" s="162">
        <v>1760</v>
      </c>
      <c r="P133" s="162">
        <v>2552</v>
      </c>
      <c r="Q133" s="162">
        <v>2552</v>
      </c>
      <c r="R133" s="162">
        <v>2552</v>
      </c>
      <c r="S133" s="162">
        <v>2552</v>
      </c>
      <c r="T133" s="162">
        <v>2552</v>
      </c>
      <c r="U133" s="162">
        <v>2552</v>
      </c>
      <c r="V133" s="162">
        <v>2552</v>
      </c>
      <c r="W133" s="162">
        <v>2552</v>
      </c>
      <c r="X133" s="162">
        <v>2552</v>
      </c>
      <c r="Y133" s="162">
        <v>2552</v>
      </c>
      <c r="Z133" s="162">
        <v>2552</v>
      </c>
      <c r="AA133" s="162">
        <v>2552</v>
      </c>
      <c r="AB133" s="162">
        <v>2552</v>
      </c>
      <c r="AC133" s="162">
        <v>2552</v>
      </c>
      <c r="AD133" s="162">
        <v>2552</v>
      </c>
      <c r="AE133" s="162">
        <v>2552</v>
      </c>
      <c r="AF133" s="162">
        <v>2552</v>
      </c>
      <c r="AG133" s="162">
        <v>2552</v>
      </c>
      <c r="AH133" s="162">
        <v>2552</v>
      </c>
      <c r="AI133" s="162">
        <v>2552</v>
      </c>
      <c r="AJ133" s="162">
        <v>2552</v>
      </c>
      <c r="AK133" s="162">
        <v>2552</v>
      </c>
      <c r="AL133" s="162">
        <v>2552</v>
      </c>
      <c r="AM133" s="162">
        <v>2552</v>
      </c>
      <c r="AN133" s="162">
        <v>2552</v>
      </c>
      <c r="AO133" s="162">
        <v>2552</v>
      </c>
      <c r="AP133" s="162">
        <v>2552</v>
      </c>
      <c r="AQ133" s="162">
        <v>2552</v>
      </c>
      <c r="AR133" s="162">
        <v>2552</v>
      </c>
      <c r="AS133" s="162">
        <v>2552</v>
      </c>
      <c r="AT133" s="162">
        <v>2552</v>
      </c>
      <c r="AU133" s="162">
        <v>2552</v>
      </c>
      <c r="AV133" s="162">
        <v>2552</v>
      </c>
      <c r="AW133" s="162">
        <v>2552</v>
      </c>
      <c r="AX133" s="162">
        <v>2552</v>
      </c>
      <c r="AY133" s="162">
        <v>2552</v>
      </c>
      <c r="AZ133" s="162">
        <v>2552</v>
      </c>
      <c r="BA133" s="162">
        <v>2552</v>
      </c>
      <c r="BB133" s="162">
        <v>2552</v>
      </c>
      <c r="BC133" s="162">
        <v>2552</v>
      </c>
      <c r="BD133" s="162">
        <v>2552</v>
      </c>
      <c r="BE133" s="162">
        <v>2552</v>
      </c>
      <c r="BF133" s="162">
        <v>2552</v>
      </c>
      <c r="BG133" s="162">
        <v>2552</v>
      </c>
      <c r="BH133" s="162">
        <v>2552</v>
      </c>
      <c r="BI133" s="162">
        <v>2552</v>
      </c>
    </row>
    <row r="134" spans="1:61" x14ac:dyDescent="0.25">
      <c r="A134" s="22">
        <f t="shared" si="9"/>
        <v>128</v>
      </c>
      <c r="B134" s="214" t="str">
        <f t="shared" si="12"/>
        <v>F0013548011</v>
      </c>
      <c r="C134" s="214" t="str">
        <f t="shared" si="13"/>
        <v>82115-0E460 L</v>
      </c>
      <c r="D134" s="45" t="str">
        <f>VLOOKUP(B134,'Timing Table'!B:J,9,0)</f>
        <v>C/O</v>
      </c>
      <c r="E134" s="22" t="str">
        <f>VLOOKUP(B134,'Timing Table'!B:H,7,0)</f>
        <v>GAS</v>
      </c>
      <c r="F134" s="164" t="s">
        <v>77</v>
      </c>
      <c r="G134" s="165">
        <v>0</v>
      </c>
      <c r="H134" s="166" t="s">
        <v>78</v>
      </c>
      <c r="I134" s="167"/>
      <c r="J134" s="168"/>
      <c r="K134" s="169"/>
      <c r="L134" s="170" t="s">
        <v>0</v>
      </c>
      <c r="M134" s="170" t="s">
        <v>0</v>
      </c>
      <c r="N134" s="170" t="s">
        <v>0</v>
      </c>
      <c r="O134" s="170" t="s">
        <v>0</v>
      </c>
      <c r="P134" s="170" t="s">
        <v>0</v>
      </c>
      <c r="Q134" s="170">
        <v>-1</v>
      </c>
      <c r="R134" s="170" t="s">
        <v>0</v>
      </c>
      <c r="S134" s="170" t="s">
        <v>0</v>
      </c>
      <c r="T134" s="170" t="s">
        <v>0</v>
      </c>
      <c r="U134" s="170" t="s">
        <v>0</v>
      </c>
      <c r="V134" s="170" t="s">
        <v>0</v>
      </c>
      <c r="W134" s="170" t="s">
        <v>0</v>
      </c>
      <c r="X134" s="170" t="s">
        <v>0</v>
      </c>
      <c r="Y134" s="170" t="s">
        <v>0</v>
      </c>
      <c r="Z134" s="170" t="s">
        <v>0</v>
      </c>
      <c r="AA134" s="170" t="s">
        <v>0</v>
      </c>
      <c r="AB134" s="170" t="s">
        <v>0</v>
      </c>
      <c r="AC134" s="170" t="s">
        <v>0</v>
      </c>
      <c r="AD134" s="170" t="s">
        <v>0</v>
      </c>
      <c r="AE134" s="170" t="s">
        <v>0</v>
      </c>
      <c r="AF134" s="170" t="s">
        <v>0</v>
      </c>
      <c r="AG134" s="170" t="s">
        <v>0</v>
      </c>
      <c r="AH134" s="170" t="s">
        <v>0</v>
      </c>
      <c r="AI134" s="170" t="s">
        <v>0</v>
      </c>
      <c r="AJ134" s="170" t="s">
        <v>0</v>
      </c>
      <c r="AK134" s="170" t="s">
        <v>0</v>
      </c>
      <c r="AL134" s="170" t="s">
        <v>0</v>
      </c>
      <c r="AM134" s="170" t="s">
        <v>0</v>
      </c>
      <c r="AN134" s="170" t="s">
        <v>0</v>
      </c>
      <c r="AO134" s="170" t="s">
        <v>0</v>
      </c>
      <c r="AP134" s="170" t="s">
        <v>0</v>
      </c>
      <c r="AQ134" s="170" t="s">
        <v>0</v>
      </c>
      <c r="AR134" s="170" t="s">
        <v>0</v>
      </c>
      <c r="AS134" s="170" t="s">
        <v>0</v>
      </c>
      <c r="AT134" s="170" t="s">
        <v>0</v>
      </c>
      <c r="AU134" s="170" t="s">
        <v>0</v>
      </c>
      <c r="AV134" s="170" t="s">
        <v>0</v>
      </c>
      <c r="AW134" s="170" t="s">
        <v>0</v>
      </c>
      <c r="AX134" s="170" t="s">
        <v>0</v>
      </c>
      <c r="AY134" s="170" t="s">
        <v>0</v>
      </c>
      <c r="AZ134" s="170" t="s">
        <v>0</v>
      </c>
      <c r="BA134" s="170" t="s">
        <v>0</v>
      </c>
      <c r="BB134" s="170" t="s">
        <v>0</v>
      </c>
      <c r="BC134" s="170" t="s">
        <v>0</v>
      </c>
      <c r="BD134" s="170" t="s">
        <v>0</v>
      </c>
      <c r="BE134" s="170" t="s">
        <v>0</v>
      </c>
      <c r="BF134" s="170" t="s">
        <v>0</v>
      </c>
      <c r="BG134" s="170" t="s">
        <v>0</v>
      </c>
      <c r="BH134" s="170" t="s">
        <v>0</v>
      </c>
      <c r="BI134" s="171"/>
    </row>
    <row r="135" spans="1:61" x14ac:dyDescent="0.25">
      <c r="A135" s="22">
        <f t="shared" ref="A135:A198" si="14">+A134+1</f>
        <v>129</v>
      </c>
      <c r="B135" s="214" t="str">
        <f t="shared" si="12"/>
        <v>F0013548011</v>
      </c>
      <c r="C135" s="214" t="str">
        <f t="shared" si="13"/>
        <v>82115-0E460 L</v>
      </c>
      <c r="D135" s="45" t="str">
        <f>VLOOKUP(B135,'Timing Table'!B:J,9,0)</f>
        <v>C/O</v>
      </c>
      <c r="E135" s="22" t="str">
        <f>VLOOKUP(B135,'Timing Table'!B:H,7,0)</f>
        <v>GAS</v>
      </c>
      <c r="F135" s="172" t="s">
        <v>79</v>
      </c>
      <c r="G135" s="173" t="s">
        <v>58</v>
      </c>
      <c r="H135" s="174" t="s">
        <v>58</v>
      </c>
      <c r="I135" s="175" t="s">
        <v>58</v>
      </c>
      <c r="J135" s="175" t="s">
        <v>0</v>
      </c>
      <c r="K135" s="175" t="s">
        <v>0</v>
      </c>
      <c r="L135" s="175" t="s">
        <v>0</v>
      </c>
      <c r="M135" s="175" t="s">
        <v>0</v>
      </c>
      <c r="N135" s="175" t="s">
        <v>0</v>
      </c>
      <c r="O135" s="175" t="s">
        <v>0</v>
      </c>
      <c r="P135" s="175" t="s">
        <v>0</v>
      </c>
      <c r="Q135" s="175" t="s">
        <v>318</v>
      </c>
      <c r="R135" s="175"/>
      <c r="S135" s="175" t="s">
        <v>0</v>
      </c>
      <c r="T135" s="175" t="s">
        <v>0</v>
      </c>
      <c r="U135" s="175" t="s">
        <v>0</v>
      </c>
      <c r="V135" s="175" t="s">
        <v>0</v>
      </c>
      <c r="W135" s="175" t="s">
        <v>0</v>
      </c>
      <c r="X135" s="175" t="s">
        <v>0</v>
      </c>
      <c r="Y135" s="175" t="s">
        <v>0</v>
      </c>
      <c r="Z135" s="175" t="s">
        <v>0</v>
      </c>
      <c r="AA135" s="175" t="s">
        <v>0</v>
      </c>
      <c r="AB135" s="175" t="s">
        <v>0</v>
      </c>
      <c r="AC135" s="175" t="s">
        <v>0</v>
      </c>
      <c r="AD135" s="175" t="s">
        <v>0</v>
      </c>
      <c r="AE135" s="175" t="s">
        <v>0</v>
      </c>
      <c r="AF135" s="175" t="s">
        <v>0</v>
      </c>
      <c r="AG135" s="175" t="s">
        <v>0</v>
      </c>
      <c r="AH135" s="175" t="s">
        <v>0</v>
      </c>
      <c r="AI135" s="175" t="s">
        <v>0</v>
      </c>
      <c r="AJ135" s="175" t="s">
        <v>0</v>
      </c>
      <c r="AK135" s="175" t="s">
        <v>0</v>
      </c>
      <c r="AL135" s="175" t="s">
        <v>0</v>
      </c>
      <c r="AM135" s="175" t="s">
        <v>0</v>
      </c>
      <c r="AN135" s="175" t="s">
        <v>0</v>
      </c>
      <c r="AO135" s="175" t="s">
        <v>0</v>
      </c>
      <c r="AP135" s="175" t="s">
        <v>0</v>
      </c>
      <c r="AQ135" s="175" t="s">
        <v>0</v>
      </c>
      <c r="AR135" s="175" t="s">
        <v>0</v>
      </c>
      <c r="AS135" s="175" t="s">
        <v>0</v>
      </c>
      <c r="AT135" s="175" t="s">
        <v>0</v>
      </c>
      <c r="AU135" s="175" t="s">
        <v>0</v>
      </c>
      <c r="AV135" s="175" t="s">
        <v>0</v>
      </c>
      <c r="AW135" s="175" t="s">
        <v>0</v>
      </c>
      <c r="AX135" s="175" t="s">
        <v>0</v>
      </c>
      <c r="AY135" s="175" t="s">
        <v>0</v>
      </c>
      <c r="AZ135" s="175" t="s">
        <v>0</v>
      </c>
      <c r="BA135" s="175" t="s">
        <v>0</v>
      </c>
      <c r="BB135" s="175" t="s">
        <v>0</v>
      </c>
      <c r="BC135" s="175" t="s">
        <v>0</v>
      </c>
      <c r="BD135" s="175" t="s">
        <v>0</v>
      </c>
      <c r="BE135" s="175" t="s">
        <v>0</v>
      </c>
      <c r="BF135" s="175" t="s">
        <v>0</v>
      </c>
      <c r="BG135" s="175" t="s">
        <v>0</v>
      </c>
      <c r="BH135" s="175" t="s">
        <v>0</v>
      </c>
      <c r="BI135" s="176"/>
    </row>
    <row r="136" spans="1:61" x14ac:dyDescent="0.25">
      <c r="A136" s="22">
        <f t="shared" si="14"/>
        <v>130</v>
      </c>
      <c r="B136" s="214" t="str">
        <f t="shared" si="12"/>
        <v>F0013548011</v>
      </c>
      <c r="C136" s="214" t="str">
        <f t="shared" si="13"/>
        <v>82115-0E460 L</v>
      </c>
      <c r="D136" s="45" t="str">
        <f>VLOOKUP(B136,'Timing Table'!B:J,9,0)</f>
        <v>C/O</v>
      </c>
      <c r="E136" s="22" t="str">
        <f>VLOOKUP(B136,'Timing Table'!B:H,7,0)</f>
        <v>GAS</v>
      </c>
      <c r="F136" s="177" t="s">
        <v>58</v>
      </c>
      <c r="G136" s="178" t="s">
        <v>58</v>
      </c>
      <c r="H136" s="179" t="s">
        <v>58</v>
      </c>
      <c r="I136" s="180" t="s">
        <v>58</v>
      </c>
      <c r="J136" s="180" t="s">
        <v>0</v>
      </c>
      <c r="K136" s="180" t="s">
        <v>0</v>
      </c>
      <c r="L136" s="180" t="s">
        <v>0</v>
      </c>
      <c r="M136" s="180" t="s">
        <v>0</v>
      </c>
      <c r="N136" s="180" t="s">
        <v>0</v>
      </c>
      <c r="O136" s="180" t="s">
        <v>0</v>
      </c>
      <c r="P136" s="180" t="s">
        <v>0</v>
      </c>
      <c r="Q136" s="180" t="s">
        <v>0</v>
      </c>
      <c r="R136" s="180" t="s">
        <v>0</v>
      </c>
      <c r="S136" s="180" t="s">
        <v>0</v>
      </c>
      <c r="T136" s="180" t="s">
        <v>0</v>
      </c>
      <c r="U136" s="180" t="s">
        <v>0</v>
      </c>
      <c r="V136" s="180" t="s">
        <v>0</v>
      </c>
      <c r="W136" s="180" t="s">
        <v>0</v>
      </c>
      <c r="X136" s="180" t="s">
        <v>0</v>
      </c>
      <c r="Y136" s="180" t="s">
        <v>0</v>
      </c>
      <c r="Z136" s="180" t="s">
        <v>0</v>
      </c>
      <c r="AA136" s="180" t="s">
        <v>0</v>
      </c>
      <c r="AB136" s="180" t="s">
        <v>0</v>
      </c>
      <c r="AC136" s="180" t="s">
        <v>0</v>
      </c>
      <c r="AD136" s="180" t="s">
        <v>0</v>
      </c>
      <c r="AE136" s="180" t="s">
        <v>0</v>
      </c>
      <c r="AF136" s="180" t="s">
        <v>0</v>
      </c>
      <c r="AG136" s="180" t="s">
        <v>0</v>
      </c>
      <c r="AH136" s="180" t="s">
        <v>0</v>
      </c>
      <c r="AI136" s="180" t="s">
        <v>0</v>
      </c>
      <c r="AJ136" s="180" t="s">
        <v>0</v>
      </c>
      <c r="AK136" s="180" t="s">
        <v>0</v>
      </c>
      <c r="AL136" s="180" t="s">
        <v>0</v>
      </c>
      <c r="AM136" s="180" t="s">
        <v>0</v>
      </c>
      <c r="AN136" s="180" t="s">
        <v>0</v>
      </c>
      <c r="AO136" s="180" t="s">
        <v>0</v>
      </c>
      <c r="AP136" s="180" t="s">
        <v>0</v>
      </c>
      <c r="AQ136" s="180" t="s">
        <v>0</v>
      </c>
      <c r="AR136" s="180" t="s">
        <v>0</v>
      </c>
      <c r="AS136" s="180" t="s">
        <v>0</v>
      </c>
      <c r="AT136" s="180" t="s">
        <v>0</v>
      </c>
      <c r="AU136" s="180" t="s">
        <v>0</v>
      </c>
      <c r="AV136" s="180" t="s">
        <v>0</v>
      </c>
      <c r="AW136" s="180" t="s">
        <v>0</v>
      </c>
      <c r="AX136" s="180" t="s">
        <v>0</v>
      </c>
      <c r="AY136" s="180" t="s">
        <v>0</v>
      </c>
      <c r="AZ136" s="180" t="s">
        <v>0</v>
      </c>
      <c r="BA136" s="180" t="s">
        <v>0</v>
      </c>
      <c r="BB136" s="180" t="s">
        <v>0</v>
      </c>
      <c r="BC136" s="180" t="s">
        <v>0</v>
      </c>
      <c r="BD136" s="180" t="s">
        <v>0</v>
      </c>
      <c r="BE136" s="180" t="s">
        <v>0</v>
      </c>
      <c r="BF136" s="180" t="s">
        <v>0</v>
      </c>
      <c r="BG136" s="180" t="s">
        <v>0</v>
      </c>
      <c r="BH136" s="180" t="s">
        <v>0</v>
      </c>
      <c r="BI136" s="181"/>
    </row>
    <row r="137" spans="1:61" x14ac:dyDescent="0.25">
      <c r="A137" s="22">
        <f t="shared" si="14"/>
        <v>131</v>
      </c>
      <c r="B137" s="214" t="str">
        <f t="shared" si="12"/>
        <v>F0013548012</v>
      </c>
      <c r="C137" s="214" t="str">
        <f t="shared" si="13"/>
        <v>82115-0E460 M</v>
      </c>
      <c r="D137" s="45" t="str">
        <f>VLOOKUP(B137,'Timing Table'!B:J,9,0)</f>
        <v>C/O</v>
      </c>
      <c r="E137" s="22" t="str">
        <f>VLOOKUP(B137,'Timing Table'!B:H,7,0)</f>
        <v>GAS</v>
      </c>
      <c r="F137" s="121" t="s">
        <v>59</v>
      </c>
      <c r="G137" s="146">
        <v>5501060669</v>
      </c>
      <c r="H137" s="121" t="s">
        <v>60</v>
      </c>
      <c r="I137" s="146">
        <v>18</v>
      </c>
      <c r="J137" s="121" t="s">
        <v>61</v>
      </c>
      <c r="K137" s="125">
        <v>1210846</v>
      </c>
      <c r="L137" s="126"/>
      <c r="M137" s="147" t="s">
        <v>62</v>
      </c>
      <c r="N137" s="148"/>
      <c r="O137" s="149">
        <v>46086</v>
      </c>
      <c r="P137" s="121" t="s">
        <v>63</v>
      </c>
      <c r="Q137" s="146">
        <v>4</v>
      </c>
      <c r="R137" s="6" t="s">
        <v>0</v>
      </c>
      <c r="S137" s="7" t="s">
        <v>0</v>
      </c>
      <c r="T137" s="7" t="s">
        <v>0</v>
      </c>
      <c r="U137" s="7" t="s">
        <v>0</v>
      </c>
      <c r="V137" s="7" t="s">
        <v>0</v>
      </c>
      <c r="W137" s="7" t="s">
        <v>0</v>
      </c>
      <c r="X137" s="7" t="s">
        <v>0</v>
      </c>
      <c r="Y137" s="7" t="s">
        <v>0</v>
      </c>
      <c r="Z137" s="7" t="s">
        <v>0</v>
      </c>
      <c r="AA137" s="7" t="s">
        <v>0</v>
      </c>
      <c r="AB137" s="7" t="s">
        <v>0</v>
      </c>
      <c r="AC137" s="7" t="s">
        <v>0</v>
      </c>
      <c r="AD137" s="7" t="s">
        <v>0</v>
      </c>
      <c r="AE137" s="7" t="s">
        <v>0</v>
      </c>
      <c r="AF137" s="7" t="s">
        <v>0</v>
      </c>
      <c r="AG137" s="7" t="s">
        <v>0</v>
      </c>
      <c r="AH137" s="7" t="s">
        <v>0</v>
      </c>
      <c r="AI137" s="7" t="s">
        <v>0</v>
      </c>
      <c r="AJ137" s="7" t="s">
        <v>0</v>
      </c>
      <c r="AK137" s="7" t="s">
        <v>0</v>
      </c>
      <c r="AL137" s="7" t="s">
        <v>0</v>
      </c>
      <c r="AM137" s="7" t="s">
        <v>0</v>
      </c>
      <c r="AN137" s="7" t="s">
        <v>0</v>
      </c>
      <c r="AO137" s="7" t="s">
        <v>0</v>
      </c>
      <c r="AP137" s="7" t="s">
        <v>0</v>
      </c>
      <c r="AQ137" s="7" t="s">
        <v>0</v>
      </c>
      <c r="AR137" s="7" t="s">
        <v>0</v>
      </c>
      <c r="AS137" s="7" t="s">
        <v>0</v>
      </c>
      <c r="AT137" s="7" t="s">
        <v>0</v>
      </c>
      <c r="AU137" s="7" t="s">
        <v>0</v>
      </c>
      <c r="AV137" s="7" t="s">
        <v>0</v>
      </c>
      <c r="AW137" s="7" t="s">
        <v>0</v>
      </c>
      <c r="AX137" s="7" t="s">
        <v>0</v>
      </c>
      <c r="AY137" s="7" t="s">
        <v>0</v>
      </c>
      <c r="AZ137" s="7" t="s">
        <v>0</v>
      </c>
      <c r="BA137" s="7" t="s">
        <v>0</v>
      </c>
      <c r="BB137" s="7" t="s">
        <v>0</v>
      </c>
      <c r="BC137" s="7" t="s">
        <v>0</v>
      </c>
      <c r="BD137" s="7" t="s">
        <v>0</v>
      </c>
      <c r="BE137" s="7" t="s">
        <v>0</v>
      </c>
      <c r="BF137" s="7" t="s">
        <v>0</v>
      </c>
      <c r="BG137" s="7" t="s">
        <v>0</v>
      </c>
      <c r="BH137" s="7" t="s">
        <v>0</v>
      </c>
      <c r="BI137" s="8"/>
    </row>
    <row r="138" spans="1:61" x14ac:dyDescent="0.25">
      <c r="A138" s="22">
        <f t="shared" si="14"/>
        <v>132</v>
      </c>
      <c r="B138" s="214" t="str">
        <f t="shared" si="12"/>
        <v>F0013548012</v>
      </c>
      <c r="C138" s="214" t="str">
        <f t="shared" si="13"/>
        <v>82115-0E460 M</v>
      </c>
      <c r="D138" s="45" t="str">
        <f>VLOOKUP(B138,'Timing Table'!B:J,9,0)</f>
        <v>C/O</v>
      </c>
      <c r="E138" s="22" t="str">
        <f>VLOOKUP(B138,'Timing Table'!B:H,7,0)</f>
        <v>GAS</v>
      </c>
      <c r="F138" s="121" t="s">
        <v>64</v>
      </c>
      <c r="G138" s="146" t="s">
        <v>272</v>
      </c>
      <c r="H138" s="121" t="s">
        <v>65</v>
      </c>
      <c r="I138" s="150" t="s">
        <v>281</v>
      </c>
      <c r="J138" s="151"/>
      <c r="K138" s="151"/>
      <c r="L138" s="152"/>
      <c r="M138" s="121" t="s">
        <v>66</v>
      </c>
      <c r="N138" s="146">
        <v>2025</v>
      </c>
      <c r="O138" s="140" t="s">
        <v>67</v>
      </c>
      <c r="P138" s="141"/>
      <c r="Q138" s="153" t="s">
        <v>279</v>
      </c>
      <c r="R138" s="122" t="s">
        <v>0</v>
      </c>
      <c r="S138" s="123"/>
      <c r="T138" s="123"/>
      <c r="U138" s="123" t="s">
        <v>0</v>
      </c>
      <c r="V138" s="123" t="s">
        <v>0</v>
      </c>
      <c r="W138" s="123" t="s">
        <v>0</v>
      </c>
      <c r="X138" s="123" t="s">
        <v>0</v>
      </c>
      <c r="Y138" s="123" t="s">
        <v>0</v>
      </c>
      <c r="Z138" s="123" t="s">
        <v>0</v>
      </c>
      <c r="AA138" s="123" t="s">
        <v>0</v>
      </c>
      <c r="AB138" s="123" t="s">
        <v>0</v>
      </c>
      <c r="AC138" s="123" t="s">
        <v>0</v>
      </c>
      <c r="AD138" s="123" t="s">
        <v>0</v>
      </c>
      <c r="AE138" s="123" t="s">
        <v>0</v>
      </c>
      <c r="AF138" s="123" t="s">
        <v>0</v>
      </c>
      <c r="AG138" s="123" t="s">
        <v>0</v>
      </c>
      <c r="AH138" s="123" t="s">
        <v>0</v>
      </c>
      <c r="AI138" s="123" t="s">
        <v>0</v>
      </c>
      <c r="AJ138" s="123" t="s">
        <v>0</v>
      </c>
      <c r="AK138" s="123" t="s">
        <v>0</v>
      </c>
      <c r="AL138" s="123" t="s">
        <v>0</v>
      </c>
      <c r="AM138" s="123" t="s">
        <v>0</v>
      </c>
      <c r="AN138" s="123" t="s">
        <v>0</v>
      </c>
      <c r="AO138" s="123" t="s">
        <v>0</v>
      </c>
      <c r="AP138" s="123" t="s">
        <v>0</v>
      </c>
      <c r="AQ138" s="123" t="s">
        <v>0</v>
      </c>
      <c r="AR138" s="123" t="s">
        <v>0</v>
      </c>
      <c r="AS138" s="123" t="s">
        <v>0</v>
      </c>
      <c r="AT138" s="123" t="s">
        <v>0</v>
      </c>
      <c r="AU138" s="123" t="s">
        <v>0</v>
      </c>
      <c r="AV138" s="123" t="s">
        <v>0</v>
      </c>
      <c r="AW138" s="123" t="s">
        <v>0</v>
      </c>
      <c r="AX138" s="123" t="s">
        <v>0</v>
      </c>
      <c r="AY138" s="123" t="s">
        <v>0</v>
      </c>
      <c r="AZ138" s="123" t="s">
        <v>0</v>
      </c>
      <c r="BA138" s="123" t="s">
        <v>0</v>
      </c>
      <c r="BB138" s="123" t="s">
        <v>0</v>
      </c>
      <c r="BC138" s="123" t="s">
        <v>0</v>
      </c>
      <c r="BD138" s="123" t="s">
        <v>0</v>
      </c>
      <c r="BE138" s="123" t="s">
        <v>0</v>
      </c>
      <c r="BF138" s="123" t="s">
        <v>0</v>
      </c>
      <c r="BG138" s="123" t="s">
        <v>0</v>
      </c>
      <c r="BH138" s="123" t="s">
        <v>0</v>
      </c>
      <c r="BI138" s="124"/>
    </row>
    <row r="139" spans="1:61" x14ac:dyDescent="0.25">
      <c r="A139" s="22">
        <f t="shared" si="14"/>
        <v>133</v>
      </c>
      <c r="B139" s="214" t="str">
        <f t="shared" si="12"/>
        <v>F0013548012</v>
      </c>
      <c r="C139" s="214" t="str">
        <f t="shared" si="13"/>
        <v>82115-0E460 M</v>
      </c>
      <c r="D139" s="45" t="str">
        <f>VLOOKUP(B139,'Timing Table'!B:J,9,0)</f>
        <v>C/O</v>
      </c>
      <c r="E139" s="22" t="str">
        <f>VLOOKUP(B139,'Timing Table'!B:H,7,0)</f>
        <v>GAS</v>
      </c>
      <c r="F139" s="121" t="s">
        <v>68</v>
      </c>
      <c r="G139" s="146" t="s">
        <v>342</v>
      </c>
      <c r="H139" s="121" t="s">
        <v>69</v>
      </c>
      <c r="I139" s="154" t="s">
        <v>58</v>
      </c>
      <c r="J139" s="155" t="s">
        <v>0</v>
      </c>
      <c r="K139" s="156" t="s">
        <v>0</v>
      </c>
      <c r="L139" s="157" t="s">
        <v>0</v>
      </c>
      <c r="M139" s="134" t="s">
        <v>0</v>
      </c>
      <c r="N139" s="134" t="s">
        <v>0</v>
      </c>
      <c r="O139" s="134" t="s">
        <v>0</v>
      </c>
      <c r="P139" s="134" t="s">
        <v>0</v>
      </c>
      <c r="Q139" s="134" t="s">
        <v>1</v>
      </c>
      <c r="R139" s="134" t="s">
        <v>2</v>
      </c>
      <c r="S139" s="134" t="s">
        <v>0</v>
      </c>
      <c r="T139" s="134" t="s">
        <v>0</v>
      </c>
      <c r="U139" s="134" t="s">
        <v>0</v>
      </c>
      <c r="V139" s="134" t="s">
        <v>0</v>
      </c>
      <c r="W139" s="134" t="s">
        <v>0</v>
      </c>
      <c r="X139" s="134" t="s">
        <v>0</v>
      </c>
      <c r="Y139" s="134" t="s">
        <v>0</v>
      </c>
      <c r="Z139" s="134" t="s">
        <v>3</v>
      </c>
      <c r="AA139" s="134" t="s">
        <v>0</v>
      </c>
      <c r="AB139" s="134" t="s">
        <v>0</v>
      </c>
      <c r="AC139" s="134" t="s">
        <v>0</v>
      </c>
      <c r="AD139" s="134" t="s">
        <v>0</v>
      </c>
      <c r="AE139" s="134" t="s">
        <v>0</v>
      </c>
      <c r="AF139" s="134" t="s">
        <v>0</v>
      </c>
      <c r="AG139" s="134" t="s">
        <v>0</v>
      </c>
      <c r="AH139" s="134" t="s">
        <v>0</v>
      </c>
      <c r="AI139" s="134" t="s">
        <v>0</v>
      </c>
      <c r="AJ139" s="134" t="s">
        <v>0</v>
      </c>
      <c r="AK139" s="134" t="s">
        <v>0</v>
      </c>
      <c r="AL139" s="134" t="s">
        <v>0</v>
      </c>
      <c r="AM139" s="134" t="s">
        <v>0</v>
      </c>
      <c r="AN139" s="134" t="s">
        <v>0</v>
      </c>
      <c r="AO139" s="134" t="s">
        <v>0</v>
      </c>
      <c r="AP139" s="134" t="s">
        <v>0</v>
      </c>
      <c r="AQ139" s="134" t="s">
        <v>0</v>
      </c>
      <c r="AR139" s="134" t="s">
        <v>0</v>
      </c>
      <c r="AS139" s="134" t="s">
        <v>0</v>
      </c>
      <c r="AT139" s="134" t="s">
        <v>0</v>
      </c>
      <c r="AU139" s="134" t="s">
        <v>0</v>
      </c>
      <c r="AV139" s="134" t="s">
        <v>0</v>
      </c>
      <c r="AW139" s="134" t="s">
        <v>0</v>
      </c>
      <c r="AX139" s="134" t="s">
        <v>0</v>
      </c>
      <c r="AY139" s="134" t="s">
        <v>0</v>
      </c>
      <c r="AZ139" s="134" t="s">
        <v>0</v>
      </c>
      <c r="BA139" s="134" t="s">
        <v>0</v>
      </c>
      <c r="BB139" s="134" t="s">
        <v>0</v>
      </c>
      <c r="BC139" s="134" t="s">
        <v>0</v>
      </c>
      <c r="BD139" s="134" t="s">
        <v>0</v>
      </c>
      <c r="BE139" s="134" t="s">
        <v>0</v>
      </c>
      <c r="BF139" s="134" t="s">
        <v>0</v>
      </c>
      <c r="BG139" s="134" t="s">
        <v>0</v>
      </c>
      <c r="BH139" s="134" t="s">
        <v>0</v>
      </c>
      <c r="BI139" s="135" t="s">
        <v>4</v>
      </c>
    </row>
    <row r="140" spans="1:61" x14ac:dyDescent="0.25">
      <c r="A140" s="22">
        <f t="shared" si="14"/>
        <v>134</v>
      </c>
      <c r="B140" s="214" t="str">
        <f t="shared" si="12"/>
        <v>F0013548012</v>
      </c>
      <c r="C140" s="214" t="str">
        <f t="shared" si="13"/>
        <v>82115-0E460 M</v>
      </c>
      <c r="D140" s="45" t="str">
        <f>VLOOKUP(B140,'Timing Table'!B:J,9,0)</f>
        <v>C/O</v>
      </c>
      <c r="E140" s="22" t="str">
        <f>VLOOKUP(B140,'Timing Table'!B:H,7,0)</f>
        <v>GAS</v>
      </c>
      <c r="F140" s="121" t="s">
        <v>70</v>
      </c>
      <c r="G140" s="146">
        <v>1116</v>
      </c>
      <c r="H140" s="158" t="s">
        <v>240</v>
      </c>
      <c r="I140" s="159" t="s">
        <v>71</v>
      </c>
      <c r="J140" s="13">
        <v>46041</v>
      </c>
      <c r="K140" s="14">
        <v>46048</v>
      </c>
      <c r="L140" s="14">
        <v>46055</v>
      </c>
      <c r="M140" s="14">
        <v>46062</v>
      </c>
      <c r="N140" s="14">
        <v>46069</v>
      </c>
      <c r="O140" s="14">
        <v>46076</v>
      </c>
      <c r="P140" s="14">
        <v>46083</v>
      </c>
      <c r="Q140" s="14">
        <v>46090</v>
      </c>
      <c r="R140" s="14">
        <v>46097</v>
      </c>
      <c r="S140" s="14">
        <v>46104</v>
      </c>
      <c r="T140" s="14">
        <v>46111</v>
      </c>
      <c r="U140" s="14">
        <v>46118</v>
      </c>
      <c r="V140" s="14">
        <v>46125</v>
      </c>
      <c r="W140" s="14">
        <v>46132</v>
      </c>
      <c r="X140" s="14">
        <v>46139</v>
      </c>
      <c r="Y140" s="14">
        <v>46146</v>
      </c>
      <c r="Z140" s="14">
        <v>46153</v>
      </c>
      <c r="AA140" s="14">
        <v>46160</v>
      </c>
      <c r="AB140" s="14">
        <v>46167</v>
      </c>
      <c r="AC140" s="14">
        <v>46174</v>
      </c>
      <c r="AD140" s="14">
        <v>46181</v>
      </c>
      <c r="AE140" s="14">
        <v>46188</v>
      </c>
      <c r="AF140" s="14">
        <v>46195</v>
      </c>
      <c r="AG140" s="14">
        <v>46202</v>
      </c>
      <c r="AH140" s="14">
        <v>46209</v>
      </c>
      <c r="AI140" s="14">
        <v>46216</v>
      </c>
      <c r="AJ140" s="14">
        <v>46223</v>
      </c>
      <c r="AK140" s="14">
        <v>46230</v>
      </c>
      <c r="AL140" s="14">
        <v>46237</v>
      </c>
      <c r="AM140" s="14">
        <v>46244</v>
      </c>
      <c r="AN140" s="14">
        <v>46251</v>
      </c>
      <c r="AO140" s="14">
        <v>46258</v>
      </c>
      <c r="AP140" s="14">
        <v>46265</v>
      </c>
      <c r="AQ140" s="14">
        <v>46272</v>
      </c>
      <c r="AR140" s="14">
        <v>46279</v>
      </c>
      <c r="AS140" s="14">
        <v>46286</v>
      </c>
      <c r="AT140" s="14">
        <v>46293</v>
      </c>
      <c r="AU140" s="14">
        <v>46300</v>
      </c>
      <c r="AV140" s="14">
        <v>46307</v>
      </c>
      <c r="AW140" s="14">
        <v>46314</v>
      </c>
      <c r="AX140" s="14">
        <v>46321</v>
      </c>
      <c r="AY140" s="14">
        <v>46328</v>
      </c>
      <c r="AZ140" s="14">
        <v>46335</v>
      </c>
      <c r="BA140" s="14">
        <v>46342</v>
      </c>
      <c r="BB140" s="14">
        <v>46349</v>
      </c>
      <c r="BC140" s="14">
        <v>46356</v>
      </c>
      <c r="BD140" s="14">
        <v>46363</v>
      </c>
      <c r="BE140" s="14">
        <v>46370</v>
      </c>
      <c r="BF140" s="14">
        <v>46377</v>
      </c>
      <c r="BG140" s="14">
        <v>46384</v>
      </c>
      <c r="BH140" s="14">
        <v>46391</v>
      </c>
      <c r="BI140" s="15">
        <v>46398</v>
      </c>
    </row>
    <row r="141" spans="1:61" x14ac:dyDescent="0.25">
      <c r="A141" s="22">
        <f t="shared" si="14"/>
        <v>135</v>
      </c>
      <c r="B141" s="214" t="str">
        <f t="shared" si="12"/>
        <v>F0013548012</v>
      </c>
      <c r="C141" s="214" t="str">
        <f t="shared" si="13"/>
        <v>82115-0E460 M</v>
      </c>
      <c r="D141" s="45" t="str">
        <f>VLOOKUP(B141,'Timing Table'!B:J,9,0)</f>
        <v>C/O</v>
      </c>
      <c r="E141" s="22" t="str">
        <f>VLOOKUP(B141,'Timing Table'!B:H,7,0)</f>
        <v>GAS</v>
      </c>
      <c r="F141" s="121" t="s">
        <v>72</v>
      </c>
      <c r="G141" s="146">
        <v>3780</v>
      </c>
      <c r="H141" s="5" t="s">
        <v>58</v>
      </c>
      <c r="I141" s="11" t="s">
        <v>83</v>
      </c>
      <c r="J141" s="16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17"/>
    </row>
    <row r="142" spans="1:61" x14ac:dyDescent="0.25">
      <c r="A142" s="22">
        <f t="shared" si="14"/>
        <v>136</v>
      </c>
      <c r="B142" s="214" t="str">
        <f t="shared" si="12"/>
        <v>F0013548012</v>
      </c>
      <c r="C142" s="214" t="str">
        <f t="shared" si="13"/>
        <v>82115-0E460 M</v>
      </c>
      <c r="D142" s="45" t="str">
        <f>VLOOKUP(B142,'Timing Table'!B:J,9,0)</f>
        <v>C/O</v>
      </c>
      <c r="E142" s="22" t="str">
        <f>VLOOKUP(B142,'Timing Table'!B:H,7,0)</f>
        <v>GAS</v>
      </c>
      <c r="F142" s="121" t="s">
        <v>73</v>
      </c>
      <c r="G142" s="160" t="s">
        <v>319</v>
      </c>
      <c r="H142" s="9" t="s">
        <v>90</v>
      </c>
      <c r="I142" s="11" t="s">
        <v>74</v>
      </c>
      <c r="J142" s="117">
        <v>0</v>
      </c>
      <c r="K142" s="50">
        <v>0</v>
      </c>
      <c r="L142" s="50">
        <v>0</v>
      </c>
      <c r="M142" s="50">
        <v>0</v>
      </c>
      <c r="N142" s="50">
        <v>0</v>
      </c>
      <c r="O142" s="50">
        <v>0</v>
      </c>
      <c r="P142" s="50">
        <v>12</v>
      </c>
      <c r="Q142" s="50">
        <v>532</v>
      </c>
      <c r="R142" s="50">
        <v>0</v>
      </c>
      <c r="S142" s="50">
        <v>480</v>
      </c>
      <c r="T142" s="50">
        <v>500</v>
      </c>
      <c r="U142" s="50">
        <v>392</v>
      </c>
      <c r="V142" s="50">
        <v>328</v>
      </c>
      <c r="W142" s="50">
        <v>240</v>
      </c>
      <c r="X142" s="50">
        <v>180</v>
      </c>
      <c r="Y142" s="50">
        <v>180</v>
      </c>
      <c r="Z142" s="50">
        <v>236</v>
      </c>
      <c r="AA142" s="50">
        <v>328</v>
      </c>
      <c r="AB142" s="50">
        <v>328</v>
      </c>
      <c r="AC142" s="50">
        <v>328</v>
      </c>
      <c r="AD142" s="50">
        <v>280</v>
      </c>
      <c r="AE142" s="50">
        <v>276</v>
      </c>
      <c r="AF142" s="50">
        <v>232</v>
      </c>
      <c r="AG142" s="50">
        <v>312</v>
      </c>
      <c r="AH142" s="50">
        <v>196</v>
      </c>
      <c r="AI142" s="50">
        <v>264</v>
      </c>
      <c r="AJ142" s="50">
        <v>384</v>
      </c>
      <c r="AK142" s="50">
        <v>372</v>
      </c>
      <c r="AL142" s="50">
        <v>536</v>
      </c>
      <c r="AM142" s="50">
        <v>524</v>
      </c>
      <c r="AN142" s="50">
        <v>524</v>
      </c>
      <c r="AO142" s="50">
        <v>524</v>
      </c>
      <c r="AP142" s="50">
        <v>524</v>
      </c>
      <c r="AQ142" s="50">
        <v>524</v>
      </c>
      <c r="AR142" s="50">
        <v>524</v>
      </c>
      <c r="AS142" s="50">
        <v>524</v>
      </c>
      <c r="AT142" s="50">
        <v>524</v>
      </c>
      <c r="AU142" s="50">
        <v>524</v>
      </c>
      <c r="AV142" s="50">
        <v>524</v>
      </c>
      <c r="AW142" s="50">
        <v>524</v>
      </c>
      <c r="AX142" s="50">
        <v>524</v>
      </c>
      <c r="AY142" s="50">
        <v>524</v>
      </c>
      <c r="AZ142" s="50">
        <v>524</v>
      </c>
      <c r="BA142" s="50">
        <v>524</v>
      </c>
      <c r="BB142" s="50">
        <v>524</v>
      </c>
      <c r="BC142" s="50">
        <v>524</v>
      </c>
      <c r="BD142" s="50">
        <v>524</v>
      </c>
      <c r="BE142" s="50">
        <v>524</v>
      </c>
      <c r="BF142" s="50">
        <v>524</v>
      </c>
      <c r="BG142" s="50">
        <v>524</v>
      </c>
      <c r="BH142" s="50">
        <v>524</v>
      </c>
      <c r="BI142" s="118">
        <v>524</v>
      </c>
    </row>
    <row r="143" spans="1:61" x14ac:dyDescent="0.25">
      <c r="A143" s="22">
        <f t="shared" si="14"/>
        <v>137</v>
      </c>
      <c r="B143" s="214" t="str">
        <f t="shared" si="12"/>
        <v>F0013548012</v>
      </c>
      <c r="C143" s="214" t="str">
        <f t="shared" si="13"/>
        <v>82115-0E460 M</v>
      </c>
      <c r="D143" s="45" t="str">
        <f>VLOOKUP(B143,'Timing Table'!B:J,9,0)</f>
        <v>C/O</v>
      </c>
      <c r="E143" s="22" t="str">
        <f>VLOOKUP(B143,'Timing Table'!B:H,7,0)</f>
        <v>GAS</v>
      </c>
      <c r="F143" s="121" t="s">
        <v>75</v>
      </c>
      <c r="G143" s="146">
        <v>82115</v>
      </c>
      <c r="H143" s="10" t="s">
        <v>90</v>
      </c>
      <c r="I143" s="12" t="s">
        <v>76</v>
      </c>
      <c r="J143" s="161">
        <v>0</v>
      </c>
      <c r="K143" s="162">
        <v>0</v>
      </c>
      <c r="L143" s="162">
        <v>0</v>
      </c>
      <c r="M143" s="162">
        <v>0</v>
      </c>
      <c r="N143" s="162">
        <v>0</v>
      </c>
      <c r="O143" s="162">
        <v>0</v>
      </c>
      <c r="P143" s="162">
        <v>12</v>
      </c>
      <c r="Q143" s="162">
        <v>544</v>
      </c>
      <c r="R143" s="162">
        <v>544</v>
      </c>
      <c r="S143" s="162">
        <v>1024</v>
      </c>
      <c r="T143" s="162">
        <v>1524</v>
      </c>
      <c r="U143" s="162">
        <v>1916</v>
      </c>
      <c r="V143" s="162">
        <v>2244</v>
      </c>
      <c r="W143" s="162">
        <v>2484</v>
      </c>
      <c r="X143" s="162">
        <v>2664</v>
      </c>
      <c r="Y143" s="162">
        <v>2844</v>
      </c>
      <c r="Z143" s="162">
        <v>3080</v>
      </c>
      <c r="AA143" s="162">
        <v>3408</v>
      </c>
      <c r="AB143" s="162">
        <v>3736</v>
      </c>
      <c r="AC143" s="162">
        <v>4064</v>
      </c>
      <c r="AD143" s="162">
        <v>4344</v>
      </c>
      <c r="AE143" s="162">
        <v>4620</v>
      </c>
      <c r="AF143" s="162">
        <v>4852</v>
      </c>
      <c r="AG143" s="162">
        <v>5164</v>
      </c>
      <c r="AH143" s="162">
        <v>5360</v>
      </c>
      <c r="AI143" s="162">
        <v>5624</v>
      </c>
      <c r="AJ143" s="162">
        <v>6008</v>
      </c>
      <c r="AK143" s="162">
        <v>6380</v>
      </c>
      <c r="AL143" s="162">
        <v>6916</v>
      </c>
      <c r="AM143" s="162">
        <v>7440</v>
      </c>
      <c r="AN143" s="162">
        <v>7964</v>
      </c>
      <c r="AO143" s="162">
        <v>8488</v>
      </c>
      <c r="AP143" s="162">
        <v>9012</v>
      </c>
      <c r="AQ143" s="162">
        <v>9536</v>
      </c>
      <c r="AR143" s="162">
        <v>10060</v>
      </c>
      <c r="AS143" s="162">
        <v>10584</v>
      </c>
      <c r="AT143" s="162">
        <v>11108</v>
      </c>
      <c r="AU143" s="162">
        <v>11632</v>
      </c>
      <c r="AV143" s="162">
        <v>12156</v>
      </c>
      <c r="AW143" s="162">
        <v>12680</v>
      </c>
      <c r="AX143" s="162">
        <v>13204</v>
      </c>
      <c r="AY143" s="162">
        <v>13728</v>
      </c>
      <c r="AZ143" s="162">
        <v>14252</v>
      </c>
      <c r="BA143" s="162">
        <v>14776</v>
      </c>
      <c r="BB143" s="162">
        <v>15300</v>
      </c>
      <c r="BC143" s="162">
        <v>15824</v>
      </c>
      <c r="BD143" s="162">
        <v>16348</v>
      </c>
      <c r="BE143" s="162">
        <v>16872</v>
      </c>
      <c r="BF143" s="162">
        <v>17396</v>
      </c>
      <c r="BG143" s="162">
        <v>17920</v>
      </c>
      <c r="BH143" s="162">
        <v>18444</v>
      </c>
      <c r="BI143" s="163">
        <v>18968</v>
      </c>
    </row>
    <row r="144" spans="1:61" x14ac:dyDescent="0.25">
      <c r="A144" s="22">
        <f t="shared" si="14"/>
        <v>138</v>
      </c>
      <c r="B144" s="214" t="str">
        <f t="shared" si="12"/>
        <v>F0013548012</v>
      </c>
      <c r="C144" s="214" t="str">
        <f t="shared" si="13"/>
        <v>82115-0E460 M</v>
      </c>
      <c r="D144" s="45" t="str">
        <f>VLOOKUP(B144,'Timing Table'!B:J,9,0)</f>
        <v>C/O</v>
      </c>
      <c r="E144" s="22" t="str">
        <f>VLOOKUP(B144,'Timing Table'!B:H,7,0)</f>
        <v>GAS</v>
      </c>
      <c r="F144" s="164" t="s">
        <v>77</v>
      </c>
      <c r="G144" s="165">
        <v>0</v>
      </c>
      <c r="H144" s="166" t="s">
        <v>78</v>
      </c>
      <c r="I144" s="167"/>
      <c r="J144" s="168"/>
      <c r="K144" s="169"/>
      <c r="L144" s="170" t="s">
        <v>0</v>
      </c>
      <c r="M144" s="170" t="s">
        <v>0</v>
      </c>
      <c r="N144" s="170" t="s">
        <v>0</v>
      </c>
      <c r="O144" s="170" t="s">
        <v>0</v>
      </c>
      <c r="P144" s="170" t="s">
        <v>0</v>
      </c>
      <c r="Q144" s="170">
        <v>43.333333333333336</v>
      </c>
      <c r="R144" s="170" t="s">
        <v>0</v>
      </c>
      <c r="S144" s="170" t="s">
        <v>0</v>
      </c>
      <c r="T144" s="170" t="s">
        <v>0</v>
      </c>
      <c r="U144" s="170" t="s">
        <v>0</v>
      </c>
      <c r="V144" s="170" t="s">
        <v>0</v>
      </c>
      <c r="W144" s="170" t="s">
        <v>0</v>
      </c>
      <c r="X144" s="170" t="s">
        <v>0</v>
      </c>
      <c r="Y144" s="170" t="s">
        <v>0</v>
      </c>
      <c r="Z144" s="170" t="s">
        <v>0</v>
      </c>
      <c r="AA144" s="170" t="s">
        <v>0</v>
      </c>
      <c r="AB144" s="170" t="s">
        <v>0</v>
      </c>
      <c r="AC144" s="170" t="s">
        <v>0</v>
      </c>
      <c r="AD144" s="170" t="s">
        <v>0</v>
      </c>
      <c r="AE144" s="170" t="s">
        <v>0</v>
      </c>
      <c r="AF144" s="170" t="s">
        <v>0</v>
      </c>
      <c r="AG144" s="170" t="s">
        <v>0</v>
      </c>
      <c r="AH144" s="170" t="s">
        <v>0</v>
      </c>
      <c r="AI144" s="170" t="s">
        <v>0</v>
      </c>
      <c r="AJ144" s="170" t="s">
        <v>0</v>
      </c>
      <c r="AK144" s="170" t="s">
        <v>0</v>
      </c>
      <c r="AL144" s="170" t="s">
        <v>0</v>
      </c>
      <c r="AM144" s="170" t="s">
        <v>0</v>
      </c>
      <c r="AN144" s="170" t="s">
        <v>0</v>
      </c>
      <c r="AO144" s="170" t="s">
        <v>0</v>
      </c>
      <c r="AP144" s="170" t="s">
        <v>0</v>
      </c>
      <c r="AQ144" s="170" t="s">
        <v>0</v>
      </c>
      <c r="AR144" s="170" t="s">
        <v>0</v>
      </c>
      <c r="AS144" s="170" t="s">
        <v>0</v>
      </c>
      <c r="AT144" s="170" t="s">
        <v>0</v>
      </c>
      <c r="AU144" s="170" t="s">
        <v>0</v>
      </c>
      <c r="AV144" s="170" t="s">
        <v>0</v>
      </c>
      <c r="AW144" s="170" t="s">
        <v>0</v>
      </c>
      <c r="AX144" s="170" t="s">
        <v>0</v>
      </c>
      <c r="AY144" s="170" t="s">
        <v>0</v>
      </c>
      <c r="AZ144" s="170" t="s">
        <v>0</v>
      </c>
      <c r="BA144" s="170" t="s">
        <v>0</v>
      </c>
      <c r="BB144" s="170" t="s">
        <v>0</v>
      </c>
      <c r="BC144" s="170" t="s">
        <v>0</v>
      </c>
      <c r="BD144" s="170" t="s">
        <v>0</v>
      </c>
      <c r="BE144" s="170" t="s">
        <v>0</v>
      </c>
      <c r="BF144" s="170" t="s">
        <v>0</v>
      </c>
      <c r="BG144" s="170" t="s">
        <v>0</v>
      </c>
      <c r="BH144" s="170" t="s">
        <v>0</v>
      </c>
      <c r="BI144" s="171"/>
    </row>
    <row r="145" spans="1:61" x14ac:dyDescent="0.25">
      <c r="A145" s="22">
        <f t="shared" si="14"/>
        <v>139</v>
      </c>
      <c r="B145" s="214" t="str">
        <f t="shared" si="12"/>
        <v>F0013548012</v>
      </c>
      <c r="C145" s="214" t="str">
        <f>IF(F145=$F$7,#REF!,C144)</f>
        <v>82115-0E460 M</v>
      </c>
      <c r="D145" s="45" t="str">
        <f>VLOOKUP(B145,'Timing Table'!B:J,9,0)</f>
        <v>C/O</v>
      </c>
      <c r="E145" s="22" t="str">
        <f>VLOOKUP(B145,'Timing Table'!B:H,7,0)</f>
        <v>GAS</v>
      </c>
      <c r="F145" s="172" t="s">
        <v>79</v>
      </c>
      <c r="G145" s="173" t="s">
        <v>58</v>
      </c>
      <c r="H145" s="174" t="s">
        <v>58</v>
      </c>
      <c r="I145" s="175" t="s">
        <v>58</v>
      </c>
      <c r="J145" s="175" t="s">
        <v>0</v>
      </c>
      <c r="K145" s="175" t="s">
        <v>0</v>
      </c>
      <c r="L145" s="175" t="s">
        <v>0</v>
      </c>
      <c r="M145" s="175" t="s">
        <v>0</v>
      </c>
      <c r="N145" s="175" t="s">
        <v>0</v>
      </c>
      <c r="O145" s="175" t="s">
        <v>0</v>
      </c>
      <c r="P145" s="175" t="s">
        <v>0</v>
      </c>
      <c r="Q145" s="175" t="s">
        <v>320</v>
      </c>
      <c r="R145" s="175"/>
      <c r="S145" s="175" t="s">
        <v>0</v>
      </c>
      <c r="T145" s="175" t="s">
        <v>0</v>
      </c>
      <c r="U145" s="175" t="s">
        <v>0</v>
      </c>
      <c r="V145" s="175" t="s">
        <v>0</v>
      </c>
      <c r="W145" s="175" t="s">
        <v>0</v>
      </c>
      <c r="X145" s="175" t="s">
        <v>0</v>
      </c>
      <c r="Y145" s="175" t="s">
        <v>0</v>
      </c>
      <c r="Z145" s="175" t="s">
        <v>0</v>
      </c>
      <c r="AA145" s="175" t="s">
        <v>0</v>
      </c>
      <c r="AB145" s="175" t="s">
        <v>0</v>
      </c>
      <c r="AC145" s="175" t="s">
        <v>0</v>
      </c>
      <c r="AD145" s="175" t="s">
        <v>0</v>
      </c>
      <c r="AE145" s="175" t="s">
        <v>0</v>
      </c>
      <c r="AF145" s="175" t="s">
        <v>0</v>
      </c>
      <c r="AG145" s="175" t="s">
        <v>0</v>
      </c>
      <c r="AH145" s="175" t="s">
        <v>0</v>
      </c>
      <c r="AI145" s="175" t="s">
        <v>0</v>
      </c>
      <c r="AJ145" s="175" t="s">
        <v>0</v>
      </c>
      <c r="AK145" s="175" t="s">
        <v>0</v>
      </c>
      <c r="AL145" s="175" t="s">
        <v>0</v>
      </c>
      <c r="AM145" s="175" t="s">
        <v>0</v>
      </c>
      <c r="AN145" s="175" t="s">
        <v>0</v>
      </c>
      <c r="AO145" s="175" t="s">
        <v>0</v>
      </c>
      <c r="AP145" s="175" t="s">
        <v>0</v>
      </c>
      <c r="AQ145" s="175" t="s">
        <v>0</v>
      </c>
      <c r="AR145" s="175" t="s">
        <v>0</v>
      </c>
      <c r="AS145" s="175" t="s">
        <v>0</v>
      </c>
      <c r="AT145" s="175" t="s">
        <v>0</v>
      </c>
      <c r="AU145" s="175" t="s">
        <v>0</v>
      </c>
      <c r="AV145" s="175" t="s">
        <v>0</v>
      </c>
      <c r="AW145" s="175" t="s">
        <v>0</v>
      </c>
      <c r="AX145" s="175" t="s">
        <v>0</v>
      </c>
      <c r="AY145" s="175" t="s">
        <v>0</v>
      </c>
      <c r="AZ145" s="175" t="s">
        <v>0</v>
      </c>
      <c r="BA145" s="175" t="s">
        <v>0</v>
      </c>
      <c r="BB145" s="175" t="s">
        <v>0</v>
      </c>
      <c r="BC145" s="175" t="s">
        <v>0</v>
      </c>
      <c r="BD145" s="175" t="s">
        <v>0</v>
      </c>
      <c r="BE145" s="175" t="s">
        <v>0</v>
      </c>
      <c r="BF145" s="175" t="s">
        <v>0</v>
      </c>
      <c r="BG145" s="175" t="s">
        <v>0</v>
      </c>
      <c r="BH145" s="175" t="s">
        <v>0</v>
      </c>
      <c r="BI145" s="176"/>
    </row>
    <row r="146" spans="1:61" x14ac:dyDescent="0.25">
      <c r="A146" s="22">
        <f t="shared" si="14"/>
        <v>140</v>
      </c>
      <c r="B146" s="214" t="str">
        <f>IF(F146=$F$7,#REF!,B145)</f>
        <v>F0013548012</v>
      </c>
      <c r="C146" s="214" t="str">
        <f>IF(F146=$F$7,#REF!,C145)</f>
        <v>82115-0E460 M</v>
      </c>
      <c r="D146" s="45" t="str">
        <f>VLOOKUP(B146,'Timing Table'!B:J,9,0)</f>
        <v>C/O</v>
      </c>
      <c r="E146" s="22" t="str">
        <f>VLOOKUP(B146,'Timing Table'!B:H,7,0)</f>
        <v>GAS</v>
      </c>
      <c r="F146" s="177" t="s">
        <v>58</v>
      </c>
      <c r="G146" s="178" t="s">
        <v>58</v>
      </c>
      <c r="H146" s="179" t="s">
        <v>58</v>
      </c>
      <c r="I146" s="180" t="s">
        <v>58</v>
      </c>
      <c r="J146" s="180" t="s">
        <v>0</v>
      </c>
      <c r="K146" s="180" t="s">
        <v>0</v>
      </c>
      <c r="L146" s="180" t="s">
        <v>0</v>
      </c>
      <c r="M146" s="180" t="s">
        <v>0</v>
      </c>
      <c r="N146" s="180" t="s">
        <v>0</v>
      </c>
      <c r="O146" s="180" t="s">
        <v>0</v>
      </c>
      <c r="P146" s="180" t="s">
        <v>0</v>
      </c>
      <c r="Q146" s="180" t="s">
        <v>0</v>
      </c>
      <c r="R146" s="180" t="s">
        <v>0</v>
      </c>
      <c r="S146" s="180" t="s">
        <v>0</v>
      </c>
      <c r="T146" s="180" t="s">
        <v>0</v>
      </c>
      <c r="U146" s="180" t="s">
        <v>0</v>
      </c>
      <c r="V146" s="180" t="s">
        <v>0</v>
      </c>
      <c r="W146" s="180" t="s">
        <v>0</v>
      </c>
      <c r="X146" s="180" t="s">
        <v>0</v>
      </c>
      <c r="Y146" s="180" t="s">
        <v>0</v>
      </c>
      <c r="Z146" s="180" t="s">
        <v>0</v>
      </c>
      <c r="AA146" s="180" t="s">
        <v>0</v>
      </c>
      <c r="AB146" s="180" t="s">
        <v>0</v>
      </c>
      <c r="AC146" s="180" t="s">
        <v>0</v>
      </c>
      <c r="AD146" s="180" t="s">
        <v>0</v>
      </c>
      <c r="AE146" s="180" t="s">
        <v>0</v>
      </c>
      <c r="AF146" s="180" t="s">
        <v>0</v>
      </c>
      <c r="AG146" s="180" t="s">
        <v>0</v>
      </c>
      <c r="AH146" s="180" t="s">
        <v>0</v>
      </c>
      <c r="AI146" s="180" t="s">
        <v>0</v>
      </c>
      <c r="AJ146" s="180" t="s">
        <v>0</v>
      </c>
      <c r="AK146" s="180" t="s">
        <v>0</v>
      </c>
      <c r="AL146" s="180" t="s">
        <v>0</v>
      </c>
      <c r="AM146" s="180" t="s">
        <v>0</v>
      </c>
      <c r="AN146" s="180" t="s">
        <v>0</v>
      </c>
      <c r="AO146" s="180" t="s">
        <v>0</v>
      </c>
      <c r="AP146" s="180" t="s">
        <v>0</v>
      </c>
      <c r="AQ146" s="180" t="s">
        <v>0</v>
      </c>
      <c r="AR146" s="180" t="s">
        <v>0</v>
      </c>
      <c r="AS146" s="180" t="s">
        <v>0</v>
      </c>
      <c r="AT146" s="180" t="s">
        <v>0</v>
      </c>
      <c r="AU146" s="180" t="s">
        <v>0</v>
      </c>
      <c r="AV146" s="180" t="s">
        <v>0</v>
      </c>
      <c r="AW146" s="180" t="s">
        <v>0</v>
      </c>
      <c r="AX146" s="180" t="s">
        <v>0</v>
      </c>
      <c r="AY146" s="180" t="s">
        <v>0</v>
      </c>
      <c r="AZ146" s="180" t="s">
        <v>0</v>
      </c>
      <c r="BA146" s="180" t="s">
        <v>0</v>
      </c>
      <c r="BB146" s="180" t="s">
        <v>0</v>
      </c>
      <c r="BC146" s="180" t="s">
        <v>0</v>
      </c>
      <c r="BD146" s="180" t="s">
        <v>0</v>
      </c>
      <c r="BE146" s="180" t="s">
        <v>0</v>
      </c>
      <c r="BF146" s="180" t="s">
        <v>0</v>
      </c>
      <c r="BG146" s="180" t="s">
        <v>0</v>
      </c>
      <c r="BH146" s="180" t="s">
        <v>0</v>
      </c>
      <c r="BI146" s="181"/>
    </row>
    <row r="147" spans="1:61" x14ac:dyDescent="0.25">
      <c r="A147" s="22">
        <f t="shared" si="14"/>
        <v>141</v>
      </c>
      <c r="B147" s="214" t="str">
        <f t="shared" ref="B147:B155" si="15">IF(F147=$F$7,G148,B146)</f>
        <v>F0013548109</v>
      </c>
      <c r="C147" s="214" t="str">
        <f t="shared" ref="C147:C154" si="16">IF(F147=$F$7,G149,C146)</f>
        <v>82115-0E450.</v>
      </c>
      <c r="D147" s="45" t="str">
        <f>VLOOKUP(B147,'Timing Table'!B:J,9,0)</f>
        <v>C/O</v>
      </c>
      <c r="E147" s="22" t="str">
        <f>VLOOKUP(B147,'Timing Table'!B:H,7,0)</f>
        <v>GAS</v>
      </c>
      <c r="F147" s="121" t="s">
        <v>59</v>
      </c>
      <c r="G147" s="146">
        <v>5501017955</v>
      </c>
      <c r="H147" s="121" t="s">
        <v>60</v>
      </c>
      <c r="I147" s="146">
        <v>91</v>
      </c>
      <c r="J147" s="121" t="s">
        <v>61</v>
      </c>
      <c r="K147" s="125">
        <v>1146062</v>
      </c>
      <c r="L147" s="126"/>
      <c r="M147" s="147" t="s">
        <v>62</v>
      </c>
      <c r="N147" s="148"/>
      <c r="O147" s="149">
        <v>46086</v>
      </c>
      <c r="P147" s="121" t="s">
        <v>63</v>
      </c>
      <c r="Q147" s="146">
        <v>4</v>
      </c>
      <c r="R147" s="6" t="s">
        <v>0</v>
      </c>
      <c r="S147" s="7" t="s">
        <v>0</v>
      </c>
      <c r="T147" s="7" t="s">
        <v>0</v>
      </c>
      <c r="U147" s="7" t="s">
        <v>0</v>
      </c>
      <c r="V147" s="7" t="s">
        <v>0</v>
      </c>
      <c r="W147" s="7" t="s">
        <v>0</v>
      </c>
      <c r="X147" s="7" t="s">
        <v>0</v>
      </c>
      <c r="Y147" s="7" t="s">
        <v>0</v>
      </c>
      <c r="Z147" s="7" t="s">
        <v>0</v>
      </c>
      <c r="AA147" s="7" t="s">
        <v>0</v>
      </c>
      <c r="AB147" s="7" t="s">
        <v>0</v>
      </c>
      <c r="AC147" s="7" t="s">
        <v>0</v>
      </c>
      <c r="AD147" s="7" t="s">
        <v>0</v>
      </c>
      <c r="AE147" s="7" t="s">
        <v>0</v>
      </c>
      <c r="AF147" s="7" t="s">
        <v>0</v>
      </c>
      <c r="AG147" s="7" t="s">
        <v>0</v>
      </c>
      <c r="AH147" s="7" t="s">
        <v>0</v>
      </c>
      <c r="AI147" s="7" t="s">
        <v>0</v>
      </c>
      <c r="AJ147" s="7" t="s">
        <v>0</v>
      </c>
      <c r="AK147" s="7" t="s">
        <v>0</v>
      </c>
      <c r="AL147" s="7" t="s">
        <v>0</v>
      </c>
      <c r="AM147" s="7" t="s">
        <v>0</v>
      </c>
      <c r="AN147" s="7" t="s">
        <v>0</v>
      </c>
      <c r="AO147" s="7" t="s">
        <v>0</v>
      </c>
      <c r="AP147" s="7" t="s">
        <v>0</v>
      </c>
      <c r="AQ147" s="7" t="s">
        <v>0</v>
      </c>
      <c r="AR147" s="7" t="s">
        <v>0</v>
      </c>
      <c r="AS147" s="7" t="s">
        <v>0</v>
      </c>
      <c r="AT147" s="7" t="s">
        <v>0</v>
      </c>
      <c r="AU147" s="7" t="s">
        <v>0</v>
      </c>
      <c r="AV147" s="7" t="s">
        <v>0</v>
      </c>
      <c r="AW147" s="7" t="s">
        <v>0</v>
      </c>
      <c r="AX147" s="7" t="s">
        <v>0</v>
      </c>
      <c r="AY147" s="7" t="s">
        <v>0</v>
      </c>
      <c r="AZ147" s="7" t="s">
        <v>0</v>
      </c>
      <c r="BA147" s="7" t="s">
        <v>0</v>
      </c>
      <c r="BB147" s="7" t="s">
        <v>0</v>
      </c>
      <c r="BC147" s="7" t="s">
        <v>0</v>
      </c>
      <c r="BD147" s="7" t="s">
        <v>0</v>
      </c>
      <c r="BE147" s="7" t="s">
        <v>0</v>
      </c>
      <c r="BF147" s="7" t="s">
        <v>0</v>
      </c>
      <c r="BG147" s="7" t="s">
        <v>0</v>
      </c>
      <c r="BH147" s="7" t="s">
        <v>0</v>
      </c>
      <c r="BI147" s="8"/>
    </row>
    <row r="148" spans="1:61" x14ac:dyDescent="0.25">
      <c r="A148" s="22">
        <f t="shared" si="14"/>
        <v>142</v>
      </c>
      <c r="B148" s="214" t="str">
        <f t="shared" si="15"/>
        <v>F0013548109</v>
      </c>
      <c r="C148" s="214" t="str">
        <f t="shared" si="16"/>
        <v>82115-0E450.</v>
      </c>
      <c r="D148" s="45" t="str">
        <f>VLOOKUP(B148,'Timing Table'!B:J,9,0)</f>
        <v>C/O</v>
      </c>
      <c r="E148" s="22" t="str">
        <f>VLOOKUP(B148,'Timing Table'!B:H,7,0)</f>
        <v>GAS</v>
      </c>
      <c r="F148" s="121" t="s">
        <v>64</v>
      </c>
      <c r="G148" s="146" t="s">
        <v>173</v>
      </c>
      <c r="H148" s="121" t="s">
        <v>65</v>
      </c>
      <c r="I148" s="150" t="s">
        <v>201</v>
      </c>
      <c r="J148" s="151"/>
      <c r="K148" s="151"/>
      <c r="L148" s="152"/>
      <c r="M148" s="121" t="s">
        <v>66</v>
      </c>
      <c r="N148" s="146">
        <v>2023</v>
      </c>
      <c r="O148" s="140" t="s">
        <v>67</v>
      </c>
      <c r="P148" s="141"/>
      <c r="Q148" s="153" t="s">
        <v>198</v>
      </c>
      <c r="R148" s="122" t="s">
        <v>0</v>
      </c>
      <c r="S148" s="123" t="s">
        <v>0</v>
      </c>
      <c r="T148" s="123" t="s">
        <v>0</v>
      </c>
      <c r="U148" s="123" t="s">
        <v>0</v>
      </c>
      <c r="V148" s="123" t="s">
        <v>0</v>
      </c>
      <c r="W148" s="123" t="s">
        <v>0</v>
      </c>
      <c r="X148" s="123" t="s">
        <v>0</v>
      </c>
      <c r="Y148" s="123" t="s">
        <v>0</v>
      </c>
      <c r="Z148" s="123" t="s">
        <v>0</v>
      </c>
      <c r="AA148" s="123" t="s">
        <v>0</v>
      </c>
      <c r="AB148" s="123" t="s">
        <v>0</v>
      </c>
      <c r="AC148" s="123" t="s">
        <v>0</v>
      </c>
      <c r="AD148" s="123" t="s">
        <v>0</v>
      </c>
      <c r="AE148" s="123" t="s">
        <v>0</v>
      </c>
      <c r="AF148" s="123" t="s">
        <v>0</v>
      </c>
      <c r="AG148" s="123" t="s">
        <v>0</v>
      </c>
      <c r="AH148" s="123" t="s">
        <v>0</v>
      </c>
      <c r="AI148" s="123" t="s">
        <v>0</v>
      </c>
      <c r="AJ148" s="123" t="s">
        <v>0</v>
      </c>
      <c r="AK148" s="123" t="s">
        <v>0</v>
      </c>
      <c r="AL148" s="123" t="s">
        <v>0</v>
      </c>
      <c r="AM148" s="123" t="s">
        <v>0</v>
      </c>
      <c r="AN148" s="123" t="s">
        <v>0</v>
      </c>
      <c r="AO148" s="123" t="s">
        <v>0</v>
      </c>
      <c r="AP148" s="123" t="s">
        <v>0</v>
      </c>
      <c r="AQ148" s="123" t="s">
        <v>0</v>
      </c>
      <c r="AR148" s="123" t="s">
        <v>0</v>
      </c>
      <c r="AS148" s="123" t="s">
        <v>0</v>
      </c>
      <c r="AT148" s="123" t="s">
        <v>0</v>
      </c>
      <c r="AU148" s="123" t="s">
        <v>0</v>
      </c>
      <c r="AV148" s="123" t="s">
        <v>0</v>
      </c>
      <c r="AW148" s="123" t="s">
        <v>0</v>
      </c>
      <c r="AX148" s="123" t="s">
        <v>0</v>
      </c>
      <c r="AY148" s="123" t="s">
        <v>0</v>
      </c>
      <c r="AZ148" s="123" t="s">
        <v>0</v>
      </c>
      <c r="BA148" s="123" t="s">
        <v>0</v>
      </c>
      <c r="BB148" s="123" t="s">
        <v>0</v>
      </c>
      <c r="BC148" s="123" t="s">
        <v>0</v>
      </c>
      <c r="BD148" s="123" t="s">
        <v>0</v>
      </c>
      <c r="BE148" s="123" t="s">
        <v>0</v>
      </c>
      <c r="BF148" s="123" t="s">
        <v>0</v>
      </c>
      <c r="BG148" s="123" t="s">
        <v>0</v>
      </c>
      <c r="BH148" s="123" t="s">
        <v>0</v>
      </c>
      <c r="BI148" s="124"/>
    </row>
    <row r="149" spans="1:61" x14ac:dyDescent="0.25">
      <c r="A149" s="22">
        <f t="shared" si="14"/>
        <v>143</v>
      </c>
      <c r="B149" s="214" t="str">
        <f t="shared" si="15"/>
        <v>F0013548109</v>
      </c>
      <c r="C149" s="214" t="str">
        <f t="shared" si="16"/>
        <v>82115-0E450.</v>
      </c>
      <c r="D149" s="45" t="str">
        <f>VLOOKUP(B149,'Timing Table'!B:J,9,0)</f>
        <v>C/O</v>
      </c>
      <c r="E149" s="22" t="str">
        <f>VLOOKUP(B149,'Timing Table'!B:H,7,0)</f>
        <v>GAS</v>
      </c>
      <c r="F149" s="121" t="s">
        <v>68</v>
      </c>
      <c r="G149" s="146" t="s">
        <v>343</v>
      </c>
      <c r="H149" s="121" t="s">
        <v>69</v>
      </c>
      <c r="I149" s="154" t="s">
        <v>58</v>
      </c>
      <c r="J149" s="155" t="s">
        <v>0</v>
      </c>
      <c r="K149" s="156" t="s">
        <v>0</v>
      </c>
      <c r="L149" s="157" t="s">
        <v>0</v>
      </c>
      <c r="M149" s="134" t="s">
        <v>0</v>
      </c>
      <c r="N149" s="134" t="s">
        <v>0</v>
      </c>
      <c r="O149" s="134" t="s">
        <v>0</v>
      </c>
      <c r="P149" s="134" t="s">
        <v>0</v>
      </c>
      <c r="Q149" s="134" t="s">
        <v>1</v>
      </c>
      <c r="R149" s="134" t="s">
        <v>2</v>
      </c>
      <c r="S149" s="134" t="s">
        <v>0</v>
      </c>
      <c r="T149" s="134" t="s">
        <v>0</v>
      </c>
      <c r="U149" s="134" t="s">
        <v>0</v>
      </c>
      <c r="V149" s="134" t="s">
        <v>0</v>
      </c>
      <c r="W149" s="134" t="s">
        <v>0</v>
      </c>
      <c r="X149" s="134" t="s">
        <v>0</v>
      </c>
      <c r="Y149" s="134" t="s">
        <v>0</v>
      </c>
      <c r="Z149" s="134" t="s">
        <v>3</v>
      </c>
      <c r="AA149" s="134" t="s">
        <v>0</v>
      </c>
      <c r="AB149" s="134" t="s">
        <v>0</v>
      </c>
      <c r="AC149" s="134" t="s">
        <v>0</v>
      </c>
      <c r="AD149" s="134" t="s">
        <v>0</v>
      </c>
      <c r="AE149" s="134" t="s">
        <v>0</v>
      </c>
      <c r="AF149" s="134" t="s">
        <v>0</v>
      </c>
      <c r="AG149" s="134" t="s">
        <v>0</v>
      </c>
      <c r="AH149" s="134" t="s">
        <v>0</v>
      </c>
      <c r="AI149" s="134" t="s">
        <v>0</v>
      </c>
      <c r="AJ149" s="134" t="s">
        <v>0</v>
      </c>
      <c r="AK149" s="134" t="s">
        <v>0</v>
      </c>
      <c r="AL149" s="134" t="s">
        <v>0</v>
      </c>
      <c r="AM149" s="134" t="s">
        <v>0</v>
      </c>
      <c r="AN149" s="134" t="s">
        <v>0</v>
      </c>
      <c r="AO149" s="134" t="s">
        <v>0</v>
      </c>
      <c r="AP149" s="134" t="s">
        <v>0</v>
      </c>
      <c r="AQ149" s="134" t="s">
        <v>0</v>
      </c>
      <c r="AR149" s="134" t="s">
        <v>0</v>
      </c>
      <c r="AS149" s="134" t="s">
        <v>0</v>
      </c>
      <c r="AT149" s="134" t="s">
        <v>0</v>
      </c>
      <c r="AU149" s="134" t="s">
        <v>0</v>
      </c>
      <c r="AV149" s="134" t="s">
        <v>0</v>
      </c>
      <c r="AW149" s="134" t="s">
        <v>0</v>
      </c>
      <c r="AX149" s="134" t="s">
        <v>0</v>
      </c>
      <c r="AY149" s="134" t="s">
        <v>0</v>
      </c>
      <c r="AZ149" s="134" t="s">
        <v>0</v>
      </c>
      <c r="BA149" s="134" t="s">
        <v>0</v>
      </c>
      <c r="BB149" s="134" t="s">
        <v>0</v>
      </c>
      <c r="BC149" s="134" t="s">
        <v>0</v>
      </c>
      <c r="BD149" s="134" t="s">
        <v>0</v>
      </c>
      <c r="BE149" s="134" t="s">
        <v>0</v>
      </c>
      <c r="BF149" s="134" t="s">
        <v>0</v>
      </c>
      <c r="BG149" s="134" t="s">
        <v>0</v>
      </c>
      <c r="BH149" s="134" t="s">
        <v>0</v>
      </c>
      <c r="BI149" s="135" t="s">
        <v>4</v>
      </c>
    </row>
    <row r="150" spans="1:61" x14ac:dyDescent="0.25">
      <c r="A150" s="22">
        <f t="shared" si="14"/>
        <v>144</v>
      </c>
      <c r="B150" s="214" t="str">
        <f t="shared" si="15"/>
        <v>F0013548109</v>
      </c>
      <c r="C150" s="214" t="str">
        <f t="shared" si="16"/>
        <v>82115-0E450.</v>
      </c>
      <c r="D150" s="45" t="str">
        <f>VLOOKUP(B150,'Timing Table'!B:J,9,0)</f>
        <v>C/O</v>
      </c>
      <c r="E150" s="22" t="str">
        <f>VLOOKUP(B150,'Timing Table'!B:H,7,0)</f>
        <v>GAS</v>
      </c>
      <c r="F150" s="121" t="s">
        <v>70</v>
      </c>
      <c r="G150" s="146">
        <v>13492</v>
      </c>
      <c r="H150" s="158" t="s">
        <v>241</v>
      </c>
      <c r="I150" s="159" t="s">
        <v>71</v>
      </c>
      <c r="J150" s="13">
        <v>46041</v>
      </c>
      <c r="K150" s="14">
        <v>46048</v>
      </c>
      <c r="L150" s="14">
        <v>46055</v>
      </c>
      <c r="M150" s="14">
        <v>46062</v>
      </c>
      <c r="N150" s="14">
        <v>46069</v>
      </c>
      <c r="O150" s="14">
        <v>46076</v>
      </c>
      <c r="P150" s="14">
        <v>46083</v>
      </c>
      <c r="Q150" s="14">
        <v>46090</v>
      </c>
      <c r="R150" s="14">
        <v>46097</v>
      </c>
      <c r="S150" s="14">
        <v>46104</v>
      </c>
      <c r="T150" s="14">
        <v>46111</v>
      </c>
      <c r="U150" s="14">
        <v>46118</v>
      </c>
      <c r="V150" s="14">
        <v>46125</v>
      </c>
      <c r="W150" s="14">
        <v>46132</v>
      </c>
      <c r="X150" s="14">
        <v>46139</v>
      </c>
      <c r="Y150" s="14">
        <v>46146</v>
      </c>
      <c r="Z150" s="14">
        <v>46153</v>
      </c>
      <c r="AA150" s="14">
        <v>46160</v>
      </c>
      <c r="AB150" s="14">
        <v>46167</v>
      </c>
      <c r="AC150" s="14">
        <v>46174</v>
      </c>
      <c r="AD150" s="14">
        <v>46181</v>
      </c>
      <c r="AE150" s="14">
        <v>46188</v>
      </c>
      <c r="AF150" s="14">
        <v>46195</v>
      </c>
      <c r="AG150" s="14">
        <v>46202</v>
      </c>
      <c r="AH150" s="14">
        <v>46209</v>
      </c>
      <c r="AI150" s="14">
        <v>46216</v>
      </c>
      <c r="AJ150" s="14">
        <v>46223</v>
      </c>
      <c r="AK150" s="14">
        <v>46230</v>
      </c>
      <c r="AL150" s="14">
        <v>46237</v>
      </c>
      <c r="AM150" s="14">
        <v>46244</v>
      </c>
      <c r="AN150" s="14">
        <v>46251</v>
      </c>
      <c r="AO150" s="14">
        <v>46258</v>
      </c>
      <c r="AP150" s="14">
        <v>46265</v>
      </c>
      <c r="AQ150" s="14">
        <v>46272</v>
      </c>
      <c r="AR150" s="14">
        <v>46279</v>
      </c>
      <c r="AS150" s="14">
        <v>46286</v>
      </c>
      <c r="AT150" s="14">
        <v>46293</v>
      </c>
      <c r="AU150" s="14">
        <v>46300</v>
      </c>
      <c r="AV150" s="14">
        <v>46307</v>
      </c>
      <c r="AW150" s="14">
        <v>46314</v>
      </c>
      <c r="AX150" s="14">
        <v>46321</v>
      </c>
      <c r="AY150" s="14">
        <v>46328</v>
      </c>
      <c r="AZ150" s="14">
        <v>46335</v>
      </c>
      <c r="BA150" s="14">
        <v>46342</v>
      </c>
      <c r="BB150" s="14">
        <v>46349</v>
      </c>
      <c r="BC150" s="14">
        <v>46356</v>
      </c>
      <c r="BD150" s="14">
        <v>46363</v>
      </c>
      <c r="BE150" s="14">
        <v>46370</v>
      </c>
      <c r="BF150" s="14">
        <v>46377</v>
      </c>
      <c r="BG150" s="14">
        <v>46384</v>
      </c>
      <c r="BH150" s="14">
        <v>46391</v>
      </c>
      <c r="BI150" s="15">
        <v>46398</v>
      </c>
    </row>
    <row r="151" spans="1:61" x14ac:dyDescent="0.25">
      <c r="A151" s="22">
        <f t="shared" si="14"/>
        <v>145</v>
      </c>
      <c r="B151" s="214" t="str">
        <f t="shared" si="15"/>
        <v>F0013548109</v>
      </c>
      <c r="C151" s="214" t="str">
        <f t="shared" si="16"/>
        <v>82115-0E450.</v>
      </c>
      <c r="D151" s="45" t="str">
        <f>VLOOKUP(B151,'Timing Table'!B:J,9,0)</f>
        <v>C/O</v>
      </c>
      <c r="E151" s="22" t="str">
        <f>VLOOKUP(B151,'Timing Table'!B:H,7,0)</f>
        <v>GAS</v>
      </c>
      <c r="F151" s="121" t="s">
        <v>72</v>
      </c>
      <c r="G151" s="146">
        <v>14212</v>
      </c>
      <c r="H151" s="5" t="s">
        <v>58</v>
      </c>
      <c r="I151" s="11" t="s">
        <v>83</v>
      </c>
      <c r="J151" s="16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17"/>
    </row>
    <row r="152" spans="1:61" x14ac:dyDescent="0.25">
      <c r="A152" s="22">
        <f t="shared" si="14"/>
        <v>146</v>
      </c>
      <c r="B152" s="214" t="str">
        <f t="shared" si="15"/>
        <v>F0013548109</v>
      </c>
      <c r="C152" s="214" t="str">
        <f t="shared" si="16"/>
        <v>82115-0E450.</v>
      </c>
      <c r="D152" s="45" t="str">
        <f>VLOOKUP(B152,'Timing Table'!B:J,9,0)</f>
        <v>C/O</v>
      </c>
      <c r="E152" s="22" t="str">
        <f>VLOOKUP(B152,'Timing Table'!B:H,7,0)</f>
        <v>GAS</v>
      </c>
      <c r="F152" s="121" t="s">
        <v>73</v>
      </c>
      <c r="G152" s="160" t="s">
        <v>91</v>
      </c>
      <c r="H152" s="9" t="s">
        <v>92</v>
      </c>
      <c r="I152" s="11" t="s">
        <v>74</v>
      </c>
      <c r="J152" s="117">
        <v>276</v>
      </c>
      <c r="K152" s="50">
        <v>176</v>
      </c>
      <c r="L152" s="50">
        <v>0</v>
      </c>
      <c r="M152" s="50">
        <v>0</v>
      </c>
      <c r="N152" s="50">
        <v>0</v>
      </c>
      <c r="O152" s="50">
        <v>0</v>
      </c>
      <c r="P152" s="50">
        <v>0</v>
      </c>
      <c r="Q152" s="50">
        <v>0</v>
      </c>
      <c r="R152" s="50">
        <v>0</v>
      </c>
      <c r="S152" s="50">
        <v>0</v>
      </c>
      <c r="T152" s="50">
        <v>0</v>
      </c>
      <c r="U152" s="50">
        <v>0</v>
      </c>
      <c r="V152" s="50">
        <v>0</v>
      </c>
      <c r="W152" s="50">
        <v>0</v>
      </c>
      <c r="X152" s="50">
        <v>0</v>
      </c>
      <c r="Y152" s="50">
        <v>0</v>
      </c>
      <c r="Z152" s="50">
        <v>0</v>
      </c>
      <c r="AA152" s="50">
        <v>0</v>
      </c>
      <c r="AB152" s="50">
        <v>0</v>
      </c>
      <c r="AC152" s="50">
        <v>0</v>
      </c>
      <c r="AD152" s="50">
        <v>0</v>
      </c>
      <c r="AE152" s="50">
        <v>0</v>
      </c>
      <c r="AF152" s="50">
        <v>0</v>
      </c>
      <c r="AG152" s="50">
        <v>0</v>
      </c>
      <c r="AH152" s="50">
        <v>0</v>
      </c>
      <c r="AI152" s="50">
        <v>0</v>
      </c>
      <c r="AJ152" s="50">
        <v>0</v>
      </c>
      <c r="AK152" s="50">
        <v>0</v>
      </c>
      <c r="AL152" s="50">
        <v>0</v>
      </c>
      <c r="AM152" s="50">
        <v>0</v>
      </c>
      <c r="AN152" s="50">
        <v>0</v>
      </c>
      <c r="AO152" s="50">
        <v>0</v>
      </c>
      <c r="AP152" s="50">
        <v>0</v>
      </c>
      <c r="AQ152" s="50">
        <v>0</v>
      </c>
      <c r="AR152" s="50">
        <v>0</v>
      </c>
      <c r="AS152" s="50">
        <v>0</v>
      </c>
      <c r="AT152" s="50">
        <v>0</v>
      </c>
      <c r="AU152" s="50">
        <v>0</v>
      </c>
      <c r="AV152" s="50">
        <v>0</v>
      </c>
      <c r="AW152" s="50">
        <v>0</v>
      </c>
      <c r="AX152" s="50">
        <v>0</v>
      </c>
      <c r="AY152" s="50">
        <v>0</v>
      </c>
      <c r="AZ152" s="50">
        <v>0</v>
      </c>
      <c r="BA152" s="50">
        <v>0</v>
      </c>
      <c r="BB152" s="50">
        <v>0</v>
      </c>
      <c r="BC152" s="50">
        <v>0</v>
      </c>
      <c r="BD152" s="50">
        <v>0</v>
      </c>
      <c r="BE152" s="50">
        <v>0</v>
      </c>
      <c r="BF152" s="50">
        <v>0</v>
      </c>
      <c r="BG152" s="50">
        <v>0</v>
      </c>
      <c r="BH152" s="50">
        <v>0</v>
      </c>
      <c r="BI152" s="118">
        <v>0</v>
      </c>
    </row>
    <row r="153" spans="1:61" x14ac:dyDescent="0.25">
      <c r="A153" s="22">
        <f t="shared" si="14"/>
        <v>147</v>
      </c>
      <c r="B153" s="214" t="str">
        <f t="shared" si="15"/>
        <v>F0013548109</v>
      </c>
      <c r="C153" s="214" t="str">
        <f t="shared" si="16"/>
        <v>82115-0E450.</v>
      </c>
      <c r="D153" s="45" t="str">
        <f>VLOOKUP(B153,'Timing Table'!B:J,9,0)</f>
        <v>C/O</v>
      </c>
      <c r="E153" s="22" t="str">
        <f>VLOOKUP(B153,'Timing Table'!B:H,7,0)</f>
        <v>GAS</v>
      </c>
      <c r="F153" s="121" t="s">
        <v>75</v>
      </c>
      <c r="G153" s="146">
        <v>82115</v>
      </c>
      <c r="H153" s="10" t="s">
        <v>92</v>
      </c>
      <c r="I153" s="12" t="s">
        <v>76</v>
      </c>
      <c r="J153" s="161">
        <v>13316</v>
      </c>
      <c r="K153" s="162">
        <v>13492</v>
      </c>
      <c r="L153" s="162">
        <v>13492</v>
      </c>
      <c r="M153" s="162">
        <v>13492</v>
      </c>
      <c r="N153" s="162">
        <v>13492</v>
      </c>
      <c r="O153" s="162">
        <v>13492</v>
      </c>
      <c r="P153" s="162">
        <v>13492</v>
      </c>
      <c r="Q153" s="162">
        <v>13492</v>
      </c>
      <c r="R153" s="162">
        <v>13492</v>
      </c>
      <c r="S153" s="162">
        <v>13492</v>
      </c>
      <c r="T153" s="162">
        <v>13492</v>
      </c>
      <c r="U153" s="162">
        <v>13492</v>
      </c>
      <c r="V153" s="162">
        <v>13492</v>
      </c>
      <c r="W153" s="162">
        <v>13492</v>
      </c>
      <c r="X153" s="162">
        <v>13492</v>
      </c>
      <c r="Y153" s="162">
        <v>13492</v>
      </c>
      <c r="Z153" s="162">
        <v>13492</v>
      </c>
      <c r="AA153" s="162">
        <v>13492</v>
      </c>
      <c r="AB153" s="162">
        <v>13492</v>
      </c>
      <c r="AC153" s="162">
        <v>13492</v>
      </c>
      <c r="AD153" s="162">
        <v>13492</v>
      </c>
      <c r="AE153" s="162">
        <v>13492</v>
      </c>
      <c r="AF153" s="162">
        <v>13492</v>
      </c>
      <c r="AG153" s="162">
        <v>13492</v>
      </c>
      <c r="AH153" s="162">
        <v>13492</v>
      </c>
      <c r="AI153" s="162">
        <v>13492</v>
      </c>
      <c r="AJ153" s="162">
        <v>13492</v>
      </c>
      <c r="AK153" s="162">
        <v>13492</v>
      </c>
      <c r="AL153" s="162">
        <v>13492</v>
      </c>
      <c r="AM153" s="162">
        <v>13492</v>
      </c>
      <c r="AN153" s="162">
        <v>13492</v>
      </c>
      <c r="AO153" s="162">
        <v>13492</v>
      </c>
      <c r="AP153" s="162">
        <v>13492</v>
      </c>
      <c r="AQ153" s="162">
        <v>13492</v>
      </c>
      <c r="AR153" s="162">
        <v>13492</v>
      </c>
      <c r="AS153" s="162">
        <v>13492</v>
      </c>
      <c r="AT153" s="162">
        <v>13492</v>
      </c>
      <c r="AU153" s="162">
        <v>13492</v>
      </c>
      <c r="AV153" s="162">
        <v>13492</v>
      </c>
      <c r="AW153" s="162">
        <v>13492</v>
      </c>
      <c r="AX153" s="162">
        <v>13492</v>
      </c>
      <c r="AY153" s="162">
        <v>13492</v>
      </c>
      <c r="AZ153" s="162">
        <v>13492</v>
      </c>
      <c r="BA153" s="162">
        <v>13492</v>
      </c>
      <c r="BB153" s="162">
        <v>13492</v>
      </c>
      <c r="BC153" s="162">
        <v>13492</v>
      </c>
      <c r="BD153" s="162">
        <v>13492</v>
      </c>
      <c r="BE153" s="162">
        <v>13492</v>
      </c>
      <c r="BF153" s="162">
        <v>13492</v>
      </c>
      <c r="BG153" s="162">
        <v>13492</v>
      </c>
      <c r="BH153" s="162">
        <v>13492</v>
      </c>
      <c r="BI153" s="163">
        <v>13492</v>
      </c>
    </row>
    <row r="154" spans="1:61" x14ac:dyDescent="0.25">
      <c r="A154" s="22">
        <f t="shared" si="14"/>
        <v>148</v>
      </c>
      <c r="B154" s="214" t="str">
        <f t="shared" si="15"/>
        <v>F0013548109</v>
      </c>
      <c r="C154" s="214" t="str">
        <f t="shared" si="16"/>
        <v>82115-0E450.</v>
      </c>
      <c r="D154" s="45" t="str">
        <f>VLOOKUP(B154,'Timing Table'!B:J,9,0)</f>
        <v>C/O</v>
      </c>
      <c r="E154" s="22" t="str">
        <f>VLOOKUP(B154,'Timing Table'!B:H,7,0)</f>
        <v>GAS</v>
      </c>
      <c r="F154" s="164" t="s">
        <v>77</v>
      </c>
      <c r="G154" s="165">
        <v>13040</v>
      </c>
      <c r="H154" s="166" t="s">
        <v>78</v>
      </c>
      <c r="I154" s="167"/>
      <c r="J154" s="168" t="s">
        <v>309</v>
      </c>
      <c r="K154" s="169"/>
      <c r="L154" s="170" t="s">
        <v>0</v>
      </c>
      <c r="M154" s="170" t="s">
        <v>0</v>
      </c>
      <c r="N154" s="170" t="s">
        <v>0</v>
      </c>
      <c r="O154" s="170" t="s">
        <v>0</v>
      </c>
      <c r="P154" s="170" t="s">
        <v>0</v>
      </c>
      <c r="Q154" s="170" t="s">
        <v>0</v>
      </c>
      <c r="R154" s="170" t="s">
        <v>0</v>
      </c>
      <c r="S154" s="170" t="s">
        <v>0</v>
      </c>
      <c r="T154" s="170" t="s">
        <v>0</v>
      </c>
      <c r="U154" s="170" t="s">
        <v>0</v>
      </c>
      <c r="V154" s="170" t="s">
        <v>0</v>
      </c>
      <c r="W154" s="170" t="s">
        <v>0</v>
      </c>
      <c r="X154" s="170" t="s">
        <v>0</v>
      </c>
      <c r="Y154" s="170" t="s">
        <v>0</v>
      </c>
      <c r="Z154" s="170" t="s">
        <v>0</v>
      </c>
      <c r="AA154" s="170" t="s">
        <v>0</v>
      </c>
      <c r="AB154" s="170" t="s">
        <v>0</v>
      </c>
      <c r="AC154" s="170" t="s">
        <v>0</v>
      </c>
      <c r="AD154" s="170" t="s">
        <v>0</v>
      </c>
      <c r="AE154" s="170" t="s">
        <v>0</v>
      </c>
      <c r="AF154" s="170" t="s">
        <v>0</v>
      </c>
      <c r="AG154" s="170" t="s">
        <v>0</v>
      </c>
      <c r="AH154" s="170" t="s">
        <v>0</v>
      </c>
      <c r="AI154" s="170" t="s">
        <v>0</v>
      </c>
      <c r="AJ154" s="170" t="s">
        <v>0</v>
      </c>
      <c r="AK154" s="170" t="s">
        <v>0</v>
      </c>
      <c r="AL154" s="170" t="s">
        <v>0</v>
      </c>
      <c r="AM154" s="170" t="s">
        <v>0</v>
      </c>
      <c r="AN154" s="170" t="s">
        <v>0</v>
      </c>
      <c r="AO154" s="170" t="s">
        <v>0</v>
      </c>
      <c r="AP154" s="170" t="s">
        <v>0</v>
      </c>
      <c r="AQ154" s="170" t="s">
        <v>0</v>
      </c>
      <c r="AR154" s="170" t="s">
        <v>0</v>
      </c>
      <c r="AS154" s="170" t="s">
        <v>0</v>
      </c>
      <c r="AT154" s="170" t="s">
        <v>0</v>
      </c>
      <c r="AU154" s="170" t="s">
        <v>0</v>
      </c>
      <c r="AV154" s="170" t="s">
        <v>0</v>
      </c>
      <c r="AW154" s="170" t="s">
        <v>0</v>
      </c>
      <c r="AX154" s="170" t="s">
        <v>0</v>
      </c>
      <c r="AY154" s="170" t="s">
        <v>0</v>
      </c>
      <c r="AZ154" s="170" t="s">
        <v>0</v>
      </c>
      <c r="BA154" s="170" t="s">
        <v>0</v>
      </c>
      <c r="BB154" s="170" t="s">
        <v>0</v>
      </c>
      <c r="BC154" s="170" t="s">
        <v>0</v>
      </c>
      <c r="BD154" s="170" t="s">
        <v>0</v>
      </c>
      <c r="BE154" s="170" t="s">
        <v>0</v>
      </c>
      <c r="BF154" s="170" t="s">
        <v>0</v>
      </c>
      <c r="BG154" s="170" t="s">
        <v>0</v>
      </c>
      <c r="BH154" s="170" t="s">
        <v>0</v>
      </c>
      <c r="BI154" s="171"/>
    </row>
    <row r="155" spans="1:61" x14ac:dyDescent="0.25">
      <c r="A155" s="22">
        <f t="shared" si="14"/>
        <v>149</v>
      </c>
      <c r="B155" s="214" t="str">
        <f t="shared" si="15"/>
        <v>F0013548109</v>
      </c>
      <c r="C155" s="214" t="str">
        <f>IF(F155=$F$7,#REF!,C154)</f>
        <v>82115-0E450.</v>
      </c>
      <c r="D155" s="45" t="str">
        <f>VLOOKUP(B155,'Timing Table'!B:J,9,0)</f>
        <v>C/O</v>
      </c>
      <c r="E155" s="22" t="str">
        <f>VLOOKUP(B155,'Timing Table'!B:H,7,0)</f>
        <v>GAS</v>
      </c>
      <c r="F155" s="172" t="s">
        <v>79</v>
      </c>
      <c r="G155" s="173" t="s">
        <v>58</v>
      </c>
      <c r="H155" s="174" t="s">
        <v>58</v>
      </c>
      <c r="I155" s="175" t="s">
        <v>58</v>
      </c>
      <c r="J155" s="175" t="s">
        <v>0</v>
      </c>
      <c r="K155" s="175" t="s">
        <v>0</v>
      </c>
      <c r="L155" s="175" t="s">
        <v>0</v>
      </c>
      <c r="M155" s="175" t="s">
        <v>0</v>
      </c>
      <c r="N155" s="175" t="s">
        <v>0</v>
      </c>
      <c r="O155" s="175" t="s">
        <v>0</v>
      </c>
      <c r="P155" s="175" t="s">
        <v>0</v>
      </c>
      <c r="Q155" s="175" t="s">
        <v>0</v>
      </c>
      <c r="R155" s="175" t="s">
        <v>0</v>
      </c>
      <c r="S155" s="175" t="s">
        <v>0</v>
      </c>
      <c r="T155" s="175" t="s">
        <v>0</v>
      </c>
      <c r="U155" s="175" t="s">
        <v>0</v>
      </c>
      <c r="V155" s="175" t="s">
        <v>0</v>
      </c>
      <c r="W155" s="175" t="s">
        <v>0</v>
      </c>
      <c r="X155" s="175" t="s">
        <v>0</v>
      </c>
      <c r="Y155" s="175" t="s">
        <v>0</v>
      </c>
      <c r="Z155" s="175" t="s">
        <v>0</v>
      </c>
      <c r="AA155" s="175" t="s">
        <v>0</v>
      </c>
      <c r="AB155" s="175" t="s">
        <v>0</v>
      </c>
      <c r="AC155" s="175" t="s">
        <v>0</v>
      </c>
      <c r="AD155" s="175" t="s">
        <v>0</v>
      </c>
      <c r="AE155" s="175" t="s">
        <v>0</v>
      </c>
      <c r="AF155" s="175" t="s">
        <v>0</v>
      </c>
      <c r="AG155" s="175" t="s">
        <v>0</v>
      </c>
      <c r="AH155" s="175" t="s">
        <v>0</v>
      </c>
      <c r="AI155" s="175" t="s">
        <v>0</v>
      </c>
      <c r="AJ155" s="175" t="s">
        <v>0</v>
      </c>
      <c r="AK155" s="175" t="s">
        <v>0</v>
      </c>
      <c r="AL155" s="175" t="s">
        <v>0</v>
      </c>
      <c r="AM155" s="175" t="s">
        <v>0</v>
      </c>
      <c r="AN155" s="175" t="s">
        <v>0</v>
      </c>
      <c r="AO155" s="175" t="s">
        <v>0</v>
      </c>
      <c r="AP155" s="175" t="s">
        <v>0</v>
      </c>
      <c r="AQ155" s="175" t="s">
        <v>0</v>
      </c>
      <c r="AR155" s="175" t="s">
        <v>0</v>
      </c>
      <c r="AS155" s="175" t="s">
        <v>0</v>
      </c>
      <c r="AT155" s="175" t="s">
        <v>0</v>
      </c>
      <c r="AU155" s="175" t="s">
        <v>0</v>
      </c>
      <c r="AV155" s="175" t="s">
        <v>0</v>
      </c>
      <c r="AW155" s="175" t="s">
        <v>0</v>
      </c>
      <c r="AX155" s="175" t="s">
        <v>0</v>
      </c>
      <c r="AY155" s="175" t="s">
        <v>0</v>
      </c>
      <c r="AZ155" s="175" t="s">
        <v>0</v>
      </c>
      <c r="BA155" s="175" t="s">
        <v>0</v>
      </c>
      <c r="BB155" s="175" t="s">
        <v>0</v>
      </c>
      <c r="BC155" s="175" t="s">
        <v>0</v>
      </c>
      <c r="BD155" s="175" t="s">
        <v>0</v>
      </c>
      <c r="BE155" s="175" t="s">
        <v>0</v>
      </c>
      <c r="BF155" s="175" t="s">
        <v>0</v>
      </c>
      <c r="BG155" s="175" t="s">
        <v>0</v>
      </c>
      <c r="BH155" s="175" t="s">
        <v>0</v>
      </c>
      <c r="BI155" s="176"/>
    </row>
    <row r="156" spans="1:61" x14ac:dyDescent="0.25">
      <c r="A156" s="22">
        <f t="shared" si="14"/>
        <v>150</v>
      </c>
      <c r="B156" s="214" t="str">
        <f>IF(F156=$F$7,#REF!,B155)</f>
        <v>F0013548109</v>
      </c>
      <c r="C156" s="214" t="str">
        <f>IF(F156=$F$7,#REF!,C155)</f>
        <v>82115-0E450.</v>
      </c>
      <c r="D156" s="45" t="str">
        <f>VLOOKUP(B156,'Timing Table'!B:J,9,0)</f>
        <v>C/O</v>
      </c>
      <c r="E156" s="22" t="str">
        <f>VLOOKUP(B156,'Timing Table'!B:H,7,0)</f>
        <v>GAS</v>
      </c>
      <c r="F156" s="177" t="s">
        <v>58</v>
      </c>
      <c r="G156" s="178" t="s">
        <v>58</v>
      </c>
      <c r="H156" s="179" t="s">
        <v>58</v>
      </c>
      <c r="I156" s="180" t="s">
        <v>58</v>
      </c>
      <c r="J156" s="180" t="s">
        <v>0</v>
      </c>
      <c r="K156" s="180" t="s">
        <v>0</v>
      </c>
      <c r="L156" s="180" t="s">
        <v>0</v>
      </c>
      <c r="M156" s="180" t="s">
        <v>0</v>
      </c>
      <c r="N156" s="180" t="s">
        <v>0</v>
      </c>
      <c r="O156" s="180" t="s">
        <v>0</v>
      </c>
      <c r="P156" s="180" t="s">
        <v>0</v>
      </c>
      <c r="Q156" s="180" t="s">
        <v>0</v>
      </c>
      <c r="R156" s="180" t="s">
        <v>0</v>
      </c>
      <c r="S156" s="180" t="s">
        <v>0</v>
      </c>
      <c r="T156" s="180" t="s">
        <v>0</v>
      </c>
      <c r="U156" s="180" t="s">
        <v>0</v>
      </c>
      <c r="V156" s="180" t="s">
        <v>0</v>
      </c>
      <c r="W156" s="180" t="s">
        <v>0</v>
      </c>
      <c r="X156" s="180" t="s">
        <v>0</v>
      </c>
      <c r="Y156" s="180" t="s">
        <v>0</v>
      </c>
      <c r="Z156" s="180" t="s">
        <v>0</v>
      </c>
      <c r="AA156" s="180" t="s">
        <v>0</v>
      </c>
      <c r="AB156" s="180" t="s">
        <v>0</v>
      </c>
      <c r="AC156" s="180" t="s">
        <v>0</v>
      </c>
      <c r="AD156" s="180" t="s">
        <v>0</v>
      </c>
      <c r="AE156" s="180" t="s">
        <v>0</v>
      </c>
      <c r="AF156" s="180" t="s">
        <v>0</v>
      </c>
      <c r="AG156" s="180" t="s">
        <v>0</v>
      </c>
      <c r="AH156" s="180" t="s">
        <v>0</v>
      </c>
      <c r="AI156" s="180" t="s">
        <v>0</v>
      </c>
      <c r="AJ156" s="180" t="s">
        <v>0</v>
      </c>
      <c r="AK156" s="180" t="s">
        <v>0</v>
      </c>
      <c r="AL156" s="180" t="s">
        <v>0</v>
      </c>
      <c r="AM156" s="180" t="s">
        <v>0</v>
      </c>
      <c r="AN156" s="180" t="s">
        <v>0</v>
      </c>
      <c r="AO156" s="180" t="s">
        <v>0</v>
      </c>
      <c r="AP156" s="180" t="s">
        <v>0</v>
      </c>
      <c r="AQ156" s="180" t="s">
        <v>0</v>
      </c>
      <c r="AR156" s="180" t="s">
        <v>0</v>
      </c>
      <c r="AS156" s="180" t="s">
        <v>0</v>
      </c>
      <c r="AT156" s="180" t="s">
        <v>0</v>
      </c>
      <c r="AU156" s="180" t="s">
        <v>0</v>
      </c>
      <c r="AV156" s="180" t="s">
        <v>0</v>
      </c>
      <c r="AW156" s="180" t="s">
        <v>0</v>
      </c>
      <c r="AX156" s="180" t="s">
        <v>0</v>
      </c>
      <c r="AY156" s="180" t="s">
        <v>0</v>
      </c>
      <c r="AZ156" s="180" t="s">
        <v>0</v>
      </c>
      <c r="BA156" s="180" t="s">
        <v>0</v>
      </c>
      <c r="BB156" s="180" t="s">
        <v>0</v>
      </c>
      <c r="BC156" s="180" t="s">
        <v>0</v>
      </c>
      <c r="BD156" s="180" t="s">
        <v>0</v>
      </c>
      <c r="BE156" s="180" t="s">
        <v>0</v>
      </c>
      <c r="BF156" s="180" t="s">
        <v>0</v>
      </c>
      <c r="BG156" s="180" t="s">
        <v>0</v>
      </c>
      <c r="BH156" s="180" t="s">
        <v>0</v>
      </c>
      <c r="BI156" s="181"/>
    </row>
    <row r="157" spans="1:61" x14ac:dyDescent="0.25">
      <c r="A157" s="22">
        <f t="shared" si="14"/>
        <v>151</v>
      </c>
      <c r="B157" s="214" t="str">
        <f t="shared" ref="B157:B165" si="17">IF(F157=$F$7,G158,B156)</f>
        <v>F0013548111</v>
      </c>
      <c r="C157" s="214" t="str">
        <f t="shared" ref="C157:C164" si="18">IF(F157=$F$7,G159,C156)</f>
        <v>82115-0E450 L</v>
      </c>
      <c r="D157" s="45" t="str">
        <f>VLOOKUP(B157,'Timing Table'!B:J,9,0)</f>
        <v>C/O</v>
      </c>
      <c r="E157" s="22" t="str">
        <f>VLOOKUP(B157,'Timing Table'!B:H,7,0)</f>
        <v>GAS</v>
      </c>
      <c r="F157" s="121" t="s">
        <v>59</v>
      </c>
      <c r="G157" s="146">
        <v>5501065660</v>
      </c>
      <c r="H157" s="121" t="s">
        <v>60</v>
      </c>
      <c r="I157" s="146">
        <v>9</v>
      </c>
      <c r="J157" s="121" t="s">
        <v>61</v>
      </c>
      <c r="K157" s="125">
        <v>1179879</v>
      </c>
      <c r="L157" s="126"/>
      <c r="M157" s="147" t="s">
        <v>62</v>
      </c>
      <c r="N157" s="148"/>
      <c r="O157" s="149">
        <v>46086</v>
      </c>
      <c r="P157" s="121" t="s">
        <v>63</v>
      </c>
      <c r="Q157" s="146">
        <v>4</v>
      </c>
      <c r="R157" s="6" t="s">
        <v>0</v>
      </c>
      <c r="S157" s="7" t="s">
        <v>0</v>
      </c>
      <c r="T157" s="7" t="s">
        <v>0</v>
      </c>
      <c r="U157" s="7" t="s">
        <v>0</v>
      </c>
      <c r="V157" s="7" t="s">
        <v>0</v>
      </c>
      <c r="W157" s="7" t="s">
        <v>0</v>
      </c>
      <c r="X157" s="7" t="s">
        <v>0</v>
      </c>
      <c r="Y157" s="7" t="s">
        <v>0</v>
      </c>
      <c r="Z157" s="7" t="s">
        <v>0</v>
      </c>
      <c r="AA157" s="7" t="s">
        <v>0</v>
      </c>
      <c r="AB157" s="7" t="s">
        <v>0</v>
      </c>
      <c r="AC157" s="7" t="s">
        <v>0</v>
      </c>
      <c r="AD157" s="7" t="s">
        <v>0</v>
      </c>
      <c r="AE157" s="7" t="s">
        <v>0</v>
      </c>
      <c r="AF157" s="7" t="s">
        <v>0</v>
      </c>
      <c r="AG157" s="7" t="s">
        <v>0</v>
      </c>
      <c r="AH157" s="7" t="s">
        <v>0</v>
      </c>
      <c r="AI157" s="7" t="s">
        <v>0</v>
      </c>
      <c r="AJ157" s="7" t="s">
        <v>0</v>
      </c>
      <c r="AK157" s="7" t="s">
        <v>0</v>
      </c>
      <c r="AL157" s="7" t="s">
        <v>0</v>
      </c>
      <c r="AM157" s="7" t="s">
        <v>0</v>
      </c>
      <c r="AN157" s="7" t="s">
        <v>0</v>
      </c>
      <c r="AO157" s="7" t="s">
        <v>0</v>
      </c>
      <c r="AP157" s="7" t="s">
        <v>0</v>
      </c>
      <c r="AQ157" s="7" t="s">
        <v>0</v>
      </c>
      <c r="AR157" s="7" t="s">
        <v>0</v>
      </c>
      <c r="AS157" s="7" t="s">
        <v>0</v>
      </c>
      <c r="AT157" s="7" t="s">
        <v>0</v>
      </c>
      <c r="AU157" s="7" t="s">
        <v>0</v>
      </c>
      <c r="AV157" s="7" t="s">
        <v>0</v>
      </c>
      <c r="AW157" s="7" t="s">
        <v>0</v>
      </c>
      <c r="AX157" s="7" t="s">
        <v>0</v>
      </c>
      <c r="AY157" s="7" t="s">
        <v>0</v>
      </c>
      <c r="AZ157" s="7" t="s">
        <v>0</v>
      </c>
      <c r="BA157" s="7" t="s">
        <v>0</v>
      </c>
      <c r="BB157" s="7" t="s">
        <v>0</v>
      </c>
      <c r="BC157" s="7" t="s">
        <v>0</v>
      </c>
      <c r="BD157" s="7" t="s">
        <v>0</v>
      </c>
      <c r="BE157" s="7" t="s">
        <v>0</v>
      </c>
      <c r="BF157" s="7" t="s">
        <v>0</v>
      </c>
      <c r="BG157" s="7" t="s">
        <v>0</v>
      </c>
      <c r="BH157" s="7" t="s">
        <v>0</v>
      </c>
      <c r="BI157" s="8"/>
    </row>
    <row r="158" spans="1:61" x14ac:dyDescent="0.25">
      <c r="A158" s="22">
        <f t="shared" si="14"/>
        <v>152</v>
      </c>
      <c r="B158" s="214" t="str">
        <f t="shared" si="17"/>
        <v>F0013548111</v>
      </c>
      <c r="C158" s="214" t="str">
        <f t="shared" si="18"/>
        <v>82115-0E450 L</v>
      </c>
      <c r="D158" s="45" t="str">
        <f>VLOOKUP(B158,'Timing Table'!B:J,9,0)</f>
        <v>C/O</v>
      </c>
      <c r="E158" s="22" t="str">
        <f>VLOOKUP(B158,'Timing Table'!B:H,7,0)</f>
        <v>GAS</v>
      </c>
      <c r="F158" s="121" t="s">
        <v>64</v>
      </c>
      <c r="G158" s="146" t="s">
        <v>286</v>
      </c>
      <c r="H158" s="121" t="s">
        <v>65</v>
      </c>
      <c r="I158" s="150" t="s">
        <v>292</v>
      </c>
      <c r="J158" s="151"/>
      <c r="K158" s="151"/>
      <c r="L158" s="152"/>
      <c r="M158" s="121" t="s">
        <v>66</v>
      </c>
      <c r="N158" s="146">
        <v>2023</v>
      </c>
      <c r="O158" s="140" t="s">
        <v>67</v>
      </c>
      <c r="P158" s="141"/>
      <c r="Q158" s="153" t="s">
        <v>294</v>
      </c>
      <c r="R158" s="122" t="s">
        <v>0</v>
      </c>
      <c r="S158" s="123"/>
      <c r="T158" s="123"/>
      <c r="U158" s="123" t="s">
        <v>0</v>
      </c>
      <c r="V158" s="123" t="s">
        <v>0</v>
      </c>
      <c r="W158" s="123" t="s">
        <v>0</v>
      </c>
      <c r="X158" s="123" t="s">
        <v>0</v>
      </c>
      <c r="Y158" s="123" t="s">
        <v>0</v>
      </c>
      <c r="Z158" s="123" t="s">
        <v>0</v>
      </c>
      <c r="AA158" s="123" t="s">
        <v>0</v>
      </c>
      <c r="AB158" s="123" t="s">
        <v>0</v>
      </c>
      <c r="AC158" s="123" t="s">
        <v>0</v>
      </c>
      <c r="AD158" s="123" t="s">
        <v>0</v>
      </c>
      <c r="AE158" s="123" t="s">
        <v>0</v>
      </c>
      <c r="AF158" s="123" t="s">
        <v>0</v>
      </c>
      <c r="AG158" s="123" t="s">
        <v>0</v>
      </c>
      <c r="AH158" s="123" t="s">
        <v>0</v>
      </c>
      <c r="AI158" s="123" t="s">
        <v>0</v>
      </c>
      <c r="AJ158" s="123" t="s">
        <v>0</v>
      </c>
      <c r="AK158" s="123" t="s">
        <v>0</v>
      </c>
      <c r="AL158" s="123" t="s">
        <v>0</v>
      </c>
      <c r="AM158" s="123" t="s">
        <v>0</v>
      </c>
      <c r="AN158" s="123" t="s">
        <v>0</v>
      </c>
      <c r="AO158" s="123" t="s">
        <v>0</v>
      </c>
      <c r="AP158" s="123" t="s">
        <v>0</v>
      </c>
      <c r="AQ158" s="123" t="s">
        <v>0</v>
      </c>
      <c r="AR158" s="123" t="s">
        <v>0</v>
      </c>
      <c r="AS158" s="123" t="s">
        <v>0</v>
      </c>
      <c r="AT158" s="123" t="s">
        <v>0</v>
      </c>
      <c r="AU158" s="123" t="s">
        <v>0</v>
      </c>
      <c r="AV158" s="123" t="s">
        <v>0</v>
      </c>
      <c r="AW158" s="123" t="s">
        <v>0</v>
      </c>
      <c r="AX158" s="123" t="s">
        <v>0</v>
      </c>
      <c r="AY158" s="123" t="s">
        <v>0</v>
      </c>
      <c r="AZ158" s="123" t="s">
        <v>0</v>
      </c>
      <c r="BA158" s="123" t="s">
        <v>0</v>
      </c>
      <c r="BB158" s="123" t="s">
        <v>0</v>
      </c>
      <c r="BC158" s="123" t="s">
        <v>0</v>
      </c>
      <c r="BD158" s="123" t="s">
        <v>0</v>
      </c>
      <c r="BE158" s="123" t="s">
        <v>0</v>
      </c>
      <c r="BF158" s="123" t="s">
        <v>0</v>
      </c>
      <c r="BG158" s="123" t="s">
        <v>0</v>
      </c>
      <c r="BH158" s="123" t="s">
        <v>0</v>
      </c>
      <c r="BI158" s="124"/>
    </row>
    <row r="159" spans="1:61" x14ac:dyDescent="0.25">
      <c r="A159" s="22">
        <f t="shared" si="14"/>
        <v>153</v>
      </c>
      <c r="B159" s="214" t="str">
        <f t="shared" si="17"/>
        <v>F0013548111</v>
      </c>
      <c r="C159" s="214" t="str">
        <f t="shared" si="18"/>
        <v>82115-0E450 L</v>
      </c>
      <c r="D159" s="45" t="str">
        <f>VLOOKUP(B159,'Timing Table'!B:J,9,0)</f>
        <v>C/O</v>
      </c>
      <c r="E159" s="22" t="str">
        <f>VLOOKUP(B159,'Timing Table'!B:H,7,0)</f>
        <v>GAS</v>
      </c>
      <c r="F159" s="121" t="s">
        <v>68</v>
      </c>
      <c r="G159" s="146" t="s">
        <v>344</v>
      </c>
      <c r="H159" s="121" t="s">
        <v>69</v>
      </c>
      <c r="I159" s="154" t="s">
        <v>58</v>
      </c>
      <c r="J159" s="155" t="s">
        <v>0</v>
      </c>
      <c r="K159" s="156" t="s">
        <v>0</v>
      </c>
      <c r="L159" s="157" t="s">
        <v>0</v>
      </c>
      <c r="M159" s="134" t="s">
        <v>0</v>
      </c>
      <c r="N159" s="134" t="s">
        <v>0</v>
      </c>
      <c r="O159" s="134" t="s">
        <v>0</v>
      </c>
      <c r="P159" s="134" t="s">
        <v>0</v>
      </c>
      <c r="Q159" s="134" t="s">
        <v>1</v>
      </c>
      <c r="R159" s="134" t="s">
        <v>2</v>
      </c>
      <c r="S159" s="134" t="s">
        <v>0</v>
      </c>
      <c r="T159" s="134" t="s">
        <v>0</v>
      </c>
      <c r="U159" s="134" t="s">
        <v>0</v>
      </c>
      <c r="V159" s="134" t="s">
        <v>0</v>
      </c>
      <c r="W159" s="134" t="s">
        <v>0</v>
      </c>
      <c r="X159" s="134" t="s">
        <v>0</v>
      </c>
      <c r="Y159" s="134" t="s">
        <v>0</v>
      </c>
      <c r="Z159" s="134" t="s">
        <v>3</v>
      </c>
      <c r="AA159" s="134" t="s">
        <v>0</v>
      </c>
      <c r="AB159" s="134" t="s">
        <v>0</v>
      </c>
      <c r="AC159" s="134" t="s">
        <v>0</v>
      </c>
      <c r="AD159" s="134" t="s">
        <v>0</v>
      </c>
      <c r="AE159" s="134" t="s">
        <v>0</v>
      </c>
      <c r="AF159" s="134" t="s">
        <v>0</v>
      </c>
      <c r="AG159" s="134" t="s">
        <v>0</v>
      </c>
      <c r="AH159" s="134" t="s">
        <v>0</v>
      </c>
      <c r="AI159" s="134" t="s">
        <v>0</v>
      </c>
      <c r="AJ159" s="134" t="s">
        <v>0</v>
      </c>
      <c r="AK159" s="134" t="s">
        <v>0</v>
      </c>
      <c r="AL159" s="134" t="s">
        <v>0</v>
      </c>
      <c r="AM159" s="134" t="s">
        <v>0</v>
      </c>
      <c r="AN159" s="134" t="s">
        <v>0</v>
      </c>
      <c r="AO159" s="134" t="s">
        <v>0</v>
      </c>
      <c r="AP159" s="134" t="s">
        <v>0</v>
      </c>
      <c r="AQ159" s="134" t="s">
        <v>0</v>
      </c>
      <c r="AR159" s="134" t="s">
        <v>0</v>
      </c>
      <c r="AS159" s="134" t="s">
        <v>0</v>
      </c>
      <c r="AT159" s="134" t="s">
        <v>0</v>
      </c>
      <c r="AU159" s="134" t="s">
        <v>0</v>
      </c>
      <c r="AV159" s="134" t="s">
        <v>0</v>
      </c>
      <c r="AW159" s="134" t="s">
        <v>0</v>
      </c>
      <c r="AX159" s="134" t="s">
        <v>0</v>
      </c>
      <c r="AY159" s="134" t="s">
        <v>0</v>
      </c>
      <c r="AZ159" s="134" t="s">
        <v>0</v>
      </c>
      <c r="BA159" s="134" t="s">
        <v>0</v>
      </c>
      <c r="BB159" s="134" t="s">
        <v>0</v>
      </c>
      <c r="BC159" s="134" t="s">
        <v>0</v>
      </c>
      <c r="BD159" s="134" t="s">
        <v>0</v>
      </c>
      <c r="BE159" s="134" t="s">
        <v>0</v>
      </c>
      <c r="BF159" s="134" t="s">
        <v>0</v>
      </c>
      <c r="BG159" s="134" t="s">
        <v>0</v>
      </c>
      <c r="BH159" s="134" t="s">
        <v>0</v>
      </c>
      <c r="BI159" s="135" t="s">
        <v>4</v>
      </c>
    </row>
    <row r="160" spans="1:61" x14ac:dyDescent="0.25">
      <c r="A160" s="22">
        <f t="shared" si="14"/>
        <v>154</v>
      </c>
      <c r="B160" s="214" t="str">
        <f t="shared" si="17"/>
        <v>F0013548111</v>
      </c>
      <c r="C160" s="214" t="str">
        <f t="shared" si="18"/>
        <v>82115-0E450 L</v>
      </c>
      <c r="D160" s="45" t="str">
        <f>VLOOKUP(B160,'Timing Table'!B:J,9,0)</f>
        <v>C/O</v>
      </c>
      <c r="E160" s="22" t="str">
        <f>VLOOKUP(B160,'Timing Table'!B:H,7,0)</f>
        <v>GAS</v>
      </c>
      <c r="F160" s="121" t="s">
        <v>70</v>
      </c>
      <c r="G160" s="146">
        <v>1736</v>
      </c>
      <c r="H160" s="158" t="s">
        <v>241</v>
      </c>
      <c r="I160" s="159" t="s">
        <v>71</v>
      </c>
      <c r="J160" s="13">
        <v>46041</v>
      </c>
      <c r="K160" s="14">
        <v>46048</v>
      </c>
      <c r="L160" s="14">
        <v>46055</v>
      </c>
      <c r="M160" s="14">
        <v>46062</v>
      </c>
      <c r="N160" s="14">
        <v>46069</v>
      </c>
      <c r="O160" s="14">
        <v>46076</v>
      </c>
      <c r="P160" s="14">
        <v>46083</v>
      </c>
      <c r="Q160" s="14">
        <v>46090</v>
      </c>
      <c r="R160" s="14">
        <v>46097</v>
      </c>
      <c r="S160" s="14">
        <v>46104</v>
      </c>
      <c r="T160" s="14">
        <v>46111</v>
      </c>
      <c r="U160" s="14">
        <v>46118</v>
      </c>
      <c r="V160" s="14">
        <v>46125</v>
      </c>
      <c r="W160" s="14">
        <v>46132</v>
      </c>
      <c r="X160" s="14">
        <v>46139</v>
      </c>
      <c r="Y160" s="14">
        <v>46146</v>
      </c>
      <c r="Z160" s="14">
        <v>46153</v>
      </c>
      <c r="AA160" s="14">
        <v>46160</v>
      </c>
      <c r="AB160" s="14">
        <v>46167</v>
      </c>
      <c r="AC160" s="14">
        <v>46174</v>
      </c>
      <c r="AD160" s="14">
        <v>46181</v>
      </c>
      <c r="AE160" s="14">
        <v>46188</v>
      </c>
      <c r="AF160" s="14">
        <v>46195</v>
      </c>
      <c r="AG160" s="14">
        <v>46202</v>
      </c>
      <c r="AH160" s="14">
        <v>46209</v>
      </c>
      <c r="AI160" s="14">
        <v>46216</v>
      </c>
      <c r="AJ160" s="14">
        <v>46223</v>
      </c>
      <c r="AK160" s="14">
        <v>46230</v>
      </c>
      <c r="AL160" s="14">
        <v>46237</v>
      </c>
      <c r="AM160" s="14">
        <v>46244</v>
      </c>
      <c r="AN160" s="14">
        <v>46251</v>
      </c>
      <c r="AO160" s="14">
        <v>46258</v>
      </c>
      <c r="AP160" s="14">
        <v>46265</v>
      </c>
      <c r="AQ160" s="14">
        <v>46272</v>
      </c>
      <c r="AR160" s="14">
        <v>46279</v>
      </c>
      <c r="AS160" s="14">
        <v>46286</v>
      </c>
      <c r="AT160" s="14">
        <v>46293</v>
      </c>
      <c r="AU160" s="14">
        <v>46300</v>
      </c>
      <c r="AV160" s="14">
        <v>46307</v>
      </c>
      <c r="AW160" s="14">
        <v>46314</v>
      </c>
      <c r="AX160" s="14">
        <v>46321</v>
      </c>
      <c r="AY160" s="14">
        <v>46328</v>
      </c>
      <c r="AZ160" s="14">
        <v>46335</v>
      </c>
      <c r="BA160" s="14">
        <v>46342</v>
      </c>
      <c r="BB160" s="14">
        <v>46349</v>
      </c>
      <c r="BC160" s="14">
        <v>46356</v>
      </c>
      <c r="BD160" s="14">
        <v>46363</v>
      </c>
      <c r="BE160" s="14">
        <v>46370</v>
      </c>
      <c r="BF160" s="14">
        <v>46377</v>
      </c>
      <c r="BG160" s="14">
        <v>46384</v>
      </c>
      <c r="BH160" s="14">
        <v>46391</v>
      </c>
      <c r="BI160" s="15">
        <v>46398</v>
      </c>
    </row>
    <row r="161" spans="1:61" x14ac:dyDescent="0.25">
      <c r="A161" s="22">
        <f t="shared" si="14"/>
        <v>155</v>
      </c>
      <c r="B161" s="214" t="str">
        <f t="shared" si="17"/>
        <v>F0013548111</v>
      </c>
      <c r="C161" s="214" t="str">
        <f t="shared" si="18"/>
        <v>82115-0E450 L</v>
      </c>
      <c r="D161" s="45" t="str">
        <f>VLOOKUP(B161,'Timing Table'!B:J,9,0)</f>
        <v>C/O</v>
      </c>
      <c r="E161" s="22" t="str">
        <f>VLOOKUP(B161,'Timing Table'!B:H,7,0)</f>
        <v>GAS</v>
      </c>
      <c r="F161" s="121" t="s">
        <v>72</v>
      </c>
      <c r="G161" s="146">
        <v>2904</v>
      </c>
      <c r="H161" s="5" t="s">
        <v>58</v>
      </c>
      <c r="I161" s="11" t="s">
        <v>83</v>
      </c>
      <c r="J161" s="16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17"/>
    </row>
    <row r="162" spans="1:61" x14ac:dyDescent="0.25">
      <c r="A162" s="22">
        <f t="shared" si="14"/>
        <v>156</v>
      </c>
      <c r="B162" s="214" t="str">
        <f t="shared" si="17"/>
        <v>F0013548111</v>
      </c>
      <c r="C162" s="214" t="str">
        <f t="shared" si="18"/>
        <v>82115-0E450 L</v>
      </c>
      <c r="D162" s="45" t="str">
        <f>VLOOKUP(B162,'Timing Table'!B:J,9,0)</f>
        <v>C/O</v>
      </c>
      <c r="E162" s="22" t="str">
        <f>VLOOKUP(B162,'Timing Table'!B:H,7,0)</f>
        <v>GAS</v>
      </c>
      <c r="F162" s="121" t="s">
        <v>73</v>
      </c>
      <c r="G162" s="160" t="s">
        <v>295</v>
      </c>
      <c r="H162" s="9" t="s">
        <v>92</v>
      </c>
      <c r="I162" s="11" t="s">
        <v>74</v>
      </c>
      <c r="J162" s="117">
        <v>196</v>
      </c>
      <c r="K162" s="50">
        <v>240</v>
      </c>
      <c r="L162" s="50">
        <v>64</v>
      </c>
      <c r="M162" s="50">
        <v>448</v>
      </c>
      <c r="N162" s="50">
        <v>196</v>
      </c>
      <c r="O162" s="50">
        <v>216</v>
      </c>
      <c r="P162" s="50">
        <v>72</v>
      </c>
      <c r="Q162" s="50">
        <v>0</v>
      </c>
      <c r="R162" s="50">
        <v>0</v>
      </c>
      <c r="S162" s="50">
        <v>0</v>
      </c>
      <c r="T162" s="50">
        <v>0</v>
      </c>
      <c r="U162" s="50">
        <v>0</v>
      </c>
      <c r="V162" s="50">
        <v>0</v>
      </c>
      <c r="W162" s="50">
        <v>0</v>
      </c>
      <c r="X162" s="50">
        <v>0</v>
      </c>
      <c r="Y162" s="50">
        <v>0</v>
      </c>
      <c r="Z162" s="50">
        <v>0</v>
      </c>
      <c r="AA162" s="50">
        <v>0</v>
      </c>
      <c r="AB162" s="50">
        <v>0</v>
      </c>
      <c r="AC162" s="50">
        <v>0</v>
      </c>
      <c r="AD162" s="50">
        <v>0</v>
      </c>
      <c r="AE162" s="50">
        <v>0</v>
      </c>
      <c r="AF162" s="50">
        <v>0</v>
      </c>
      <c r="AG162" s="50">
        <v>0</v>
      </c>
      <c r="AH162" s="50">
        <v>0</v>
      </c>
      <c r="AI162" s="50">
        <v>0</v>
      </c>
      <c r="AJ162" s="50">
        <v>0</v>
      </c>
      <c r="AK162" s="50">
        <v>0</v>
      </c>
      <c r="AL162" s="50">
        <v>0</v>
      </c>
      <c r="AM162" s="50">
        <v>0</v>
      </c>
      <c r="AN162" s="50">
        <v>0</v>
      </c>
      <c r="AO162" s="50">
        <v>0</v>
      </c>
      <c r="AP162" s="50">
        <v>0</v>
      </c>
      <c r="AQ162" s="50">
        <v>0</v>
      </c>
      <c r="AR162" s="50">
        <v>0</v>
      </c>
      <c r="AS162" s="50">
        <v>0</v>
      </c>
      <c r="AT162" s="50">
        <v>0</v>
      </c>
      <c r="AU162" s="50">
        <v>0</v>
      </c>
      <c r="AV162" s="50">
        <v>0</v>
      </c>
      <c r="AW162" s="50">
        <v>0</v>
      </c>
      <c r="AX162" s="50">
        <v>0</v>
      </c>
      <c r="AY162" s="50">
        <v>0</v>
      </c>
      <c r="AZ162" s="50">
        <v>0</v>
      </c>
      <c r="BA162" s="50">
        <v>0</v>
      </c>
      <c r="BB162" s="50">
        <v>0</v>
      </c>
      <c r="BC162" s="50">
        <v>0</v>
      </c>
      <c r="BD162" s="50">
        <v>0</v>
      </c>
      <c r="BE162" s="50">
        <v>0</v>
      </c>
      <c r="BF162" s="50">
        <v>0</v>
      </c>
      <c r="BG162" s="50">
        <v>0</v>
      </c>
      <c r="BH162" s="50">
        <v>0</v>
      </c>
      <c r="BI162" s="118">
        <v>0</v>
      </c>
    </row>
    <row r="163" spans="1:61" x14ac:dyDescent="0.25">
      <c r="A163" s="22">
        <f t="shared" si="14"/>
        <v>157</v>
      </c>
      <c r="B163" s="214" t="str">
        <f t="shared" si="17"/>
        <v>F0013548111</v>
      </c>
      <c r="C163" s="214" t="str">
        <f t="shared" si="18"/>
        <v>82115-0E450 L</v>
      </c>
      <c r="D163" s="45" t="str">
        <f>VLOOKUP(B163,'Timing Table'!B:J,9,0)</f>
        <v>C/O</v>
      </c>
      <c r="E163" s="22" t="str">
        <f>VLOOKUP(B163,'Timing Table'!B:H,7,0)</f>
        <v>GAS</v>
      </c>
      <c r="F163" s="121" t="s">
        <v>75</v>
      </c>
      <c r="G163" s="146">
        <v>82115</v>
      </c>
      <c r="H163" s="10" t="s">
        <v>92</v>
      </c>
      <c r="I163" s="12" t="s">
        <v>76</v>
      </c>
      <c r="J163" s="161">
        <v>196</v>
      </c>
      <c r="K163" s="162">
        <v>436</v>
      </c>
      <c r="L163" s="162">
        <v>500</v>
      </c>
      <c r="M163" s="162">
        <v>948</v>
      </c>
      <c r="N163" s="162">
        <v>1144</v>
      </c>
      <c r="O163" s="162">
        <v>1360</v>
      </c>
      <c r="P163" s="162">
        <v>1432</v>
      </c>
      <c r="Q163" s="162">
        <v>1432</v>
      </c>
      <c r="R163" s="162">
        <v>1432</v>
      </c>
      <c r="S163" s="162">
        <v>1432</v>
      </c>
      <c r="T163" s="162">
        <v>1432</v>
      </c>
      <c r="U163" s="162">
        <v>1432</v>
      </c>
      <c r="V163" s="162">
        <v>1432</v>
      </c>
      <c r="W163" s="162">
        <v>1432</v>
      </c>
      <c r="X163" s="162">
        <v>1432</v>
      </c>
      <c r="Y163" s="162">
        <v>1432</v>
      </c>
      <c r="Z163" s="162">
        <v>1432</v>
      </c>
      <c r="AA163" s="162">
        <v>1432</v>
      </c>
      <c r="AB163" s="162">
        <v>1432</v>
      </c>
      <c r="AC163" s="162">
        <v>1432</v>
      </c>
      <c r="AD163" s="162">
        <v>1432</v>
      </c>
      <c r="AE163" s="162">
        <v>1432</v>
      </c>
      <c r="AF163" s="162">
        <v>1432</v>
      </c>
      <c r="AG163" s="162">
        <v>1432</v>
      </c>
      <c r="AH163" s="162">
        <v>1432</v>
      </c>
      <c r="AI163" s="162">
        <v>1432</v>
      </c>
      <c r="AJ163" s="162">
        <v>1432</v>
      </c>
      <c r="AK163" s="162">
        <v>1432</v>
      </c>
      <c r="AL163" s="162">
        <v>1432</v>
      </c>
      <c r="AM163" s="162">
        <v>1432</v>
      </c>
      <c r="AN163" s="162">
        <v>1432</v>
      </c>
      <c r="AO163" s="162">
        <v>1432</v>
      </c>
      <c r="AP163" s="162">
        <v>1432</v>
      </c>
      <c r="AQ163" s="162">
        <v>1432</v>
      </c>
      <c r="AR163" s="162">
        <v>1432</v>
      </c>
      <c r="AS163" s="162">
        <v>1432</v>
      </c>
      <c r="AT163" s="162">
        <v>1432</v>
      </c>
      <c r="AU163" s="162">
        <v>1432</v>
      </c>
      <c r="AV163" s="162">
        <v>1432</v>
      </c>
      <c r="AW163" s="162">
        <v>1432</v>
      </c>
      <c r="AX163" s="162">
        <v>1432</v>
      </c>
      <c r="AY163" s="162">
        <v>1432</v>
      </c>
      <c r="AZ163" s="162">
        <v>1432</v>
      </c>
      <c r="BA163" s="162">
        <v>1432</v>
      </c>
      <c r="BB163" s="162">
        <v>1432</v>
      </c>
      <c r="BC163" s="162">
        <v>1432</v>
      </c>
      <c r="BD163" s="162">
        <v>1432</v>
      </c>
      <c r="BE163" s="162">
        <v>1432</v>
      </c>
      <c r="BF163" s="162">
        <v>1432</v>
      </c>
      <c r="BG163" s="162">
        <v>1432</v>
      </c>
      <c r="BH163" s="162">
        <v>1432</v>
      </c>
      <c r="BI163" s="163">
        <v>1432</v>
      </c>
    </row>
    <row r="164" spans="1:61" x14ac:dyDescent="0.25">
      <c r="A164" s="22">
        <f t="shared" si="14"/>
        <v>158</v>
      </c>
      <c r="B164" s="214" t="str">
        <f t="shared" si="17"/>
        <v>F0013548111</v>
      </c>
      <c r="C164" s="214" t="str">
        <f t="shared" si="18"/>
        <v>82115-0E450 L</v>
      </c>
      <c r="D164" s="45" t="str">
        <f>VLOOKUP(B164,'Timing Table'!B:J,9,0)</f>
        <v>C/O</v>
      </c>
      <c r="E164" s="22" t="str">
        <f>VLOOKUP(B164,'Timing Table'!B:H,7,0)</f>
        <v>GAS</v>
      </c>
      <c r="F164" s="164" t="s">
        <v>77</v>
      </c>
      <c r="G164" s="165">
        <v>0</v>
      </c>
      <c r="H164" s="166" t="s">
        <v>78</v>
      </c>
      <c r="I164" s="167"/>
      <c r="J164" s="168"/>
      <c r="K164" s="169"/>
      <c r="L164" s="170" t="s">
        <v>0</v>
      </c>
      <c r="M164" s="170" t="s">
        <v>0</v>
      </c>
      <c r="N164" s="170" t="s">
        <v>0</v>
      </c>
      <c r="O164" s="170" t="s">
        <v>0</v>
      </c>
      <c r="P164" s="170" t="s">
        <v>0</v>
      </c>
      <c r="Q164" s="170">
        <v>-1</v>
      </c>
      <c r="R164" s="170" t="s">
        <v>0</v>
      </c>
      <c r="S164" s="170" t="s">
        <v>0</v>
      </c>
      <c r="T164" s="170" t="s">
        <v>0</v>
      </c>
      <c r="U164" s="170" t="s">
        <v>0</v>
      </c>
      <c r="V164" s="170" t="s">
        <v>0</v>
      </c>
      <c r="W164" s="170" t="s">
        <v>0</v>
      </c>
      <c r="X164" s="170" t="s">
        <v>0</v>
      </c>
      <c r="Y164" s="170" t="s">
        <v>0</v>
      </c>
      <c r="Z164" s="170" t="s">
        <v>0</v>
      </c>
      <c r="AA164" s="170" t="s">
        <v>0</v>
      </c>
      <c r="AB164" s="170" t="s">
        <v>0</v>
      </c>
      <c r="AC164" s="170" t="s">
        <v>0</v>
      </c>
      <c r="AD164" s="170" t="s">
        <v>0</v>
      </c>
      <c r="AE164" s="170" t="s">
        <v>0</v>
      </c>
      <c r="AF164" s="170" t="s">
        <v>0</v>
      </c>
      <c r="AG164" s="170" t="s">
        <v>0</v>
      </c>
      <c r="AH164" s="170" t="s">
        <v>0</v>
      </c>
      <c r="AI164" s="170" t="s">
        <v>0</v>
      </c>
      <c r="AJ164" s="170" t="s">
        <v>0</v>
      </c>
      <c r="AK164" s="170" t="s">
        <v>0</v>
      </c>
      <c r="AL164" s="170" t="s">
        <v>0</v>
      </c>
      <c r="AM164" s="170" t="s">
        <v>0</v>
      </c>
      <c r="AN164" s="170" t="s">
        <v>0</v>
      </c>
      <c r="AO164" s="170" t="s">
        <v>0</v>
      </c>
      <c r="AP164" s="170" t="s">
        <v>0</v>
      </c>
      <c r="AQ164" s="170" t="s">
        <v>0</v>
      </c>
      <c r="AR164" s="170" t="s">
        <v>0</v>
      </c>
      <c r="AS164" s="170" t="s">
        <v>0</v>
      </c>
      <c r="AT164" s="170" t="s">
        <v>0</v>
      </c>
      <c r="AU164" s="170" t="s">
        <v>0</v>
      </c>
      <c r="AV164" s="170" t="s">
        <v>0</v>
      </c>
      <c r="AW164" s="170" t="s">
        <v>0</v>
      </c>
      <c r="AX164" s="170" t="s">
        <v>0</v>
      </c>
      <c r="AY164" s="170" t="s">
        <v>0</v>
      </c>
      <c r="AZ164" s="170" t="s">
        <v>0</v>
      </c>
      <c r="BA164" s="170" t="s">
        <v>0</v>
      </c>
      <c r="BB164" s="170" t="s">
        <v>0</v>
      </c>
      <c r="BC164" s="170" t="s">
        <v>0</v>
      </c>
      <c r="BD164" s="170" t="s">
        <v>0</v>
      </c>
      <c r="BE164" s="170" t="s">
        <v>0</v>
      </c>
      <c r="BF164" s="170" t="s">
        <v>0</v>
      </c>
      <c r="BG164" s="170" t="s">
        <v>0</v>
      </c>
      <c r="BH164" s="170" t="s">
        <v>0</v>
      </c>
      <c r="BI164" s="171"/>
    </row>
    <row r="165" spans="1:61" x14ac:dyDescent="0.25">
      <c r="A165" s="22">
        <f t="shared" si="14"/>
        <v>159</v>
      </c>
      <c r="B165" s="214" t="str">
        <f t="shared" si="17"/>
        <v>F0013548111</v>
      </c>
      <c r="C165" s="214" t="str">
        <f>IF(F165=$F$7,#REF!,C164)</f>
        <v>82115-0E450 L</v>
      </c>
      <c r="D165" s="45" t="str">
        <f>VLOOKUP(B165,'Timing Table'!B:J,9,0)</f>
        <v>C/O</v>
      </c>
      <c r="E165" s="22" t="str">
        <f>VLOOKUP(B165,'Timing Table'!B:H,7,0)</f>
        <v>GAS</v>
      </c>
      <c r="F165" s="172" t="s">
        <v>79</v>
      </c>
      <c r="G165" s="173" t="s">
        <v>58</v>
      </c>
      <c r="H165" s="174" t="s">
        <v>58</v>
      </c>
      <c r="I165" s="175" t="s">
        <v>58</v>
      </c>
      <c r="J165" s="175" t="s">
        <v>0</v>
      </c>
      <c r="K165" s="175" t="s">
        <v>0</v>
      </c>
      <c r="L165" s="175" t="s">
        <v>0</v>
      </c>
      <c r="M165" s="175" t="s">
        <v>0</v>
      </c>
      <c r="N165" s="175" t="s">
        <v>0</v>
      </c>
      <c r="O165" s="175" t="s">
        <v>0</v>
      </c>
      <c r="P165" s="175" t="s">
        <v>0</v>
      </c>
      <c r="Q165" s="175" t="s">
        <v>321</v>
      </c>
      <c r="R165" s="175"/>
      <c r="S165" s="175" t="s">
        <v>0</v>
      </c>
      <c r="T165" s="175" t="s">
        <v>0</v>
      </c>
      <c r="U165" s="175" t="s">
        <v>0</v>
      </c>
      <c r="V165" s="175" t="s">
        <v>0</v>
      </c>
      <c r="W165" s="175" t="s">
        <v>0</v>
      </c>
      <c r="X165" s="175" t="s">
        <v>0</v>
      </c>
      <c r="Y165" s="175" t="s">
        <v>0</v>
      </c>
      <c r="Z165" s="175" t="s">
        <v>0</v>
      </c>
      <c r="AA165" s="175" t="s">
        <v>0</v>
      </c>
      <c r="AB165" s="175" t="s">
        <v>0</v>
      </c>
      <c r="AC165" s="175" t="s">
        <v>0</v>
      </c>
      <c r="AD165" s="175" t="s">
        <v>0</v>
      </c>
      <c r="AE165" s="175" t="s">
        <v>0</v>
      </c>
      <c r="AF165" s="175" t="s">
        <v>0</v>
      </c>
      <c r="AG165" s="175" t="s">
        <v>0</v>
      </c>
      <c r="AH165" s="175" t="s">
        <v>0</v>
      </c>
      <c r="AI165" s="175" t="s">
        <v>0</v>
      </c>
      <c r="AJ165" s="175" t="s">
        <v>0</v>
      </c>
      <c r="AK165" s="175" t="s">
        <v>0</v>
      </c>
      <c r="AL165" s="175" t="s">
        <v>0</v>
      </c>
      <c r="AM165" s="175" t="s">
        <v>0</v>
      </c>
      <c r="AN165" s="175" t="s">
        <v>0</v>
      </c>
      <c r="AO165" s="175" t="s">
        <v>0</v>
      </c>
      <c r="AP165" s="175" t="s">
        <v>0</v>
      </c>
      <c r="AQ165" s="175" t="s">
        <v>0</v>
      </c>
      <c r="AR165" s="175" t="s">
        <v>0</v>
      </c>
      <c r="AS165" s="175" t="s">
        <v>0</v>
      </c>
      <c r="AT165" s="175" t="s">
        <v>0</v>
      </c>
      <c r="AU165" s="175" t="s">
        <v>0</v>
      </c>
      <c r="AV165" s="175" t="s">
        <v>0</v>
      </c>
      <c r="AW165" s="175" t="s">
        <v>0</v>
      </c>
      <c r="AX165" s="175" t="s">
        <v>0</v>
      </c>
      <c r="AY165" s="175" t="s">
        <v>0</v>
      </c>
      <c r="AZ165" s="175" t="s">
        <v>0</v>
      </c>
      <c r="BA165" s="175" t="s">
        <v>0</v>
      </c>
      <c r="BB165" s="175" t="s">
        <v>0</v>
      </c>
      <c r="BC165" s="175" t="s">
        <v>0</v>
      </c>
      <c r="BD165" s="175" t="s">
        <v>0</v>
      </c>
      <c r="BE165" s="175" t="s">
        <v>0</v>
      </c>
      <c r="BF165" s="175" t="s">
        <v>0</v>
      </c>
      <c r="BG165" s="175" t="s">
        <v>0</v>
      </c>
      <c r="BH165" s="175" t="s">
        <v>0</v>
      </c>
      <c r="BI165" s="176"/>
    </row>
    <row r="166" spans="1:61" x14ac:dyDescent="0.25">
      <c r="A166" s="22">
        <f t="shared" si="14"/>
        <v>160</v>
      </c>
      <c r="B166" s="214" t="str">
        <f>IF(F166=$F$7,#REF!,B165)</f>
        <v>F0013548111</v>
      </c>
      <c r="C166" s="214" t="str">
        <f>IF(F166=$F$7,#REF!,C165)</f>
        <v>82115-0E450 L</v>
      </c>
      <c r="D166" s="45" t="str">
        <f>VLOOKUP(B166,'Timing Table'!B:J,9,0)</f>
        <v>C/O</v>
      </c>
      <c r="E166" s="22" t="str">
        <f>VLOOKUP(B166,'Timing Table'!B:H,7,0)</f>
        <v>GAS</v>
      </c>
      <c r="F166" s="177" t="s">
        <v>58</v>
      </c>
      <c r="G166" s="178" t="s">
        <v>58</v>
      </c>
      <c r="H166" s="179" t="s">
        <v>58</v>
      </c>
      <c r="I166" s="180" t="s">
        <v>58</v>
      </c>
      <c r="J166" s="180" t="s">
        <v>0</v>
      </c>
      <c r="K166" s="180" t="s">
        <v>0</v>
      </c>
      <c r="L166" s="180" t="s">
        <v>0</v>
      </c>
      <c r="M166" s="180" t="s">
        <v>0</v>
      </c>
      <c r="N166" s="180" t="s">
        <v>0</v>
      </c>
      <c r="O166" s="180" t="s">
        <v>0</v>
      </c>
      <c r="P166" s="180" t="s">
        <v>0</v>
      </c>
      <c r="Q166" s="180" t="s">
        <v>0</v>
      </c>
      <c r="R166" s="180" t="s">
        <v>0</v>
      </c>
      <c r="S166" s="180" t="s">
        <v>0</v>
      </c>
      <c r="T166" s="180" t="s">
        <v>0</v>
      </c>
      <c r="U166" s="180" t="s">
        <v>0</v>
      </c>
      <c r="V166" s="180" t="s">
        <v>0</v>
      </c>
      <c r="W166" s="180" t="s">
        <v>0</v>
      </c>
      <c r="X166" s="180" t="s">
        <v>0</v>
      </c>
      <c r="Y166" s="180" t="s">
        <v>0</v>
      </c>
      <c r="Z166" s="180" t="s">
        <v>0</v>
      </c>
      <c r="AA166" s="180" t="s">
        <v>0</v>
      </c>
      <c r="AB166" s="180" t="s">
        <v>0</v>
      </c>
      <c r="AC166" s="180" t="s">
        <v>0</v>
      </c>
      <c r="AD166" s="180" t="s">
        <v>0</v>
      </c>
      <c r="AE166" s="180" t="s">
        <v>0</v>
      </c>
      <c r="AF166" s="180" t="s">
        <v>0</v>
      </c>
      <c r="AG166" s="180" t="s">
        <v>0</v>
      </c>
      <c r="AH166" s="180" t="s">
        <v>0</v>
      </c>
      <c r="AI166" s="180" t="s">
        <v>0</v>
      </c>
      <c r="AJ166" s="180" t="s">
        <v>0</v>
      </c>
      <c r="AK166" s="180" t="s">
        <v>0</v>
      </c>
      <c r="AL166" s="180" t="s">
        <v>0</v>
      </c>
      <c r="AM166" s="180" t="s">
        <v>0</v>
      </c>
      <c r="AN166" s="180" t="s">
        <v>0</v>
      </c>
      <c r="AO166" s="180" t="s">
        <v>0</v>
      </c>
      <c r="AP166" s="180" t="s">
        <v>0</v>
      </c>
      <c r="AQ166" s="180" t="s">
        <v>0</v>
      </c>
      <c r="AR166" s="180" t="s">
        <v>0</v>
      </c>
      <c r="AS166" s="180" t="s">
        <v>0</v>
      </c>
      <c r="AT166" s="180" t="s">
        <v>0</v>
      </c>
      <c r="AU166" s="180" t="s">
        <v>0</v>
      </c>
      <c r="AV166" s="180" t="s">
        <v>0</v>
      </c>
      <c r="AW166" s="180" t="s">
        <v>0</v>
      </c>
      <c r="AX166" s="180" t="s">
        <v>0</v>
      </c>
      <c r="AY166" s="180" t="s">
        <v>0</v>
      </c>
      <c r="AZ166" s="180" t="s">
        <v>0</v>
      </c>
      <c r="BA166" s="180" t="s">
        <v>0</v>
      </c>
      <c r="BB166" s="180" t="s">
        <v>0</v>
      </c>
      <c r="BC166" s="180" t="s">
        <v>0</v>
      </c>
      <c r="BD166" s="180" t="s">
        <v>0</v>
      </c>
      <c r="BE166" s="180" t="s">
        <v>0</v>
      </c>
      <c r="BF166" s="180" t="s">
        <v>0</v>
      </c>
      <c r="BG166" s="180" t="s">
        <v>0</v>
      </c>
      <c r="BH166" s="180" t="s">
        <v>0</v>
      </c>
      <c r="BI166" s="181"/>
    </row>
    <row r="167" spans="1:61" x14ac:dyDescent="0.25">
      <c r="A167" s="22">
        <f t="shared" si="14"/>
        <v>161</v>
      </c>
      <c r="B167" s="214" t="str">
        <f t="shared" ref="B167:B215" si="19">IF(F167=$F$7,G168,B166)</f>
        <v>F0013548112</v>
      </c>
      <c r="C167" s="214" t="str">
        <f t="shared" ref="C167:C214" si="20">IF(F167=$F$7,G169,C166)</f>
        <v>82115-0E450 M</v>
      </c>
      <c r="D167" s="45" t="str">
        <f>VLOOKUP(B167,'Timing Table'!B:J,9,0)</f>
        <v>C/O</v>
      </c>
      <c r="E167" s="22" t="str">
        <f>VLOOKUP(B167,'Timing Table'!B:H,7,0)</f>
        <v>GAS</v>
      </c>
      <c r="F167" s="121" t="s">
        <v>59</v>
      </c>
      <c r="G167" s="146">
        <v>5501060668</v>
      </c>
      <c r="H167" s="121" t="s">
        <v>60</v>
      </c>
      <c r="I167" s="146">
        <v>18</v>
      </c>
      <c r="J167" s="121" t="s">
        <v>61</v>
      </c>
      <c r="K167" s="125">
        <v>1210845</v>
      </c>
      <c r="L167" s="126"/>
      <c r="M167" s="147" t="s">
        <v>62</v>
      </c>
      <c r="N167" s="148"/>
      <c r="O167" s="149">
        <v>46086</v>
      </c>
      <c r="P167" s="121" t="s">
        <v>63</v>
      </c>
      <c r="Q167" s="146">
        <v>4</v>
      </c>
      <c r="R167" s="6" t="s">
        <v>0</v>
      </c>
      <c r="S167" s="7" t="s">
        <v>0</v>
      </c>
      <c r="T167" s="7" t="s">
        <v>0</v>
      </c>
      <c r="U167" s="7" t="s">
        <v>0</v>
      </c>
      <c r="V167" s="7" t="s">
        <v>0</v>
      </c>
      <c r="W167" s="7" t="s">
        <v>0</v>
      </c>
      <c r="X167" s="7" t="s">
        <v>0</v>
      </c>
      <c r="Y167" s="7" t="s">
        <v>0</v>
      </c>
      <c r="Z167" s="7" t="s">
        <v>0</v>
      </c>
      <c r="AA167" s="7" t="s">
        <v>0</v>
      </c>
      <c r="AB167" s="7" t="s">
        <v>0</v>
      </c>
      <c r="AC167" s="7" t="s">
        <v>0</v>
      </c>
      <c r="AD167" s="7" t="s">
        <v>0</v>
      </c>
      <c r="AE167" s="7" t="s">
        <v>0</v>
      </c>
      <c r="AF167" s="7" t="s">
        <v>0</v>
      </c>
      <c r="AG167" s="7" t="s">
        <v>0</v>
      </c>
      <c r="AH167" s="7" t="s">
        <v>0</v>
      </c>
      <c r="AI167" s="7" t="s">
        <v>0</v>
      </c>
      <c r="AJ167" s="7" t="s">
        <v>0</v>
      </c>
      <c r="AK167" s="7" t="s">
        <v>0</v>
      </c>
      <c r="AL167" s="7" t="s">
        <v>0</v>
      </c>
      <c r="AM167" s="7" t="s">
        <v>0</v>
      </c>
      <c r="AN167" s="7" t="s">
        <v>0</v>
      </c>
      <c r="AO167" s="7" t="s">
        <v>0</v>
      </c>
      <c r="AP167" s="7" t="s">
        <v>0</v>
      </c>
      <c r="AQ167" s="7" t="s">
        <v>0</v>
      </c>
      <c r="AR167" s="7" t="s">
        <v>0</v>
      </c>
      <c r="AS167" s="7" t="s">
        <v>0</v>
      </c>
      <c r="AT167" s="7" t="s">
        <v>0</v>
      </c>
      <c r="AU167" s="7" t="s">
        <v>0</v>
      </c>
      <c r="AV167" s="7" t="s">
        <v>0</v>
      </c>
      <c r="AW167" s="7" t="s">
        <v>0</v>
      </c>
      <c r="AX167" s="7" t="s">
        <v>0</v>
      </c>
      <c r="AY167" s="7" t="s">
        <v>0</v>
      </c>
      <c r="AZ167" s="7" t="s">
        <v>0</v>
      </c>
      <c r="BA167" s="7" t="s">
        <v>0</v>
      </c>
      <c r="BB167" s="7" t="s">
        <v>0</v>
      </c>
      <c r="BC167" s="7" t="s">
        <v>0</v>
      </c>
      <c r="BD167" s="7" t="s">
        <v>0</v>
      </c>
      <c r="BE167" s="7" t="s">
        <v>0</v>
      </c>
      <c r="BF167" s="7" t="s">
        <v>0</v>
      </c>
      <c r="BG167" s="7" t="s">
        <v>0</v>
      </c>
      <c r="BH167" s="7" t="s">
        <v>0</v>
      </c>
      <c r="BI167" s="8"/>
    </row>
    <row r="168" spans="1:61" x14ac:dyDescent="0.25">
      <c r="A168" s="22">
        <f t="shared" si="14"/>
        <v>162</v>
      </c>
      <c r="B168" s="214" t="str">
        <f t="shared" si="19"/>
        <v>F0013548112</v>
      </c>
      <c r="C168" s="214" t="str">
        <f t="shared" si="20"/>
        <v>82115-0E450 M</v>
      </c>
      <c r="D168" s="45" t="str">
        <f>VLOOKUP(B168,'Timing Table'!B:J,9,0)</f>
        <v>C/O</v>
      </c>
      <c r="E168" s="22" t="str">
        <f>VLOOKUP(B168,'Timing Table'!B:H,7,0)</f>
        <v>GAS</v>
      </c>
      <c r="F168" s="121" t="s">
        <v>64</v>
      </c>
      <c r="G168" s="146" t="s">
        <v>271</v>
      </c>
      <c r="H168" s="121" t="s">
        <v>65</v>
      </c>
      <c r="I168" s="150" t="s">
        <v>282</v>
      </c>
      <c r="J168" s="151"/>
      <c r="K168" s="151"/>
      <c r="L168" s="152"/>
      <c r="M168" s="121" t="s">
        <v>66</v>
      </c>
      <c r="N168" s="146">
        <v>2025</v>
      </c>
      <c r="O168" s="140" t="s">
        <v>67</v>
      </c>
      <c r="P168" s="141"/>
      <c r="Q168" s="153" t="s">
        <v>279</v>
      </c>
      <c r="R168" s="122" t="s">
        <v>0</v>
      </c>
      <c r="S168" s="123"/>
      <c r="T168" s="123"/>
      <c r="U168" s="123" t="s">
        <v>0</v>
      </c>
      <c r="V168" s="123" t="s">
        <v>0</v>
      </c>
      <c r="W168" s="123" t="s">
        <v>0</v>
      </c>
      <c r="X168" s="123" t="s">
        <v>0</v>
      </c>
      <c r="Y168" s="123" t="s">
        <v>0</v>
      </c>
      <c r="Z168" s="123" t="s">
        <v>0</v>
      </c>
      <c r="AA168" s="123" t="s">
        <v>0</v>
      </c>
      <c r="AB168" s="123" t="s">
        <v>0</v>
      </c>
      <c r="AC168" s="123" t="s">
        <v>0</v>
      </c>
      <c r="AD168" s="123" t="s">
        <v>0</v>
      </c>
      <c r="AE168" s="123" t="s">
        <v>0</v>
      </c>
      <c r="AF168" s="123" t="s">
        <v>0</v>
      </c>
      <c r="AG168" s="123" t="s">
        <v>0</v>
      </c>
      <c r="AH168" s="123" t="s">
        <v>0</v>
      </c>
      <c r="AI168" s="123" t="s">
        <v>0</v>
      </c>
      <c r="AJ168" s="123" t="s">
        <v>0</v>
      </c>
      <c r="AK168" s="123" t="s">
        <v>0</v>
      </c>
      <c r="AL168" s="123" t="s">
        <v>0</v>
      </c>
      <c r="AM168" s="123" t="s">
        <v>0</v>
      </c>
      <c r="AN168" s="123" t="s">
        <v>0</v>
      </c>
      <c r="AO168" s="123" t="s">
        <v>0</v>
      </c>
      <c r="AP168" s="123" t="s">
        <v>0</v>
      </c>
      <c r="AQ168" s="123" t="s">
        <v>0</v>
      </c>
      <c r="AR168" s="123" t="s">
        <v>0</v>
      </c>
      <c r="AS168" s="123" t="s">
        <v>0</v>
      </c>
      <c r="AT168" s="123" t="s">
        <v>0</v>
      </c>
      <c r="AU168" s="123" t="s">
        <v>0</v>
      </c>
      <c r="AV168" s="123" t="s">
        <v>0</v>
      </c>
      <c r="AW168" s="123" t="s">
        <v>0</v>
      </c>
      <c r="AX168" s="123" t="s">
        <v>0</v>
      </c>
      <c r="AY168" s="123" t="s">
        <v>0</v>
      </c>
      <c r="AZ168" s="123" t="s">
        <v>0</v>
      </c>
      <c r="BA168" s="123" t="s">
        <v>0</v>
      </c>
      <c r="BB168" s="123" t="s">
        <v>0</v>
      </c>
      <c r="BC168" s="123" t="s">
        <v>0</v>
      </c>
      <c r="BD168" s="123" t="s">
        <v>0</v>
      </c>
      <c r="BE168" s="123" t="s">
        <v>0</v>
      </c>
      <c r="BF168" s="123" t="s">
        <v>0</v>
      </c>
      <c r="BG168" s="123" t="s">
        <v>0</v>
      </c>
      <c r="BH168" s="123" t="s">
        <v>0</v>
      </c>
      <c r="BI168" s="124"/>
    </row>
    <row r="169" spans="1:61" x14ac:dyDescent="0.25">
      <c r="A169" s="22">
        <f t="shared" si="14"/>
        <v>163</v>
      </c>
      <c r="B169" s="214" t="str">
        <f t="shared" si="19"/>
        <v>F0013548112</v>
      </c>
      <c r="C169" s="214" t="str">
        <f t="shared" si="20"/>
        <v>82115-0E450 M</v>
      </c>
      <c r="D169" s="45" t="str">
        <f>VLOOKUP(B169,'Timing Table'!B:J,9,0)</f>
        <v>C/O</v>
      </c>
      <c r="E169" s="22" t="str">
        <f>VLOOKUP(B169,'Timing Table'!B:H,7,0)</f>
        <v>GAS</v>
      </c>
      <c r="F169" s="121" t="s">
        <v>68</v>
      </c>
      <c r="G169" s="146" t="s">
        <v>345</v>
      </c>
      <c r="H169" s="121" t="s">
        <v>69</v>
      </c>
      <c r="I169" s="154" t="s">
        <v>58</v>
      </c>
      <c r="J169" s="155" t="s">
        <v>0</v>
      </c>
      <c r="K169" s="156" t="s">
        <v>0</v>
      </c>
      <c r="L169" s="157" t="s">
        <v>0</v>
      </c>
      <c r="M169" s="134" t="s">
        <v>0</v>
      </c>
      <c r="N169" s="134" t="s">
        <v>0</v>
      </c>
      <c r="O169" s="134" t="s">
        <v>0</v>
      </c>
      <c r="P169" s="134" t="s">
        <v>0</v>
      </c>
      <c r="Q169" s="134" t="s">
        <v>1</v>
      </c>
      <c r="R169" s="134" t="s">
        <v>2</v>
      </c>
      <c r="S169" s="134" t="s">
        <v>0</v>
      </c>
      <c r="T169" s="134" t="s">
        <v>0</v>
      </c>
      <c r="U169" s="134" t="s">
        <v>0</v>
      </c>
      <c r="V169" s="134" t="s">
        <v>0</v>
      </c>
      <c r="W169" s="134" t="s">
        <v>0</v>
      </c>
      <c r="X169" s="134" t="s">
        <v>0</v>
      </c>
      <c r="Y169" s="134" t="s">
        <v>0</v>
      </c>
      <c r="Z169" s="134" t="s">
        <v>3</v>
      </c>
      <c r="AA169" s="134" t="s">
        <v>0</v>
      </c>
      <c r="AB169" s="134" t="s">
        <v>0</v>
      </c>
      <c r="AC169" s="134" t="s">
        <v>0</v>
      </c>
      <c r="AD169" s="134" t="s">
        <v>0</v>
      </c>
      <c r="AE169" s="134" t="s">
        <v>0</v>
      </c>
      <c r="AF169" s="134" t="s">
        <v>0</v>
      </c>
      <c r="AG169" s="134" t="s">
        <v>0</v>
      </c>
      <c r="AH169" s="134" t="s">
        <v>0</v>
      </c>
      <c r="AI169" s="134" t="s">
        <v>0</v>
      </c>
      <c r="AJ169" s="134" t="s">
        <v>0</v>
      </c>
      <c r="AK169" s="134" t="s">
        <v>0</v>
      </c>
      <c r="AL169" s="134" t="s">
        <v>0</v>
      </c>
      <c r="AM169" s="134" t="s">
        <v>0</v>
      </c>
      <c r="AN169" s="134" t="s">
        <v>0</v>
      </c>
      <c r="AO169" s="134" t="s">
        <v>0</v>
      </c>
      <c r="AP169" s="134" t="s">
        <v>0</v>
      </c>
      <c r="AQ169" s="134" t="s">
        <v>0</v>
      </c>
      <c r="AR169" s="134" t="s">
        <v>0</v>
      </c>
      <c r="AS169" s="134" t="s">
        <v>0</v>
      </c>
      <c r="AT169" s="134" t="s">
        <v>0</v>
      </c>
      <c r="AU169" s="134" t="s">
        <v>0</v>
      </c>
      <c r="AV169" s="134" t="s">
        <v>0</v>
      </c>
      <c r="AW169" s="134" t="s">
        <v>0</v>
      </c>
      <c r="AX169" s="134" t="s">
        <v>0</v>
      </c>
      <c r="AY169" s="134" t="s">
        <v>0</v>
      </c>
      <c r="AZ169" s="134" t="s">
        <v>0</v>
      </c>
      <c r="BA169" s="134" t="s">
        <v>0</v>
      </c>
      <c r="BB169" s="134" t="s">
        <v>0</v>
      </c>
      <c r="BC169" s="134" t="s">
        <v>0</v>
      </c>
      <c r="BD169" s="134" t="s">
        <v>0</v>
      </c>
      <c r="BE169" s="134" t="s">
        <v>0</v>
      </c>
      <c r="BF169" s="134" t="s">
        <v>0</v>
      </c>
      <c r="BG169" s="134" t="s">
        <v>0</v>
      </c>
      <c r="BH169" s="134" t="s">
        <v>0</v>
      </c>
      <c r="BI169" s="135" t="s">
        <v>4</v>
      </c>
    </row>
    <row r="170" spans="1:61" x14ac:dyDescent="0.25">
      <c r="A170" s="22">
        <f t="shared" si="14"/>
        <v>164</v>
      </c>
      <c r="B170" s="214" t="str">
        <f t="shared" si="19"/>
        <v>F0013548112</v>
      </c>
      <c r="C170" s="214" t="str">
        <f t="shared" si="20"/>
        <v>82115-0E450 M</v>
      </c>
      <c r="D170" s="45" t="str">
        <f>VLOOKUP(B170,'Timing Table'!B:J,9,0)</f>
        <v>C/O</v>
      </c>
      <c r="E170" s="22" t="str">
        <f>VLOOKUP(B170,'Timing Table'!B:H,7,0)</f>
        <v>GAS</v>
      </c>
      <c r="F170" s="121" t="s">
        <v>70</v>
      </c>
      <c r="G170" s="146">
        <v>672</v>
      </c>
      <c r="H170" s="158" t="s">
        <v>241</v>
      </c>
      <c r="I170" s="159" t="s">
        <v>71</v>
      </c>
      <c r="J170" s="13">
        <v>46041</v>
      </c>
      <c r="K170" s="14">
        <v>46048</v>
      </c>
      <c r="L170" s="14">
        <v>46055</v>
      </c>
      <c r="M170" s="14">
        <v>46062</v>
      </c>
      <c r="N170" s="14">
        <v>46069</v>
      </c>
      <c r="O170" s="14">
        <v>46076</v>
      </c>
      <c r="P170" s="14">
        <v>46083</v>
      </c>
      <c r="Q170" s="14">
        <v>46090</v>
      </c>
      <c r="R170" s="14">
        <v>46097</v>
      </c>
      <c r="S170" s="14">
        <v>46104</v>
      </c>
      <c r="T170" s="14">
        <v>46111</v>
      </c>
      <c r="U170" s="14">
        <v>46118</v>
      </c>
      <c r="V170" s="14">
        <v>46125</v>
      </c>
      <c r="W170" s="14">
        <v>46132</v>
      </c>
      <c r="X170" s="14">
        <v>46139</v>
      </c>
      <c r="Y170" s="14">
        <v>46146</v>
      </c>
      <c r="Z170" s="14">
        <v>46153</v>
      </c>
      <c r="AA170" s="14">
        <v>46160</v>
      </c>
      <c r="AB170" s="14">
        <v>46167</v>
      </c>
      <c r="AC170" s="14">
        <v>46174</v>
      </c>
      <c r="AD170" s="14">
        <v>46181</v>
      </c>
      <c r="AE170" s="14">
        <v>46188</v>
      </c>
      <c r="AF170" s="14">
        <v>46195</v>
      </c>
      <c r="AG170" s="14">
        <v>46202</v>
      </c>
      <c r="AH170" s="14">
        <v>46209</v>
      </c>
      <c r="AI170" s="14">
        <v>46216</v>
      </c>
      <c r="AJ170" s="14">
        <v>46223</v>
      </c>
      <c r="AK170" s="14">
        <v>46230</v>
      </c>
      <c r="AL170" s="14">
        <v>46237</v>
      </c>
      <c r="AM170" s="14">
        <v>46244</v>
      </c>
      <c r="AN170" s="14">
        <v>46251</v>
      </c>
      <c r="AO170" s="14">
        <v>46258</v>
      </c>
      <c r="AP170" s="14">
        <v>46265</v>
      </c>
      <c r="AQ170" s="14">
        <v>46272</v>
      </c>
      <c r="AR170" s="14">
        <v>46279</v>
      </c>
      <c r="AS170" s="14">
        <v>46286</v>
      </c>
      <c r="AT170" s="14">
        <v>46293</v>
      </c>
      <c r="AU170" s="14">
        <v>46300</v>
      </c>
      <c r="AV170" s="14">
        <v>46307</v>
      </c>
      <c r="AW170" s="14">
        <v>46314</v>
      </c>
      <c r="AX170" s="14">
        <v>46321</v>
      </c>
      <c r="AY170" s="14">
        <v>46328</v>
      </c>
      <c r="AZ170" s="14">
        <v>46335</v>
      </c>
      <c r="BA170" s="14">
        <v>46342</v>
      </c>
      <c r="BB170" s="14">
        <v>46349</v>
      </c>
      <c r="BC170" s="14">
        <v>46356</v>
      </c>
      <c r="BD170" s="14">
        <v>46363</v>
      </c>
      <c r="BE170" s="14">
        <v>46370</v>
      </c>
      <c r="BF170" s="14">
        <v>46377</v>
      </c>
      <c r="BG170" s="14">
        <v>46384</v>
      </c>
      <c r="BH170" s="14">
        <v>46391</v>
      </c>
      <c r="BI170" s="15">
        <v>46398</v>
      </c>
    </row>
    <row r="171" spans="1:61" x14ac:dyDescent="0.25">
      <c r="A171" s="22">
        <f t="shared" si="14"/>
        <v>165</v>
      </c>
      <c r="B171" s="214" t="str">
        <f t="shared" si="19"/>
        <v>F0013548112</v>
      </c>
      <c r="C171" s="214" t="str">
        <f t="shared" si="20"/>
        <v>82115-0E450 M</v>
      </c>
      <c r="D171" s="45" t="str">
        <f>VLOOKUP(B171,'Timing Table'!B:J,9,0)</f>
        <v>C/O</v>
      </c>
      <c r="E171" s="22" t="str">
        <f>VLOOKUP(B171,'Timing Table'!B:H,7,0)</f>
        <v>GAS</v>
      </c>
      <c r="F171" s="121" t="s">
        <v>72</v>
      </c>
      <c r="G171" s="146">
        <v>1768</v>
      </c>
      <c r="H171" s="5" t="s">
        <v>58</v>
      </c>
      <c r="I171" s="11" t="s">
        <v>83</v>
      </c>
      <c r="J171" s="16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17"/>
    </row>
    <row r="172" spans="1:61" x14ac:dyDescent="0.25">
      <c r="A172" s="22">
        <f t="shared" si="14"/>
        <v>166</v>
      </c>
      <c r="B172" s="214" t="str">
        <f t="shared" si="19"/>
        <v>F0013548112</v>
      </c>
      <c r="C172" s="214" t="str">
        <f t="shared" si="20"/>
        <v>82115-0E450 M</v>
      </c>
      <c r="D172" s="45" t="str">
        <f>VLOOKUP(B172,'Timing Table'!B:J,9,0)</f>
        <v>C/O</v>
      </c>
      <c r="E172" s="22" t="str">
        <f>VLOOKUP(B172,'Timing Table'!B:H,7,0)</f>
        <v>GAS</v>
      </c>
      <c r="F172" s="121" t="s">
        <v>73</v>
      </c>
      <c r="G172" s="160" t="s">
        <v>315</v>
      </c>
      <c r="H172" s="9" t="s">
        <v>92</v>
      </c>
      <c r="I172" s="11" t="s">
        <v>74</v>
      </c>
      <c r="J172" s="117">
        <v>0</v>
      </c>
      <c r="K172" s="50">
        <v>0</v>
      </c>
      <c r="L172" s="50">
        <v>0</v>
      </c>
      <c r="M172" s="50">
        <v>0</v>
      </c>
      <c r="N172" s="50">
        <v>0</v>
      </c>
      <c r="O172" s="50">
        <v>0</v>
      </c>
      <c r="P172" s="50">
        <v>100</v>
      </c>
      <c r="Q172" s="50">
        <v>264</v>
      </c>
      <c r="R172" s="50">
        <v>0</v>
      </c>
      <c r="S172" s="50">
        <v>364</v>
      </c>
      <c r="T172" s="50">
        <v>188</v>
      </c>
      <c r="U172" s="50">
        <v>188</v>
      </c>
      <c r="V172" s="50">
        <v>176</v>
      </c>
      <c r="W172" s="50">
        <v>108</v>
      </c>
      <c r="X172" s="50">
        <v>84</v>
      </c>
      <c r="Y172" s="50">
        <v>80</v>
      </c>
      <c r="Z172" s="50">
        <v>108</v>
      </c>
      <c r="AA172" s="50">
        <v>152</v>
      </c>
      <c r="AB172" s="50">
        <v>148</v>
      </c>
      <c r="AC172" s="50">
        <v>148</v>
      </c>
      <c r="AD172" s="50">
        <v>120</v>
      </c>
      <c r="AE172" s="50">
        <v>160</v>
      </c>
      <c r="AF172" s="50">
        <v>104</v>
      </c>
      <c r="AG172" s="50">
        <v>144</v>
      </c>
      <c r="AH172" s="50">
        <v>60</v>
      </c>
      <c r="AI172" s="50">
        <v>120</v>
      </c>
      <c r="AJ172" s="50">
        <v>172</v>
      </c>
      <c r="AK172" s="50">
        <v>172</v>
      </c>
      <c r="AL172" s="50">
        <v>276</v>
      </c>
      <c r="AM172" s="50">
        <v>204</v>
      </c>
      <c r="AN172" s="50">
        <v>204</v>
      </c>
      <c r="AO172" s="50">
        <v>204</v>
      </c>
      <c r="AP172" s="50">
        <v>204</v>
      </c>
      <c r="AQ172" s="50">
        <v>204</v>
      </c>
      <c r="AR172" s="50">
        <v>204</v>
      </c>
      <c r="AS172" s="50">
        <v>204</v>
      </c>
      <c r="AT172" s="50">
        <v>204</v>
      </c>
      <c r="AU172" s="50">
        <v>204</v>
      </c>
      <c r="AV172" s="50">
        <v>204</v>
      </c>
      <c r="AW172" s="50">
        <v>204</v>
      </c>
      <c r="AX172" s="50">
        <v>204</v>
      </c>
      <c r="AY172" s="50">
        <v>204</v>
      </c>
      <c r="AZ172" s="50">
        <v>204</v>
      </c>
      <c r="BA172" s="50">
        <v>204</v>
      </c>
      <c r="BB172" s="50">
        <v>204</v>
      </c>
      <c r="BC172" s="50">
        <v>204</v>
      </c>
      <c r="BD172" s="50">
        <v>204</v>
      </c>
      <c r="BE172" s="50">
        <v>204</v>
      </c>
      <c r="BF172" s="50">
        <v>204</v>
      </c>
      <c r="BG172" s="50">
        <v>204</v>
      </c>
      <c r="BH172" s="50">
        <v>204</v>
      </c>
      <c r="BI172" s="118">
        <v>204</v>
      </c>
    </row>
    <row r="173" spans="1:61" x14ac:dyDescent="0.25">
      <c r="A173" s="22">
        <f t="shared" si="14"/>
        <v>167</v>
      </c>
      <c r="B173" s="214" t="str">
        <f t="shared" si="19"/>
        <v>F0013548112</v>
      </c>
      <c r="C173" s="214" t="str">
        <f t="shared" si="20"/>
        <v>82115-0E450 M</v>
      </c>
      <c r="D173" s="45" t="str">
        <f>VLOOKUP(B173,'Timing Table'!B:J,9,0)</f>
        <v>C/O</v>
      </c>
      <c r="E173" s="22" t="str">
        <f>VLOOKUP(B173,'Timing Table'!B:H,7,0)</f>
        <v>GAS</v>
      </c>
      <c r="F173" s="121" t="s">
        <v>75</v>
      </c>
      <c r="G173" s="146">
        <v>82115</v>
      </c>
      <c r="H173" s="10" t="s">
        <v>92</v>
      </c>
      <c r="I173" s="12" t="s">
        <v>76</v>
      </c>
      <c r="J173" s="161">
        <v>0</v>
      </c>
      <c r="K173" s="162">
        <v>0</v>
      </c>
      <c r="L173" s="162">
        <v>0</v>
      </c>
      <c r="M173" s="162">
        <v>0</v>
      </c>
      <c r="N173" s="162">
        <v>0</v>
      </c>
      <c r="O173" s="162">
        <v>0</v>
      </c>
      <c r="P173" s="162">
        <v>100</v>
      </c>
      <c r="Q173" s="162">
        <v>364</v>
      </c>
      <c r="R173" s="162">
        <v>364</v>
      </c>
      <c r="S173" s="162">
        <v>728</v>
      </c>
      <c r="T173" s="162">
        <v>916</v>
      </c>
      <c r="U173" s="162">
        <v>1104</v>
      </c>
      <c r="V173" s="162">
        <v>1280</v>
      </c>
      <c r="W173" s="162">
        <v>1388</v>
      </c>
      <c r="X173" s="162">
        <v>1472</v>
      </c>
      <c r="Y173" s="162">
        <v>1552</v>
      </c>
      <c r="Z173" s="162">
        <v>1660</v>
      </c>
      <c r="AA173" s="162">
        <v>1812</v>
      </c>
      <c r="AB173" s="162">
        <v>1960</v>
      </c>
      <c r="AC173" s="162">
        <v>2108</v>
      </c>
      <c r="AD173" s="162">
        <v>2228</v>
      </c>
      <c r="AE173" s="162">
        <v>2388</v>
      </c>
      <c r="AF173" s="162">
        <v>2492</v>
      </c>
      <c r="AG173" s="162">
        <v>2636</v>
      </c>
      <c r="AH173" s="162">
        <v>2696</v>
      </c>
      <c r="AI173" s="162">
        <v>2816</v>
      </c>
      <c r="AJ173" s="162">
        <v>2988</v>
      </c>
      <c r="AK173" s="162">
        <v>3160</v>
      </c>
      <c r="AL173" s="162">
        <v>3436</v>
      </c>
      <c r="AM173" s="162">
        <v>3640</v>
      </c>
      <c r="AN173" s="162">
        <v>3844</v>
      </c>
      <c r="AO173" s="162">
        <v>4048</v>
      </c>
      <c r="AP173" s="162">
        <v>4252</v>
      </c>
      <c r="AQ173" s="162">
        <v>4456</v>
      </c>
      <c r="AR173" s="162">
        <v>4660</v>
      </c>
      <c r="AS173" s="162">
        <v>4864</v>
      </c>
      <c r="AT173" s="162">
        <v>5068</v>
      </c>
      <c r="AU173" s="162">
        <v>5272</v>
      </c>
      <c r="AV173" s="162">
        <v>5476</v>
      </c>
      <c r="AW173" s="162">
        <v>5680</v>
      </c>
      <c r="AX173" s="162">
        <v>5884</v>
      </c>
      <c r="AY173" s="162">
        <v>6088</v>
      </c>
      <c r="AZ173" s="162">
        <v>6292</v>
      </c>
      <c r="BA173" s="162">
        <v>6496</v>
      </c>
      <c r="BB173" s="162">
        <v>6700</v>
      </c>
      <c r="BC173" s="162">
        <v>6904</v>
      </c>
      <c r="BD173" s="162">
        <v>7108</v>
      </c>
      <c r="BE173" s="162">
        <v>7312</v>
      </c>
      <c r="BF173" s="162">
        <v>7516</v>
      </c>
      <c r="BG173" s="162">
        <v>7720</v>
      </c>
      <c r="BH173" s="162">
        <v>7924</v>
      </c>
      <c r="BI173" s="163">
        <v>8128</v>
      </c>
    </row>
    <row r="174" spans="1:61" x14ac:dyDescent="0.25">
      <c r="A174" s="22">
        <f t="shared" si="14"/>
        <v>168</v>
      </c>
      <c r="B174" s="214" t="str">
        <f t="shared" si="19"/>
        <v>F0013548112</v>
      </c>
      <c r="C174" s="214" t="str">
        <f t="shared" si="20"/>
        <v>82115-0E450 M</v>
      </c>
      <c r="D174" s="45" t="str">
        <f>VLOOKUP(B174,'Timing Table'!B:J,9,0)</f>
        <v>C/O</v>
      </c>
      <c r="E174" s="22" t="str">
        <f>VLOOKUP(B174,'Timing Table'!B:H,7,0)</f>
        <v>GAS</v>
      </c>
      <c r="F174" s="164" t="s">
        <v>77</v>
      </c>
      <c r="G174" s="165">
        <v>0</v>
      </c>
      <c r="H174" s="166" t="s">
        <v>78</v>
      </c>
      <c r="I174" s="167"/>
      <c r="J174" s="168"/>
      <c r="K174" s="169"/>
      <c r="L174" s="170" t="s">
        <v>0</v>
      </c>
      <c r="M174" s="170" t="s">
        <v>0</v>
      </c>
      <c r="N174" s="170" t="s">
        <v>0</v>
      </c>
      <c r="O174" s="170" t="s">
        <v>0</v>
      </c>
      <c r="P174" s="170" t="s">
        <v>0</v>
      </c>
      <c r="Q174" s="170">
        <v>1.64</v>
      </c>
      <c r="R174" s="170" t="s">
        <v>0</v>
      </c>
      <c r="S174" s="170" t="s">
        <v>0</v>
      </c>
      <c r="T174" s="170" t="s">
        <v>0</v>
      </c>
      <c r="U174" s="170" t="s">
        <v>0</v>
      </c>
      <c r="V174" s="170" t="s">
        <v>0</v>
      </c>
      <c r="W174" s="170" t="s">
        <v>0</v>
      </c>
      <c r="X174" s="170" t="s">
        <v>0</v>
      </c>
      <c r="Y174" s="170" t="s">
        <v>0</v>
      </c>
      <c r="Z174" s="170" t="s">
        <v>0</v>
      </c>
      <c r="AA174" s="170" t="s">
        <v>0</v>
      </c>
      <c r="AB174" s="170" t="s">
        <v>0</v>
      </c>
      <c r="AC174" s="170" t="s">
        <v>0</v>
      </c>
      <c r="AD174" s="170" t="s">
        <v>0</v>
      </c>
      <c r="AE174" s="170" t="s">
        <v>0</v>
      </c>
      <c r="AF174" s="170" t="s">
        <v>0</v>
      </c>
      <c r="AG174" s="170" t="s">
        <v>0</v>
      </c>
      <c r="AH174" s="170" t="s">
        <v>0</v>
      </c>
      <c r="AI174" s="170" t="s">
        <v>0</v>
      </c>
      <c r="AJ174" s="170" t="s">
        <v>0</v>
      </c>
      <c r="AK174" s="170" t="s">
        <v>0</v>
      </c>
      <c r="AL174" s="170" t="s">
        <v>0</v>
      </c>
      <c r="AM174" s="170" t="s">
        <v>0</v>
      </c>
      <c r="AN174" s="170" t="s">
        <v>0</v>
      </c>
      <c r="AO174" s="170" t="s">
        <v>0</v>
      </c>
      <c r="AP174" s="170" t="s">
        <v>0</v>
      </c>
      <c r="AQ174" s="170" t="s">
        <v>0</v>
      </c>
      <c r="AR174" s="170" t="s">
        <v>0</v>
      </c>
      <c r="AS174" s="170" t="s">
        <v>0</v>
      </c>
      <c r="AT174" s="170" t="s">
        <v>0</v>
      </c>
      <c r="AU174" s="170" t="s">
        <v>0</v>
      </c>
      <c r="AV174" s="170" t="s">
        <v>0</v>
      </c>
      <c r="AW174" s="170" t="s">
        <v>0</v>
      </c>
      <c r="AX174" s="170" t="s">
        <v>0</v>
      </c>
      <c r="AY174" s="170" t="s">
        <v>0</v>
      </c>
      <c r="AZ174" s="170" t="s">
        <v>0</v>
      </c>
      <c r="BA174" s="170" t="s">
        <v>0</v>
      </c>
      <c r="BB174" s="170" t="s">
        <v>0</v>
      </c>
      <c r="BC174" s="170" t="s">
        <v>0</v>
      </c>
      <c r="BD174" s="170" t="s">
        <v>0</v>
      </c>
      <c r="BE174" s="170" t="s">
        <v>0</v>
      </c>
      <c r="BF174" s="170" t="s">
        <v>0</v>
      </c>
      <c r="BG174" s="170" t="s">
        <v>0</v>
      </c>
      <c r="BH174" s="170" t="s">
        <v>0</v>
      </c>
      <c r="BI174" s="171"/>
    </row>
    <row r="175" spans="1:61" x14ac:dyDescent="0.25">
      <c r="A175" s="22">
        <f t="shared" si="14"/>
        <v>169</v>
      </c>
      <c r="B175" s="214" t="str">
        <f t="shared" si="19"/>
        <v>F0013548112</v>
      </c>
      <c r="C175" s="214" t="str">
        <f>IF(F175=$F$7,#REF!,C174)</f>
        <v>82115-0E450 M</v>
      </c>
      <c r="D175" s="45" t="str">
        <f>VLOOKUP(B175,'Timing Table'!B:J,9,0)</f>
        <v>C/O</v>
      </c>
      <c r="E175" s="22" t="str">
        <f>VLOOKUP(B175,'Timing Table'!B:H,7,0)</f>
        <v>GAS</v>
      </c>
      <c r="F175" s="172" t="s">
        <v>79</v>
      </c>
      <c r="G175" s="173" t="s">
        <v>58</v>
      </c>
      <c r="H175" s="174" t="s">
        <v>58</v>
      </c>
      <c r="I175" s="175" t="s">
        <v>58</v>
      </c>
      <c r="J175" s="175" t="s">
        <v>0</v>
      </c>
      <c r="K175" s="175" t="s">
        <v>0</v>
      </c>
      <c r="L175" s="175" t="s">
        <v>0</v>
      </c>
      <c r="M175" s="175" t="s">
        <v>0</v>
      </c>
      <c r="N175" s="175" t="s">
        <v>0</v>
      </c>
      <c r="O175" s="175" t="s">
        <v>0</v>
      </c>
      <c r="P175" s="175" t="s">
        <v>0</v>
      </c>
      <c r="Q175" s="175" t="s">
        <v>322</v>
      </c>
      <c r="R175" s="175"/>
      <c r="S175" s="175" t="s">
        <v>0</v>
      </c>
      <c r="T175" s="175" t="s">
        <v>0</v>
      </c>
      <c r="U175" s="175" t="s">
        <v>0</v>
      </c>
      <c r="V175" s="175" t="s">
        <v>0</v>
      </c>
      <c r="W175" s="175" t="s">
        <v>0</v>
      </c>
      <c r="X175" s="175" t="s">
        <v>0</v>
      </c>
      <c r="Y175" s="175" t="s">
        <v>0</v>
      </c>
      <c r="Z175" s="175" t="s">
        <v>0</v>
      </c>
      <c r="AA175" s="175" t="s">
        <v>0</v>
      </c>
      <c r="AB175" s="175" t="s">
        <v>0</v>
      </c>
      <c r="AC175" s="175" t="s">
        <v>0</v>
      </c>
      <c r="AD175" s="175" t="s">
        <v>0</v>
      </c>
      <c r="AE175" s="175" t="s">
        <v>0</v>
      </c>
      <c r="AF175" s="175" t="s">
        <v>0</v>
      </c>
      <c r="AG175" s="175" t="s">
        <v>0</v>
      </c>
      <c r="AH175" s="175" t="s">
        <v>0</v>
      </c>
      <c r="AI175" s="175" t="s">
        <v>0</v>
      </c>
      <c r="AJ175" s="175" t="s">
        <v>0</v>
      </c>
      <c r="AK175" s="175" t="s">
        <v>0</v>
      </c>
      <c r="AL175" s="175" t="s">
        <v>0</v>
      </c>
      <c r="AM175" s="175" t="s">
        <v>0</v>
      </c>
      <c r="AN175" s="175" t="s">
        <v>0</v>
      </c>
      <c r="AO175" s="175" t="s">
        <v>0</v>
      </c>
      <c r="AP175" s="175" t="s">
        <v>0</v>
      </c>
      <c r="AQ175" s="175" t="s">
        <v>0</v>
      </c>
      <c r="AR175" s="175" t="s">
        <v>0</v>
      </c>
      <c r="AS175" s="175" t="s">
        <v>0</v>
      </c>
      <c r="AT175" s="175" t="s">
        <v>0</v>
      </c>
      <c r="AU175" s="175" t="s">
        <v>0</v>
      </c>
      <c r="AV175" s="175" t="s">
        <v>0</v>
      </c>
      <c r="AW175" s="175" t="s">
        <v>0</v>
      </c>
      <c r="AX175" s="175" t="s">
        <v>0</v>
      </c>
      <c r="AY175" s="175" t="s">
        <v>0</v>
      </c>
      <c r="AZ175" s="175" t="s">
        <v>0</v>
      </c>
      <c r="BA175" s="175" t="s">
        <v>0</v>
      </c>
      <c r="BB175" s="175" t="s">
        <v>0</v>
      </c>
      <c r="BC175" s="175" t="s">
        <v>0</v>
      </c>
      <c r="BD175" s="175" t="s">
        <v>0</v>
      </c>
      <c r="BE175" s="175" t="s">
        <v>0</v>
      </c>
      <c r="BF175" s="175" t="s">
        <v>0</v>
      </c>
      <c r="BG175" s="175" t="s">
        <v>0</v>
      </c>
      <c r="BH175" s="175" t="s">
        <v>0</v>
      </c>
      <c r="BI175" s="176"/>
    </row>
    <row r="176" spans="1:61" x14ac:dyDescent="0.25">
      <c r="A176" s="22">
        <f t="shared" si="14"/>
        <v>170</v>
      </c>
      <c r="B176" s="214" t="str">
        <f>IF(F176=$F$7,#REF!,B175)</f>
        <v>F0013548112</v>
      </c>
      <c r="C176" s="214" t="str">
        <f>IF(F176=$F$7,#REF!,C175)</f>
        <v>82115-0E450 M</v>
      </c>
      <c r="D176" s="45" t="str">
        <f>VLOOKUP(B176,'Timing Table'!B:J,9,0)</f>
        <v>C/O</v>
      </c>
      <c r="E176" s="22" t="str">
        <f>VLOOKUP(B176,'Timing Table'!B:H,7,0)</f>
        <v>GAS</v>
      </c>
      <c r="F176" s="177" t="s">
        <v>58</v>
      </c>
      <c r="G176" s="178" t="s">
        <v>58</v>
      </c>
      <c r="H176" s="179" t="s">
        <v>58</v>
      </c>
      <c r="I176" s="180" t="s">
        <v>58</v>
      </c>
      <c r="J176" s="180" t="s">
        <v>0</v>
      </c>
      <c r="K176" s="180" t="s">
        <v>0</v>
      </c>
      <c r="L176" s="180" t="s">
        <v>0</v>
      </c>
      <c r="M176" s="180" t="s">
        <v>0</v>
      </c>
      <c r="N176" s="180" t="s">
        <v>0</v>
      </c>
      <c r="O176" s="180" t="s">
        <v>0</v>
      </c>
      <c r="P176" s="180" t="s">
        <v>0</v>
      </c>
      <c r="Q176" s="180" t="s">
        <v>0</v>
      </c>
      <c r="R176" s="180" t="s">
        <v>0</v>
      </c>
      <c r="S176" s="180" t="s">
        <v>0</v>
      </c>
      <c r="T176" s="180" t="s">
        <v>0</v>
      </c>
      <c r="U176" s="180" t="s">
        <v>0</v>
      </c>
      <c r="V176" s="180" t="s">
        <v>0</v>
      </c>
      <c r="W176" s="180" t="s">
        <v>0</v>
      </c>
      <c r="X176" s="180" t="s">
        <v>0</v>
      </c>
      <c r="Y176" s="180" t="s">
        <v>0</v>
      </c>
      <c r="Z176" s="180" t="s">
        <v>0</v>
      </c>
      <c r="AA176" s="180" t="s">
        <v>0</v>
      </c>
      <c r="AB176" s="180" t="s">
        <v>0</v>
      </c>
      <c r="AC176" s="180" t="s">
        <v>0</v>
      </c>
      <c r="AD176" s="180" t="s">
        <v>0</v>
      </c>
      <c r="AE176" s="180" t="s">
        <v>0</v>
      </c>
      <c r="AF176" s="180" t="s">
        <v>0</v>
      </c>
      <c r="AG176" s="180" t="s">
        <v>0</v>
      </c>
      <c r="AH176" s="180" t="s">
        <v>0</v>
      </c>
      <c r="AI176" s="180" t="s">
        <v>0</v>
      </c>
      <c r="AJ176" s="180" t="s">
        <v>0</v>
      </c>
      <c r="AK176" s="180" t="s">
        <v>0</v>
      </c>
      <c r="AL176" s="180" t="s">
        <v>0</v>
      </c>
      <c r="AM176" s="180" t="s">
        <v>0</v>
      </c>
      <c r="AN176" s="180" t="s">
        <v>0</v>
      </c>
      <c r="AO176" s="180" t="s">
        <v>0</v>
      </c>
      <c r="AP176" s="180" t="s">
        <v>0</v>
      </c>
      <c r="AQ176" s="180" t="s">
        <v>0</v>
      </c>
      <c r="AR176" s="180" t="s">
        <v>0</v>
      </c>
      <c r="AS176" s="180" t="s">
        <v>0</v>
      </c>
      <c r="AT176" s="180" t="s">
        <v>0</v>
      </c>
      <c r="AU176" s="180" t="s">
        <v>0</v>
      </c>
      <c r="AV176" s="180" t="s">
        <v>0</v>
      </c>
      <c r="AW176" s="180" t="s">
        <v>0</v>
      </c>
      <c r="AX176" s="180" t="s">
        <v>0</v>
      </c>
      <c r="AY176" s="180" t="s">
        <v>0</v>
      </c>
      <c r="AZ176" s="180" t="s">
        <v>0</v>
      </c>
      <c r="BA176" s="180" t="s">
        <v>0</v>
      </c>
      <c r="BB176" s="180" t="s">
        <v>0</v>
      </c>
      <c r="BC176" s="180" t="s">
        <v>0</v>
      </c>
      <c r="BD176" s="180" t="s">
        <v>0</v>
      </c>
      <c r="BE176" s="180" t="s">
        <v>0</v>
      </c>
      <c r="BF176" s="180" t="s">
        <v>0</v>
      </c>
      <c r="BG176" s="180" t="s">
        <v>0</v>
      </c>
      <c r="BH176" s="180" t="s">
        <v>0</v>
      </c>
      <c r="BI176" s="181"/>
    </row>
    <row r="177" spans="1:61" x14ac:dyDescent="0.25">
      <c r="A177" s="22">
        <f t="shared" si="14"/>
        <v>171</v>
      </c>
      <c r="B177" s="214" t="str">
        <f>IF(F177=$F$7,G178,#REF!)</f>
        <v>F0014825701</v>
      </c>
      <c r="C177" s="214" t="str">
        <f>IF(F177=$F$7,G179,#REF!)</f>
        <v>82115-0E310</v>
      </c>
      <c r="D177" s="45" t="str">
        <f>VLOOKUP(B177,'Timing Table'!B:J,9,0)</f>
        <v>C/O</v>
      </c>
      <c r="E177" s="22" t="str">
        <f>VLOOKUP(B177,'Timing Table'!B:H,7,0)</f>
        <v>GAS</v>
      </c>
      <c r="F177" s="121" t="s">
        <v>59</v>
      </c>
      <c r="G177" s="146">
        <v>5500990628</v>
      </c>
      <c r="H177" s="121" t="s">
        <v>60</v>
      </c>
      <c r="I177" s="146">
        <v>156</v>
      </c>
      <c r="J177" s="121" t="s">
        <v>61</v>
      </c>
      <c r="K177" s="125">
        <v>1121469</v>
      </c>
      <c r="L177" s="126"/>
      <c r="M177" s="147" t="s">
        <v>62</v>
      </c>
      <c r="N177" s="148"/>
      <c r="O177" s="149">
        <v>46086</v>
      </c>
      <c r="P177" s="121" t="s">
        <v>63</v>
      </c>
      <c r="Q177" s="146">
        <v>4</v>
      </c>
      <c r="R177" s="6" t="s">
        <v>0</v>
      </c>
      <c r="S177" s="7" t="s">
        <v>0</v>
      </c>
      <c r="T177" s="7" t="s">
        <v>0</v>
      </c>
      <c r="U177" s="7" t="s">
        <v>0</v>
      </c>
      <c r="V177" s="7" t="s">
        <v>0</v>
      </c>
      <c r="W177" s="7" t="s">
        <v>0</v>
      </c>
      <c r="X177" s="7" t="s">
        <v>0</v>
      </c>
      <c r="Y177" s="7" t="s">
        <v>0</v>
      </c>
      <c r="Z177" s="7" t="s">
        <v>0</v>
      </c>
      <c r="AA177" s="7" t="s">
        <v>0</v>
      </c>
      <c r="AB177" s="7" t="s">
        <v>0</v>
      </c>
      <c r="AC177" s="7" t="s">
        <v>0</v>
      </c>
      <c r="AD177" s="7" t="s">
        <v>0</v>
      </c>
      <c r="AE177" s="7" t="s">
        <v>0</v>
      </c>
      <c r="AF177" s="7" t="s">
        <v>0</v>
      </c>
      <c r="AG177" s="7" t="s">
        <v>0</v>
      </c>
      <c r="AH177" s="7" t="s">
        <v>0</v>
      </c>
      <c r="AI177" s="7" t="s">
        <v>0</v>
      </c>
      <c r="AJ177" s="7" t="s">
        <v>0</v>
      </c>
      <c r="AK177" s="7" t="s">
        <v>0</v>
      </c>
      <c r="AL177" s="7" t="s">
        <v>0</v>
      </c>
      <c r="AM177" s="7" t="s">
        <v>0</v>
      </c>
      <c r="AN177" s="7" t="s">
        <v>0</v>
      </c>
      <c r="AO177" s="7" t="s">
        <v>0</v>
      </c>
      <c r="AP177" s="7" t="s">
        <v>0</v>
      </c>
      <c r="AQ177" s="7" t="s">
        <v>0</v>
      </c>
      <c r="AR177" s="7" t="s">
        <v>0</v>
      </c>
      <c r="AS177" s="7" t="s">
        <v>0</v>
      </c>
      <c r="AT177" s="7" t="s">
        <v>0</v>
      </c>
      <c r="AU177" s="7" t="s">
        <v>0</v>
      </c>
      <c r="AV177" s="7" t="s">
        <v>0</v>
      </c>
      <c r="AW177" s="7" t="s">
        <v>0</v>
      </c>
      <c r="AX177" s="7" t="s">
        <v>0</v>
      </c>
      <c r="AY177" s="7" t="s">
        <v>0</v>
      </c>
      <c r="AZ177" s="7" t="s">
        <v>0</v>
      </c>
      <c r="BA177" s="7" t="s">
        <v>0</v>
      </c>
      <c r="BB177" s="7" t="s">
        <v>0</v>
      </c>
      <c r="BC177" s="7" t="s">
        <v>0</v>
      </c>
      <c r="BD177" s="7" t="s">
        <v>0</v>
      </c>
      <c r="BE177" s="7" t="s">
        <v>0</v>
      </c>
      <c r="BF177" s="7" t="s">
        <v>0</v>
      </c>
      <c r="BG177" s="7" t="s">
        <v>0</v>
      </c>
      <c r="BH177" s="7" t="s">
        <v>0</v>
      </c>
      <c r="BI177" s="8"/>
    </row>
    <row r="178" spans="1:61" x14ac:dyDescent="0.25">
      <c r="A178" s="22">
        <f t="shared" si="14"/>
        <v>172</v>
      </c>
      <c r="B178" s="214" t="str">
        <f t="shared" si="19"/>
        <v>F0014825701</v>
      </c>
      <c r="C178" s="214" t="str">
        <f t="shared" si="20"/>
        <v>82115-0E310</v>
      </c>
      <c r="D178" s="45" t="str">
        <f>VLOOKUP(B178,'Timing Table'!B:J,9,0)</f>
        <v>C/O</v>
      </c>
      <c r="E178" s="22" t="str">
        <f>VLOOKUP(B178,'Timing Table'!B:H,7,0)</f>
        <v>GAS</v>
      </c>
      <c r="F178" s="121" t="s">
        <v>64</v>
      </c>
      <c r="G178" s="146" t="s">
        <v>131</v>
      </c>
      <c r="H178" s="121" t="s">
        <v>65</v>
      </c>
      <c r="I178" s="150" t="s">
        <v>132</v>
      </c>
      <c r="J178" s="151"/>
      <c r="K178" s="151"/>
      <c r="L178" s="152"/>
      <c r="M178" s="121" t="s">
        <v>66</v>
      </c>
      <c r="N178" s="146">
        <v>2025</v>
      </c>
      <c r="O178" s="140" t="s">
        <v>67</v>
      </c>
      <c r="P178" s="141"/>
      <c r="Q178" s="153" t="s">
        <v>133</v>
      </c>
      <c r="R178" s="122" t="s">
        <v>0</v>
      </c>
      <c r="S178" s="123" t="s">
        <v>0</v>
      </c>
      <c r="T178" s="123" t="s">
        <v>0</v>
      </c>
      <c r="U178" s="123" t="s">
        <v>0</v>
      </c>
      <c r="V178" s="123" t="s">
        <v>0</v>
      </c>
      <c r="W178" s="123" t="s">
        <v>0</v>
      </c>
      <c r="X178" s="123" t="s">
        <v>0</v>
      </c>
      <c r="Y178" s="123" t="s">
        <v>0</v>
      </c>
      <c r="Z178" s="123" t="s">
        <v>0</v>
      </c>
      <c r="AA178" s="123" t="s">
        <v>0</v>
      </c>
      <c r="AB178" s="123" t="s">
        <v>0</v>
      </c>
      <c r="AC178" s="123" t="s">
        <v>0</v>
      </c>
      <c r="AD178" s="123" t="s">
        <v>0</v>
      </c>
      <c r="AE178" s="123" t="s">
        <v>0</v>
      </c>
      <c r="AF178" s="123" t="s">
        <v>0</v>
      </c>
      <c r="AG178" s="123" t="s">
        <v>0</v>
      </c>
      <c r="AH178" s="123" t="s">
        <v>0</v>
      </c>
      <c r="AI178" s="123" t="s">
        <v>0</v>
      </c>
      <c r="AJ178" s="123" t="s">
        <v>0</v>
      </c>
      <c r="AK178" s="123" t="s">
        <v>0</v>
      </c>
      <c r="AL178" s="123" t="s">
        <v>0</v>
      </c>
      <c r="AM178" s="123" t="s">
        <v>0</v>
      </c>
      <c r="AN178" s="123" t="s">
        <v>0</v>
      </c>
      <c r="AO178" s="123" t="s">
        <v>0</v>
      </c>
      <c r="AP178" s="123" t="s">
        <v>0</v>
      </c>
      <c r="AQ178" s="123" t="s">
        <v>0</v>
      </c>
      <c r="AR178" s="123" t="s">
        <v>0</v>
      </c>
      <c r="AS178" s="123" t="s">
        <v>0</v>
      </c>
      <c r="AT178" s="123" t="s">
        <v>0</v>
      </c>
      <c r="AU178" s="123" t="s">
        <v>0</v>
      </c>
      <c r="AV178" s="123" t="s">
        <v>0</v>
      </c>
      <c r="AW178" s="123" t="s">
        <v>0</v>
      </c>
      <c r="AX178" s="123" t="s">
        <v>0</v>
      </c>
      <c r="AY178" s="123" t="s">
        <v>0</v>
      </c>
      <c r="AZ178" s="123" t="s">
        <v>0</v>
      </c>
      <c r="BA178" s="123" t="s">
        <v>0</v>
      </c>
      <c r="BB178" s="123" t="s">
        <v>0</v>
      </c>
      <c r="BC178" s="123" t="s">
        <v>0</v>
      </c>
      <c r="BD178" s="123" t="s">
        <v>0</v>
      </c>
      <c r="BE178" s="123" t="s">
        <v>0</v>
      </c>
      <c r="BF178" s="123" t="s">
        <v>0</v>
      </c>
      <c r="BG178" s="123" t="s">
        <v>0</v>
      </c>
      <c r="BH178" s="123" t="s">
        <v>0</v>
      </c>
      <c r="BI178" s="124"/>
    </row>
    <row r="179" spans="1:61" x14ac:dyDescent="0.25">
      <c r="A179" s="22">
        <f t="shared" si="14"/>
        <v>173</v>
      </c>
      <c r="B179" s="214" t="str">
        <f t="shared" si="19"/>
        <v>F0014825701</v>
      </c>
      <c r="C179" s="214" t="str">
        <f t="shared" si="20"/>
        <v>82115-0E310</v>
      </c>
      <c r="D179" s="45" t="str">
        <f>VLOOKUP(B179,'Timing Table'!B:J,9,0)</f>
        <v>C/O</v>
      </c>
      <c r="E179" s="22" t="str">
        <f>VLOOKUP(B179,'Timing Table'!B:H,7,0)</f>
        <v>GAS</v>
      </c>
      <c r="F179" s="121" t="s">
        <v>68</v>
      </c>
      <c r="G179" s="146" t="s">
        <v>122</v>
      </c>
      <c r="H179" s="121" t="s">
        <v>69</v>
      </c>
      <c r="I179" s="154" t="s">
        <v>58</v>
      </c>
      <c r="J179" s="155" t="s">
        <v>0</v>
      </c>
      <c r="K179" s="156" t="s">
        <v>0</v>
      </c>
      <c r="L179" s="157" t="s">
        <v>0</v>
      </c>
      <c r="M179" s="134" t="s">
        <v>0</v>
      </c>
      <c r="N179" s="134" t="s">
        <v>0</v>
      </c>
      <c r="O179" s="134" t="s">
        <v>0</v>
      </c>
      <c r="P179" s="134" t="s">
        <v>0</v>
      </c>
      <c r="Q179" s="134" t="s">
        <v>1</v>
      </c>
      <c r="R179" s="134" t="s">
        <v>2</v>
      </c>
      <c r="S179" s="134" t="s">
        <v>0</v>
      </c>
      <c r="T179" s="134" t="s">
        <v>0</v>
      </c>
      <c r="U179" s="134" t="s">
        <v>0</v>
      </c>
      <c r="V179" s="134" t="s">
        <v>0</v>
      </c>
      <c r="W179" s="134" t="s">
        <v>0</v>
      </c>
      <c r="X179" s="134" t="s">
        <v>0</v>
      </c>
      <c r="Y179" s="134" t="s">
        <v>0</v>
      </c>
      <c r="Z179" s="134" t="s">
        <v>3</v>
      </c>
      <c r="AA179" s="134" t="s">
        <v>0</v>
      </c>
      <c r="AB179" s="134" t="s">
        <v>0</v>
      </c>
      <c r="AC179" s="134" t="s">
        <v>0</v>
      </c>
      <c r="AD179" s="134" t="s">
        <v>0</v>
      </c>
      <c r="AE179" s="134" t="s">
        <v>0</v>
      </c>
      <c r="AF179" s="134" t="s">
        <v>0</v>
      </c>
      <c r="AG179" s="134" t="s">
        <v>0</v>
      </c>
      <c r="AH179" s="134" t="s">
        <v>0</v>
      </c>
      <c r="AI179" s="134" t="s">
        <v>0</v>
      </c>
      <c r="AJ179" s="134" t="s">
        <v>0</v>
      </c>
      <c r="AK179" s="134" t="s">
        <v>0</v>
      </c>
      <c r="AL179" s="134" t="s">
        <v>0</v>
      </c>
      <c r="AM179" s="134" t="s">
        <v>0</v>
      </c>
      <c r="AN179" s="134" t="s">
        <v>0</v>
      </c>
      <c r="AO179" s="134" t="s">
        <v>0</v>
      </c>
      <c r="AP179" s="134" t="s">
        <v>0</v>
      </c>
      <c r="AQ179" s="134" t="s">
        <v>0</v>
      </c>
      <c r="AR179" s="134" t="s">
        <v>0</v>
      </c>
      <c r="AS179" s="134" t="s">
        <v>0</v>
      </c>
      <c r="AT179" s="134" t="s">
        <v>0</v>
      </c>
      <c r="AU179" s="134" t="s">
        <v>0</v>
      </c>
      <c r="AV179" s="134" t="s">
        <v>0</v>
      </c>
      <c r="AW179" s="134" t="s">
        <v>0</v>
      </c>
      <c r="AX179" s="134" t="s">
        <v>0</v>
      </c>
      <c r="AY179" s="134" t="s">
        <v>0</v>
      </c>
      <c r="AZ179" s="134" t="s">
        <v>0</v>
      </c>
      <c r="BA179" s="134" t="s">
        <v>0</v>
      </c>
      <c r="BB179" s="134" t="s">
        <v>0</v>
      </c>
      <c r="BC179" s="134" t="s">
        <v>0</v>
      </c>
      <c r="BD179" s="134" t="s">
        <v>0</v>
      </c>
      <c r="BE179" s="134" t="s">
        <v>0</v>
      </c>
      <c r="BF179" s="134" t="s">
        <v>0</v>
      </c>
      <c r="BG179" s="134" t="s">
        <v>0</v>
      </c>
      <c r="BH179" s="134" t="s">
        <v>0</v>
      </c>
      <c r="BI179" s="135" t="s">
        <v>4</v>
      </c>
    </row>
    <row r="180" spans="1:61" x14ac:dyDescent="0.25">
      <c r="A180" s="22">
        <f t="shared" si="14"/>
        <v>174</v>
      </c>
      <c r="B180" s="214" t="str">
        <f t="shared" si="19"/>
        <v>F0014825701</v>
      </c>
      <c r="C180" s="214" t="str">
        <f t="shared" si="20"/>
        <v>82115-0E310</v>
      </c>
      <c r="D180" s="45" t="str">
        <f>VLOOKUP(B180,'Timing Table'!B:J,9,0)</f>
        <v>C/O</v>
      </c>
      <c r="E180" s="22" t="str">
        <f>VLOOKUP(B180,'Timing Table'!B:H,7,0)</f>
        <v>GAS</v>
      </c>
      <c r="F180" s="121" t="s">
        <v>70</v>
      </c>
      <c r="G180" s="146">
        <v>36</v>
      </c>
      <c r="H180" s="158" t="s">
        <v>241</v>
      </c>
      <c r="I180" s="159" t="s">
        <v>71</v>
      </c>
      <c r="J180" s="13">
        <v>46041</v>
      </c>
      <c r="K180" s="14">
        <v>46048</v>
      </c>
      <c r="L180" s="14">
        <v>46055</v>
      </c>
      <c r="M180" s="14">
        <v>46062</v>
      </c>
      <c r="N180" s="14">
        <v>46069</v>
      </c>
      <c r="O180" s="14">
        <v>46076</v>
      </c>
      <c r="P180" s="14">
        <v>46083</v>
      </c>
      <c r="Q180" s="14">
        <v>46090</v>
      </c>
      <c r="R180" s="14">
        <v>46097</v>
      </c>
      <c r="S180" s="14">
        <v>46104</v>
      </c>
      <c r="T180" s="14">
        <v>46111</v>
      </c>
      <c r="U180" s="14">
        <v>46118</v>
      </c>
      <c r="V180" s="14">
        <v>46125</v>
      </c>
      <c r="W180" s="14">
        <v>46132</v>
      </c>
      <c r="X180" s="14">
        <v>46139</v>
      </c>
      <c r="Y180" s="14">
        <v>46146</v>
      </c>
      <c r="Z180" s="14">
        <v>46153</v>
      </c>
      <c r="AA180" s="14">
        <v>46160</v>
      </c>
      <c r="AB180" s="14">
        <v>46167</v>
      </c>
      <c r="AC180" s="14">
        <v>46174</v>
      </c>
      <c r="AD180" s="14">
        <v>46181</v>
      </c>
      <c r="AE180" s="14">
        <v>46188</v>
      </c>
      <c r="AF180" s="14">
        <v>46195</v>
      </c>
      <c r="AG180" s="14">
        <v>46202</v>
      </c>
      <c r="AH180" s="14">
        <v>46209</v>
      </c>
      <c r="AI180" s="14">
        <v>46216</v>
      </c>
      <c r="AJ180" s="14">
        <v>46223</v>
      </c>
      <c r="AK180" s="14">
        <v>46230</v>
      </c>
      <c r="AL180" s="14">
        <v>46237</v>
      </c>
      <c r="AM180" s="14">
        <v>46244</v>
      </c>
      <c r="AN180" s="14">
        <v>46251</v>
      </c>
      <c r="AO180" s="14">
        <v>46258</v>
      </c>
      <c r="AP180" s="14">
        <v>46265</v>
      </c>
      <c r="AQ180" s="14">
        <v>46272</v>
      </c>
      <c r="AR180" s="14">
        <v>46279</v>
      </c>
      <c r="AS180" s="14">
        <v>46286</v>
      </c>
      <c r="AT180" s="14">
        <v>46293</v>
      </c>
      <c r="AU180" s="14">
        <v>46300</v>
      </c>
      <c r="AV180" s="14">
        <v>46307</v>
      </c>
      <c r="AW180" s="14">
        <v>46314</v>
      </c>
      <c r="AX180" s="14">
        <v>46321</v>
      </c>
      <c r="AY180" s="14">
        <v>46328</v>
      </c>
      <c r="AZ180" s="14">
        <v>46335</v>
      </c>
      <c r="BA180" s="14">
        <v>46342</v>
      </c>
      <c r="BB180" s="14">
        <v>46349</v>
      </c>
      <c r="BC180" s="14">
        <v>46356</v>
      </c>
      <c r="BD180" s="14">
        <v>46363</v>
      </c>
      <c r="BE180" s="14">
        <v>46370</v>
      </c>
      <c r="BF180" s="14">
        <v>46377</v>
      </c>
      <c r="BG180" s="14">
        <v>46384</v>
      </c>
      <c r="BH180" s="14">
        <v>46391</v>
      </c>
      <c r="BI180" s="15">
        <v>46398</v>
      </c>
    </row>
    <row r="181" spans="1:61" x14ac:dyDescent="0.25">
      <c r="A181" s="22">
        <f t="shared" si="14"/>
        <v>175</v>
      </c>
      <c r="B181" s="214" t="str">
        <f t="shared" si="19"/>
        <v>F0014825701</v>
      </c>
      <c r="C181" s="214" t="str">
        <f t="shared" si="20"/>
        <v>82115-0E310</v>
      </c>
      <c r="D181" s="45" t="str">
        <f>VLOOKUP(B181,'Timing Table'!B:J,9,0)</f>
        <v>C/O</v>
      </c>
      <c r="E181" s="22" t="str">
        <f>VLOOKUP(B181,'Timing Table'!B:H,7,0)</f>
        <v>GAS</v>
      </c>
      <c r="F181" s="121" t="s">
        <v>72</v>
      </c>
      <c r="G181" s="146">
        <v>76</v>
      </c>
      <c r="H181" s="5" t="s">
        <v>58</v>
      </c>
      <c r="I181" s="11" t="s">
        <v>83</v>
      </c>
      <c r="J181" s="16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17"/>
    </row>
    <row r="182" spans="1:61" x14ac:dyDescent="0.25">
      <c r="A182" s="22">
        <f t="shared" si="14"/>
        <v>176</v>
      </c>
      <c r="B182" s="214" t="str">
        <f t="shared" si="19"/>
        <v>F0014825701</v>
      </c>
      <c r="C182" s="214" t="str">
        <f t="shared" si="20"/>
        <v>82115-0E310</v>
      </c>
      <c r="D182" s="45" t="str">
        <f>VLOOKUP(B182,'Timing Table'!B:J,9,0)</f>
        <v>C/O</v>
      </c>
      <c r="E182" s="22" t="str">
        <f>VLOOKUP(B182,'Timing Table'!B:H,7,0)</f>
        <v>GAS</v>
      </c>
      <c r="F182" s="121" t="s">
        <v>73</v>
      </c>
      <c r="G182" s="160" t="s">
        <v>130</v>
      </c>
      <c r="H182" s="9" t="s">
        <v>122</v>
      </c>
      <c r="I182" s="11" t="s">
        <v>74</v>
      </c>
      <c r="J182" s="117">
        <v>0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  <c r="Q182" s="50">
        <v>0</v>
      </c>
      <c r="R182" s="50">
        <v>0</v>
      </c>
      <c r="S182" s="50">
        <v>0</v>
      </c>
      <c r="T182" s="50">
        <v>0</v>
      </c>
      <c r="U182" s="50">
        <v>0</v>
      </c>
      <c r="V182" s="50">
        <v>0</v>
      </c>
      <c r="W182" s="50">
        <v>0</v>
      </c>
      <c r="X182" s="50">
        <v>0</v>
      </c>
      <c r="Y182" s="50">
        <v>0</v>
      </c>
      <c r="Z182" s="50">
        <v>0</v>
      </c>
      <c r="AA182" s="50">
        <v>0</v>
      </c>
      <c r="AB182" s="50">
        <v>0</v>
      </c>
      <c r="AC182" s="50">
        <v>0</v>
      </c>
      <c r="AD182" s="50">
        <v>0</v>
      </c>
      <c r="AE182" s="50">
        <v>0</v>
      </c>
      <c r="AF182" s="50">
        <v>0</v>
      </c>
      <c r="AG182" s="50">
        <v>0</v>
      </c>
      <c r="AH182" s="50">
        <v>0</v>
      </c>
      <c r="AI182" s="50">
        <v>0</v>
      </c>
      <c r="AJ182" s="50">
        <v>0</v>
      </c>
      <c r="AK182" s="50">
        <v>0</v>
      </c>
      <c r="AL182" s="50">
        <v>0</v>
      </c>
      <c r="AM182" s="50">
        <v>0</v>
      </c>
      <c r="AN182" s="50">
        <v>0</v>
      </c>
      <c r="AO182" s="50">
        <v>0</v>
      </c>
      <c r="AP182" s="50">
        <v>0</v>
      </c>
      <c r="AQ182" s="50">
        <v>0</v>
      </c>
      <c r="AR182" s="50">
        <v>0</v>
      </c>
      <c r="AS182" s="50">
        <v>0</v>
      </c>
      <c r="AT182" s="50">
        <v>0</v>
      </c>
      <c r="AU182" s="50">
        <v>0</v>
      </c>
      <c r="AV182" s="50">
        <v>0</v>
      </c>
      <c r="AW182" s="50">
        <v>0</v>
      </c>
      <c r="AX182" s="50">
        <v>0</v>
      </c>
      <c r="AY182" s="50">
        <v>0</v>
      </c>
      <c r="AZ182" s="50">
        <v>0</v>
      </c>
      <c r="BA182" s="50">
        <v>0</v>
      </c>
      <c r="BB182" s="50">
        <v>0</v>
      </c>
      <c r="BC182" s="50">
        <v>0</v>
      </c>
      <c r="BD182" s="50">
        <v>0</v>
      </c>
      <c r="BE182" s="50">
        <v>0</v>
      </c>
      <c r="BF182" s="50">
        <v>0</v>
      </c>
      <c r="BG182" s="50">
        <v>0</v>
      </c>
      <c r="BH182" s="50">
        <v>0</v>
      </c>
      <c r="BI182" s="118">
        <v>0</v>
      </c>
    </row>
    <row r="183" spans="1:61" x14ac:dyDescent="0.25">
      <c r="A183" s="22">
        <f t="shared" si="14"/>
        <v>177</v>
      </c>
      <c r="B183" s="214" t="str">
        <f t="shared" si="19"/>
        <v>F0014825701</v>
      </c>
      <c r="C183" s="214" t="str">
        <f t="shared" si="20"/>
        <v>82115-0E310</v>
      </c>
      <c r="D183" s="45" t="str">
        <f>VLOOKUP(B183,'Timing Table'!B:J,9,0)</f>
        <v>C/O</v>
      </c>
      <c r="E183" s="22" t="str">
        <f>VLOOKUP(B183,'Timing Table'!B:H,7,0)</f>
        <v>GAS</v>
      </c>
      <c r="F183" s="121" t="s">
        <v>75</v>
      </c>
      <c r="G183" s="146">
        <v>82115</v>
      </c>
      <c r="H183" s="10" t="s">
        <v>122</v>
      </c>
      <c r="I183" s="12" t="s">
        <v>76</v>
      </c>
      <c r="J183" s="161">
        <v>36</v>
      </c>
      <c r="K183" s="162">
        <v>36</v>
      </c>
      <c r="L183" s="162">
        <v>36</v>
      </c>
      <c r="M183" s="162">
        <v>36</v>
      </c>
      <c r="N183" s="162">
        <v>36</v>
      </c>
      <c r="O183" s="162">
        <v>36</v>
      </c>
      <c r="P183" s="162">
        <v>36</v>
      </c>
      <c r="Q183" s="162">
        <v>36</v>
      </c>
      <c r="R183" s="162">
        <v>36</v>
      </c>
      <c r="S183" s="162">
        <v>36</v>
      </c>
      <c r="T183" s="162">
        <v>36</v>
      </c>
      <c r="U183" s="162">
        <v>36</v>
      </c>
      <c r="V183" s="162">
        <v>36</v>
      </c>
      <c r="W183" s="162">
        <v>36</v>
      </c>
      <c r="X183" s="162">
        <v>36</v>
      </c>
      <c r="Y183" s="162">
        <v>36</v>
      </c>
      <c r="Z183" s="162">
        <v>36</v>
      </c>
      <c r="AA183" s="162">
        <v>36</v>
      </c>
      <c r="AB183" s="162">
        <v>36</v>
      </c>
      <c r="AC183" s="162">
        <v>36</v>
      </c>
      <c r="AD183" s="162">
        <v>36</v>
      </c>
      <c r="AE183" s="162">
        <v>36</v>
      </c>
      <c r="AF183" s="162">
        <v>36</v>
      </c>
      <c r="AG183" s="162">
        <v>36</v>
      </c>
      <c r="AH183" s="162">
        <v>36</v>
      </c>
      <c r="AI183" s="162">
        <v>36</v>
      </c>
      <c r="AJ183" s="162">
        <v>36</v>
      </c>
      <c r="AK183" s="162">
        <v>36</v>
      </c>
      <c r="AL183" s="162">
        <v>36</v>
      </c>
      <c r="AM183" s="162">
        <v>36</v>
      </c>
      <c r="AN183" s="162">
        <v>36</v>
      </c>
      <c r="AO183" s="162">
        <v>36</v>
      </c>
      <c r="AP183" s="162">
        <v>36</v>
      </c>
      <c r="AQ183" s="162">
        <v>36</v>
      </c>
      <c r="AR183" s="162">
        <v>36</v>
      </c>
      <c r="AS183" s="162">
        <v>36</v>
      </c>
      <c r="AT183" s="162">
        <v>36</v>
      </c>
      <c r="AU183" s="162">
        <v>36</v>
      </c>
      <c r="AV183" s="162">
        <v>36</v>
      </c>
      <c r="AW183" s="162">
        <v>36</v>
      </c>
      <c r="AX183" s="162">
        <v>36</v>
      </c>
      <c r="AY183" s="162">
        <v>36</v>
      </c>
      <c r="AZ183" s="162">
        <v>36</v>
      </c>
      <c r="BA183" s="162">
        <v>36</v>
      </c>
      <c r="BB183" s="162">
        <v>36</v>
      </c>
      <c r="BC183" s="162">
        <v>36</v>
      </c>
      <c r="BD183" s="162">
        <v>36</v>
      </c>
      <c r="BE183" s="162">
        <v>36</v>
      </c>
      <c r="BF183" s="162">
        <v>36</v>
      </c>
      <c r="BG183" s="162">
        <v>36</v>
      </c>
      <c r="BH183" s="162">
        <v>36</v>
      </c>
      <c r="BI183" s="162">
        <v>36</v>
      </c>
    </row>
    <row r="184" spans="1:61" x14ac:dyDescent="0.25">
      <c r="A184" s="22">
        <f t="shared" si="14"/>
        <v>178</v>
      </c>
      <c r="B184" s="214" t="str">
        <f t="shared" si="19"/>
        <v>F0014825701</v>
      </c>
      <c r="C184" s="214" t="str">
        <f t="shared" si="20"/>
        <v>82115-0E310</v>
      </c>
      <c r="D184" s="45" t="str">
        <f>VLOOKUP(B184,'Timing Table'!B:J,9,0)</f>
        <v>C/O</v>
      </c>
      <c r="E184" s="22" t="str">
        <f>VLOOKUP(B184,'Timing Table'!B:H,7,0)</f>
        <v>GAS</v>
      </c>
      <c r="F184" s="164" t="s">
        <v>77</v>
      </c>
      <c r="G184" s="165">
        <v>36</v>
      </c>
      <c r="H184" s="166" t="s">
        <v>78</v>
      </c>
      <c r="I184" s="167"/>
      <c r="J184" s="168" t="s">
        <v>163</v>
      </c>
      <c r="K184" s="169"/>
      <c r="L184" s="170" t="s">
        <v>0</v>
      </c>
      <c r="M184" s="170" t="s">
        <v>0</v>
      </c>
      <c r="N184" s="170" t="s">
        <v>0</v>
      </c>
      <c r="O184" s="170" t="s">
        <v>0</v>
      </c>
      <c r="P184" s="170" t="s">
        <v>0</v>
      </c>
      <c r="Q184" s="170" t="s">
        <v>0</v>
      </c>
      <c r="R184" s="170" t="s">
        <v>0</v>
      </c>
      <c r="S184" s="170" t="s">
        <v>0</v>
      </c>
      <c r="T184" s="170" t="s">
        <v>0</v>
      </c>
      <c r="U184" s="170" t="s">
        <v>0</v>
      </c>
      <c r="V184" s="170" t="s">
        <v>0</v>
      </c>
      <c r="W184" s="170" t="s">
        <v>0</v>
      </c>
      <c r="X184" s="170" t="s">
        <v>0</v>
      </c>
      <c r="Y184" s="170" t="s">
        <v>0</v>
      </c>
      <c r="Z184" s="170" t="s">
        <v>0</v>
      </c>
      <c r="AA184" s="170" t="s">
        <v>0</v>
      </c>
      <c r="AB184" s="170" t="s">
        <v>0</v>
      </c>
      <c r="AC184" s="170" t="s">
        <v>0</v>
      </c>
      <c r="AD184" s="170" t="s">
        <v>0</v>
      </c>
      <c r="AE184" s="170" t="s">
        <v>0</v>
      </c>
      <c r="AF184" s="170" t="s">
        <v>0</v>
      </c>
      <c r="AG184" s="170" t="s">
        <v>0</v>
      </c>
      <c r="AH184" s="170" t="s">
        <v>0</v>
      </c>
      <c r="AI184" s="170" t="s">
        <v>0</v>
      </c>
      <c r="AJ184" s="170" t="s">
        <v>0</v>
      </c>
      <c r="AK184" s="170" t="s">
        <v>0</v>
      </c>
      <c r="AL184" s="170" t="s">
        <v>0</v>
      </c>
      <c r="AM184" s="170" t="s">
        <v>0</v>
      </c>
      <c r="AN184" s="170" t="s">
        <v>0</v>
      </c>
      <c r="AO184" s="170" t="s">
        <v>0</v>
      </c>
      <c r="AP184" s="170" t="s">
        <v>0</v>
      </c>
      <c r="AQ184" s="170" t="s">
        <v>0</v>
      </c>
      <c r="AR184" s="170" t="s">
        <v>0</v>
      </c>
      <c r="AS184" s="170" t="s">
        <v>0</v>
      </c>
      <c r="AT184" s="170" t="s">
        <v>0</v>
      </c>
      <c r="AU184" s="170" t="s">
        <v>0</v>
      </c>
      <c r="AV184" s="170" t="s">
        <v>0</v>
      </c>
      <c r="AW184" s="170" t="s">
        <v>0</v>
      </c>
      <c r="AX184" s="170" t="s">
        <v>0</v>
      </c>
      <c r="AY184" s="170" t="s">
        <v>0</v>
      </c>
      <c r="AZ184" s="170" t="s">
        <v>0</v>
      </c>
      <c r="BA184" s="170" t="s">
        <v>0</v>
      </c>
      <c r="BB184" s="170" t="s">
        <v>0</v>
      </c>
      <c r="BC184" s="170" t="s">
        <v>0</v>
      </c>
      <c r="BD184" s="170" t="s">
        <v>0</v>
      </c>
      <c r="BE184" s="170" t="s">
        <v>0</v>
      </c>
      <c r="BF184" s="170" t="s">
        <v>0</v>
      </c>
      <c r="BG184" s="170" t="s">
        <v>0</v>
      </c>
      <c r="BH184" s="170" t="s">
        <v>0</v>
      </c>
      <c r="BI184" s="171"/>
    </row>
    <row r="185" spans="1:61" x14ac:dyDescent="0.25">
      <c r="A185" s="22">
        <f t="shared" si="14"/>
        <v>179</v>
      </c>
      <c r="B185" s="214" t="str">
        <f t="shared" si="19"/>
        <v>F0014825701</v>
      </c>
      <c r="C185" s="214" t="str">
        <f t="shared" si="20"/>
        <v>82115-0E310</v>
      </c>
      <c r="D185" s="45" t="str">
        <f>VLOOKUP(B185,'Timing Table'!B:J,9,0)</f>
        <v>C/O</v>
      </c>
      <c r="E185" s="22" t="str">
        <f>VLOOKUP(B185,'Timing Table'!B:H,7,0)</f>
        <v>GAS</v>
      </c>
      <c r="F185" s="172" t="s">
        <v>79</v>
      </c>
      <c r="G185" s="173" t="s">
        <v>58</v>
      </c>
      <c r="H185" s="174" t="s">
        <v>58</v>
      </c>
      <c r="I185" s="175" t="s">
        <v>58</v>
      </c>
      <c r="J185" s="175" t="s">
        <v>0</v>
      </c>
      <c r="K185" s="175" t="s">
        <v>0</v>
      </c>
      <c r="L185" s="175" t="s">
        <v>0</v>
      </c>
      <c r="M185" s="175" t="s">
        <v>0</v>
      </c>
      <c r="N185" s="175" t="s">
        <v>0</v>
      </c>
      <c r="O185" s="175" t="s">
        <v>0</v>
      </c>
      <c r="P185" s="175" t="s">
        <v>0</v>
      </c>
      <c r="Q185" s="175" t="s">
        <v>0</v>
      </c>
      <c r="R185" s="175" t="s">
        <v>0</v>
      </c>
      <c r="S185" s="175" t="s">
        <v>0</v>
      </c>
      <c r="T185" s="175" t="s">
        <v>0</v>
      </c>
      <c r="U185" s="175" t="s">
        <v>0</v>
      </c>
      <c r="V185" s="175" t="s">
        <v>0</v>
      </c>
      <c r="W185" s="175" t="s">
        <v>0</v>
      </c>
      <c r="X185" s="175" t="s">
        <v>0</v>
      </c>
      <c r="Y185" s="175" t="s">
        <v>0</v>
      </c>
      <c r="Z185" s="175" t="s">
        <v>0</v>
      </c>
      <c r="AA185" s="175" t="s">
        <v>0</v>
      </c>
      <c r="AB185" s="175" t="s">
        <v>0</v>
      </c>
      <c r="AC185" s="175" t="s">
        <v>0</v>
      </c>
      <c r="AD185" s="175" t="s">
        <v>0</v>
      </c>
      <c r="AE185" s="175" t="s">
        <v>0</v>
      </c>
      <c r="AF185" s="175" t="s">
        <v>0</v>
      </c>
      <c r="AG185" s="175" t="s">
        <v>0</v>
      </c>
      <c r="AH185" s="175" t="s">
        <v>0</v>
      </c>
      <c r="AI185" s="175" t="s">
        <v>0</v>
      </c>
      <c r="AJ185" s="175" t="s">
        <v>0</v>
      </c>
      <c r="AK185" s="175" t="s">
        <v>0</v>
      </c>
      <c r="AL185" s="175" t="s">
        <v>0</v>
      </c>
      <c r="AM185" s="175" t="s">
        <v>0</v>
      </c>
      <c r="AN185" s="175" t="s">
        <v>0</v>
      </c>
      <c r="AO185" s="175" t="s">
        <v>0</v>
      </c>
      <c r="AP185" s="175" t="s">
        <v>0</v>
      </c>
      <c r="AQ185" s="175" t="s">
        <v>0</v>
      </c>
      <c r="AR185" s="175" t="s">
        <v>0</v>
      </c>
      <c r="AS185" s="175" t="s">
        <v>0</v>
      </c>
      <c r="AT185" s="175" t="s">
        <v>0</v>
      </c>
      <c r="AU185" s="175" t="s">
        <v>0</v>
      </c>
      <c r="AV185" s="175" t="s">
        <v>0</v>
      </c>
      <c r="AW185" s="175" t="s">
        <v>0</v>
      </c>
      <c r="AX185" s="175" t="s">
        <v>0</v>
      </c>
      <c r="AY185" s="175" t="s">
        <v>0</v>
      </c>
      <c r="AZ185" s="175" t="s">
        <v>0</v>
      </c>
      <c r="BA185" s="175" t="s">
        <v>0</v>
      </c>
      <c r="BB185" s="175" t="s">
        <v>0</v>
      </c>
      <c r="BC185" s="175" t="s">
        <v>0</v>
      </c>
      <c r="BD185" s="175" t="s">
        <v>0</v>
      </c>
      <c r="BE185" s="175" t="s">
        <v>0</v>
      </c>
      <c r="BF185" s="175" t="s">
        <v>0</v>
      </c>
      <c r="BG185" s="175" t="s">
        <v>0</v>
      </c>
      <c r="BH185" s="175" t="s">
        <v>0</v>
      </c>
      <c r="BI185" s="176"/>
    </row>
    <row r="186" spans="1:61" x14ac:dyDescent="0.25">
      <c r="A186" s="22">
        <f t="shared" si="14"/>
        <v>180</v>
      </c>
      <c r="B186" s="214" t="str">
        <f t="shared" si="19"/>
        <v>F0014825701</v>
      </c>
      <c r="C186" s="214" t="str">
        <f t="shared" si="20"/>
        <v>82115-0E310</v>
      </c>
      <c r="D186" s="45" t="str">
        <f>VLOOKUP(B186,'Timing Table'!B:J,9,0)</f>
        <v>C/O</v>
      </c>
      <c r="E186" s="22" t="str">
        <f>VLOOKUP(B186,'Timing Table'!B:H,7,0)</f>
        <v>GAS</v>
      </c>
      <c r="F186" s="177" t="s">
        <v>58</v>
      </c>
      <c r="G186" s="178" t="s">
        <v>58</v>
      </c>
      <c r="H186" s="179" t="s">
        <v>58</v>
      </c>
      <c r="I186" s="180" t="s">
        <v>58</v>
      </c>
      <c r="J186" s="180" t="s">
        <v>0</v>
      </c>
      <c r="K186" s="180" t="s">
        <v>0</v>
      </c>
      <c r="L186" s="180" t="s">
        <v>0</v>
      </c>
      <c r="M186" s="180" t="s">
        <v>0</v>
      </c>
      <c r="N186" s="180" t="s">
        <v>0</v>
      </c>
      <c r="O186" s="180" t="s">
        <v>0</v>
      </c>
      <c r="P186" s="180" t="s">
        <v>0</v>
      </c>
      <c r="Q186" s="180" t="s">
        <v>0</v>
      </c>
      <c r="R186" s="180" t="s">
        <v>0</v>
      </c>
      <c r="S186" s="180" t="s">
        <v>0</v>
      </c>
      <c r="T186" s="180" t="s">
        <v>0</v>
      </c>
      <c r="U186" s="180" t="s">
        <v>0</v>
      </c>
      <c r="V186" s="180" t="s">
        <v>0</v>
      </c>
      <c r="W186" s="180" t="s">
        <v>0</v>
      </c>
      <c r="X186" s="180" t="s">
        <v>0</v>
      </c>
      <c r="Y186" s="180" t="s">
        <v>0</v>
      </c>
      <c r="Z186" s="180" t="s">
        <v>0</v>
      </c>
      <c r="AA186" s="180" t="s">
        <v>0</v>
      </c>
      <c r="AB186" s="180" t="s">
        <v>0</v>
      </c>
      <c r="AC186" s="180" t="s">
        <v>0</v>
      </c>
      <c r="AD186" s="180" t="s">
        <v>0</v>
      </c>
      <c r="AE186" s="180" t="s">
        <v>0</v>
      </c>
      <c r="AF186" s="180" t="s">
        <v>0</v>
      </c>
      <c r="AG186" s="180" t="s">
        <v>0</v>
      </c>
      <c r="AH186" s="180" t="s">
        <v>0</v>
      </c>
      <c r="AI186" s="180" t="s">
        <v>0</v>
      </c>
      <c r="AJ186" s="180" t="s">
        <v>0</v>
      </c>
      <c r="AK186" s="180" t="s">
        <v>0</v>
      </c>
      <c r="AL186" s="180" t="s">
        <v>0</v>
      </c>
      <c r="AM186" s="180" t="s">
        <v>0</v>
      </c>
      <c r="AN186" s="180" t="s">
        <v>0</v>
      </c>
      <c r="AO186" s="180" t="s">
        <v>0</v>
      </c>
      <c r="AP186" s="180" t="s">
        <v>0</v>
      </c>
      <c r="AQ186" s="180" t="s">
        <v>0</v>
      </c>
      <c r="AR186" s="180" t="s">
        <v>0</v>
      </c>
      <c r="AS186" s="180" t="s">
        <v>0</v>
      </c>
      <c r="AT186" s="180" t="s">
        <v>0</v>
      </c>
      <c r="AU186" s="180" t="s">
        <v>0</v>
      </c>
      <c r="AV186" s="180" t="s">
        <v>0</v>
      </c>
      <c r="AW186" s="180" t="s">
        <v>0</v>
      </c>
      <c r="AX186" s="180" t="s">
        <v>0</v>
      </c>
      <c r="AY186" s="180" t="s">
        <v>0</v>
      </c>
      <c r="AZ186" s="180" t="s">
        <v>0</v>
      </c>
      <c r="BA186" s="180" t="s">
        <v>0</v>
      </c>
      <c r="BB186" s="180" t="s">
        <v>0</v>
      </c>
      <c r="BC186" s="180" t="s">
        <v>0</v>
      </c>
      <c r="BD186" s="180" t="s">
        <v>0</v>
      </c>
      <c r="BE186" s="180" t="s">
        <v>0</v>
      </c>
      <c r="BF186" s="180" t="s">
        <v>0</v>
      </c>
      <c r="BG186" s="180" t="s">
        <v>0</v>
      </c>
      <c r="BH186" s="180" t="s">
        <v>0</v>
      </c>
      <c r="BI186" s="181"/>
    </row>
    <row r="187" spans="1:61" x14ac:dyDescent="0.25">
      <c r="A187" s="22">
        <f t="shared" si="14"/>
        <v>181</v>
      </c>
      <c r="B187" s="214" t="str">
        <f t="shared" si="19"/>
        <v>F0014825702</v>
      </c>
      <c r="C187" s="214" t="str">
        <f t="shared" si="20"/>
        <v>82115-0E310 B</v>
      </c>
      <c r="D187" s="45" t="str">
        <f>VLOOKUP(B187,'Timing Table'!B:J,9,0)</f>
        <v>C/O</v>
      </c>
      <c r="E187" s="22" t="str">
        <f>VLOOKUP(B187,'Timing Table'!B:H,7,0)</f>
        <v>GAS</v>
      </c>
      <c r="F187" s="121" t="s">
        <v>59</v>
      </c>
      <c r="G187" s="146">
        <v>5501060672</v>
      </c>
      <c r="H187" s="121" t="s">
        <v>60</v>
      </c>
      <c r="I187" s="146">
        <v>18</v>
      </c>
      <c r="J187" s="121" t="s">
        <v>61</v>
      </c>
      <c r="K187" s="125">
        <v>1172096</v>
      </c>
      <c r="L187" s="126"/>
      <c r="M187" s="147" t="s">
        <v>62</v>
      </c>
      <c r="N187" s="148"/>
      <c r="O187" s="149">
        <v>46086</v>
      </c>
      <c r="P187" s="121" t="s">
        <v>63</v>
      </c>
      <c r="Q187" s="146">
        <v>4</v>
      </c>
      <c r="R187" s="6" t="s">
        <v>0</v>
      </c>
      <c r="S187" s="7" t="s">
        <v>0</v>
      </c>
      <c r="T187" s="7" t="s">
        <v>0</v>
      </c>
      <c r="U187" s="7" t="s">
        <v>0</v>
      </c>
      <c r="V187" s="7" t="s">
        <v>0</v>
      </c>
      <c r="W187" s="7" t="s">
        <v>0</v>
      </c>
      <c r="X187" s="7" t="s">
        <v>0</v>
      </c>
      <c r="Y187" s="7" t="s">
        <v>0</v>
      </c>
      <c r="Z187" s="7" t="s">
        <v>0</v>
      </c>
      <c r="AA187" s="7" t="s">
        <v>0</v>
      </c>
      <c r="AB187" s="7" t="s">
        <v>0</v>
      </c>
      <c r="AC187" s="7" t="s">
        <v>0</v>
      </c>
      <c r="AD187" s="7" t="s">
        <v>0</v>
      </c>
      <c r="AE187" s="7" t="s">
        <v>0</v>
      </c>
      <c r="AF187" s="7" t="s">
        <v>0</v>
      </c>
      <c r="AG187" s="7" t="s">
        <v>0</v>
      </c>
      <c r="AH187" s="7" t="s">
        <v>0</v>
      </c>
      <c r="AI187" s="7" t="s">
        <v>0</v>
      </c>
      <c r="AJ187" s="7" t="s">
        <v>0</v>
      </c>
      <c r="AK187" s="7" t="s">
        <v>0</v>
      </c>
      <c r="AL187" s="7" t="s">
        <v>0</v>
      </c>
      <c r="AM187" s="7" t="s">
        <v>0</v>
      </c>
      <c r="AN187" s="7" t="s">
        <v>0</v>
      </c>
      <c r="AO187" s="7" t="s">
        <v>0</v>
      </c>
      <c r="AP187" s="7" t="s">
        <v>0</v>
      </c>
      <c r="AQ187" s="7" t="s">
        <v>0</v>
      </c>
      <c r="AR187" s="7" t="s">
        <v>0</v>
      </c>
      <c r="AS187" s="7" t="s">
        <v>0</v>
      </c>
      <c r="AT187" s="7" t="s">
        <v>0</v>
      </c>
      <c r="AU187" s="7" t="s">
        <v>0</v>
      </c>
      <c r="AV187" s="7" t="s">
        <v>0</v>
      </c>
      <c r="AW187" s="7" t="s">
        <v>0</v>
      </c>
      <c r="AX187" s="7" t="s">
        <v>0</v>
      </c>
      <c r="AY187" s="7" t="s">
        <v>0</v>
      </c>
      <c r="AZ187" s="7" t="s">
        <v>0</v>
      </c>
      <c r="BA187" s="7" t="s">
        <v>0</v>
      </c>
      <c r="BB187" s="7" t="s">
        <v>0</v>
      </c>
      <c r="BC187" s="7" t="s">
        <v>0</v>
      </c>
      <c r="BD187" s="7" t="s">
        <v>0</v>
      </c>
      <c r="BE187" s="7" t="s">
        <v>0</v>
      </c>
      <c r="BF187" s="7" t="s">
        <v>0</v>
      </c>
      <c r="BG187" s="7" t="s">
        <v>0</v>
      </c>
      <c r="BH187" s="7" t="s">
        <v>0</v>
      </c>
      <c r="BI187" s="8"/>
    </row>
    <row r="188" spans="1:61" x14ac:dyDescent="0.25">
      <c r="A188" s="22">
        <f t="shared" si="14"/>
        <v>182</v>
      </c>
      <c r="B188" s="214" t="str">
        <f t="shared" si="19"/>
        <v>F0014825702</v>
      </c>
      <c r="C188" s="214" t="str">
        <f t="shared" si="20"/>
        <v>82115-0E310 B</v>
      </c>
      <c r="D188" s="45" t="str">
        <f>VLOOKUP(B188,'Timing Table'!B:J,9,0)</f>
        <v>C/O</v>
      </c>
      <c r="E188" s="22" t="str">
        <f>VLOOKUP(B188,'Timing Table'!B:H,7,0)</f>
        <v>GAS</v>
      </c>
      <c r="F188" s="121" t="s">
        <v>64</v>
      </c>
      <c r="G188" s="146" t="s">
        <v>264</v>
      </c>
      <c r="H188" s="121" t="s">
        <v>65</v>
      </c>
      <c r="I188" s="150" t="s">
        <v>283</v>
      </c>
      <c r="J188" s="151"/>
      <c r="K188" s="151"/>
      <c r="L188" s="152"/>
      <c r="M188" s="121" t="s">
        <v>66</v>
      </c>
      <c r="N188" s="146">
        <v>2025</v>
      </c>
      <c r="O188" s="140" t="s">
        <v>67</v>
      </c>
      <c r="P188" s="141"/>
      <c r="Q188" s="153" t="s">
        <v>284</v>
      </c>
      <c r="R188" s="122" t="s">
        <v>0</v>
      </c>
      <c r="S188" s="123" t="s">
        <v>0</v>
      </c>
      <c r="T188" s="123" t="s">
        <v>0</v>
      </c>
      <c r="U188" s="123" t="s">
        <v>0</v>
      </c>
      <c r="V188" s="123" t="s">
        <v>0</v>
      </c>
      <c r="W188" s="123" t="s">
        <v>0</v>
      </c>
      <c r="X188" s="123" t="s">
        <v>0</v>
      </c>
      <c r="Y188" s="123" t="s">
        <v>0</v>
      </c>
      <c r="Z188" s="123" t="s">
        <v>0</v>
      </c>
      <c r="AA188" s="123" t="s">
        <v>0</v>
      </c>
      <c r="AB188" s="123" t="s">
        <v>0</v>
      </c>
      <c r="AC188" s="123" t="s">
        <v>0</v>
      </c>
      <c r="AD188" s="123" t="s">
        <v>0</v>
      </c>
      <c r="AE188" s="123" t="s">
        <v>0</v>
      </c>
      <c r="AF188" s="123" t="s">
        <v>0</v>
      </c>
      <c r="AG188" s="123" t="s">
        <v>0</v>
      </c>
      <c r="AH188" s="123" t="s">
        <v>0</v>
      </c>
      <c r="AI188" s="123" t="s">
        <v>0</v>
      </c>
      <c r="AJ188" s="123" t="s">
        <v>0</v>
      </c>
      <c r="AK188" s="123" t="s">
        <v>0</v>
      </c>
      <c r="AL188" s="123" t="s">
        <v>0</v>
      </c>
      <c r="AM188" s="123" t="s">
        <v>0</v>
      </c>
      <c r="AN188" s="123" t="s">
        <v>0</v>
      </c>
      <c r="AO188" s="123" t="s">
        <v>0</v>
      </c>
      <c r="AP188" s="123" t="s">
        <v>0</v>
      </c>
      <c r="AQ188" s="123" t="s">
        <v>0</v>
      </c>
      <c r="AR188" s="123" t="s">
        <v>0</v>
      </c>
      <c r="AS188" s="123" t="s">
        <v>0</v>
      </c>
      <c r="AT188" s="123" t="s">
        <v>0</v>
      </c>
      <c r="AU188" s="123" t="s">
        <v>0</v>
      </c>
      <c r="AV188" s="123" t="s">
        <v>0</v>
      </c>
      <c r="AW188" s="123" t="s">
        <v>0</v>
      </c>
      <c r="AX188" s="123" t="s">
        <v>0</v>
      </c>
      <c r="AY188" s="123" t="s">
        <v>0</v>
      </c>
      <c r="AZ188" s="123" t="s">
        <v>0</v>
      </c>
      <c r="BA188" s="123" t="s">
        <v>0</v>
      </c>
      <c r="BB188" s="123" t="s">
        <v>0</v>
      </c>
      <c r="BC188" s="123" t="s">
        <v>0</v>
      </c>
      <c r="BD188" s="123" t="s">
        <v>0</v>
      </c>
      <c r="BE188" s="123" t="s">
        <v>0</v>
      </c>
      <c r="BF188" s="123" t="s">
        <v>0</v>
      </c>
      <c r="BG188" s="123" t="s">
        <v>0</v>
      </c>
      <c r="BH188" s="123" t="s">
        <v>0</v>
      </c>
      <c r="BI188" s="124"/>
    </row>
    <row r="189" spans="1:61" x14ac:dyDescent="0.25">
      <c r="A189" s="22">
        <f t="shared" si="14"/>
        <v>183</v>
      </c>
      <c r="B189" s="214" t="str">
        <f t="shared" si="19"/>
        <v>F0014825702</v>
      </c>
      <c r="C189" s="214" t="str">
        <f t="shared" si="20"/>
        <v>82115-0E310 B</v>
      </c>
      <c r="D189" s="45" t="str">
        <f>VLOOKUP(B189,'Timing Table'!B:J,9,0)</f>
        <v>C/O</v>
      </c>
      <c r="E189" s="22" t="str">
        <f>VLOOKUP(B189,'Timing Table'!B:H,7,0)</f>
        <v>GAS</v>
      </c>
      <c r="F189" s="121" t="s">
        <v>68</v>
      </c>
      <c r="G189" s="146" t="s">
        <v>346</v>
      </c>
      <c r="H189" s="121" t="s">
        <v>69</v>
      </c>
      <c r="I189" s="154" t="s">
        <v>58</v>
      </c>
      <c r="J189" s="155" t="s">
        <v>0</v>
      </c>
      <c r="K189" s="156" t="s">
        <v>0</v>
      </c>
      <c r="L189" s="157" t="s">
        <v>0</v>
      </c>
      <c r="M189" s="134" t="s">
        <v>0</v>
      </c>
      <c r="N189" s="134" t="s">
        <v>0</v>
      </c>
      <c r="O189" s="134" t="s">
        <v>0</v>
      </c>
      <c r="P189" s="134" t="s">
        <v>0</v>
      </c>
      <c r="Q189" s="134" t="s">
        <v>1</v>
      </c>
      <c r="R189" s="134" t="s">
        <v>2</v>
      </c>
      <c r="S189" s="134" t="s">
        <v>0</v>
      </c>
      <c r="T189" s="134" t="s">
        <v>0</v>
      </c>
      <c r="U189" s="134" t="s">
        <v>0</v>
      </c>
      <c r="V189" s="134" t="s">
        <v>0</v>
      </c>
      <c r="W189" s="134" t="s">
        <v>0</v>
      </c>
      <c r="X189" s="134" t="s">
        <v>0</v>
      </c>
      <c r="Y189" s="134" t="s">
        <v>0</v>
      </c>
      <c r="Z189" s="134" t="s">
        <v>3</v>
      </c>
      <c r="AA189" s="134" t="s">
        <v>0</v>
      </c>
      <c r="AB189" s="134" t="s">
        <v>0</v>
      </c>
      <c r="AC189" s="134" t="s">
        <v>0</v>
      </c>
      <c r="AD189" s="134" t="s">
        <v>0</v>
      </c>
      <c r="AE189" s="134" t="s">
        <v>0</v>
      </c>
      <c r="AF189" s="134" t="s">
        <v>0</v>
      </c>
      <c r="AG189" s="134" t="s">
        <v>0</v>
      </c>
      <c r="AH189" s="134" t="s">
        <v>0</v>
      </c>
      <c r="AI189" s="134" t="s">
        <v>0</v>
      </c>
      <c r="AJ189" s="134" t="s">
        <v>0</v>
      </c>
      <c r="AK189" s="134" t="s">
        <v>0</v>
      </c>
      <c r="AL189" s="134" t="s">
        <v>0</v>
      </c>
      <c r="AM189" s="134" t="s">
        <v>0</v>
      </c>
      <c r="AN189" s="134" t="s">
        <v>0</v>
      </c>
      <c r="AO189" s="134" t="s">
        <v>0</v>
      </c>
      <c r="AP189" s="134" t="s">
        <v>0</v>
      </c>
      <c r="AQ189" s="134" t="s">
        <v>0</v>
      </c>
      <c r="AR189" s="134" t="s">
        <v>0</v>
      </c>
      <c r="AS189" s="134" t="s">
        <v>0</v>
      </c>
      <c r="AT189" s="134" t="s">
        <v>0</v>
      </c>
      <c r="AU189" s="134" t="s">
        <v>0</v>
      </c>
      <c r="AV189" s="134" t="s">
        <v>0</v>
      </c>
      <c r="AW189" s="134" t="s">
        <v>0</v>
      </c>
      <c r="AX189" s="134" t="s">
        <v>0</v>
      </c>
      <c r="AY189" s="134" t="s">
        <v>0</v>
      </c>
      <c r="AZ189" s="134" t="s">
        <v>0</v>
      </c>
      <c r="BA189" s="134" t="s">
        <v>0</v>
      </c>
      <c r="BB189" s="134" t="s">
        <v>0</v>
      </c>
      <c r="BC189" s="134" t="s">
        <v>0</v>
      </c>
      <c r="BD189" s="134" t="s">
        <v>0</v>
      </c>
      <c r="BE189" s="134" t="s">
        <v>0</v>
      </c>
      <c r="BF189" s="134" t="s">
        <v>0</v>
      </c>
      <c r="BG189" s="134" t="s">
        <v>0</v>
      </c>
      <c r="BH189" s="134" t="s">
        <v>0</v>
      </c>
      <c r="BI189" s="135" t="s">
        <v>4</v>
      </c>
    </row>
    <row r="190" spans="1:61" x14ac:dyDescent="0.25">
      <c r="A190" s="22">
        <f t="shared" si="14"/>
        <v>184</v>
      </c>
      <c r="B190" s="214" t="str">
        <f t="shared" si="19"/>
        <v>F0014825702</v>
      </c>
      <c r="C190" s="214" t="str">
        <f t="shared" si="20"/>
        <v>82115-0E310 B</v>
      </c>
      <c r="D190" s="45" t="str">
        <f>VLOOKUP(B190,'Timing Table'!B:J,9,0)</f>
        <v>C/O</v>
      </c>
      <c r="E190" s="22" t="str">
        <f>VLOOKUP(B190,'Timing Table'!B:H,7,0)</f>
        <v>GAS</v>
      </c>
      <c r="F190" s="121" t="s">
        <v>70</v>
      </c>
      <c r="G190" s="146">
        <v>0</v>
      </c>
      <c r="H190" s="158" t="s">
        <v>241</v>
      </c>
      <c r="I190" s="159" t="s">
        <v>71</v>
      </c>
      <c r="J190" s="13">
        <v>46041</v>
      </c>
      <c r="K190" s="14">
        <v>46048</v>
      </c>
      <c r="L190" s="14">
        <v>46055</v>
      </c>
      <c r="M190" s="14">
        <v>46062</v>
      </c>
      <c r="N190" s="14">
        <v>46069</v>
      </c>
      <c r="O190" s="14">
        <v>46076</v>
      </c>
      <c r="P190" s="14">
        <v>46083</v>
      </c>
      <c r="Q190" s="14">
        <v>46090</v>
      </c>
      <c r="R190" s="14">
        <v>46097</v>
      </c>
      <c r="S190" s="14">
        <v>46104</v>
      </c>
      <c r="T190" s="14">
        <v>46111</v>
      </c>
      <c r="U190" s="14">
        <v>46118</v>
      </c>
      <c r="V190" s="14">
        <v>46125</v>
      </c>
      <c r="W190" s="14">
        <v>46132</v>
      </c>
      <c r="X190" s="14">
        <v>46139</v>
      </c>
      <c r="Y190" s="14">
        <v>46146</v>
      </c>
      <c r="Z190" s="14">
        <v>46153</v>
      </c>
      <c r="AA190" s="14">
        <v>46160</v>
      </c>
      <c r="AB190" s="14">
        <v>46167</v>
      </c>
      <c r="AC190" s="14">
        <v>46174</v>
      </c>
      <c r="AD190" s="14">
        <v>46181</v>
      </c>
      <c r="AE190" s="14">
        <v>46188</v>
      </c>
      <c r="AF190" s="14">
        <v>46195</v>
      </c>
      <c r="AG190" s="14">
        <v>46202</v>
      </c>
      <c r="AH190" s="14">
        <v>46209</v>
      </c>
      <c r="AI190" s="14">
        <v>46216</v>
      </c>
      <c r="AJ190" s="14">
        <v>46223</v>
      </c>
      <c r="AK190" s="14">
        <v>46230</v>
      </c>
      <c r="AL190" s="14">
        <v>46237</v>
      </c>
      <c r="AM190" s="14">
        <v>46244</v>
      </c>
      <c r="AN190" s="14">
        <v>46251</v>
      </c>
      <c r="AO190" s="14">
        <v>46258</v>
      </c>
      <c r="AP190" s="14">
        <v>46265</v>
      </c>
      <c r="AQ190" s="14">
        <v>46272</v>
      </c>
      <c r="AR190" s="14">
        <v>46279</v>
      </c>
      <c r="AS190" s="14">
        <v>46286</v>
      </c>
      <c r="AT190" s="14">
        <v>46293</v>
      </c>
      <c r="AU190" s="14">
        <v>46300</v>
      </c>
      <c r="AV190" s="14">
        <v>46307</v>
      </c>
      <c r="AW190" s="14">
        <v>46314</v>
      </c>
      <c r="AX190" s="14">
        <v>46321</v>
      </c>
      <c r="AY190" s="14">
        <v>46328</v>
      </c>
      <c r="AZ190" s="14">
        <v>46335</v>
      </c>
      <c r="BA190" s="14">
        <v>46342</v>
      </c>
      <c r="BB190" s="14">
        <v>46349</v>
      </c>
      <c r="BC190" s="14">
        <v>46356</v>
      </c>
      <c r="BD190" s="14">
        <v>46363</v>
      </c>
      <c r="BE190" s="14">
        <v>46370</v>
      </c>
      <c r="BF190" s="14">
        <v>46377</v>
      </c>
      <c r="BG190" s="14">
        <v>46384</v>
      </c>
      <c r="BH190" s="14">
        <v>46391</v>
      </c>
      <c r="BI190" s="15">
        <v>46398</v>
      </c>
    </row>
    <row r="191" spans="1:61" x14ac:dyDescent="0.25">
      <c r="A191" s="22">
        <f t="shared" si="14"/>
        <v>185</v>
      </c>
      <c r="B191" s="214" t="str">
        <f t="shared" si="19"/>
        <v>F0014825702</v>
      </c>
      <c r="C191" s="214" t="str">
        <f t="shared" si="20"/>
        <v>82115-0E310 B</v>
      </c>
      <c r="D191" s="45" t="str">
        <f>VLOOKUP(B191,'Timing Table'!B:J,9,0)</f>
        <v>C/O</v>
      </c>
      <c r="E191" s="22" t="str">
        <f>VLOOKUP(B191,'Timing Table'!B:H,7,0)</f>
        <v>GAS</v>
      </c>
      <c r="F191" s="121" t="s">
        <v>72</v>
      </c>
      <c r="G191" s="146">
        <v>0</v>
      </c>
      <c r="H191" s="5" t="s">
        <v>58</v>
      </c>
      <c r="I191" s="11" t="s">
        <v>83</v>
      </c>
      <c r="J191" s="16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17"/>
    </row>
    <row r="192" spans="1:61" x14ac:dyDescent="0.25">
      <c r="A192" s="22">
        <f t="shared" si="14"/>
        <v>186</v>
      </c>
      <c r="B192" s="214" t="str">
        <f t="shared" si="19"/>
        <v>F0014825702</v>
      </c>
      <c r="C192" s="214" t="str">
        <f t="shared" si="20"/>
        <v>82115-0E310 B</v>
      </c>
      <c r="D192" s="45" t="str">
        <f>VLOOKUP(B192,'Timing Table'!B:J,9,0)</f>
        <v>C/O</v>
      </c>
      <c r="E192" s="22" t="str">
        <f>VLOOKUP(B192,'Timing Table'!B:H,7,0)</f>
        <v>GAS</v>
      </c>
      <c r="F192" s="121" t="s">
        <v>73</v>
      </c>
      <c r="G192" s="160" t="s">
        <v>130</v>
      </c>
      <c r="H192" s="9" t="s">
        <v>122</v>
      </c>
      <c r="I192" s="11" t="s">
        <v>74</v>
      </c>
      <c r="J192" s="117">
        <v>0</v>
      </c>
      <c r="K192" s="50">
        <v>0</v>
      </c>
      <c r="L192" s="50">
        <v>0</v>
      </c>
      <c r="M192" s="50">
        <v>0</v>
      </c>
      <c r="N192" s="50">
        <v>0</v>
      </c>
      <c r="O192" s="50">
        <v>0</v>
      </c>
      <c r="P192" s="50">
        <v>0</v>
      </c>
      <c r="Q192" s="50">
        <v>0</v>
      </c>
      <c r="R192" s="50">
        <v>0</v>
      </c>
      <c r="S192" s="50">
        <v>0</v>
      </c>
      <c r="T192" s="50">
        <v>0</v>
      </c>
      <c r="U192" s="50">
        <v>0</v>
      </c>
      <c r="V192" s="50">
        <v>0</v>
      </c>
      <c r="W192" s="50">
        <v>0</v>
      </c>
      <c r="X192" s="50">
        <v>0</v>
      </c>
      <c r="Y192" s="50">
        <v>0</v>
      </c>
      <c r="Z192" s="50">
        <v>0</v>
      </c>
      <c r="AA192" s="50">
        <v>0</v>
      </c>
      <c r="AB192" s="50">
        <v>0</v>
      </c>
      <c r="AC192" s="50">
        <v>0</v>
      </c>
      <c r="AD192" s="50">
        <v>0</v>
      </c>
      <c r="AE192" s="50">
        <v>0</v>
      </c>
      <c r="AF192" s="50">
        <v>0</v>
      </c>
      <c r="AG192" s="50">
        <v>0</v>
      </c>
      <c r="AH192" s="50">
        <v>0</v>
      </c>
      <c r="AI192" s="50">
        <v>0</v>
      </c>
      <c r="AJ192" s="50">
        <v>0</v>
      </c>
      <c r="AK192" s="50">
        <v>0</v>
      </c>
      <c r="AL192" s="50">
        <v>0</v>
      </c>
      <c r="AM192" s="50">
        <v>0</v>
      </c>
      <c r="AN192" s="50">
        <v>0</v>
      </c>
      <c r="AO192" s="50">
        <v>0</v>
      </c>
      <c r="AP192" s="50">
        <v>0</v>
      </c>
      <c r="AQ192" s="50">
        <v>0</v>
      </c>
      <c r="AR192" s="50">
        <v>0</v>
      </c>
      <c r="AS192" s="50">
        <v>0</v>
      </c>
      <c r="AT192" s="50">
        <v>0</v>
      </c>
      <c r="AU192" s="50">
        <v>0</v>
      </c>
      <c r="AV192" s="50">
        <v>0</v>
      </c>
      <c r="AW192" s="50">
        <v>0</v>
      </c>
      <c r="AX192" s="50">
        <v>0</v>
      </c>
      <c r="AY192" s="50">
        <v>0</v>
      </c>
      <c r="AZ192" s="50">
        <v>0</v>
      </c>
      <c r="BA192" s="50">
        <v>0</v>
      </c>
      <c r="BB192" s="50">
        <v>0</v>
      </c>
      <c r="BC192" s="50">
        <v>0</v>
      </c>
      <c r="BD192" s="50">
        <v>0</v>
      </c>
      <c r="BE192" s="50">
        <v>0</v>
      </c>
      <c r="BF192" s="50">
        <v>0</v>
      </c>
      <c r="BG192" s="50">
        <v>0</v>
      </c>
      <c r="BH192" s="50">
        <v>0</v>
      </c>
      <c r="BI192" s="118">
        <v>0</v>
      </c>
    </row>
    <row r="193" spans="1:61" x14ac:dyDescent="0.25">
      <c r="A193" s="22">
        <f t="shared" si="14"/>
        <v>187</v>
      </c>
      <c r="B193" s="214" t="str">
        <f t="shared" si="19"/>
        <v>F0014825702</v>
      </c>
      <c r="C193" s="214" t="str">
        <f t="shared" si="20"/>
        <v>82115-0E310 B</v>
      </c>
      <c r="D193" s="45" t="str">
        <f>VLOOKUP(B193,'Timing Table'!B:J,9,0)</f>
        <v>C/O</v>
      </c>
      <c r="E193" s="22" t="str">
        <f>VLOOKUP(B193,'Timing Table'!B:H,7,0)</f>
        <v>GAS</v>
      </c>
      <c r="F193" s="121" t="s">
        <v>75</v>
      </c>
      <c r="G193" s="146">
        <v>82115</v>
      </c>
      <c r="H193" s="10" t="s">
        <v>122</v>
      </c>
      <c r="I193" s="12" t="s">
        <v>76</v>
      </c>
      <c r="J193" s="161">
        <v>0</v>
      </c>
      <c r="K193" s="162">
        <v>0</v>
      </c>
      <c r="L193" s="162">
        <v>0</v>
      </c>
      <c r="M193" s="162">
        <v>0</v>
      </c>
      <c r="N193" s="162">
        <v>0</v>
      </c>
      <c r="O193" s="162">
        <v>0</v>
      </c>
      <c r="P193" s="162">
        <v>0</v>
      </c>
      <c r="Q193" s="162">
        <v>0</v>
      </c>
      <c r="R193" s="162">
        <v>0</v>
      </c>
      <c r="S193" s="162">
        <v>0</v>
      </c>
      <c r="T193" s="162">
        <v>0</v>
      </c>
      <c r="U193" s="162">
        <v>0</v>
      </c>
      <c r="V193" s="162">
        <v>0</v>
      </c>
      <c r="W193" s="162">
        <v>0</v>
      </c>
      <c r="X193" s="162">
        <v>0</v>
      </c>
      <c r="Y193" s="162">
        <v>0</v>
      </c>
      <c r="Z193" s="162">
        <v>0</v>
      </c>
      <c r="AA193" s="162">
        <v>0</v>
      </c>
      <c r="AB193" s="162">
        <v>0</v>
      </c>
      <c r="AC193" s="162">
        <v>0</v>
      </c>
      <c r="AD193" s="162">
        <v>0</v>
      </c>
      <c r="AE193" s="162">
        <v>0</v>
      </c>
      <c r="AF193" s="162">
        <v>0</v>
      </c>
      <c r="AG193" s="162">
        <v>0</v>
      </c>
      <c r="AH193" s="162">
        <v>0</v>
      </c>
      <c r="AI193" s="162">
        <v>0</v>
      </c>
      <c r="AJ193" s="162">
        <v>0</v>
      </c>
      <c r="AK193" s="162">
        <v>0</v>
      </c>
      <c r="AL193" s="162">
        <v>0</v>
      </c>
      <c r="AM193" s="162">
        <v>0</v>
      </c>
      <c r="AN193" s="162">
        <v>0</v>
      </c>
      <c r="AO193" s="162">
        <v>0</v>
      </c>
      <c r="AP193" s="162">
        <v>0</v>
      </c>
      <c r="AQ193" s="162">
        <v>0</v>
      </c>
      <c r="AR193" s="162">
        <v>0</v>
      </c>
      <c r="AS193" s="162">
        <v>0</v>
      </c>
      <c r="AT193" s="162">
        <v>0</v>
      </c>
      <c r="AU193" s="162">
        <v>0</v>
      </c>
      <c r="AV193" s="162">
        <v>0</v>
      </c>
      <c r="AW193" s="162">
        <v>0</v>
      </c>
      <c r="AX193" s="162">
        <v>0</v>
      </c>
      <c r="AY193" s="162">
        <v>0</v>
      </c>
      <c r="AZ193" s="162">
        <v>0</v>
      </c>
      <c r="BA193" s="162">
        <v>0</v>
      </c>
      <c r="BB193" s="162">
        <v>0</v>
      </c>
      <c r="BC193" s="162">
        <v>0</v>
      </c>
      <c r="BD193" s="162">
        <v>0</v>
      </c>
      <c r="BE193" s="162">
        <v>0</v>
      </c>
      <c r="BF193" s="162">
        <v>0</v>
      </c>
      <c r="BG193" s="162">
        <v>0</v>
      </c>
      <c r="BH193" s="162">
        <v>0</v>
      </c>
      <c r="BI193" s="163">
        <v>0</v>
      </c>
    </row>
    <row r="194" spans="1:61" x14ac:dyDescent="0.25">
      <c r="A194" s="22">
        <f t="shared" si="14"/>
        <v>188</v>
      </c>
      <c r="B194" s="214" t="str">
        <f t="shared" si="19"/>
        <v>F0014825702</v>
      </c>
      <c r="C194" s="214" t="str">
        <f t="shared" si="20"/>
        <v>82115-0E310 B</v>
      </c>
      <c r="D194" s="45" t="str">
        <f>VLOOKUP(B194,'Timing Table'!B:J,9,0)</f>
        <v>C/O</v>
      </c>
      <c r="E194" s="22" t="str">
        <f>VLOOKUP(B194,'Timing Table'!B:H,7,0)</f>
        <v>GAS</v>
      </c>
      <c r="F194" s="164" t="s">
        <v>77</v>
      </c>
      <c r="G194" s="165">
        <v>0</v>
      </c>
      <c r="H194" s="166" t="s">
        <v>78</v>
      </c>
      <c r="I194" s="167"/>
      <c r="J194" s="168"/>
      <c r="K194" s="169"/>
      <c r="L194" s="170" t="s">
        <v>0</v>
      </c>
      <c r="M194" s="170" t="s">
        <v>0</v>
      </c>
      <c r="N194" s="170" t="s">
        <v>0</v>
      </c>
      <c r="O194" s="170" t="s">
        <v>0</v>
      </c>
      <c r="P194" s="170" t="s">
        <v>0</v>
      </c>
      <c r="Q194" s="182" t="s">
        <v>0</v>
      </c>
      <c r="R194" s="170" t="s">
        <v>0</v>
      </c>
      <c r="S194" s="170" t="s">
        <v>0</v>
      </c>
      <c r="T194" s="170" t="s">
        <v>0</v>
      </c>
      <c r="U194" s="170" t="s">
        <v>0</v>
      </c>
      <c r="V194" s="170" t="s">
        <v>0</v>
      </c>
      <c r="W194" s="170" t="s">
        <v>0</v>
      </c>
      <c r="X194" s="170" t="s">
        <v>0</v>
      </c>
      <c r="Y194" s="170" t="s">
        <v>0</v>
      </c>
      <c r="Z194" s="170" t="s">
        <v>0</v>
      </c>
      <c r="AA194" s="170" t="s">
        <v>0</v>
      </c>
      <c r="AB194" s="170" t="s">
        <v>0</v>
      </c>
      <c r="AC194" s="170" t="s">
        <v>0</v>
      </c>
      <c r="AD194" s="170" t="s">
        <v>0</v>
      </c>
      <c r="AE194" s="170" t="s">
        <v>0</v>
      </c>
      <c r="AF194" s="170" t="s">
        <v>0</v>
      </c>
      <c r="AG194" s="170" t="s">
        <v>0</v>
      </c>
      <c r="AH194" s="170" t="s">
        <v>0</v>
      </c>
      <c r="AI194" s="170" t="s">
        <v>0</v>
      </c>
      <c r="AJ194" s="170" t="s">
        <v>0</v>
      </c>
      <c r="AK194" s="170" t="s">
        <v>0</v>
      </c>
      <c r="AL194" s="170" t="s">
        <v>0</v>
      </c>
      <c r="AM194" s="170" t="s">
        <v>0</v>
      </c>
      <c r="AN194" s="170" t="s">
        <v>0</v>
      </c>
      <c r="AO194" s="170" t="s">
        <v>0</v>
      </c>
      <c r="AP194" s="170" t="s">
        <v>0</v>
      </c>
      <c r="AQ194" s="170" t="s">
        <v>0</v>
      </c>
      <c r="AR194" s="170" t="s">
        <v>0</v>
      </c>
      <c r="AS194" s="170" t="s">
        <v>0</v>
      </c>
      <c r="AT194" s="170" t="s">
        <v>0</v>
      </c>
      <c r="AU194" s="170" t="s">
        <v>0</v>
      </c>
      <c r="AV194" s="170" t="s">
        <v>0</v>
      </c>
      <c r="AW194" s="170" t="s">
        <v>0</v>
      </c>
      <c r="AX194" s="170" t="s">
        <v>0</v>
      </c>
      <c r="AY194" s="170" t="s">
        <v>0</v>
      </c>
      <c r="AZ194" s="170" t="s">
        <v>0</v>
      </c>
      <c r="BA194" s="170" t="s">
        <v>0</v>
      </c>
      <c r="BB194" s="170" t="s">
        <v>0</v>
      </c>
      <c r="BC194" s="170" t="s">
        <v>0</v>
      </c>
      <c r="BD194" s="170" t="s">
        <v>0</v>
      </c>
      <c r="BE194" s="170" t="s">
        <v>0</v>
      </c>
      <c r="BF194" s="170" t="s">
        <v>0</v>
      </c>
      <c r="BG194" s="170" t="s">
        <v>0</v>
      </c>
      <c r="BH194" s="170" t="s">
        <v>0</v>
      </c>
      <c r="BI194" s="171"/>
    </row>
    <row r="195" spans="1:61" x14ac:dyDescent="0.25">
      <c r="A195" s="22">
        <f t="shared" si="14"/>
        <v>189</v>
      </c>
      <c r="B195" s="214" t="str">
        <f t="shared" si="19"/>
        <v>F0014825702</v>
      </c>
      <c r="C195" s="214" t="str">
        <f t="shared" si="20"/>
        <v>82115-0E310 B</v>
      </c>
      <c r="D195" s="45" t="str">
        <f>VLOOKUP(B195,'Timing Table'!B:J,9,0)</f>
        <v>C/O</v>
      </c>
      <c r="E195" s="22" t="str">
        <f>VLOOKUP(B195,'Timing Table'!B:H,7,0)</f>
        <v>GAS</v>
      </c>
      <c r="F195" s="172" t="s">
        <v>79</v>
      </c>
      <c r="G195" s="173" t="s">
        <v>58</v>
      </c>
      <c r="H195" s="174" t="s">
        <v>58</v>
      </c>
      <c r="I195" s="175" t="s">
        <v>58</v>
      </c>
      <c r="J195" s="175" t="s">
        <v>0</v>
      </c>
      <c r="K195" s="175" t="s">
        <v>0</v>
      </c>
      <c r="L195" s="175" t="s">
        <v>0</v>
      </c>
      <c r="M195" s="175" t="s">
        <v>0</v>
      </c>
      <c r="N195" s="175" t="s">
        <v>0</v>
      </c>
      <c r="O195" s="175" t="s">
        <v>0</v>
      </c>
      <c r="P195" s="175" t="s">
        <v>0</v>
      </c>
      <c r="Q195" s="183" t="s">
        <v>0</v>
      </c>
      <c r="R195" s="175" t="s">
        <v>0</v>
      </c>
      <c r="S195" s="175" t="s">
        <v>0</v>
      </c>
      <c r="T195" s="175" t="s">
        <v>0</v>
      </c>
      <c r="U195" s="175" t="s">
        <v>0</v>
      </c>
      <c r="V195" s="175" t="s">
        <v>0</v>
      </c>
      <c r="W195" s="175" t="s">
        <v>0</v>
      </c>
      <c r="X195" s="175" t="s">
        <v>0</v>
      </c>
      <c r="Y195" s="175" t="s">
        <v>0</v>
      </c>
      <c r="Z195" s="175" t="s">
        <v>0</v>
      </c>
      <c r="AA195" s="175" t="s">
        <v>0</v>
      </c>
      <c r="AB195" s="175" t="s">
        <v>0</v>
      </c>
      <c r="AC195" s="175" t="s">
        <v>0</v>
      </c>
      <c r="AD195" s="175" t="s">
        <v>0</v>
      </c>
      <c r="AE195" s="175" t="s">
        <v>0</v>
      </c>
      <c r="AF195" s="175" t="s">
        <v>0</v>
      </c>
      <c r="AG195" s="175" t="s">
        <v>0</v>
      </c>
      <c r="AH195" s="175" t="s">
        <v>0</v>
      </c>
      <c r="AI195" s="175" t="s">
        <v>0</v>
      </c>
      <c r="AJ195" s="175" t="s">
        <v>0</v>
      </c>
      <c r="AK195" s="175" t="s">
        <v>0</v>
      </c>
      <c r="AL195" s="175" t="s">
        <v>0</v>
      </c>
      <c r="AM195" s="175" t="s">
        <v>0</v>
      </c>
      <c r="AN195" s="175" t="s">
        <v>0</v>
      </c>
      <c r="AO195" s="175" t="s">
        <v>0</v>
      </c>
      <c r="AP195" s="175" t="s">
        <v>0</v>
      </c>
      <c r="AQ195" s="175" t="s">
        <v>0</v>
      </c>
      <c r="AR195" s="175" t="s">
        <v>0</v>
      </c>
      <c r="AS195" s="175" t="s">
        <v>0</v>
      </c>
      <c r="AT195" s="175" t="s">
        <v>0</v>
      </c>
      <c r="AU195" s="175" t="s">
        <v>0</v>
      </c>
      <c r="AV195" s="175" t="s">
        <v>0</v>
      </c>
      <c r="AW195" s="175" t="s">
        <v>0</v>
      </c>
      <c r="AX195" s="175" t="s">
        <v>0</v>
      </c>
      <c r="AY195" s="175" t="s">
        <v>0</v>
      </c>
      <c r="AZ195" s="175" t="s">
        <v>0</v>
      </c>
      <c r="BA195" s="175" t="s">
        <v>0</v>
      </c>
      <c r="BB195" s="175" t="s">
        <v>0</v>
      </c>
      <c r="BC195" s="175" t="s">
        <v>0</v>
      </c>
      <c r="BD195" s="175" t="s">
        <v>0</v>
      </c>
      <c r="BE195" s="175" t="s">
        <v>0</v>
      </c>
      <c r="BF195" s="175" t="s">
        <v>0</v>
      </c>
      <c r="BG195" s="175" t="s">
        <v>0</v>
      </c>
      <c r="BH195" s="175" t="s">
        <v>0</v>
      </c>
      <c r="BI195" s="176"/>
    </row>
    <row r="196" spans="1:61" x14ac:dyDescent="0.25">
      <c r="A196" s="22">
        <f t="shared" si="14"/>
        <v>190</v>
      </c>
      <c r="B196" s="214" t="str">
        <f t="shared" si="19"/>
        <v>F0014825702</v>
      </c>
      <c r="C196" s="214" t="str">
        <f t="shared" si="20"/>
        <v>82115-0E310 B</v>
      </c>
      <c r="D196" s="45" t="str">
        <f>VLOOKUP(B196,'Timing Table'!B:J,9,0)</f>
        <v>C/O</v>
      </c>
      <c r="E196" s="22" t="str">
        <f>VLOOKUP(B196,'Timing Table'!B:H,7,0)</f>
        <v>GAS</v>
      </c>
      <c r="F196" s="177" t="s">
        <v>58</v>
      </c>
      <c r="G196" s="178" t="s">
        <v>58</v>
      </c>
      <c r="H196" s="179" t="s">
        <v>58</v>
      </c>
      <c r="I196" s="180" t="s">
        <v>58</v>
      </c>
      <c r="J196" s="180" t="s">
        <v>0</v>
      </c>
      <c r="K196" s="180" t="s">
        <v>0</v>
      </c>
      <c r="L196" s="180" t="s">
        <v>0</v>
      </c>
      <c r="M196" s="180" t="s">
        <v>0</v>
      </c>
      <c r="N196" s="180" t="s">
        <v>0</v>
      </c>
      <c r="O196" s="180" t="s">
        <v>0</v>
      </c>
      <c r="P196" s="180" t="s">
        <v>0</v>
      </c>
      <c r="Q196" s="180" t="s">
        <v>0</v>
      </c>
      <c r="R196" s="180" t="s">
        <v>0</v>
      </c>
      <c r="S196" s="180" t="s">
        <v>0</v>
      </c>
      <c r="T196" s="180" t="s">
        <v>0</v>
      </c>
      <c r="U196" s="180" t="s">
        <v>0</v>
      </c>
      <c r="V196" s="180" t="s">
        <v>0</v>
      </c>
      <c r="W196" s="180" t="s">
        <v>0</v>
      </c>
      <c r="X196" s="180" t="s">
        <v>0</v>
      </c>
      <c r="Y196" s="180" t="s">
        <v>0</v>
      </c>
      <c r="Z196" s="180" t="s">
        <v>0</v>
      </c>
      <c r="AA196" s="180" t="s">
        <v>0</v>
      </c>
      <c r="AB196" s="180" t="s">
        <v>0</v>
      </c>
      <c r="AC196" s="180" t="s">
        <v>0</v>
      </c>
      <c r="AD196" s="180" t="s">
        <v>0</v>
      </c>
      <c r="AE196" s="180" t="s">
        <v>0</v>
      </c>
      <c r="AF196" s="180" t="s">
        <v>0</v>
      </c>
      <c r="AG196" s="180" t="s">
        <v>0</v>
      </c>
      <c r="AH196" s="180" t="s">
        <v>0</v>
      </c>
      <c r="AI196" s="180" t="s">
        <v>0</v>
      </c>
      <c r="AJ196" s="180" t="s">
        <v>0</v>
      </c>
      <c r="AK196" s="180" t="s">
        <v>0</v>
      </c>
      <c r="AL196" s="180" t="s">
        <v>0</v>
      </c>
      <c r="AM196" s="180" t="s">
        <v>0</v>
      </c>
      <c r="AN196" s="180" t="s">
        <v>0</v>
      </c>
      <c r="AO196" s="180" t="s">
        <v>0</v>
      </c>
      <c r="AP196" s="180" t="s">
        <v>0</v>
      </c>
      <c r="AQ196" s="180" t="s">
        <v>0</v>
      </c>
      <c r="AR196" s="180" t="s">
        <v>0</v>
      </c>
      <c r="AS196" s="180" t="s">
        <v>0</v>
      </c>
      <c r="AT196" s="180" t="s">
        <v>0</v>
      </c>
      <c r="AU196" s="180" t="s">
        <v>0</v>
      </c>
      <c r="AV196" s="180" t="s">
        <v>0</v>
      </c>
      <c r="AW196" s="180" t="s">
        <v>0</v>
      </c>
      <c r="AX196" s="180" t="s">
        <v>0</v>
      </c>
      <c r="AY196" s="180" t="s">
        <v>0</v>
      </c>
      <c r="AZ196" s="180" t="s">
        <v>0</v>
      </c>
      <c r="BA196" s="180" t="s">
        <v>0</v>
      </c>
      <c r="BB196" s="180" t="s">
        <v>0</v>
      </c>
      <c r="BC196" s="180" t="s">
        <v>0</v>
      </c>
      <c r="BD196" s="180" t="s">
        <v>0</v>
      </c>
      <c r="BE196" s="180" t="s">
        <v>0</v>
      </c>
      <c r="BF196" s="180" t="s">
        <v>0</v>
      </c>
      <c r="BG196" s="180" t="s">
        <v>0</v>
      </c>
      <c r="BH196" s="180" t="s">
        <v>0</v>
      </c>
      <c r="BI196" s="181"/>
    </row>
    <row r="197" spans="1:61" x14ac:dyDescent="0.25">
      <c r="A197" s="22">
        <f t="shared" si="14"/>
        <v>191</v>
      </c>
      <c r="B197" s="214" t="str">
        <f t="shared" si="19"/>
        <v>F0014825801</v>
      </c>
      <c r="C197" s="214" t="str">
        <f t="shared" si="20"/>
        <v>82115-0EZ80</v>
      </c>
      <c r="D197" s="45" t="str">
        <f>VLOOKUP(B197,'Timing Table'!B:J,9,0)</f>
        <v>C/O</v>
      </c>
      <c r="E197" s="22" t="str">
        <f>VLOOKUP(B197,'Timing Table'!B:H,7,0)</f>
        <v>GAS</v>
      </c>
      <c r="F197" s="121" t="s">
        <v>59</v>
      </c>
      <c r="G197" s="146">
        <v>5500990626</v>
      </c>
      <c r="H197" s="121" t="s">
        <v>60</v>
      </c>
      <c r="I197" s="146">
        <v>156</v>
      </c>
      <c r="J197" s="121" t="s">
        <v>61</v>
      </c>
      <c r="K197" s="125">
        <v>1121485</v>
      </c>
      <c r="L197" s="126"/>
      <c r="M197" s="147" t="s">
        <v>62</v>
      </c>
      <c r="N197" s="148"/>
      <c r="O197" s="149">
        <v>46086</v>
      </c>
      <c r="P197" s="121" t="s">
        <v>63</v>
      </c>
      <c r="Q197" s="146">
        <v>4</v>
      </c>
      <c r="R197" s="6" t="s">
        <v>0</v>
      </c>
      <c r="S197" s="7" t="s">
        <v>0</v>
      </c>
      <c r="T197" s="7" t="s">
        <v>0</v>
      </c>
      <c r="U197" s="7" t="s">
        <v>0</v>
      </c>
      <c r="V197" s="7" t="s">
        <v>0</v>
      </c>
      <c r="W197" s="7" t="s">
        <v>0</v>
      </c>
      <c r="X197" s="7" t="s">
        <v>0</v>
      </c>
      <c r="Y197" s="7" t="s">
        <v>0</v>
      </c>
      <c r="Z197" s="7" t="s">
        <v>0</v>
      </c>
      <c r="AA197" s="7" t="s">
        <v>0</v>
      </c>
      <c r="AB197" s="7" t="s">
        <v>0</v>
      </c>
      <c r="AC197" s="7" t="s">
        <v>0</v>
      </c>
      <c r="AD197" s="7" t="s">
        <v>0</v>
      </c>
      <c r="AE197" s="7" t="s">
        <v>0</v>
      </c>
      <c r="AF197" s="7" t="s">
        <v>0</v>
      </c>
      <c r="AG197" s="7" t="s">
        <v>0</v>
      </c>
      <c r="AH197" s="7" t="s">
        <v>0</v>
      </c>
      <c r="AI197" s="7" t="s">
        <v>0</v>
      </c>
      <c r="AJ197" s="7" t="s">
        <v>0</v>
      </c>
      <c r="AK197" s="7" t="s">
        <v>0</v>
      </c>
      <c r="AL197" s="7" t="s">
        <v>0</v>
      </c>
      <c r="AM197" s="7" t="s">
        <v>0</v>
      </c>
      <c r="AN197" s="7" t="s">
        <v>0</v>
      </c>
      <c r="AO197" s="7" t="s">
        <v>0</v>
      </c>
      <c r="AP197" s="7" t="s">
        <v>0</v>
      </c>
      <c r="AQ197" s="7" t="s">
        <v>0</v>
      </c>
      <c r="AR197" s="7" t="s">
        <v>0</v>
      </c>
      <c r="AS197" s="7" t="s">
        <v>0</v>
      </c>
      <c r="AT197" s="7" t="s">
        <v>0</v>
      </c>
      <c r="AU197" s="7" t="s">
        <v>0</v>
      </c>
      <c r="AV197" s="7" t="s">
        <v>0</v>
      </c>
      <c r="AW197" s="7" t="s">
        <v>0</v>
      </c>
      <c r="AX197" s="7" t="s">
        <v>0</v>
      </c>
      <c r="AY197" s="7" t="s">
        <v>0</v>
      </c>
      <c r="AZ197" s="7" t="s">
        <v>0</v>
      </c>
      <c r="BA197" s="7" t="s">
        <v>0</v>
      </c>
      <c r="BB197" s="7" t="s">
        <v>0</v>
      </c>
      <c r="BC197" s="7" t="s">
        <v>0</v>
      </c>
      <c r="BD197" s="7" t="s">
        <v>0</v>
      </c>
      <c r="BE197" s="7" t="s">
        <v>0</v>
      </c>
      <c r="BF197" s="7" t="s">
        <v>0</v>
      </c>
      <c r="BG197" s="7" t="s">
        <v>0</v>
      </c>
      <c r="BH197" s="7" t="s">
        <v>0</v>
      </c>
      <c r="BI197" s="8"/>
    </row>
    <row r="198" spans="1:61" x14ac:dyDescent="0.25">
      <c r="A198" s="22">
        <f t="shared" si="14"/>
        <v>192</v>
      </c>
      <c r="B198" s="214" t="str">
        <f t="shared" si="19"/>
        <v>F0014825801</v>
      </c>
      <c r="C198" s="214" t="str">
        <f t="shared" si="20"/>
        <v>82115-0EZ80</v>
      </c>
      <c r="D198" s="45" t="str">
        <f>VLOOKUP(B198,'Timing Table'!B:J,9,0)</f>
        <v>C/O</v>
      </c>
      <c r="E198" s="22" t="str">
        <f>VLOOKUP(B198,'Timing Table'!B:H,7,0)</f>
        <v>GAS</v>
      </c>
      <c r="F198" s="121" t="s">
        <v>64</v>
      </c>
      <c r="G198" s="146" t="s">
        <v>134</v>
      </c>
      <c r="H198" s="121" t="s">
        <v>65</v>
      </c>
      <c r="I198" s="150" t="s">
        <v>135</v>
      </c>
      <c r="J198" s="151"/>
      <c r="K198" s="151"/>
      <c r="L198" s="152"/>
      <c r="M198" s="121" t="s">
        <v>66</v>
      </c>
      <c r="N198" s="146">
        <v>2025</v>
      </c>
      <c r="O198" s="140" t="s">
        <v>67</v>
      </c>
      <c r="P198" s="141"/>
      <c r="Q198" s="153" t="s">
        <v>133</v>
      </c>
      <c r="R198" s="122" t="s">
        <v>0</v>
      </c>
      <c r="S198" s="123" t="s">
        <v>0</v>
      </c>
      <c r="T198" s="123" t="s">
        <v>0</v>
      </c>
      <c r="U198" s="123" t="s">
        <v>0</v>
      </c>
      <c r="V198" s="123" t="s">
        <v>0</v>
      </c>
      <c r="W198" s="123" t="s">
        <v>0</v>
      </c>
      <c r="X198" s="123" t="s">
        <v>0</v>
      </c>
      <c r="Y198" s="123" t="s">
        <v>0</v>
      </c>
      <c r="Z198" s="123" t="s">
        <v>0</v>
      </c>
      <c r="AA198" s="123" t="s">
        <v>0</v>
      </c>
      <c r="AB198" s="123" t="s">
        <v>0</v>
      </c>
      <c r="AC198" s="123" t="s">
        <v>0</v>
      </c>
      <c r="AD198" s="123" t="s">
        <v>0</v>
      </c>
      <c r="AE198" s="123" t="s">
        <v>0</v>
      </c>
      <c r="AF198" s="123" t="s">
        <v>0</v>
      </c>
      <c r="AG198" s="123" t="s">
        <v>0</v>
      </c>
      <c r="AH198" s="123" t="s">
        <v>0</v>
      </c>
      <c r="AI198" s="123" t="s">
        <v>0</v>
      </c>
      <c r="AJ198" s="123" t="s">
        <v>0</v>
      </c>
      <c r="AK198" s="123" t="s">
        <v>0</v>
      </c>
      <c r="AL198" s="123" t="s">
        <v>0</v>
      </c>
      <c r="AM198" s="123" t="s">
        <v>0</v>
      </c>
      <c r="AN198" s="123" t="s">
        <v>0</v>
      </c>
      <c r="AO198" s="123" t="s">
        <v>0</v>
      </c>
      <c r="AP198" s="123" t="s">
        <v>0</v>
      </c>
      <c r="AQ198" s="123" t="s">
        <v>0</v>
      </c>
      <c r="AR198" s="123" t="s">
        <v>0</v>
      </c>
      <c r="AS198" s="123" t="s">
        <v>0</v>
      </c>
      <c r="AT198" s="123" t="s">
        <v>0</v>
      </c>
      <c r="AU198" s="123" t="s">
        <v>0</v>
      </c>
      <c r="AV198" s="123" t="s">
        <v>0</v>
      </c>
      <c r="AW198" s="123" t="s">
        <v>0</v>
      </c>
      <c r="AX198" s="123" t="s">
        <v>0</v>
      </c>
      <c r="AY198" s="123" t="s">
        <v>0</v>
      </c>
      <c r="AZ198" s="123" t="s">
        <v>0</v>
      </c>
      <c r="BA198" s="123" t="s">
        <v>0</v>
      </c>
      <c r="BB198" s="123" t="s">
        <v>0</v>
      </c>
      <c r="BC198" s="123" t="s">
        <v>0</v>
      </c>
      <c r="BD198" s="123" t="s">
        <v>0</v>
      </c>
      <c r="BE198" s="123" t="s">
        <v>0</v>
      </c>
      <c r="BF198" s="123" t="s">
        <v>0</v>
      </c>
      <c r="BG198" s="123" t="s">
        <v>0</v>
      </c>
      <c r="BH198" s="123" t="s">
        <v>0</v>
      </c>
      <c r="BI198" s="124"/>
    </row>
    <row r="199" spans="1:61" x14ac:dyDescent="0.25">
      <c r="A199" s="22">
        <f t="shared" ref="A199:A262" si="21">+A198+1</f>
        <v>193</v>
      </c>
      <c r="B199" s="214" t="str">
        <f t="shared" si="19"/>
        <v>F0014825801</v>
      </c>
      <c r="C199" s="214" t="str">
        <f t="shared" si="20"/>
        <v>82115-0EZ80</v>
      </c>
      <c r="D199" s="45" t="str">
        <f>VLOOKUP(B199,'Timing Table'!B:J,9,0)</f>
        <v>C/O</v>
      </c>
      <c r="E199" s="22" t="str">
        <f>VLOOKUP(B199,'Timing Table'!B:H,7,0)</f>
        <v>GAS</v>
      </c>
      <c r="F199" s="121" t="s">
        <v>68</v>
      </c>
      <c r="G199" s="146" t="s">
        <v>128</v>
      </c>
      <c r="H199" s="121" t="s">
        <v>69</v>
      </c>
      <c r="I199" s="154" t="s">
        <v>58</v>
      </c>
      <c r="J199" s="155" t="s">
        <v>0</v>
      </c>
      <c r="K199" s="156" t="s">
        <v>0</v>
      </c>
      <c r="L199" s="157" t="s">
        <v>0</v>
      </c>
      <c r="M199" s="134" t="s">
        <v>0</v>
      </c>
      <c r="N199" s="134" t="s">
        <v>0</v>
      </c>
      <c r="O199" s="134" t="s">
        <v>0</v>
      </c>
      <c r="P199" s="134" t="s">
        <v>0</v>
      </c>
      <c r="Q199" s="134" t="s">
        <v>1</v>
      </c>
      <c r="R199" s="134" t="s">
        <v>2</v>
      </c>
      <c r="S199" s="134" t="s">
        <v>0</v>
      </c>
      <c r="T199" s="134" t="s">
        <v>0</v>
      </c>
      <c r="U199" s="134" t="s">
        <v>0</v>
      </c>
      <c r="V199" s="134" t="s">
        <v>0</v>
      </c>
      <c r="W199" s="134" t="s">
        <v>0</v>
      </c>
      <c r="X199" s="134" t="s">
        <v>0</v>
      </c>
      <c r="Y199" s="134" t="s">
        <v>0</v>
      </c>
      <c r="Z199" s="134" t="s">
        <v>3</v>
      </c>
      <c r="AA199" s="134" t="s">
        <v>0</v>
      </c>
      <c r="AB199" s="134" t="s">
        <v>0</v>
      </c>
      <c r="AC199" s="134" t="s">
        <v>0</v>
      </c>
      <c r="AD199" s="134" t="s">
        <v>0</v>
      </c>
      <c r="AE199" s="134" t="s">
        <v>0</v>
      </c>
      <c r="AF199" s="134" t="s">
        <v>0</v>
      </c>
      <c r="AG199" s="134" t="s">
        <v>0</v>
      </c>
      <c r="AH199" s="134" t="s">
        <v>0</v>
      </c>
      <c r="AI199" s="134" t="s">
        <v>0</v>
      </c>
      <c r="AJ199" s="134" t="s">
        <v>0</v>
      </c>
      <c r="AK199" s="134" t="s">
        <v>0</v>
      </c>
      <c r="AL199" s="134" t="s">
        <v>0</v>
      </c>
      <c r="AM199" s="134" t="s">
        <v>0</v>
      </c>
      <c r="AN199" s="134" t="s">
        <v>0</v>
      </c>
      <c r="AO199" s="134" t="s">
        <v>0</v>
      </c>
      <c r="AP199" s="134" t="s">
        <v>0</v>
      </c>
      <c r="AQ199" s="134" t="s">
        <v>0</v>
      </c>
      <c r="AR199" s="134" t="s">
        <v>0</v>
      </c>
      <c r="AS199" s="134" t="s">
        <v>0</v>
      </c>
      <c r="AT199" s="134" t="s">
        <v>0</v>
      </c>
      <c r="AU199" s="134" t="s">
        <v>0</v>
      </c>
      <c r="AV199" s="134" t="s">
        <v>0</v>
      </c>
      <c r="AW199" s="134" t="s">
        <v>0</v>
      </c>
      <c r="AX199" s="134" t="s">
        <v>0</v>
      </c>
      <c r="AY199" s="134" t="s">
        <v>0</v>
      </c>
      <c r="AZ199" s="134" t="s">
        <v>0</v>
      </c>
      <c r="BA199" s="134" t="s">
        <v>0</v>
      </c>
      <c r="BB199" s="134" t="s">
        <v>0</v>
      </c>
      <c r="BC199" s="134" t="s">
        <v>0</v>
      </c>
      <c r="BD199" s="134" t="s">
        <v>0</v>
      </c>
      <c r="BE199" s="134" t="s">
        <v>0</v>
      </c>
      <c r="BF199" s="134" t="s">
        <v>0</v>
      </c>
      <c r="BG199" s="134" t="s">
        <v>0</v>
      </c>
      <c r="BH199" s="134" t="s">
        <v>0</v>
      </c>
      <c r="BI199" s="135" t="s">
        <v>4</v>
      </c>
    </row>
    <row r="200" spans="1:61" x14ac:dyDescent="0.25">
      <c r="A200" s="22">
        <f t="shared" si="21"/>
        <v>194</v>
      </c>
      <c r="B200" s="214" t="str">
        <f t="shared" si="19"/>
        <v>F0014825801</v>
      </c>
      <c r="C200" s="214" t="str">
        <f t="shared" si="20"/>
        <v>82115-0EZ80</v>
      </c>
      <c r="D200" s="45" t="str">
        <f>VLOOKUP(B200,'Timing Table'!B:J,9,0)</f>
        <v>C/O</v>
      </c>
      <c r="E200" s="22" t="str">
        <f>VLOOKUP(B200,'Timing Table'!B:H,7,0)</f>
        <v>GAS</v>
      </c>
      <c r="F200" s="121" t="s">
        <v>70</v>
      </c>
      <c r="G200" s="146">
        <v>4</v>
      </c>
      <c r="H200" s="158" t="s">
        <v>241</v>
      </c>
      <c r="I200" s="159" t="s">
        <v>71</v>
      </c>
      <c r="J200" s="13">
        <v>46041</v>
      </c>
      <c r="K200" s="14">
        <v>46048</v>
      </c>
      <c r="L200" s="14">
        <v>46055</v>
      </c>
      <c r="M200" s="14">
        <v>46062</v>
      </c>
      <c r="N200" s="14">
        <v>46069</v>
      </c>
      <c r="O200" s="14">
        <v>46076</v>
      </c>
      <c r="P200" s="14">
        <v>46083</v>
      </c>
      <c r="Q200" s="14">
        <v>46090</v>
      </c>
      <c r="R200" s="14">
        <v>46097</v>
      </c>
      <c r="S200" s="14">
        <v>46104</v>
      </c>
      <c r="T200" s="14">
        <v>46111</v>
      </c>
      <c r="U200" s="14">
        <v>46118</v>
      </c>
      <c r="V200" s="14">
        <v>46125</v>
      </c>
      <c r="W200" s="14">
        <v>46132</v>
      </c>
      <c r="X200" s="14">
        <v>46139</v>
      </c>
      <c r="Y200" s="14">
        <v>46146</v>
      </c>
      <c r="Z200" s="14">
        <v>46153</v>
      </c>
      <c r="AA200" s="14">
        <v>46160</v>
      </c>
      <c r="AB200" s="14">
        <v>46167</v>
      </c>
      <c r="AC200" s="14">
        <v>46174</v>
      </c>
      <c r="AD200" s="14">
        <v>46181</v>
      </c>
      <c r="AE200" s="14">
        <v>46188</v>
      </c>
      <c r="AF200" s="14">
        <v>46195</v>
      </c>
      <c r="AG200" s="14">
        <v>46202</v>
      </c>
      <c r="AH200" s="14">
        <v>46209</v>
      </c>
      <c r="AI200" s="14">
        <v>46216</v>
      </c>
      <c r="AJ200" s="14">
        <v>46223</v>
      </c>
      <c r="AK200" s="14">
        <v>46230</v>
      </c>
      <c r="AL200" s="14">
        <v>46237</v>
      </c>
      <c r="AM200" s="14">
        <v>46244</v>
      </c>
      <c r="AN200" s="14">
        <v>46251</v>
      </c>
      <c r="AO200" s="14">
        <v>46258</v>
      </c>
      <c r="AP200" s="14">
        <v>46265</v>
      </c>
      <c r="AQ200" s="14">
        <v>46272</v>
      </c>
      <c r="AR200" s="14">
        <v>46279</v>
      </c>
      <c r="AS200" s="14">
        <v>46286</v>
      </c>
      <c r="AT200" s="14">
        <v>46293</v>
      </c>
      <c r="AU200" s="14">
        <v>46300</v>
      </c>
      <c r="AV200" s="14">
        <v>46307</v>
      </c>
      <c r="AW200" s="14">
        <v>46314</v>
      </c>
      <c r="AX200" s="14">
        <v>46321</v>
      </c>
      <c r="AY200" s="14">
        <v>46328</v>
      </c>
      <c r="AZ200" s="14">
        <v>46335</v>
      </c>
      <c r="BA200" s="14">
        <v>46342</v>
      </c>
      <c r="BB200" s="14">
        <v>46349</v>
      </c>
      <c r="BC200" s="14">
        <v>46356</v>
      </c>
      <c r="BD200" s="14">
        <v>46363</v>
      </c>
      <c r="BE200" s="14">
        <v>46370</v>
      </c>
      <c r="BF200" s="14">
        <v>46377</v>
      </c>
      <c r="BG200" s="14">
        <v>46384</v>
      </c>
      <c r="BH200" s="14">
        <v>46391</v>
      </c>
      <c r="BI200" s="15">
        <v>46398</v>
      </c>
    </row>
    <row r="201" spans="1:61" x14ac:dyDescent="0.25">
      <c r="A201" s="22">
        <f t="shared" si="21"/>
        <v>195</v>
      </c>
      <c r="B201" s="214" t="str">
        <f t="shared" si="19"/>
        <v>F0014825801</v>
      </c>
      <c r="C201" s="214" t="str">
        <f t="shared" si="20"/>
        <v>82115-0EZ80</v>
      </c>
      <c r="D201" s="45" t="str">
        <f>VLOOKUP(B201,'Timing Table'!B:J,9,0)</f>
        <v>C/O</v>
      </c>
      <c r="E201" s="22" t="str">
        <f>VLOOKUP(B201,'Timing Table'!B:H,7,0)</f>
        <v>GAS</v>
      </c>
      <c r="F201" s="121" t="s">
        <v>72</v>
      </c>
      <c r="G201" s="146">
        <v>4</v>
      </c>
      <c r="H201" s="5" t="s">
        <v>58</v>
      </c>
      <c r="I201" s="11" t="s">
        <v>83</v>
      </c>
      <c r="J201" s="16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17"/>
    </row>
    <row r="202" spans="1:61" x14ac:dyDescent="0.25">
      <c r="A202" s="22">
        <f t="shared" si="21"/>
        <v>196</v>
      </c>
      <c r="B202" s="214" t="str">
        <f t="shared" si="19"/>
        <v>F0014825801</v>
      </c>
      <c r="C202" s="214" t="str">
        <f t="shared" si="20"/>
        <v>82115-0EZ80</v>
      </c>
      <c r="D202" s="45" t="str">
        <f>VLOOKUP(B202,'Timing Table'!B:J,9,0)</f>
        <v>C/O</v>
      </c>
      <c r="E202" s="22" t="str">
        <f>VLOOKUP(B202,'Timing Table'!B:H,7,0)</f>
        <v>GAS</v>
      </c>
      <c r="F202" s="121" t="s">
        <v>73</v>
      </c>
      <c r="G202" s="160" t="s">
        <v>130</v>
      </c>
      <c r="H202" s="9" t="s">
        <v>128</v>
      </c>
      <c r="I202" s="11" t="s">
        <v>74</v>
      </c>
      <c r="J202" s="117">
        <v>0</v>
      </c>
      <c r="K202" s="50">
        <v>0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  <c r="Q202" s="50">
        <v>0</v>
      </c>
      <c r="R202" s="50">
        <v>0</v>
      </c>
      <c r="S202" s="50">
        <v>0</v>
      </c>
      <c r="T202" s="50">
        <v>0</v>
      </c>
      <c r="U202" s="50">
        <v>0</v>
      </c>
      <c r="V202" s="50">
        <v>0</v>
      </c>
      <c r="W202" s="50">
        <v>0</v>
      </c>
      <c r="X202" s="50">
        <v>0</v>
      </c>
      <c r="Y202" s="50">
        <v>0</v>
      </c>
      <c r="Z202" s="50">
        <v>0</v>
      </c>
      <c r="AA202" s="50">
        <v>0</v>
      </c>
      <c r="AB202" s="50">
        <v>0</v>
      </c>
      <c r="AC202" s="50">
        <v>0</v>
      </c>
      <c r="AD202" s="50">
        <v>0</v>
      </c>
      <c r="AE202" s="50">
        <v>0</v>
      </c>
      <c r="AF202" s="50">
        <v>0</v>
      </c>
      <c r="AG202" s="50">
        <v>0</v>
      </c>
      <c r="AH202" s="50">
        <v>0</v>
      </c>
      <c r="AI202" s="50">
        <v>0</v>
      </c>
      <c r="AJ202" s="50">
        <v>0</v>
      </c>
      <c r="AK202" s="50">
        <v>0</v>
      </c>
      <c r="AL202" s="50">
        <v>0</v>
      </c>
      <c r="AM202" s="50">
        <v>0</v>
      </c>
      <c r="AN202" s="50">
        <v>0</v>
      </c>
      <c r="AO202" s="50">
        <v>0</v>
      </c>
      <c r="AP202" s="50">
        <v>0</v>
      </c>
      <c r="AQ202" s="50">
        <v>0</v>
      </c>
      <c r="AR202" s="50">
        <v>0</v>
      </c>
      <c r="AS202" s="50">
        <v>0</v>
      </c>
      <c r="AT202" s="50">
        <v>0</v>
      </c>
      <c r="AU202" s="50">
        <v>0</v>
      </c>
      <c r="AV202" s="50">
        <v>0</v>
      </c>
      <c r="AW202" s="50">
        <v>0</v>
      </c>
      <c r="AX202" s="50">
        <v>0</v>
      </c>
      <c r="AY202" s="50">
        <v>0</v>
      </c>
      <c r="AZ202" s="50">
        <v>0</v>
      </c>
      <c r="BA202" s="50">
        <v>0</v>
      </c>
      <c r="BB202" s="50">
        <v>0</v>
      </c>
      <c r="BC202" s="50">
        <v>0</v>
      </c>
      <c r="BD202" s="50">
        <v>0</v>
      </c>
      <c r="BE202" s="50">
        <v>0</v>
      </c>
      <c r="BF202" s="50">
        <v>0</v>
      </c>
      <c r="BG202" s="50">
        <v>0</v>
      </c>
      <c r="BH202" s="50">
        <v>0</v>
      </c>
      <c r="BI202" s="118">
        <v>0</v>
      </c>
    </row>
    <row r="203" spans="1:61" x14ac:dyDescent="0.25">
      <c r="A203" s="22">
        <f t="shared" si="21"/>
        <v>197</v>
      </c>
      <c r="B203" s="214" t="str">
        <f t="shared" si="19"/>
        <v>F0014825801</v>
      </c>
      <c r="C203" s="214" t="str">
        <f t="shared" si="20"/>
        <v>82115-0EZ80</v>
      </c>
      <c r="D203" s="45" t="str">
        <f>VLOOKUP(B203,'Timing Table'!B:J,9,0)</f>
        <v>C/O</v>
      </c>
      <c r="E203" s="22" t="str">
        <f>VLOOKUP(B203,'Timing Table'!B:H,7,0)</f>
        <v>GAS</v>
      </c>
      <c r="F203" s="121" t="s">
        <v>75</v>
      </c>
      <c r="G203" s="146">
        <v>82115</v>
      </c>
      <c r="H203" s="10" t="s">
        <v>128</v>
      </c>
      <c r="I203" s="12" t="s">
        <v>76</v>
      </c>
      <c r="J203" s="161">
        <v>4</v>
      </c>
      <c r="K203" s="162">
        <v>4</v>
      </c>
      <c r="L203" s="162">
        <v>4</v>
      </c>
      <c r="M203" s="162">
        <v>4</v>
      </c>
      <c r="N203" s="162">
        <v>4</v>
      </c>
      <c r="O203" s="162">
        <v>4</v>
      </c>
      <c r="P203" s="162">
        <v>4</v>
      </c>
      <c r="Q203" s="162">
        <v>4</v>
      </c>
      <c r="R203" s="162">
        <v>4</v>
      </c>
      <c r="S203" s="162">
        <v>4</v>
      </c>
      <c r="T203" s="162">
        <v>4</v>
      </c>
      <c r="U203" s="162">
        <v>4</v>
      </c>
      <c r="V203" s="162">
        <v>4</v>
      </c>
      <c r="W203" s="162">
        <v>4</v>
      </c>
      <c r="X203" s="162">
        <v>4</v>
      </c>
      <c r="Y203" s="162">
        <v>4</v>
      </c>
      <c r="Z203" s="162">
        <v>4</v>
      </c>
      <c r="AA203" s="162">
        <v>4</v>
      </c>
      <c r="AB203" s="162">
        <v>4</v>
      </c>
      <c r="AC203" s="162">
        <v>4</v>
      </c>
      <c r="AD203" s="162">
        <v>4</v>
      </c>
      <c r="AE203" s="162">
        <v>4</v>
      </c>
      <c r="AF203" s="162">
        <v>4</v>
      </c>
      <c r="AG203" s="162">
        <v>4</v>
      </c>
      <c r="AH203" s="162">
        <v>4</v>
      </c>
      <c r="AI203" s="162">
        <v>4</v>
      </c>
      <c r="AJ203" s="162">
        <v>4</v>
      </c>
      <c r="AK203" s="162">
        <v>4</v>
      </c>
      <c r="AL203" s="162">
        <v>4</v>
      </c>
      <c r="AM203" s="162">
        <v>4</v>
      </c>
      <c r="AN203" s="162">
        <v>4</v>
      </c>
      <c r="AO203" s="162">
        <v>4</v>
      </c>
      <c r="AP203" s="162">
        <v>4</v>
      </c>
      <c r="AQ203" s="162">
        <v>4</v>
      </c>
      <c r="AR203" s="162">
        <v>4</v>
      </c>
      <c r="AS203" s="162">
        <v>4</v>
      </c>
      <c r="AT203" s="162">
        <v>4</v>
      </c>
      <c r="AU203" s="162">
        <v>4</v>
      </c>
      <c r="AV203" s="162">
        <v>4</v>
      </c>
      <c r="AW203" s="162">
        <v>4</v>
      </c>
      <c r="AX203" s="162">
        <v>4</v>
      </c>
      <c r="AY203" s="162">
        <v>4</v>
      </c>
      <c r="AZ203" s="162">
        <v>4</v>
      </c>
      <c r="BA203" s="162">
        <v>4</v>
      </c>
      <c r="BB203" s="162">
        <v>4</v>
      </c>
      <c r="BC203" s="162">
        <v>4</v>
      </c>
      <c r="BD203" s="162">
        <v>4</v>
      </c>
      <c r="BE203" s="162">
        <v>4</v>
      </c>
      <c r="BF203" s="162">
        <v>4</v>
      </c>
      <c r="BG203" s="162">
        <v>4</v>
      </c>
      <c r="BH203" s="162">
        <v>4</v>
      </c>
      <c r="BI203" s="162">
        <v>4</v>
      </c>
    </row>
    <row r="204" spans="1:61" x14ac:dyDescent="0.25">
      <c r="A204" s="22">
        <f t="shared" si="21"/>
        <v>198</v>
      </c>
      <c r="B204" s="214" t="str">
        <f t="shared" si="19"/>
        <v>F0014825801</v>
      </c>
      <c r="C204" s="214" t="str">
        <f t="shared" si="20"/>
        <v>82115-0EZ80</v>
      </c>
      <c r="D204" s="45" t="str">
        <f>VLOOKUP(B204,'Timing Table'!B:J,9,0)</f>
        <v>C/O</v>
      </c>
      <c r="E204" s="22" t="str">
        <f>VLOOKUP(B204,'Timing Table'!B:H,7,0)</f>
        <v>GAS</v>
      </c>
      <c r="F204" s="164" t="s">
        <v>77</v>
      </c>
      <c r="G204" s="165">
        <v>4</v>
      </c>
      <c r="H204" s="166" t="s">
        <v>78</v>
      </c>
      <c r="I204" s="167"/>
      <c r="J204" s="168" t="s">
        <v>160</v>
      </c>
      <c r="K204" s="169"/>
      <c r="L204" s="170" t="s">
        <v>0</v>
      </c>
      <c r="M204" s="170" t="s">
        <v>0</v>
      </c>
      <c r="N204" s="170" t="s">
        <v>0</v>
      </c>
      <c r="O204" s="170" t="s">
        <v>0</v>
      </c>
      <c r="P204" s="170" t="s">
        <v>0</v>
      </c>
      <c r="Q204" s="170" t="s">
        <v>0</v>
      </c>
      <c r="R204" s="170" t="s">
        <v>0</v>
      </c>
      <c r="S204" s="170" t="s">
        <v>0</v>
      </c>
      <c r="T204" s="170" t="s">
        <v>0</v>
      </c>
      <c r="U204" s="170" t="s">
        <v>0</v>
      </c>
      <c r="V204" s="170" t="s">
        <v>0</v>
      </c>
      <c r="W204" s="170" t="s">
        <v>0</v>
      </c>
      <c r="X204" s="170" t="s">
        <v>0</v>
      </c>
      <c r="Y204" s="170" t="s">
        <v>0</v>
      </c>
      <c r="Z204" s="170" t="s">
        <v>0</v>
      </c>
      <c r="AA204" s="170" t="s">
        <v>0</v>
      </c>
      <c r="AB204" s="170" t="s">
        <v>0</v>
      </c>
      <c r="AC204" s="170" t="s">
        <v>0</v>
      </c>
      <c r="AD204" s="170" t="s">
        <v>0</v>
      </c>
      <c r="AE204" s="170" t="s">
        <v>0</v>
      </c>
      <c r="AF204" s="170" t="s">
        <v>0</v>
      </c>
      <c r="AG204" s="170" t="s">
        <v>0</v>
      </c>
      <c r="AH204" s="170" t="s">
        <v>0</v>
      </c>
      <c r="AI204" s="170" t="s">
        <v>0</v>
      </c>
      <c r="AJ204" s="170" t="s">
        <v>0</v>
      </c>
      <c r="AK204" s="170" t="s">
        <v>0</v>
      </c>
      <c r="AL204" s="170" t="s">
        <v>0</v>
      </c>
      <c r="AM204" s="170" t="s">
        <v>0</v>
      </c>
      <c r="AN204" s="170" t="s">
        <v>0</v>
      </c>
      <c r="AO204" s="170" t="s">
        <v>0</v>
      </c>
      <c r="AP204" s="170" t="s">
        <v>0</v>
      </c>
      <c r="AQ204" s="170" t="s">
        <v>0</v>
      </c>
      <c r="AR204" s="170" t="s">
        <v>0</v>
      </c>
      <c r="AS204" s="170" t="s">
        <v>0</v>
      </c>
      <c r="AT204" s="170" t="s">
        <v>0</v>
      </c>
      <c r="AU204" s="170" t="s">
        <v>0</v>
      </c>
      <c r="AV204" s="170" t="s">
        <v>0</v>
      </c>
      <c r="AW204" s="170" t="s">
        <v>0</v>
      </c>
      <c r="AX204" s="170" t="s">
        <v>0</v>
      </c>
      <c r="AY204" s="170" t="s">
        <v>0</v>
      </c>
      <c r="AZ204" s="170" t="s">
        <v>0</v>
      </c>
      <c r="BA204" s="170" t="s">
        <v>0</v>
      </c>
      <c r="BB204" s="170" t="s">
        <v>0</v>
      </c>
      <c r="BC204" s="170" t="s">
        <v>0</v>
      </c>
      <c r="BD204" s="170" t="s">
        <v>0</v>
      </c>
      <c r="BE204" s="170" t="s">
        <v>0</v>
      </c>
      <c r="BF204" s="170" t="s">
        <v>0</v>
      </c>
      <c r="BG204" s="170" t="s">
        <v>0</v>
      </c>
      <c r="BH204" s="170" t="s">
        <v>0</v>
      </c>
      <c r="BI204" s="171"/>
    </row>
    <row r="205" spans="1:61" x14ac:dyDescent="0.25">
      <c r="A205" s="22">
        <f t="shared" si="21"/>
        <v>199</v>
      </c>
      <c r="B205" s="214" t="str">
        <f t="shared" si="19"/>
        <v>F0014825801</v>
      </c>
      <c r="C205" s="214" t="str">
        <f t="shared" si="20"/>
        <v>82115-0EZ80</v>
      </c>
      <c r="D205" s="45" t="str">
        <f>VLOOKUP(B205,'Timing Table'!B:J,9,0)</f>
        <v>C/O</v>
      </c>
      <c r="E205" s="22" t="str">
        <f>VLOOKUP(B205,'Timing Table'!B:H,7,0)</f>
        <v>GAS</v>
      </c>
      <c r="F205" s="172" t="s">
        <v>79</v>
      </c>
      <c r="G205" s="173" t="s">
        <v>58</v>
      </c>
      <c r="H205" s="174" t="s">
        <v>58</v>
      </c>
      <c r="I205" s="175" t="s">
        <v>58</v>
      </c>
      <c r="J205" s="175" t="s">
        <v>0</v>
      </c>
      <c r="K205" s="175" t="s">
        <v>0</v>
      </c>
      <c r="L205" s="175" t="s">
        <v>0</v>
      </c>
      <c r="M205" s="175" t="s">
        <v>0</v>
      </c>
      <c r="N205" s="175" t="s">
        <v>0</v>
      </c>
      <c r="O205" s="175" t="s">
        <v>0</v>
      </c>
      <c r="P205" s="175" t="s">
        <v>0</v>
      </c>
      <c r="Q205" s="175" t="s">
        <v>0</v>
      </c>
      <c r="R205" s="175" t="s">
        <v>0</v>
      </c>
      <c r="S205" s="175" t="s">
        <v>0</v>
      </c>
      <c r="T205" s="175" t="s">
        <v>0</v>
      </c>
      <c r="U205" s="175" t="s">
        <v>0</v>
      </c>
      <c r="V205" s="175" t="s">
        <v>0</v>
      </c>
      <c r="W205" s="175" t="s">
        <v>0</v>
      </c>
      <c r="X205" s="175" t="s">
        <v>0</v>
      </c>
      <c r="Y205" s="175" t="s">
        <v>0</v>
      </c>
      <c r="Z205" s="175" t="s">
        <v>0</v>
      </c>
      <c r="AA205" s="175" t="s">
        <v>0</v>
      </c>
      <c r="AB205" s="175" t="s">
        <v>0</v>
      </c>
      <c r="AC205" s="175" t="s">
        <v>0</v>
      </c>
      <c r="AD205" s="175" t="s">
        <v>0</v>
      </c>
      <c r="AE205" s="175" t="s">
        <v>0</v>
      </c>
      <c r="AF205" s="175" t="s">
        <v>0</v>
      </c>
      <c r="AG205" s="175" t="s">
        <v>0</v>
      </c>
      <c r="AH205" s="175" t="s">
        <v>0</v>
      </c>
      <c r="AI205" s="175" t="s">
        <v>0</v>
      </c>
      <c r="AJ205" s="175" t="s">
        <v>0</v>
      </c>
      <c r="AK205" s="175" t="s">
        <v>0</v>
      </c>
      <c r="AL205" s="175" t="s">
        <v>0</v>
      </c>
      <c r="AM205" s="175" t="s">
        <v>0</v>
      </c>
      <c r="AN205" s="175" t="s">
        <v>0</v>
      </c>
      <c r="AO205" s="175" t="s">
        <v>0</v>
      </c>
      <c r="AP205" s="175" t="s">
        <v>0</v>
      </c>
      <c r="AQ205" s="175" t="s">
        <v>0</v>
      </c>
      <c r="AR205" s="175" t="s">
        <v>0</v>
      </c>
      <c r="AS205" s="175" t="s">
        <v>0</v>
      </c>
      <c r="AT205" s="175" t="s">
        <v>0</v>
      </c>
      <c r="AU205" s="175" t="s">
        <v>0</v>
      </c>
      <c r="AV205" s="175" t="s">
        <v>0</v>
      </c>
      <c r="AW205" s="175" t="s">
        <v>0</v>
      </c>
      <c r="AX205" s="175" t="s">
        <v>0</v>
      </c>
      <c r="AY205" s="175" t="s">
        <v>0</v>
      </c>
      <c r="AZ205" s="175" t="s">
        <v>0</v>
      </c>
      <c r="BA205" s="175" t="s">
        <v>0</v>
      </c>
      <c r="BB205" s="175" t="s">
        <v>0</v>
      </c>
      <c r="BC205" s="175" t="s">
        <v>0</v>
      </c>
      <c r="BD205" s="175" t="s">
        <v>0</v>
      </c>
      <c r="BE205" s="175" t="s">
        <v>0</v>
      </c>
      <c r="BF205" s="175" t="s">
        <v>0</v>
      </c>
      <c r="BG205" s="175" t="s">
        <v>0</v>
      </c>
      <c r="BH205" s="175" t="s">
        <v>0</v>
      </c>
      <c r="BI205" s="176"/>
    </row>
    <row r="206" spans="1:61" x14ac:dyDescent="0.25">
      <c r="A206" s="22">
        <f t="shared" si="21"/>
        <v>200</v>
      </c>
      <c r="B206" s="214" t="str">
        <f t="shared" si="19"/>
        <v>F0014825801</v>
      </c>
      <c r="C206" s="214" t="str">
        <f t="shared" si="20"/>
        <v>82115-0EZ80</v>
      </c>
      <c r="D206" s="45" t="str">
        <f>VLOOKUP(B206,'Timing Table'!B:J,9,0)</f>
        <v>C/O</v>
      </c>
      <c r="E206" s="22" t="str">
        <f>VLOOKUP(B206,'Timing Table'!B:H,7,0)</f>
        <v>GAS</v>
      </c>
      <c r="F206" s="177" t="s">
        <v>58</v>
      </c>
      <c r="G206" s="178" t="s">
        <v>58</v>
      </c>
      <c r="H206" s="179" t="s">
        <v>58</v>
      </c>
      <c r="I206" s="180" t="s">
        <v>58</v>
      </c>
      <c r="J206" s="180" t="s">
        <v>0</v>
      </c>
      <c r="K206" s="180" t="s">
        <v>0</v>
      </c>
      <c r="L206" s="180" t="s">
        <v>0</v>
      </c>
      <c r="M206" s="180" t="s">
        <v>0</v>
      </c>
      <c r="N206" s="180" t="s">
        <v>0</v>
      </c>
      <c r="O206" s="180" t="s">
        <v>0</v>
      </c>
      <c r="P206" s="180" t="s">
        <v>0</v>
      </c>
      <c r="Q206" s="180" t="s">
        <v>0</v>
      </c>
      <c r="R206" s="180" t="s">
        <v>0</v>
      </c>
      <c r="S206" s="180" t="s">
        <v>0</v>
      </c>
      <c r="T206" s="180" t="s">
        <v>0</v>
      </c>
      <c r="U206" s="180" t="s">
        <v>0</v>
      </c>
      <c r="V206" s="180" t="s">
        <v>0</v>
      </c>
      <c r="W206" s="180" t="s">
        <v>0</v>
      </c>
      <c r="X206" s="180" t="s">
        <v>0</v>
      </c>
      <c r="Y206" s="180" t="s">
        <v>0</v>
      </c>
      <c r="Z206" s="180" t="s">
        <v>0</v>
      </c>
      <c r="AA206" s="180" t="s">
        <v>0</v>
      </c>
      <c r="AB206" s="180" t="s">
        <v>0</v>
      </c>
      <c r="AC206" s="180" t="s">
        <v>0</v>
      </c>
      <c r="AD206" s="180" t="s">
        <v>0</v>
      </c>
      <c r="AE206" s="180" t="s">
        <v>0</v>
      </c>
      <c r="AF206" s="180" t="s">
        <v>0</v>
      </c>
      <c r="AG206" s="180" t="s">
        <v>0</v>
      </c>
      <c r="AH206" s="180" t="s">
        <v>0</v>
      </c>
      <c r="AI206" s="180" t="s">
        <v>0</v>
      </c>
      <c r="AJ206" s="180" t="s">
        <v>0</v>
      </c>
      <c r="AK206" s="180" t="s">
        <v>0</v>
      </c>
      <c r="AL206" s="180" t="s">
        <v>0</v>
      </c>
      <c r="AM206" s="180" t="s">
        <v>0</v>
      </c>
      <c r="AN206" s="180" t="s">
        <v>0</v>
      </c>
      <c r="AO206" s="180" t="s">
        <v>0</v>
      </c>
      <c r="AP206" s="180" t="s">
        <v>0</v>
      </c>
      <c r="AQ206" s="180" t="s">
        <v>0</v>
      </c>
      <c r="AR206" s="180" t="s">
        <v>0</v>
      </c>
      <c r="AS206" s="180" t="s">
        <v>0</v>
      </c>
      <c r="AT206" s="180" t="s">
        <v>0</v>
      </c>
      <c r="AU206" s="180" t="s">
        <v>0</v>
      </c>
      <c r="AV206" s="180" t="s">
        <v>0</v>
      </c>
      <c r="AW206" s="180" t="s">
        <v>0</v>
      </c>
      <c r="AX206" s="180" t="s">
        <v>0</v>
      </c>
      <c r="AY206" s="180" t="s">
        <v>0</v>
      </c>
      <c r="AZ206" s="180" t="s">
        <v>0</v>
      </c>
      <c r="BA206" s="180" t="s">
        <v>0</v>
      </c>
      <c r="BB206" s="180" t="s">
        <v>0</v>
      </c>
      <c r="BC206" s="180" t="s">
        <v>0</v>
      </c>
      <c r="BD206" s="180" t="s">
        <v>0</v>
      </c>
      <c r="BE206" s="180" t="s">
        <v>0</v>
      </c>
      <c r="BF206" s="180" t="s">
        <v>0</v>
      </c>
      <c r="BG206" s="180" t="s">
        <v>0</v>
      </c>
      <c r="BH206" s="180" t="s">
        <v>0</v>
      </c>
      <c r="BI206" s="181"/>
    </row>
    <row r="207" spans="1:61" x14ac:dyDescent="0.25">
      <c r="A207" s="22">
        <f t="shared" si="21"/>
        <v>201</v>
      </c>
      <c r="B207" s="214" t="str">
        <f t="shared" si="19"/>
        <v>F0014825803</v>
      </c>
      <c r="C207" s="214" t="str">
        <f t="shared" si="20"/>
        <v>82115-0EZ80 B</v>
      </c>
      <c r="D207" s="45" t="str">
        <f>VLOOKUP(B207,'Timing Table'!B:J,9,0)</f>
        <v>C/O</v>
      </c>
      <c r="E207" s="22" t="str">
        <f>VLOOKUP(B207,'Timing Table'!B:H,7,0)</f>
        <v>GAS</v>
      </c>
      <c r="F207" s="121" t="s">
        <v>59</v>
      </c>
      <c r="G207" s="146">
        <v>5501017979</v>
      </c>
      <c r="H207" s="121" t="s">
        <v>60</v>
      </c>
      <c r="I207" s="146">
        <v>91</v>
      </c>
      <c r="J207" s="121" t="s">
        <v>61</v>
      </c>
      <c r="K207" s="125">
        <v>1177766</v>
      </c>
      <c r="L207" s="126"/>
      <c r="M207" s="147" t="s">
        <v>62</v>
      </c>
      <c r="N207" s="148"/>
      <c r="O207" s="149">
        <v>46086</v>
      </c>
      <c r="P207" s="121" t="s">
        <v>63</v>
      </c>
      <c r="Q207" s="146">
        <v>4</v>
      </c>
      <c r="R207" s="6" t="s">
        <v>0</v>
      </c>
      <c r="S207" s="7" t="s">
        <v>0</v>
      </c>
      <c r="T207" s="7" t="s">
        <v>0</v>
      </c>
      <c r="U207" s="7" t="s">
        <v>0</v>
      </c>
      <c r="V207" s="7" t="s">
        <v>0</v>
      </c>
      <c r="W207" s="7" t="s">
        <v>0</v>
      </c>
      <c r="X207" s="7" t="s">
        <v>0</v>
      </c>
      <c r="Y207" s="7" t="s">
        <v>0</v>
      </c>
      <c r="Z207" s="7" t="s">
        <v>0</v>
      </c>
      <c r="AA207" s="7" t="s">
        <v>0</v>
      </c>
      <c r="AB207" s="7" t="s">
        <v>0</v>
      </c>
      <c r="AC207" s="7" t="s">
        <v>0</v>
      </c>
      <c r="AD207" s="7" t="s">
        <v>0</v>
      </c>
      <c r="AE207" s="7" t="s">
        <v>0</v>
      </c>
      <c r="AF207" s="7" t="s">
        <v>0</v>
      </c>
      <c r="AG207" s="7" t="s">
        <v>0</v>
      </c>
      <c r="AH207" s="7" t="s">
        <v>0</v>
      </c>
      <c r="AI207" s="7" t="s">
        <v>0</v>
      </c>
      <c r="AJ207" s="7" t="s">
        <v>0</v>
      </c>
      <c r="AK207" s="7" t="s">
        <v>0</v>
      </c>
      <c r="AL207" s="7" t="s">
        <v>0</v>
      </c>
      <c r="AM207" s="7" t="s">
        <v>0</v>
      </c>
      <c r="AN207" s="7" t="s">
        <v>0</v>
      </c>
      <c r="AO207" s="7" t="s">
        <v>0</v>
      </c>
      <c r="AP207" s="7" t="s">
        <v>0</v>
      </c>
      <c r="AQ207" s="7" t="s">
        <v>0</v>
      </c>
      <c r="AR207" s="7" t="s">
        <v>0</v>
      </c>
      <c r="AS207" s="7" t="s">
        <v>0</v>
      </c>
      <c r="AT207" s="7" t="s">
        <v>0</v>
      </c>
      <c r="AU207" s="7" t="s">
        <v>0</v>
      </c>
      <c r="AV207" s="7" t="s">
        <v>0</v>
      </c>
      <c r="AW207" s="7" t="s">
        <v>0</v>
      </c>
      <c r="AX207" s="7" t="s">
        <v>0</v>
      </c>
      <c r="AY207" s="7" t="s">
        <v>0</v>
      </c>
      <c r="AZ207" s="7" t="s">
        <v>0</v>
      </c>
      <c r="BA207" s="7" t="s">
        <v>0</v>
      </c>
      <c r="BB207" s="7" t="s">
        <v>0</v>
      </c>
      <c r="BC207" s="7" t="s">
        <v>0</v>
      </c>
      <c r="BD207" s="7" t="s">
        <v>0</v>
      </c>
      <c r="BE207" s="7" t="s">
        <v>0</v>
      </c>
      <c r="BF207" s="7" t="s">
        <v>0</v>
      </c>
      <c r="BG207" s="7" t="s">
        <v>0</v>
      </c>
      <c r="BH207" s="7" t="s">
        <v>0</v>
      </c>
      <c r="BI207" s="8"/>
    </row>
    <row r="208" spans="1:61" x14ac:dyDescent="0.25">
      <c r="A208" s="22">
        <f t="shared" si="21"/>
        <v>202</v>
      </c>
      <c r="B208" s="214" t="str">
        <f t="shared" si="19"/>
        <v>F0014825803</v>
      </c>
      <c r="C208" s="214" t="str">
        <f t="shared" si="20"/>
        <v>82115-0EZ80 B</v>
      </c>
      <c r="D208" s="45" t="str">
        <f>VLOOKUP(B208,'Timing Table'!B:J,9,0)</f>
        <v>C/O</v>
      </c>
      <c r="E208" s="22" t="str">
        <f>VLOOKUP(B208,'Timing Table'!B:H,7,0)</f>
        <v>GAS</v>
      </c>
      <c r="F208" s="121" t="s">
        <v>64</v>
      </c>
      <c r="G208" s="146" t="s">
        <v>192</v>
      </c>
      <c r="H208" s="121" t="s">
        <v>65</v>
      </c>
      <c r="I208" s="150" t="s">
        <v>202</v>
      </c>
      <c r="J208" s="151"/>
      <c r="K208" s="151"/>
      <c r="L208" s="152"/>
      <c r="M208" s="121" t="s">
        <v>66</v>
      </c>
      <c r="N208" s="146">
        <v>2025</v>
      </c>
      <c r="O208" s="140" t="s">
        <v>67</v>
      </c>
      <c r="P208" s="141"/>
      <c r="Q208" s="153" t="s">
        <v>203</v>
      </c>
      <c r="R208" s="122" t="s">
        <v>0</v>
      </c>
      <c r="S208" s="123" t="s">
        <v>0</v>
      </c>
      <c r="T208" s="123" t="s">
        <v>0</v>
      </c>
      <c r="U208" s="123" t="s">
        <v>0</v>
      </c>
      <c r="V208" s="123" t="s">
        <v>0</v>
      </c>
      <c r="W208" s="123" t="s">
        <v>0</v>
      </c>
      <c r="X208" s="123" t="s">
        <v>0</v>
      </c>
      <c r="Y208" s="123" t="s">
        <v>0</v>
      </c>
      <c r="Z208" s="123" t="s">
        <v>0</v>
      </c>
      <c r="AA208" s="123" t="s">
        <v>0</v>
      </c>
      <c r="AB208" s="123" t="s">
        <v>0</v>
      </c>
      <c r="AC208" s="123" t="s">
        <v>0</v>
      </c>
      <c r="AD208" s="123" t="s">
        <v>0</v>
      </c>
      <c r="AE208" s="123" t="s">
        <v>0</v>
      </c>
      <c r="AF208" s="123" t="s">
        <v>0</v>
      </c>
      <c r="AG208" s="123" t="s">
        <v>0</v>
      </c>
      <c r="AH208" s="123" t="s">
        <v>0</v>
      </c>
      <c r="AI208" s="123" t="s">
        <v>0</v>
      </c>
      <c r="AJ208" s="123" t="s">
        <v>0</v>
      </c>
      <c r="AK208" s="123" t="s">
        <v>0</v>
      </c>
      <c r="AL208" s="123" t="s">
        <v>0</v>
      </c>
      <c r="AM208" s="123" t="s">
        <v>0</v>
      </c>
      <c r="AN208" s="123" t="s">
        <v>0</v>
      </c>
      <c r="AO208" s="123" t="s">
        <v>0</v>
      </c>
      <c r="AP208" s="123" t="s">
        <v>0</v>
      </c>
      <c r="AQ208" s="123" t="s">
        <v>0</v>
      </c>
      <c r="AR208" s="123" t="s">
        <v>0</v>
      </c>
      <c r="AS208" s="123" t="s">
        <v>0</v>
      </c>
      <c r="AT208" s="123" t="s">
        <v>0</v>
      </c>
      <c r="AU208" s="123" t="s">
        <v>0</v>
      </c>
      <c r="AV208" s="123" t="s">
        <v>0</v>
      </c>
      <c r="AW208" s="123" t="s">
        <v>0</v>
      </c>
      <c r="AX208" s="123" t="s">
        <v>0</v>
      </c>
      <c r="AY208" s="123" t="s">
        <v>0</v>
      </c>
      <c r="AZ208" s="123" t="s">
        <v>0</v>
      </c>
      <c r="BA208" s="123" t="s">
        <v>0</v>
      </c>
      <c r="BB208" s="123" t="s">
        <v>0</v>
      </c>
      <c r="BC208" s="123" t="s">
        <v>0</v>
      </c>
      <c r="BD208" s="123" t="s">
        <v>0</v>
      </c>
      <c r="BE208" s="123" t="s">
        <v>0</v>
      </c>
      <c r="BF208" s="123" t="s">
        <v>0</v>
      </c>
      <c r="BG208" s="123" t="s">
        <v>0</v>
      </c>
      <c r="BH208" s="123" t="s">
        <v>0</v>
      </c>
      <c r="BI208" s="124"/>
    </row>
    <row r="209" spans="1:61" x14ac:dyDescent="0.25">
      <c r="A209" s="22">
        <f t="shared" si="21"/>
        <v>203</v>
      </c>
      <c r="B209" s="214" t="str">
        <f t="shared" si="19"/>
        <v>F0014825803</v>
      </c>
      <c r="C209" s="214" t="str">
        <f t="shared" si="20"/>
        <v>82115-0EZ80 B</v>
      </c>
      <c r="D209" s="45" t="str">
        <f>VLOOKUP(B209,'Timing Table'!B:J,9,0)</f>
        <v>C/O</v>
      </c>
      <c r="E209" s="22" t="str">
        <f>VLOOKUP(B209,'Timing Table'!B:H,7,0)</f>
        <v>GAS</v>
      </c>
      <c r="F209" s="121" t="s">
        <v>68</v>
      </c>
      <c r="G209" s="146" t="s">
        <v>347</v>
      </c>
      <c r="H209" s="121" t="s">
        <v>69</v>
      </c>
      <c r="I209" s="154" t="s">
        <v>58</v>
      </c>
      <c r="J209" s="155" t="s">
        <v>0</v>
      </c>
      <c r="K209" s="156" t="s">
        <v>0</v>
      </c>
      <c r="L209" s="157" t="s">
        <v>0</v>
      </c>
      <c r="M209" s="134" t="s">
        <v>0</v>
      </c>
      <c r="N209" s="134" t="s">
        <v>0</v>
      </c>
      <c r="O209" s="134" t="s">
        <v>0</v>
      </c>
      <c r="P209" s="134" t="s">
        <v>0</v>
      </c>
      <c r="Q209" s="134" t="s">
        <v>1</v>
      </c>
      <c r="R209" s="134" t="s">
        <v>2</v>
      </c>
      <c r="S209" s="134" t="s">
        <v>0</v>
      </c>
      <c r="T209" s="134" t="s">
        <v>0</v>
      </c>
      <c r="U209" s="134" t="s">
        <v>0</v>
      </c>
      <c r="V209" s="134" t="s">
        <v>0</v>
      </c>
      <c r="W209" s="134" t="s">
        <v>0</v>
      </c>
      <c r="X209" s="134" t="s">
        <v>0</v>
      </c>
      <c r="Y209" s="134" t="s">
        <v>0</v>
      </c>
      <c r="Z209" s="134" t="s">
        <v>3</v>
      </c>
      <c r="AA209" s="134" t="s">
        <v>0</v>
      </c>
      <c r="AB209" s="134" t="s">
        <v>0</v>
      </c>
      <c r="AC209" s="134" t="s">
        <v>0</v>
      </c>
      <c r="AD209" s="134" t="s">
        <v>0</v>
      </c>
      <c r="AE209" s="134" t="s">
        <v>0</v>
      </c>
      <c r="AF209" s="134" t="s">
        <v>0</v>
      </c>
      <c r="AG209" s="134" t="s">
        <v>0</v>
      </c>
      <c r="AH209" s="134" t="s">
        <v>0</v>
      </c>
      <c r="AI209" s="134" t="s">
        <v>0</v>
      </c>
      <c r="AJ209" s="134" t="s">
        <v>0</v>
      </c>
      <c r="AK209" s="134" t="s">
        <v>0</v>
      </c>
      <c r="AL209" s="134" t="s">
        <v>0</v>
      </c>
      <c r="AM209" s="134" t="s">
        <v>0</v>
      </c>
      <c r="AN209" s="134" t="s">
        <v>0</v>
      </c>
      <c r="AO209" s="134" t="s">
        <v>0</v>
      </c>
      <c r="AP209" s="134" t="s">
        <v>0</v>
      </c>
      <c r="AQ209" s="134" t="s">
        <v>0</v>
      </c>
      <c r="AR209" s="134" t="s">
        <v>0</v>
      </c>
      <c r="AS209" s="134" t="s">
        <v>0</v>
      </c>
      <c r="AT209" s="134" t="s">
        <v>0</v>
      </c>
      <c r="AU209" s="134" t="s">
        <v>0</v>
      </c>
      <c r="AV209" s="134" t="s">
        <v>0</v>
      </c>
      <c r="AW209" s="134" t="s">
        <v>0</v>
      </c>
      <c r="AX209" s="134" t="s">
        <v>0</v>
      </c>
      <c r="AY209" s="134" t="s">
        <v>0</v>
      </c>
      <c r="AZ209" s="134" t="s">
        <v>0</v>
      </c>
      <c r="BA209" s="134" t="s">
        <v>0</v>
      </c>
      <c r="BB209" s="134" t="s">
        <v>0</v>
      </c>
      <c r="BC209" s="134" t="s">
        <v>0</v>
      </c>
      <c r="BD209" s="134" t="s">
        <v>0</v>
      </c>
      <c r="BE209" s="134" t="s">
        <v>0</v>
      </c>
      <c r="BF209" s="134" t="s">
        <v>0</v>
      </c>
      <c r="BG209" s="134" t="s">
        <v>0</v>
      </c>
      <c r="BH209" s="134" t="s">
        <v>0</v>
      </c>
      <c r="BI209" s="135" t="s">
        <v>4</v>
      </c>
    </row>
    <row r="210" spans="1:61" x14ac:dyDescent="0.25">
      <c r="A210" s="22">
        <f t="shared" si="21"/>
        <v>204</v>
      </c>
      <c r="B210" s="214" t="str">
        <f t="shared" si="19"/>
        <v>F0014825803</v>
      </c>
      <c r="C210" s="214" t="str">
        <f t="shared" si="20"/>
        <v>82115-0EZ80 B</v>
      </c>
      <c r="D210" s="45" t="str">
        <f>VLOOKUP(B210,'Timing Table'!B:J,9,0)</f>
        <v>C/O</v>
      </c>
      <c r="E210" s="22" t="str">
        <f>VLOOKUP(B210,'Timing Table'!B:H,7,0)</f>
        <v>GAS</v>
      </c>
      <c r="F210" s="121" t="s">
        <v>70</v>
      </c>
      <c r="G210" s="146">
        <v>0</v>
      </c>
      <c r="H210" s="158" t="s">
        <v>241</v>
      </c>
      <c r="I210" s="159" t="s">
        <v>71</v>
      </c>
      <c r="J210" s="13">
        <v>46041</v>
      </c>
      <c r="K210" s="14">
        <v>46048</v>
      </c>
      <c r="L210" s="14">
        <v>46055</v>
      </c>
      <c r="M210" s="14">
        <v>46062</v>
      </c>
      <c r="N210" s="14">
        <v>46069</v>
      </c>
      <c r="O210" s="14">
        <v>46076</v>
      </c>
      <c r="P210" s="14">
        <v>46083</v>
      </c>
      <c r="Q210" s="14">
        <v>46090</v>
      </c>
      <c r="R210" s="14">
        <v>46097</v>
      </c>
      <c r="S210" s="14">
        <v>46104</v>
      </c>
      <c r="T210" s="14">
        <v>46111</v>
      </c>
      <c r="U210" s="14">
        <v>46118</v>
      </c>
      <c r="V210" s="14">
        <v>46125</v>
      </c>
      <c r="W210" s="14">
        <v>46132</v>
      </c>
      <c r="X210" s="14">
        <v>46139</v>
      </c>
      <c r="Y210" s="14">
        <v>46146</v>
      </c>
      <c r="Z210" s="14">
        <v>46153</v>
      </c>
      <c r="AA210" s="14">
        <v>46160</v>
      </c>
      <c r="AB210" s="14">
        <v>46167</v>
      </c>
      <c r="AC210" s="14">
        <v>46174</v>
      </c>
      <c r="AD210" s="14">
        <v>46181</v>
      </c>
      <c r="AE210" s="14">
        <v>46188</v>
      </c>
      <c r="AF210" s="14">
        <v>46195</v>
      </c>
      <c r="AG210" s="14">
        <v>46202</v>
      </c>
      <c r="AH210" s="14">
        <v>46209</v>
      </c>
      <c r="AI210" s="14">
        <v>46216</v>
      </c>
      <c r="AJ210" s="14">
        <v>46223</v>
      </c>
      <c r="AK210" s="14">
        <v>46230</v>
      </c>
      <c r="AL210" s="14">
        <v>46237</v>
      </c>
      <c r="AM210" s="14">
        <v>46244</v>
      </c>
      <c r="AN210" s="14">
        <v>46251</v>
      </c>
      <c r="AO210" s="14">
        <v>46258</v>
      </c>
      <c r="AP210" s="14">
        <v>46265</v>
      </c>
      <c r="AQ210" s="14">
        <v>46272</v>
      </c>
      <c r="AR210" s="14">
        <v>46279</v>
      </c>
      <c r="AS210" s="14">
        <v>46286</v>
      </c>
      <c r="AT210" s="14">
        <v>46293</v>
      </c>
      <c r="AU210" s="14">
        <v>46300</v>
      </c>
      <c r="AV210" s="14">
        <v>46307</v>
      </c>
      <c r="AW210" s="14">
        <v>46314</v>
      </c>
      <c r="AX210" s="14">
        <v>46321</v>
      </c>
      <c r="AY210" s="14">
        <v>46328</v>
      </c>
      <c r="AZ210" s="14">
        <v>46335</v>
      </c>
      <c r="BA210" s="14">
        <v>46342</v>
      </c>
      <c r="BB210" s="14">
        <v>46349</v>
      </c>
      <c r="BC210" s="14">
        <v>46356</v>
      </c>
      <c r="BD210" s="14">
        <v>46363</v>
      </c>
      <c r="BE210" s="14">
        <v>46370</v>
      </c>
      <c r="BF210" s="14">
        <v>46377</v>
      </c>
      <c r="BG210" s="14">
        <v>46384</v>
      </c>
      <c r="BH210" s="14">
        <v>46391</v>
      </c>
      <c r="BI210" s="15">
        <v>46398</v>
      </c>
    </row>
    <row r="211" spans="1:61" x14ac:dyDescent="0.25">
      <c r="A211" s="22">
        <f t="shared" si="21"/>
        <v>205</v>
      </c>
      <c r="B211" s="214" t="str">
        <f t="shared" si="19"/>
        <v>F0014825803</v>
      </c>
      <c r="C211" s="214" t="str">
        <f t="shared" si="20"/>
        <v>82115-0EZ80 B</v>
      </c>
      <c r="D211" s="45" t="str">
        <f>VLOOKUP(B211,'Timing Table'!B:J,9,0)</f>
        <v>C/O</v>
      </c>
      <c r="E211" s="22" t="str">
        <f>VLOOKUP(B211,'Timing Table'!B:H,7,0)</f>
        <v>GAS</v>
      </c>
      <c r="F211" s="121" t="s">
        <v>72</v>
      </c>
      <c r="G211" s="146">
        <v>0</v>
      </c>
      <c r="H211" s="5" t="s">
        <v>58</v>
      </c>
      <c r="I211" s="11" t="s">
        <v>83</v>
      </c>
      <c r="J211" s="16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17"/>
    </row>
    <row r="212" spans="1:61" x14ac:dyDescent="0.25">
      <c r="A212" s="22">
        <f t="shared" si="21"/>
        <v>206</v>
      </c>
      <c r="B212" s="214" t="str">
        <f t="shared" si="19"/>
        <v>F0014825803</v>
      </c>
      <c r="C212" s="214" t="str">
        <f t="shared" si="20"/>
        <v>82115-0EZ80 B</v>
      </c>
      <c r="D212" s="45" t="str">
        <f>VLOOKUP(B212,'Timing Table'!B:J,9,0)</f>
        <v>C/O</v>
      </c>
      <c r="E212" s="22" t="str">
        <f>VLOOKUP(B212,'Timing Table'!B:H,7,0)</f>
        <v>GAS</v>
      </c>
      <c r="F212" s="121" t="s">
        <v>73</v>
      </c>
      <c r="G212" s="160" t="s">
        <v>130</v>
      </c>
      <c r="H212" s="9" t="s">
        <v>128</v>
      </c>
      <c r="I212" s="11" t="s">
        <v>74</v>
      </c>
      <c r="J212" s="117">
        <v>0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  <c r="Q212" s="50">
        <v>0</v>
      </c>
      <c r="R212" s="50">
        <v>0</v>
      </c>
      <c r="S212" s="50">
        <v>0</v>
      </c>
      <c r="T212" s="50">
        <v>0</v>
      </c>
      <c r="U212" s="50">
        <v>0</v>
      </c>
      <c r="V212" s="50">
        <v>0</v>
      </c>
      <c r="W212" s="50">
        <v>0</v>
      </c>
      <c r="X212" s="50">
        <v>0</v>
      </c>
      <c r="Y212" s="50">
        <v>0</v>
      </c>
      <c r="Z212" s="50">
        <v>0</v>
      </c>
      <c r="AA212" s="50">
        <v>0</v>
      </c>
      <c r="AB212" s="50">
        <v>0</v>
      </c>
      <c r="AC212" s="50">
        <v>0</v>
      </c>
      <c r="AD212" s="50">
        <v>0</v>
      </c>
      <c r="AE212" s="50">
        <v>0</v>
      </c>
      <c r="AF212" s="50">
        <v>0</v>
      </c>
      <c r="AG212" s="50">
        <v>0</v>
      </c>
      <c r="AH212" s="50">
        <v>0</v>
      </c>
      <c r="AI212" s="50">
        <v>0</v>
      </c>
      <c r="AJ212" s="50">
        <v>0</v>
      </c>
      <c r="AK212" s="50">
        <v>0</v>
      </c>
      <c r="AL212" s="50">
        <v>0</v>
      </c>
      <c r="AM212" s="50">
        <v>0</v>
      </c>
      <c r="AN212" s="50">
        <v>0</v>
      </c>
      <c r="AO212" s="50">
        <v>0</v>
      </c>
      <c r="AP212" s="50">
        <v>0</v>
      </c>
      <c r="AQ212" s="50">
        <v>0</v>
      </c>
      <c r="AR212" s="50">
        <v>0</v>
      </c>
      <c r="AS212" s="50">
        <v>0</v>
      </c>
      <c r="AT212" s="50">
        <v>0</v>
      </c>
      <c r="AU212" s="50">
        <v>0</v>
      </c>
      <c r="AV212" s="50">
        <v>0</v>
      </c>
      <c r="AW212" s="50">
        <v>0</v>
      </c>
      <c r="AX212" s="50">
        <v>0</v>
      </c>
      <c r="AY212" s="50">
        <v>0</v>
      </c>
      <c r="AZ212" s="50">
        <v>0</v>
      </c>
      <c r="BA212" s="50">
        <v>0</v>
      </c>
      <c r="BB212" s="50">
        <v>0</v>
      </c>
      <c r="BC212" s="50">
        <v>0</v>
      </c>
      <c r="BD212" s="50">
        <v>0</v>
      </c>
      <c r="BE212" s="50">
        <v>0</v>
      </c>
      <c r="BF212" s="50">
        <v>0</v>
      </c>
      <c r="BG212" s="50">
        <v>0</v>
      </c>
      <c r="BH212" s="50">
        <v>0</v>
      </c>
      <c r="BI212" s="118">
        <v>0</v>
      </c>
    </row>
    <row r="213" spans="1:61" x14ac:dyDescent="0.25">
      <c r="A213" s="22">
        <f t="shared" si="21"/>
        <v>207</v>
      </c>
      <c r="B213" s="214" t="str">
        <f t="shared" si="19"/>
        <v>F0014825803</v>
      </c>
      <c r="C213" s="214" t="str">
        <f t="shared" si="20"/>
        <v>82115-0EZ80 B</v>
      </c>
      <c r="D213" s="45" t="str">
        <f>VLOOKUP(B213,'Timing Table'!B:J,9,0)</f>
        <v>C/O</v>
      </c>
      <c r="E213" s="22" t="str">
        <f>VLOOKUP(B213,'Timing Table'!B:H,7,0)</f>
        <v>GAS</v>
      </c>
      <c r="F213" s="121" t="s">
        <v>75</v>
      </c>
      <c r="G213" s="146">
        <v>82115</v>
      </c>
      <c r="H213" s="10" t="s">
        <v>128</v>
      </c>
      <c r="I213" s="12" t="s">
        <v>76</v>
      </c>
      <c r="J213" s="161">
        <v>0</v>
      </c>
      <c r="K213" s="162">
        <v>0</v>
      </c>
      <c r="L213" s="162">
        <v>0</v>
      </c>
      <c r="M213" s="162">
        <v>0</v>
      </c>
      <c r="N213" s="162">
        <v>0</v>
      </c>
      <c r="O213" s="162">
        <v>0</v>
      </c>
      <c r="P213" s="162">
        <v>0</v>
      </c>
      <c r="Q213" s="162">
        <v>0</v>
      </c>
      <c r="R213" s="162">
        <v>0</v>
      </c>
      <c r="S213" s="162">
        <v>0</v>
      </c>
      <c r="T213" s="162">
        <v>0</v>
      </c>
      <c r="U213" s="162">
        <v>0</v>
      </c>
      <c r="V213" s="162">
        <v>0</v>
      </c>
      <c r="W213" s="162">
        <v>0</v>
      </c>
      <c r="X213" s="162">
        <v>0</v>
      </c>
      <c r="Y213" s="162">
        <v>0</v>
      </c>
      <c r="Z213" s="162">
        <v>0</v>
      </c>
      <c r="AA213" s="162">
        <v>0</v>
      </c>
      <c r="AB213" s="162">
        <v>0</v>
      </c>
      <c r="AC213" s="162">
        <v>0</v>
      </c>
      <c r="AD213" s="162">
        <v>0</v>
      </c>
      <c r="AE213" s="162">
        <v>0</v>
      </c>
      <c r="AF213" s="162">
        <v>0</v>
      </c>
      <c r="AG213" s="162">
        <v>0</v>
      </c>
      <c r="AH213" s="162">
        <v>0</v>
      </c>
      <c r="AI213" s="162">
        <v>0</v>
      </c>
      <c r="AJ213" s="162">
        <v>0</v>
      </c>
      <c r="AK213" s="162">
        <v>0</v>
      </c>
      <c r="AL213" s="162">
        <v>0</v>
      </c>
      <c r="AM213" s="162">
        <v>0</v>
      </c>
      <c r="AN213" s="162">
        <v>0</v>
      </c>
      <c r="AO213" s="162">
        <v>0</v>
      </c>
      <c r="AP213" s="162">
        <v>0</v>
      </c>
      <c r="AQ213" s="162">
        <v>0</v>
      </c>
      <c r="AR213" s="162">
        <v>0</v>
      </c>
      <c r="AS213" s="162">
        <v>0</v>
      </c>
      <c r="AT213" s="162">
        <v>0</v>
      </c>
      <c r="AU213" s="162">
        <v>0</v>
      </c>
      <c r="AV213" s="162">
        <v>0</v>
      </c>
      <c r="AW213" s="162">
        <v>0</v>
      </c>
      <c r="AX213" s="162">
        <v>0</v>
      </c>
      <c r="AY213" s="162">
        <v>0</v>
      </c>
      <c r="AZ213" s="162">
        <v>0</v>
      </c>
      <c r="BA213" s="162">
        <v>0</v>
      </c>
      <c r="BB213" s="162">
        <v>0</v>
      </c>
      <c r="BC213" s="162">
        <v>0</v>
      </c>
      <c r="BD213" s="162">
        <v>0</v>
      </c>
      <c r="BE213" s="162">
        <v>0</v>
      </c>
      <c r="BF213" s="162">
        <v>0</v>
      </c>
      <c r="BG213" s="162">
        <v>0</v>
      </c>
      <c r="BH213" s="162">
        <v>0</v>
      </c>
      <c r="BI213" s="162">
        <v>0</v>
      </c>
    </row>
    <row r="214" spans="1:61" x14ac:dyDescent="0.25">
      <c r="A214" s="22">
        <f t="shared" si="21"/>
        <v>208</v>
      </c>
      <c r="B214" s="214" t="str">
        <f t="shared" si="19"/>
        <v>F0014825803</v>
      </c>
      <c r="C214" s="214" t="str">
        <f t="shared" si="20"/>
        <v>82115-0EZ80 B</v>
      </c>
      <c r="D214" s="45" t="str">
        <f>VLOOKUP(B214,'Timing Table'!B:J,9,0)</f>
        <v>C/O</v>
      </c>
      <c r="E214" s="22" t="str">
        <f>VLOOKUP(B214,'Timing Table'!B:H,7,0)</f>
        <v>GAS</v>
      </c>
      <c r="F214" s="164" t="s">
        <v>77</v>
      </c>
      <c r="G214" s="165">
        <v>0</v>
      </c>
      <c r="H214" s="166" t="s">
        <v>78</v>
      </c>
      <c r="I214" s="167"/>
      <c r="J214" s="168"/>
      <c r="K214" s="169"/>
      <c r="L214" s="170" t="s">
        <v>0</v>
      </c>
      <c r="M214" s="170" t="s">
        <v>0</v>
      </c>
      <c r="N214" s="170" t="s">
        <v>0</v>
      </c>
      <c r="O214" s="170" t="s">
        <v>0</v>
      </c>
      <c r="P214" s="170" t="s">
        <v>0</v>
      </c>
      <c r="Q214" s="170" t="s">
        <v>0</v>
      </c>
      <c r="R214" s="170" t="s">
        <v>0</v>
      </c>
      <c r="S214" s="170" t="s">
        <v>0</v>
      </c>
      <c r="T214" s="170" t="s">
        <v>0</v>
      </c>
      <c r="U214" s="170" t="s">
        <v>0</v>
      </c>
      <c r="V214" s="170" t="s">
        <v>0</v>
      </c>
      <c r="W214" s="170" t="s">
        <v>0</v>
      </c>
      <c r="X214" s="170" t="s">
        <v>0</v>
      </c>
      <c r="Y214" s="170" t="s">
        <v>0</v>
      </c>
      <c r="Z214" s="170" t="s">
        <v>0</v>
      </c>
      <c r="AA214" s="170" t="s">
        <v>0</v>
      </c>
      <c r="AB214" s="170" t="s">
        <v>0</v>
      </c>
      <c r="AC214" s="170" t="s">
        <v>0</v>
      </c>
      <c r="AD214" s="170" t="s">
        <v>0</v>
      </c>
      <c r="AE214" s="170" t="s">
        <v>0</v>
      </c>
      <c r="AF214" s="170" t="s">
        <v>0</v>
      </c>
      <c r="AG214" s="170" t="s">
        <v>0</v>
      </c>
      <c r="AH214" s="170" t="s">
        <v>0</v>
      </c>
      <c r="AI214" s="170" t="s">
        <v>0</v>
      </c>
      <c r="AJ214" s="170" t="s">
        <v>0</v>
      </c>
      <c r="AK214" s="170" t="s">
        <v>0</v>
      </c>
      <c r="AL214" s="170" t="s">
        <v>0</v>
      </c>
      <c r="AM214" s="170" t="s">
        <v>0</v>
      </c>
      <c r="AN214" s="170" t="s">
        <v>0</v>
      </c>
      <c r="AO214" s="170" t="s">
        <v>0</v>
      </c>
      <c r="AP214" s="170" t="s">
        <v>0</v>
      </c>
      <c r="AQ214" s="170" t="s">
        <v>0</v>
      </c>
      <c r="AR214" s="170" t="s">
        <v>0</v>
      </c>
      <c r="AS214" s="170" t="s">
        <v>0</v>
      </c>
      <c r="AT214" s="170" t="s">
        <v>0</v>
      </c>
      <c r="AU214" s="170" t="s">
        <v>0</v>
      </c>
      <c r="AV214" s="170" t="s">
        <v>0</v>
      </c>
      <c r="AW214" s="170" t="s">
        <v>0</v>
      </c>
      <c r="AX214" s="170" t="s">
        <v>0</v>
      </c>
      <c r="AY214" s="170" t="s">
        <v>0</v>
      </c>
      <c r="AZ214" s="170" t="s">
        <v>0</v>
      </c>
      <c r="BA214" s="170" t="s">
        <v>0</v>
      </c>
      <c r="BB214" s="170" t="s">
        <v>0</v>
      </c>
      <c r="BC214" s="170" t="s">
        <v>0</v>
      </c>
      <c r="BD214" s="170" t="s">
        <v>0</v>
      </c>
      <c r="BE214" s="170" t="s">
        <v>0</v>
      </c>
      <c r="BF214" s="170" t="s">
        <v>0</v>
      </c>
      <c r="BG214" s="170" t="s">
        <v>0</v>
      </c>
      <c r="BH214" s="170" t="s">
        <v>0</v>
      </c>
      <c r="BI214" s="171"/>
    </row>
    <row r="215" spans="1:61" x14ac:dyDescent="0.25">
      <c r="A215" s="22">
        <f t="shared" si="21"/>
        <v>209</v>
      </c>
      <c r="B215" s="214" t="str">
        <f t="shared" si="19"/>
        <v>F0014825803</v>
      </c>
      <c r="C215" s="214" t="str">
        <f>IF(F215=$F$7,#REF!,C214)</f>
        <v>82115-0EZ80 B</v>
      </c>
      <c r="D215" s="45" t="str">
        <f>VLOOKUP(B215,'Timing Table'!B:J,9,0)</f>
        <v>C/O</v>
      </c>
      <c r="E215" s="22" t="str">
        <f>VLOOKUP(B215,'Timing Table'!B:H,7,0)</f>
        <v>GAS</v>
      </c>
      <c r="F215" s="172" t="s">
        <v>79</v>
      </c>
      <c r="G215" s="173" t="s">
        <v>58</v>
      </c>
      <c r="H215" s="174" t="s">
        <v>58</v>
      </c>
      <c r="I215" s="175" t="s">
        <v>58</v>
      </c>
      <c r="J215" s="175" t="s">
        <v>0</v>
      </c>
      <c r="K215" s="175" t="s">
        <v>0</v>
      </c>
      <c r="L215" s="175" t="s">
        <v>0</v>
      </c>
      <c r="M215" s="175" t="s">
        <v>0</v>
      </c>
      <c r="N215" s="175" t="s">
        <v>0</v>
      </c>
      <c r="O215" s="175" t="s">
        <v>0</v>
      </c>
      <c r="P215" s="175" t="s">
        <v>0</v>
      </c>
      <c r="Q215" s="175" t="s">
        <v>0</v>
      </c>
      <c r="R215" s="175" t="s">
        <v>0</v>
      </c>
      <c r="S215" s="175" t="s">
        <v>0</v>
      </c>
      <c r="T215" s="175" t="s">
        <v>0</v>
      </c>
      <c r="U215" s="175" t="s">
        <v>0</v>
      </c>
      <c r="V215" s="175" t="s">
        <v>0</v>
      </c>
      <c r="W215" s="175" t="s">
        <v>0</v>
      </c>
      <c r="X215" s="175" t="s">
        <v>0</v>
      </c>
      <c r="Y215" s="175" t="s">
        <v>0</v>
      </c>
      <c r="Z215" s="175" t="s">
        <v>0</v>
      </c>
      <c r="AA215" s="175" t="s">
        <v>0</v>
      </c>
      <c r="AB215" s="175" t="s">
        <v>0</v>
      </c>
      <c r="AC215" s="175" t="s">
        <v>0</v>
      </c>
      <c r="AD215" s="175" t="s">
        <v>0</v>
      </c>
      <c r="AE215" s="175" t="s">
        <v>0</v>
      </c>
      <c r="AF215" s="175" t="s">
        <v>0</v>
      </c>
      <c r="AG215" s="175" t="s">
        <v>0</v>
      </c>
      <c r="AH215" s="175" t="s">
        <v>0</v>
      </c>
      <c r="AI215" s="175" t="s">
        <v>0</v>
      </c>
      <c r="AJ215" s="175" t="s">
        <v>0</v>
      </c>
      <c r="AK215" s="175" t="s">
        <v>0</v>
      </c>
      <c r="AL215" s="175" t="s">
        <v>0</v>
      </c>
      <c r="AM215" s="175" t="s">
        <v>0</v>
      </c>
      <c r="AN215" s="175" t="s">
        <v>0</v>
      </c>
      <c r="AO215" s="175" t="s">
        <v>0</v>
      </c>
      <c r="AP215" s="175" t="s">
        <v>0</v>
      </c>
      <c r="AQ215" s="175" t="s">
        <v>0</v>
      </c>
      <c r="AR215" s="175" t="s">
        <v>0</v>
      </c>
      <c r="AS215" s="175" t="s">
        <v>0</v>
      </c>
      <c r="AT215" s="175" t="s">
        <v>0</v>
      </c>
      <c r="AU215" s="175" t="s">
        <v>0</v>
      </c>
      <c r="AV215" s="175" t="s">
        <v>0</v>
      </c>
      <c r="AW215" s="175" t="s">
        <v>0</v>
      </c>
      <c r="AX215" s="175" t="s">
        <v>0</v>
      </c>
      <c r="AY215" s="175" t="s">
        <v>0</v>
      </c>
      <c r="AZ215" s="175" t="s">
        <v>0</v>
      </c>
      <c r="BA215" s="175" t="s">
        <v>0</v>
      </c>
      <c r="BB215" s="175" t="s">
        <v>0</v>
      </c>
      <c r="BC215" s="175" t="s">
        <v>0</v>
      </c>
      <c r="BD215" s="175" t="s">
        <v>0</v>
      </c>
      <c r="BE215" s="175" t="s">
        <v>0</v>
      </c>
      <c r="BF215" s="175" t="s">
        <v>0</v>
      </c>
      <c r="BG215" s="175" t="s">
        <v>0</v>
      </c>
      <c r="BH215" s="175" t="s">
        <v>0</v>
      </c>
      <c r="BI215" s="176"/>
    </row>
    <row r="216" spans="1:61" x14ac:dyDescent="0.25">
      <c r="A216" s="22">
        <f t="shared" si="21"/>
        <v>210</v>
      </c>
      <c r="B216" s="214" t="str">
        <f>IF(F216=$F$7,#REF!,B215)</f>
        <v>F0014825803</v>
      </c>
      <c r="C216" s="214" t="str">
        <f>IF(F216=$F$7,#REF!,C215)</f>
        <v>82115-0EZ80 B</v>
      </c>
      <c r="D216" s="45" t="str">
        <f>VLOOKUP(B216,'Timing Table'!B:J,9,0)</f>
        <v>C/O</v>
      </c>
      <c r="E216" s="22" t="str">
        <f>VLOOKUP(B216,'Timing Table'!B:H,7,0)</f>
        <v>GAS</v>
      </c>
      <c r="F216" s="177" t="s">
        <v>58</v>
      </c>
      <c r="G216" s="178" t="s">
        <v>58</v>
      </c>
      <c r="H216" s="179" t="s">
        <v>58</v>
      </c>
      <c r="I216" s="180" t="s">
        <v>58</v>
      </c>
      <c r="J216" s="180" t="s">
        <v>0</v>
      </c>
      <c r="K216" s="180" t="s">
        <v>0</v>
      </c>
      <c r="L216" s="180" t="s">
        <v>0</v>
      </c>
      <c r="M216" s="180" t="s">
        <v>0</v>
      </c>
      <c r="N216" s="180" t="s">
        <v>0</v>
      </c>
      <c r="O216" s="180" t="s">
        <v>0</v>
      </c>
      <c r="P216" s="180" t="s">
        <v>0</v>
      </c>
      <c r="Q216" s="180" t="s">
        <v>0</v>
      </c>
      <c r="R216" s="180" t="s">
        <v>0</v>
      </c>
      <c r="S216" s="180" t="s">
        <v>0</v>
      </c>
      <c r="T216" s="180" t="s">
        <v>0</v>
      </c>
      <c r="U216" s="180" t="s">
        <v>0</v>
      </c>
      <c r="V216" s="180" t="s">
        <v>0</v>
      </c>
      <c r="W216" s="180" t="s">
        <v>0</v>
      </c>
      <c r="X216" s="180" t="s">
        <v>0</v>
      </c>
      <c r="Y216" s="180" t="s">
        <v>0</v>
      </c>
      <c r="Z216" s="180" t="s">
        <v>0</v>
      </c>
      <c r="AA216" s="180" t="s">
        <v>0</v>
      </c>
      <c r="AB216" s="180" t="s">
        <v>0</v>
      </c>
      <c r="AC216" s="180" t="s">
        <v>0</v>
      </c>
      <c r="AD216" s="180" t="s">
        <v>0</v>
      </c>
      <c r="AE216" s="180" t="s">
        <v>0</v>
      </c>
      <c r="AF216" s="180" t="s">
        <v>0</v>
      </c>
      <c r="AG216" s="180" t="s">
        <v>0</v>
      </c>
      <c r="AH216" s="180" t="s">
        <v>0</v>
      </c>
      <c r="AI216" s="180" t="s">
        <v>0</v>
      </c>
      <c r="AJ216" s="180" t="s">
        <v>0</v>
      </c>
      <c r="AK216" s="180" t="s">
        <v>0</v>
      </c>
      <c r="AL216" s="180" t="s">
        <v>0</v>
      </c>
      <c r="AM216" s="180" t="s">
        <v>0</v>
      </c>
      <c r="AN216" s="180" t="s">
        <v>0</v>
      </c>
      <c r="AO216" s="180" t="s">
        <v>0</v>
      </c>
      <c r="AP216" s="180" t="s">
        <v>0</v>
      </c>
      <c r="AQ216" s="180" t="s">
        <v>0</v>
      </c>
      <c r="AR216" s="180" t="s">
        <v>0</v>
      </c>
      <c r="AS216" s="180" t="s">
        <v>0</v>
      </c>
      <c r="AT216" s="180" t="s">
        <v>0</v>
      </c>
      <c r="AU216" s="180" t="s">
        <v>0</v>
      </c>
      <c r="AV216" s="180" t="s">
        <v>0</v>
      </c>
      <c r="AW216" s="180" t="s">
        <v>0</v>
      </c>
      <c r="AX216" s="180" t="s">
        <v>0</v>
      </c>
      <c r="AY216" s="180" t="s">
        <v>0</v>
      </c>
      <c r="AZ216" s="180" t="s">
        <v>0</v>
      </c>
      <c r="BA216" s="180" t="s">
        <v>0</v>
      </c>
      <c r="BB216" s="180" t="s">
        <v>0</v>
      </c>
      <c r="BC216" s="180" t="s">
        <v>0</v>
      </c>
      <c r="BD216" s="180" t="s">
        <v>0</v>
      </c>
      <c r="BE216" s="180" t="s">
        <v>0</v>
      </c>
      <c r="BF216" s="180" t="s">
        <v>0</v>
      </c>
      <c r="BG216" s="180" t="s">
        <v>0</v>
      </c>
      <c r="BH216" s="180" t="s">
        <v>0</v>
      </c>
      <c r="BI216" s="181"/>
    </row>
    <row r="217" spans="1:61" x14ac:dyDescent="0.25">
      <c r="A217" s="22">
        <f t="shared" si="21"/>
        <v>211</v>
      </c>
      <c r="B217" s="214" t="str">
        <f>IF(F217=$F$7,G218,#REF!)</f>
        <v>F0014825901</v>
      </c>
      <c r="C217" s="214" t="str">
        <f>IF(F217=$F$7,G219,#REF!)</f>
        <v>82115-0EZ30</v>
      </c>
      <c r="D217" s="45" t="str">
        <f>VLOOKUP(B217,'Timing Table'!B:J,9,0)</f>
        <v>C/O</v>
      </c>
      <c r="E217" s="22" t="str">
        <f>VLOOKUP(B217,'Timing Table'!B:H,7,0)</f>
        <v>GAS</v>
      </c>
      <c r="F217" s="121" t="s">
        <v>59</v>
      </c>
      <c r="G217" s="146">
        <v>5500990621</v>
      </c>
      <c r="H217" s="121" t="s">
        <v>60</v>
      </c>
      <c r="I217" s="146">
        <v>156</v>
      </c>
      <c r="J217" s="121" t="s">
        <v>61</v>
      </c>
      <c r="K217" s="125">
        <v>1121480</v>
      </c>
      <c r="L217" s="126"/>
      <c r="M217" s="147" t="s">
        <v>62</v>
      </c>
      <c r="N217" s="148"/>
      <c r="O217" s="149">
        <v>46086</v>
      </c>
      <c r="P217" s="121" t="s">
        <v>63</v>
      </c>
      <c r="Q217" s="146">
        <v>4</v>
      </c>
      <c r="R217" s="6" t="s">
        <v>0</v>
      </c>
      <c r="S217" s="7" t="s">
        <v>0</v>
      </c>
      <c r="T217" s="7" t="s">
        <v>0</v>
      </c>
      <c r="U217" s="7" t="s">
        <v>0</v>
      </c>
      <c r="V217" s="7" t="s">
        <v>0</v>
      </c>
      <c r="W217" s="7" t="s">
        <v>0</v>
      </c>
      <c r="X217" s="7" t="s">
        <v>0</v>
      </c>
      <c r="Y217" s="7" t="s">
        <v>0</v>
      </c>
      <c r="Z217" s="7" t="s">
        <v>0</v>
      </c>
      <c r="AA217" s="7" t="s">
        <v>0</v>
      </c>
      <c r="AB217" s="7" t="s">
        <v>0</v>
      </c>
      <c r="AC217" s="7" t="s">
        <v>0</v>
      </c>
      <c r="AD217" s="7" t="s">
        <v>0</v>
      </c>
      <c r="AE217" s="7" t="s">
        <v>0</v>
      </c>
      <c r="AF217" s="7" t="s">
        <v>0</v>
      </c>
      <c r="AG217" s="7" t="s">
        <v>0</v>
      </c>
      <c r="AH217" s="7" t="s">
        <v>0</v>
      </c>
      <c r="AI217" s="7" t="s">
        <v>0</v>
      </c>
      <c r="AJ217" s="7" t="s">
        <v>0</v>
      </c>
      <c r="AK217" s="7" t="s">
        <v>0</v>
      </c>
      <c r="AL217" s="7" t="s">
        <v>0</v>
      </c>
      <c r="AM217" s="7" t="s">
        <v>0</v>
      </c>
      <c r="AN217" s="7" t="s">
        <v>0</v>
      </c>
      <c r="AO217" s="7" t="s">
        <v>0</v>
      </c>
      <c r="AP217" s="7" t="s">
        <v>0</v>
      </c>
      <c r="AQ217" s="7" t="s">
        <v>0</v>
      </c>
      <c r="AR217" s="7" t="s">
        <v>0</v>
      </c>
      <c r="AS217" s="7" t="s">
        <v>0</v>
      </c>
      <c r="AT217" s="7" t="s">
        <v>0</v>
      </c>
      <c r="AU217" s="7" t="s">
        <v>0</v>
      </c>
      <c r="AV217" s="7" t="s">
        <v>0</v>
      </c>
      <c r="AW217" s="7" t="s">
        <v>0</v>
      </c>
      <c r="AX217" s="7" t="s">
        <v>0</v>
      </c>
      <c r="AY217" s="7" t="s">
        <v>0</v>
      </c>
      <c r="AZ217" s="7" t="s">
        <v>0</v>
      </c>
      <c r="BA217" s="7" t="s">
        <v>0</v>
      </c>
      <c r="BB217" s="7" t="s">
        <v>0</v>
      </c>
      <c r="BC217" s="7" t="s">
        <v>0</v>
      </c>
      <c r="BD217" s="7" t="s">
        <v>0</v>
      </c>
      <c r="BE217" s="7" t="s">
        <v>0</v>
      </c>
      <c r="BF217" s="7" t="s">
        <v>0</v>
      </c>
      <c r="BG217" s="7" t="s">
        <v>0</v>
      </c>
      <c r="BH217" s="7" t="s">
        <v>0</v>
      </c>
      <c r="BI217" s="8"/>
    </row>
    <row r="218" spans="1:61" x14ac:dyDescent="0.25">
      <c r="A218" s="22">
        <f t="shared" si="21"/>
        <v>212</v>
      </c>
      <c r="B218" s="214" t="str">
        <f t="shared" ref="B218:B274" si="22">IF(F218=$F$7,G219,B217)</f>
        <v>F0014825901</v>
      </c>
      <c r="C218" s="214" t="str">
        <f t="shared" ref="C218:C274" si="23">IF(F218=$F$7,G220,C217)</f>
        <v>82115-0EZ30</v>
      </c>
      <c r="D218" s="45" t="str">
        <f>VLOOKUP(B218,'Timing Table'!B:J,9,0)</f>
        <v>C/O</v>
      </c>
      <c r="E218" s="22" t="str">
        <f>VLOOKUP(B218,'Timing Table'!B:H,7,0)</f>
        <v>GAS</v>
      </c>
      <c r="F218" s="121" t="s">
        <v>64</v>
      </c>
      <c r="G218" s="146" t="s">
        <v>136</v>
      </c>
      <c r="H218" s="121" t="s">
        <v>65</v>
      </c>
      <c r="I218" s="150" t="s">
        <v>137</v>
      </c>
      <c r="J218" s="151"/>
      <c r="K218" s="151"/>
      <c r="L218" s="152"/>
      <c r="M218" s="121" t="s">
        <v>66</v>
      </c>
      <c r="N218" s="146">
        <v>2025</v>
      </c>
      <c r="O218" s="140" t="s">
        <v>67</v>
      </c>
      <c r="P218" s="141"/>
      <c r="Q218" s="153" t="s">
        <v>133</v>
      </c>
      <c r="R218" s="122" t="s">
        <v>0</v>
      </c>
      <c r="S218" s="123" t="s">
        <v>0</v>
      </c>
      <c r="T218" s="123" t="s">
        <v>0</v>
      </c>
      <c r="U218" s="123" t="s">
        <v>0</v>
      </c>
      <c r="V218" s="123" t="s">
        <v>0</v>
      </c>
      <c r="W218" s="123" t="s">
        <v>0</v>
      </c>
      <c r="X218" s="123" t="s">
        <v>0</v>
      </c>
      <c r="Y218" s="123" t="s">
        <v>0</v>
      </c>
      <c r="Z218" s="123" t="s">
        <v>0</v>
      </c>
      <c r="AA218" s="123" t="s">
        <v>0</v>
      </c>
      <c r="AB218" s="123" t="s">
        <v>0</v>
      </c>
      <c r="AC218" s="123" t="s">
        <v>0</v>
      </c>
      <c r="AD218" s="123" t="s">
        <v>0</v>
      </c>
      <c r="AE218" s="123" t="s">
        <v>0</v>
      </c>
      <c r="AF218" s="123" t="s">
        <v>0</v>
      </c>
      <c r="AG218" s="123" t="s">
        <v>0</v>
      </c>
      <c r="AH218" s="123" t="s">
        <v>0</v>
      </c>
      <c r="AI218" s="123" t="s">
        <v>0</v>
      </c>
      <c r="AJ218" s="123" t="s">
        <v>0</v>
      </c>
      <c r="AK218" s="123" t="s">
        <v>0</v>
      </c>
      <c r="AL218" s="123" t="s">
        <v>0</v>
      </c>
      <c r="AM218" s="123" t="s">
        <v>0</v>
      </c>
      <c r="AN218" s="123" t="s">
        <v>0</v>
      </c>
      <c r="AO218" s="123" t="s">
        <v>0</v>
      </c>
      <c r="AP218" s="123" t="s">
        <v>0</v>
      </c>
      <c r="AQ218" s="123" t="s">
        <v>0</v>
      </c>
      <c r="AR218" s="123" t="s">
        <v>0</v>
      </c>
      <c r="AS218" s="123" t="s">
        <v>0</v>
      </c>
      <c r="AT218" s="123" t="s">
        <v>0</v>
      </c>
      <c r="AU218" s="123" t="s">
        <v>0</v>
      </c>
      <c r="AV218" s="123" t="s">
        <v>0</v>
      </c>
      <c r="AW218" s="123" t="s">
        <v>0</v>
      </c>
      <c r="AX218" s="123" t="s">
        <v>0</v>
      </c>
      <c r="AY218" s="123" t="s">
        <v>0</v>
      </c>
      <c r="AZ218" s="123" t="s">
        <v>0</v>
      </c>
      <c r="BA218" s="123" t="s">
        <v>0</v>
      </c>
      <c r="BB218" s="123" t="s">
        <v>0</v>
      </c>
      <c r="BC218" s="123" t="s">
        <v>0</v>
      </c>
      <c r="BD218" s="123" t="s">
        <v>0</v>
      </c>
      <c r="BE218" s="123" t="s">
        <v>0</v>
      </c>
      <c r="BF218" s="123" t="s">
        <v>0</v>
      </c>
      <c r="BG218" s="123" t="s">
        <v>0</v>
      </c>
      <c r="BH218" s="123" t="s">
        <v>0</v>
      </c>
      <c r="BI218" s="124"/>
    </row>
    <row r="219" spans="1:61" x14ac:dyDescent="0.25">
      <c r="A219" s="22">
        <f t="shared" si="21"/>
        <v>213</v>
      </c>
      <c r="B219" s="214" t="str">
        <f t="shared" si="22"/>
        <v>F0014825901</v>
      </c>
      <c r="C219" s="214" t="str">
        <f t="shared" si="23"/>
        <v>82115-0EZ30</v>
      </c>
      <c r="D219" s="45" t="str">
        <f>VLOOKUP(B219,'Timing Table'!B:J,9,0)</f>
        <v>C/O</v>
      </c>
      <c r="E219" s="22" t="str">
        <f>VLOOKUP(B219,'Timing Table'!B:H,7,0)</f>
        <v>GAS</v>
      </c>
      <c r="F219" s="121" t="s">
        <v>68</v>
      </c>
      <c r="G219" s="146" t="s">
        <v>123</v>
      </c>
      <c r="H219" s="121" t="s">
        <v>69</v>
      </c>
      <c r="I219" s="154" t="s">
        <v>58</v>
      </c>
      <c r="J219" s="155" t="s">
        <v>0</v>
      </c>
      <c r="K219" s="156" t="s">
        <v>0</v>
      </c>
      <c r="L219" s="157" t="s">
        <v>0</v>
      </c>
      <c r="M219" s="134" t="s">
        <v>0</v>
      </c>
      <c r="N219" s="134" t="s">
        <v>0</v>
      </c>
      <c r="O219" s="134" t="s">
        <v>0</v>
      </c>
      <c r="P219" s="134" t="s">
        <v>0</v>
      </c>
      <c r="Q219" s="134" t="s">
        <v>1</v>
      </c>
      <c r="R219" s="134" t="s">
        <v>2</v>
      </c>
      <c r="S219" s="134" t="s">
        <v>0</v>
      </c>
      <c r="T219" s="134" t="s">
        <v>0</v>
      </c>
      <c r="U219" s="134" t="s">
        <v>0</v>
      </c>
      <c r="V219" s="134" t="s">
        <v>0</v>
      </c>
      <c r="W219" s="134" t="s">
        <v>0</v>
      </c>
      <c r="X219" s="134" t="s">
        <v>0</v>
      </c>
      <c r="Y219" s="134" t="s">
        <v>0</v>
      </c>
      <c r="Z219" s="134" t="s">
        <v>3</v>
      </c>
      <c r="AA219" s="134" t="s">
        <v>0</v>
      </c>
      <c r="AB219" s="134" t="s">
        <v>0</v>
      </c>
      <c r="AC219" s="134" t="s">
        <v>0</v>
      </c>
      <c r="AD219" s="134" t="s">
        <v>0</v>
      </c>
      <c r="AE219" s="134" t="s">
        <v>0</v>
      </c>
      <c r="AF219" s="134" t="s">
        <v>0</v>
      </c>
      <c r="AG219" s="134" t="s">
        <v>0</v>
      </c>
      <c r="AH219" s="134" t="s">
        <v>0</v>
      </c>
      <c r="AI219" s="134" t="s">
        <v>0</v>
      </c>
      <c r="AJ219" s="134" t="s">
        <v>0</v>
      </c>
      <c r="AK219" s="134" t="s">
        <v>0</v>
      </c>
      <c r="AL219" s="134" t="s">
        <v>0</v>
      </c>
      <c r="AM219" s="134" t="s">
        <v>0</v>
      </c>
      <c r="AN219" s="134" t="s">
        <v>0</v>
      </c>
      <c r="AO219" s="134" t="s">
        <v>0</v>
      </c>
      <c r="AP219" s="134" t="s">
        <v>0</v>
      </c>
      <c r="AQ219" s="134" t="s">
        <v>0</v>
      </c>
      <c r="AR219" s="134" t="s">
        <v>0</v>
      </c>
      <c r="AS219" s="134" t="s">
        <v>0</v>
      </c>
      <c r="AT219" s="134" t="s">
        <v>0</v>
      </c>
      <c r="AU219" s="134" t="s">
        <v>0</v>
      </c>
      <c r="AV219" s="134" t="s">
        <v>0</v>
      </c>
      <c r="AW219" s="134" t="s">
        <v>0</v>
      </c>
      <c r="AX219" s="134" t="s">
        <v>0</v>
      </c>
      <c r="AY219" s="134" t="s">
        <v>0</v>
      </c>
      <c r="AZ219" s="134" t="s">
        <v>0</v>
      </c>
      <c r="BA219" s="134" t="s">
        <v>0</v>
      </c>
      <c r="BB219" s="134" t="s">
        <v>0</v>
      </c>
      <c r="BC219" s="134" t="s">
        <v>0</v>
      </c>
      <c r="BD219" s="134" t="s">
        <v>0</v>
      </c>
      <c r="BE219" s="134" t="s">
        <v>0</v>
      </c>
      <c r="BF219" s="134" t="s">
        <v>0</v>
      </c>
      <c r="BG219" s="134" t="s">
        <v>0</v>
      </c>
      <c r="BH219" s="134" t="s">
        <v>0</v>
      </c>
      <c r="BI219" s="135" t="s">
        <v>4</v>
      </c>
    </row>
    <row r="220" spans="1:61" x14ac:dyDescent="0.25">
      <c r="A220" s="22">
        <f t="shared" si="21"/>
        <v>214</v>
      </c>
      <c r="B220" s="214" t="str">
        <f t="shared" si="22"/>
        <v>F0014825901</v>
      </c>
      <c r="C220" s="214" t="str">
        <f t="shared" si="23"/>
        <v>82115-0EZ30</v>
      </c>
      <c r="D220" s="45" t="str">
        <f>VLOOKUP(B220,'Timing Table'!B:J,9,0)</f>
        <v>C/O</v>
      </c>
      <c r="E220" s="22" t="str">
        <f>VLOOKUP(B220,'Timing Table'!B:H,7,0)</f>
        <v>GAS</v>
      </c>
      <c r="F220" s="121" t="s">
        <v>70</v>
      </c>
      <c r="G220" s="146">
        <v>4</v>
      </c>
      <c r="H220" s="158" t="s">
        <v>241</v>
      </c>
      <c r="I220" s="159" t="s">
        <v>71</v>
      </c>
      <c r="J220" s="13">
        <v>46041</v>
      </c>
      <c r="K220" s="14">
        <v>46048</v>
      </c>
      <c r="L220" s="14">
        <v>46055</v>
      </c>
      <c r="M220" s="14">
        <v>46062</v>
      </c>
      <c r="N220" s="14">
        <v>46069</v>
      </c>
      <c r="O220" s="14">
        <v>46076</v>
      </c>
      <c r="P220" s="14">
        <v>46083</v>
      </c>
      <c r="Q220" s="14">
        <v>46090</v>
      </c>
      <c r="R220" s="14">
        <v>46097</v>
      </c>
      <c r="S220" s="14">
        <v>46104</v>
      </c>
      <c r="T220" s="14">
        <v>46111</v>
      </c>
      <c r="U220" s="14">
        <v>46118</v>
      </c>
      <c r="V220" s="14">
        <v>46125</v>
      </c>
      <c r="W220" s="14">
        <v>46132</v>
      </c>
      <c r="X220" s="14">
        <v>46139</v>
      </c>
      <c r="Y220" s="14">
        <v>46146</v>
      </c>
      <c r="Z220" s="14">
        <v>46153</v>
      </c>
      <c r="AA220" s="14">
        <v>46160</v>
      </c>
      <c r="AB220" s="14">
        <v>46167</v>
      </c>
      <c r="AC220" s="14">
        <v>46174</v>
      </c>
      <c r="AD220" s="14">
        <v>46181</v>
      </c>
      <c r="AE220" s="14">
        <v>46188</v>
      </c>
      <c r="AF220" s="14">
        <v>46195</v>
      </c>
      <c r="AG220" s="14">
        <v>46202</v>
      </c>
      <c r="AH220" s="14">
        <v>46209</v>
      </c>
      <c r="AI220" s="14">
        <v>46216</v>
      </c>
      <c r="AJ220" s="14">
        <v>46223</v>
      </c>
      <c r="AK220" s="14">
        <v>46230</v>
      </c>
      <c r="AL220" s="14">
        <v>46237</v>
      </c>
      <c r="AM220" s="14">
        <v>46244</v>
      </c>
      <c r="AN220" s="14">
        <v>46251</v>
      </c>
      <c r="AO220" s="14">
        <v>46258</v>
      </c>
      <c r="AP220" s="14">
        <v>46265</v>
      </c>
      <c r="AQ220" s="14">
        <v>46272</v>
      </c>
      <c r="AR220" s="14">
        <v>46279</v>
      </c>
      <c r="AS220" s="14">
        <v>46286</v>
      </c>
      <c r="AT220" s="14">
        <v>46293</v>
      </c>
      <c r="AU220" s="14">
        <v>46300</v>
      </c>
      <c r="AV220" s="14">
        <v>46307</v>
      </c>
      <c r="AW220" s="14">
        <v>46314</v>
      </c>
      <c r="AX220" s="14">
        <v>46321</v>
      </c>
      <c r="AY220" s="14">
        <v>46328</v>
      </c>
      <c r="AZ220" s="14">
        <v>46335</v>
      </c>
      <c r="BA220" s="14">
        <v>46342</v>
      </c>
      <c r="BB220" s="14">
        <v>46349</v>
      </c>
      <c r="BC220" s="14">
        <v>46356</v>
      </c>
      <c r="BD220" s="14">
        <v>46363</v>
      </c>
      <c r="BE220" s="14">
        <v>46370</v>
      </c>
      <c r="BF220" s="14">
        <v>46377</v>
      </c>
      <c r="BG220" s="14">
        <v>46384</v>
      </c>
      <c r="BH220" s="14">
        <v>46391</v>
      </c>
      <c r="BI220" s="15">
        <v>46398</v>
      </c>
    </row>
    <row r="221" spans="1:61" x14ac:dyDescent="0.25">
      <c r="A221" s="22">
        <f t="shared" si="21"/>
        <v>215</v>
      </c>
      <c r="B221" s="214" t="str">
        <f t="shared" si="22"/>
        <v>F0014825901</v>
      </c>
      <c r="C221" s="214" t="str">
        <f t="shared" si="23"/>
        <v>82115-0EZ30</v>
      </c>
      <c r="D221" s="45" t="str">
        <f>VLOOKUP(B221,'Timing Table'!B:J,9,0)</f>
        <v>C/O</v>
      </c>
      <c r="E221" s="22" t="str">
        <f>VLOOKUP(B221,'Timing Table'!B:H,7,0)</f>
        <v>GAS</v>
      </c>
      <c r="F221" s="121" t="s">
        <v>72</v>
      </c>
      <c r="G221" s="146">
        <v>4</v>
      </c>
      <c r="H221" s="5" t="s">
        <v>58</v>
      </c>
      <c r="I221" s="11" t="s">
        <v>83</v>
      </c>
      <c r="J221" s="16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17"/>
    </row>
    <row r="222" spans="1:61" x14ac:dyDescent="0.25">
      <c r="A222" s="22">
        <f t="shared" si="21"/>
        <v>216</v>
      </c>
      <c r="B222" s="214" t="str">
        <f t="shared" si="22"/>
        <v>F0014825901</v>
      </c>
      <c r="C222" s="214" t="str">
        <f t="shared" si="23"/>
        <v>82115-0EZ30</v>
      </c>
      <c r="D222" s="45" t="str">
        <f>VLOOKUP(B222,'Timing Table'!B:J,9,0)</f>
        <v>C/O</v>
      </c>
      <c r="E222" s="22" t="str">
        <f>VLOOKUP(B222,'Timing Table'!B:H,7,0)</f>
        <v>GAS</v>
      </c>
      <c r="F222" s="121" t="s">
        <v>73</v>
      </c>
      <c r="G222" s="160" t="s">
        <v>130</v>
      </c>
      <c r="H222" s="9" t="s">
        <v>123</v>
      </c>
      <c r="I222" s="11" t="s">
        <v>74</v>
      </c>
      <c r="J222" s="117">
        <v>0</v>
      </c>
      <c r="K222" s="50">
        <v>0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  <c r="Q222" s="50">
        <v>0</v>
      </c>
      <c r="R222" s="50">
        <v>0</v>
      </c>
      <c r="S222" s="50">
        <v>0</v>
      </c>
      <c r="T222" s="50">
        <v>0</v>
      </c>
      <c r="U222" s="50">
        <v>0</v>
      </c>
      <c r="V222" s="50">
        <v>0</v>
      </c>
      <c r="W222" s="50">
        <v>0</v>
      </c>
      <c r="X222" s="50">
        <v>0</v>
      </c>
      <c r="Y222" s="50">
        <v>0</v>
      </c>
      <c r="Z222" s="50">
        <v>0</v>
      </c>
      <c r="AA222" s="50">
        <v>0</v>
      </c>
      <c r="AB222" s="50">
        <v>0</v>
      </c>
      <c r="AC222" s="50">
        <v>0</v>
      </c>
      <c r="AD222" s="50">
        <v>0</v>
      </c>
      <c r="AE222" s="50">
        <v>0</v>
      </c>
      <c r="AF222" s="50">
        <v>0</v>
      </c>
      <c r="AG222" s="50">
        <v>0</v>
      </c>
      <c r="AH222" s="50">
        <v>0</v>
      </c>
      <c r="AI222" s="50">
        <v>0</v>
      </c>
      <c r="AJ222" s="50">
        <v>0</v>
      </c>
      <c r="AK222" s="50">
        <v>0</v>
      </c>
      <c r="AL222" s="50">
        <v>0</v>
      </c>
      <c r="AM222" s="50">
        <v>0</v>
      </c>
      <c r="AN222" s="50">
        <v>0</v>
      </c>
      <c r="AO222" s="50">
        <v>0</v>
      </c>
      <c r="AP222" s="50">
        <v>0</v>
      </c>
      <c r="AQ222" s="50">
        <v>0</v>
      </c>
      <c r="AR222" s="50">
        <v>0</v>
      </c>
      <c r="AS222" s="50">
        <v>0</v>
      </c>
      <c r="AT222" s="50">
        <v>0</v>
      </c>
      <c r="AU222" s="50">
        <v>0</v>
      </c>
      <c r="AV222" s="50">
        <v>0</v>
      </c>
      <c r="AW222" s="50">
        <v>0</v>
      </c>
      <c r="AX222" s="50">
        <v>0</v>
      </c>
      <c r="AY222" s="50">
        <v>0</v>
      </c>
      <c r="AZ222" s="50">
        <v>0</v>
      </c>
      <c r="BA222" s="50">
        <v>0</v>
      </c>
      <c r="BB222" s="50">
        <v>0</v>
      </c>
      <c r="BC222" s="50">
        <v>0</v>
      </c>
      <c r="BD222" s="50">
        <v>0</v>
      </c>
      <c r="BE222" s="50">
        <v>0</v>
      </c>
      <c r="BF222" s="50">
        <v>0</v>
      </c>
      <c r="BG222" s="50">
        <v>0</v>
      </c>
      <c r="BH222" s="50">
        <v>0</v>
      </c>
      <c r="BI222" s="118">
        <v>0</v>
      </c>
    </row>
    <row r="223" spans="1:61" x14ac:dyDescent="0.25">
      <c r="A223" s="22">
        <f t="shared" si="21"/>
        <v>217</v>
      </c>
      <c r="B223" s="214" t="str">
        <f t="shared" si="22"/>
        <v>F0014825901</v>
      </c>
      <c r="C223" s="214" t="str">
        <f t="shared" si="23"/>
        <v>82115-0EZ30</v>
      </c>
      <c r="D223" s="45" t="str">
        <f>VLOOKUP(B223,'Timing Table'!B:J,9,0)</f>
        <v>C/O</v>
      </c>
      <c r="E223" s="22" t="str">
        <f>VLOOKUP(B223,'Timing Table'!B:H,7,0)</f>
        <v>GAS</v>
      </c>
      <c r="F223" s="121" t="s">
        <v>75</v>
      </c>
      <c r="G223" s="146">
        <v>82115</v>
      </c>
      <c r="H223" s="10" t="s">
        <v>123</v>
      </c>
      <c r="I223" s="12" t="s">
        <v>76</v>
      </c>
      <c r="J223" s="161">
        <v>4</v>
      </c>
      <c r="K223" s="162">
        <v>4</v>
      </c>
      <c r="L223" s="162">
        <v>4</v>
      </c>
      <c r="M223" s="162">
        <v>4</v>
      </c>
      <c r="N223" s="162">
        <v>4</v>
      </c>
      <c r="O223" s="162">
        <v>4</v>
      </c>
      <c r="P223" s="162">
        <v>4</v>
      </c>
      <c r="Q223" s="162">
        <v>4</v>
      </c>
      <c r="R223" s="162">
        <v>4</v>
      </c>
      <c r="S223" s="162">
        <v>4</v>
      </c>
      <c r="T223" s="162">
        <v>4</v>
      </c>
      <c r="U223" s="162">
        <v>4</v>
      </c>
      <c r="V223" s="162">
        <v>4</v>
      </c>
      <c r="W223" s="162">
        <v>4</v>
      </c>
      <c r="X223" s="162">
        <v>4</v>
      </c>
      <c r="Y223" s="162">
        <v>4</v>
      </c>
      <c r="Z223" s="162">
        <v>4</v>
      </c>
      <c r="AA223" s="162">
        <v>4</v>
      </c>
      <c r="AB223" s="162">
        <v>4</v>
      </c>
      <c r="AC223" s="162">
        <v>4</v>
      </c>
      <c r="AD223" s="162">
        <v>4</v>
      </c>
      <c r="AE223" s="162">
        <v>4</v>
      </c>
      <c r="AF223" s="162">
        <v>4</v>
      </c>
      <c r="AG223" s="162">
        <v>4</v>
      </c>
      <c r="AH223" s="162">
        <v>4</v>
      </c>
      <c r="AI223" s="162">
        <v>4</v>
      </c>
      <c r="AJ223" s="162">
        <v>4</v>
      </c>
      <c r="AK223" s="162">
        <v>4</v>
      </c>
      <c r="AL223" s="162">
        <v>4</v>
      </c>
      <c r="AM223" s="162">
        <v>4</v>
      </c>
      <c r="AN223" s="162">
        <v>4</v>
      </c>
      <c r="AO223" s="162">
        <v>4</v>
      </c>
      <c r="AP223" s="162">
        <v>4</v>
      </c>
      <c r="AQ223" s="162">
        <v>4</v>
      </c>
      <c r="AR223" s="162">
        <v>4</v>
      </c>
      <c r="AS223" s="162">
        <v>4</v>
      </c>
      <c r="AT223" s="162">
        <v>4</v>
      </c>
      <c r="AU223" s="162">
        <v>4</v>
      </c>
      <c r="AV223" s="162">
        <v>4</v>
      </c>
      <c r="AW223" s="162">
        <v>4</v>
      </c>
      <c r="AX223" s="162">
        <v>4</v>
      </c>
      <c r="AY223" s="162">
        <v>4</v>
      </c>
      <c r="AZ223" s="162">
        <v>4</v>
      </c>
      <c r="BA223" s="162">
        <v>4</v>
      </c>
      <c r="BB223" s="162">
        <v>4</v>
      </c>
      <c r="BC223" s="162">
        <v>4</v>
      </c>
      <c r="BD223" s="162">
        <v>4</v>
      </c>
      <c r="BE223" s="162">
        <v>4</v>
      </c>
      <c r="BF223" s="162">
        <v>4</v>
      </c>
      <c r="BG223" s="162">
        <v>4</v>
      </c>
      <c r="BH223" s="162">
        <v>4</v>
      </c>
      <c r="BI223" s="162">
        <v>4</v>
      </c>
    </row>
    <row r="224" spans="1:61" x14ac:dyDescent="0.25">
      <c r="A224" s="22">
        <f t="shared" si="21"/>
        <v>218</v>
      </c>
      <c r="B224" s="214" t="str">
        <f t="shared" si="22"/>
        <v>F0014825901</v>
      </c>
      <c r="C224" s="214" t="str">
        <f t="shared" si="23"/>
        <v>82115-0EZ30</v>
      </c>
      <c r="D224" s="45" t="str">
        <f>VLOOKUP(B224,'Timing Table'!B:J,9,0)</f>
        <v>C/O</v>
      </c>
      <c r="E224" s="22" t="str">
        <f>VLOOKUP(B224,'Timing Table'!B:H,7,0)</f>
        <v>GAS</v>
      </c>
      <c r="F224" s="164" t="s">
        <v>77</v>
      </c>
      <c r="G224" s="165">
        <v>4</v>
      </c>
      <c r="H224" s="166" t="s">
        <v>78</v>
      </c>
      <c r="I224" s="167"/>
      <c r="J224" s="168" t="s">
        <v>160</v>
      </c>
      <c r="K224" s="169"/>
      <c r="L224" s="170" t="s">
        <v>0</v>
      </c>
      <c r="M224" s="170" t="s">
        <v>0</v>
      </c>
      <c r="N224" s="170" t="s">
        <v>0</v>
      </c>
      <c r="O224" s="170" t="s">
        <v>0</v>
      </c>
      <c r="P224" s="170" t="s">
        <v>0</v>
      </c>
      <c r="Q224" s="170" t="s">
        <v>0</v>
      </c>
      <c r="R224" s="170" t="s">
        <v>0</v>
      </c>
      <c r="S224" s="170" t="s">
        <v>0</v>
      </c>
      <c r="T224" s="170" t="s">
        <v>0</v>
      </c>
      <c r="U224" s="170" t="s">
        <v>0</v>
      </c>
      <c r="V224" s="170" t="s">
        <v>0</v>
      </c>
      <c r="W224" s="170" t="s">
        <v>0</v>
      </c>
      <c r="X224" s="170" t="s">
        <v>0</v>
      </c>
      <c r="Y224" s="170" t="s">
        <v>0</v>
      </c>
      <c r="Z224" s="170" t="s">
        <v>0</v>
      </c>
      <c r="AA224" s="170" t="s">
        <v>0</v>
      </c>
      <c r="AB224" s="170" t="s">
        <v>0</v>
      </c>
      <c r="AC224" s="170" t="s">
        <v>0</v>
      </c>
      <c r="AD224" s="170" t="s">
        <v>0</v>
      </c>
      <c r="AE224" s="170" t="s">
        <v>0</v>
      </c>
      <c r="AF224" s="170" t="s">
        <v>0</v>
      </c>
      <c r="AG224" s="170" t="s">
        <v>0</v>
      </c>
      <c r="AH224" s="170" t="s">
        <v>0</v>
      </c>
      <c r="AI224" s="170" t="s">
        <v>0</v>
      </c>
      <c r="AJ224" s="170" t="s">
        <v>0</v>
      </c>
      <c r="AK224" s="170" t="s">
        <v>0</v>
      </c>
      <c r="AL224" s="170" t="s">
        <v>0</v>
      </c>
      <c r="AM224" s="170" t="s">
        <v>0</v>
      </c>
      <c r="AN224" s="170" t="s">
        <v>0</v>
      </c>
      <c r="AO224" s="170" t="s">
        <v>0</v>
      </c>
      <c r="AP224" s="170" t="s">
        <v>0</v>
      </c>
      <c r="AQ224" s="170" t="s">
        <v>0</v>
      </c>
      <c r="AR224" s="170" t="s">
        <v>0</v>
      </c>
      <c r="AS224" s="170" t="s">
        <v>0</v>
      </c>
      <c r="AT224" s="170" t="s">
        <v>0</v>
      </c>
      <c r="AU224" s="170" t="s">
        <v>0</v>
      </c>
      <c r="AV224" s="170" t="s">
        <v>0</v>
      </c>
      <c r="AW224" s="170" t="s">
        <v>0</v>
      </c>
      <c r="AX224" s="170" t="s">
        <v>0</v>
      </c>
      <c r="AY224" s="170" t="s">
        <v>0</v>
      </c>
      <c r="AZ224" s="170" t="s">
        <v>0</v>
      </c>
      <c r="BA224" s="170" t="s">
        <v>0</v>
      </c>
      <c r="BB224" s="170" t="s">
        <v>0</v>
      </c>
      <c r="BC224" s="170" t="s">
        <v>0</v>
      </c>
      <c r="BD224" s="170" t="s">
        <v>0</v>
      </c>
      <c r="BE224" s="170" t="s">
        <v>0</v>
      </c>
      <c r="BF224" s="170" t="s">
        <v>0</v>
      </c>
      <c r="BG224" s="170" t="s">
        <v>0</v>
      </c>
      <c r="BH224" s="170" t="s">
        <v>0</v>
      </c>
      <c r="BI224" s="171"/>
    </row>
    <row r="225" spans="1:61" x14ac:dyDescent="0.25">
      <c r="A225" s="22">
        <f t="shared" si="21"/>
        <v>219</v>
      </c>
      <c r="B225" s="214" t="str">
        <f t="shared" si="22"/>
        <v>F0014825901</v>
      </c>
      <c r="C225" s="214" t="str">
        <f t="shared" si="23"/>
        <v>82115-0EZ30</v>
      </c>
      <c r="D225" s="45" t="str">
        <f>VLOOKUP(B225,'Timing Table'!B:J,9,0)</f>
        <v>C/O</v>
      </c>
      <c r="E225" s="22" t="str">
        <f>VLOOKUP(B225,'Timing Table'!B:H,7,0)</f>
        <v>GAS</v>
      </c>
      <c r="F225" s="172" t="s">
        <v>79</v>
      </c>
      <c r="G225" s="173" t="s">
        <v>58</v>
      </c>
      <c r="H225" s="174" t="s">
        <v>58</v>
      </c>
      <c r="I225" s="175" t="s">
        <v>58</v>
      </c>
      <c r="J225" s="175" t="s">
        <v>0</v>
      </c>
      <c r="K225" s="175" t="s">
        <v>0</v>
      </c>
      <c r="L225" s="175" t="s">
        <v>0</v>
      </c>
      <c r="M225" s="175" t="s">
        <v>0</v>
      </c>
      <c r="N225" s="175" t="s">
        <v>0</v>
      </c>
      <c r="O225" s="175" t="s">
        <v>0</v>
      </c>
      <c r="P225" s="175" t="s">
        <v>0</v>
      </c>
      <c r="Q225" s="175" t="s">
        <v>0</v>
      </c>
      <c r="R225" s="175" t="s">
        <v>0</v>
      </c>
      <c r="S225" s="175" t="s">
        <v>0</v>
      </c>
      <c r="T225" s="175" t="s">
        <v>0</v>
      </c>
      <c r="U225" s="175" t="s">
        <v>0</v>
      </c>
      <c r="V225" s="175" t="s">
        <v>0</v>
      </c>
      <c r="W225" s="175" t="s">
        <v>0</v>
      </c>
      <c r="X225" s="175" t="s">
        <v>0</v>
      </c>
      <c r="Y225" s="175" t="s">
        <v>0</v>
      </c>
      <c r="Z225" s="175" t="s">
        <v>0</v>
      </c>
      <c r="AA225" s="175" t="s">
        <v>0</v>
      </c>
      <c r="AB225" s="175" t="s">
        <v>0</v>
      </c>
      <c r="AC225" s="175" t="s">
        <v>0</v>
      </c>
      <c r="AD225" s="175" t="s">
        <v>0</v>
      </c>
      <c r="AE225" s="175" t="s">
        <v>0</v>
      </c>
      <c r="AF225" s="175" t="s">
        <v>0</v>
      </c>
      <c r="AG225" s="175" t="s">
        <v>0</v>
      </c>
      <c r="AH225" s="175" t="s">
        <v>0</v>
      </c>
      <c r="AI225" s="175" t="s">
        <v>0</v>
      </c>
      <c r="AJ225" s="175" t="s">
        <v>0</v>
      </c>
      <c r="AK225" s="175" t="s">
        <v>0</v>
      </c>
      <c r="AL225" s="175" t="s">
        <v>0</v>
      </c>
      <c r="AM225" s="175" t="s">
        <v>0</v>
      </c>
      <c r="AN225" s="175" t="s">
        <v>0</v>
      </c>
      <c r="AO225" s="175" t="s">
        <v>0</v>
      </c>
      <c r="AP225" s="175" t="s">
        <v>0</v>
      </c>
      <c r="AQ225" s="175" t="s">
        <v>0</v>
      </c>
      <c r="AR225" s="175" t="s">
        <v>0</v>
      </c>
      <c r="AS225" s="175" t="s">
        <v>0</v>
      </c>
      <c r="AT225" s="175" t="s">
        <v>0</v>
      </c>
      <c r="AU225" s="175" t="s">
        <v>0</v>
      </c>
      <c r="AV225" s="175" t="s">
        <v>0</v>
      </c>
      <c r="AW225" s="175" t="s">
        <v>0</v>
      </c>
      <c r="AX225" s="175" t="s">
        <v>0</v>
      </c>
      <c r="AY225" s="175" t="s">
        <v>0</v>
      </c>
      <c r="AZ225" s="175" t="s">
        <v>0</v>
      </c>
      <c r="BA225" s="175" t="s">
        <v>0</v>
      </c>
      <c r="BB225" s="175" t="s">
        <v>0</v>
      </c>
      <c r="BC225" s="175" t="s">
        <v>0</v>
      </c>
      <c r="BD225" s="175" t="s">
        <v>0</v>
      </c>
      <c r="BE225" s="175" t="s">
        <v>0</v>
      </c>
      <c r="BF225" s="175" t="s">
        <v>0</v>
      </c>
      <c r="BG225" s="175" t="s">
        <v>0</v>
      </c>
      <c r="BH225" s="175" t="s">
        <v>0</v>
      </c>
      <c r="BI225" s="176"/>
    </row>
    <row r="226" spans="1:61" x14ac:dyDescent="0.25">
      <c r="A226" s="22">
        <f t="shared" si="21"/>
        <v>220</v>
      </c>
      <c r="B226" s="214" t="str">
        <f t="shared" si="22"/>
        <v>F0014825901</v>
      </c>
      <c r="C226" s="214" t="str">
        <f t="shared" si="23"/>
        <v>82115-0EZ30</v>
      </c>
      <c r="D226" s="45" t="str">
        <f>VLOOKUP(B226,'Timing Table'!B:J,9,0)</f>
        <v>C/O</v>
      </c>
      <c r="E226" s="22" t="str">
        <f>VLOOKUP(B226,'Timing Table'!B:H,7,0)</f>
        <v>GAS</v>
      </c>
      <c r="F226" s="177" t="s">
        <v>58</v>
      </c>
      <c r="G226" s="178" t="s">
        <v>58</v>
      </c>
      <c r="H226" s="179" t="s">
        <v>58</v>
      </c>
      <c r="I226" s="180" t="s">
        <v>58</v>
      </c>
      <c r="J226" s="180" t="s">
        <v>0</v>
      </c>
      <c r="K226" s="180" t="s">
        <v>0</v>
      </c>
      <c r="L226" s="180" t="s">
        <v>0</v>
      </c>
      <c r="M226" s="180" t="s">
        <v>0</v>
      </c>
      <c r="N226" s="180" t="s">
        <v>0</v>
      </c>
      <c r="O226" s="180" t="s">
        <v>0</v>
      </c>
      <c r="P226" s="180" t="s">
        <v>0</v>
      </c>
      <c r="Q226" s="180" t="s">
        <v>0</v>
      </c>
      <c r="R226" s="180" t="s">
        <v>0</v>
      </c>
      <c r="S226" s="180" t="s">
        <v>0</v>
      </c>
      <c r="T226" s="180" t="s">
        <v>0</v>
      </c>
      <c r="U226" s="180" t="s">
        <v>0</v>
      </c>
      <c r="V226" s="180" t="s">
        <v>0</v>
      </c>
      <c r="W226" s="180" t="s">
        <v>0</v>
      </c>
      <c r="X226" s="180" t="s">
        <v>0</v>
      </c>
      <c r="Y226" s="180" t="s">
        <v>0</v>
      </c>
      <c r="Z226" s="180" t="s">
        <v>0</v>
      </c>
      <c r="AA226" s="180" t="s">
        <v>0</v>
      </c>
      <c r="AB226" s="180" t="s">
        <v>0</v>
      </c>
      <c r="AC226" s="180" t="s">
        <v>0</v>
      </c>
      <c r="AD226" s="180" t="s">
        <v>0</v>
      </c>
      <c r="AE226" s="180" t="s">
        <v>0</v>
      </c>
      <c r="AF226" s="180" t="s">
        <v>0</v>
      </c>
      <c r="AG226" s="180" t="s">
        <v>0</v>
      </c>
      <c r="AH226" s="180" t="s">
        <v>0</v>
      </c>
      <c r="AI226" s="180" t="s">
        <v>0</v>
      </c>
      <c r="AJ226" s="180" t="s">
        <v>0</v>
      </c>
      <c r="AK226" s="180" t="s">
        <v>0</v>
      </c>
      <c r="AL226" s="180" t="s">
        <v>0</v>
      </c>
      <c r="AM226" s="180" t="s">
        <v>0</v>
      </c>
      <c r="AN226" s="180" t="s">
        <v>0</v>
      </c>
      <c r="AO226" s="180" t="s">
        <v>0</v>
      </c>
      <c r="AP226" s="180" t="s">
        <v>0</v>
      </c>
      <c r="AQ226" s="180" t="s">
        <v>0</v>
      </c>
      <c r="AR226" s="180" t="s">
        <v>0</v>
      </c>
      <c r="AS226" s="180" t="s">
        <v>0</v>
      </c>
      <c r="AT226" s="180" t="s">
        <v>0</v>
      </c>
      <c r="AU226" s="180" t="s">
        <v>0</v>
      </c>
      <c r="AV226" s="180" t="s">
        <v>0</v>
      </c>
      <c r="AW226" s="180" t="s">
        <v>0</v>
      </c>
      <c r="AX226" s="180" t="s">
        <v>0</v>
      </c>
      <c r="AY226" s="180" t="s">
        <v>0</v>
      </c>
      <c r="AZ226" s="180" t="s">
        <v>0</v>
      </c>
      <c r="BA226" s="180" t="s">
        <v>0</v>
      </c>
      <c r="BB226" s="180" t="s">
        <v>0</v>
      </c>
      <c r="BC226" s="180" t="s">
        <v>0</v>
      </c>
      <c r="BD226" s="180" t="s">
        <v>0</v>
      </c>
      <c r="BE226" s="180" t="s">
        <v>0</v>
      </c>
      <c r="BF226" s="180" t="s">
        <v>0</v>
      </c>
      <c r="BG226" s="180" t="s">
        <v>0</v>
      </c>
      <c r="BH226" s="180" t="s">
        <v>0</v>
      </c>
      <c r="BI226" s="181"/>
    </row>
    <row r="227" spans="1:61" x14ac:dyDescent="0.25">
      <c r="A227" s="22">
        <f t="shared" si="21"/>
        <v>221</v>
      </c>
      <c r="B227" s="214" t="str">
        <f t="shared" si="22"/>
        <v>F0014825903</v>
      </c>
      <c r="C227" s="214" t="str">
        <f t="shared" si="23"/>
        <v>82115-0EZ30 B</v>
      </c>
      <c r="D227" s="45" t="str">
        <f>VLOOKUP(B227,'Timing Table'!B:J,9,0)</f>
        <v>C/O</v>
      </c>
      <c r="E227" s="22" t="str">
        <f>VLOOKUP(B227,'Timing Table'!B:H,7,0)</f>
        <v>GAS</v>
      </c>
      <c r="F227" s="121" t="s">
        <v>59</v>
      </c>
      <c r="G227" s="146">
        <v>5501017974</v>
      </c>
      <c r="H227" s="121" t="s">
        <v>60</v>
      </c>
      <c r="I227" s="146">
        <v>91</v>
      </c>
      <c r="J227" s="121" t="s">
        <v>61</v>
      </c>
      <c r="K227" s="125">
        <v>1177761</v>
      </c>
      <c r="L227" s="126"/>
      <c r="M227" s="147" t="s">
        <v>62</v>
      </c>
      <c r="N227" s="148"/>
      <c r="O227" s="149">
        <v>46086</v>
      </c>
      <c r="P227" s="121" t="s">
        <v>63</v>
      </c>
      <c r="Q227" s="146">
        <v>4</v>
      </c>
      <c r="R227" s="6" t="s">
        <v>0</v>
      </c>
      <c r="S227" s="7" t="s">
        <v>0</v>
      </c>
      <c r="T227" s="7" t="s">
        <v>0</v>
      </c>
      <c r="U227" s="7" t="s">
        <v>0</v>
      </c>
      <c r="V227" s="7" t="s">
        <v>0</v>
      </c>
      <c r="W227" s="7" t="s">
        <v>0</v>
      </c>
      <c r="X227" s="7" t="s">
        <v>0</v>
      </c>
      <c r="Y227" s="7" t="s">
        <v>0</v>
      </c>
      <c r="Z227" s="7" t="s">
        <v>0</v>
      </c>
      <c r="AA227" s="7" t="s">
        <v>0</v>
      </c>
      <c r="AB227" s="7" t="s">
        <v>0</v>
      </c>
      <c r="AC227" s="7" t="s">
        <v>0</v>
      </c>
      <c r="AD227" s="7" t="s">
        <v>0</v>
      </c>
      <c r="AE227" s="7" t="s">
        <v>0</v>
      </c>
      <c r="AF227" s="7" t="s">
        <v>0</v>
      </c>
      <c r="AG227" s="7" t="s">
        <v>0</v>
      </c>
      <c r="AH227" s="7" t="s">
        <v>0</v>
      </c>
      <c r="AI227" s="7" t="s">
        <v>0</v>
      </c>
      <c r="AJ227" s="7" t="s">
        <v>0</v>
      </c>
      <c r="AK227" s="7" t="s">
        <v>0</v>
      </c>
      <c r="AL227" s="7" t="s">
        <v>0</v>
      </c>
      <c r="AM227" s="7" t="s">
        <v>0</v>
      </c>
      <c r="AN227" s="7" t="s">
        <v>0</v>
      </c>
      <c r="AO227" s="7" t="s">
        <v>0</v>
      </c>
      <c r="AP227" s="7" t="s">
        <v>0</v>
      </c>
      <c r="AQ227" s="7" t="s">
        <v>0</v>
      </c>
      <c r="AR227" s="7" t="s">
        <v>0</v>
      </c>
      <c r="AS227" s="7" t="s">
        <v>0</v>
      </c>
      <c r="AT227" s="7" t="s">
        <v>0</v>
      </c>
      <c r="AU227" s="7" t="s">
        <v>0</v>
      </c>
      <c r="AV227" s="7" t="s">
        <v>0</v>
      </c>
      <c r="AW227" s="7" t="s">
        <v>0</v>
      </c>
      <c r="AX227" s="7" t="s">
        <v>0</v>
      </c>
      <c r="AY227" s="7" t="s">
        <v>0</v>
      </c>
      <c r="AZ227" s="7" t="s">
        <v>0</v>
      </c>
      <c r="BA227" s="7" t="s">
        <v>0</v>
      </c>
      <c r="BB227" s="7" t="s">
        <v>0</v>
      </c>
      <c r="BC227" s="7" t="s">
        <v>0</v>
      </c>
      <c r="BD227" s="7" t="s">
        <v>0</v>
      </c>
      <c r="BE227" s="7" t="s">
        <v>0</v>
      </c>
      <c r="BF227" s="7" t="s">
        <v>0</v>
      </c>
      <c r="BG227" s="7" t="s">
        <v>0</v>
      </c>
      <c r="BH227" s="7" t="s">
        <v>0</v>
      </c>
      <c r="BI227" s="8"/>
    </row>
    <row r="228" spans="1:61" x14ac:dyDescent="0.25">
      <c r="A228" s="22">
        <f t="shared" si="21"/>
        <v>222</v>
      </c>
      <c r="B228" s="214" t="str">
        <f t="shared" si="22"/>
        <v>F0014825903</v>
      </c>
      <c r="C228" s="214" t="str">
        <f t="shared" si="23"/>
        <v>82115-0EZ30 B</v>
      </c>
      <c r="D228" s="45" t="str">
        <f>VLOOKUP(B228,'Timing Table'!B:J,9,0)</f>
        <v>C/O</v>
      </c>
      <c r="E228" s="22" t="str">
        <f>VLOOKUP(B228,'Timing Table'!B:H,7,0)</f>
        <v>GAS</v>
      </c>
      <c r="F228" s="121" t="s">
        <v>64</v>
      </c>
      <c r="G228" s="146" t="s">
        <v>187</v>
      </c>
      <c r="H228" s="121" t="s">
        <v>65</v>
      </c>
      <c r="I228" s="150" t="s">
        <v>204</v>
      </c>
      <c r="J228" s="151"/>
      <c r="K228" s="151"/>
      <c r="L228" s="152"/>
      <c r="M228" s="121" t="s">
        <v>66</v>
      </c>
      <c r="N228" s="146">
        <v>2025</v>
      </c>
      <c r="O228" s="140" t="s">
        <v>67</v>
      </c>
      <c r="P228" s="141"/>
      <c r="Q228" s="153" t="s">
        <v>203</v>
      </c>
      <c r="R228" s="122" t="s">
        <v>0</v>
      </c>
      <c r="S228" s="123" t="s">
        <v>0</v>
      </c>
      <c r="T228" s="123" t="s">
        <v>0</v>
      </c>
      <c r="U228" s="123" t="s">
        <v>0</v>
      </c>
      <c r="V228" s="123" t="s">
        <v>0</v>
      </c>
      <c r="W228" s="123" t="s">
        <v>0</v>
      </c>
      <c r="X228" s="123" t="s">
        <v>0</v>
      </c>
      <c r="Y228" s="123" t="s">
        <v>0</v>
      </c>
      <c r="Z228" s="123" t="s">
        <v>0</v>
      </c>
      <c r="AA228" s="123" t="s">
        <v>0</v>
      </c>
      <c r="AB228" s="123" t="s">
        <v>0</v>
      </c>
      <c r="AC228" s="123" t="s">
        <v>0</v>
      </c>
      <c r="AD228" s="123" t="s">
        <v>0</v>
      </c>
      <c r="AE228" s="123" t="s">
        <v>0</v>
      </c>
      <c r="AF228" s="123" t="s">
        <v>0</v>
      </c>
      <c r="AG228" s="123" t="s">
        <v>0</v>
      </c>
      <c r="AH228" s="123" t="s">
        <v>0</v>
      </c>
      <c r="AI228" s="123" t="s">
        <v>0</v>
      </c>
      <c r="AJ228" s="123" t="s">
        <v>0</v>
      </c>
      <c r="AK228" s="123" t="s">
        <v>0</v>
      </c>
      <c r="AL228" s="123" t="s">
        <v>0</v>
      </c>
      <c r="AM228" s="123" t="s">
        <v>0</v>
      </c>
      <c r="AN228" s="123" t="s">
        <v>0</v>
      </c>
      <c r="AO228" s="123" t="s">
        <v>0</v>
      </c>
      <c r="AP228" s="123" t="s">
        <v>0</v>
      </c>
      <c r="AQ228" s="123" t="s">
        <v>0</v>
      </c>
      <c r="AR228" s="123" t="s">
        <v>0</v>
      </c>
      <c r="AS228" s="123" t="s">
        <v>0</v>
      </c>
      <c r="AT228" s="123" t="s">
        <v>0</v>
      </c>
      <c r="AU228" s="123" t="s">
        <v>0</v>
      </c>
      <c r="AV228" s="123" t="s">
        <v>0</v>
      </c>
      <c r="AW228" s="123" t="s">
        <v>0</v>
      </c>
      <c r="AX228" s="123" t="s">
        <v>0</v>
      </c>
      <c r="AY228" s="123" t="s">
        <v>0</v>
      </c>
      <c r="AZ228" s="123" t="s">
        <v>0</v>
      </c>
      <c r="BA228" s="123" t="s">
        <v>0</v>
      </c>
      <c r="BB228" s="123" t="s">
        <v>0</v>
      </c>
      <c r="BC228" s="123" t="s">
        <v>0</v>
      </c>
      <c r="BD228" s="123" t="s">
        <v>0</v>
      </c>
      <c r="BE228" s="123" t="s">
        <v>0</v>
      </c>
      <c r="BF228" s="123" t="s">
        <v>0</v>
      </c>
      <c r="BG228" s="123" t="s">
        <v>0</v>
      </c>
      <c r="BH228" s="123" t="s">
        <v>0</v>
      </c>
      <c r="BI228" s="124"/>
    </row>
    <row r="229" spans="1:61" x14ac:dyDescent="0.25">
      <c r="A229" s="22">
        <f t="shared" si="21"/>
        <v>223</v>
      </c>
      <c r="B229" s="214" t="str">
        <f t="shared" si="22"/>
        <v>F0014825903</v>
      </c>
      <c r="C229" s="214" t="str">
        <f t="shared" si="23"/>
        <v>82115-0EZ30 B</v>
      </c>
      <c r="D229" s="45" t="str">
        <f>VLOOKUP(B229,'Timing Table'!B:J,9,0)</f>
        <v>C/O</v>
      </c>
      <c r="E229" s="22" t="str">
        <f>VLOOKUP(B229,'Timing Table'!B:H,7,0)</f>
        <v>GAS</v>
      </c>
      <c r="F229" s="121" t="s">
        <v>68</v>
      </c>
      <c r="G229" s="146" t="s">
        <v>348</v>
      </c>
      <c r="H229" s="121" t="s">
        <v>69</v>
      </c>
      <c r="I229" s="154" t="s">
        <v>58</v>
      </c>
      <c r="J229" s="155" t="s">
        <v>0</v>
      </c>
      <c r="K229" s="156" t="s">
        <v>0</v>
      </c>
      <c r="L229" s="157" t="s">
        <v>0</v>
      </c>
      <c r="M229" s="134" t="s">
        <v>0</v>
      </c>
      <c r="N229" s="134" t="s">
        <v>0</v>
      </c>
      <c r="O229" s="134" t="s">
        <v>0</v>
      </c>
      <c r="P229" s="134" t="s">
        <v>0</v>
      </c>
      <c r="Q229" s="134" t="s">
        <v>1</v>
      </c>
      <c r="R229" s="134" t="s">
        <v>2</v>
      </c>
      <c r="S229" s="134" t="s">
        <v>0</v>
      </c>
      <c r="T229" s="134" t="s">
        <v>0</v>
      </c>
      <c r="U229" s="134" t="s">
        <v>0</v>
      </c>
      <c r="V229" s="134" t="s">
        <v>0</v>
      </c>
      <c r="W229" s="134" t="s">
        <v>0</v>
      </c>
      <c r="X229" s="134" t="s">
        <v>0</v>
      </c>
      <c r="Y229" s="134" t="s">
        <v>0</v>
      </c>
      <c r="Z229" s="134" t="s">
        <v>3</v>
      </c>
      <c r="AA229" s="134" t="s">
        <v>0</v>
      </c>
      <c r="AB229" s="134" t="s">
        <v>0</v>
      </c>
      <c r="AC229" s="134" t="s">
        <v>0</v>
      </c>
      <c r="AD229" s="134" t="s">
        <v>0</v>
      </c>
      <c r="AE229" s="134" t="s">
        <v>0</v>
      </c>
      <c r="AF229" s="134" t="s">
        <v>0</v>
      </c>
      <c r="AG229" s="134" t="s">
        <v>0</v>
      </c>
      <c r="AH229" s="134" t="s">
        <v>0</v>
      </c>
      <c r="AI229" s="134" t="s">
        <v>0</v>
      </c>
      <c r="AJ229" s="134" t="s">
        <v>0</v>
      </c>
      <c r="AK229" s="134" t="s">
        <v>0</v>
      </c>
      <c r="AL229" s="134" t="s">
        <v>0</v>
      </c>
      <c r="AM229" s="134" t="s">
        <v>0</v>
      </c>
      <c r="AN229" s="134" t="s">
        <v>0</v>
      </c>
      <c r="AO229" s="134" t="s">
        <v>0</v>
      </c>
      <c r="AP229" s="134" t="s">
        <v>0</v>
      </c>
      <c r="AQ229" s="134" t="s">
        <v>0</v>
      </c>
      <c r="AR229" s="134" t="s">
        <v>0</v>
      </c>
      <c r="AS229" s="134" t="s">
        <v>0</v>
      </c>
      <c r="AT229" s="134" t="s">
        <v>0</v>
      </c>
      <c r="AU229" s="134" t="s">
        <v>0</v>
      </c>
      <c r="AV229" s="134" t="s">
        <v>0</v>
      </c>
      <c r="AW229" s="134" t="s">
        <v>0</v>
      </c>
      <c r="AX229" s="134" t="s">
        <v>0</v>
      </c>
      <c r="AY229" s="134" t="s">
        <v>0</v>
      </c>
      <c r="AZ229" s="134" t="s">
        <v>0</v>
      </c>
      <c r="BA229" s="134" t="s">
        <v>0</v>
      </c>
      <c r="BB229" s="134" t="s">
        <v>0</v>
      </c>
      <c r="BC229" s="134" t="s">
        <v>0</v>
      </c>
      <c r="BD229" s="134" t="s">
        <v>0</v>
      </c>
      <c r="BE229" s="134" t="s">
        <v>0</v>
      </c>
      <c r="BF229" s="134" t="s">
        <v>0</v>
      </c>
      <c r="BG229" s="134" t="s">
        <v>0</v>
      </c>
      <c r="BH229" s="134" t="s">
        <v>0</v>
      </c>
      <c r="BI229" s="135" t="s">
        <v>4</v>
      </c>
    </row>
    <row r="230" spans="1:61" x14ac:dyDescent="0.25">
      <c r="A230" s="22">
        <f t="shared" si="21"/>
        <v>224</v>
      </c>
      <c r="B230" s="214" t="str">
        <f t="shared" si="22"/>
        <v>F0014825903</v>
      </c>
      <c r="C230" s="214" t="str">
        <f t="shared" si="23"/>
        <v>82115-0EZ30 B</v>
      </c>
      <c r="D230" s="45" t="str">
        <f>VLOOKUP(B230,'Timing Table'!B:J,9,0)</f>
        <v>C/O</v>
      </c>
      <c r="E230" s="22" t="str">
        <f>VLOOKUP(B230,'Timing Table'!B:H,7,0)</f>
        <v>GAS</v>
      </c>
      <c r="F230" s="121" t="s">
        <v>70</v>
      </c>
      <c r="G230" s="146">
        <v>0</v>
      </c>
      <c r="H230" s="158" t="s">
        <v>241</v>
      </c>
      <c r="I230" s="159" t="s">
        <v>71</v>
      </c>
      <c r="J230" s="13">
        <v>46041</v>
      </c>
      <c r="K230" s="14">
        <v>46048</v>
      </c>
      <c r="L230" s="14">
        <v>46055</v>
      </c>
      <c r="M230" s="14">
        <v>46062</v>
      </c>
      <c r="N230" s="14">
        <v>46069</v>
      </c>
      <c r="O230" s="14">
        <v>46076</v>
      </c>
      <c r="P230" s="14">
        <v>46083</v>
      </c>
      <c r="Q230" s="14">
        <v>46090</v>
      </c>
      <c r="R230" s="14">
        <v>46097</v>
      </c>
      <c r="S230" s="14">
        <v>46104</v>
      </c>
      <c r="T230" s="14">
        <v>46111</v>
      </c>
      <c r="U230" s="14">
        <v>46118</v>
      </c>
      <c r="V230" s="14">
        <v>46125</v>
      </c>
      <c r="W230" s="14">
        <v>46132</v>
      </c>
      <c r="X230" s="14">
        <v>46139</v>
      </c>
      <c r="Y230" s="14">
        <v>46146</v>
      </c>
      <c r="Z230" s="14">
        <v>46153</v>
      </c>
      <c r="AA230" s="14">
        <v>46160</v>
      </c>
      <c r="AB230" s="14">
        <v>46167</v>
      </c>
      <c r="AC230" s="14">
        <v>46174</v>
      </c>
      <c r="AD230" s="14">
        <v>46181</v>
      </c>
      <c r="AE230" s="14">
        <v>46188</v>
      </c>
      <c r="AF230" s="14">
        <v>46195</v>
      </c>
      <c r="AG230" s="14">
        <v>46202</v>
      </c>
      <c r="AH230" s="14">
        <v>46209</v>
      </c>
      <c r="AI230" s="14">
        <v>46216</v>
      </c>
      <c r="AJ230" s="14">
        <v>46223</v>
      </c>
      <c r="AK230" s="14">
        <v>46230</v>
      </c>
      <c r="AL230" s="14">
        <v>46237</v>
      </c>
      <c r="AM230" s="14">
        <v>46244</v>
      </c>
      <c r="AN230" s="14">
        <v>46251</v>
      </c>
      <c r="AO230" s="14">
        <v>46258</v>
      </c>
      <c r="AP230" s="14">
        <v>46265</v>
      </c>
      <c r="AQ230" s="14">
        <v>46272</v>
      </c>
      <c r="AR230" s="14">
        <v>46279</v>
      </c>
      <c r="AS230" s="14">
        <v>46286</v>
      </c>
      <c r="AT230" s="14">
        <v>46293</v>
      </c>
      <c r="AU230" s="14">
        <v>46300</v>
      </c>
      <c r="AV230" s="14">
        <v>46307</v>
      </c>
      <c r="AW230" s="14">
        <v>46314</v>
      </c>
      <c r="AX230" s="14">
        <v>46321</v>
      </c>
      <c r="AY230" s="14">
        <v>46328</v>
      </c>
      <c r="AZ230" s="14">
        <v>46335</v>
      </c>
      <c r="BA230" s="14">
        <v>46342</v>
      </c>
      <c r="BB230" s="14">
        <v>46349</v>
      </c>
      <c r="BC230" s="14">
        <v>46356</v>
      </c>
      <c r="BD230" s="14">
        <v>46363</v>
      </c>
      <c r="BE230" s="14">
        <v>46370</v>
      </c>
      <c r="BF230" s="14">
        <v>46377</v>
      </c>
      <c r="BG230" s="14">
        <v>46384</v>
      </c>
      <c r="BH230" s="14">
        <v>46391</v>
      </c>
      <c r="BI230" s="15">
        <v>46398</v>
      </c>
    </row>
    <row r="231" spans="1:61" x14ac:dyDescent="0.25">
      <c r="A231" s="22">
        <f t="shared" si="21"/>
        <v>225</v>
      </c>
      <c r="B231" s="214" t="str">
        <f t="shared" si="22"/>
        <v>F0014825903</v>
      </c>
      <c r="C231" s="214" t="str">
        <f t="shared" si="23"/>
        <v>82115-0EZ30 B</v>
      </c>
      <c r="D231" s="45" t="str">
        <f>VLOOKUP(B231,'Timing Table'!B:J,9,0)</f>
        <v>C/O</v>
      </c>
      <c r="E231" s="22" t="str">
        <f>VLOOKUP(B231,'Timing Table'!B:H,7,0)</f>
        <v>GAS</v>
      </c>
      <c r="F231" s="121" t="s">
        <v>72</v>
      </c>
      <c r="G231" s="146">
        <v>0</v>
      </c>
      <c r="H231" s="5" t="s">
        <v>58</v>
      </c>
      <c r="I231" s="11" t="s">
        <v>83</v>
      </c>
      <c r="J231" s="16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17"/>
    </row>
    <row r="232" spans="1:61" x14ac:dyDescent="0.25">
      <c r="A232" s="22">
        <f t="shared" si="21"/>
        <v>226</v>
      </c>
      <c r="B232" s="214" t="str">
        <f t="shared" si="22"/>
        <v>F0014825903</v>
      </c>
      <c r="C232" s="214" t="str">
        <f t="shared" si="23"/>
        <v>82115-0EZ30 B</v>
      </c>
      <c r="D232" s="45" t="str">
        <f>VLOOKUP(B232,'Timing Table'!B:J,9,0)</f>
        <v>C/O</v>
      </c>
      <c r="E232" s="22" t="str">
        <f>VLOOKUP(B232,'Timing Table'!B:H,7,0)</f>
        <v>GAS</v>
      </c>
      <c r="F232" s="121" t="s">
        <v>73</v>
      </c>
      <c r="G232" s="160" t="s">
        <v>130</v>
      </c>
      <c r="H232" s="9" t="s">
        <v>123</v>
      </c>
      <c r="I232" s="11" t="s">
        <v>74</v>
      </c>
      <c r="J232" s="117">
        <v>0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  <c r="Q232" s="50">
        <v>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>
        <v>0</v>
      </c>
      <c r="X232" s="50">
        <v>0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0</v>
      </c>
      <c r="AJ232" s="50">
        <v>0</v>
      </c>
      <c r="AK232" s="50">
        <v>0</v>
      </c>
      <c r="AL232" s="50">
        <v>0</v>
      </c>
      <c r="AM232" s="50">
        <v>0</v>
      </c>
      <c r="AN232" s="50">
        <v>0</v>
      </c>
      <c r="AO232" s="50">
        <v>0</v>
      </c>
      <c r="AP232" s="50">
        <v>0</v>
      </c>
      <c r="AQ232" s="50">
        <v>0</v>
      </c>
      <c r="AR232" s="50">
        <v>0</v>
      </c>
      <c r="AS232" s="50">
        <v>0</v>
      </c>
      <c r="AT232" s="50">
        <v>0</v>
      </c>
      <c r="AU232" s="50">
        <v>0</v>
      </c>
      <c r="AV232" s="50">
        <v>0</v>
      </c>
      <c r="AW232" s="50">
        <v>0</v>
      </c>
      <c r="AX232" s="50">
        <v>0</v>
      </c>
      <c r="AY232" s="50">
        <v>0</v>
      </c>
      <c r="AZ232" s="50">
        <v>0</v>
      </c>
      <c r="BA232" s="50">
        <v>0</v>
      </c>
      <c r="BB232" s="50">
        <v>0</v>
      </c>
      <c r="BC232" s="50">
        <v>0</v>
      </c>
      <c r="BD232" s="50">
        <v>0</v>
      </c>
      <c r="BE232" s="50">
        <v>0</v>
      </c>
      <c r="BF232" s="50">
        <v>0</v>
      </c>
      <c r="BG232" s="50">
        <v>0</v>
      </c>
      <c r="BH232" s="50">
        <v>0</v>
      </c>
      <c r="BI232" s="118">
        <v>0</v>
      </c>
    </row>
    <row r="233" spans="1:61" x14ac:dyDescent="0.25">
      <c r="A233" s="22">
        <f t="shared" si="21"/>
        <v>227</v>
      </c>
      <c r="B233" s="214" t="str">
        <f t="shared" si="22"/>
        <v>F0014825903</v>
      </c>
      <c r="C233" s="214" t="str">
        <f t="shared" si="23"/>
        <v>82115-0EZ30 B</v>
      </c>
      <c r="D233" s="45" t="str">
        <f>VLOOKUP(B233,'Timing Table'!B:J,9,0)</f>
        <v>C/O</v>
      </c>
      <c r="E233" s="22" t="str">
        <f>VLOOKUP(B233,'Timing Table'!B:H,7,0)</f>
        <v>GAS</v>
      </c>
      <c r="F233" s="121" t="s">
        <v>75</v>
      </c>
      <c r="G233" s="146">
        <v>82115</v>
      </c>
      <c r="H233" s="10" t="s">
        <v>123</v>
      </c>
      <c r="I233" s="12" t="s">
        <v>76</v>
      </c>
      <c r="J233" s="161">
        <v>0</v>
      </c>
      <c r="K233" s="162">
        <v>0</v>
      </c>
      <c r="L233" s="162">
        <v>0</v>
      </c>
      <c r="M233" s="162">
        <v>0</v>
      </c>
      <c r="N233" s="162">
        <v>0</v>
      </c>
      <c r="O233" s="162">
        <v>0</v>
      </c>
      <c r="P233" s="162">
        <v>0</v>
      </c>
      <c r="Q233" s="162">
        <v>0</v>
      </c>
      <c r="R233" s="162">
        <v>0</v>
      </c>
      <c r="S233" s="162">
        <v>0</v>
      </c>
      <c r="T233" s="162">
        <v>0</v>
      </c>
      <c r="U233" s="162">
        <v>0</v>
      </c>
      <c r="V233" s="162">
        <v>0</v>
      </c>
      <c r="W233" s="162">
        <v>0</v>
      </c>
      <c r="X233" s="162">
        <v>0</v>
      </c>
      <c r="Y233" s="162">
        <v>0</v>
      </c>
      <c r="Z233" s="162">
        <v>0</v>
      </c>
      <c r="AA233" s="162">
        <v>0</v>
      </c>
      <c r="AB233" s="162">
        <v>0</v>
      </c>
      <c r="AC233" s="162">
        <v>0</v>
      </c>
      <c r="AD233" s="162">
        <v>0</v>
      </c>
      <c r="AE233" s="162">
        <v>0</v>
      </c>
      <c r="AF233" s="162">
        <v>0</v>
      </c>
      <c r="AG233" s="162">
        <v>0</v>
      </c>
      <c r="AH233" s="162">
        <v>0</v>
      </c>
      <c r="AI233" s="162">
        <v>0</v>
      </c>
      <c r="AJ233" s="162">
        <v>0</v>
      </c>
      <c r="AK233" s="162">
        <v>0</v>
      </c>
      <c r="AL233" s="162">
        <v>0</v>
      </c>
      <c r="AM233" s="162">
        <v>0</v>
      </c>
      <c r="AN233" s="162">
        <v>0</v>
      </c>
      <c r="AO233" s="162">
        <v>0</v>
      </c>
      <c r="AP233" s="162">
        <v>0</v>
      </c>
      <c r="AQ233" s="162">
        <v>0</v>
      </c>
      <c r="AR233" s="162">
        <v>0</v>
      </c>
      <c r="AS233" s="162">
        <v>0</v>
      </c>
      <c r="AT233" s="162">
        <v>0</v>
      </c>
      <c r="AU233" s="162">
        <v>0</v>
      </c>
      <c r="AV233" s="162">
        <v>0</v>
      </c>
      <c r="AW233" s="162">
        <v>0</v>
      </c>
      <c r="AX233" s="162">
        <v>0</v>
      </c>
      <c r="AY233" s="162">
        <v>0</v>
      </c>
      <c r="AZ233" s="162">
        <v>0</v>
      </c>
      <c r="BA233" s="162">
        <v>0</v>
      </c>
      <c r="BB233" s="162">
        <v>0</v>
      </c>
      <c r="BC233" s="162">
        <v>0</v>
      </c>
      <c r="BD233" s="162">
        <v>0</v>
      </c>
      <c r="BE233" s="162">
        <v>0</v>
      </c>
      <c r="BF233" s="162">
        <v>0</v>
      </c>
      <c r="BG233" s="162">
        <v>0</v>
      </c>
      <c r="BH233" s="162">
        <v>0</v>
      </c>
      <c r="BI233" s="163">
        <v>0</v>
      </c>
    </row>
    <row r="234" spans="1:61" x14ac:dyDescent="0.25">
      <c r="A234" s="22">
        <f t="shared" si="21"/>
        <v>228</v>
      </c>
      <c r="B234" s="214" t="str">
        <f t="shared" si="22"/>
        <v>F0014825903</v>
      </c>
      <c r="C234" s="214" t="str">
        <f t="shared" si="23"/>
        <v>82115-0EZ30 B</v>
      </c>
      <c r="D234" s="45" t="str">
        <f>VLOOKUP(B234,'Timing Table'!B:J,9,0)</f>
        <v>C/O</v>
      </c>
      <c r="E234" s="22" t="str">
        <f>VLOOKUP(B234,'Timing Table'!B:H,7,0)</f>
        <v>GAS</v>
      </c>
      <c r="F234" s="164" t="s">
        <v>77</v>
      </c>
      <c r="G234" s="165">
        <v>0</v>
      </c>
      <c r="H234" s="166" t="s">
        <v>78</v>
      </c>
      <c r="I234" s="167"/>
      <c r="J234" s="168"/>
      <c r="K234" s="169"/>
      <c r="L234" s="170" t="s">
        <v>0</v>
      </c>
      <c r="M234" s="170" t="s">
        <v>0</v>
      </c>
      <c r="N234" s="170" t="s">
        <v>0</v>
      </c>
      <c r="O234" s="170" t="s">
        <v>0</v>
      </c>
      <c r="P234" s="170" t="s">
        <v>0</v>
      </c>
      <c r="Q234" s="170" t="s">
        <v>0</v>
      </c>
      <c r="R234" s="170" t="s">
        <v>0</v>
      </c>
      <c r="S234" s="170" t="s">
        <v>0</v>
      </c>
      <c r="T234" s="170" t="s">
        <v>0</v>
      </c>
      <c r="U234" s="170" t="s">
        <v>0</v>
      </c>
      <c r="V234" s="170" t="s">
        <v>0</v>
      </c>
      <c r="W234" s="170" t="s">
        <v>0</v>
      </c>
      <c r="X234" s="170" t="s">
        <v>0</v>
      </c>
      <c r="Y234" s="170" t="s">
        <v>0</v>
      </c>
      <c r="Z234" s="170" t="s">
        <v>0</v>
      </c>
      <c r="AA234" s="170" t="s">
        <v>0</v>
      </c>
      <c r="AB234" s="170" t="s">
        <v>0</v>
      </c>
      <c r="AC234" s="170" t="s">
        <v>0</v>
      </c>
      <c r="AD234" s="170" t="s">
        <v>0</v>
      </c>
      <c r="AE234" s="170" t="s">
        <v>0</v>
      </c>
      <c r="AF234" s="170" t="s">
        <v>0</v>
      </c>
      <c r="AG234" s="170" t="s">
        <v>0</v>
      </c>
      <c r="AH234" s="170" t="s">
        <v>0</v>
      </c>
      <c r="AI234" s="170" t="s">
        <v>0</v>
      </c>
      <c r="AJ234" s="170" t="s">
        <v>0</v>
      </c>
      <c r="AK234" s="170" t="s">
        <v>0</v>
      </c>
      <c r="AL234" s="170" t="s">
        <v>0</v>
      </c>
      <c r="AM234" s="170" t="s">
        <v>0</v>
      </c>
      <c r="AN234" s="170" t="s">
        <v>0</v>
      </c>
      <c r="AO234" s="170" t="s">
        <v>0</v>
      </c>
      <c r="AP234" s="170" t="s">
        <v>0</v>
      </c>
      <c r="AQ234" s="170" t="s">
        <v>0</v>
      </c>
      <c r="AR234" s="170" t="s">
        <v>0</v>
      </c>
      <c r="AS234" s="170" t="s">
        <v>0</v>
      </c>
      <c r="AT234" s="170" t="s">
        <v>0</v>
      </c>
      <c r="AU234" s="170" t="s">
        <v>0</v>
      </c>
      <c r="AV234" s="170" t="s">
        <v>0</v>
      </c>
      <c r="AW234" s="170" t="s">
        <v>0</v>
      </c>
      <c r="AX234" s="170" t="s">
        <v>0</v>
      </c>
      <c r="AY234" s="170" t="s">
        <v>0</v>
      </c>
      <c r="AZ234" s="170" t="s">
        <v>0</v>
      </c>
      <c r="BA234" s="170" t="s">
        <v>0</v>
      </c>
      <c r="BB234" s="170" t="s">
        <v>0</v>
      </c>
      <c r="BC234" s="170" t="s">
        <v>0</v>
      </c>
      <c r="BD234" s="170" t="s">
        <v>0</v>
      </c>
      <c r="BE234" s="170" t="s">
        <v>0</v>
      </c>
      <c r="BF234" s="170" t="s">
        <v>0</v>
      </c>
      <c r="BG234" s="170" t="s">
        <v>0</v>
      </c>
      <c r="BH234" s="170" t="s">
        <v>0</v>
      </c>
      <c r="BI234" s="171"/>
    </row>
    <row r="235" spans="1:61" x14ac:dyDescent="0.25">
      <c r="A235" s="22">
        <f t="shared" si="21"/>
        <v>229</v>
      </c>
      <c r="B235" s="214" t="str">
        <f t="shared" si="22"/>
        <v>F0014825903</v>
      </c>
      <c r="C235" s="214" t="str">
        <f t="shared" si="23"/>
        <v>82115-0EZ30 B</v>
      </c>
      <c r="D235" s="45" t="str">
        <f>VLOOKUP(B235,'Timing Table'!B:J,9,0)</f>
        <v>C/O</v>
      </c>
      <c r="E235" s="22" t="str">
        <f>VLOOKUP(B235,'Timing Table'!B:H,7,0)</f>
        <v>GAS</v>
      </c>
      <c r="F235" s="172" t="s">
        <v>79</v>
      </c>
      <c r="G235" s="173" t="s">
        <v>58</v>
      </c>
      <c r="H235" s="174" t="s">
        <v>58</v>
      </c>
      <c r="I235" s="175" t="s">
        <v>58</v>
      </c>
      <c r="J235" s="175" t="s">
        <v>0</v>
      </c>
      <c r="K235" s="175" t="s">
        <v>0</v>
      </c>
      <c r="L235" s="175" t="s">
        <v>0</v>
      </c>
      <c r="M235" s="175" t="s">
        <v>0</v>
      </c>
      <c r="N235" s="175" t="s">
        <v>0</v>
      </c>
      <c r="O235" s="175" t="s">
        <v>0</v>
      </c>
      <c r="P235" s="175" t="s">
        <v>0</v>
      </c>
      <c r="Q235" s="175" t="s">
        <v>0</v>
      </c>
      <c r="R235" s="175" t="s">
        <v>0</v>
      </c>
      <c r="S235" s="175" t="s">
        <v>0</v>
      </c>
      <c r="T235" s="175" t="s">
        <v>0</v>
      </c>
      <c r="U235" s="175" t="s">
        <v>0</v>
      </c>
      <c r="V235" s="175" t="s">
        <v>0</v>
      </c>
      <c r="W235" s="175" t="s">
        <v>0</v>
      </c>
      <c r="X235" s="175" t="s">
        <v>0</v>
      </c>
      <c r="Y235" s="175" t="s">
        <v>0</v>
      </c>
      <c r="Z235" s="175" t="s">
        <v>0</v>
      </c>
      <c r="AA235" s="175" t="s">
        <v>0</v>
      </c>
      <c r="AB235" s="175" t="s">
        <v>0</v>
      </c>
      <c r="AC235" s="175" t="s">
        <v>0</v>
      </c>
      <c r="AD235" s="175" t="s">
        <v>0</v>
      </c>
      <c r="AE235" s="175" t="s">
        <v>0</v>
      </c>
      <c r="AF235" s="175" t="s">
        <v>0</v>
      </c>
      <c r="AG235" s="175" t="s">
        <v>0</v>
      </c>
      <c r="AH235" s="175" t="s">
        <v>0</v>
      </c>
      <c r="AI235" s="175" t="s">
        <v>0</v>
      </c>
      <c r="AJ235" s="175" t="s">
        <v>0</v>
      </c>
      <c r="AK235" s="175" t="s">
        <v>0</v>
      </c>
      <c r="AL235" s="175" t="s">
        <v>0</v>
      </c>
      <c r="AM235" s="175" t="s">
        <v>0</v>
      </c>
      <c r="AN235" s="175" t="s">
        <v>0</v>
      </c>
      <c r="AO235" s="175" t="s">
        <v>0</v>
      </c>
      <c r="AP235" s="175" t="s">
        <v>0</v>
      </c>
      <c r="AQ235" s="175" t="s">
        <v>0</v>
      </c>
      <c r="AR235" s="175" t="s">
        <v>0</v>
      </c>
      <c r="AS235" s="175" t="s">
        <v>0</v>
      </c>
      <c r="AT235" s="175" t="s">
        <v>0</v>
      </c>
      <c r="AU235" s="175" t="s">
        <v>0</v>
      </c>
      <c r="AV235" s="175" t="s">
        <v>0</v>
      </c>
      <c r="AW235" s="175" t="s">
        <v>0</v>
      </c>
      <c r="AX235" s="175" t="s">
        <v>0</v>
      </c>
      <c r="AY235" s="175" t="s">
        <v>0</v>
      </c>
      <c r="AZ235" s="175" t="s">
        <v>0</v>
      </c>
      <c r="BA235" s="175" t="s">
        <v>0</v>
      </c>
      <c r="BB235" s="175" t="s">
        <v>0</v>
      </c>
      <c r="BC235" s="175" t="s">
        <v>0</v>
      </c>
      <c r="BD235" s="175" t="s">
        <v>0</v>
      </c>
      <c r="BE235" s="175" t="s">
        <v>0</v>
      </c>
      <c r="BF235" s="175" t="s">
        <v>0</v>
      </c>
      <c r="BG235" s="175" t="s">
        <v>0</v>
      </c>
      <c r="BH235" s="175" t="s">
        <v>0</v>
      </c>
      <c r="BI235" s="176"/>
    </row>
    <row r="236" spans="1:61" x14ac:dyDescent="0.25">
      <c r="A236" s="22">
        <f t="shared" si="21"/>
        <v>230</v>
      </c>
      <c r="B236" s="214" t="str">
        <f t="shared" si="22"/>
        <v>F0014825903</v>
      </c>
      <c r="C236" s="214" t="str">
        <f t="shared" si="23"/>
        <v>82115-0EZ30 B</v>
      </c>
      <c r="D236" s="45" t="str">
        <f>VLOOKUP(B236,'Timing Table'!B:J,9,0)</f>
        <v>C/O</v>
      </c>
      <c r="E236" s="22" t="str">
        <f>VLOOKUP(B236,'Timing Table'!B:H,7,0)</f>
        <v>GAS</v>
      </c>
      <c r="F236" s="177" t="s">
        <v>58</v>
      </c>
      <c r="G236" s="178" t="s">
        <v>58</v>
      </c>
      <c r="H236" s="179" t="s">
        <v>58</v>
      </c>
      <c r="I236" s="180" t="s">
        <v>58</v>
      </c>
      <c r="J236" s="180" t="s">
        <v>0</v>
      </c>
      <c r="K236" s="180" t="s">
        <v>0</v>
      </c>
      <c r="L236" s="180" t="s">
        <v>0</v>
      </c>
      <c r="M236" s="180" t="s">
        <v>0</v>
      </c>
      <c r="N236" s="180" t="s">
        <v>0</v>
      </c>
      <c r="O236" s="180" t="s">
        <v>0</v>
      </c>
      <c r="P236" s="180" t="s">
        <v>0</v>
      </c>
      <c r="Q236" s="180" t="s">
        <v>0</v>
      </c>
      <c r="R236" s="180" t="s">
        <v>0</v>
      </c>
      <c r="S236" s="180" t="s">
        <v>0</v>
      </c>
      <c r="T236" s="180" t="s">
        <v>0</v>
      </c>
      <c r="U236" s="180" t="s">
        <v>0</v>
      </c>
      <c r="V236" s="180" t="s">
        <v>0</v>
      </c>
      <c r="W236" s="180" t="s">
        <v>0</v>
      </c>
      <c r="X236" s="180" t="s">
        <v>0</v>
      </c>
      <c r="Y236" s="180" t="s">
        <v>0</v>
      </c>
      <c r="Z236" s="180" t="s">
        <v>0</v>
      </c>
      <c r="AA236" s="180" t="s">
        <v>0</v>
      </c>
      <c r="AB236" s="180" t="s">
        <v>0</v>
      </c>
      <c r="AC236" s="180" t="s">
        <v>0</v>
      </c>
      <c r="AD236" s="180" t="s">
        <v>0</v>
      </c>
      <c r="AE236" s="180" t="s">
        <v>0</v>
      </c>
      <c r="AF236" s="180" t="s">
        <v>0</v>
      </c>
      <c r="AG236" s="180" t="s">
        <v>0</v>
      </c>
      <c r="AH236" s="180" t="s">
        <v>0</v>
      </c>
      <c r="AI236" s="180" t="s">
        <v>0</v>
      </c>
      <c r="AJ236" s="180" t="s">
        <v>0</v>
      </c>
      <c r="AK236" s="180" t="s">
        <v>0</v>
      </c>
      <c r="AL236" s="180" t="s">
        <v>0</v>
      </c>
      <c r="AM236" s="180" t="s">
        <v>0</v>
      </c>
      <c r="AN236" s="180" t="s">
        <v>0</v>
      </c>
      <c r="AO236" s="180" t="s">
        <v>0</v>
      </c>
      <c r="AP236" s="180" t="s">
        <v>0</v>
      </c>
      <c r="AQ236" s="180" t="s">
        <v>0</v>
      </c>
      <c r="AR236" s="180" t="s">
        <v>0</v>
      </c>
      <c r="AS236" s="180" t="s">
        <v>0</v>
      </c>
      <c r="AT236" s="180" t="s">
        <v>0</v>
      </c>
      <c r="AU236" s="180" t="s">
        <v>0</v>
      </c>
      <c r="AV236" s="180" t="s">
        <v>0</v>
      </c>
      <c r="AW236" s="180" t="s">
        <v>0</v>
      </c>
      <c r="AX236" s="180" t="s">
        <v>0</v>
      </c>
      <c r="AY236" s="180" t="s">
        <v>0</v>
      </c>
      <c r="AZ236" s="180" t="s">
        <v>0</v>
      </c>
      <c r="BA236" s="180" t="s">
        <v>0</v>
      </c>
      <c r="BB236" s="180" t="s">
        <v>0</v>
      </c>
      <c r="BC236" s="180" t="s">
        <v>0</v>
      </c>
      <c r="BD236" s="180" t="s">
        <v>0</v>
      </c>
      <c r="BE236" s="180" t="s">
        <v>0</v>
      </c>
      <c r="BF236" s="180" t="s">
        <v>0</v>
      </c>
      <c r="BG236" s="180" t="s">
        <v>0</v>
      </c>
      <c r="BH236" s="180" t="s">
        <v>0</v>
      </c>
      <c r="BI236" s="181"/>
    </row>
    <row r="237" spans="1:61" x14ac:dyDescent="0.25">
      <c r="A237" s="22">
        <f t="shared" si="21"/>
        <v>231</v>
      </c>
      <c r="B237" s="214" t="str">
        <f t="shared" si="22"/>
        <v>F0014826003</v>
      </c>
      <c r="C237" s="214" t="str">
        <f t="shared" si="23"/>
        <v>82115-0EZ60 B</v>
      </c>
      <c r="D237" s="45" t="str">
        <f>VLOOKUP(B237,'Timing Table'!B:J,9,0)</f>
        <v>C/O</v>
      </c>
      <c r="E237" s="22" t="str">
        <f>VLOOKUP(B237,'Timing Table'!B:H,7,0)</f>
        <v>GAS</v>
      </c>
      <c r="F237" s="121" t="s">
        <v>59</v>
      </c>
      <c r="G237" s="146">
        <v>5501017977</v>
      </c>
      <c r="H237" s="121" t="s">
        <v>60</v>
      </c>
      <c r="I237" s="146">
        <v>91</v>
      </c>
      <c r="J237" s="121" t="s">
        <v>61</v>
      </c>
      <c r="K237" s="125">
        <v>1177764</v>
      </c>
      <c r="L237" s="126"/>
      <c r="M237" s="147" t="s">
        <v>62</v>
      </c>
      <c r="N237" s="148"/>
      <c r="O237" s="149">
        <v>46086</v>
      </c>
      <c r="P237" s="121" t="s">
        <v>63</v>
      </c>
      <c r="Q237" s="146">
        <v>4</v>
      </c>
      <c r="R237" s="6" t="s">
        <v>0</v>
      </c>
      <c r="S237" s="7" t="s">
        <v>0</v>
      </c>
      <c r="T237" s="7" t="s">
        <v>0</v>
      </c>
      <c r="U237" s="7" t="s">
        <v>0</v>
      </c>
      <c r="V237" s="7" t="s">
        <v>0</v>
      </c>
      <c r="W237" s="7" t="s">
        <v>0</v>
      </c>
      <c r="X237" s="7" t="s">
        <v>0</v>
      </c>
      <c r="Y237" s="7" t="s">
        <v>0</v>
      </c>
      <c r="Z237" s="7" t="s">
        <v>0</v>
      </c>
      <c r="AA237" s="7" t="s">
        <v>0</v>
      </c>
      <c r="AB237" s="7" t="s">
        <v>0</v>
      </c>
      <c r="AC237" s="7" t="s">
        <v>0</v>
      </c>
      <c r="AD237" s="7" t="s">
        <v>0</v>
      </c>
      <c r="AE237" s="7" t="s">
        <v>0</v>
      </c>
      <c r="AF237" s="7" t="s">
        <v>0</v>
      </c>
      <c r="AG237" s="7" t="s">
        <v>0</v>
      </c>
      <c r="AH237" s="7" t="s">
        <v>0</v>
      </c>
      <c r="AI237" s="7" t="s">
        <v>0</v>
      </c>
      <c r="AJ237" s="7" t="s">
        <v>0</v>
      </c>
      <c r="AK237" s="7" t="s">
        <v>0</v>
      </c>
      <c r="AL237" s="7" t="s">
        <v>0</v>
      </c>
      <c r="AM237" s="7" t="s">
        <v>0</v>
      </c>
      <c r="AN237" s="7" t="s">
        <v>0</v>
      </c>
      <c r="AO237" s="7" t="s">
        <v>0</v>
      </c>
      <c r="AP237" s="7" t="s">
        <v>0</v>
      </c>
      <c r="AQ237" s="7" t="s">
        <v>0</v>
      </c>
      <c r="AR237" s="7" t="s">
        <v>0</v>
      </c>
      <c r="AS237" s="7" t="s">
        <v>0</v>
      </c>
      <c r="AT237" s="7" t="s">
        <v>0</v>
      </c>
      <c r="AU237" s="7" t="s">
        <v>0</v>
      </c>
      <c r="AV237" s="7" t="s">
        <v>0</v>
      </c>
      <c r="AW237" s="7" t="s">
        <v>0</v>
      </c>
      <c r="AX237" s="7" t="s">
        <v>0</v>
      </c>
      <c r="AY237" s="7" t="s">
        <v>0</v>
      </c>
      <c r="AZ237" s="7" t="s">
        <v>0</v>
      </c>
      <c r="BA237" s="7" t="s">
        <v>0</v>
      </c>
      <c r="BB237" s="7" t="s">
        <v>0</v>
      </c>
      <c r="BC237" s="7" t="s">
        <v>0</v>
      </c>
      <c r="BD237" s="7" t="s">
        <v>0</v>
      </c>
      <c r="BE237" s="7" t="s">
        <v>0</v>
      </c>
      <c r="BF237" s="7" t="s">
        <v>0</v>
      </c>
      <c r="BG237" s="7" t="s">
        <v>0</v>
      </c>
      <c r="BH237" s="7" t="s">
        <v>0</v>
      </c>
      <c r="BI237" s="8"/>
    </row>
    <row r="238" spans="1:61" x14ac:dyDescent="0.25">
      <c r="A238" s="22">
        <f t="shared" si="21"/>
        <v>232</v>
      </c>
      <c r="B238" s="214" t="str">
        <f t="shared" si="22"/>
        <v>F0014826003</v>
      </c>
      <c r="C238" s="214" t="str">
        <f t="shared" si="23"/>
        <v>82115-0EZ60 B</v>
      </c>
      <c r="D238" s="45" t="str">
        <f>VLOOKUP(B238,'Timing Table'!B:J,9,0)</f>
        <v>C/O</v>
      </c>
      <c r="E238" s="22" t="str">
        <f>VLOOKUP(B238,'Timing Table'!B:H,7,0)</f>
        <v>GAS</v>
      </c>
      <c r="F238" s="121" t="s">
        <v>64</v>
      </c>
      <c r="G238" s="146" t="s">
        <v>190</v>
      </c>
      <c r="H238" s="121" t="s">
        <v>65</v>
      </c>
      <c r="I238" s="150" t="s">
        <v>205</v>
      </c>
      <c r="J238" s="151"/>
      <c r="K238" s="151"/>
      <c r="L238" s="152"/>
      <c r="M238" s="121" t="s">
        <v>66</v>
      </c>
      <c r="N238" s="146">
        <v>2025</v>
      </c>
      <c r="O238" s="140" t="s">
        <v>67</v>
      </c>
      <c r="P238" s="141"/>
      <c r="Q238" s="153" t="s">
        <v>203</v>
      </c>
      <c r="R238" s="122" t="s">
        <v>0</v>
      </c>
      <c r="S238" s="123" t="s">
        <v>0</v>
      </c>
      <c r="T238" s="123" t="s">
        <v>0</v>
      </c>
      <c r="U238" s="123" t="s">
        <v>0</v>
      </c>
      <c r="V238" s="123" t="s">
        <v>0</v>
      </c>
      <c r="W238" s="123" t="s">
        <v>0</v>
      </c>
      <c r="X238" s="123" t="s">
        <v>0</v>
      </c>
      <c r="Y238" s="123" t="s">
        <v>0</v>
      </c>
      <c r="Z238" s="123" t="s">
        <v>0</v>
      </c>
      <c r="AA238" s="123" t="s">
        <v>0</v>
      </c>
      <c r="AB238" s="123" t="s">
        <v>0</v>
      </c>
      <c r="AC238" s="123" t="s">
        <v>0</v>
      </c>
      <c r="AD238" s="123" t="s">
        <v>0</v>
      </c>
      <c r="AE238" s="123" t="s">
        <v>0</v>
      </c>
      <c r="AF238" s="123" t="s">
        <v>0</v>
      </c>
      <c r="AG238" s="123" t="s">
        <v>0</v>
      </c>
      <c r="AH238" s="123" t="s">
        <v>0</v>
      </c>
      <c r="AI238" s="123" t="s">
        <v>0</v>
      </c>
      <c r="AJ238" s="123" t="s">
        <v>0</v>
      </c>
      <c r="AK238" s="123" t="s">
        <v>0</v>
      </c>
      <c r="AL238" s="123" t="s">
        <v>0</v>
      </c>
      <c r="AM238" s="123" t="s">
        <v>0</v>
      </c>
      <c r="AN238" s="123" t="s">
        <v>0</v>
      </c>
      <c r="AO238" s="123" t="s">
        <v>0</v>
      </c>
      <c r="AP238" s="123" t="s">
        <v>0</v>
      </c>
      <c r="AQ238" s="123" t="s">
        <v>0</v>
      </c>
      <c r="AR238" s="123" t="s">
        <v>0</v>
      </c>
      <c r="AS238" s="123" t="s">
        <v>0</v>
      </c>
      <c r="AT238" s="123" t="s">
        <v>0</v>
      </c>
      <c r="AU238" s="123" t="s">
        <v>0</v>
      </c>
      <c r="AV238" s="123" t="s">
        <v>0</v>
      </c>
      <c r="AW238" s="123" t="s">
        <v>0</v>
      </c>
      <c r="AX238" s="123" t="s">
        <v>0</v>
      </c>
      <c r="AY238" s="123" t="s">
        <v>0</v>
      </c>
      <c r="AZ238" s="123" t="s">
        <v>0</v>
      </c>
      <c r="BA238" s="123" t="s">
        <v>0</v>
      </c>
      <c r="BB238" s="123" t="s">
        <v>0</v>
      </c>
      <c r="BC238" s="123" t="s">
        <v>0</v>
      </c>
      <c r="BD238" s="123" t="s">
        <v>0</v>
      </c>
      <c r="BE238" s="123" t="s">
        <v>0</v>
      </c>
      <c r="BF238" s="123" t="s">
        <v>0</v>
      </c>
      <c r="BG238" s="123" t="s">
        <v>0</v>
      </c>
      <c r="BH238" s="123" t="s">
        <v>0</v>
      </c>
      <c r="BI238" s="124"/>
    </row>
    <row r="239" spans="1:61" x14ac:dyDescent="0.25">
      <c r="A239" s="22">
        <f t="shared" si="21"/>
        <v>233</v>
      </c>
      <c r="B239" s="214" t="str">
        <f t="shared" si="22"/>
        <v>F0014826003</v>
      </c>
      <c r="C239" s="214" t="str">
        <f t="shared" si="23"/>
        <v>82115-0EZ60 B</v>
      </c>
      <c r="D239" s="45" t="str">
        <f>VLOOKUP(B239,'Timing Table'!B:J,9,0)</f>
        <v>C/O</v>
      </c>
      <c r="E239" s="22" t="str">
        <f>VLOOKUP(B239,'Timing Table'!B:H,7,0)</f>
        <v>GAS</v>
      </c>
      <c r="F239" s="121" t="s">
        <v>68</v>
      </c>
      <c r="G239" s="146" t="s">
        <v>349</v>
      </c>
      <c r="H239" s="121" t="s">
        <v>69</v>
      </c>
      <c r="I239" s="154" t="s">
        <v>58</v>
      </c>
      <c r="J239" s="155" t="s">
        <v>0</v>
      </c>
      <c r="K239" s="156" t="s">
        <v>0</v>
      </c>
      <c r="L239" s="157" t="s">
        <v>0</v>
      </c>
      <c r="M239" s="134" t="s">
        <v>0</v>
      </c>
      <c r="N239" s="134" t="s">
        <v>0</v>
      </c>
      <c r="O239" s="134" t="s">
        <v>0</v>
      </c>
      <c r="P239" s="134" t="s">
        <v>0</v>
      </c>
      <c r="Q239" s="134" t="s">
        <v>1</v>
      </c>
      <c r="R239" s="134" t="s">
        <v>2</v>
      </c>
      <c r="S239" s="134" t="s">
        <v>0</v>
      </c>
      <c r="T239" s="134" t="s">
        <v>0</v>
      </c>
      <c r="U239" s="134" t="s">
        <v>0</v>
      </c>
      <c r="V239" s="134" t="s">
        <v>0</v>
      </c>
      <c r="W239" s="134" t="s">
        <v>0</v>
      </c>
      <c r="X239" s="134" t="s">
        <v>0</v>
      </c>
      <c r="Y239" s="134" t="s">
        <v>0</v>
      </c>
      <c r="Z239" s="134" t="s">
        <v>3</v>
      </c>
      <c r="AA239" s="134" t="s">
        <v>0</v>
      </c>
      <c r="AB239" s="134" t="s">
        <v>0</v>
      </c>
      <c r="AC239" s="134" t="s">
        <v>0</v>
      </c>
      <c r="AD239" s="134" t="s">
        <v>0</v>
      </c>
      <c r="AE239" s="134" t="s">
        <v>0</v>
      </c>
      <c r="AF239" s="134" t="s">
        <v>0</v>
      </c>
      <c r="AG239" s="134" t="s">
        <v>0</v>
      </c>
      <c r="AH239" s="134" t="s">
        <v>0</v>
      </c>
      <c r="AI239" s="134" t="s">
        <v>0</v>
      </c>
      <c r="AJ239" s="134" t="s">
        <v>0</v>
      </c>
      <c r="AK239" s="134" t="s">
        <v>0</v>
      </c>
      <c r="AL239" s="134" t="s">
        <v>0</v>
      </c>
      <c r="AM239" s="134" t="s">
        <v>0</v>
      </c>
      <c r="AN239" s="134" t="s">
        <v>0</v>
      </c>
      <c r="AO239" s="134" t="s">
        <v>0</v>
      </c>
      <c r="AP239" s="134" t="s">
        <v>0</v>
      </c>
      <c r="AQ239" s="134" t="s">
        <v>0</v>
      </c>
      <c r="AR239" s="134" t="s">
        <v>0</v>
      </c>
      <c r="AS239" s="134" t="s">
        <v>0</v>
      </c>
      <c r="AT239" s="134" t="s">
        <v>0</v>
      </c>
      <c r="AU239" s="134" t="s">
        <v>0</v>
      </c>
      <c r="AV239" s="134" t="s">
        <v>0</v>
      </c>
      <c r="AW239" s="134" t="s">
        <v>0</v>
      </c>
      <c r="AX239" s="134" t="s">
        <v>0</v>
      </c>
      <c r="AY239" s="134" t="s">
        <v>0</v>
      </c>
      <c r="AZ239" s="134" t="s">
        <v>0</v>
      </c>
      <c r="BA239" s="134" t="s">
        <v>0</v>
      </c>
      <c r="BB239" s="134" t="s">
        <v>0</v>
      </c>
      <c r="BC239" s="134" t="s">
        <v>0</v>
      </c>
      <c r="BD239" s="134" t="s">
        <v>0</v>
      </c>
      <c r="BE239" s="134" t="s">
        <v>0</v>
      </c>
      <c r="BF239" s="134" t="s">
        <v>0</v>
      </c>
      <c r="BG239" s="134" t="s">
        <v>0</v>
      </c>
      <c r="BH239" s="134" t="s">
        <v>0</v>
      </c>
      <c r="BI239" s="135" t="s">
        <v>4</v>
      </c>
    </row>
    <row r="240" spans="1:61" x14ac:dyDescent="0.25">
      <c r="A240" s="22">
        <f t="shared" si="21"/>
        <v>234</v>
      </c>
      <c r="B240" s="214" t="str">
        <f t="shared" si="22"/>
        <v>F0014826003</v>
      </c>
      <c r="C240" s="214" t="str">
        <f t="shared" si="23"/>
        <v>82115-0EZ60 B</v>
      </c>
      <c r="D240" s="45" t="str">
        <f>VLOOKUP(B240,'Timing Table'!B:J,9,0)</f>
        <v>C/O</v>
      </c>
      <c r="E240" s="22" t="str">
        <f>VLOOKUP(B240,'Timing Table'!B:H,7,0)</f>
        <v>GAS</v>
      </c>
      <c r="F240" s="121" t="s">
        <v>70</v>
      </c>
      <c r="G240" s="146">
        <v>4</v>
      </c>
      <c r="H240" s="158" t="s">
        <v>241</v>
      </c>
      <c r="I240" s="159" t="s">
        <v>71</v>
      </c>
      <c r="J240" s="13">
        <v>46041</v>
      </c>
      <c r="K240" s="14">
        <v>46048</v>
      </c>
      <c r="L240" s="14">
        <v>46055</v>
      </c>
      <c r="M240" s="14">
        <v>46062</v>
      </c>
      <c r="N240" s="14">
        <v>46069</v>
      </c>
      <c r="O240" s="14">
        <v>46076</v>
      </c>
      <c r="P240" s="14">
        <v>46083</v>
      </c>
      <c r="Q240" s="14">
        <v>46090</v>
      </c>
      <c r="R240" s="14">
        <v>46097</v>
      </c>
      <c r="S240" s="14">
        <v>46104</v>
      </c>
      <c r="T240" s="14">
        <v>46111</v>
      </c>
      <c r="U240" s="14">
        <v>46118</v>
      </c>
      <c r="V240" s="14">
        <v>46125</v>
      </c>
      <c r="W240" s="14">
        <v>46132</v>
      </c>
      <c r="X240" s="14">
        <v>46139</v>
      </c>
      <c r="Y240" s="14">
        <v>46146</v>
      </c>
      <c r="Z240" s="14">
        <v>46153</v>
      </c>
      <c r="AA240" s="14">
        <v>46160</v>
      </c>
      <c r="AB240" s="14">
        <v>46167</v>
      </c>
      <c r="AC240" s="14">
        <v>46174</v>
      </c>
      <c r="AD240" s="14">
        <v>46181</v>
      </c>
      <c r="AE240" s="14">
        <v>46188</v>
      </c>
      <c r="AF240" s="14">
        <v>46195</v>
      </c>
      <c r="AG240" s="14">
        <v>46202</v>
      </c>
      <c r="AH240" s="14">
        <v>46209</v>
      </c>
      <c r="AI240" s="14">
        <v>46216</v>
      </c>
      <c r="AJ240" s="14">
        <v>46223</v>
      </c>
      <c r="AK240" s="14">
        <v>46230</v>
      </c>
      <c r="AL240" s="14">
        <v>46237</v>
      </c>
      <c r="AM240" s="14">
        <v>46244</v>
      </c>
      <c r="AN240" s="14">
        <v>46251</v>
      </c>
      <c r="AO240" s="14">
        <v>46258</v>
      </c>
      <c r="AP240" s="14">
        <v>46265</v>
      </c>
      <c r="AQ240" s="14">
        <v>46272</v>
      </c>
      <c r="AR240" s="14">
        <v>46279</v>
      </c>
      <c r="AS240" s="14">
        <v>46286</v>
      </c>
      <c r="AT240" s="14">
        <v>46293</v>
      </c>
      <c r="AU240" s="14">
        <v>46300</v>
      </c>
      <c r="AV240" s="14">
        <v>46307</v>
      </c>
      <c r="AW240" s="14">
        <v>46314</v>
      </c>
      <c r="AX240" s="14">
        <v>46321</v>
      </c>
      <c r="AY240" s="14">
        <v>46328</v>
      </c>
      <c r="AZ240" s="14">
        <v>46335</v>
      </c>
      <c r="BA240" s="14">
        <v>46342</v>
      </c>
      <c r="BB240" s="14">
        <v>46349</v>
      </c>
      <c r="BC240" s="14">
        <v>46356</v>
      </c>
      <c r="BD240" s="14">
        <v>46363</v>
      </c>
      <c r="BE240" s="14">
        <v>46370</v>
      </c>
      <c r="BF240" s="14">
        <v>46377</v>
      </c>
      <c r="BG240" s="14">
        <v>46384</v>
      </c>
      <c r="BH240" s="14">
        <v>46391</v>
      </c>
      <c r="BI240" s="15">
        <v>46398</v>
      </c>
    </row>
    <row r="241" spans="1:61" x14ac:dyDescent="0.25">
      <c r="A241" s="22">
        <f t="shared" si="21"/>
        <v>235</v>
      </c>
      <c r="B241" s="214" t="str">
        <f t="shared" si="22"/>
        <v>F0014826003</v>
      </c>
      <c r="C241" s="214" t="str">
        <f t="shared" si="23"/>
        <v>82115-0EZ60 B</v>
      </c>
      <c r="D241" s="45" t="str">
        <f>VLOOKUP(B241,'Timing Table'!B:J,9,0)</f>
        <v>C/O</v>
      </c>
      <c r="E241" s="22" t="str">
        <f>VLOOKUP(B241,'Timing Table'!B:H,7,0)</f>
        <v>GAS</v>
      </c>
      <c r="F241" s="121" t="s">
        <v>72</v>
      </c>
      <c r="G241" s="146">
        <v>4</v>
      </c>
      <c r="H241" s="5" t="s">
        <v>58</v>
      </c>
      <c r="I241" s="11" t="s">
        <v>83</v>
      </c>
      <c r="J241" s="16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17"/>
    </row>
    <row r="242" spans="1:61" x14ac:dyDescent="0.25">
      <c r="A242" s="22">
        <f t="shared" si="21"/>
        <v>236</v>
      </c>
      <c r="B242" s="214" t="str">
        <f t="shared" si="22"/>
        <v>F0014826003</v>
      </c>
      <c r="C242" s="214" t="str">
        <f t="shared" si="23"/>
        <v>82115-0EZ60 B</v>
      </c>
      <c r="D242" s="45" t="str">
        <f>VLOOKUP(B242,'Timing Table'!B:J,9,0)</f>
        <v>C/O</v>
      </c>
      <c r="E242" s="22" t="str">
        <f>VLOOKUP(B242,'Timing Table'!B:H,7,0)</f>
        <v>GAS</v>
      </c>
      <c r="F242" s="121" t="s">
        <v>73</v>
      </c>
      <c r="G242" s="160" t="s">
        <v>130</v>
      </c>
      <c r="H242" s="9" t="s">
        <v>126</v>
      </c>
      <c r="I242" s="11" t="s">
        <v>74</v>
      </c>
      <c r="J242" s="117">
        <v>0</v>
      </c>
      <c r="K242" s="50">
        <v>0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  <c r="Q242" s="50">
        <v>0</v>
      </c>
      <c r="R242" s="50">
        <v>0</v>
      </c>
      <c r="S242" s="50">
        <v>0</v>
      </c>
      <c r="T242" s="50">
        <v>0</v>
      </c>
      <c r="U242" s="50">
        <v>0</v>
      </c>
      <c r="V242" s="50">
        <v>0</v>
      </c>
      <c r="W242" s="50">
        <v>0</v>
      </c>
      <c r="X242" s="50">
        <v>0</v>
      </c>
      <c r="Y242" s="50">
        <v>0</v>
      </c>
      <c r="Z242" s="50">
        <v>0</v>
      </c>
      <c r="AA242" s="50">
        <v>0</v>
      </c>
      <c r="AB242" s="50">
        <v>0</v>
      </c>
      <c r="AC242" s="50">
        <v>0</v>
      </c>
      <c r="AD242" s="50">
        <v>0</v>
      </c>
      <c r="AE242" s="50">
        <v>0</v>
      </c>
      <c r="AF242" s="50">
        <v>0</v>
      </c>
      <c r="AG242" s="50">
        <v>0</v>
      </c>
      <c r="AH242" s="50">
        <v>0</v>
      </c>
      <c r="AI242" s="50">
        <v>0</v>
      </c>
      <c r="AJ242" s="50">
        <v>0</v>
      </c>
      <c r="AK242" s="50">
        <v>0</v>
      </c>
      <c r="AL242" s="50">
        <v>0</v>
      </c>
      <c r="AM242" s="50">
        <v>0</v>
      </c>
      <c r="AN242" s="50">
        <v>0</v>
      </c>
      <c r="AO242" s="50">
        <v>0</v>
      </c>
      <c r="AP242" s="50">
        <v>0</v>
      </c>
      <c r="AQ242" s="50">
        <v>0</v>
      </c>
      <c r="AR242" s="50">
        <v>0</v>
      </c>
      <c r="AS242" s="50">
        <v>0</v>
      </c>
      <c r="AT242" s="50">
        <v>0</v>
      </c>
      <c r="AU242" s="50">
        <v>0</v>
      </c>
      <c r="AV242" s="50">
        <v>0</v>
      </c>
      <c r="AW242" s="50">
        <v>0</v>
      </c>
      <c r="AX242" s="50">
        <v>0</v>
      </c>
      <c r="AY242" s="50">
        <v>0</v>
      </c>
      <c r="AZ242" s="50">
        <v>0</v>
      </c>
      <c r="BA242" s="50">
        <v>0</v>
      </c>
      <c r="BB242" s="50">
        <v>0</v>
      </c>
      <c r="BC242" s="50">
        <v>0</v>
      </c>
      <c r="BD242" s="50">
        <v>0</v>
      </c>
      <c r="BE242" s="50">
        <v>0</v>
      </c>
      <c r="BF242" s="50">
        <v>0</v>
      </c>
      <c r="BG242" s="50">
        <v>0</v>
      </c>
      <c r="BH242" s="50">
        <v>0</v>
      </c>
      <c r="BI242" s="118">
        <v>0</v>
      </c>
    </row>
    <row r="243" spans="1:61" x14ac:dyDescent="0.25">
      <c r="A243" s="22">
        <f t="shared" si="21"/>
        <v>237</v>
      </c>
      <c r="B243" s="214" t="str">
        <f t="shared" si="22"/>
        <v>F0014826003</v>
      </c>
      <c r="C243" s="214" t="str">
        <f t="shared" si="23"/>
        <v>82115-0EZ60 B</v>
      </c>
      <c r="D243" s="45" t="str">
        <f>VLOOKUP(B243,'Timing Table'!B:J,9,0)</f>
        <v>C/O</v>
      </c>
      <c r="E243" s="22" t="str">
        <f>VLOOKUP(B243,'Timing Table'!B:H,7,0)</f>
        <v>GAS</v>
      </c>
      <c r="F243" s="121" t="s">
        <v>75</v>
      </c>
      <c r="G243" s="146">
        <v>82115</v>
      </c>
      <c r="H243" s="10" t="s">
        <v>126</v>
      </c>
      <c r="I243" s="12" t="s">
        <v>76</v>
      </c>
      <c r="J243" s="161">
        <v>4</v>
      </c>
      <c r="K243" s="162">
        <v>4</v>
      </c>
      <c r="L243" s="162">
        <v>4</v>
      </c>
      <c r="M243" s="162">
        <v>4</v>
      </c>
      <c r="N243" s="162">
        <v>4</v>
      </c>
      <c r="O243" s="162">
        <v>4</v>
      </c>
      <c r="P243" s="162">
        <v>4</v>
      </c>
      <c r="Q243" s="162">
        <v>4</v>
      </c>
      <c r="R243" s="162">
        <v>4</v>
      </c>
      <c r="S243" s="162">
        <v>4</v>
      </c>
      <c r="T243" s="162">
        <v>4</v>
      </c>
      <c r="U243" s="162">
        <v>4</v>
      </c>
      <c r="V243" s="162">
        <v>4</v>
      </c>
      <c r="W243" s="162">
        <v>4</v>
      </c>
      <c r="X243" s="162">
        <v>4</v>
      </c>
      <c r="Y243" s="162">
        <v>4</v>
      </c>
      <c r="Z243" s="162">
        <v>4</v>
      </c>
      <c r="AA243" s="162">
        <v>4</v>
      </c>
      <c r="AB243" s="162">
        <v>4</v>
      </c>
      <c r="AC243" s="162">
        <v>4</v>
      </c>
      <c r="AD243" s="162">
        <v>4</v>
      </c>
      <c r="AE243" s="162">
        <v>4</v>
      </c>
      <c r="AF243" s="162">
        <v>4</v>
      </c>
      <c r="AG243" s="162">
        <v>4</v>
      </c>
      <c r="AH243" s="162">
        <v>4</v>
      </c>
      <c r="AI243" s="162">
        <v>4</v>
      </c>
      <c r="AJ243" s="162">
        <v>4</v>
      </c>
      <c r="AK243" s="162">
        <v>4</v>
      </c>
      <c r="AL243" s="162">
        <v>4</v>
      </c>
      <c r="AM243" s="162">
        <v>4</v>
      </c>
      <c r="AN243" s="162">
        <v>4</v>
      </c>
      <c r="AO243" s="162">
        <v>4</v>
      </c>
      <c r="AP243" s="162">
        <v>4</v>
      </c>
      <c r="AQ243" s="162">
        <v>4</v>
      </c>
      <c r="AR243" s="162">
        <v>4</v>
      </c>
      <c r="AS243" s="162">
        <v>4</v>
      </c>
      <c r="AT243" s="162">
        <v>4</v>
      </c>
      <c r="AU243" s="162">
        <v>4</v>
      </c>
      <c r="AV243" s="162">
        <v>4</v>
      </c>
      <c r="AW243" s="162">
        <v>4</v>
      </c>
      <c r="AX243" s="162">
        <v>4</v>
      </c>
      <c r="AY243" s="162">
        <v>4</v>
      </c>
      <c r="AZ243" s="162">
        <v>4</v>
      </c>
      <c r="BA243" s="162">
        <v>4</v>
      </c>
      <c r="BB243" s="162">
        <v>4</v>
      </c>
      <c r="BC243" s="162">
        <v>4</v>
      </c>
      <c r="BD243" s="162">
        <v>4</v>
      </c>
      <c r="BE243" s="162">
        <v>4</v>
      </c>
      <c r="BF243" s="162">
        <v>4</v>
      </c>
      <c r="BG243" s="162">
        <v>4</v>
      </c>
      <c r="BH243" s="162">
        <v>4</v>
      </c>
      <c r="BI243" s="163">
        <v>4</v>
      </c>
    </row>
    <row r="244" spans="1:61" x14ac:dyDescent="0.25">
      <c r="A244" s="22">
        <f t="shared" si="21"/>
        <v>238</v>
      </c>
      <c r="B244" s="214" t="str">
        <f t="shared" si="22"/>
        <v>F0014826003</v>
      </c>
      <c r="C244" s="214" t="str">
        <f t="shared" si="23"/>
        <v>82115-0EZ60 B</v>
      </c>
      <c r="D244" s="45" t="str">
        <f>VLOOKUP(B244,'Timing Table'!B:J,9,0)</f>
        <v>C/O</v>
      </c>
      <c r="E244" s="22" t="str">
        <f>VLOOKUP(B244,'Timing Table'!B:H,7,0)</f>
        <v>GAS</v>
      </c>
      <c r="F244" s="164" t="s">
        <v>77</v>
      </c>
      <c r="G244" s="165">
        <v>4</v>
      </c>
      <c r="H244" s="166" t="s">
        <v>78</v>
      </c>
      <c r="I244" s="167"/>
      <c r="J244" s="168" t="s">
        <v>275</v>
      </c>
      <c r="K244" s="169"/>
      <c r="L244" s="170" t="s">
        <v>0</v>
      </c>
      <c r="M244" s="170" t="s">
        <v>0</v>
      </c>
      <c r="N244" s="170" t="s">
        <v>0</v>
      </c>
      <c r="O244" s="170" t="s">
        <v>0</v>
      </c>
      <c r="P244" s="170" t="s">
        <v>0</v>
      </c>
      <c r="Q244" s="170" t="s">
        <v>0</v>
      </c>
      <c r="R244" s="170" t="s">
        <v>0</v>
      </c>
      <c r="S244" s="170" t="s">
        <v>0</v>
      </c>
      <c r="T244" s="170" t="s">
        <v>0</v>
      </c>
      <c r="U244" s="170" t="s">
        <v>0</v>
      </c>
      <c r="V244" s="170" t="s">
        <v>0</v>
      </c>
      <c r="W244" s="170" t="s">
        <v>0</v>
      </c>
      <c r="X244" s="170" t="s">
        <v>0</v>
      </c>
      <c r="Y244" s="170" t="s">
        <v>0</v>
      </c>
      <c r="Z244" s="170" t="s">
        <v>0</v>
      </c>
      <c r="AA244" s="170" t="s">
        <v>0</v>
      </c>
      <c r="AB244" s="170" t="s">
        <v>0</v>
      </c>
      <c r="AC244" s="170" t="s">
        <v>0</v>
      </c>
      <c r="AD244" s="170" t="s">
        <v>0</v>
      </c>
      <c r="AE244" s="170" t="s">
        <v>0</v>
      </c>
      <c r="AF244" s="170" t="s">
        <v>0</v>
      </c>
      <c r="AG244" s="170" t="s">
        <v>0</v>
      </c>
      <c r="AH244" s="170" t="s">
        <v>0</v>
      </c>
      <c r="AI244" s="170" t="s">
        <v>0</v>
      </c>
      <c r="AJ244" s="170" t="s">
        <v>0</v>
      </c>
      <c r="AK244" s="170" t="s">
        <v>0</v>
      </c>
      <c r="AL244" s="170" t="s">
        <v>0</v>
      </c>
      <c r="AM244" s="170" t="s">
        <v>0</v>
      </c>
      <c r="AN244" s="170" t="s">
        <v>0</v>
      </c>
      <c r="AO244" s="170" t="s">
        <v>0</v>
      </c>
      <c r="AP244" s="170" t="s">
        <v>0</v>
      </c>
      <c r="AQ244" s="170" t="s">
        <v>0</v>
      </c>
      <c r="AR244" s="170" t="s">
        <v>0</v>
      </c>
      <c r="AS244" s="170" t="s">
        <v>0</v>
      </c>
      <c r="AT244" s="170" t="s">
        <v>0</v>
      </c>
      <c r="AU244" s="170" t="s">
        <v>0</v>
      </c>
      <c r="AV244" s="170" t="s">
        <v>0</v>
      </c>
      <c r="AW244" s="170" t="s">
        <v>0</v>
      </c>
      <c r="AX244" s="170" t="s">
        <v>0</v>
      </c>
      <c r="AY244" s="170" t="s">
        <v>0</v>
      </c>
      <c r="AZ244" s="170" t="s">
        <v>0</v>
      </c>
      <c r="BA244" s="170" t="s">
        <v>0</v>
      </c>
      <c r="BB244" s="170" t="s">
        <v>0</v>
      </c>
      <c r="BC244" s="170" t="s">
        <v>0</v>
      </c>
      <c r="BD244" s="170" t="s">
        <v>0</v>
      </c>
      <c r="BE244" s="170" t="s">
        <v>0</v>
      </c>
      <c r="BF244" s="170" t="s">
        <v>0</v>
      </c>
      <c r="BG244" s="170" t="s">
        <v>0</v>
      </c>
      <c r="BH244" s="170" t="s">
        <v>0</v>
      </c>
      <c r="BI244" s="171"/>
    </row>
    <row r="245" spans="1:61" x14ac:dyDescent="0.25">
      <c r="A245" s="22">
        <f t="shared" si="21"/>
        <v>239</v>
      </c>
      <c r="B245" s="214" t="str">
        <f t="shared" si="22"/>
        <v>F0014826003</v>
      </c>
      <c r="C245" s="214" t="str">
        <f t="shared" si="23"/>
        <v>82115-0EZ60 B</v>
      </c>
      <c r="D245" s="45" t="str">
        <f>VLOOKUP(B245,'Timing Table'!B:J,9,0)</f>
        <v>C/O</v>
      </c>
      <c r="E245" s="22" t="str">
        <f>VLOOKUP(B245,'Timing Table'!B:H,7,0)</f>
        <v>GAS</v>
      </c>
      <c r="F245" s="172" t="s">
        <v>79</v>
      </c>
      <c r="G245" s="173" t="s">
        <v>58</v>
      </c>
      <c r="H245" s="174" t="s">
        <v>58</v>
      </c>
      <c r="I245" s="175" t="s">
        <v>58</v>
      </c>
      <c r="J245" s="175" t="s">
        <v>0</v>
      </c>
      <c r="K245" s="175" t="s">
        <v>0</v>
      </c>
      <c r="L245" s="175" t="s">
        <v>0</v>
      </c>
      <c r="M245" s="175" t="s">
        <v>0</v>
      </c>
      <c r="N245" s="175" t="s">
        <v>0</v>
      </c>
      <c r="O245" s="175" t="s">
        <v>0</v>
      </c>
      <c r="P245" s="175" t="s">
        <v>0</v>
      </c>
      <c r="Q245" s="175" t="s">
        <v>0</v>
      </c>
      <c r="R245" s="175" t="s">
        <v>0</v>
      </c>
      <c r="S245" s="175" t="s">
        <v>0</v>
      </c>
      <c r="T245" s="175" t="s">
        <v>0</v>
      </c>
      <c r="U245" s="175" t="s">
        <v>0</v>
      </c>
      <c r="V245" s="175" t="s">
        <v>0</v>
      </c>
      <c r="W245" s="175" t="s">
        <v>0</v>
      </c>
      <c r="X245" s="175" t="s">
        <v>0</v>
      </c>
      <c r="Y245" s="175" t="s">
        <v>0</v>
      </c>
      <c r="Z245" s="175" t="s">
        <v>0</v>
      </c>
      <c r="AA245" s="175" t="s">
        <v>0</v>
      </c>
      <c r="AB245" s="175" t="s">
        <v>0</v>
      </c>
      <c r="AC245" s="175" t="s">
        <v>0</v>
      </c>
      <c r="AD245" s="175" t="s">
        <v>0</v>
      </c>
      <c r="AE245" s="175" t="s">
        <v>0</v>
      </c>
      <c r="AF245" s="175" t="s">
        <v>0</v>
      </c>
      <c r="AG245" s="175" t="s">
        <v>0</v>
      </c>
      <c r="AH245" s="175" t="s">
        <v>0</v>
      </c>
      <c r="AI245" s="175" t="s">
        <v>0</v>
      </c>
      <c r="AJ245" s="175" t="s">
        <v>0</v>
      </c>
      <c r="AK245" s="175" t="s">
        <v>0</v>
      </c>
      <c r="AL245" s="175" t="s">
        <v>0</v>
      </c>
      <c r="AM245" s="175" t="s">
        <v>0</v>
      </c>
      <c r="AN245" s="175" t="s">
        <v>0</v>
      </c>
      <c r="AO245" s="175" t="s">
        <v>0</v>
      </c>
      <c r="AP245" s="175" t="s">
        <v>0</v>
      </c>
      <c r="AQ245" s="175" t="s">
        <v>0</v>
      </c>
      <c r="AR245" s="175" t="s">
        <v>0</v>
      </c>
      <c r="AS245" s="175" t="s">
        <v>0</v>
      </c>
      <c r="AT245" s="175" t="s">
        <v>0</v>
      </c>
      <c r="AU245" s="175" t="s">
        <v>0</v>
      </c>
      <c r="AV245" s="175" t="s">
        <v>0</v>
      </c>
      <c r="AW245" s="175" t="s">
        <v>0</v>
      </c>
      <c r="AX245" s="175" t="s">
        <v>0</v>
      </c>
      <c r="AY245" s="175" t="s">
        <v>0</v>
      </c>
      <c r="AZ245" s="175" t="s">
        <v>0</v>
      </c>
      <c r="BA245" s="175" t="s">
        <v>0</v>
      </c>
      <c r="BB245" s="175" t="s">
        <v>0</v>
      </c>
      <c r="BC245" s="175" t="s">
        <v>0</v>
      </c>
      <c r="BD245" s="175" t="s">
        <v>0</v>
      </c>
      <c r="BE245" s="175" t="s">
        <v>0</v>
      </c>
      <c r="BF245" s="175" t="s">
        <v>0</v>
      </c>
      <c r="BG245" s="175" t="s">
        <v>0</v>
      </c>
      <c r="BH245" s="175" t="s">
        <v>0</v>
      </c>
      <c r="BI245" s="176"/>
    </row>
    <row r="246" spans="1:61" x14ac:dyDescent="0.25">
      <c r="A246" s="22">
        <f t="shared" si="21"/>
        <v>240</v>
      </c>
      <c r="B246" s="214" t="str">
        <f t="shared" si="22"/>
        <v>F0014826003</v>
      </c>
      <c r="C246" s="214" t="str">
        <f t="shared" si="23"/>
        <v>82115-0EZ60 B</v>
      </c>
      <c r="D246" s="45" t="str">
        <f>VLOOKUP(B246,'Timing Table'!B:J,9,0)</f>
        <v>C/O</v>
      </c>
      <c r="E246" s="22" t="str">
        <f>VLOOKUP(B246,'Timing Table'!B:H,7,0)</f>
        <v>GAS</v>
      </c>
      <c r="F246" s="177" t="s">
        <v>58</v>
      </c>
      <c r="G246" s="178" t="s">
        <v>58</v>
      </c>
      <c r="H246" s="179" t="s">
        <v>58</v>
      </c>
      <c r="I246" s="180" t="s">
        <v>58</v>
      </c>
      <c r="J246" s="180" t="s">
        <v>0</v>
      </c>
      <c r="K246" s="180" t="s">
        <v>0</v>
      </c>
      <c r="L246" s="180" t="s">
        <v>0</v>
      </c>
      <c r="M246" s="180" t="s">
        <v>0</v>
      </c>
      <c r="N246" s="180" t="s">
        <v>0</v>
      </c>
      <c r="O246" s="180" t="s">
        <v>0</v>
      </c>
      <c r="P246" s="180" t="s">
        <v>0</v>
      </c>
      <c r="Q246" s="180" t="s">
        <v>0</v>
      </c>
      <c r="R246" s="180" t="s">
        <v>0</v>
      </c>
      <c r="S246" s="180" t="s">
        <v>0</v>
      </c>
      <c r="T246" s="180" t="s">
        <v>0</v>
      </c>
      <c r="U246" s="180" t="s">
        <v>0</v>
      </c>
      <c r="V246" s="180" t="s">
        <v>0</v>
      </c>
      <c r="W246" s="180" t="s">
        <v>0</v>
      </c>
      <c r="X246" s="180" t="s">
        <v>0</v>
      </c>
      <c r="Y246" s="180" t="s">
        <v>0</v>
      </c>
      <c r="Z246" s="180" t="s">
        <v>0</v>
      </c>
      <c r="AA246" s="180" t="s">
        <v>0</v>
      </c>
      <c r="AB246" s="180" t="s">
        <v>0</v>
      </c>
      <c r="AC246" s="180" t="s">
        <v>0</v>
      </c>
      <c r="AD246" s="180" t="s">
        <v>0</v>
      </c>
      <c r="AE246" s="180" t="s">
        <v>0</v>
      </c>
      <c r="AF246" s="180" t="s">
        <v>0</v>
      </c>
      <c r="AG246" s="180" t="s">
        <v>0</v>
      </c>
      <c r="AH246" s="180" t="s">
        <v>0</v>
      </c>
      <c r="AI246" s="180" t="s">
        <v>0</v>
      </c>
      <c r="AJ246" s="180" t="s">
        <v>0</v>
      </c>
      <c r="AK246" s="180" t="s">
        <v>0</v>
      </c>
      <c r="AL246" s="180" t="s">
        <v>0</v>
      </c>
      <c r="AM246" s="180" t="s">
        <v>0</v>
      </c>
      <c r="AN246" s="180" t="s">
        <v>0</v>
      </c>
      <c r="AO246" s="180" t="s">
        <v>0</v>
      </c>
      <c r="AP246" s="180" t="s">
        <v>0</v>
      </c>
      <c r="AQ246" s="180" t="s">
        <v>0</v>
      </c>
      <c r="AR246" s="180" t="s">
        <v>0</v>
      </c>
      <c r="AS246" s="180" t="s">
        <v>0</v>
      </c>
      <c r="AT246" s="180" t="s">
        <v>0</v>
      </c>
      <c r="AU246" s="180" t="s">
        <v>0</v>
      </c>
      <c r="AV246" s="180" t="s">
        <v>0</v>
      </c>
      <c r="AW246" s="180" t="s">
        <v>0</v>
      </c>
      <c r="AX246" s="180" t="s">
        <v>0</v>
      </c>
      <c r="AY246" s="180" t="s">
        <v>0</v>
      </c>
      <c r="AZ246" s="180" t="s">
        <v>0</v>
      </c>
      <c r="BA246" s="180" t="s">
        <v>0</v>
      </c>
      <c r="BB246" s="180" t="s">
        <v>0</v>
      </c>
      <c r="BC246" s="180" t="s">
        <v>0</v>
      </c>
      <c r="BD246" s="180" t="s">
        <v>0</v>
      </c>
      <c r="BE246" s="180" t="s">
        <v>0</v>
      </c>
      <c r="BF246" s="180" t="s">
        <v>0</v>
      </c>
      <c r="BG246" s="180" t="s">
        <v>0</v>
      </c>
      <c r="BH246" s="180" t="s">
        <v>0</v>
      </c>
      <c r="BI246" s="181"/>
    </row>
    <row r="247" spans="1:61" x14ac:dyDescent="0.25">
      <c r="A247" s="22">
        <f t="shared" si="21"/>
        <v>241</v>
      </c>
      <c r="B247" s="214" t="str">
        <f t="shared" si="22"/>
        <v>F0014826103</v>
      </c>
      <c r="C247" s="214" t="str">
        <f t="shared" si="23"/>
        <v>82115-0EZ40 B</v>
      </c>
      <c r="D247" s="45" t="str">
        <f>VLOOKUP(B247,'Timing Table'!B:J,9,0)</f>
        <v>C/O</v>
      </c>
      <c r="E247" s="22" t="str">
        <f>VLOOKUP(B247,'Timing Table'!B:H,7,0)</f>
        <v>GAS</v>
      </c>
      <c r="F247" s="121" t="s">
        <v>59</v>
      </c>
      <c r="G247" s="146">
        <v>5501017975</v>
      </c>
      <c r="H247" s="121" t="s">
        <v>60</v>
      </c>
      <c r="I247" s="146">
        <v>91</v>
      </c>
      <c r="J247" s="121" t="s">
        <v>61</v>
      </c>
      <c r="K247" s="125">
        <v>1177762</v>
      </c>
      <c r="L247" s="126"/>
      <c r="M247" s="147" t="s">
        <v>62</v>
      </c>
      <c r="N247" s="148"/>
      <c r="O247" s="149">
        <v>46086</v>
      </c>
      <c r="P247" s="121" t="s">
        <v>63</v>
      </c>
      <c r="Q247" s="146">
        <v>4</v>
      </c>
      <c r="R247" s="6" t="s">
        <v>0</v>
      </c>
      <c r="S247" s="7" t="s">
        <v>0</v>
      </c>
      <c r="T247" s="7" t="s">
        <v>0</v>
      </c>
      <c r="U247" s="7" t="s">
        <v>0</v>
      </c>
      <c r="V247" s="7" t="s">
        <v>0</v>
      </c>
      <c r="W247" s="7" t="s">
        <v>0</v>
      </c>
      <c r="X247" s="7" t="s">
        <v>0</v>
      </c>
      <c r="Y247" s="7" t="s">
        <v>0</v>
      </c>
      <c r="Z247" s="7" t="s">
        <v>0</v>
      </c>
      <c r="AA247" s="7" t="s">
        <v>0</v>
      </c>
      <c r="AB247" s="7" t="s">
        <v>0</v>
      </c>
      <c r="AC247" s="7" t="s">
        <v>0</v>
      </c>
      <c r="AD247" s="7" t="s">
        <v>0</v>
      </c>
      <c r="AE247" s="7" t="s">
        <v>0</v>
      </c>
      <c r="AF247" s="7" t="s">
        <v>0</v>
      </c>
      <c r="AG247" s="7" t="s">
        <v>0</v>
      </c>
      <c r="AH247" s="7" t="s">
        <v>0</v>
      </c>
      <c r="AI247" s="7" t="s">
        <v>0</v>
      </c>
      <c r="AJ247" s="7" t="s">
        <v>0</v>
      </c>
      <c r="AK247" s="7" t="s">
        <v>0</v>
      </c>
      <c r="AL247" s="7" t="s">
        <v>0</v>
      </c>
      <c r="AM247" s="7" t="s">
        <v>0</v>
      </c>
      <c r="AN247" s="7" t="s">
        <v>0</v>
      </c>
      <c r="AO247" s="7" t="s">
        <v>0</v>
      </c>
      <c r="AP247" s="7" t="s">
        <v>0</v>
      </c>
      <c r="AQ247" s="7" t="s">
        <v>0</v>
      </c>
      <c r="AR247" s="7" t="s">
        <v>0</v>
      </c>
      <c r="AS247" s="7" t="s">
        <v>0</v>
      </c>
      <c r="AT247" s="7" t="s">
        <v>0</v>
      </c>
      <c r="AU247" s="7" t="s">
        <v>0</v>
      </c>
      <c r="AV247" s="7" t="s">
        <v>0</v>
      </c>
      <c r="AW247" s="7" t="s">
        <v>0</v>
      </c>
      <c r="AX247" s="7" t="s">
        <v>0</v>
      </c>
      <c r="AY247" s="7" t="s">
        <v>0</v>
      </c>
      <c r="AZ247" s="7" t="s">
        <v>0</v>
      </c>
      <c r="BA247" s="7" t="s">
        <v>0</v>
      </c>
      <c r="BB247" s="7" t="s">
        <v>0</v>
      </c>
      <c r="BC247" s="7" t="s">
        <v>0</v>
      </c>
      <c r="BD247" s="7" t="s">
        <v>0</v>
      </c>
      <c r="BE247" s="7" t="s">
        <v>0</v>
      </c>
      <c r="BF247" s="7" t="s">
        <v>0</v>
      </c>
      <c r="BG247" s="7" t="s">
        <v>0</v>
      </c>
      <c r="BH247" s="7" t="s">
        <v>0</v>
      </c>
      <c r="BI247" s="8"/>
    </row>
    <row r="248" spans="1:61" x14ac:dyDescent="0.25">
      <c r="A248" s="22">
        <f t="shared" si="21"/>
        <v>242</v>
      </c>
      <c r="B248" s="214" t="str">
        <f t="shared" si="22"/>
        <v>F0014826103</v>
      </c>
      <c r="C248" s="214" t="str">
        <f t="shared" si="23"/>
        <v>82115-0EZ40 B</v>
      </c>
      <c r="D248" s="45" t="str">
        <f>VLOOKUP(B248,'Timing Table'!B:J,9,0)</f>
        <v>C/O</v>
      </c>
      <c r="E248" s="22" t="str">
        <f>VLOOKUP(B248,'Timing Table'!B:H,7,0)</f>
        <v>GAS</v>
      </c>
      <c r="F248" s="121" t="s">
        <v>64</v>
      </c>
      <c r="G248" s="146" t="s">
        <v>188</v>
      </c>
      <c r="H248" s="121" t="s">
        <v>65</v>
      </c>
      <c r="I248" s="150" t="s">
        <v>206</v>
      </c>
      <c r="J248" s="151"/>
      <c r="K248" s="151"/>
      <c r="L248" s="152"/>
      <c r="M248" s="121" t="s">
        <v>66</v>
      </c>
      <c r="N248" s="146">
        <v>2025</v>
      </c>
      <c r="O248" s="140" t="s">
        <v>67</v>
      </c>
      <c r="P248" s="141"/>
      <c r="Q248" s="153" t="s">
        <v>203</v>
      </c>
      <c r="R248" s="122" t="s">
        <v>0</v>
      </c>
      <c r="S248" s="123" t="s">
        <v>0</v>
      </c>
      <c r="T248" s="123" t="s">
        <v>0</v>
      </c>
      <c r="U248" s="123" t="s">
        <v>0</v>
      </c>
      <c r="V248" s="123" t="s">
        <v>0</v>
      </c>
      <c r="W248" s="123" t="s">
        <v>0</v>
      </c>
      <c r="X248" s="123" t="s">
        <v>0</v>
      </c>
      <c r="Y248" s="123" t="s">
        <v>0</v>
      </c>
      <c r="Z248" s="123" t="s">
        <v>0</v>
      </c>
      <c r="AA248" s="123" t="s">
        <v>0</v>
      </c>
      <c r="AB248" s="123" t="s">
        <v>0</v>
      </c>
      <c r="AC248" s="123" t="s">
        <v>0</v>
      </c>
      <c r="AD248" s="123" t="s">
        <v>0</v>
      </c>
      <c r="AE248" s="123" t="s">
        <v>0</v>
      </c>
      <c r="AF248" s="123" t="s">
        <v>0</v>
      </c>
      <c r="AG248" s="123" t="s">
        <v>0</v>
      </c>
      <c r="AH248" s="123" t="s">
        <v>0</v>
      </c>
      <c r="AI248" s="123" t="s">
        <v>0</v>
      </c>
      <c r="AJ248" s="123" t="s">
        <v>0</v>
      </c>
      <c r="AK248" s="123" t="s">
        <v>0</v>
      </c>
      <c r="AL248" s="123" t="s">
        <v>0</v>
      </c>
      <c r="AM248" s="123" t="s">
        <v>0</v>
      </c>
      <c r="AN248" s="123" t="s">
        <v>0</v>
      </c>
      <c r="AO248" s="123" t="s">
        <v>0</v>
      </c>
      <c r="AP248" s="123" t="s">
        <v>0</v>
      </c>
      <c r="AQ248" s="123" t="s">
        <v>0</v>
      </c>
      <c r="AR248" s="123" t="s">
        <v>0</v>
      </c>
      <c r="AS248" s="123" t="s">
        <v>0</v>
      </c>
      <c r="AT248" s="123" t="s">
        <v>0</v>
      </c>
      <c r="AU248" s="123" t="s">
        <v>0</v>
      </c>
      <c r="AV248" s="123" t="s">
        <v>0</v>
      </c>
      <c r="AW248" s="123" t="s">
        <v>0</v>
      </c>
      <c r="AX248" s="123" t="s">
        <v>0</v>
      </c>
      <c r="AY248" s="123" t="s">
        <v>0</v>
      </c>
      <c r="AZ248" s="123" t="s">
        <v>0</v>
      </c>
      <c r="BA248" s="123" t="s">
        <v>0</v>
      </c>
      <c r="BB248" s="123" t="s">
        <v>0</v>
      </c>
      <c r="BC248" s="123" t="s">
        <v>0</v>
      </c>
      <c r="BD248" s="123" t="s">
        <v>0</v>
      </c>
      <c r="BE248" s="123" t="s">
        <v>0</v>
      </c>
      <c r="BF248" s="123" t="s">
        <v>0</v>
      </c>
      <c r="BG248" s="123" t="s">
        <v>0</v>
      </c>
      <c r="BH248" s="123" t="s">
        <v>0</v>
      </c>
      <c r="BI248" s="124"/>
    </row>
    <row r="249" spans="1:61" x14ac:dyDescent="0.25">
      <c r="A249" s="22">
        <f t="shared" si="21"/>
        <v>243</v>
      </c>
      <c r="B249" s="214" t="str">
        <f t="shared" si="22"/>
        <v>F0014826103</v>
      </c>
      <c r="C249" s="214" t="str">
        <f t="shared" si="23"/>
        <v>82115-0EZ40 B</v>
      </c>
      <c r="D249" s="45" t="str">
        <f>VLOOKUP(B249,'Timing Table'!B:J,9,0)</f>
        <v>C/O</v>
      </c>
      <c r="E249" s="22" t="str">
        <f>VLOOKUP(B249,'Timing Table'!B:H,7,0)</f>
        <v>GAS</v>
      </c>
      <c r="F249" s="121" t="s">
        <v>68</v>
      </c>
      <c r="G249" s="146" t="s">
        <v>350</v>
      </c>
      <c r="H249" s="121" t="s">
        <v>69</v>
      </c>
      <c r="I249" s="154" t="s">
        <v>58</v>
      </c>
      <c r="J249" s="155" t="s">
        <v>0</v>
      </c>
      <c r="K249" s="156" t="s">
        <v>0</v>
      </c>
      <c r="L249" s="157" t="s">
        <v>0</v>
      </c>
      <c r="M249" s="134" t="s">
        <v>0</v>
      </c>
      <c r="N249" s="134" t="s">
        <v>0</v>
      </c>
      <c r="O249" s="134" t="s">
        <v>0</v>
      </c>
      <c r="P249" s="134" t="s">
        <v>0</v>
      </c>
      <c r="Q249" s="134" t="s">
        <v>1</v>
      </c>
      <c r="R249" s="134" t="s">
        <v>2</v>
      </c>
      <c r="S249" s="134" t="s">
        <v>0</v>
      </c>
      <c r="T249" s="134" t="s">
        <v>0</v>
      </c>
      <c r="U249" s="134" t="s">
        <v>0</v>
      </c>
      <c r="V249" s="134" t="s">
        <v>0</v>
      </c>
      <c r="W249" s="134" t="s">
        <v>0</v>
      </c>
      <c r="X249" s="134" t="s">
        <v>0</v>
      </c>
      <c r="Y249" s="134" t="s">
        <v>0</v>
      </c>
      <c r="Z249" s="134" t="s">
        <v>3</v>
      </c>
      <c r="AA249" s="134" t="s">
        <v>0</v>
      </c>
      <c r="AB249" s="134" t="s">
        <v>0</v>
      </c>
      <c r="AC249" s="134" t="s">
        <v>0</v>
      </c>
      <c r="AD249" s="134" t="s">
        <v>0</v>
      </c>
      <c r="AE249" s="134" t="s">
        <v>0</v>
      </c>
      <c r="AF249" s="134" t="s">
        <v>0</v>
      </c>
      <c r="AG249" s="134" t="s">
        <v>0</v>
      </c>
      <c r="AH249" s="134" t="s">
        <v>0</v>
      </c>
      <c r="AI249" s="134" t="s">
        <v>0</v>
      </c>
      <c r="AJ249" s="134" t="s">
        <v>0</v>
      </c>
      <c r="AK249" s="134" t="s">
        <v>0</v>
      </c>
      <c r="AL249" s="134" t="s">
        <v>0</v>
      </c>
      <c r="AM249" s="134" t="s">
        <v>0</v>
      </c>
      <c r="AN249" s="134" t="s">
        <v>0</v>
      </c>
      <c r="AO249" s="134" t="s">
        <v>0</v>
      </c>
      <c r="AP249" s="134" t="s">
        <v>0</v>
      </c>
      <c r="AQ249" s="134" t="s">
        <v>0</v>
      </c>
      <c r="AR249" s="134" t="s">
        <v>0</v>
      </c>
      <c r="AS249" s="134" t="s">
        <v>0</v>
      </c>
      <c r="AT249" s="134" t="s">
        <v>0</v>
      </c>
      <c r="AU249" s="134" t="s">
        <v>0</v>
      </c>
      <c r="AV249" s="134" t="s">
        <v>0</v>
      </c>
      <c r="AW249" s="134" t="s">
        <v>0</v>
      </c>
      <c r="AX249" s="134" t="s">
        <v>0</v>
      </c>
      <c r="AY249" s="134" t="s">
        <v>0</v>
      </c>
      <c r="AZ249" s="134" t="s">
        <v>0</v>
      </c>
      <c r="BA249" s="134" t="s">
        <v>0</v>
      </c>
      <c r="BB249" s="134" t="s">
        <v>0</v>
      </c>
      <c r="BC249" s="134" t="s">
        <v>0</v>
      </c>
      <c r="BD249" s="134" t="s">
        <v>0</v>
      </c>
      <c r="BE249" s="134" t="s">
        <v>0</v>
      </c>
      <c r="BF249" s="134" t="s">
        <v>0</v>
      </c>
      <c r="BG249" s="134" t="s">
        <v>0</v>
      </c>
      <c r="BH249" s="134" t="s">
        <v>0</v>
      </c>
      <c r="BI249" s="135" t="s">
        <v>4</v>
      </c>
    </row>
    <row r="250" spans="1:61" x14ac:dyDescent="0.25">
      <c r="A250" s="22">
        <f t="shared" si="21"/>
        <v>244</v>
      </c>
      <c r="B250" s="214" t="str">
        <f t="shared" si="22"/>
        <v>F0014826103</v>
      </c>
      <c r="C250" s="214" t="str">
        <f t="shared" si="23"/>
        <v>82115-0EZ40 B</v>
      </c>
      <c r="D250" s="45" t="str">
        <f>VLOOKUP(B250,'Timing Table'!B:J,9,0)</f>
        <v>C/O</v>
      </c>
      <c r="E250" s="22" t="str">
        <f>VLOOKUP(B250,'Timing Table'!B:H,7,0)</f>
        <v>GAS</v>
      </c>
      <c r="F250" s="121" t="s">
        <v>70</v>
      </c>
      <c r="G250" s="146">
        <v>12</v>
      </c>
      <c r="H250" s="158" t="s">
        <v>241</v>
      </c>
      <c r="I250" s="159" t="s">
        <v>71</v>
      </c>
      <c r="J250" s="13">
        <v>46041</v>
      </c>
      <c r="K250" s="14">
        <v>46048</v>
      </c>
      <c r="L250" s="14">
        <v>46055</v>
      </c>
      <c r="M250" s="14">
        <v>46062</v>
      </c>
      <c r="N250" s="14">
        <v>46069</v>
      </c>
      <c r="O250" s="14">
        <v>46076</v>
      </c>
      <c r="P250" s="14">
        <v>46083</v>
      </c>
      <c r="Q250" s="14">
        <v>46090</v>
      </c>
      <c r="R250" s="14">
        <v>46097</v>
      </c>
      <c r="S250" s="14">
        <v>46104</v>
      </c>
      <c r="T250" s="14">
        <v>46111</v>
      </c>
      <c r="U250" s="14">
        <v>46118</v>
      </c>
      <c r="V250" s="14">
        <v>46125</v>
      </c>
      <c r="W250" s="14">
        <v>46132</v>
      </c>
      <c r="X250" s="14">
        <v>46139</v>
      </c>
      <c r="Y250" s="14">
        <v>46146</v>
      </c>
      <c r="Z250" s="14">
        <v>46153</v>
      </c>
      <c r="AA250" s="14">
        <v>46160</v>
      </c>
      <c r="AB250" s="14">
        <v>46167</v>
      </c>
      <c r="AC250" s="14">
        <v>46174</v>
      </c>
      <c r="AD250" s="14">
        <v>46181</v>
      </c>
      <c r="AE250" s="14">
        <v>46188</v>
      </c>
      <c r="AF250" s="14">
        <v>46195</v>
      </c>
      <c r="AG250" s="14">
        <v>46202</v>
      </c>
      <c r="AH250" s="14">
        <v>46209</v>
      </c>
      <c r="AI250" s="14">
        <v>46216</v>
      </c>
      <c r="AJ250" s="14">
        <v>46223</v>
      </c>
      <c r="AK250" s="14">
        <v>46230</v>
      </c>
      <c r="AL250" s="14">
        <v>46237</v>
      </c>
      <c r="AM250" s="14">
        <v>46244</v>
      </c>
      <c r="AN250" s="14">
        <v>46251</v>
      </c>
      <c r="AO250" s="14">
        <v>46258</v>
      </c>
      <c r="AP250" s="14">
        <v>46265</v>
      </c>
      <c r="AQ250" s="14">
        <v>46272</v>
      </c>
      <c r="AR250" s="14">
        <v>46279</v>
      </c>
      <c r="AS250" s="14">
        <v>46286</v>
      </c>
      <c r="AT250" s="14">
        <v>46293</v>
      </c>
      <c r="AU250" s="14">
        <v>46300</v>
      </c>
      <c r="AV250" s="14">
        <v>46307</v>
      </c>
      <c r="AW250" s="14">
        <v>46314</v>
      </c>
      <c r="AX250" s="14">
        <v>46321</v>
      </c>
      <c r="AY250" s="14">
        <v>46328</v>
      </c>
      <c r="AZ250" s="14">
        <v>46335</v>
      </c>
      <c r="BA250" s="14">
        <v>46342</v>
      </c>
      <c r="BB250" s="14">
        <v>46349</v>
      </c>
      <c r="BC250" s="14">
        <v>46356</v>
      </c>
      <c r="BD250" s="14">
        <v>46363</v>
      </c>
      <c r="BE250" s="14">
        <v>46370</v>
      </c>
      <c r="BF250" s="14">
        <v>46377</v>
      </c>
      <c r="BG250" s="14">
        <v>46384</v>
      </c>
      <c r="BH250" s="14">
        <v>46391</v>
      </c>
      <c r="BI250" s="15">
        <v>46398</v>
      </c>
    </row>
    <row r="251" spans="1:61" x14ac:dyDescent="0.25">
      <c r="A251" s="22">
        <f t="shared" si="21"/>
        <v>245</v>
      </c>
      <c r="B251" s="214" t="str">
        <f t="shared" si="22"/>
        <v>F0014826103</v>
      </c>
      <c r="C251" s="214" t="str">
        <f t="shared" si="23"/>
        <v>82115-0EZ40 B</v>
      </c>
      <c r="D251" s="45" t="str">
        <f>VLOOKUP(B251,'Timing Table'!B:J,9,0)</f>
        <v>C/O</v>
      </c>
      <c r="E251" s="22" t="str">
        <f>VLOOKUP(B251,'Timing Table'!B:H,7,0)</f>
        <v>GAS</v>
      </c>
      <c r="F251" s="121" t="s">
        <v>72</v>
      </c>
      <c r="G251" s="146">
        <v>12</v>
      </c>
      <c r="H251" s="5" t="s">
        <v>58</v>
      </c>
      <c r="I251" s="11" t="s">
        <v>83</v>
      </c>
      <c r="J251" s="16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17"/>
    </row>
    <row r="252" spans="1:61" x14ac:dyDescent="0.25">
      <c r="A252" s="22">
        <f t="shared" si="21"/>
        <v>246</v>
      </c>
      <c r="B252" s="214" t="str">
        <f t="shared" si="22"/>
        <v>F0014826103</v>
      </c>
      <c r="C252" s="214" t="str">
        <f t="shared" si="23"/>
        <v>82115-0EZ40 B</v>
      </c>
      <c r="D252" s="45" t="str">
        <f>VLOOKUP(B252,'Timing Table'!B:J,9,0)</f>
        <v>C/O</v>
      </c>
      <c r="E252" s="22" t="str">
        <f>VLOOKUP(B252,'Timing Table'!B:H,7,0)</f>
        <v>GAS</v>
      </c>
      <c r="F252" s="121" t="s">
        <v>73</v>
      </c>
      <c r="G252" s="160" t="s">
        <v>130</v>
      </c>
      <c r="H252" s="9" t="s">
        <v>124</v>
      </c>
      <c r="I252" s="11" t="s">
        <v>74</v>
      </c>
      <c r="J252" s="117">
        <v>0</v>
      </c>
      <c r="K252" s="50">
        <v>0</v>
      </c>
      <c r="L252" s="50">
        <v>0</v>
      </c>
      <c r="M252" s="50">
        <v>0</v>
      </c>
      <c r="N252" s="50">
        <v>0</v>
      </c>
      <c r="O252" s="50">
        <v>0</v>
      </c>
      <c r="P252" s="50">
        <v>0</v>
      </c>
      <c r="Q252" s="50">
        <v>0</v>
      </c>
      <c r="R252" s="50">
        <v>0</v>
      </c>
      <c r="S252" s="50">
        <v>0</v>
      </c>
      <c r="T252" s="50">
        <v>0</v>
      </c>
      <c r="U252" s="50">
        <v>0</v>
      </c>
      <c r="V252" s="50">
        <v>0</v>
      </c>
      <c r="W252" s="50">
        <v>0</v>
      </c>
      <c r="X252" s="50">
        <v>0</v>
      </c>
      <c r="Y252" s="50">
        <v>0</v>
      </c>
      <c r="Z252" s="50">
        <v>0</v>
      </c>
      <c r="AA252" s="50">
        <v>0</v>
      </c>
      <c r="AB252" s="50">
        <v>0</v>
      </c>
      <c r="AC252" s="50">
        <v>0</v>
      </c>
      <c r="AD252" s="50">
        <v>0</v>
      </c>
      <c r="AE252" s="50">
        <v>0</v>
      </c>
      <c r="AF252" s="50">
        <v>0</v>
      </c>
      <c r="AG252" s="50">
        <v>0</v>
      </c>
      <c r="AH252" s="50">
        <v>0</v>
      </c>
      <c r="AI252" s="50">
        <v>0</v>
      </c>
      <c r="AJ252" s="50">
        <v>0</v>
      </c>
      <c r="AK252" s="50">
        <v>0</v>
      </c>
      <c r="AL252" s="50">
        <v>0</v>
      </c>
      <c r="AM252" s="50">
        <v>0</v>
      </c>
      <c r="AN252" s="50">
        <v>0</v>
      </c>
      <c r="AO252" s="50">
        <v>0</v>
      </c>
      <c r="AP252" s="50">
        <v>0</v>
      </c>
      <c r="AQ252" s="50">
        <v>0</v>
      </c>
      <c r="AR252" s="50">
        <v>0</v>
      </c>
      <c r="AS252" s="50">
        <v>0</v>
      </c>
      <c r="AT252" s="50">
        <v>0</v>
      </c>
      <c r="AU252" s="50">
        <v>0</v>
      </c>
      <c r="AV252" s="50">
        <v>0</v>
      </c>
      <c r="AW252" s="50">
        <v>0</v>
      </c>
      <c r="AX252" s="50">
        <v>0</v>
      </c>
      <c r="AY252" s="50">
        <v>0</v>
      </c>
      <c r="AZ252" s="50">
        <v>0</v>
      </c>
      <c r="BA252" s="50">
        <v>0</v>
      </c>
      <c r="BB252" s="50">
        <v>0</v>
      </c>
      <c r="BC252" s="50">
        <v>0</v>
      </c>
      <c r="BD252" s="50">
        <v>0</v>
      </c>
      <c r="BE252" s="50">
        <v>0</v>
      </c>
      <c r="BF252" s="50">
        <v>0</v>
      </c>
      <c r="BG252" s="50">
        <v>0</v>
      </c>
      <c r="BH252" s="50">
        <v>0</v>
      </c>
      <c r="BI252" s="118">
        <v>0</v>
      </c>
    </row>
    <row r="253" spans="1:61" x14ac:dyDescent="0.25">
      <c r="A253" s="22">
        <f t="shared" si="21"/>
        <v>247</v>
      </c>
      <c r="B253" s="214" t="str">
        <f t="shared" si="22"/>
        <v>F0014826103</v>
      </c>
      <c r="C253" s="214" t="str">
        <f t="shared" si="23"/>
        <v>82115-0EZ40 B</v>
      </c>
      <c r="D253" s="45" t="str">
        <f>VLOOKUP(B253,'Timing Table'!B:J,9,0)</f>
        <v>C/O</v>
      </c>
      <c r="E253" s="22" t="str">
        <f>VLOOKUP(B253,'Timing Table'!B:H,7,0)</f>
        <v>GAS</v>
      </c>
      <c r="F253" s="121" t="s">
        <v>75</v>
      </c>
      <c r="G253" s="146">
        <v>82115</v>
      </c>
      <c r="H253" s="10" t="s">
        <v>124</v>
      </c>
      <c r="I253" s="12" t="s">
        <v>76</v>
      </c>
      <c r="J253" s="161">
        <v>12</v>
      </c>
      <c r="K253" s="162">
        <v>12</v>
      </c>
      <c r="L253" s="162">
        <v>12</v>
      </c>
      <c r="M253" s="162">
        <v>12</v>
      </c>
      <c r="N253" s="162">
        <v>12</v>
      </c>
      <c r="O253" s="162">
        <v>12</v>
      </c>
      <c r="P253" s="162">
        <v>12</v>
      </c>
      <c r="Q253" s="162">
        <v>12</v>
      </c>
      <c r="R253" s="162">
        <v>12</v>
      </c>
      <c r="S253" s="162">
        <v>12</v>
      </c>
      <c r="T253" s="162">
        <v>12</v>
      </c>
      <c r="U253" s="162">
        <v>12</v>
      </c>
      <c r="V253" s="162">
        <v>12</v>
      </c>
      <c r="W253" s="162">
        <v>12</v>
      </c>
      <c r="X253" s="162">
        <v>12</v>
      </c>
      <c r="Y253" s="162">
        <v>12</v>
      </c>
      <c r="Z253" s="162">
        <v>12</v>
      </c>
      <c r="AA253" s="162">
        <v>12</v>
      </c>
      <c r="AB253" s="162">
        <v>12</v>
      </c>
      <c r="AC253" s="162">
        <v>12</v>
      </c>
      <c r="AD253" s="162">
        <v>12</v>
      </c>
      <c r="AE253" s="162">
        <v>12</v>
      </c>
      <c r="AF253" s="162">
        <v>12</v>
      </c>
      <c r="AG253" s="162">
        <v>12</v>
      </c>
      <c r="AH253" s="162">
        <v>12</v>
      </c>
      <c r="AI253" s="162">
        <v>12</v>
      </c>
      <c r="AJ253" s="162">
        <v>12</v>
      </c>
      <c r="AK253" s="162">
        <v>12</v>
      </c>
      <c r="AL253" s="162">
        <v>12</v>
      </c>
      <c r="AM253" s="162">
        <v>12</v>
      </c>
      <c r="AN253" s="162">
        <v>12</v>
      </c>
      <c r="AO253" s="162">
        <v>12</v>
      </c>
      <c r="AP253" s="162">
        <v>12</v>
      </c>
      <c r="AQ253" s="162">
        <v>12</v>
      </c>
      <c r="AR253" s="162">
        <v>12</v>
      </c>
      <c r="AS253" s="162">
        <v>12</v>
      </c>
      <c r="AT253" s="162">
        <v>12</v>
      </c>
      <c r="AU253" s="162">
        <v>12</v>
      </c>
      <c r="AV253" s="162">
        <v>12</v>
      </c>
      <c r="AW253" s="162">
        <v>12</v>
      </c>
      <c r="AX253" s="162">
        <v>12</v>
      </c>
      <c r="AY253" s="162">
        <v>12</v>
      </c>
      <c r="AZ253" s="162">
        <v>12</v>
      </c>
      <c r="BA253" s="162">
        <v>12</v>
      </c>
      <c r="BB253" s="162">
        <v>12</v>
      </c>
      <c r="BC253" s="162">
        <v>12</v>
      </c>
      <c r="BD253" s="162">
        <v>12</v>
      </c>
      <c r="BE253" s="162">
        <v>12</v>
      </c>
      <c r="BF253" s="162">
        <v>12</v>
      </c>
      <c r="BG253" s="162">
        <v>12</v>
      </c>
      <c r="BH253" s="162">
        <v>12</v>
      </c>
      <c r="BI253" s="163">
        <v>12</v>
      </c>
    </row>
    <row r="254" spans="1:61" x14ac:dyDescent="0.25">
      <c r="A254" s="22">
        <f t="shared" si="21"/>
        <v>248</v>
      </c>
      <c r="B254" s="214" t="str">
        <f t="shared" si="22"/>
        <v>F0014826103</v>
      </c>
      <c r="C254" s="214" t="str">
        <f t="shared" si="23"/>
        <v>82115-0EZ40 B</v>
      </c>
      <c r="D254" s="45" t="str">
        <f>VLOOKUP(B254,'Timing Table'!B:J,9,0)</f>
        <v>C/O</v>
      </c>
      <c r="E254" s="22" t="str">
        <f>VLOOKUP(B254,'Timing Table'!B:H,7,0)</f>
        <v>GAS</v>
      </c>
      <c r="F254" s="164" t="s">
        <v>77</v>
      </c>
      <c r="G254" s="165">
        <v>12</v>
      </c>
      <c r="H254" s="166" t="s">
        <v>78</v>
      </c>
      <c r="I254" s="167"/>
      <c r="J254" s="168" t="s">
        <v>243</v>
      </c>
      <c r="K254" s="169"/>
      <c r="L254" s="170" t="s">
        <v>0</v>
      </c>
      <c r="M254" s="170" t="s">
        <v>0</v>
      </c>
      <c r="N254" s="170" t="s">
        <v>0</v>
      </c>
      <c r="O254" s="170" t="s">
        <v>0</v>
      </c>
      <c r="P254" s="170" t="s">
        <v>0</v>
      </c>
      <c r="Q254" s="170" t="s">
        <v>0</v>
      </c>
      <c r="R254" s="170" t="s">
        <v>0</v>
      </c>
      <c r="S254" s="170" t="s">
        <v>0</v>
      </c>
      <c r="T254" s="170" t="s">
        <v>0</v>
      </c>
      <c r="U254" s="170" t="s">
        <v>0</v>
      </c>
      <c r="V254" s="170" t="s">
        <v>0</v>
      </c>
      <c r="W254" s="170" t="s">
        <v>0</v>
      </c>
      <c r="X254" s="170" t="s">
        <v>0</v>
      </c>
      <c r="Y254" s="170" t="s">
        <v>0</v>
      </c>
      <c r="Z254" s="170" t="s">
        <v>0</v>
      </c>
      <c r="AA254" s="170" t="s">
        <v>0</v>
      </c>
      <c r="AB254" s="170" t="s">
        <v>0</v>
      </c>
      <c r="AC254" s="170" t="s">
        <v>0</v>
      </c>
      <c r="AD254" s="170" t="s">
        <v>0</v>
      </c>
      <c r="AE254" s="170" t="s">
        <v>0</v>
      </c>
      <c r="AF254" s="170" t="s">
        <v>0</v>
      </c>
      <c r="AG254" s="170" t="s">
        <v>0</v>
      </c>
      <c r="AH254" s="170" t="s">
        <v>0</v>
      </c>
      <c r="AI254" s="170" t="s">
        <v>0</v>
      </c>
      <c r="AJ254" s="170" t="s">
        <v>0</v>
      </c>
      <c r="AK254" s="170" t="s">
        <v>0</v>
      </c>
      <c r="AL254" s="170" t="s">
        <v>0</v>
      </c>
      <c r="AM254" s="170" t="s">
        <v>0</v>
      </c>
      <c r="AN254" s="170" t="s">
        <v>0</v>
      </c>
      <c r="AO254" s="170" t="s">
        <v>0</v>
      </c>
      <c r="AP254" s="170" t="s">
        <v>0</v>
      </c>
      <c r="AQ254" s="170" t="s">
        <v>0</v>
      </c>
      <c r="AR254" s="170" t="s">
        <v>0</v>
      </c>
      <c r="AS254" s="170" t="s">
        <v>0</v>
      </c>
      <c r="AT254" s="170" t="s">
        <v>0</v>
      </c>
      <c r="AU254" s="170" t="s">
        <v>0</v>
      </c>
      <c r="AV254" s="170" t="s">
        <v>0</v>
      </c>
      <c r="AW254" s="170" t="s">
        <v>0</v>
      </c>
      <c r="AX254" s="170" t="s">
        <v>0</v>
      </c>
      <c r="AY254" s="170" t="s">
        <v>0</v>
      </c>
      <c r="AZ254" s="170" t="s">
        <v>0</v>
      </c>
      <c r="BA254" s="170" t="s">
        <v>0</v>
      </c>
      <c r="BB254" s="170" t="s">
        <v>0</v>
      </c>
      <c r="BC254" s="170" t="s">
        <v>0</v>
      </c>
      <c r="BD254" s="170" t="s">
        <v>0</v>
      </c>
      <c r="BE254" s="170" t="s">
        <v>0</v>
      </c>
      <c r="BF254" s="170" t="s">
        <v>0</v>
      </c>
      <c r="BG254" s="170" t="s">
        <v>0</v>
      </c>
      <c r="BH254" s="170" t="s">
        <v>0</v>
      </c>
      <c r="BI254" s="171"/>
    </row>
    <row r="255" spans="1:61" x14ac:dyDescent="0.25">
      <c r="A255" s="22">
        <f t="shared" si="21"/>
        <v>249</v>
      </c>
      <c r="B255" s="214" t="str">
        <f t="shared" si="22"/>
        <v>F0014826103</v>
      </c>
      <c r="C255" s="214" t="str">
        <f t="shared" si="23"/>
        <v>82115-0EZ40 B</v>
      </c>
      <c r="D255" s="45" t="str">
        <f>VLOOKUP(B255,'Timing Table'!B:J,9,0)</f>
        <v>C/O</v>
      </c>
      <c r="E255" s="22" t="str">
        <f>VLOOKUP(B255,'Timing Table'!B:H,7,0)</f>
        <v>GAS</v>
      </c>
      <c r="F255" s="172" t="s">
        <v>79</v>
      </c>
      <c r="G255" s="173" t="s">
        <v>58</v>
      </c>
      <c r="H255" s="174" t="s">
        <v>58</v>
      </c>
      <c r="I255" s="175" t="s">
        <v>58</v>
      </c>
      <c r="J255" s="175" t="s">
        <v>0</v>
      </c>
      <c r="K255" s="175" t="s">
        <v>0</v>
      </c>
      <c r="L255" s="175" t="s">
        <v>0</v>
      </c>
      <c r="M255" s="175" t="s">
        <v>0</v>
      </c>
      <c r="N255" s="175" t="s">
        <v>0</v>
      </c>
      <c r="O255" s="175" t="s">
        <v>0</v>
      </c>
      <c r="P255" s="175" t="s">
        <v>0</v>
      </c>
      <c r="Q255" s="175" t="s">
        <v>0</v>
      </c>
      <c r="R255" s="175" t="s">
        <v>0</v>
      </c>
      <c r="S255" s="175" t="s">
        <v>0</v>
      </c>
      <c r="T255" s="175" t="s">
        <v>0</v>
      </c>
      <c r="U255" s="175" t="s">
        <v>0</v>
      </c>
      <c r="V255" s="175" t="s">
        <v>0</v>
      </c>
      <c r="W255" s="175" t="s">
        <v>0</v>
      </c>
      <c r="X255" s="175" t="s">
        <v>0</v>
      </c>
      <c r="Y255" s="175" t="s">
        <v>0</v>
      </c>
      <c r="Z255" s="175" t="s">
        <v>0</v>
      </c>
      <c r="AA255" s="175" t="s">
        <v>0</v>
      </c>
      <c r="AB255" s="175" t="s">
        <v>0</v>
      </c>
      <c r="AC255" s="175" t="s">
        <v>0</v>
      </c>
      <c r="AD255" s="175" t="s">
        <v>0</v>
      </c>
      <c r="AE255" s="175" t="s">
        <v>0</v>
      </c>
      <c r="AF255" s="175" t="s">
        <v>0</v>
      </c>
      <c r="AG255" s="175" t="s">
        <v>0</v>
      </c>
      <c r="AH255" s="175" t="s">
        <v>0</v>
      </c>
      <c r="AI255" s="175" t="s">
        <v>0</v>
      </c>
      <c r="AJ255" s="175" t="s">
        <v>0</v>
      </c>
      <c r="AK255" s="175" t="s">
        <v>0</v>
      </c>
      <c r="AL255" s="175" t="s">
        <v>0</v>
      </c>
      <c r="AM255" s="175" t="s">
        <v>0</v>
      </c>
      <c r="AN255" s="175" t="s">
        <v>0</v>
      </c>
      <c r="AO255" s="175" t="s">
        <v>0</v>
      </c>
      <c r="AP255" s="175" t="s">
        <v>0</v>
      </c>
      <c r="AQ255" s="175" t="s">
        <v>0</v>
      </c>
      <c r="AR255" s="175" t="s">
        <v>0</v>
      </c>
      <c r="AS255" s="175" t="s">
        <v>0</v>
      </c>
      <c r="AT255" s="175" t="s">
        <v>0</v>
      </c>
      <c r="AU255" s="175" t="s">
        <v>0</v>
      </c>
      <c r="AV255" s="175" t="s">
        <v>0</v>
      </c>
      <c r="AW255" s="175" t="s">
        <v>0</v>
      </c>
      <c r="AX255" s="175" t="s">
        <v>0</v>
      </c>
      <c r="AY255" s="175" t="s">
        <v>0</v>
      </c>
      <c r="AZ255" s="175" t="s">
        <v>0</v>
      </c>
      <c r="BA255" s="175" t="s">
        <v>0</v>
      </c>
      <c r="BB255" s="175" t="s">
        <v>0</v>
      </c>
      <c r="BC255" s="175" t="s">
        <v>0</v>
      </c>
      <c r="BD255" s="175" t="s">
        <v>0</v>
      </c>
      <c r="BE255" s="175" t="s">
        <v>0</v>
      </c>
      <c r="BF255" s="175" t="s">
        <v>0</v>
      </c>
      <c r="BG255" s="175" t="s">
        <v>0</v>
      </c>
      <c r="BH255" s="175" t="s">
        <v>0</v>
      </c>
      <c r="BI255" s="176"/>
    </row>
    <row r="256" spans="1:61" x14ac:dyDescent="0.25">
      <c r="A256" s="22">
        <f t="shared" si="21"/>
        <v>250</v>
      </c>
      <c r="B256" s="214" t="str">
        <f t="shared" si="22"/>
        <v>F0014826103</v>
      </c>
      <c r="C256" s="214" t="str">
        <f t="shared" si="23"/>
        <v>82115-0EZ40 B</v>
      </c>
      <c r="D256" s="45" t="str">
        <f>VLOOKUP(B256,'Timing Table'!B:J,9,0)</f>
        <v>C/O</v>
      </c>
      <c r="E256" s="22" t="str">
        <f>VLOOKUP(B256,'Timing Table'!B:H,7,0)</f>
        <v>GAS</v>
      </c>
      <c r="F256" s="177" t="s">
        <v>58</v>
      </c>
      <c r="G256" s="178" t="s">
        <v>58</v>
      </c>
      <c r="H256" s="179" t="s">
        <v>58</v>
      </c>
      <c r="I256" s="180" t="s">
        <v>58</v>
      </c>
      <c r="J256" s="180" t="s">
        <v>0</v>
      </c>
      <c r="K256" s="180" t="s">
        <v>0</v>
      </c>
      <c r="L256" s="180" t="s">
        <v>0</v>
      </c>
      <c r="M256" s="180" t="s">
        <v>0</v>
      </c>
      <c r="N256" s="180" t="s">
        <v>0</v>
      </c>
      <c r="O256" s="180" t="s">
        <v>0</v>
      </c>
      <c r="P256" s="180" t="s">
        <v>0</v>
      </c>
      <c r="Q256" s="180" t="s">
        <v>0</v>
      </c>
      <c r="R256" s="180" t="s">
        <v>0</v>
      </c>
      <c r="S256" s="180" t="s">
        <v>0</v>
      </c>
      <c r="T256" s="180" t="s">
        <v>0</v>
      </c>
      <c r="U256" s="180" t="s">
        <v>0</v>
      </c>
      <c r="V256" s="180" t="s">
        <v>0</v>
      </c>
      <c r="W256" s="180" t="s">
        <v>0</v>
      </c>
      <c r="X256" s="180" t="s">
        <v>0</v>
      </c>
      <c r="Y256" s="180" t="s">
        <v>0</v>
      </c>
      <c r="Z256" s="180" t="s">
        <v>0</v>
      </c>
      <c r="AA256" s="180" t="s">
        <v>0</v>
      </c>
      <c r="AB256" s="180" t="s">
        <v>0</v>
      </c>
      <c r="AC256" s="180" t="s">
        <v>0</v>
      </c>
      <c r="AD256" s="180" t="s">
        <v>0</v>
      </c>
      <c r="AE256" s="180" t="s">
        <v>0</v>
      </c>
      <c r="AF256" s="180" t="s">
        <v>0</v>
      </c>
      <c r="AG256" s="180" t="s">
        <v>0</v>
      </c>
      <c r="AH256" s="180" t="s">
        <v>0</v>
      </c>
      <c r="AI256" s="180" t="s">
        <v>0</v>
      </c>
      <c r="AJ256" s="180" t="s">
        <v>0</v>
      </c>
      <c r="AK256" s="180" t="s">
        <v>0</v>
      </c>
      <c r="AL256" s="180" t="s">
        <v>0</v>
      </c>
      <c r="AM256" s="180" t="s">
        <v>0</v>
      </c>
      <c r="AN256" s="180" t="s">
        <v>0</v>
      </c>
      <c r="AO256" s="180" t="s">
        <v>0</v>
      </c>
      <c r="AP256" s="180" t="s">
        <v>0</v>
      </c>
      <c r="AQ256" s="180" t="s">
        <v>0</v>
      </c>
      <c r="AR256" s="180" t="s">
        <v>0</v>
      </c>
      <c r="AS256" s="180" t="s">
        <v>0</v>
      </c>
      <c r="AT256" s="180" t="s">
        <v>0</v>
      </c>
      <c r="AU256" s="180" t="s">
        <v>0</v>
      </c>
      <c r="AV256" s="180" t="s">
        <v>0</v>
      </c>
      <c r="AW256" s="180" t="s">
        <v>0</v>
      </c>
      <c r="AX256" s="180" t="s">
        <v>0</v>
      </c>
      <c r="AY256" s="180" t="s">
        <v>0</v>
      </c>
      <c r="AZ256" s="180" t="s">
        <v>0</v>
      </c>
      <c r="BA256" s="180" t="s">
        <v>0</v>
      </c>
      <c r="BB256" s="180" t="s">
        <v>0</v>
      </c>
      <c r="BC256" s="180" t="s">
        <v>0</v>
      </c>
      <c r="BD256" s="180" t="s">
        <v>0</v>
      </c>
      <c r="BE256" s="180" t="s">
        <v>0</v>
      </c>
      <c r="BF256" s="180" t="s">
        <v>0</v>
      </c>
      <c r="BG256" s="180" t="s">
        <v>0</v>
      </c>
      <c r="BH256" s="180" t="s">
        <v>0</v>
      </c>
      <c r="BI256" s="181"/>
    </row>
    <row r="257" spans="1:61" x14ac:dyDescent="0.25">
      <c r="A257" s="22">
        <f t="shared" si="21"/>
        <v>251</v>
      </c>
      <c r="B257" s="214" t="str">
        <f t="shared" si="22"/>
        <v>F0014826203</v>
      </c>
      <c r="C257" s="214" t="str">
        <f t="shared" si="23"/>
        <v>82115-0EZ90 B</v>
      </c>
      <c r="D257" s="45" t="str">
        <f>VLOOKUP(B257,'Timing Table'!B:J,9,0)</f>
        <v>C/O</v>
      </c>
      <c r="E257" s="22" t="str">
        <f>VLOOKUP(B257,'Timing Table'!B:H,7,0)</f>
        <v>GAS</v>
      </c>
      <c r="F257" s="121" t="s">
        <v>59</v>
      </c>
      <c r="G257" s="146">
        <v>5501017980</v>
      </c>
      <c r="H257" s="121" t="s">
        <v>60</v>
      </c>
      <c r="I257" s="146">
        <v>91</v>
      </c>
      <c r="J257" s="121" t="s">
        <v>61</v>
      </c>
      <c r="K257" s="125">
        <v>1177767</v>
      </c>
      <c r="L257" s="126"/>
      <c r="M257" s="147" t="s">
        <v>62</v>
      </c>
      <c r="N257" s="148"/>
      <c r="O257" s="149">
        <v>46086</v>
      </c>
      <c r="P257" s="121" t="s">
        <v>63</v>
      </c>
      <c r="Q257" s="146">
        <v>4</v>
      </c>
      <c r="R257" s="6" t="s">
        <v>0</v>
      </c>
      <c r="S257" s="7" t="s">
        <v>0</v>
      </c>
      <c r="T257" s="7" t="s">
        <v>0</v>
      </c>
      <c r="U257" s="7" t="s">
        <v>0</v>
      </c>
      <c r="V257" s="7" t="s">
        <v>0</v>
      </c>
      <c r="W257" s="7" t="s">
        <v>0</v>
      </c>
      <c r="X257" s="7" t="s">
        <v>0</v>
      </c>
      <c r="Y257" s="7" t="s">
        <v>0</v>
      </c>
      <c r="Z257" s="7" t="s">
        <v>0</v>
      </c>
      <c r="AA257" s="7" t="s">
        <v>0</v>
      </c>
      <c r="AB257" s="7" t="s">
        <v>0</v>
      </c>
      <c r="AC257" s="7" t="s">
        <v>0</v>
      </c>
      <c r="AD257" s="7" t="s">
        <v>0</v>
      </c>
      <c r="AE257" s="7" t="s">
        <v>0</v>
      </c>
      <c r="AF257" s="7" t="s">
        <v>0</v>
      </c>
      <c r="AG257" s="7" t="s">
        <v>0</v>
      </c>
      <c r="AH257" s="7" t="s">
        <v>0</v>
      </c>
      <c r="AI257" s="7" t="s">
        <v>0</v>
      </c>
      <c r="AJ257" s="7" t="s">
        <v>0</v>
      </c>
      <c r="AK257" s="7" t="s">
        <v>0</v>
      </c>
      <c r="AL257" s="7" t="s">
        <v>0</v>
      </c>
      <c r="AM257" s="7" t="s">
        <v>0</v>
      </c>
      <c r="AN257" s="7" t="s">
        <v>0</v>
      </c>
      <c r="AO257" s="7" t="s">
        <v>0</v>
      </c>
      <c r="AP257" s="7" t="s">
        <v>0</v>
      </c>
      <c r="AQ257" s="7" t="s">
        <v>0</v>
      </c>
      <c r="AR257" s="7" t="s">
        <v>0</v>
      </c>
      <c r="AS257" s="7" t="s">
        <v>0</v>
      </c>
      <c r="AT257" s="7" t="s">
        <v>0</v>
      </c>
      <c r="AU257" s="7" t="s">
        <v>0</v>
      </c>
      <c r="AV257" s="7" t="s">
        <v>0</v>
      </c>
      <c r="AW257" s="7" t="s">
        <v>0</v>
      </c>
      <c r="AX257" s="7" t="s">
        <v>0</v>
      </c>
      <c r="AY257" s="7" t="s">
        <v>0</v>
      </c>
      <c r="AZ257" s="7" t="s">
        <v>0</v>
      </c>
      <c r="BA257" s="7" t="s">
        <v>0</v>
      </c>
      <c r="BB257" s="7" t="s">
        <v>0</v>
      </c>
      <c r="BC257" s="7" t="s">
        <v>0</v>
      </c>
      <c r="BD257" s="7" t="s">
        <v>0</v>
      </c>
      <c r="BE257" s="7" t="s">
        <v>0</v>
      </c>
      <c r="BF257" s="7" t="s">
        <v>0</v>
      </c>
      <c r="BG257" s="7" t="s">
        <v>0</v>
      </c>
      <c r="BH257" s="7" t="s">
        <v>0</v>
      </c>
      <c r="BI257" s="8"/>
    </row>
    <row r="258" spans="1:61" x14ac:dyDescent="0.25">
      <c r="A258" s="22">
        <f t="shared" si="21"/>
        <v>252</v>
      </c>
      <c r="B258" s="214" t="str">
        <f t="shared" si="22"/>
        <v>F0014826203</v>
      </c>
      <c r="C258" s="214" t="str">
        <f t="shared" si="23"/>
        <v>82115-0EZ90 B</v>
      </c>
      <c r="D258" s="45" t="str">
        <f>VLOOKUP(B258,'Timing Table'!B:J,9,0)</f>
        <v>C/O</v>
      </c>
      <c r="E258" s="22" t="str">
        <f>VLOOKUP(B258,'Timing Table'!B:H,7,0)</f>
        <v>GAS</v>
      </c>
      <c r="F258" s="121" t="s">
        <v>64</v>
      </c>
      <c r="G258" s="146" t="s">
        <v>193</v>
      </c>
      <c r="H258" s="121" t="s">
        <v>65</v>
      </c>
      <c r="I258" s="150" t="s">
        <v>207</v>
      </c>
      <c r="J258" s="151"/>
      <c r="K258" s="151"/>
      <c r="L258" s="152"/>
      <c r="M258" s="121" t="s">
        <v>66</v>
      </c>
      <c r="N258" s="146">
        <v>2025</v>
      </c>
      <c r="O258" s="140" t="s">
        <v>67</v>
      </c>
      <c r="P258" s="141"/>
      <c r="Q258" s="153" t="s">
        <v>203</v>
      </c>
      <c r="R258" s="122" t="s">
        <v>0</v>
      </c>
      <c r="S258" s="123" t="s">
        <v>0</v>
      </c>
      <c r="T258" s="123" t="s">
        <v>0</v>
      </c>
      <c r="U258" s="123" t="s">
        <v>0</v>
      </c>
      <c r="V258" s="123" t="s">
        <v>0</v>
      </c>
      <c r="W258" s="123" t="s">
        <v>0</v>
      </c>
      <c r="X258" s="123" t="s">
        <v>0</v>
      </c>
      <c r="Y258" s="123" t="s">
        <v>0</v>
      </c>
      <c r="Z258" s="123" t="s">
        <v>0</v>
      </c>
      <c r="AA258" s="123" t="s">
        <v>0</v>
      </c>
      <c r="AB258" s="123" t="s">
        <v>0</v>
      </c>
      <c r="AC258" s="123" t="s">
        <v>0</v>
      </c>
      <c r="AD258" s="123" t="s">
        <v>0</v>
      </c>
      <c r="AE258" s="123" t="s">
        <v>0</v>
      </c>
      <c r="AF258" s="123" t="s">
        <v>0</v>
      </c>
      <c r="AG258" s="123" t="s">
        <v>0</v>
      </c>
      <c r="AH258" s="123" t="s">
        <v>0</v>
      </c>
      <c r="AI258" s="123" t="s">
        <v>0</v>
      </c>
      <c r="AJ258" s="123" t="s">
        <v>0</v>
      </c>
      <c r="AK258" s="123" t="s">
        <v>0</v>
      </c>
      <c r="AL258" s="123" t="s">
        <v>0</v>
      </c>
      <c r="AM258" s="123" t="s">
        <v>0</v>
      </c>
      <c r="AN258" s="123" t="s">
        <v>0</v>
      </c>
      <c r="AO258" s="123" t="s">
        <v>0</v>
      </c>
      <c r="AP258" s="123" t="s">
        <v>0</v>
      </c>
      <c r="AQ258" s="123" t="s">
        <v>0</v>
      </c>
      <c r="AR258" s="123" t="s">
        <v>0</v>
      </c>
      <c r="AS258" s="123" t="s">
        <v>0</v>
      </c>
      <c r="AT258" s="123" t="s">
        <v>0</v>
      </c>
      <c r="AU258" s="123" t="s">
        <v>0</v>
      </c>
      <c r="AV258" s="123" t="s">
        <v>0</v>
      </c>
      <c r="AW258" s="123" t="s">
        <v>0</v>
      </c>
      <c r="AX258" s="123" t="s">
        <v>0</v>
      </c>
      <c r="AY258" s="123" t="s">
        <v>0</v>
      </c>
      <c r="AZ258" s="123" t="s">
        <v>0</v>
      </c>
      <c r="BA258" s="123" t="s">
        <v>0</v>
      </c>
      <c r="BB258" s="123" t="s">
        <v>0</v>
      </c>
      <c r="BC258" s="123" t="s">
        <v>0</v>
      </c>
      <c r="BD258" s="123" t="s">
        <v>0</v>
      </c>
      <c r="BE258" s="123" t="s">
        <v>0</v>
      </c>
      <c r="BF258" s="123" t="s">
        <v>0</v>
      </c>
      <c r="BG258" s="123" t="s">
        <v>0</v>
      </c>
      <c r="BH258" s="123" t="s">
        <v>0</v>
      </c>
      <c r="BI258" s="124"/>
    </row>
    <row r="259" spans="1:61" x14ac:dyDescent="0.25">
      <c r="A259" s="22">
        <f t="shared" si="21"/>
        <v>253</v>
      </c>
      <c r="B259" s="214" t="str">
        <f t="shared" si="22"/>
        <v>F0014826203</v>
      </c>
      <c r="C259" s="214" t="str">
        <f t="shared" si="23"/>
        <v>82115-0EZ90 B</v>
      </c>
      <c r="D259" s="45" t="str">
        <f>VLOOKUP(B259,'Timing Table'!B:J,9,0)</f>
        <v>C/O</v>
      </c>
      <c r="E259" s="22" t="str">
        <f>VLOOKUP(B259,'Timing Table'!B:H,7,0)</f>
        <v>GAS</v>
      </c>
      <c r="F259" s="121" t="s">
        <v>68</v>
      </c>
      <c r="G259" s="146" t="s">
        <v>351</v>
      </c>
      <c r="H259" s="121" t="s">
        <v>69</v>
      </c>
      <c r="I259" s="154" t="s">
        <v>58</v>
      </c>
      <c r="J259" s="155" t="s">
        <v>0</v>
      </c>
      <c r="K259" s="156" t="s">
        <v>0</v>
      </c>
      <c r="L259" s="157" t="s">
        <v>0</v>
      </c>
      <c r="M259" s="134" t="s">
        <v>0</v>
      </c>
      <c r="N259" s="134" t="s">
        <v>0</v>
      </c>
      <c r="O259" s="134" t="s">
        <v>0</v>
      </c>
      <c r="P259" s="134" t="s">
        <v>0</v>
      </c>
      <c r="Q259" s="134" t="s">
        <v>1</v>
      </c>
      <c r="R259" s="134" t="s">
        <v>2</v>
      </c>
      <c r="S259" s="134" t="s">
        <v>0</v>
      </c>
      <c r="T259" s="134" t="s">
        <v>0</v>
      </c>
      <c r="U259" s="134" t="s">
        <v>0</v>
      </c>
      <c r="V259" s="134" t="s">
        <v>0</v>
      </c>
      <c r="W259" s="134" t="s">
        <v>0</v>
      </c>
      <c r="X259" s="134" t="s">
        <v>0</v>
      </c>
      <c r="Y259" s="134" t="s">
        <v>0</v>
      </c>
      <c r="Z259" s="134" t="s">
        <v>3</v>
      </c>
      <c r="AA259" s="134" t="s">
        <v>0</v>
      </c>
      <c r="AB259" s="134" t="s">
        <v>0</v>
      </c>
      <c r="AC259" s="134" t="s">
        <v>0</v>
      </c>
      <c r="AD259" s="134" t="s">
        <v>0</v>
      </c>
      <c r="AE259" s="134" t="s">
        <v>0</v>
      </c>
      <c r="AF259" s="134" t="s">
        <v>0</v>
      </c>
      <c r="AG259" s="134" t="s">
        <v>0</v>
      </c>
      <c r="AH259" s="134" t="s">
        <v>0</v>
      </c>
      <c r="AI259" s="134" t="s">
        <v>0</v>
      </c>
      <c r="AJ259" s="134" t="s">
        <v>0</v>
      </c>
      <c r="AK259" s="134" t="s">
        <v>0</v>
      </c>
      <c r="AL259" s="134" t="s">
        <v>0</v>
      </c>
      <c r="AM259" s="134" t="s">
        <v>0</v>
      </c>
      <c r="AN259" s="134" t="s">
        <v>0</v>
      </c>
      <c r="AO259" s="134" t="s">
        <v>0</v>
      </c>
      <c r="AP259" s="134" t="s">
        <v>0</v>
      </c>
      <c r="AQ259" s="134" t="s">
        <v>0</v>
      </c>
      <c r="AR259" s="134" t="s">
        <v>0</v>
      </c>
      <c r="AS259" s="134" t="s">
        <v>0</v>
      </c>
      <c r="AT259" s="134" t="s">
        <v>0</v>
      </c>
      <c r="AU259" s="134" t="s">
        <v>0</v>
      </c>
      <c r="AV259" s="134" t="s">
        <v>0</v>
      </c>
      <c r="AW259" s="134" t="s">
        <v>0</v>
      </c>
      <c r="AX259" s="134" t="s">
        <v>0</v>
      </c>
      <c r="AY259" s="134" t="s">
        <v>0</v>
      </c>
      <c r="AZ259" s="134" t="s">
        <v>0</v>
      </c>
      <c r="BA259" s="134" t="s">
        <v>0</v>
      </c>
      <c r="BB259" s="134" t="s">
        <v>0</v>
      </c>
      <c r="BC259" s="134" t="s">
        <v>0</v>
      </c>
      <c r="BD259" s="134" t="s">
        <v>0</v>
      </c>
      <c r="BE259" s="134" t="s">
        <v>0</v>
      </c>
      <c r="BF259" s="134" t="s">
        <v>0</v>
      </c>
      <c r="BG259" s="134" t="s">
        <v>0</v>
      </c>
      <c r="BH259" s="134" t="s">
        <v>0</v>
      </c>
      <c r="BI259" s="135" t="s">
        <v>4</v>
      </c>
    </row>
    <row r="260" spans="1:61" x14ac:dyDescent="0.25">
      <c r="A260" s="22">
        <f t="shared" si="21"/>
        <v>254</v>
      </c>
      <c r="B260" s="214" t="str">
        <f t="shared" si="22"/>
        <v>F0014826203</v>
      </c>
      <c r="C260" s="214" t="str">
        <f t="shared" si="23"/>
        <v>82115-0EZ90 B</v>
      </c>
      <c r="D260" s="45" t="str">
        <f>VLOOKUP(B260,'Timing Table'!B:J,9,0)</f>
        <v>C/O</v>
      </c>
      <c r="E260" s="22" t="str">
        <f>VLOOKUP(B260,'Timing Table'!B:H,7,0)</f>
        <v>GAS</v>
      </c>
      <c r="F260" s="121" t="s">
        <v>70</v>
      </c>
      <c r="G260" s="146">
        <v>3268</v>
      </c>
      <c r="H260" s="158" t="s">
        <v>241</v>
      </c>
      <c r="I260" s="159" t="s">
        <v>71</v>
      </c>
      <c r="J260" s="13">
        <v>46041</v>
      </c>
      <c r="K260" s="14">
        <v>46048</v>
      </c>
      <c r="L260" s="14">
        <v>46055</v>
      </c>
      <c r="M260" s="14">
        <v>46062</v>
      </c>
      <c r="N260" s="14">
        <v>46069</v>
      </c>
      <c r="O260" s="14">
        <v>46076</v>
      </c>
      <c r="P260" s="14">
        <v>46083</v>
      </c>
      <c r="Q260" s="14">
        <v>46090</v>
      </c>
      <c r="R260" s="14">
        <v>46097</v>
      </c>
      <c r="S260" s="14">
        <v>46104</v>
      </c>
      <c r="T260" s="14">
        <v>46111</v>
      </c>
      <c r="U260" s="14">
        <v>46118</v>
      </c>
      <c r="V260" s="14">
        <v>46125</v>
      </c>
      <c r="W260" s="14">
        <v>46132</v>
      </c>
      <c r="X260" s="14">
        <v>46139</v>
      </c>
      <c r="Y260" s="14">
        <v>46146</v>
      </c>
      <c r="Z260" s="14">
        <v>46153</v>
      </c>
      <c r="AA260" s="14">
        <v>46160</v>
      </c>
      <c r="AB260" s="14">
        <v>46167</v>
      </c>
      <c r="AC260" s="14">
        <v>46174</v>
      </c>
      <c r="AD260" s="14">
        <v>46181</v>
      </c>
      <c r="AE260" s="14">
        <v>46188</v>
      </c>
      <c r="AF260" s="14">
        <v>46195</v>
      </c>
      <c r="AG260" s="14">
        <v>46202</v>
      </c>
      <c r="AH260" s="14">
        <v>46209</v>
      </c>
      <c r="AI260" s="14">
        <v>46216</v>
      </c>
      <c r="AJ260" s="14">
        <v>46223</v>
      </c>
      <c r="AK260" s="14">
        <v>46230</v>
      </c>
      <c r="AL260" s="14">
        <v>46237</v>
      </c>
      <c r="AM260" s="14">
        <v>46244</v>
      </c>
      <c r="AN260" s="14">
        <v>46251</v>
      </c>
      <c r="AO260" s="14">
        <v>46258</v>
      </c>
      <c r="AP260" s="14">
        <v>46265</v>
      </c>
      <c r="AQ260" s="14">
        <v>46272</v>
      </c>
      <c r="AR260" s="14">
        <v>46279</v>
      </c>
      <c r="AS260" s="14">
        <v>46286</v>
      </c>
      <c r="AT260" s="14">
        <v>46293</v>
      </c>
      <c r="AU260" s="14">
        <v>46300</v>
      </c>
      <c r="AV260" s="14">
        <v>46307</v>
      </c>
      <c r="AW260" s="14">
        <v>46314</v>
      </c>
      <c r="AX260" s="14">
        <v>46321</v>
      </c>
      <c r="AY260" s="14">
        <v>46328</v>
      </c>
      <c r="AZ260" s="14">
        <v>46335</v>
      </c>
      <c r="BA260" s="14">
        <v>46342</v>
      </c>
      <c r="BB260" s="14">
        <v>46349</v>
      </c>
      <c r="BC260" s="14">
        <v>46356</v>
      </c>
      <c r="BD260" s="14">
        <v>46363</v>
      </c>
      <c r="BE260" s="14">
        <v>46370</v>
      </c>
      <c r="BF260" s="14">
        <v>46377</v>
      </c>
      <c r="BG260" s="14">
        <v>46384</v>
      </c>
      <c r="BH260" s="14">
        <v>46391</v>
      </c>
      <c r="BI260" s="15">
        <v>46398</v>
      </c>
    </row>
    <row r="261" spans="1:61" x14ac:dyDescent="0.25">
      <c r="A261" s="22">
        <f t="shared" si="21"/>
        <v>255</v>
      </c>
      <c r="B261" s="214" t="str">
        <f t="shared" si="22"/>
        <v>F0014826203</v>
      </c>
      <c r="C261" s="214" t="str">
        <f t="shared" si="23"/>
        <v>82115-0EZ90 B</v>
      </c>
      <c r="D261" s="45" t="str">
        <f>VLOOKUP(B261,'Timing Table'!B:J,9,0)</f>
        <v>C/O</v>
      </c>
      <c r="E261" s="22" t="str">
        <f>VLOOKUP(B261,'Timing Table'!B:H,7,0)</f>
        <v>GAS</v>
      </c>
      <c r="F261" s="121" t="s">
        <v>72</v>
      </c>
      <c r="G261" s="146">
        <v>3840</v>
      </c>
      <c r="H261" s="5" t="s">
        <v>58</v>
      </c>
      <c r="I261" s="11" t="s">
        <v>83</v>
      </c>
      <c r="J261" s="16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17"/>
    </row>
    <row r="262" spans="1:61" x14ac:dyDescent="0.25">
      <c r="A262" s="22">
        <f t="shared" si="21"/>
        <v>256</v>
      </c>
      <c r="B262" s="214" t="str">
        <f t="shared" si="22"/>
        <v>F0014826203</v>
      </c>
      <c r="C262" s="214" t="str">
        <f t="shared" si="23"/>
        <v>82115-0EZ90 B</v>
      </c>
      <c r="D262" s="45" t="str">
        <f>VLOOKUP(B262,'Timing Table'!B:J,9,0)</f>
        <v>C/O</v>
      </c>
      <c r="E262" s="22" t="str">
        <f>VLOOKUP(B262,'Timing Table'!B:H,7,0)</f>
        <v>GAS</v>
      </c>
      <c r="F262" s="121" t="s">
        <v>73</v>
      </c>
      <c r="G262" s="160" t="s">
        <v>130</v>
      </c>
      <c r="H262" s="9" t="s">
        <v>129</v>
      </c>
      <c r="I262" s="11" t="s">
        <v>74</v>
      </c>
      <c r="J262" s="117">
        <v>216</v>
      </c>
      <c r="K262" s="50">
        <v>0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  <c r="Q262" s="50">
        <v>0</v>
      </c>
      <c r="R262" s="50">
        <v>0</v>
      </c>
      <c r="S262" s="50">
        <v>0</v>
      </c>
      <c r="T262" s="50">
        <v>0</v>
      </c>
      <c r="U262" s="50">
        <v>0</v>
      </c>
      <c r="V262" s="50">
        <v>0</v>
      </c>
      <c r="W262" s="50">
        <v>0</v>
      </c>
      <c r="X262" s="50">
        <v>0</v>
      </c>
      <c r="Y262" s="50">
        <v>0</v>
      </c>
      <c r="Z262" s="50">
        <v>0</v>
      </c>
      <c r="AA262" s="50">
        <v>0</v>
      </c>
      <c r="AB262" s="50">
        <v>0</v>
      </c>
      <c r="AC262" s="50">
        <v>0</v>
      </c>
      <c r="AD262" s="50">
        <v>0</v>
      </c>
      <c r="AE262" s="50">
        <v>0</v>
      </c>
      <c r="AF262" s="50">
        <v>0</v>
      </c>
      <c r="AG262" s="50">
        <v>0</v>
      </c>
      <c r="AH262" s="50">
        <v>0</v>
      </c>
      <c r="AI262" s="50">
        <v>0</v>
      </c>
      <c r="AJ262" s="50">
        <v>0</v>
      </c>
      <c r="AK262" s="50">
        <v>0</v>
      </c>
      <c r="AL262" s="50">
        <v>0</v>
      </c>
      <c r="AM262" s="50">
        <v>0</v>
      </c>
      <c r="AN262" s="50">
        <v>0</v>
      </c>
      <c r="AO262" s="50">
        <v>0</v>
      </c>
      <c r="AP262" s="50">
        <v>0</v>
      </c>
      <c r="AQ262" s="50">
        <v>0</v>
      </c>
      <c r="AR262" s="50">
        <v>0</v>
      </c>
      <c r="AS262" s="50">
        <v>0</v>
      </c>
      <c r="AT262" s="50">
        <v>0</v>
      </c>
      <c r="AU262" s="50">
        <v>0</v>
      </c>
      <c r="AV262" s="50">
        <v>0</v>
      </c>
      <c r="AW262" s="50">
        <v>0</v>
      </c>
      <c r="AX262" s="50">
        <v>0</v>
      </c>
      <c r="AY262" s="50">
        <v>0</v>
      </c>
      <c r="AZ262" s="50">
        <v>0</v>
      </c>
      <c r="BA262" s="50">
        <v>0</v>
      </c>
      <c r="BB262" s="50">
        <v>0</v>
      </c>
      <c r="BC262" s="50">
        <v>0</v>
      </c>
      <c r="BD262" s="50">
        <v>0</v>
      </c>
      <c r="BE262" s="50">
        <v>0</v>
      </c>
      <c r="BF262" s="50">
        <v>0</v>
      </c>
      <c r="BG262" s="50">
        <v>0</v>
      </c>
      <c r="BH262" s="50">
        <v>0</v>
      </c>
      <c r="BI262" s="118">
        <v>0</v>
      </c>
    </row>
    <row r="263" spans="1:61" x14ac:dyDescent="0.25">
      <c r="A263" s="22">
        <f t="shared" ref="A263:A327" si="24">+A262+1</f>
        <v>257</v>
      </c>
      <c r="B263" s="214" t="str">
        <f t="shared" si="22"/>
        <v>F0014826203</v>
      </c>
      <c r="C263" s="214" t="str">
        <f t="shared" si="23"/>
        <v>82115-0EZ90 B</v>
      </c>
      <c r="D263" s="45" t="str">
        <f>VLOOKUP(B263,'Timing Table'!B:J,9,0)</f>
        <v>C/O</v>
      </c>
      <c r="E263" s="22" t="str">
        <f>VLOOKUP(B263,'Timing Table'!B:H,7,0)</f>
        <v>GAS</v>
      </c>
      <c r="F263" s="121" t="s">
        <v>75</v>
      </c>
      <c r="G263" s="146">
        <v>82115</v>
      </c>
      <c r="H263" s="10" t="s">
        <v>129</v>
      </c>
      <c r="I263" s="12" t="s">
        <v>76</v>
      </c>
      <c r="J263" s="161">
        <v>3268</v>
      </c>
      <c r="K263" s="162">
        <v>3268</v>
      </c>
      <c r="L263" s="162">
        <v>3268</v>
      </c>
      <c r="M263" s="162">
        <v>3268</v>
      </c>
      <c r="N263" s="162">
        <v>3268</v>
      </c>
      <c r="O263" s="162">
        <v>3268</v>
      </c>
      <c r="P263" s="162">
        <v>3268</v>
      </c>
      <c r="Q263" s="162">
        <v>3268</v>
      </c>
      <c r="R263" s="162">
        <v>3268</v>
      </c>
      <c r="S263" s="162">
        <v>3268</v>
      </c>
      <c r="T263" s="162">
        <v>3268</v>
      </c>
      <c r="U263" s="162">
        <v>3268</v>
      </c>
      <c r="V263" s="162">
        <v>3268</v>
      </c>
      <c r="W263" s="162">
        <v>3268</v>
      </c>
      <c r="X263" s="162">
        <v>3268</v>
      </c>
      <c r="Y263" s="162">
        <v>3268</v>
      </c>
      <c r="Z263" s="162">
        <v>3268</v>
      </c>
      <c r="AA263" s="162">
        <v>3268</v>
      </c>
      <c r="AB263" s="162">
        <v>3268</v>
      </c>
      <c r="AC263" s="162">
        <v>3268</v>
      </c>
      <c r="AD263" s="162">
        <v>3268</v>
      </c>
      <c r="AE263" s="162">
        <v>3268</v>
      </c>
      <c r="AF263" s="162">
        <v>3268</v>
      </c>
      <c r="AG263" s="162">
        <v>3268</v>
      </c>
      <c r="AH263" s="162">
        <v>3268</v>
      </c>
      <c r="AI263" s="162">
        <v>3268</v>
      </c>
      <c r="AJ263" s="162">
        <v>3268</v>
      </c>
      <c r="AK263" s="162">
        <v>3268</v>
      </c>
      <c r="AL263" s="162">
        <v>3268</v>
      </c>
      <c r="AM263" s="162">
        <v>3268</v>
      </c>
      <c r="AN263" s="162">
        <v>3268</v>
      </c>
      <c r="AO263" s="162">
        <v>3268</v>
      </c>
      <c r="AP263" s="162">
        <v>3268</v>
      </c>
      <c r="AQ263" s="162">
        <v>3268</v>
      </c>
      <c r="AR263" s="162">
        <v>3268</v>
      </c>
      <c r="AS263" s="162">
        <v>3268</v>
      </c>
      <c r="AT263" s="162">
        <v>3268</v>
      </c>
      <c r="AU263" s="162">
        <v>3268</v>
      </c>
      <c r="AV263" s="162">
        <v>3268</v>
      </c>
      <c r="AW263" s="162">
        <v>3268</v>
      </c>
      <c r="AX263" s="162">
        <v>3268</v>
      </c>
      <c r="AY263" s="162">
        <v>3268</v>
      </c>
      <c r="AZ263" s="162">
        <v>3268</v>
      </c>
      <c r="BA263" s="162">
        <v>3268</v>
      </c>
      <c r="BB263" s="162">
        <v>3268</v>
      </c>
      <c r="BC263" s="162">
        <v>3268</v>
      </c>
      <c r="BD263" s="162">
        <v>3268</v>
      </c>
      <c r="BE263" s="162">
        <v>3268</v>
      </c>
      <c r="BF263" s="162">
        <v>3268</v>
      </c>
      <c r="BG263" s="162">
        <v>3268</v>
      </c>
      <c r="BH263" s="162">
        <v>3268</v>
      </c>
      <c r="BI263" s="163">
        <v>3268</v>
      </c>
    </row>
    <row r="264" spans="1:61" x14ac:dyDescent="0.25">
      <c r="A264" s="22">
        <f t="shared" si="24"/>
        <v>258</v>
      </c>
      <c r="B264" s="214" t="str">
        <f t="shared" si="22"/>
        <v>F0014826203</v>
      </c>
      <c r="C264" s="214" t="str">
        <f t="shared" si="23"/>
        <v>82115-0EZ90 B</v>
      </c>
      <c r="D264" s="45" t="str">
        <f>VLOOKUP(B264,'Timing Table'!B:J,9,0)</f>
        <v>C/O</v>
      </c>
      <c r="E264" s="22" t="str">
        <f>VLOOKUP(B264,'Timing Table'!B:H,7,0)</f>
        <v>GAS</v>
      </c>
      <c r="F264" s="164" t="s">
        <v>77</v>
      </c>
      <c r="G264" s="165">
        <v>3052</v>
      </c>
      <c r="H264" s="166" t="s">
        <v>78</v>
      </c>
      <c r="I264" s="167"/>
      <c r="J264" s="168" t="s">
        <v>303</v>
      </c>
      <c r="K264" s="169"/>
      <c r="L264" s="170" t="s">
        <v>0</v>
      </c>
      <c r="M264" s="170" t="s">
        <v>0</v>
      </c>
      <c r="N264" s="170" t="s">
        <v>0</v>
      </c>
      <c r="O264" s="170" t="s">
        <v>0</v>
      </c>
      <c r="P264" s="170" t="s">
        <v>0</v>
      </c>
      <c r="Q264" s="170" t="s">
        <v>0</v>
      </c>
      <c r="R264" s="170" t="s">
        <v>0</v>
      </c>
      <c r="S264" s="170" t="s">
        <v>0</v>
      </c>
      <c r="T264" s="170" t="s">
        <v>0</v>
      </c>
      <c r="U264" s="170" t="s">
        <v>0</v>
      </c>
      <c r="V264" s="170" t="s">
        <v>0</v>
      </c>
      <c r="W264" s="170" t="s">
        <v>0</v>
      </c>
      <c r="X264" s="170" t="s">
        <v>0</v>
      </c>
      <c r="Y264" s="170" t="s">
        <v>0</v>
      </c>
      <c r="Z264" s="170" t="s">
        <v>0</v>
      </c>
      <c r="AA264" s="170" t="s">
        <v>0</v>
      </c>
      <c r="AB264" s="170" t="s">
        <v>0</v>
      </c>
      <c r="AC264" s="170" t="s">
        <v>0</v>
      </c>
      <c r="AD264" s="170" t="s">
        <v>0</v>
      </c>
      <c r="AE264" s="170" t="s">
        <v>0</v>
      </c>
      <c r="AF264" s="170" t="s">
        <v>0</v>
      </c>
      <c r="AG264" s="170" t="s">
        <v>0</v>
      </c>
      <c r="AH264" s="170" t="s">
        <v>0</v>
      </c>
      <c r="AI264" s="170" t="s">
        <v>0</v>
      </c>
      <c r="AJ264" s="170" t="s">
        <v>0</v>
      </c>
      <c r="AK264" s="170" t="s">
        <v>0</v>
      </c>
      <c r="AL264" s="170" t="s">
        <v>0</v>
      </c>
      <c r="AM264" s="170" t="s">
        <v>0</v>
      </c>
      <c r="AN264" s="170" t="s">
        <v>0</v>
      </c>
      <c r="AO264" s="170" t="s">
        <v>0</v>
      </c>
      <c r="AP264" s="170" t="s">
        <v>0</v>
      </c>
      <c r="AQ264" s="170" t="s">
        <v>0</v>
      </c>
      <c r="AR264" s="170" t="s">
        <v>0</v>
      </c>
      <c r="AS264" s="170" t="s">
        <v>0</v>
      </c>
      <c r="AT264" s="170" t="s">
        <v>0</v>
      </c>
      <c r="AU264" s="170" t="s">
        <v>0</v>
      </c>
      <c r="AV264" s="170" t="s">
        <v>0</v>
      </c>
      <c r="AW264" s="170" t="s">
        <v>0</v>
      </c>
      <c r="AX264" s="170" t="s">
        <v>0</v>
      </c>
      <c r="AY264" s="170" t="s">
        <v>0</v>
      </c>
      <c r="AZ264" s="170" t="s">
        <v>0</v>
      </c>
      <c r="BA264" s="170" t="s">
        <v>0</v>
      </c>
      <c r="BB264" s="170" t="s">
        <v>0</v>
      </c>
      <c r="BC264" s="170" t="s">
        <v>0</v>
      </c>
      <c r="BD264" s="170" t="s">
        <v>0</v>
      </c>
      <c r="BE264" s="170" t="s">
        <v>0</v>
      </c>
      <c r="BF264" s="170" t="s">
        <v>0</v>
      </c>
      <c r="BG264" s="170" t="s">
        <v>0</v>
      </c>
      <c r="BH264" s="170" t="s">
        <v>0</v>
      </c>
      <c r="BI264" s="171"/>
    </row>
    <row r="265" spans="1:61" x14ac:dyDescent="0.25">
      <c r="A265" s="22">
        <f t="shared" si="24"/>
        <v>259</v>
      </c>
      <c r="B265" s="214" t="str">
        <f t="shared" si="22"/>
        <v>F0014826203</v>
      </c>
      <c r="C265" s="214" t="str">
        <f t="shared" si="23"/>
        <v>82115-0EZ90 B</v>
      </c>
      <c r="D265" s="45" t="str">
        <f>VLOOKUP(B265,'Timing Table'!B:J,9,0)</f>
        <v>C/O</v>
      </c>
      <c r="E265" s="22" t="str">
        <f>VLOOKUP(B265,'Timing Table'!B:H,7,0)</f>
        <v>GAS</v>
      </c>
      <c r="F265" s="172" t="s">
        <v>79</v>
      </c>
      <c r="G265" s="173" t="s">
        <v>58</v>
      </c>
      <c r="H265" s="174" t="s">
        <v>58</v>
      </c>
      <c r="I265" s="175" t="s">
        <v>58</v>
      </c>
      <c r="J265" s="175" t="s">
        <v>0</v>
      </c>
      <c r="K265" s="175" t="s">
        <v>0</v>
      </c>
      <c r="L265" s="175" t="s">
        <v>0</v>
      </c>
      <c r="M265" s="175" t="s">
        <v>0</v>
      </c>
      <c r="N265" s="175" t="s">
        <v>0</v>
      </c>
      <c r="O265" s="175" t="s">
        <v>0</v>
      </c>
      <c r="P265" s="175" t="s">
        <v>0</v>
      </c>
      <c r="Q265" s="175" t="s">
        <v>0</v>
      </c>
      <c r="R265" s="175" t="s">
        <v>0</v>
      </c>
      <c r="S265" s="175" t="s">
        <v>0</v>
      </c>
      <c r="T265" s="175" t="s">
        <v>0</v>
      </c>
      <c r="U265" s="175" t="s">
        <v>0</v>
      </c>
      <c r="V265" s="175" t="s">
        <v>0</v>
      </c>
      <c r="W265" s="175" t="s">
        <v>0</v>
      </c>
      <c r="X265" s="175" t="s">
        <v>0</v>
      </c>
      <c r="Y265" s="175" t="s">
        <v>0</v>
      </c>
      <c r="Z265" s="175" t="s">
        <v>0</v>
      </c>
      <c r="AA265" s="175" t="s">
        <v>0</v>
      </c>
      <c r="AB265" s="175" t="s">
        <v>0</v>
      </c>
      <c r="AC265" s="175" t="s">
        <v>0</v>
      </c>
      <c r="AD265" s="175" t="s">
        <v>0</v>
      </c>
      <c r="AE265" s="175" t="s">
        <v>0</v>
      </c>
      <c r="AF265" s="175" t="s">
        <v>0</v>
      </c>
      <c r="AG265" s="175" t="s">
        <v>0</v>
      </c>
      <c r="AH265" s="175" t="s">
        <v>0</v>
      </c>
      <c r="AI265" s="175" t="s">
        <v>0</v>
      </c>
      <c r="AJ265" s="175" t="s">
        <v>0</v>
      </c>
      <c r="AK265" s="175" t="s">
        <v>0</v>
      </c>
      <c r="AL265" s="175" t="s">
        <v>0</v>
      </c>
      <c r="AM265" s="175" t="s">
        <v>0</v>
      </c>
      <c r="AN265" s="175" t="s">
        <v>0</v>
      </c>
      <c r="AO265" s="175" t="s">
        <v>0</v>
      </c>
      <c r="AP265" s="175" t="s">
        <v>0</v>
      </c>
      <c r="AQ265" s="175" t="s">
        <v>0</v>
      </c>
      <c r="AR265" s="175" t="s">
        <v>0</v>
      </c>
      <c r="AS265" s="175" t="s">
        <v>0</v>
      </c>
      <c r="AT265" s="175" t="s">
        <v>0</v>
      </c>
      <c r="AU265" s="175" t="s">
        <v>0</v>
      </c>
      <c r="AV265" s="175" t="s">
        <v>0</v>
      </c>
      <c r="AW265" s="175" t="s">
        <v>0</v>
      </c>
      <c r="AX265" s="175" t="s">
        <v>0</v>
      </c>
      <c r="AY265" s="175" t="s">
        <v>0</v>
      </c>
      <c r="AZ265" s="175" t="s">
        <v>0</v>
      </c>
      <c r="BA265" s="175" t="s">
        <v>0</v>
      </c>
      <c r="BB265" s="175" t="s">
        <v>0</v>
      </c>
      <c r="BC265" s="175" t="s">
        <v>0</v>
      </c>
      <c r="BD265" s="175" t="s">
        <v>0</v>
      </c>
      <c r="BE265" s="175" t="s">
        <v>0</v>
      </c>
      <c r="BF265" s="175" t="s">
        <v>0</v>
      </c>
      <c r="BG265" s="175" t="s">
        <v>0</v>
      </c>
      <c r="BH265" s="175" t="s">
        <v>0</v>
      </c>
      <c r="BI265" s="176"/>
    </row>
    <row r="266" spans="1:61" x14ac:dyDescent="0.25">
      <c r="A266" s="22">
        <f t="shared" si="24"/>
        <v>260</v>
      </c>
      <c r="B266" s="214" t="str">
        <f t="shared" si="22"/>
        <v>F0014826203</v>
      </c>
      <c r="C266" s="214" t="str">
        <f t="shared" si="23"/>
        <v>82115-0EZ90 B</v>
      </c>
      <c r="D266" s="45" t="str">
        <f>VLOOKUP(B266,'Timing Table'!B:J,9,0)</f>
        <v>C/O</v>
      </c>
      <c r="E266" s="22" t="str">
        <f>VLOOKUP(B266,'Timing Table'!B:H,7,0)</f>
        <v>GAS</v>
      </c>
      <c r="F266" s="177" t="s">
        <v>58</v>
      </c>
      <c r="G266" s="178" t="s">
        <v>58</v>
      </c>
      <c r="H266" s="179" t="s">
        <v>58</v>
      </c>
      <c r="I266" s="180" t="s">
        <v>58</v>
      </c>
      <c r="J266" s="180" t="s">
        <v>0</v>
      </c>
      <c r="K266" s="180" t="s">
        <v>0</v>
      </c>
      <c r="L266" s="180" t="s">
        <v>0</v>
      </c>
      <c r="M266" s="180" t="s">
        <v>0</v>
      </c>
      <c r="N266" s="180" t="s">
        <v>0</v>
      </c>
      <c r="O266" s="180" t="s">
        <v>0</v>
      </c>
      <c r="P266" s="180" t="s">
        <v>0</v>
      </c>
      <c r="Q266" s="180" t="s">
        <v>0</v>
      </c>
      <c r="R266" s="180" t="s">
        <v>0</v>
      </c>
      <c r="S266" s="180" t="s">
        <v>0</v>
      </c>
      <c r="T266" s="180" t="s">
        <v>0</v>
      </c>
      <c r="U266" s="180" t="s">
        <v>0</v>
      </c>
      <c r="V266" s="180" t="s">
        <v>0</v>
      </c>
      <c r="W266" s="180" t="s">
        <v>0</v>
      </c>
      <c r="X266" s="180" t="s">
        <v>0</v>
      </c>
      <c r="Y266" s="180" t="s">
        <v>0</v>
      </c>
      <c r="Z266" s="180" t="s">
        <v>0</v>
      </c>
      <c r="AA266" s="180" t="s">
        <v>0</v>
      </c>
      <c r="AB266" s="180" t="s">
        <v>0</v>
      </c>
      <c r="AC266" s="180" t="s">
        <v>0</v>
      </c>
      <c r="AD266" s="180" t="s">
        <v>0</v>
      </c>
      <c r="AE266" s="180" t="s">
        <v>0</v>
      </c>
      <c r="AF266" s="180" t="s">
        <v>0</v>
      </c>
      <c r="AG266" s="180" t="s">
        <v>0</v>
      </c>
      <c r="AH266" s="180" t="s">
        <v>0</v>
      </c>
      <c r="AI266" s="180" t="s">
        <v>0</v>
      </c>
      <c r="AJ266" s="180" t="s">
        <v>0</v>
      </c>
      <c r="AK266" s="180" t="s">
        <v>0</v>
      </c>
      <c r="AL266" s="180" t="s">
        <v>0</v>
      </c>
      <c r="AM266" s="180" t="s">
        <v>0</v>
      </c>
      <c r="AN266" s="180" t="s">
        <v>0</v>
      </c>
      <c r="AO266" s="180" t="s">
        <v>0</v>
      </c>
      <c r="AP266" s="180" t="s">
        <v>0</v>
      </c>
      <c r="AQ266" s="180" t="s">
        <v>0</v>
      </c>
      <c r="AR266" s="180" t="s">
        <v>0</v>
      </c>
      <c r="AS266" s="180" t="s">
        <v>0</v>
      </c>
      <c r="AT266" s="180" t="s">
        <v>0</v>
      </c>
      <c r="AU266" s="180" t="s">
        <v>0</v>
      </c>
      <c r="AV266" s="180" t="s">
        <v>0</v>
      </c>
      <c r="AW266" s="180" t="s">
        <v>0</v>
      </c>
      <c r="AX266" s="180" t="s">
        <v>0</v>
      </c>
      <c r="AY266" s="180" t="s">
        <v>0</v>
      </c>
      <c r="AZ266" s="180" t="s">
        <v>0</v>
      </c>
      <c r="BA266" s="180" t="s">
        <v>0</v>
      </c>
      <c r="BB266" s="180" t="s">
        <v>0</v>
      </c>
      <c r="BC266" s="180" t="s">
        <v>0</v>
      </c>
      <c r="BD266" s="180" t="s">
        <v>0</v>
      </c>
      <c r="BE266" s="180" t="s">
        <v>0</v>
      </c>
      <c r="BF266" s="180" t="s">
        <v>0</v>
      </c>
      <c r="BG266" s="180" t="s">
        <v>0</v>
      </c>
      <c r="BH266" s="180" t="s">
        <v>0</v>
      </c>
      <c r="BI266" s="181"/>
    </row>
    <row r="267" spans="1:61" x14ac:dyDescent="0.25">
      <c r="A267" s="22">
        <f t="shared" si="24"/>
        <v>261</v>
      </c>
      <c r="B267" s="214" t="str">
        <f t="shared" si="22"/>
        <v>F0014826301</v>
      </c>
      <c r="C267" s="214" t="str">
        <f t="shared" si="23"/>
        <v>82115-0EZ70</v>
      </c>
      <c r="D267" s="45" t="str">
        <f>VLOOKUP(B267,'Timing Table'!B:J,9,0)</f>
        <v>C/O</v>
      </c>
      <c r="E267" s="22" t="str">
        <f>VLOOKUP(B267,'Timing Table'!B:H,7,0)</f>
        <v>GAS</v>
      </c>
      <c r="F267" s="121" t="s">
        <v>59</v>
      </c>
      <c r="G267" s="146">
        <v>5500990625</v>
      </c>
      <c r="H267" s="121" t="s">
        <v>60</v>
      </c>
      <c r="I267" s="146">
        <v>156</v>
      </c>
      <c r="J267" s="121" t="s">
        <v>61</v>
      </c>
      <c r="K267" s="125">
        <v>1121484</v>
      </c>
      <c r="L267" s="126"/>
      <c r="M267" s="147" t="s">
        <v>62</v>
      </c>
      <c r="N267" s="148"/>
      <c r="O267" s="149">
        <v>46086</v>
      </c>
      <c r="P267" s="121" t="s">
        <v>63</v>
      </c>
      <c r="Q267" s="146">
        <v>4</v>
      </c>
      <c r="R267" s="6" t="s">
        <v>0</v>
      </c>
      <c r="S267" s="7" t="s">
        <v>0</v>
      </c>
      <c r="T267" s="7" t="s">
        <v>0</v>
      </c>
      <c r="U267" s="7" t="s">
        <v>0</v>
      </c>
      <c r="V267" s="7" t="s">
        <v>0</v>
      </c>
      <c r="W267" s="7" t="s">
        <v>0</v>
      </c>
      <c r="X267" s="7" t="s">
        <v>0</v>
      </c>
      <c r="Y267" s="7" t="s">
        <v>0</v>
      </c>
      <c r="Z267" s="7" t="s">
        <v>0</v>
      </c>
      <c r="AA267" s="7" t="s">
        <v>0</v>
      </c>
      <c r="AB267" s="7" t="s">
        <v>0</v>
      </c>
      <c r="AC267" s="7" t="s">
        <v>0</v>
      </c>
      <c r="AD267" s="7" t="s">
        <v>0</v>
      </c>
      <c r="AE267" s="7" t="s">
        <v>0</v>
      </c>
      <c r="AF267" s="7" t="s">
        <v>0</v>
      </c>
      <c r="AG267" s="7" t="s">
        <v>0</v>
      </c>
      <c r="AH267" s="7" t="s">
        <v>0</v>
      </c>
      <c r="AI267" s="7" t="s">
        <v>0</v>
      </c>
      <c r="AJ267" s="7" t="s">
        <v>0</v>
      </c>
      <c r="AK267" s="7" t="s">
        <v>0</v>
      </c>
      <c r="AL267" s="7" t="s">
        <v>0</v>
      </c>
      <c r="AM267" s="7" t="s">
        <v>0</v>
      </c>
      <c r="AN267" s="7" t="s">
        <v>0</v>
      </c>
      <c r="AO267" s="7" t="s">
        <v>0</v>
      </c>
      <c r="AP267" s="7" t="s">
        <v>0</v>
      </c>
      <c r="AQ267" s="7" t="s">
        <v>0</v>
      </c>
      <c r="AR267" s="7" t="s">
        <v>0</v>
      </c>
      <c r="AS267" s="7" t="s">
        <v>0</v>
      </c>
      <c r="AT267" s="7" t="s">
        <v>0</v>
      </c>
      <c r="AU267" s="7" t="s">
        <v>0</v>
      </c>
      <c r="AV267" s="7" t="s">
        <v>0</v>
      </c>
      <c r="AW267" s="7" t="s">
        <v>0</v>
      </c>
      <c r="AX267" s="7" t="s">
        <v>0</v>
      </c>
      <c r="AY267" s="7" t="s">
        <v>0</v>
      </c>
      <c r="AZ267" s="7" t="s">
        <v>0</v>
      </c>
      <c r="BA267" s="7" t="s">
        <v>0</v>
      </c>
      <c r="BB267" s="7" t="s">
        <v>0</v>
      </c>
      <c r="BC267" s="7" t="s">
        <v>0</v>
      </c>
      <c r="BD267" s="7" t="s">
        <v>0</v>
      </c>
      <c r="BE267" s="7" t="s">
        <v>0</v>
      </c>
      <c r="BF267" s="7" t="s">
        <v>0</v>
      </c>
      <c r="BG267" s="7" t="s">
        <v>0</v>
      </c>
      <c r="BH267" s="7" t="s">
        <v>0</v>
      </c>
      <c r="BI267" s="8"/>
    </row>
    <row r="268" spans="1:61" x14ac:dyDescent="0.25">
      <c r="A268" s="22">
        <f t="shared" si="24"/>
        <v>262</v>
      </c>
      <c r="B268" s="214" t="str">
        <f t="shared" si="22"/>
        <v>F0014826301</v>
      </c>
      <c r="C268" s="214" t="str">
        <f t="shared" si="23"/>
        <v>82115-0EZ70</v>
      </c>
      <c r="D268" s="45" t="str">
        <f>VLOOKUP(B268,'Timing Table'!B:J,9,0)</f>
        <v>C/O</v>
      </c>
      <c r="E268" s="22" t="str">
        <f>VLOOKUP(B268,'Timing Table'!B:H,7,0)</f>
        <v>GAS</v>
      </c>
      <c r="F268" s="121" t="s">
        <v>64</v>
      </c>
      <c r="G268" s="146" t="s">
        <v>141</v>
      </c>
      <c r="H268" s="121" t="s">
        <v>65</v>
      </c>
      <c r="I268" s="150" t="s">
        <v>142</v>
      </c>
      <c r="J268" s="151"/>
      <c r="K268" s="151"/>
      <c r="L268" s="152"/>
      <c r="M268" s="121" t="s">
        <v>66</v>
      </c>
      <c r="N268" s="146">
        <v>2025</v>
      </c>
      <c r="O268" s="140" t="s">
        <v>67</v>
      </c>
      <c r="P268" s="141"/>
      <c r="Q268" s="153" t="s">
        <v>133</v>
      </c>
      <c r="R268" s="122" t="s">
        <v>0</v>
      </c>
      <c r="S268" s="123" t="s">
        <v>0</v>
      </c>
      <c r="T268" s="123" t="s">
        <v>0</v>
      </c>
      <c r="U268" s="123" t="s">
        <v>0</v>
      </c>
      <c r="V268" s="123" t="s">
        <v>0</v>
      </c>
      <c r="W268" s="123" t="s">
        <v>0</v>
      </c>
      <c r="X268" s="123" t="s">
        <v>0</v>
      </c>
      <c r="Y268" s="123" t="s">
        <v>0</v>
      </c>
      <c r="Z268" s="123" t="s">
        <v>0</v>
      </c>
      <c r="AA268" s="123" t="s">
        <v>0</v>
      </c>
      <c r="AB268" s="123" t="s">
        <v>0</v>
      </c>
      <c r="AC268" s="123" t="s">
        <v>0</v>
      </c>
      <c r="AD268" s="123" t="s">
        <v>0</v>
      </c>
      <c r="AE268" s="123" t="s">
        <v>0</v>
      </c>
      <c r="AF268" s="123" t="s">
        <v>0</v>
      </c>
      <c r="AG268" s="123" t="s">
        <v>0</v>
      </c>
      <c r="AH268" s="123" t="s">
        <v>0</v>
      </c>
      <c r="AI268" s="123" t="s">
        <v>0</v>
      </c>
      <c r="AJ268" s="123" t="s">
        <v>0</v>
      </c>
      <c r="AK268" s="123" t="s">
        <v>0</v>
      </c>
      <c r="AL268" s="123" t="s">
        <v>0</v>
      </c>
      <c r="AM268" s="123" t="s">
        <v>0</v>
      </c>
      <c r="AN268" s="123" t="s">
        <v>0</v>
      </c>
      <c r="AO268" s="123" t="s">
        <v>0</v>
      </c>
      <c r="AP268" s="123" t="s">
        <v>0</v>
      </c>
      <c r="AQ268" s="123" t="s">
        <v>0</v>
      </c>
      <c r="AR268" s="123" t="s">
        <v>0</v>
      </c>
      <c r="AS268" s="123" t="s">
        <v>0</v>
      </c>
      <c r="AT268" s="123" t="s">
        <v>0</v>
      </c>
      <c r="AU268" s="123" t="s">
        <v>0</v>
      </c>
      <c r="AV268" s="123" t="s">
        <v>0</v>
      </c>
      <c r="AW268" s="123" t="s">
        <v>0</v>
      </c>
      <c r="AX268" s="123" t="s">
        <v>0</v>
      </c>
      <c r="AY268" s="123" t="s">
        <v>0</v>
      </c>
      <c r="AZ268" s="123" t="s">
        <v>0</v>
      </c>
      <c r="BA268" s="123" t="s">
        <v>0</v>
      </c>
      <c r="BB268" s="123" t="s">
        <v>0</v>
      </c>
      <c r="BC268" s="123" t="s">
        <v>0</v>
      </c>
      <c r="BD268" s="123" t="s">
        <v>0</v>
      </c>
      <c r="BE268" s="123" t="s">
        <v>0</v>
      </c>
      <c r="BF268" s="123" t="s">
        <v>0</v>
      </c>
      <c r="BG268" s="123" t="s">
        <v>0</v>
      </c>
      <c r="BH268" s="123" t="s">
        <v>0</v>
      </c>
      <c r="BI268" s="124"/>
    </row>
    <row r="269" spans="1:61" x14ac:dyDescent="0.25">
      <c r="A269" s="22">
        <f t="shared" si="24"/>
        <v>263</v>
      </c>
      <c r="B269" s="214" t="str">
        <f t="shared" si="22"/>
        <v>F0014826301</v>
      </c>
      <c r="C269" s="214" t="str">
        <f t="shared" si="23"/>
        <v>82115-0EZ70</v>
      </c>
      <c r="D269" s="45" t="str">
        <f>VLOOKUP(B269,'Timing Table'!B:J,9,0)</f>
        <v>C/O</v>
      </c>
      <c r="E269" s="22" t="str">
        <f>VLOOKUP(B269,'Timing Table'!B:H,7,0)</f>
        <v>GAS</v>
      </c>
      <c r="F269" s="121" t="s">
        <v>68</v>
      </c>
      <c r="G269" s="146" t="s">
        <v>127</v>
      </c>
      <c r="H269" s="121" t="s">
        <v>69</v>
      </c>
      <c r="I269" s="154" t="s">
        <v>58</v>
      </c>
      <c r="J269" s="155" t="s">
        <v>0</v>
      </c>
      <c r="K269" s="156" t="s">
        <v>0</v>
      </c>
      <c r="L269" s="157" t="s">
        <v>0</v>
      </c>
      <c r="M269" s="134" t="s">
        <v>0</v>
      </c>
      <c r="N269" s="134" t="s">
        <v>0</v>
      </c>
      <c r="O269" s="134" t="s">
        <v>0</v>
      </c>
      <c r="P269" s="134" t="s">
        <v>0</v>
      </c>
      <c r="Q269" s="134" t="s">
        <v>1</v>
      </c>
      <c r="R269" s="134" t="s">
        <v>2</v>
      </c>
      <c r="S269" s="134" t="s">
        <v>0</v>
      </c>
      <c r="T269" s="134" t="s">
        <v>0</v>
      </c>
      <c r="U269" s="134" t="s">
        <v>0</v>
      </c>
      <c r="V269" s="134" t="s">
        <v>0</v>
      </c>
      <c r="W269" s="134" t="s">
        <v>0</v>
      </c>
      <c r="X269" s="134" t="s">
        <v>0</v>
      </c>
      <c r="Y269" s="134" t="s">
        <v>0</v>
      </c>
      <c r="Z269" s="134" t="s">
        <v>3</v>
      </c>
      <c r="AA269" s="134" t="s">
        <v>0</v>
      </c>
      <c r="AB269" s="134" t="s">
        <v>0</v>
      </c>
      <c r="AC269" s="134" t="s">
        <v>0</v>
      </c>
      <c r="AD269" s="134" t="s">
        <v>0</v>
      </c>
      <c r="AE269" s="134" t="s">
        <v>0</v>
      </c>
      <c r="AF269" s="134" t="s">
        <v>0</v>
      </c>
      <c r="AG269" s="134" t="s">
        <v>0</v>
      </c>
      <c r="AH269" s="134" t="s">
        <v>0</v>
      </c>
      <c r="AI269" s="134" t="s">
        <v>0</v>
      </c>
      <c r="AJ269" s="134" t="s">
        <v>0</v>
      </c>
      <c r="AK269" s="134" t="s">
        <v>0</v>
      </c>
      <c r="AL269" s="134" t="s">
        <v>0</v>
      </c>
      <c r="AM269" s="134" t="s">
        <v>0</v>
      </c>
      <c r="AN269" s="134" t="s">
        <v>0</v>
      </c>
      <c r="AO269" s="134" t="s">
        <v>0</v>
      </c>
      <c r="AP269" s="134" t="s">
        <v>0</v>
      </c>
      <c r="AQ269" s="134" t="s">
        <v>0</v>
      </c>
      <c r="AR269" s="134" t="s">
        <v>0</v>
      </c>
      <c r="AS269" s="134" t="s">
        <v>0</v>
      </c>
      <c r="AT269" s="134" t="s">
        <v>0</v>
      </c>
      <c r="AU269" s="134" t="s">
        <v>0</v>
      </c>
      <c r="AV269" s="134" t="s">
        <v>0</v>
      </c>
      <c r="AW269" s="134" t="s">
        <v>0</v>
      </c>
      <c r="AX269" s="134" t="s">
        <v>0</v>
      </c>
      <c r="AY269" s="134" t="s">
        <v>0</v>
      </c>
      <c r="AZ269" s="134" t="s">
        <v>0</v>
      </c>
      <c r="BA269" s="134" t="s">
        <v>0</v>
      </c>
      <c r="BB269" s="134" t="s">
        <v>0</v>
      </c>
      <c r="BC269" s="134" t="s">
        <v>0</v>
      </c>
      <c r="BD269" s="134" t="s">
        <v>0</v>
      </c>
      <c r="BE269" s="134" t="s">
        <v>0</v>
      </c>
      <c r="BF269" s="134" t="s">
        <v>0</v>
      </c>
      <c r="BG269" s="134" t="s">
        <v>0</v>
      </c>
      <c r="BH269" s="134" t="s">
        <v>0</v>
      </c>
      <c r="BI269" s="135" t="s">
        <v>4</v>
      </c>
    </row>
    <row r="270" spans="1:61" x14ac:dyDescent="0.25">
      <c r="A270" s="22">
        <f t="shared" si="24"/>
        <v>264</v>
      </c>
      <c r="B270" s="214" t="str">
        <f t="shared" si="22"/>
        <v>F0014826301</v>
      </c>
      <c r="C270" s="214" t="str">
        <f t="shared" si="23"/>
        <v>82115-0EZ70</v>
      </c>
      <c r="D270" s="45" t="str">
        <f>VLOOKUP(B270,'Timing Table'!B:J,9,0)</f>
        <v>C/O</v>
      </c>
      <c r="E270" s="22" t="str">
        <f>VLOOKUP(B270,'Timing Table'!B:H,7,0)</f>
        <v>GAS</v>
      </c>
      <c r="F270" s="121" t="s">
        <v>70</v>
      </c>
      <c r="G270" s="146">
        <v>4</v>
      </c>
      <c r="H270" s="158" t="s">
        <v>241</v>
      </c>
      <c r="I270" s="159" t="s">
        <v>71</v>
      </c>
      <c r="J270" s="13">
        <v>46041</v>
      </c>
      <c r="K270" s="14">
        <v>46048</v>
      </c>
      <c r="L270" s="14">
        <v>46055</v>
      </c>
      <c r="M270" s="14">
        <v>46062</v>
      </c>
      <c r="N270" s="14">
        <v>46069</v>
      </c>
      <c r="O270" s="14">
        <v>46076</v>
      </c>
      <c r="P270" s="14">
        <v>46083</v>
      </c>
      <c r="Q270" s="14">
        <v>46090</v>
      </c>
      <c r="R270" s="14">
        <v>46097</v>
      </c>
      <c r="S270" s="14">
        <v>46104</v>
      </c>
      <c r="T270" s="14">
        <v>46111</v>
      </c>
      <c r="U270" s="14">
        <v>46118</v>
      </c>
      <c r="V270" s="14">
        <v>46125</v>
      </c>
      <c r="W270" s="14">
        <v>46132</v>
      </c>
      <c r="X270" s="14">
        <v>46139</v>
      </c>
      <c r="Y270" s="14">
        <v>46146</v>
      </c>
      <c r="Z270" s="14">
        <v>46153</v>
      </c>
      <c r="AA270" s="14">
        <v>46160</v>
      </c>
      <c r="AB270" s="14">
        <v>46167</v>
      </c>
      <c r="AC270" s="14">
        <v>46174</v>
      </c>
      <c r="AD270" s="14">
        <v>46181</v>
      </c>
      <c r="AE270" s="14">
        <v>46188</v>
      </c>
      <c r="AF270" s="14">
        <v>46195</v>
      </c>
      <c r="AG270" s="14">
        <v>46202</v>
      </c>
      <c r="AH270" s="14">
        <v>46209</v>
      </c>
      <c r="AI270" s="14">
        <v>46216</v>
      </c>
      <c r="AJ270" s="14">
        <v>46223</v>
      </c>
      <c r="AK270" s="14">
        <v>46230</v>
      </c>
      <c r="AL270" s="14">
        <v>46237</v>
      </c>
      <c r="AM270" s="14">
        <v>46244</v>
      </c>
      <c r="AN270" s="14">
        <v>46251</v>
      </c>
      <c r="AO270" s="14">
        <v>46258</v>
      </c>
      <c r="AP270" s="14">
        <v>46265</v>
      </c>
      <c r="AQ270" s="14">
        <v>46272</v>
      </c>
      <c r="AR270" s="14">
        <v>46279</v>
      </c>
      <c r="AS270" s="14">
        <v>46286</v>
      </c>
      <c r="AT270" s="14">
        <v>46293</v>
      </c>
      <c r="AU270" s="14">
        <v>46300</v>
      </c>
      <c r="AV270" s="14">
        <v>46307</v>
      </c>
      <c r="AW270" s="14">
        <v>46314</v>
      </c>
      <c r="AX270" s="14">
        <v>46321</v>
      </c>
      <c r="AY270" s="14">
        <v>46328</v>
      </c>
      <c r="AZ270" s="14">
        <v>46335</v>
      </c>
      <c r="BA270" s="14">
        <v>46342</v>
      </c>
      <c r="BB270" s="14">
        <v>46349</v>
      </c>
      <c r="BC270" s="14">
        <v>46356</v>
      </c>
      <c r="BD270" s="14">
        <v>46363</v>
      </c>
      <c r="BE270" s="14">
        <v>46370</v>
      </c>
      <c r="BF270" s="14">
        <v>46377</v>
      </c>
      <c r="BG270" s="14">
        <v>46384</v>
      </c>
      <c r="BH270" s="14">
        <v>46391</v>
      </c>
      <c r="BI270" s="15">
        <v>46398</v>
      </c>
    </row>
    <row r="271" spans="1:61" x14ac:dyDescent="0.25">
      <c r="A271" s="22">
        <f t="shared" si="24"/>
        <v>265</v>
      </c>
      <c r="B271" s="214" t="str">
        <f t="shared" si="22"/>
        <v>F0014826301</v>
      </c>
      <c r="C271" s="214" t="str">
        <f t="shared" si="23"/>
        <v>82115-0EZ70</v>
      </c>
      <c r="D271" s="45" t="str">
        <f>VLOOKUP(B271,'Timing Table'!B:J,9,0)</f>
        <v>C/O</v>
      </c>
      <c r="E271" s="22" t="str">
        <f>VLOOKUP(B271,'Timing Table'!B:H,7,0)</f>
        <v>GAS</v>
      </c>
      <c r="F271" s="121" t="s">
        <v>72</v>
      </c>
      <c r="G271" s="146">
        <v>4</v>
      </c>
      <c r="H271" s="5" t="s">
        <v>58</v>
      </c>
      <c r="I271" s="11" t="s">
        <v>83</v>
      </c>
      <c r="J271" s="16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17"/>
    </row>
    <row r="272" spans="1:61" x14ac:dyDescent="0.25">
      <c r="A272" s="22">
        <f t="shared" si="24"/>
        <v>266</v>
      </c>
      <c r="B272" s="214" t="str">
        <f t="shared" si="22"/>
        <v>F0014826301</v>
      </c>
      <c r="C272" s="214" t="str">
        <f t="shared" si="23"/>
        <v>82115-0EZ70</v>
      </c>
      <c r="D272" s="45" t="str">
        <f>VLOOKUP(B272,'Timing Table'!B:J,9,0)</f>
        <v>C/O</v>
      </c>
      <c r="E272" s="22" t="str">
        <f>VLOOKUP(B272,'Timing Table'!B:H,7,0)</f>
        <v>GAS</v>
      </c>
      <c r="F272" s="121" t="s">
        <v>73</v>
      </c>
      <c r="G272" s="160" t="s">
        <v>130</v>
      </c>
      <c r="H272" s="9" t="s">
        <v>127</v>
      </c>
      <c r="I272" s="11" t="s">
        <v>74</v>
      </c>
      <c r="J272" s="117">
        <v>0</v>
      </c>
      <c r="K272" s="50">
        <v>0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  <c r="Q272" s="50">
        <v>0</v>
      </c>
      <c r="R272" s="50">
        <v>0</v>
      </c>
      <c r="S272" s="50">
        <v>0</v>
      </c>
      <c r="T272" s="50">
        <v>0</v>
      </c>
      <c r="U272" s="50">
        <v>0</v>
      </c>
      <c r="V272" s="50">
        <v>0</v>
      </c>
      <c r="W272" s="50">
        <v>0</v>
      </c>
      <c r="X272" s="50">
        <v>0</v>
      </c>
      <c r="Y272" s="50">
        <v>0</v>
      </c>
      <c r="Z272" s="50">
        <v>0</v>
      </c>
      <c r="AA272" s="50">
        <v>0</v>
      </c>
      <c r="AB272" s="50">
        <v>0</v>
      </c>
      <c r="AC272" s="50">
        <v>0</v>
      </c>
      <c r="AD272" s="50">
        <v>0</v>
      </c>
      <c r="AE272" s="50">
        <v>0</v>
      </c>
      <c r="AF272" s="50">
        <v>0</v>
      </c>
      <c r="AG272" s="50">
        <v>0</v>
      </c>
      <c r="AH272" s="50">
        <v>0</v>
      </c>
      <c r="AI272" s="50">
        <v>0</v>
      </c>
      <c r="AJ272" s="50">
        <v>0</v>
      </c>
      <c r="AK272" s="50">
        <v>0</v>
      </c>
      <c r="AL272" s="50">
        <v>0</v>
      </c>
      <c r="AM272" s="50">
        <v>0</v>
      </c>
      <c r="AN272" s="50">
        <v>0</v>
      </c>
      <c r="AO272" s="50">
        <v>0</v>
      </c>
      <c r="AP272" s="50">
        <v>0</v>
      </c>
      <c r="AQ272" s="50">
        <v>0</v>
      </c>
      <c r="AR272" s="50">
        <v>0</v>
      </c>
      <c r="AS272" s="50">
        <v>0</v>
      </c>
      <c r="AT272" s="50">
        <v>0</v>
      </c>
      <c r="AU272" s="50">
        <v>0</v>
      </c>
      <c r="AV272" s="50">
        <v>0</v>
      </c>
      <c r="AW272" s="50">
        <v>0</v>
      </c>
      <c r="AX272" s="50">
        <v>0</v>
      </c>
      <c r="AY272" s="50">
        <v>0</v>
      </c>
      <c r="AZ272" s="50">
        <v>0</v>
      </c>
      <c r="BA272" s="50">
        <v>0</v>
      </c>
      <c r="BB272" s="50">
        <v>0</v>
      </c>
      <c r="BC272" s="50">
        <v>0</v>
      </c>
      <c r="BD272" s="50">
        <v>0</v>
      </c>
      <c r="BE272" s="50">
        <v>0</v>
      </c>
      <c r="BF272" s="50">
        <v>0</v>
      </c>
      <c r="BG272" s="50">
        <v>0</v>
      </c>
      <c r="BH272" s="50">
        <v>0</v>
      </c>
      <c r="BI272" s="118">
        <v>0</v>
      </c>
    </row>
    <row r="273" spans="1:61" x14ac:dyDescent="0.25">
      <c r="A273" s="22">
        <f t="shared" si="24"/>
        <v>267</v>
      </c>
      <c r="B273" s="214" t="str">
        <f t="shared" si="22"/>
        <v>F0014826301</v>
      </c>
      <c r="C273" s="214" t="str">
        <f t="shared" si="23"/>
        <v>82115-0EZ70</v>
      </c>
      <c r="D273" s="45" t="str">
        <f>VLOOKUP(B273,'Timing Table'!B:J,9,0)</f>
        <v>C/O</v>
      </c>
      <c r="E273" s="22" t="str">
        <f>VLOOKUP(B273,'Timing Table'!B:H,7,0)</f>
        <v>GAS</v>
      </c>
      <c r="F273" s="121" t="s">
        <v>75</v>
      </c>
      <c r="G273" s="146">
        <v>82115</v>
      </c>
      <c r="H273" s="10" t="s">
        <v>127</v>
      </c>
      <c r="I273" s="12" t="s">
        <v>76</v>
      </c>
      <c r="J273" s="161">
        <v>4</v>
      </c>
      <c r="K273" s="162">
        <v>4</v>
      </c>
      <c r="L273" s="162">
        <v>4</v>
      </c>
      <c r="M273" s="162">
        <v>4</v>
      </c>
      <c r="N273" s="162">
        <v>4</v>
      </c>
      <c r="O273" s="162">
        <v>4</v>
      </c>
      <c r="P273" s="162">
        <v>4</v>
      </c>
      <c r="Q273" s="162">
        <v>4</v>
      </c>
      <c r="R273" s="162">
        <v>4</v>
      </c>
      <c r="S273" s="162">
        <v>4</v>
      </c>
      <c r="T273" s="162">
        <v>4</v>
      </c>
      <c r="U273" s="162">
        <v>4</v>
      </c>
      <c r="V273" s="162">
        <v>4</v>
      </c>
      <c r="W273" s="162">
        <v>4</v>
      </c>
      <c r="X273" s="162">
        <v>4</v>
      </c>
      <c r="Y273" s="162">
        <v>4</v>
      </c>
      <c r="Z273" s="162">
        <v>4</v>
      </c>
      <c r="AA273" s="162">
        <v>4</v>
      </c>
      <c r="AB273" s="162">
        <v>4</v>
      </c>
      <c r="AC273" s="162">
        <v>4</v>
      </c>
      <c r="AD273" s="162">
        <v>4</v>
      </c>
      <c r="AE273" s="162">
        <v>4</v>
      </c>
      <c r="AF273" s="162">
        <v>4</v>
      </c>
      <c r="AG273" s="162">
        <v>4</v>
      </c>
      <c r="AH273" s="162">
        <v>4</v>
      </c>
      <c r="AI273" s="162">
        <v>4</v>
      </c>
      <c r="AJ273" s="162">
        <v>4</v>
      </c>
      <c r="AK273" s="162">
        <v>4</v>
      </c>
      <c r="AL273" s="162">
        <v>4</v>
      </c>
      <c r="AM273" s="162">
        <v>4</v>
      </c>
      <c r="AN273" s="162">
        <v>4</v>
      </c>
      <c r="AO273" s="162">
        <v>4</v>
      </c>
      <c r="AP273" s="162">
        <v>4</v>
      </c>
      <c r="AQ273" s="162">
        <v>4</v>
      </c>
      <c r="AR273" s="162">
        <v>4</v>
      </c>
      <c r="AS273" s="162">
        <v>4</v>
      </c>
      <c r="AT273" s="162">
        <v>4</v>
      </c>
      <c r="AU273" s="162">
        <v>4</v>
      </c>
      <c r="AV273" s="162">
        <v>4</v>
      </c>
      <c r="AW273" s="162">
        <v>4</v>
      </c>
      <c r="AX273" s="162">
        <v>4</v>
      </c>
      <c r="AY273" s="162">
        <v>4</v>
      </c>
      <c r="AZ273" s="162">
        <v>4</v>
      </c>
      <c r="BA273" s="162">
        <v>4</v>
      </c>
      <c r="BB273" s="162">
        <v>4</v>
      </c>
      <c r="BC273" s="162">
        <v>4</v>
      </c>
      <c r="BD273" s="162">
        <v>4</v>
      </c>
      <c r="BE273" s="162">
        <v>4</v>
      </c>
      <c r="BF273" s="162">
        <v>4</v>
      </c>
      <c r="BG273" s="162">
        <v>4</v>
      </c>
      <c r="BH273" s="162">
        <v>4</v>
      </c>
      <c r="BI273" s="162">
        <v>4</v>
      </c>
    </row>
    <row r="274" spans="1:61" x14ac:dyDescent="0.25">
      <c r="A274" s="22">
        <f t="shared" si="24"/>
        <v>268</v>
      </c>
      <c r="B274" s="214" t="str">
        <f t="shared" si="22"/>
        <v>F0014826301</v>
      </c>
      <c r="C274" s="214" t="str">
        <f t="shared" si="23"/>
        <v>82115-0EZ70</v>
      </c>
      <c r="D274" s="45" t="str">
        <f>VLOOKUP(B274,'Timing Table'!B:J,9,0)</f>
        <v>C/O</v>
      </c>
      <c r="E274" s="22" t="str">
        <f>VLOOKUP(B274,'Timing Table'!B:H,7,0)</f>
        <v>GAS</v>
      </c>
      <c r="F274" s="164" t="s">
        <v>77</v>
      </c>
      <c r="G274" s="165">
        <v>4</v>
      </c>
      <c r="H274" s="166" t="s">
        <v>78</v>
      </c>
      <c r="I274" s="167"/>
      <c r="J274" s="168" t="s">
        <v>160</v>
      </c>
      <c r="K274" s="169"/>
      <c r="L274" s="170" t="s">
        <v>0</v>
      </c>
      <c r="M274" s="170" t="s">
        <v>0</v>
      </c>
      <c r="N274" s="170" t="s">
        <v>0</v>
      </c>
      <c r="O274" s="170" t="s">
        <v>0</v>
      </c>
      <c r="P274" s="170" t="s">
        <v>0</v>
      </c>
      <c r="Q274" s="182" t="s">
        <v>0</v>
      </c>
      <c r="R274" s="170" t="s">
        <v>0</v>
      </c>
      <c r="S274" s="170" t="s">
        <v>0</v>
      </c>
      <c r="T274" s="170" t="s">
        <v>0</v>
      </c>
      <c r="U274" s="170" t="s">
        <v>0</v>
      </c>
      <c r="V274" s="170" t="s">
        <v>0</v>
      </c>
      <c r="W274" s="170" t="s">
        <v>0</v>
      </c>
      <c r="X274" s="170" t="s">
        <v>0</v>
      </c>
      <c r="Y274" s="170" t="s">
        <v>0</v>
      </c>
      <c r="Z274" s="170" t="s">
        <v>0</v>
      </c>
      <c r="AA274" s="170" t="s">
        <v>0</v>
      </c>
      <c r="AB274" s="170" t="s">
        <v>0</v>
      </c>
      <c r="AC274" s="170" t="s">
        <v>0</v>
      </c>
      <c r="AD274" s="170" t="s">
        <v>0</v>
      </c>
      <c r="AE274" s="170" t="s">
        <v>0</v>
      </c>
      <c r="AF274" s="170" t="s">
        <v>0</v>
      </c>
      <c r="AG274" s="170" t="s">
        <v>0</v>
      </c>
      <c r="AH274" s="170" t="s">
        <v>0</v>
      </c>
      <c r="AI274" s="170" t="s">
        <v>0</v>
      </c>
      <c r="AJ274" s="170" t="s">
        <v>0</v>
      </c>
      <c r="AK274" s="170" t="s">
        <v>0</v>
      </c>
      <c r="AL274" s="170" t="s">
        <v>0</v>
      </c>
      <c r="AM274" s="170" t="s">
        <v>0</v>
      </c>
      <c r="AN274" s="170" t="s">
        <v>0</v>
      </c>
      <c r="AO274" s="170" t="s">
        <v>0</v>
      </c>
      <c r="AP274" s="170" t="s">
        <v>0</v>
      </c>
      <c r="AQ274" s="170" t="s">
        <v>0</v>
      </c>
      <c r="AR274" s="170" t="s">
        <v>0</v>
      </c>
      <c r="AS274" s="170" t="s">
        <v>0</v>
      </c>
      <c r="AT274" s="170" t="s">
        <v>0</v>
      </c>
      <c r="AU274" s="170" t="s">
        <v>0</v>
      </c>
      <c r="AV274" s="170" t="s">
        <v>0</v>
      </c>
      <c r="AW274" s="170" t="s">
        <v>0</v>
      </c>
      <c r="AX274" s="170" t="s">
        <v>0</v>
      </c>
      <c r="AY274" s="170" t="s">
        <v>0</v>
      </c>
      <c r="AZ274" s="170" t="s">
        <v>0</v>
      </c>
      <c r="BA274" s="170" t="s">
        <v>0</v>
      </c>
      <c r="BB274" s="170" t="s">
        <v>0</v>
      </c>
      <c r="BC274" s="170" t="s">
        <v>0</v>
      </c>
      <c r="BD274" s="170" t="s">
        <v>0</v>
      </c>
      <c r="BE274" s="170" t="s">
        <v>0</v>
      </c>
      <c r="BF274" s="170" t="s">
        <v>0</v>
      </c>
      <c r="BG274" s="170" t="s">
        <v>0</v>
      </c>
      <c r="BH274" s="170" t="s">
        <v>0</v>
      </c>
      <c r="BI274" s="171"/>
    </row>
    <row r="275" spans="1:61" x14ac:dyDescent="0.25">
      <c r="A275" s="22">
        <f t="shared" si="24"/>
        <v>269</v>
      </c>
      <c r="B275" s="214" t="str">
        <f t="shared" ref="B275:B285" si="25">IF(F275=$F$7,G276,B274)</f>
        <v>F0014826301</v>
      </c>
      <c r="C275" s="214" t="str">
        <f t="shared" ref="C275:C284" si="26">IF(F275=$F$7,G277,C274)</f>
        <v>82115-0EZ70</v>
      </c>
      <c r="D275" s="45" t="str">
        <f>VLOOKUP(B275,'Timing Table'!B:J,9,0)</f>
        <v>C/O</v>
      </c>
      <c r="E275" s="22" t="str">
        <f>VLOOKUP(B275,'Timing Table'!B:H,7,0)</f>
        <v>GAS</v>
      </c>
      <c r="F275" s="172" t="s">
        <v>79</v>
      </c>
      <c r="G275" s="173" t="s">
        <v>58</v>
      </c>
      <c r="H275" s="174" t="s">
        <v>58</v>
      </c>
      <c r="I275" s="175" t="s">
        <v>58</v>
      </c>
      <c r="J275" s="175" t="s">
        <v>0</v>
      </c>
      <c r="K275" s="175" t="s">
        <v>0</v>
      </c>
      <c r="L275" s="175" t="s">
        <v>0</v>
      </c>
      <c r="M275" s="175" t="s">
        <v>0</v>
      </c>
      <c r="N275" s="175" t="s">
        <v>0</v>
      </c>
      <c r="O275" s="175" t="s">
        <v>0</v>
      </c>
      <c r="P275" s="175" t="s">
        <v>0</v>
      </c>
      <c r="Q275" s="183" t="s">
        <v>0</v>
      </c>
      <c r="R275" s="175" t="s">
        <v>0</v>
      </c>
      <c r="S275" s="175" t="s">
        <v>0</v>
      </c>
      <c r="T275" s="175" t="s">
        <v>0</v>
      </c>
      <c r="U275" s="175" t="s">
        <v>0</v>
      </c>
      <c r="V275" s="175" t="s">
        <v>0</v>
      </c>
      <c r="W275" s="175" t="s">
        <v>0</v>
      </c>
      <c r="X275" s="175" t="s">
        <v>0</v>
      </c>
      <c r="Y275" s="175" t="s">
        <v>0</v>
      </c>
      <c r="Z275" s="175" t="s">
        <v>0</v>
      </c>
      <c r="AA275" s="175" t="s">
        <v>0</v>
      </c>
      <c r="AB275" s="175" t="s">
        <v>0</v>
      </c>
      <c r="AC275" s="175" t="s">
        <v>0</v>
      </c>
      <c r="AD275" s="175" t="s">
        <v>0</v>
      </c>
      <c r="AE275" s="175" t="s">
        <v>0</v>
      </c>
      <c r="AF275" s="175" t="s">
        <v>0</v>
      </c>
      <c r="AG275" s="175" t="s">
        <v>0</v>
      </c>
      <c r="AH275" s="175" t="s">
        <v>0</v>
      </c>
      <c r="AI275" s="175" t="s">
        <v>0</v>
      </c>
      <c r="AJ275" s="175" t="s">
        <v>0</v>
      </c>
      <c r="AK275" s="175" t="s">
        <v>0</v>
      </c>
      <c r="AL275" s="175" t="s">
        <v>0</v>
      </c>
      <c r="AM275" s="175" t="s">
        <v>0</v>
      </c>
      <c r="AN275" s="175" t="s">
        <v>0</v>
      </c>
      <c r="AO275" s="175" t="s">
        <v>0</v>
      </c>
      <c r="AP275" s="175" t="s">
        <v>0</v>
      </c>
      <c r="AQ275" s="175" t="s">
        <v>0</v>
      </c>
      <c r="AR275" s="175" t="s">
        <v>0</v>
      </c>
      <c r="AS275" s="175" t="s">
        <v>0</v>
      </c>
      <c r="AT275" s="175" t="s">
        <v>0</v>
      </c>
      <c r="AU275" s="175" t="s">
        <v>0</v>
      </c>
      <c r="AV275" s="175" t="s">
        <v>0</v>
      </c>
      <c r="AW275" s="175" t="s">
        <v>0</v>
      </c>
      <c r="AX275" s="175" t="s">
        <v>0</v>
      </c>
      <c r="AY275" s="175" t="s">
        <v>0</v>
      </c>
      <c r="AZ275" s="175" t="s">
        <v>0</v>
      </c>
      <c r="BA275" s="175" t="s">
        <v>0</v>
      </c>
      <c r="BB275" s="175" t="s">
        <v>0</v>
      </c>
      <c r="BC275" s="175" t="s">
        <v>0</v>
      </c>
      <c r="BD275" s="175" t="s">
        <v>0</v>
      </c>
      <c r="BE275" s="175" t="s">
        <v>0</v>
      </c>
      <c r="BF275" s="175" t="s">
        <v>0</v>
      </c>
      <c r="BG275" s="175" t="s">
        <v>0</v>
      </c>
      <c r="BH275" s="175" t="s">
        <v>0</v>
      </c>
      <c r="BI275" s="176"/>
    </row>
    <row r="276" spans="1:61" x14ac:dyDescent="0.25">
      <c r="A276" s="22">
        <f t="shared" si="24"/>
        <v>270</v>
      </c>
      <c r="B276" s="214" t="str">
        <f t="shared" si="25"/>
        <v>F0014826301</v>
      </c>
      <c r="C276" s="214" t="str">
        <f t="shared" si="26"/>
        <v>82115-0EZ70</v>
      </c>
      <c r="D276" s="45" t="str">
        <f>VLOOKUP(B276,'Timing Table'!B:J,9,0)</f>
        <v>C/O</v>
      </c>
      <c r="E276" s="22" t="str">
        <f>VLOOKUP(B276,'Timing Table'!B:H,7,0)</f>
        <v>GAS</v>
      </c>
      <c r="F276" s="177" t="s">
        <v>58</v>
      </c>
      <c r="G276" s="178" t="s">
        <v>58</v>
      </c>
      <c r="H276" s="179" t="s">
        <v>58</v>
      </c>
      <c r="I276" s="180" t="s">
        <v>58</v>
      </c>
      <c r="J276" s="180" t="s">
        <v>0</v>
      </c>
      <c r="K276" s="180" t="s">
        <v>0</v>
      </c>
      <c r="L276" s="180" t="s">
        <v>0</v>
      </c>
      <c r="M276" s="180" t="s">
        <v>0</v>
      </c>
      <c r="N276" s="180" t="s">
        <v>0</v>
      </c>
      <c r="O276" s="180" t="s">
        <v>0</v>
      </c>
      <c r="P276" s="180" t="s">
        <v>0</v>
      </c>
      <c r="Q276" s="180" t="s">
        <v>0</v>
      </c>
      <c r="R276" s="180" t="s">
        <v>0</v>
      </c>
      <c r="S276" s="180" t="s">
        <v>0</v>
      </c>
      <c r="T276" s="180" t="s">
        <v>0</v>
      </c>
      <c r="U276" s="180" t="s">
        <v>0</v>
      </c>
      <c r="V276" s="180" t="s">
        <v>0</v>
      </c>
      <c r="W276" s="180" t="s">
        <v>0</v>
      </c>
      <c r="X276" s="180" t="s">
        <v>0</v>
      </c>
      <c r="Y276" s="180" t="s">
        <v>0</v>
      </c>
      <c r="Z276" s="180" t="s">
        <v>0</v>
      </c>
      <c r="AA276" s="180" t="s">
        <v>0</v>
      </c>
      <c r="AB276" s="180" t="s">
        <v>0</v>
      </c>
      <c r="AC276" s="180" t="s">
        <v>0</v>
      </c>
      <c r="AD276" s="180" t="s">
        <v>0</v>
      </c>
      <c r="AE276" s="180" t="s">
        <v>0</v>
      </c>
      <c r="AF276" s="180" t="s">
        <v>0</v>
      </c>
      <c r="AG276" s="180" t="s">
        <v>0</v>
      </c>
      <c r="AH276" s="180" t="s">
        <v>0</v>
      </c>
      <c r="AI276" s="180" t="s">
        <v>0</v>
      </c>
      <c r="AJ276" s="180" t="s">
        <v>0</v>
      </c>
      <c r="AK276" s="180" t="s">
        <v>0</v>
      </c>
      <c r="AL276" s="180" t="s">
        <v>0</v>
      </c>
      <c r="AM276" s="180" t="s">
        <v>0</v>
      </c>
      <c r="AN276" s="180" t="s">
        <v>0</v>
      </c>
      <c r="AO276" s="180" t="s">
        <v>0</v>
      </c>
      <c r="AP276" s="180" t="s">
        <v>0</v>
      </c>
      <c r="AQ276" s="180" t="s">
        <v>0</v>
      </c>
      <c r="AR276" s="180" t="s">
        <v>0</v>
      </c>
      <c r="AS276" s="180" t="s">
        <v>0</v>
      </c>
      <c r="AT276" s="180" t="s">
        <v>0</v>
      </c>
      <c r="AU276" s="180" t="s">
        <v>0</v>
      </c>
      <c r="AV276" s="180" t="s">
        <v>0</v>
      </c>
      <c r="AW276" s="180" t="s">
        <v>0</v>
      </c>
      <c r="AX276" s="180" t="s">
        <v>0</v>
      </c>
      <c r="AY276" s="180" t="s">
        <v>0</v>
      </c>
      <c r="AZ276" s="180" t="s">
        <v>0</v>
      </c>
      <c r="BA276" s="180" t="s">
        <v>0</v>
      </c>
      <c r="BB276" s="180" t="s">
        <v>0</v>
      </c>
      <c r="BC276" s="180" t="s">
        <v>0</v>
      </c>
      <c r="BD276" s="180" t="s">
        <v>0</v>
      </c>
      <c r="BE276" s="180" t="s">
        <v>0</v>
      </c>
      <c r="BF276" s="180" t="s">
        <v>0</v>
      </c>
      <c r="BG276" s="180" t="s">
        <v>0</v>
      </c>
      <c r="BH276" s="180" t="s">
        <v>0</v>
      </c>
      <c r="BI276" s="181"/>
    </row>
    <row r="277" spans="1:61" x14ac:dyDescent="0.25">
      <c r="A277" s="22">
        <f t="shared" si="24"/>
        <v>271</v>
      </c>
      <c r="B277" s="214" t="str">
        <f t="shared" si="25"/>
        <v>F0014826303</v>
      </c>
      <c r="C277" s="214" t="str">
        <f t="shared" si="26"/>
        <v>82115-0EZ70 B</v>
      </c>
      <c r="D277" s="45" t="str">
        <f>VLOOKUP(B277,'Timing Table'!B:J,9,0)</f>
        <v>C/O</v>
      </c>
      <c r="E277" s="22" t="str">
        <f>VLOOKUP(B277,'Timing Table'!B:H,7,0)</f>
        <v>GAS</v>
      </c>
      <c r="F277" s="121" t="s">
        <v>59</v>
      </c>
      <c r="G277" s="146">
        <v>5501017978</v>
      </c>
      <c r="H277" s="121" t="s">
        <v>60</v>
      </c>
      <c r="I277" s="146">
        <v>91</v>
      </c>
      <c r="J277" s="121" t="s">
        <v>61</v>
      </c>
      <c r="K277" s="125">
        <v>1177765</v>
      </c>
      <c r="L277" s="126"/>
      <c r="M277" s="147" t="s">
        <v>62</v>
      </c>
      <c r="N277" s="148"/>
      <c r="O277" s="149">
        <v>46086</v>
      </c>
      <c r="P277" s="121" t="s">
        <v>63</v>
      </c>
      <c r="Q277" s="146">
        <v>4</v>
      </c>
      <c r="R277" s="6" t="s">
        <v>0</v>
      </c>
      <c r="S277" s="7" t="s">
        <v>0</v>
      </c>
      <c r="T277" s="7" t="s">
        <v>0</v>
      </c>
      <c r="U277" s="7" t="s">
        <v>0</v>
      </c>
      <c r="V277" s="7" t="s">
        <v>0</v>
      </c>
      <c r="W277" s="7" t="s">
        <v>0</v>
      </c>
      <c r="X277" s="7" t="s">
        <v>0</v>
      </c>
      <c r="Y277" s="7" t="s">
        <v>0</v>
      </c>
      <c r="Z277" s="7" t="s">
        <v>0</v>
      </c>
      <c r="AA277" s="7" t="s">
        <v>0</v>
      </c>
      <c r="AB277" s="7" t="s">
        <v>0</v>
      </c>
      <c r="AC277" s="7" t="s">
        <v>0</v>
      </c>
      <c r="AD277" s="7" t="s">
        <v>0</v>
      </c>
      <c r="AE277" s="7" t="s">
        <v>0</v>
      </c>
      <c r="AF277" s="7" t="s">
        <v>0</v>
      </c>
      <c r="AG277" s="7" t="s">
        <v>0</v>
      </c>
      <c r="AH277" s="7" t="s">
        <v>0</v>
      </c>
      <c r="AI277" s="7" t="s">
        <v>0</v>
      </c>
      <c r="AJ277" s="7" t="s">
        <v>0</v>
      </c>
      <c r="AK277" s="7" t="s">
        <v>0</v>
      </c>
      <c r="AL277" s="7" t="s">
        <v>0</v>
      </c>
      <c r="AM277" s="7" t="s">
        <v>0</v>
      </c>
      <c r="AN277" s="7" t="s">
        <v>0</v>
      </c>
      <c r="AO277" s="7" t="s">
        <v>0</v>
      </c>
      <c r="AP277" s="7" t="s">
        <v>0</v>
      </c>
      <c r="AQ277" s="7" t="s">
        <v>0</v>
      </c>
      <c r="AR277" s="7" t="s">
        <v>0</v>
      </c>
      <c r="AS277" s="7" t="s">
        <v>0</v>
      </c>
      <c r="AT277" s="7" t="s">
        <v>0</v>
      </c>
      <c r="AU277" s="7" t="s">
        <v>0</v>
      </c>
      <c r="AV277" s="7" t="s">
        <v>0</v>
      </c>
      <c r="AW277" s="7" t="s">
        <v>0</v>
      </c>
      <c r="AX277" s="7" t="s">
        <v>0</v>
      </c>
      <c r="AY277" s="7" t="s">
        <v>0</v>
      </c>
      <c r="AZ277" s="7" t="s">
        <v>0</v>
      </c>
      <c r="BA277" s="7" t="s">
        <v>0</v>
      </c>
      <c r="BB277" s="7" t="s">
        <v>0</v>
      </c>
      <c r="BC277" s="7" t="s">
        <v>0</v>
      </c>
      <c r="BD277" s="7" t="s">
        <v>0</v>
      </c>
      <c r="BE277" s="7" t="s">
        <v>0</v>
      </c>
      <c r="BF277" s="7" t="s">
        <v>0</v>
      </c>
      <c r="BG277" s="7" t="s">
        <v>0</v>
      </c>
      <c r="BH277" s="7" t="s">
        <v>0</v>
      </c>
      <c r="BI277" s="8"/>
    </row>
    <row r="278" spans="1:61" x14ac:dyDescent="0.25">
      <c r="A278" s="22">
        <f t="shared" si="24"/>
        <v>272</v>
      </c>
      <c r="B278" s="214" t="str">
        <f t="shared" si="25"/>
        <v>F0014826303</v>
      </c>
      <c r="C278" s="214" t="str">
        <f t="shared" si="26"/>
        <v>82115-0EZ70 B</v>
      </c>
      <c r="D278" s="45" t="str">
        <f>VLOOKUP(B278,'Timing Table'!B:J,9,0)</f>
        <v>C/O</v>
      </c>
      <c r="E278" s="22" t="str">
        <f>VLOOKUP(B278,'Timing Table'!B:H,7,0)</f>
        <v>GAS</v>
      </c>
      <c r="F278" s="121" t="s">
        <v>64</v>
      </c>
      <c r="G278" s="146" t="s">
        <v>191</v>
      </c>
      <c r="H278" s="121" t="s">
        <v>65</v>
      </c>
      <c r="I278" s="150" t="s">
        <v>208</v>
      </c>
      <c r="J278" s="151"/>
      <c r="K278" s="151"/>
      <c r="L278" s="152"/>
      <c r="M278" s="121" t="s">
        <v>66</v>
      </c>
      <c r="N278" s="146">
        <v>2025</v>
      </c>
      <c r="O278" s="140" t="s">
        <v>67</v>
      </c>
      <c r="P278" s="141"/>
      <c r="Q278" s="153" t="s">
        <v>203</v>
      </c>
      <c r="R278" s="122" t="s">
        <v>0</v>
      </c>
      <c r="S278" s="123" t="s">
        <v>0</v>
      </c>
      <c r="T278" s="123" t="s">
        <v>0</v>
      </c>
      <c r="U278" s="123" t="s">
        <v>0</v>
      </c>
      <c r="V278" s="123" t="s">
        <v>0</v>
      </c>
      <c r="W278" s="123" t="s">
        <v>0</v>
      </c>
      <c r="X278" s="123" t="s">
        <v>0</v>
      </c>
      <c r="Y278" s="123" t="s">
        <v>0</v>
      </c>
      <c r="Z278" s="123" t="s">
        <v>0</v>
      </c>
      <c r="AA278" s="123" t="s">
        <v>0</v>
      </c>
      <c r="AB278" s="123" t="s">
        <v>0</v>
      </c>
      <c r="AC278" s="123" t="s">
        <v>0</v>
      </c>
      <c r="AD278" s="123" t="s">
        <v>0</v>
      </c>
      <c r="AE278" s="123" t="s">
        <v>0</v>
      </c>
      <c r="AF278" s="123" t="s">
        <v>0</v>
      </c>
      <c r="AG278" s="123" t="s">
        <v>0</v>
      </c>
      <c r="AH278" s="123" t="s">
        <v>0</v>
      </c>
      <c r="AI278" s="123" t="s">
        <v>0</v>
      </c>
      <c r="AJ278" s="123" t="s">
        <v>0</v>
      </c>
      <c r="AK278" s="123" t="s">
        <v>0</v>
      </c>
      <c r="AL278" s="123" t="s">
        <v>0</v>
      </c>
      <c r="AM278" s="123" t="s">
        <v>0</v>
      </c>
      <c r="AN278" s="123" t="s">
        <v>0</v>
      </c>
      <c r="AO278" s="123" t="s">
        <v>0</v>
      </c>
      <c r="AP278" s="123" t="s">
        <v>0</v>
      </c>
      <c r="AQ278" s="123" t="s">
        <v>0</v>
      </c>
      <c r="AR278" s="123" t="s">
        <v>0</v>
      </c>
      <c r="AS278" s="123" t="s">
        <v>0</v>
      </c>
      <c r="AT278" s="123" t="s">
        <v>0</v>
      </c>
      <c r="AU278" s="123" t="s">
        <v>0</v>
      </c>
      <c r="AV278" s="123" t="s">
        <v>0</v>
      </c>
      <c r="AW278" s="123" t="s">
        <v>0</v>
      </c>
      <c r="AX278" s="123" t="s">
        <v>0</v>
      </c>
      <c r="AY278" s="123" t="s">
        <v>0</v>
      </c>
      <c r="AZ278" s="123" t="s">
        <v>0</v>
      </c>
      <c r="BA278" s="123" t="s">
        <v>0</v>
      </c>
      <c r="BB278" s="123" t="s">
        <v>0</v>
      </c>
      <c r="BC278" s="123" t="s">
        <v>0</v>
      </c>
      <c r="BD278" s="123" t="s">
        <v>0</v>
      </c>
      <c r="BE278" s="123" t="s">
        <v>0</v>
      </c>
      <c r="BF278" s="123" t="s">
        <v>0</v>
      </c>
      <c r="BG278" s="123" t="s">
        <v>0</v>
      </c>
      <c r="BH278" s="123" t="s">
        <v>0</v>
      </c>
      <c r="BI278" s="124"/>
    </row>
    <row r="279" spans="1:61" x14ac:dyDescent="0.25">
      <c r="A279" s="22">
        <f t="shared" si="24"/>
        <v>273</v>
      </c>
      <c r="B279" s="214" t="str">
        <f t="shared" si="25"/>
        <v>F0014826303</v>
      </c>
      <c r="C279" s="214" t="str">
        <f t="shared" si="26"/>
        <v>82115-0EZ70 B</v>
      </c>
      <c r="D279" s="45" t="str">
        <f>VLOOKUP(B279,'Timing Table'!B:J,9,0)</f>
        <v>C/O</v>
      </c>
      <c r="E279" s="22" t="str">
        <f>VLOOKUP(B279,'Timing Table'!B:H,7,0)</f>
        <v>GAS</v>
      </c>
      <c r="F279" s="121" t="s">
        <v>68</v>
      </c>
      <c r="G279" s="146" t="s">
        <v>352</v>
      </c>
      <c r="H279" s="121" t="s">
        <v>69</v>
      </c>
      <c r="I279" s="154" t="s">
        <v>58</v>
      </c>
      <c r="J279" s="155" t="s">
        <v>0</v>
      </c>
      <c r="K279" s="156" t="s">
        <v>0</v>
      </c>
      <c r="L279" s="157" t="s">
        <v>0</v>
      </c>
      <c r="M279" s="134" t="s">
        <v>0</v>
      </c>
      <c r="N279" s="134" t="s">
        <v>0</v>
      </c>
      <c r="O279" s="134" t="s">
        <v>0</v>
      </c>
      <c r="P279" s="134" t="s">
        <v>0</v>
      </c>
      <c r="Q279" s="134" t="s">
        <v>1</v>
      </c>
      <c r="R279" s="134" t="s">
        <v>2</v>
      </c>
      <c r="S279" s="134" t="s">
        <v>0</v>
      </c>
      <c r="T279" s="134" t="s">
        <v>0</v>
      </c>
      <c r="U279" s="134" t="s">
        <v>0</v>
      </c>
      <c r="V279" s="134" t="s">
        <v>0</v>
      </c>
      <c r="W279" s="134" t="s">
        <v>0</v>
      </c>
      <c r="X279" s="134" t="s">
        <v>0</v>
      </c>
      <c r="Y279" s="134" t="s">
        <v>0</v>
      </c>
      <c r="Z279" s="134" t="s">
        <v>3</v>
      </c>
      <c r="AA279" s="134" t="s">
        <v>0</v>
      </c>
      <c r="AB279" s="134" t="s">
        <v>0</v>
      </c>
      <c r="AC279" s="134" t="s">
        <v>0</v>
      </c>
      <c r="AD279" s="134" t="s">
        <v>0</v>
      </c>
      <c r="AE279" s="134" t="s">
        <v>0</v>
      </c>
      <c r="AF279" s="134" t="s">
        <v>0</v>
      </c>
      <c r="AG279" s="134" t="s">
        <v>0</v>
      </c>
      <c r="AH279" s="134" t="s">
        <v>0</v>
      </c>
      <c r="AI279" s="134" t="s">
        <v>0</v>
      </c>
      <c r="AJ279" s="134" t="s">
        <v>0</v>
      </c>
      <c r="AK279" s="134" t="s">
        <v>0</v>
      </c>
      <c r="AL279" s="134" t="s">
        <v>0</v>
      </c>
      <c r="AM279" s="134" t="s">
        <v>0</v>
      </c>
      <c r="AN279" s="134" t="s">
        <v>0</v>
      </c>
      <c r="AO279" s="134" t="s">
        <v>0</v>
      </c>
      <c r="AP279" s="134" t="s">
        <v>0</v>
      </c>
      <c r="AQ279" s="134" t="s">
        <v>0</v>
      </c>
      <c r="AR279" s="134" t="s">
        <v>0</v>
      </c>
      <c r="AS279" s="134" t="s">
        <v>0</v>
      </c>
      <c r="AT279" s="134" t="s">
        <v>0</v>
      </c>
      <c r="AU279" s="134" t="s">
        <v>0</v>
      </c>
      <c r="AV279" s="134" t="s">
        <v>0</v>
      </c>
      <c r="AW279" s="134" t="s">
        <v>0</v>
      </c>
      <c r="AX279" s="134" t="s">
        <v>0</v>
      </c>
      <c r="AY279" s="134" t="s">
        <v>0</v>
      </c>
      <c r="AZ279" s="134" t="s">
        <v>0</v>
      </c>
      <c r="BA279" s="134" t="s">
        <v>0</v>
      </c>
      <c r="BB279" s="134" t="s">
        <v>0</v>
      </c>
      <c r="BC279" s="134" t="s">
        <v>0</v>
      </c>
      <c r="BD279" s="134" t="s">
        <v>0</v>
      </c>
      <c r="BE279" s="134" t="s">
        <v>0</v>
      </c>
      <c r="BF279" s="134" t="s">
        <v>0</v>
      </c>
      <c r="BG279" s="134" t="s">
        <v>0</v>
      </c>
      <c r="BH279" s="134" t="s">
        <v>0</v>
      </c>
      <c r="BI279" s="135" t="s">
        <v>4</v>
      </c>
    </row>
    <row r="280" spans="1:61" x14ac:dyDescent="0.25">
      <c r="A280" s="22">
        <f t="shared" si="24"/>
        <v>274</v>
      </c>
      <c r="B280" s="214" t="str">
        <f t="shared" si="25"/>
        <v>F0014826303</v>
      </c>
      <c r="C280" s="214" t="str">
        <f t="shared" si="26"/>
        <v>82115-0EZ70 B</v>
      </c>
      <c r="D280" s="45" t="str">
        <f>VLOOKUP(B280,'Timing Table'!B:J,9,0)</f>
        <v>C/O</v>
      </c>
      <c r="E280" s="22" t="str">
        <f>VLOOKUP(B280,'Timing Table'!B:H,7,0)</f>
        <v>GAS</v>
      </c>
      <c r="F280" s="121" t="s">
        <v>70</v>
      </c>
      <c r="G280" s="146">
        <v>0</v>
      </c>
      <c r="H280" s="158" t="s">
        <v>241</v>
      </c>
      <c r="I280" s="159" t="s">
        <v>71</v>
      </c>
      <c r="J280" s="13">
        <v>46041</v>
      </c>
      <c r="K280" s="14">
        <v>46048</v>
      </c>
      <c r="L280" s="14">
        <v>46055</v>
      </c>
      <c r="M280" s="14">
        <v>46062</v>
      </c>
      <c r="N280" s="14">
        <v>46069</v>
      </c>
      <c r="O280" s="14">
        <v>46076</v>
      </c>
      <c r="P280" s="14">
        <v>46083</v>
      </c>
      <c r="Q280" s="14">
        <v>46090</v>
      </c>
      <c r="R280" s="14">
        <v>46097</v>
      </c>
      <c r="S280" s="14">
        <v>46104</v>
      </c>
      <c r="T280" s="14">
        <v>46111</v>
      </c>
      <c r="U280" s="14">
        <v>46118</v>
      </c>
      <c r="V280" s="14">
        <v>46125</v>
      </c>
      <c r="W280" s="14">
        <v>46132</v>
      </c>
      <c r="X280" s="14">
        <v>46139</v>
      </c>
      <c r="Y280" s="14">
        <v>46146</v>
      </c>
      <c r="Z280" s="14">
        <v>46153</v>
      </c>
      <c r="AA280" s="14">
        <v>46160</v>
      </c>
      <c r="AB280" s="14">
        <v>46167</v>
      </c>
      <c r="AC280" s="14">
        <v>46174</v>
      </c>
      <c r="AD280" s="14">
        <v>46181</v>
      </c>
      <c r="AE280" s="14">
        <v>46188</v>
      </c>
      <c r="AF280" s="14">
        <v>46195</v>
      </c>
      <c r="AG280" s="14">
        <v>46202</v>
      </c>
      <c r="AH280" s="14">
        <v>46209</v>
      </c>
      <c r="AI280" s="14">
        <v>46216</v>
      </c>
      <c r="AJ280" s="14">
        <v>46223</v>
      </c>
      <c r="AK280" s="14">
        <v>46230</v>
      </c>
      <c r="AL280" s="14">
        <v>46237</v>
      </c>
      <c r="AM280" s="14">
        <v>46244</v>
      </c>
      <c r="AN280" s="14">
        <v>46251</v>
      </c>
      <c r="AO280" s="14">
        <v>46258</v>
      </c>
      <c r="AP280" s="14">
        <v>46265</v>
      </c>
      <c r="AQ280" s="14">
        <v>46272</v>
      </c>
      <c r="AR280" s="14">
        <v>46279</v>
      </c>
      <c r="AS280" s="14">
        <v>46286</v>
      </c>
      <c r="AT280" s="14">
        <v>46293</v>
      </c>
      <c r="AU280" s="14">
        <v>46300</v>
      </c>
      <c r="AV280" s="14">
        <v>46307</v>
      </c>
      <c r="AW280" s="14">
        <v>46314</v>
      </c>
      <c r="AX280" s="14">
        <v>46321</v>
      </c>
      <c r="AY280" s="14">
        <v>46328</v>
      </c>
      <c r="AZ280" s="14">
        <v>46335</v>
      </c>
      <c r="BA280" s="14">
        <v>46342</v>
      </c>
      <c r="BB280" s="14">
        <v>46349</v>
      </c>
      <c r="BC280" s="14">
        <v>46356</v>
      </c>
      <c r="BD280" s="14">
        <v>46363</v>
      </c>
      <c r="BE280" s="14">
        <v>46370</v>
      </c>
      <c r="BF280" s="14">
        <v>46377</v>
      </c>
      <c r="BG280" s="14">
        <v>46384</v>
      </c>
      <c r="BH280" s="14">
        <v>46391</v>
      </c>
      <c r="BI280" s="15">
        <v>46398</v>
      </c>
    </row>
    <row r="281" spans="1:61" x14ac:dyDescent="0.25">
      <c r="A281" s="22">
        <f t="shared" si="24"/>
        <v>275</v>
      </c>
      <c r="B281" s="214" t="str">
        <f t="shared" si="25"/>
        <v>F0014826303</v>
      </c>
      <c r="C281" s="214" t="str">
        <f t="shared" si="26"/>
        <v>82115-0EZ70 B</v>
      </c>
      <c r="D281" s="45" t="str">
        <f>VLOOKUP(B281,'Timing Table'!B:J,9,0)</f>
        <v>C/O</v>
      </c>
      <c r="E281" s="22" t="str">
        <f>VLOOKUP(B281,'Timing Table'!B:H,7,0)</f>
        <v>GAS</v>
      </c>
      <c r="F281" s="121" t="s">
        <v>72</v>
      </c>
      <c r="G281" s="146">
        <v>0</v>
      </c>
      <c r="H281" s="5" t="s">
        <v>58</v>
      </c>
      <c r="I281" s="11" t="s">
        <v>83</v>
      </c>
      <c r="J281" s="16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17"/>
    </row>
    <row r="282" spans="1:61" x14ac:dyDescent="0.25">
      <c r="A282" s="22">
        <f t="shared" si="24"/>
        <v>276</v>
      </c>
      <c r="B282" s="214" t="str">
        <f t="shared" si="25"/>
        <v>F0014826303</v>
      </c>
      <c r="C282" s="214" t="str">
        <f t="shared" si="26"/>
        <v>82115-0EZ70 B</v>
      </c>
      <c r="D282" s="45" t="str">
        <f>VLOOKUP(B282,'Timing Table'!B:J,9,0)</f>
        <v>C/O</v>
      </c>
      <c r="E282" s="22" t="str">
        <f>VLOOKUP(B282,'Timing Table'!B:H,7,0)</f>
        <v>GAS</v>
      </c>
      <c r="F282" s="121" t="s">
        <v>73</v>
      </c>
      <c r="G282" s="160" t="s">
        <v>130</v>
      </c>
      <c r="H282" s="9" t="s">
        <v>127</v>
      </c>
      <c r="I282" s="11" t="s">
        <v>74</v>
      </c>
      <c r="J282" s="117">
        <v>0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  <c r="Q282" s="50">
        <v>0</v>
      </c>
      <c r="R282" s="50">
        <v>0</v>
      </c>
      <c r="S282" s="50">
        <v>0</v>
      </c>
      <c r="T282" s="50">
        <v>0</v>
      </c>
      <c r="U282" s="50">
        <v>0</v>
      </c>
      <c r="V282" s="50">
        <v>0</v>
      </c>
      <c r="W282" s="50">
        <v>0</v>
      </c>
      <c r="X282" s="50">
        <v>0</v>
      </c>
      <c r="Y282" s="50">
        <v>0</v>
      </c>
      <c r="Z282" s="50">
        <v>0</v>
      </c>
      <c r="AA282" s="50">
        <v>0</v>
      </c>
      <c r="AB282" s="50">
        <v>0</v>
      </c>
      <c r="AC282" s="50">
        <v>0</v>
      </c>
      <c r="AD282" s="50">
        <v>0</v>
      </c>
      <c r="AE282" s="50">
        <v>0</v>
      </c>
      <c r="AF282" s="50">
        <v>0</v>
      </c>
      <c r="AG282" s="50">
        <v>0</v>
      </c>
      <c r="AH282" s="50">
        <v>0</v>
      </c>
      <c r="AI282" s="50">
        <v>0</v>
      </c>
      <c r="AJ282" s="50">
        <v>0</v>
      </c>
      <c r="AK282" s="50">
        <v>0</v>
      </c>
      <c r="AL282" s="50">
        <v>0</v>
      </c>
      <c r="AM282" s="50">
        <v>0</v>
      </c>
      <c r="AN282" s="50">
        <v>0</v>
      </c>
      <c r="AO282" s="50">
        <v>0</v>
      </c>
      <c r="AP282" s="50">
        <v>0</v>
      </c>
      <c r="AQ282" s="50">
        <v>0</v>
      </c>
      <c r="AR282" s="50">
        <v>0</v>
      </c>
      <c r="AS282" s="50">
        <v>0</v>
      </c>
      <c r="AT282" s="50">
        <v>0</v>
      </c>
      <c r="AU282" s="50">
        <v>0</v>
      </c>
      <c r="AV282" s="50">
        <v>0</v>
      </c>
      <c r="AW282" s="50">
        <v>0</v>
      </c>
      <c r="AX282" s="50">
        <v>0</v>
      </c>
      <c r="AY282" s="50">
        <v>0</v>
      </c>
      <c r="AZ282" s="50">
        <v>0</v>
      </c>
      <c r="BA282" s="50">
        <v>0</v>
      </c>
      <c r="BB282" s="50">
        <v>0</v>
      </c>
      <c r="BC282" s="50">
        <v>0</v>
      </c>
      <c r="BD282" s="50">
        <v>0</v>
      </c>
      <c r="BE282" s="50">
        <v>0</v>
      </c>
      <c r="BF282" s="50">
        <v>0</v>
      </c>
      <c r="BG282" s="50">
        <v>0</v>
      </c>
      <c r="BH282" s="50">
        <v>0</v>
      </c>
      <c r="BI282" s="118">
        <v>0</v>
      </c>
    </row>
    <row r="283" spans="1:61" x14ac:dyDescent="0.25">
      <c r="A283" s="22">
        <f t="shared" si="24"/>
        <v>277</v>
      </c>
      <c r="B283" s="214" t="str">
        <f t="shared" si="25"/>
        <v>F0014826303</v>
      </c>
      <c r="C283" s="214" t="str">
        <f t="shared" si="26"/>
        <v>82115-0EZ70 B</v>
      </c>
      <c r="D283" s="45" t="str">
        <f>VLOOKUP(B283,'Timing Table'!B:J,9,0)</f>
        <v>C/O</v>
      </c>
      <c r="E283" s="22" t="str">
        <f>VLOOKUP(B283,'Timing Table'!B:H,7,0)</f>
        <v>GAS</v>
      </c>
      <c r="F283" s="121" t="s">
        <v>75</v>
      </c>
      <c r="G283" s="146">
        <v>82115</v>
      </c>
      <c r="H283" s="10" t="s">
        <v>127</v>
      </c>
      <c r="I283" s="12" t="s">
        <v>76</v>
      </c>
      <c r="J283" s="161">
        <v>0</v>
      </c>
      <c r="K283" s="162">
        <v>0</v>
      </c>
      <c r="L283" s="162">
        <v>0</v>
      </c>
      <c r="M283" s="162">
        <v>0</v>
      </c>
      <c r="N283" s="162">
        <v>0</v>
      </c>
      <c r="O283" s="162">
        <v>0</v>
      </c>
      <c r="P283" s="162">
        <v>0</v>
      </c>
      <c r="Q283" s="162">
        <v>0</v>
      </c>
      <c r="R283" s="162">
        <v>0</v>
      </c>
      <c r="S283" s="162">
        <v>0</v>
      </c>
      <c r="T283" s="162">
        <v>0</v>
      </c>
      <c r="U283" s="162">
        <v>0</v>
      </c>
      <c r="V283" s="162">
        <v>0</v>
      </c>
      <c r="W283" s="162">
        <v>0</v>
      </c>
      <c r="X283" s="162">
        <v>0</v>
      </c>
      <c r="Y283" s="162">
        <v>0</v>
      </c>
      <c r="Z283" s="162">
        <v>0</v>
      </c>
      <c r="AA283" s="162">
        <v>0</v>
      </c>
      <c r="AB283" s="162">
        <v>0</v>
      </c>
      <c r="AC283" s="162">
        <v>0</v>
      </c>
      <c r="AD283" s="162">
        <v>0</v>
      </c>
      <c r="AE283" s="162">
        <v>0</v>
      </c>
      <c r="AF283" s="162">
        <v>0</v>
      </c>
      <c r="AG283" s="162">
        <v>0</v>
      </c>
      <c r="AH283" s="162">
        <v>0</v>
      </c>
      <c r="AI283" s="162">
        <v>0</v>
      </c>
      <c r="AJ283" s="162">
        <v>0</v>
      </c>
      <c r="AK283" s="162">
        <v>0</v>
      </c>
      <c r="AL283" s="162">
        <v>0</v>
      </c>
      <c r="AM283" s="162">
        <v>0</v>
      </c>
      <c r="AN283" s="162">
        <v>0</v>
      </c>
      <c r="AO283" s="162">
        <v>0</v>
      </c>
      <c r="AP283" s="162">
        <v>0</v>
      </c>
      <c r="AQ283" s="162">
        <v>0</v>
      </c>
      <c r="AR283" s="162">
        <v>0</v>
      </c>
      <c r="AS283" s="162">
        <v>0</v>
      </c>
      <c r="AT283" s="162">
        <v>0</v>
      </c>
      <c r="AU283" s="162">
        <v>0</v>
      </c>
      <c r="AV283" s="162">
        <v>0</v>
      </c>
      <c r="AW283" s="162">
        <v>0</v>
      </c>
      <c r="AX283" s="162">
        <v>0</v>
      </c>
      <c r="AY283" s="162">
        <v>0</v>
      </c>
      <c r="AZ283" s="162">
        <v>0</v>
      </c>
      <c r="BA283" s="162">
        <v>0</v>
      </c>
      <c r="BB283" s="162">
        <v>0</v>
      </c>
      <c r="BC283" s="162">
        <v>0</v>
      </c>
      <c r="BD283" s="162">
        <v>0</v>
      </c>
      <c r="BE283" s="162">
        <v>0</v>
      </c>
      <c r="BF283" s="162">
        <v>0</v>
      </c>
      <c r="BG283" s="162">
        <v>0</v>
      </c>
      <c r="BH283" s="162">
        <v>0</v>
      </c>
      <c r="BI283" s="163">
        <v>0</v>
      </c>
    </row>
    <row r="284" spans="1:61" x14ac:dyDescent="0.25">
      <c r="A284" s="22">
        <f t="shared" si="24"/>
        <v>278</v>
      </c>
      <c r="B284" s="214" t="str">
        <f t="shared" si="25"/>
        <v>F0014826303</v>
      </c>
      <c r="C284" s="214" t="str">
        <f t="shared" si="26"/>
        <v>82115-0EZ70 B</v>
      </c>
      <c r="D284" s="45" t="str">
        <f>VLOOKUP(B284,'Timing Table'!B:J,9,0)</f>
        <v>C/O</v>
      </c>
      <c r="E284" s="22" t="str">
        <f>VLOOKUP(B284,'Timing Table'!B:H,7,0)</f>
        <v>GAS</v>
      </c>
      <c r="F284" s="164" t="s">
        <v>77</v>
      </c>
      <c r="G284" s="165">
        <v>0</v>
      </c>
      <c r="H284" s="166" t="s">
        <v>78</v>
      </c>
      <c r="I284" s="167"/>
      <c r="J284" s="168"/>
      <c r="K284" s="169"/>
      <c r="L284" s="170" t="s">
        <v>0</v>
      </c>
      <c r="M284" s="170" t="s">
        <v>0</v>
      </c>
      <c r="N284" s="170" t="s">
        <v>0</v>
      </c>
      <c r="O284" s="170" t="s">
        <v>0</v>
      </c>
      <c r="P284" s="170" t="s">
        <v>0</v>
      </c>
      <c r="Q284" s="170" t="s">
        <v>0</v>
      </c>
      <c r="R284" s="170" t="s">
        <v>0</v>
      </c>
      <c r="S284" s="170" t="s">
        <v>0</v>
      </c>
      <c r="T284" s="170" t="s">
        <v>0</v>
      </c>
      <c r="U284" s="170" t="s">
        <v>0</v>
      </c>
      <c r="V284" s="170" t="s">
        <v>0</v>
      </c>
      <c r="W284" s="170" t="s">
        <v>0</v>
      </c>
      <c r="X284" s="170" t="s">
        <v>0</v>
      </c>
      <c r="Y284" s="170" t="s">
        <v>0</v>
      </c>
      <c r="Z284" s="170" t="s">
        <v>0</v>
      </c>
      <c r="AA284" s="170" t="s">
        <v>0</v>
      </c>
      <c r="AB284" s="170" t="s">
        <v>0</v>
      </c>
      <c r="AC284" s="170" t="s">
        <v>0</v>
      </c>
      <c r="AD284" s="170" t="s">
        <v>0</v>
      </c>
      <c r="AE284" s="170" t="s">
        <v>0</v>
      </c>
      <c r="AF284" s="170" t="s">
        <v>0</v>
      </c>
      <c r="AG284" s="170" t="s">
        <v>0</v>
      </c>
      <c r="AH284" s="170" t="s">
        <v>0</v>
      </c>
      <c r="AI284" s="170" t="s">
        <v>0</v>
      </c>
      <c r="AJ284" s="170" t="s">
        <v>0</v>
      </c>
      <c r="AK284" s="170" t="s">
        <v>0</v>
      </c>
      <c r="AL284" s="170" t="s">
        <v>0</v>
      </c>
      <c r="AM284" s="170" t="s">
        <v>0</v>
      </c>
      <c r="AN284" s="170" t="s">
        <v>0</v>
      </c>
      <c r="AO284" s="170" t="s">
        <v>0</v>
      </c>
      <c r="AP284" s="170" t="s">
        <v>0</v>
      </c>
      <c r="AQ284" s="170" t="s">
        <v>0</v>
      </c>
      <c r="AR284" s="170" t="s">
        <v>0</v>
      </c>
      <c r="AS284" s="170" t="s">
        <v>0</v>
      </c>
      <c r="AT284" s="170" t="s">
        <v>0</v>
      </c>
      <c r="AU284" s="170" t="s">
        <v>0</v>
      </c>
      <c r="AV284" s="170" t="s">
        <v>0</v>
      </c>
      <c r="AW284" s="170" t="s">
        <v>0</v>
      </c>
      <c r="AX284" s="170" t="s">
        <v>0</v>
      </c>
      <c r="AY284" s="170" t="s">
        <v>0</v>
      </c>
      <c r="AZ284" s="170" t="s">
        <v>0</v>
      </c>
      <c r="BA284" s="170" t="s">
        <v>0</v>
      </c>
      <c r="BB284" s="170" t="s">
        <v>0</v>
      </c>
      <c r="BC284" s="170" t="s">
        <v>0</v>
      </c>
      <c r="BD284" s="170" t="s">
        <v>0</v>
      </c>
      <c r="BE284" s="170" t="s">
        <v>0</v>
      </c>
      <c r="BF284" s="170" t="s">
        <v>0</v>
      </c>
      <c r="BG284" s="170" t="s">
        <v>0</v>
      </c>
      <c r="BH284" s="170" t="s">
        <v>0</v>
      </c>
      <c r="BI284" s="171"/>
    </row>
    <row r="285" spans="1:61" x14ac:dyDescent="0.25">
      <c r="A285" s="22">
        <f t="shared" si="24"/>
        <v>279</v>
      </c>
      <c r="B285" s="214" t="str">
        <f t="shared" si="25"/>
        <v>F0014826303</v>
      </c>
      <c r="C285" s="214" t="str">
        <f>IF(F285=$F$7,#REF!,C284)</f>
        <v>82115-0EZ70 B</v>
      </c>
      <c r="D285" s="45" t="str">
        <f>VLOOKUP(B285,'Timing Table'!B:J,9,0)</f>
        <v>C/O</v>
      </c>
      <c r="E285" s="22" t="str">
        <f>VLOOKUP(B285,'Timing Table'!B:H,7,0)</f>
        <v>GAS</v>
      </c>
      <c r="F285" s="172" t="s">
        <v>79</v>
      </c>
      <c r="G285" s="173" t="s">
        <v>58</v>
      </c>
      <c r="H285" s="174" t="s">
        <v>58</v>
      </c>
      <c r="I285" s="175" t="s">
        <v>58</v>
      </c>
      <c r="J285" s="175" t="s">
        <v>0</v>
      </c>
      <c r="K285" s="175" t="s">
        <v>0</v>
      </c>
      <c r="L285" s="175" t="s">
        <v>0</v>
      </c>
      <c r="M285" s="175" t="s">
        <v>0</v>
      </c>
      <c r="N285" s="175" t="s">
        <v>0</v>
      </c>
      <c r="O285" s="175" t="s">
        <v>0</v>
      </c>
      <c r="P285" s="175" t="s">
        <v>0</v>
      </c>
      <c r="Q285" s="175" t="s">
        <v>0</v>
      </c>
      <c r="R285" s="175" t="s">
        <v>0</v>
      </c>
      <c r="S285" s="175" t="s">
        <v>0</v>
      </c>
      <c r="T285" s="175" t="s">
        <v>0</v>
      </c>
      <c r="U285" s="175" t="s">
        <v>0</v>
      </c>
      <c r="V285" s="175" t="s">
        <v>0</v>
      </c>
      <c r="W285" s="175" t="s">
        <v>0</v>
      </c>
      <c r="X285" s="175" t="s">
        <v>0</v>
      </c>
      <c r="Y285" s="175" t="s">
        <v>0</v>
      </c>
      <c r="Z285" s="175" t="s">
        <v>0</v>
      </c>
      <c r="AA285" s="175" t="s">
        <v>0</v>
      </c>
      <c r="AB285" s="175" t="s">
        <v>0</v>
      </c>
      <c r="AC285" s="175" t="s">
        <v>0</v>
      </c>
      <c r="AD285" s="175" t="s">
        <v>0</v>
      </c>
      <c r="AE285" s="175" t="s">
        <v>0</v>
      </c>
      <c r="AF285" s="175" t="s">
        <v>0</v>
      </c>
      <c r="AG285" s="175" t="s">
        <v>0</v>
      </c>
      <c r="AH285" s="175" t="s">
        <v>0</v>
      </c>
      <c r="AI285" s="175" t="s">
        <v>0</v>
      </c>
      <c r="AJ285" s="175" t="s">
        <v>0</v>
      </c>
      <c r="AK285" s="175" t="s">
        <v>0</v>
      </c>
      <c r="AL285" s="175" t="s">
        <v>0</v>
      </c>
      <c r="AM285" s="175" t="s">
        <v>0</v>
      </c>
      <c r="AN285" s="175" t="s">
        <v>0</v>
      </c>
      <c r="AO285" s="175" t="s">
        <v>0</v>
      </c>
      <c r="AP285" s="175" t="s">
        <v>0</v>
      </c>
      <c r="AQ285" s="175" t="s">
        <v>0</v>
      </c>
      <c r="AR285" s="175" t="s">
        <v>0</v>
      </c>
      <c r="AS285" s="175" t="s">
        <v>0</v>
      </c>
      <c r="AT285" s="175" t="s">
        <v>0</v>
      </c>
      <c r="AU285" s="175" t="s">
        <v>0</v>
      </c>
      <c r="AV285" s="175" t="s">
        <v>0</v>
      </c>
      <c r="AW285" s="175" t="s">
        <v>0</v>
      </c>
      <c r="AX285" s="175" t="s">
        <v>0</v>
      </c>
      <c r="AY285" s="175" t="s">
        <v>0</v>
      </c>
      <c r="AZ285" s="175" t="s">
        <v>0</v>
      </c>
      <c r="BA285" s="175" t="s">
        <v>0</v>
      </c>
      <c r="BB285" s="175" t="s">
        <v>0</v>
      </c>
      <c r="BC285" s="175" t="s">
        <v>0</v>
      </c>
      <c r="BD285" s="175" t="s">
        <v>0</v>
      </c>
      <c r="BE285" s="175" t="s">
        <v>0</v>
      </c>
      <c r="BF285" s="175" t="s">
        <v>0</v>
      </c>
      <c r="BG285" s="175" t="s">
        <v>0</v>
      </c>
      <c r="BH285" s="175" t="s">
        <v>0</v>
      </c>
      <c r="BI285" s="176"/>
    </row>
    <row r="286" spans="1:61" x14ac:dyDescent="0.25">
      <c r="A286" s="22">
        <f t="shared" si="24"/>
        <v>280</v>
      </c>
      <c r="B286" s="214" t="str">
        <f>IF(F286=$F$7,#REF!,B285)</f>
        <v>F0014826303</v>
      </c>
      <c r="C286" s="214" t="str">
        <f>IF(F286=$F$7,#REF!,C285)</f>
        <v>82115-0EZ70 B</v>
      </c>
      <c r="D286" s="45" t="str">
        <f>VLOOKUP(B286,'Timing Table'!B:J,9,0)</f>
        <v>C/O</v>
      </c>
      <c r="E286" s="22" t="str">
        <f>VLOOKUP(B286,'Timing Table'!B:H,7,0)</f>
        <v>GAS</v>
      </c>
      <c r="F286" s="177" t="s">
        <v>58</v>
      </c>
      <c r="G286" s="178" t="s">
        <v>58</v>
      </c>
      <c r="H286" s="179" t="s">
        <v>58</v>
      </c>
      <c r="I286" s="180" t="s">
        <v>58</v>
      </c>
      <c r="J286" s="180" t="s">
        <v>0</v>
      </c>
      <c r="K286" s="180" t="s">
        <v>0</v>
      </c>
      <c r="L286" s="180" t="s">
        <v>0</v>
      </c>
      <c r="M286" s="180" t="s">
        <v>0</v>
      </c>
      <c r="N286" s="180" t="s">
        <v>0</v>
      </c>
      <c r="O286" s="180" t="s">
        <v>0</v>
      </c>
      <c r="P286" s="180" t="s">
        <v>0</v>
      </c>
      <c r="Q286" s="180" t="s">
        <v>0</v>
      </c>
      <c r="R286" s="180" t="s">
        <v>0</v>
      </c>
      <c r="S286" s="180" t="s">
        <v>0</v>
      </c>
      <c r="T286" s="180" t="s">
        <v>0</v>
      </c>
      <c r="U286" s="180" t="s">
        <v>0</v>
      </c>
      <c r="V286" s="180" t="s">
        <v>0</v>
      </c>
      <c r="W286" s="180" t="s">
        <v>0</v>
      </c>
      <c r="X286" s="180" t="s">
        <v>0</v>
      </c>
      <c r="Y286" s="180" t="s">
        <v>0</v>
      </c>
      <c r="Z286" s="180" t="s">
        <v>0</v>
      </c>
      <c r="AA286" s="180" t="s">
        <v>0</v>
      </c>
      <c r="AB286" s="180" t="s">
        <v>0</v>
      </c>
      <c r="AC286" s="180" t="s">
        <v>0</v>
      </c>
      <c r="AD286" s="180" t="s">
        <v>0</v>
      </c>
      <c r="AE286" s="180" t="s">
        <v>0</v>
      </c>
      <c r="AF286" s="180" t="s">
        <v>0</v>
      </c>
      <c r="AG286" s="180" t="s">
        <v>0</v>
      </c>
      <c r="AH286" s="180" t="s">
        <v>0</v>
      </c>
      <c r="AI286" s="180" t="s">
        <v>0</v>
      </c>
      <c r="AJ286" s="180" t="s">
        <v>0</v>
      </c>
      <c r="AK286" s="180" t="s">
        <v>0</v>
      </c>
      <c r="AL286" s="180" t="s">
        <v>0</v>
      </c>
      <c r="AM286" s="180" t="s">
        <v>0</v>
      </c>
      <c r="AN286" s="180" t="s">
        <v>0</v>
      </c>
      <c r="AO286" s="180" t="s">
        <v>0</v>
      </c>
      <c r="AP286" s="180" t="s">
        <v>0</v>
      </c>
      <c r="AQ286" s="180" t="s">
        <v>0</v>
      </c>
      <c r="AR286" s="180" t="s">
        <v>0</v>
      </c>
      <c r="AS286" s="180" t="s">
        <v>0</v>
      </c>
      <c r="AT286" s="180" t="s">
        <v>0</v>
      </c>
      <c r="AU286" s="180" t="s">
        <v>0</v>
      </c>
      <c r="AV286" s="180" t="s">
        <v>0</v>
      </c>
      <c r="AW286" s="180" t="s">
        <v>0</v>
      </c>
      <c r="AX286" s="180" t="s">
        <v>0</v>
      </c>
      <c r="AY286" s="180" t="s">
        <v>0</v>
      </c>
      <c r="AZ286" s="180" t="s">
        <v>0</v>
      </c>
      <c r="BA286" s="180" t="s">
        <v>0</v>
      </c>
      <c r="BB286" s="180" t="s">
        <v>0</v>
      </c>
      <c r="BC286" s="180" t="s">
        <v>0</v>
      </c>
      <c r="BD286" s="180" t="s">
        <v>0</v>
      </c>
      <c r="BE286" s="180" t="s">
        <v>0</v>
      </c>
      <c r="BF286" s="180" t="s">
        <v>0</v>
      </c>
      <c r="BG286" s="180" t="s">
        <v>0</v>
      </c>
      <c r="BH286" s="180" t="s">
        <v>0</v>
      </c>
      <c r="BI286" s="181"/>
    </row>
    <row r="287" spans="1:61" x14ac:dyDescent="0.25">
      <c r="A287" s="22">
        <f t="shared" si="24"/>
        <v>281</v>
      </c>
      <c r="B287" s="214" t="str">
        <f>IF(F287=$F$7,G288,B286)</f>
        <v>F0014826403</v>
      </c>
      <c r="C287" s="214" t="str">
        <f>IF(F287=$F$7,G289,C286)</f>
        <v>82115-0EZ50 B</v>
      </c>
      <c r="D287" s="45" t="str">
        <f>VLOOKUP(B287,'Timing Table'!B:J,9,0)</f>
        <v>C/O</v>
      </c>
      <c r="E287" s="22" t="str">
        <f>VLOOKUP(B287,'Timing Table'!B:H,7,0)</f>
        <v>GAS</v>
      </c>
      <c r="F287" s="121" t="s">
        <v>59</v>
      </c>
      <c r="G287" s="146">
        <v>5501017976</v>
      </c>
      <c r="H287" s="121" t="s">
        <v>60</v>
      </c>
      <c r="I287" s="146">
        <v>91</v>
      </c>
      <c r="J287" s="121" t="s">
        <v>61</v>
      </c>
      <c r="K287" s="125">
        <v>1177763</v>
      </c>
      <c r="L287" s="126"/>
      <c r="M287" s="147" t="s">
        <v>62</v>
      </c>
      <c r="N287" s="148"/>
      <c r="O287" s="149">
        <v>46086</v>
      </c>
      <c r="P287" s="121" t="s">
        <v>63</v>
      </c>
      <c r="Q287" s="146">
        <v>4</v>
      </c>
      <c r="R287" s="6" t="s">
        <v>0</v>
      </c>
      <c r="S287" s="7" t="s">
        <v>0</v>
      </c>
      <c r="T287" s="7" t="s">
        <v>0</v>
      </c>
      <c r="U287" s="7" t="s">
        <v>0</v>
      </c>
      <c r="V287" s="7" t="s">
        <v>0</v>
      </c>
      <c r="W287" s="7" t="s">
        <v>0</v>
      </c>
      <c r="X287" s="7" t="s">
        <v>0</v>
      </c>
      <c r="Y287" s="7" t="s">
        <v>0</v>
      </c>
      <c r="Z287" s="7" t="s">
        <v>0</v>
      </c>
      <c r="AA287" s="7" t="s">
        <v>0</v>
      </c>
      <c r="AB287" s="7" t="s">
        <v>0</v>
      </c>
      <c r="AC287" s="7" t="s">
        <v>0</v>
      </c>
      <c r="AD287" s="7" t="s">
        <v>0</v>
      </c>
      <c r="AE287" s="7" t="s">
        <v>0</v>
      </c>
      <c r="AF287" s="7" t="s">
        <v>0</v>
      </c>
      <c r="AG287" s="7" t="s">
        <v>0</v>
      </c>
      <c r="AH287" s="7" t="s">
        <v>0</v>
      </c>
      <c r="AI287" s="7" t="s">
        <v>0</v>
      </c>
      <c r="AJ287" s="7" t="s">
        <v>0</v>
      </c>
      <c r="AK287" s="7" t="s">
        <v>0</v>
      </c>
      <c r="AL287" s="7" t="s">
        <v>0</v>
      </c>
      <c r="AM287" s="7" t="s">
        <v>0</v>
      </c>
      <c r="AN287" s="7" t="s">
        <v>0</v>
      </c>
      <c r="AO287" s="7" t="s">
        <v>0</v>
      </c>
      <c r="AP287" s="7" t="s">
        <v>0</v>
      </c>
      <c r="AQ287" s="7" t="s">
        <v>0</v>
      </c>
      <c r="AR287" s="7" t="s">
        <v>0</v>
      </c>
      <c r="AS287" s="7" t="s">
        <v>0</v>
      </c>
      <c r="AT287" s="7" t="s">
        <v>0</v>
      </c>
      <c r="AU287" s="7" t="s">
        <v>0</v>
      </c>
      <c r="AV287" s="7" t="s">
        <v>0</v>
      </c>
      <c r="AW287" s="7" t="s">
        <v>0</v>
      </c>
      <c r="AX287" s="7" t="s">
        <v>0</v>
      </c>
      <c r="AY287" s="7" t="s">
        <v>0</v>
      </c>
      <c r="AZ287" s="7" t="s">
        <v>0</v>
      </c>
      <c r="BA287" s="7" t="s">
        <v>0</v>
      </c>
      <c r="BB287" s="7" t="s">
        <v>0</v>
      </c>
      <c r="BC287" s="7" t="s">
        <v>0</v>
      </c>
      <c r="BD287" s="7" t="s">
        <v>0</v>
      </c>
      <c r="BE287" s="7" t="s">
        <v>0</v>
      </c>
      <c r="BF287" s="7" t="s">
        <v>0</v>
      </c>
      <c r="BG287" s="7" t="s">
        <v>0</v>
      </c>
      <c r="BH287" s="7" t="s">
        <v>0</v>
      </c>
      <c r="BI287" s="8"/>
    </row>
    <row r="288" spans="1:61" x14ac:dyDescent="0.25">
      <c r="A288" s="22">
        <f t="shared" si="24"/>
        <v>282</v>
      </c>
      <c r="B288" s="214" t="str">
        <f t="shared" ref="B288:B295" si="27">IF(F288=$F$7,G289,B287)</f>
        <v>F0014826403</v>
      </c>
      <c r="C288" s="214" t="str">
        <f t="shared" ref="C288:C294" si="28">IF(F288=$F$7,G290,C287)</f>
        <v>82115-0EZ50 B</v>
      </c>
      <c r="D288" s="45" t="str">
        <f>VLOOKUP(B288,'Timing Table'!B:J,9,0)</f>
        <v>C/O</v>
      </c>
      <c r="E288" s="22" t="str">
        <f>VLOOKUP(B288,'Timing Table'!B:H,7,0)</f>
        <v>GAS</v>
      </c>
      <c r="F288" s="121" t="s">
        <v>64</v>
      </c>
      <c r="G288" s="146" t="s">
        <v>189</v>
      </c>
      <c r="H288" s="121" t="s">
        <v>65</v>
      </c>
      <c r="I288" s="150" t="s">
        <v>209</v>
      </c>
      <c r="J288" s="151"/>
      <c r="K288" s="151"/>
      <c r="L288" s="152"/>
      <c r="M288" s="121" t="s">
        <v>66</v>
      </c>
      <c r="N288" s="146">
        <v>2025</v>
      </c>
      <c r="O288" s="140" t="s">
        <v>67</v>
      </c>
      <c r="P288" s="141"/>
      <c r="Q288" s="153" t="s">
        <v>203</v>
      </c>
      <c r="R288" s="122" t="s">
        <v>0</v>
      </c>
      <c r="S288" s="123" t="s">
        <v>0</v>
      </c>
      <c r="T288" s="123" t="s">
        <v>0</v>
      </c>
      <c r="U288" s="123" t="s">
        <v>0</v>
      </c>
      <c r="V288" s="123" t="s">
        <v>0</v>
      </c>
      <c r="W288" s="123" t="s">
        <v>0</v>
      </c>
      <c r="X288" s="123" t="s">
        <v>0</v>
      </c>
      <c r="Y288" s="123" t="s">
        <v>0</v>
      </c>
      <c r="Z288" s="123" t="s">
        <v>0</v>
      </c>
      <c r="AA288" s="123" t="s">
        <v>0</v>
      </c>
      <c r="AB288" s="123" t="s">
        <v>0</v>
      </c>
      <c r="AC288" s="123" t="s">
        <v>0</v>
      </c>
      <c r="AD288" s="123" t="s">
        <v>0</v>
      </c>
      <c r="AE288" s="123" t="s">
        <v>0</v>
      </c>
      <c r="AF288" s="123" t="s">
        <v>0</v>
      </c>
      <c r="AG288" s="123" t="s">
        <v>0</v>
      </c>
      <c r="AH288" s="123" t="s">
        <v>0</v>
      </c>
      <c r="AI288" s="123" t="s">
        <v>0</v>
      </c>
      <c r="AJ288" s="123" t="s">
        <v>0</v>
      </c>
      <c r="AK288" s="123" t="s">
        <v>0</v>
      </c>
      <c r="AL288" s="123" t="s">
        <v>0</v>
      </c>
      <c r="AM288" s="123" t="s">
        <v>0</v>
      </c>
      <c r="AN288" s="123" t="s">
        <v>0</v>
      </c>
      <c r="AO288" s="123" t="s">
        <v>0</v>
      </c>
      <c r="AP288" s="123" t="s">
        <v>0</v>
      </c>
      <c r="AQ288" s="123" t="s">
        <v>0</v>
      </c>
      <c r="AR288" s="123" t="s">
        <v>0</v>
      </c>
      <c r="AS288" s="123" t="s">
        <v>0</v>
      </c>
      <c r="AT288" s="123" t="s">
        <v>0</v>
      </c>
      <c r="AU288" s="123" t="s">
        <v>0</v>
      </c>
      <c r="AV288" s="123" t="s">
        <v>0</v>
      </c>
      <c r="AW288" s="123" t="s">
        <v>0</v>
      </c>
      <c r="AX288" s="123" t="s">
        <v>0</v>
      </c>
      <c r="AY288" s="123" t="s">
        <v>0</v>
      </c>
      <c r="AZ288" s="123" t="s">
        <v>0</v>
      </c>
      <c r="BA288" s="123" t="s">
        <v>0</v>
      </c>
      <c r="BB288" s="123" t="s">
        <v>0</v>
      </c>
      <c r="BC288" s="123" t="s">
        <v>0</v>
      </c>
      <c r="BD288" s="123" t="s">
        <v>0</v>
      </c>
      <c r="BE288" s="123" t="s">
        <v>0</v>
      </c>
      <c r="BF288" s="123" t="s">
        <v>0</v>
      </c>
      <c r="BG288" s="123" t="s">
        <v>0</v>
      </c>
      <c r="BH288" s="123" t="s">
        <v>0</v>
      </c>
      <c r="BI288" s="124"/>
    </row>
    <row r="289" spans="1:61" x14ac:dyDescent="0.25">
      <c r="A289" s="22">
        <f t="shared" si="24"/>
        <v>283</v>
      </c>
      <c r="B289" s="214" t="str">
        <f t="shared" si="27"/>
        <v>F0014826403</v>
      </c>
      <c r="C289" s="214" t="str">
        <f t="shared" si="28"/>
        <v>82115-0EZ50 B</v>
      </c>
      <c r="D289" s="45" t="str">
        <f>VLOOKUP(B289,'Timing Table'!B:J,9,0)</f>
        <v>C/O</v>
      </c>
      <c r="E289" s="22" t="str">
        <f>VLOOKUP(B289,'Timing Table'!B:H,7,0)</f>
        <v>GAS</v>
      </c>
      <c r="F289" s="121" t="s">
        <v>68</v>
      </c>
      <c r="G289" s="146" t="s">
        <v>353</v>
      </c>
      <c r="H289" s="121" t="s">
        <v>69</v>
      </c>
      <c r="I289" s="154" t="s">
        <v>58</v>
      </c>
      <c r="J289" s="155" t="s">
        <v>0</v>
      </c>
      <c r="K289" s="156" t="s">
        <v>0</v>
      </c>
      <c r="L289" s="157" t="s">
        <v>0</v>
      </c>
      <c r="M289" s="134" t="s">
        <v>0</v>
      </c>
      <c r="N289" s="134" t="s">
        <v>0</v>
      </c>
      <c r="O289" s="134" t="s">
        <v>0</v>
      </c>
      <c r="P289" s="134" t="s">
        <v>0</v>
      </c>
      <c r="Q289" s="134" t="s">
        <v>1</v>
      </c>
      <c r="R289" s="134" t="s">
        <v>2</v>
      </c>
      <c r="S289" s="134" t="s">
        <v>0</v>
      </c>
      <c r="T289" s="134" t="s">
        <v>0</v>
      </c>
      <c r="U289" s="134" t="s">
        <v>0</v>
      </c>
      <c r="V289" s="134" t="s">
        <v>0</v>
      </c>
      <c r="W289" s="134" t="s">
        <v>0</v>
      </c>
      <c r="X289" s="134" t="s">
        <v>0</v>
      </c>
      <c r="Y289" s="134" t="s">
        <v>0</v>
      </c>
      <c r="Z289" s="134" t="s">
        <v>3</v>
      </c>
      <c r="AA289" s="134" t="s">
        <v>0</v>
      </c>
      <c r="AB289" s="134" t="s">
        <v>0</v>
      </c>
      <c r="AC289" s="134" t="s">
        <v>0</v>
      </c>
      <c r="AD289" s="134" t="s">
        <v>0</v>
      </c>
      <c r="AE289" s="134" t="s">
        <v>0</v>
      </c>
      <c r="AF289" s="134" t="s">
        <v>0</v>
      </c>
      <c r="AG289" s="134" t="s">
        <v>0</v>
      </c>
      <c r="AH289" s="134" t="s">
        <v>0</v>
      </c>
      <c r="AI289" s="134" t="s">
        <v>0</v>
      </c>
      <c r="AJ289" s="134" t="s">
        <v>0</v>
      </c>
      <c r="AK289" s="134" t="s">
        <v>0</v>
      </c>
      <c r="AL289" s="134" t="s">
        <v>0</v>
      </c>
      <c r="AM289" s="134" t="s">
        <v>0</v>
      </c>
      <c r="AN289" s="134" t="s">
        <v>0</v>
      </c>
      <c r="AO289" s="134" t="s">
        <v>0</v>
      </c>
      <c r="AP289" s="134" t="s">
        <v>0</v>
      </c>
      <c r="AQ289" s="134" t="s">
        <v>0</v>
      </c>
      <c r="AR289" s="134" t="s">
        <v>0</v>
      </c>
      <c r="AS289" s="134" t="s">
        <v>0</v>
      </c>
      <c r="AT289" s="134" t="s">
        <v>0</v>
      </c>
      <c r="AU289" s="134" t="s">
        <v>0</v>
      </c>
      <c r="AV289" s="134" t="s">
        <v>0</v>
      </c>
      <c r="AW289" s="134" t="s">
        <v>0</v>
      </c>
      <c r="AX289" s="134" t="s">
        <v>0</v>
      </c>
      <c r="AY289" s="134" t="s">
        <v>0</v>
      </c>
      <c r="AZ289" s="134" t="s">
        <v>0</v>
      </c>
      <c r="BA289" s="134" t="s">
        <v>0</v>
      </c>
      <c r="BB289" s="134" t="s">
        <v>0</v>
      </c>
      <c r="BC289" s="134" t="s">
        <v>0</v>
      </c>
      <c r="BD289" s="134" t="s">
        <v>0</v>
      </c>
      <c r="BE289" s="134" t="s">
        <v>0</v>
      </c>
      <c r="BF289" s="134" t="s">
        <v>0</v>
      </c>
      <c r="BG289" s="134" t="s">
        <v>0</v>
      </c>
      <c r="BH289" s="134" t="s">
        <v>0</v>
      </c>
      <c r="BI289" s="135" t="s">
        <v>4</v>
      </c>
    </row>
    <row r="290" spans="1:61" x14ac:dyDescent="0.25">
      <c r="A290" s="22">
        <f t="shared" si="24"/>
        <v>284</v>
      </c>
      <c r="B290" s="214" t="str">
        <f t="shared" si="27"/>
        <v>F0014826403</v>
      </c>
      <c r="C290" s="214" t="str">
        <f t="shared" si="28"/>
        <v>82115-0EZ50 B</v>
      </c>
      <c r="D290" s="45" t="str">
        <f>VLOOKUP(B290,'Timing Table'!B:J,9,0)</f>
        <v>C/O</v>
      </c>
      <c r="E290" s="22" t="str">
        <f>VLOOKUP(B290,'Timing Table'!B:H,7,0)</f>
        <v>GAS</v>
      </c>
      <c r="F290" s="121" t="s">
        <v>70</v>
      </c>
      <c r="G290" s="146">
        <v>0</v>
      </c>
      <c r="H290" s="158" t="s">
        <v>241</v>
      </c>
      <c r="I290" s="159" t="s">
        <v>71</v>
      </c>
      <c r="J290" s="13">
        <v>46041</v>
      </c>
      <c r="K290" s="14">
        <v>46048</v>
      </c>
      <c r="L290" s="14">
        <v>46055</v>
      </c>
      <c r="M290" s="14">
        <v>46062</v>
      </c>
      <c r="N290" s="14">
        <v>46069</v>
      </c>
      <c r="O290" s="14">
        <v>46076</v>
      </c>
      <c r="P290" s="14">
        <v>46083</v>
      </c>
      <c r="Q290" s="14">
        <v>46090</v>
      </c>
      <c r="R290" s="14">
        <v>46097</v>
      </c>
      <c r="S290" s="14">
        <v>46104</v>
      </c>
      <c r="T290" s="14">
        <v>46111</v>
      </c>
      <c r="U290" s="14">
        <v>46118</v>
      </c>
      <c r="V290" s="14">
        <v>46125</v>
      </c>
      <c r="W290" s="14">
        <v>46132</v>
      </c>
      <c r="X290" s="14">
        <v>46139</v>
      </c>
      <c r="Y290" s="14">
        <v>46146</v>
      </c>
      <c r="Z290" s="14">
        <v>46153</v>
      </c>
      <c r="AA290" s="14">
        <v>46160</v>
      </c>
      <c r="AB290" s="14">
        <v>46167</v>
      </c>
      <c r="AC290" s="14">
        <v>46174</v>
      </c>
      <c r="AD290" s="14">
        <v>46181</v>
      </c>
      <c r="AE290" s="14">
        <v>46188</v>
      </c>
      <c r="AF290" s="14">
        <v>46195</v>
      </c>
      <c r="AG290" s="14">
        <v>46202</v>
      </c>
      <c r="AH290" s="14">
        <v>46209</v>
      </c>
      <c r="AI290" s="14">
        <v>46216</v>
      </c>
      <c r="AJ290" s="14">
        <v>46223</v>
      </c>
      <c r="AK290" s="14">
        <v>46230</v>
      </c>
      <c r="AL290" s="14">
        <v>46237</v>
      </c>
      <c r="AM290" s="14">
        <v>46244</v>
      </c>
      <c r="AN290" s="14">
        <v>46251</v>
      </c>
      <c r="AO290" s="14">
        <v>46258</v>
      </c>
      <c r="AP290" s="14">
        <v>46265</v>
      </c>
      <c r="AQ290" s="14">
        <v>46272</v>
      </c>
      <c r="AR290" s="14">
        <v>46279</v>
      </c>
      <c r="AS290" s="14">
        <v>46286</v>
      </c>
      <c r="AT290" s="14">
        <v>46293</v>
      </c>
      <c r="AU290" s="14">
        <v>46300</v>
      </c>
      <c r="AV290" s="14">
        <v>46307</v>
      </c>
      <c r="AW290" s="14">
        <v>46314</v>
      </c>
      <c r="AX290" s="14">
        <v>46321</v>
      </c>
      <c r="AY290" s="14">
        <v>46328</v>
      </c>
      <c r="AZ290" s="14">
        <v>46335</v>
      </c>
      <c r="BA290" s="14">
        <v>46342</v>
      </c>
      <c r="BB290" s="14">
        <v>46349</v>
      </c>
      <c r="BC290" s="14">
        <v>46356</v>
      </c>
      <c r="BD290" s="14">
        <v>46363</v>
      </c>
      <c r="BE290" s="14">
        <v>46370</v>
      </c>
      <c r="BF290" s="14">
        <v>46377</v>
      </c>
      <c r="BG290" s="14">
        <v>46384</v>
      </c>
      <c r="BH290" s="14">
        <v>46391</v>
      </c>
      <c r="BI290" s="15">
        <v>46398</v>
      </c>
    </row>
    <row r="291" spans="1:61" x14ac:dyDescent="0.25">
      <c r="A291" s="22">
        <f t="shared" si="24"/>
        <v>285</v>
      </c>
      <c r="B291" s="214" t="str">
        <f t="shared" si="27"/>
        <v>F0014826403</v>
      </c>
      <c r="C291" s="214" t="str">
        <f t="shared" si="28"/>
        <v>82115-0EZ50 B</v>
      </c>
      <c r="D291" s="45" t="str">
        <f>VLOOKUP(B291,'Timing Table'!B:J,9,0)</f>
        <v>C/O</v>
      </c>
      <c r="E291" s="22" t="str">
        <f>VLOOKUP(B291,'Timing Table'!B:H,7,0)</f>
        <v>GAS</v>
      </c>
      <c r="F291" s="121" t="s">
        <v>72</v>
      </c>
      <c r="G291" s="146">
        <v>8</v>
      </c>
      <c r="H291" s="5" t="s">
        <v>58</v>
      </c>
      <c r="I291" s="11" t="s">
        <v>83</v>
      </c>
      <c r="J291" s="16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17"/>
    </row>
    <row r="292" spans="1:61" x14ac:dyDescent="0.25">
      <c r="A292" s="22">
        <f t="shared" si="24"/>
        <v>286</v>
      </c>
      <c r="B292" s="214" t="str">
        <f t="shared" si="27"/>
        <v>F0014826403</v>
      </c>
      <c r="C292" s="214" t="str">
        <f t="shared" si="28"/>
        <v>82115-0EZ50 B</v>
      </c>
      <c r="D292" s="45" t="str">
        <f>VLOOKUP(B292,'Timing Table'!B:J,9,0)</f>
        <v>C/O</v>
      </c>
      <c r="E292" s="22" t="str">
        <f>VLOOKUP(B292,'Timing Table'!B:H,7,0)</f>
        <v>GAS</v>
      </c>
      <c r="F292" s="121" t="s">
        <v>73</v>
      </c>
      <c r="G292" s="160" t="s">
        <v>130</v>
      </c>
      <c r="H292" s="9" t="s">
        <v>125</v>
      </c>
      <c r="I292" s="11" t="s">
        <v>74</v>
      </c>
      <c r="J292" s="117">
        <v>0</v>
      </c>
      <c r="K292" s="50">
        <v>0</v>
      </c>
      <c r="L292" s="50">
        <v>0</v>
      </c>
      <c r="M292" s="50">
        <v>0</v>
      </c>
      <c r="N292" s="50">
        <v>0</v>
      </c>
      <c r="O292" s="50">
        <v>0</v>
      </c>
      <c r="P292" s="50">
        <v>0</v>
      </c>
      <c r="Q292" s="50">
        <v>0</v>
      </c>
      <c r="R292" s="50">
        <v>0</v>
      </c>
      <c r="S292" s="50">
        <v>0</v>
      </c>
      <c r="T292" s="50">
        <v>0</v>
      </c>
      <c r="U292" s="50">
        <v>0</v>
      </c>
      <c r="V292" s="50">
        <v>0</v>
      </c>
      <c r="W292" s="50">
        <v>0</v>
      </c>
      <c r="X292" s="50">
        <v>0</v>
      </c>
      <c r="Y292" s="50">
        <v>0</v>
      </c>
      <c r="Z292" s="50">
        <v>0</v>
      </c>
      <c r="AA292" s="50">
        <v>0</v>
      </c>
      <c r="AB292" s="50">
        <v>0</v>
      </c>
      <c r="AC292" s="50">
        <v>0</v>
      </c>
      <c r="AD292" s="50">
        <v>0</v>
      </c>
      <c r="AE292" s="50">
        <v>0</v>
      </c>
      <c r="AF292" s="50">
        <v>0</v>
      </c>
      <c r="AG292" s="50">
        <v>0</v>
      </c>
      <c r="AH292" s="50">
        <v>0</v>
      </c>
      <c r="AI292" s="50">
        <v>0</v>
      </c>
      <c r="AJ292" s="50">
        <v>0</v>
      </c>
      <c r="AK292" s="50">
        <v>0</v>
      </c>
      <c r="AL292" s="50">
        <v>0</v>
      </c>
      <c r="AM292" s="50">
        <v>0</v>
      </c>
      <c r="AN292" s="50">
        <v>0</v>
      </c>
      <c r="AO292" s="50">
        <v>0</v>
      </c>
      <c r="AP292" s="50">
        <v>0</v>
      </c>
      <c r="AQ292" s="50">
        <v>0</v>
      </c>
      <c r="AR292" s="50">
        <v>0</v>
      </c>
      <c r="AS292" s="50">
        <v>0</v>
      </c>
      <c r="AT292" s="50">
        <v>0</v>
      </c>
      <c r="AU292" s="50">
        <v>0</v>
      </c>
      <c r="AV292" s="50">
        <v>0</v>
      </c>
      <c r="AW292" s="50">
        <v>0</v>
      </c>
      <c r="AX292" s="50">
        <v>0</v>
      </c>
      <c r="AY292" s="50">
        <v>0</v>
      </c>
      <c r="AZ292" s="50">
        <v>0</v>
      </c>
      <c r="BA292" s="50">
        <v>0</v>
      </c>
      <c r="BB292" s="50">
        <v>0</v>
      </c>
      <c r="BC292" s="50">
        <v>0</v>
      </c>
      <c r="BD292" s="50">
        <v>0</v>
      </c>
      <c r="BE292" s="50">
        <v>0</v>
      </c>
      <c r="BF292" s="50">
        <v>0</v>
      </c>
      <c r="BG292" s="50">
        <v>0</v>
      </c>
      <c r="BH292" s="50">
        <v>0</v>
      </c>
      <c r="BI292" s="118">
        <v>0</v>
      </c>
    </row>
    <row r="293" spans="1:61" x14ac:dyDescent="0.25">
      <c r="A293" s="22">
        <f t="shared" si="24"/>
        <v>287</v>
      </c>
      <c r="B293" s="214" t="str">
        <f t="shared" si="27"/>
        <v>F0014826403</v>
      </c>
      <c r="C293" s="214" t="str">
        <f t="shared" si="28"/>
        <v>82115-0EZ50 B</v>
      </c>
      <c r="D293" s="45" t="str">
        <f>VLOOKUP(B293,'Timing Table'!B:J,9,0)</f>
        <v>C/O</v>
      </c>
      <c r="E293" s="22" t="str">
        <f>VLOOKUP(B293,'Timing Table'!B:H,7,0)</f>
        <v>GAS</v>
      </c>
      <c r="F293" s="121" t="s">
        <v>75</v>
      </c>
      <c r="G293" s="146">
        <v>82115</v>
      </c>
      <c r="H293" s="10" t="s">
        <v>125</v>
      </c>
      <c r="I293" s="12" t="s">
        <v>76</v>
      </c>
      <c r="J293" s="161">
        <v>0</v>
      </c>
      <c r="K293" s="162">
        <v>0</v>
      </c>
      <c r="L293" s="162">
        <v>0</v>
      </c>
      <c r="M293" s="162">
        <v>0</v>
      </c>
      <c r="N293" s="162">
        <v>0</v>
      </c>
      <c r="O293" s="162">
        <v>0</v>
      </c>
      <c r="P293" s="162">
        <v>0</v>
      </c>
      <c r="Q293" s="162">
        <v>0</v>
      </c>
      <c r="R293" s="162">
        <v>0</v>
      </c>
      <c r="S293" s="162">
        <v>0</v>
      </c>
      <c r="T293" s="162">
        <v>0</v>
      </c>
      <c r="U293" s="162">
        <v>0</v>
      </c>
      <c r="V293" s="162">
        <v>0</v>
      </c>
      <c r="W293" s="162">
        <v>0</v>
      </c>
      <c r="X293" s="162">
        <v>0</v>
      </c>
      <c r="Y293" s="162">
        <v>0</v>
      </c>
      <c r="Z293" s="162">
        <v>0</v>
      </c>
      <c r="AA293" s="162">
        <v>0</v>
      </c>
      <c r="AB293" s="162">
        <v>0</v>
      </c>
      <c r="AC293" s="162">
        <v>0</v>
      </c>
      <c r="AD293" s="162">
        <v>0</v>
      </c>
      <c r="AE293" s="162">
        <v>0</v>
      </c>
      <c r="AF293" s="162">
        <v>0</v>
      </c>
      <c r="AG293" s="162">
        <v>0</v>
      </c>
      <c r="AH293" s="162">
        <v>0</v>
      </c>
      <c r="AI293" s="162">
        <v>0</v>
      </c>
      <c r="AJ293" s="162">
        <v>0</v>
      </c>
      <c r="AK293" s="162">
        <v>0</v>
      </c>
      <c r="AL293" s="162">
        <v>0</v>
      </c>
      <c r="AM293" s="162">
        <v>0</v>
      </c>
      <c r="AN293" s="162">
        <v>0</v>
      </c>
      <c r="AO293" s="162">
        <v>0</v>
      </c>
      <c r="AP293" s="162">
        <v>0</v>
      </c>
      <c r="AQ293" s="162">
        <v>0</v>
      </c>
      <c r="AR293" s="162">
        <v>0</v>
      </c>
      <c r="AS293" s="162">
        <v>0</v>
      </c>
      <c r="AT293" s="162">
        <v>0</v>
      </c>
      <c r="AU293" s="162">
        <v>0</v>
      </c>
      <c r="AV293" s="162">
        <v>0</v>
      </c>
      <c r="AW293" s="162">
        <v>0</v>
      </c>
      <c r="AX293" s="162">
        <v>0</v>
      </c>
      <c r="AY293" s="162">
        <v>0</v>
      </c>
      <c r="AZ293" s="162">
        <v>0</v>
      </c>
      <c r="BA293" s="162">
        <v>0</v>
      </c>
      <c r="BB293" s="162">
        <v>0</v>
      </c>
      <c r="BC293" s="162">
        <v>0</v>
      </c>
      <c r="BD293" s="162">
        <v>0</v>
      </c>
      <c r="BE293" s="162">
        <v>0</v>
      </c>
      <c r="BF293" s="162">
        <v>0</v>
      </c>
      <c r="BG293" s="162">
        <v>0</v>
      </c>
      <c r="BH293" s="162">
        <v>0</v>
      </c>
      <c r="BI293" s="163">
        <v>0</v>
      </c>
    </row>
    <row r="294" spans="1:61" x14ac:dyDescent="0.25">
      <c r="A294" s="22">
        <f t="shared" si="24"/>
        <v>288</v>
      </c>
      <c r="B294" s="214" t="str">
        <f t="shared" si="27"/>
        <v>F0014826403</v>
      </c>
      <c r="C294" s="214" t="str">
        <f t="shared" si="28"/>
        <v>82115-0EZ50 B</v>
      </c>
      <c r="D294" s="45" t="str">
        <f>VLOOKUP(B294,'Timing Table'!B:J,9,0)</f>
        <v>C/O</v>
      </c>
      <c r="E294" s="22" t="str">
        <f>VLOOKUP(B294,'Timing Table'!B:H,7,0)</f>
        <v>GAS</v>
      </c>
      <c r="F294" s="164" t="s">
        <v>77</v>
      </c>
      <c r="G294" s="165">
        <v>0</v>
      </c>
      <c r="H294" s="166" t="s">
        <v>78</v>
      </c>
      <c r="I294" s="167"/>
      <c r="J294" s="168"/>
      <c r="K294" s="169"/>
      <c r="L294" s="170" t="s">
        <v>0</v>
      </c>
      <c r="M294" s="170" t="s">
        <v>0</v>
      </c>
      <c r="N294" s="170" t="s">
        <v>0</v>
      </c>
      <c r="O294" s="170" t="s">
        <v>0</v>
      </c>
      <c r="P294" s="170" t="s">
        <v>0</v>
      </c>
      <c r="Q294" s="170" t="s">
        <v>0</v>
      </c>
      <c r="R294" s="170" t="s">
        <v>0</v>
      </c>
      <c r="S294" s="170" t="s">
        <v>0</v>
      </c>
      <c r="T294" s="170" t="s">
        <v>0</v>
      </c>
      <c r="U294" s="170" t="s">
        <v>0</v>
      </c>
      <c r="V294" s="170" t="s">
        <v>0</v>
      </c>
      <c r="W294" s="170" t="s">
        <v>0</v>
      </c>
      <c r="X294" s="170" t="s">
        <v>0</v>
      </c>
      <c r="Y294" s="170" t="s">
        <v>0</v>
      </c>
      <c r="Z294" s="170" t="s">
        <v>0</v>
      </c>
      <c r="AA294" s="170" t="s">
        <v>0</v>
      </c>
      <c r="AB294" s="170" t="s">
        <v>0</v>
      </c>
      <c r="AC294" s="170" t="s">
        <v>0</v>
      </c>
      <c r="AD294" s="170" t="s">
        <v>0</v>
      </c>
      <c r="AE294" s="170" t="s">
        <v>0</v>
      </c>
      <c r="AF294" s="170" t="s">
        <v>0</v>
      </c>
      <c r="AG294" s="170" t="s">
        <v>0</v>
      </c>
      <c r="AH294" s="170" t="s">
        <v>0</v>
      </c>
      <c r="AI294" s="170" t="s">
        <v>0</v>
      </c>
      <c r="AJ294" s="170" t="s">
        <v>0</v>
      </c>
      <c r="AK294" s="170" t="s">
        <v>0</v>
      </c>
      <c r="AL294" s="170" t="s">
        <v>0</v>
      </c>
      <c r="AM294" s="170" t="s">
        <v>0</v>
      </c>
      <c r="AN294" s="170" t="s">
        <v>0</v>
      </c>
      <c r="AO294" s="170" t="s">
        <v>0</v>
      </c>
      <c r="AP294" s="170" t="s">
        <v>0</v>
      </c>
      <c r="AQ294" s="170" t="s">
        <v>0</v>
      </c>
      <c r="AR294" s="170" t="s">
        <v>0</v>
      </c>
      <c r="AS294" s="170" t="s">
        <v>0</v>
      </c>
      <c r="AT294" s="170" t="s">
        <v>0</v>
      </c>
      <c r="AU294" s="170" t="s">
        <v>0</v>
      </c>
      <c r="AV294" s="170" t="s">
        <v>0</v>
      </c>
      <c r="AW294" s="170" t="s">
        <v>0</v>
      </c>
      <c r="AX294" s="170" t="s">
        <v>0</v>
      </c>
      <c r="AY294" s="170" t="s">
        <v>0</v>
      </c>
      <c r="AZ294" s="170" t="s">
        <v>0</v>
      </c>
      <c r="BA294" s="170" t="s">
        <v>0</v>
      </c>
      <c r="BB294" s="170" t="s">
        <v>0</v>
      </c>
      <c r="BC294" s="170" t="s">
        <v>0</v>
      </c>
      <c r="BD294" s="170" t="s">
        <v>0</v>
      </c>
      <c r="BE294" s="170" t="s">
        <v>0</v>
      </c>
      <c r="BF294" s="170" t="s">
        <v>0</v>
      </c>
      <c r="BG294" s="170" t="s">
        <v>0</v>
      </c>
      <c r="BH294" s="170" t="s">
        <v>0</v>
      </c>
      <c r="BI294" s="171"/>
    </row>
    <row r="295" spans="1:61" x14ac:dyDescent="0.25">
      <c r="A295" s="22">
        <f t="shared" si="24"/>
        <v>289</v>
      </c>
      <c r="B295" s="214" t="str">
        <f t="shared" si="27"/>
        <v>F0014826403</v>
      </c>
      <c r="C295" s="214" t="str">
        <f>IF(F295=$F$7,#REF!,C294)</f>
        <v>82115-0EZ50 B</v>
      </c>
      <c r="D295" s="45" t="str">
        <f>VLOOKUP(B295,'Timing Table'!B:J,9,0)</f>
        <v>C/O</v>
      </c>
      <c r="E295" s="22" t="str">
        <f>VLOOKUP(B295,'Timing Table'!B:H,7,0)</f>
        <v>GAS</v>
      </c>
      <c r="F295" s="172" t="s">
        <v>79</v>
      </c>
      <c r="G295" s="173" t="s">
        <v>58</v>
      </c>
      <c r="H295" s="174" t="s">
        <v>58</v>
      </c>
      <c r="I295" s="175" t="s">
        <v>58</v>
      </c>
      <c r="J295" s="175" t="s">
        <v>0</v>
      </c>
      <c r="K295" s="175" t="s">
        <v>0</v>
      </c>
      <c r="L295" s="175" t="s">
        <v>0</v>
      </c>
      <c r="M295" s="175" t="s">
        <v>0</v>
      </c>
      <c r="N295" s="175" t="s">
        <v>0</v>
      </c>
      <c r="O295" s="175" t="s">
        <v>0</v>
      </c>
      <c r="P295" s="175" t="s">
        <v>0</v>
      </c>
      <c r="Q295" s="175" t="s">
        <v>0</v>
      </c>
      <c r="R295" s="175" t="s">
        <v>0</v>
      </c>
      <c r="S295" s="175" t="s">
        <v>0</v>
      </c>
      <c r="T295" s="175" t="s">
        <v>0</v>
      </c>
      <c r="U295" s="175" t="s">
        <v>0</v>
      </c>
      <c r="V295" s="175" t="s">
        <v>0</v>
      </c>
      <c r="W295" s="175" t="s">
        <v>0</v>
      </c>
      <c r="X295" s="175" t="s">
        <v>0</v>
      </c>
      <c r="Y295" s="175" t="s">
        <v>0</v>
      </c>
      <c r="Z295" s="175" t="s">
        <v>0</v>
      </c>
      <c r="AA295" s="175" t="s">
        <v>0</v>
      </c>
      <c r="AB295" s="175" t="s">
        <v>0</v>
      </c>
      <c r="AC295" s="175" t="s">
        <v>0</v>
      </c>
      <c r="AD295" s="175" t="s">
        <v>0</v>
      </c>
      <c r="AE295" s="175" t="s">
        <v>0</v>
      </c>
      <c r="AF295" s="175" t="s">
        <v>0</v>
      </c>
      <c r="AG295" s="175" t="s">
        <v>0</v>
      </c>
      <c r="AH295" s="175" t="s">
        <v>0</v>
      </c>
      <c r="AI295" s="175" t="s">
        <v>0</v>
      </c>
      <c r="AJ295" s="175" t="s">
        <v>0</v>
      </c>
      <c r="AK295" s="175" t="s">
        <v>0</v>
      </c>
      <c r="AL295" s="175" t="s">
        <v>0</v>
      </c>
      <c r="AM295" s="175" t="s">
        <v>0</v>
      </c>
      <c r="AN295" s="175" t="s">
        <v>0</v>
      </c>
      <c r="AO295" s="175" t="s">
        <v>0</v>
      </c>
      <c r="AP295" s="175" t="s">
        <v>0</v>
      </c>
      <c r="AQ295" s="175" t="s">
        <v>0</v>
      </c>
      <c r="AR295" s="175" t="s">
        <v>0</v>
      </c>
      <c r="AS295" s="175" t="s">
        <v>0</v>
      </c>
      <c r="AT295" s="175" t="s">
        <v>0</v>
      </c>
      <c r="AU295" s="175" t="s">
        <v>0</v>
      </c>
      <c r="AV295" s="175" t="s">
        <v>0</v>
      </c>
      <c r="AW295" s="175" t="s">
        <v>0</v>
      </c>
      <c r="AX295" s="175" t="s">
        <v>0</v>
      </c>
      <c r="AY295" s="175" t="s">
        <v>0</v>
      </c>
      <c r="AZ295" s="175" t="s">
        <v>0</v>
      </c>
      <c r="BA295" s="175" t="s">
        <v>0</v>
      </c>
      <c r="BB295" s="175" t="s">
        <v>0</v>
      </c>
      <c r="BC295" s="175" t="s">
        <v>0</v>
      </c>
      <c r="BD295" s="175" t="s">
        <v>0</v>
      </c>
      <c r="BE295" s="175" t="s">
        <v>0</v>
      </c>
      <c r="BF295" s="175" t="s">
        <v>0</v>
      </c>
      <c r="BG295" s="175" t="s">
        <v>0</v>
      </c>
      <c r="BH295" s="175" t="s">
        <v>0</v>
      </c>
      <c r="BI295" s="176"/>
    </row>
    <row r="296" spans="1:61" x14ac:dyDescent="0.25">
      <c r="A296" s="22">
        <f t="shared" si="24"/>
        <v>290</v>
      </c>
      <c r="B296" s="214" t="str">
        <f>IF(F296=$F$7,#REF!,B295)</f>
        <v>F0014826403</v>
      </c>
      <c r="C296" s="214" t="str">
        <f>IF(F296=$F$7,#REF!,C295)</f>
        <v>82115-0EZ50 B</v>
      </c>
      <c r="D296" s="45" t="str">
        <f>VLOOKUP(B296,'Timing Table'!B:J,9,0)</f>
        <v>C/O</v>
      </c>
      <c r="E296" s="22" t="str">
        <f>VLOOKUP(B296,'Timing Table'!B:H,7,0)</f>
        <v>GAS</v>
      </c>
      <c r="F296" s="177" t="s">
        <v>58</v>
      </c>
      <c r="G296" s="178" t="s">
        <v>58</v>
      </c>
      <c r="H296" s="179" t="s">
        <v>58</v>
      </c>
      <c r="I296" s="180" t="s">
        <v>58</v>
      </c>
      <c r="J296" s="180" t="s">
        <v>0</v>
      </c>
      <c r="K296" s="180" t="s">
        <v>0</v>
      </c>
      <c r="L296" s="180" t="s">
        <v>0</v>
      </c>
      <c r="M296" s="180" t="s">
        <v>0</v>
      </c>
      <c r="N296" s="180" t="s">
        <v>0</v>
      </c>
      <c r="O296" s="180" t="s">
        <v>0</v>
      </c>
      <c r="P296" s="180" t="s">
        <v>0</v>
      </c>
      <c r="Q296" s="180" t="s">
        <v>0</v>
      </c>
      <c r="R296" s="180" t="s">
        <v>0</v>
      </c>
      <c r="S296" s="180" t="s">
        <v>0</v>
      </c>
      <c r="T296" s="180" t="s">
        <v>0</v>
      </c>
      <c r="U296" s="180" t="s">
        <v>0</v>
      </c>
      <c r="V296" s="180" t="s">
        <v>0</v>
      </c>
      <c r="W296" s="180" t="s">
        <v>0</v>
      </c>
      <c r="X296" s="180" t="s">
        <v>0</v>
      </c>
      <c r="Y296" s="180" t="s">
        <v>0</v>
      </c>
      <c r="Z296" s="180" t="s">
        <v>0</v>
      </c>
      <c r="AA296" s="180" t="s">
        <v>0</v>
      </c>
      <c r="AB296" s="180" t="s">
        <v>0</v>
      </c>
      <c r="AC296" s="180" t="s">
        <v>0</v>
      </c>
      <c r="AD296" s="180" t="s">
        <v>0</v>
      </c>
      <c r="AE296" s="180" t="s">
        <v>0</v>
      </c>
      <c r="AF296" s="180" t="s">
        <v>0</v>
      </c>
      <c r="AG296" s="180" t="s">
        <v>0</v>
      </c>
      <c r="AH296" s="180" t="s">
        <v>0</v>
      </c>
      <c r="AI296" s="180" t="s">
        <v>0</v>
      </c>
      <c r="AJ296" s="180" t="s">
        <v>0</v>
      </c>
      <c r="AK296" s="180" t="s">
        <v>0</v>
      </c>
      <c r="AL296" s="180" t="s">
        <v>0</v>
      </c>
      <c r="AM296" s="180" t="s">
        <v>0</v>
      </c>
      <c r="AN296" s="180" t="s">
        <v>0</v>
      </c>
      <c r="AO296" s="180" t="s">
        <v>0</v>
      </c>
      <c r="AP296" s="180" t="s">
        <v>0</v>
      </c>
      <c r="AQ296" s="180" t="s">
        <v>0</v>
      </c>
      <c r="AR296" s="180" t="s">
        <v>0</v>
      </c>
      <c r="AS296" s="180" t="s">
        <v>0</v>
      </c>
      <c r="AT296" s="180" t="s">
        <v>0</v>
      </c>
      <c r="AU296" s="180" t="s">
        <v>0</v>
      </c>
      <c r="AV296" s="180" t="s">
        <v>0</v>
      </c>
      <c r="AW296" s="180" t="s">
        <v>0</v>
      </c>
      <c r="AX296" s="180" t="s">
        <v>0</v>
      </c>
      <c r="AY296" s="180" t="s">
        <v>0</v>
      </c>
      <c r="AZ296" s="180" t="s">
        <v>0</v>
      </c>
      <c r="BA296" s="180" t="s">
        <v>0</v>
      </c>
      <c r="BB296" s="180" t="s">
        <v>0</v>
      </c>
      <c r="BC296" s="180" t="s">
        <v>0</v>
      </c>
      <c r="BD296" s="180" t="s">
        <v>0</v>
      </c>
      <c r="BE296" s="180" t="s">
        <v>0</v>
      </c>
      <c r="BF296" s="180" t="s">
        <v>0</v>
      </c>
      <c r="BG296" s="180" t="s">
        <v>0</v>
      </c>
      <c r="BH296" s="180" t="s">
        <v>0</v>
      </c>
      <c r="BI296" s="181"/>
    </row>
    <row r="297" spans="1:61" x14ac:dyDescent="0.25">
      <c r="A297" s="22">
        <f t="shared" si="24"/>
        <v>291</v>
      </c>
      <c r="B297" s="214" t="str">
        <f>IF(F297=$F$7,G298,B296)</f>
        <v>F0014826503</v>
      </c>
      <c r="C297" s="214" t="str">
        <f>IF(F297=$F$7,G299,C296)</f>
        <v>82115-0E561 B</v>
      </c>
      <c r="D297" s="45" t="str">
        <f>VLOOKUP(B297,'Timing Table'!B:J,9,0)</f>
        <v>C/O</v>
      </c>
      <c r="E297" s="22" t="str">
        <f>VLOOKUP(B297,'Timing Table'!B:H,7,0)</f>
        <v>GAS</v>
      </c>
      <c r="F297" s="121" t="s">
        <v>59</v>
      </c>
      <c r="G297" s="146">
        <v>5501017971</v>
      </c>
      <c r="H297" s="121" t="s">
        <v>60</v>
      </c>
      <c r="I297" s="146">
        <v>91</v>
      </c>
      <c r="J297" s="121" t="s">
        <v>61</v>
      </c>
      <c r="K297" s="125">
        <v>1177758</v>
      </c>
      <c r="L297" s="126"/>
      <c r="M297" s="147" t="s">
        <v>62</v>
      </c>
      <c r="N297" s="148"/>
      <c r="O297" s="149">
        <v>46086</v>
      </c>
      <c r="P297" s="121" t="s">
        <v>63</v>
      </c>
      <c r="Q297" s="146">
        <v>4</v>
      </c>
      <c r="R297" s="6" t="s">
        <v>0</v>
      </c>
      <c r="S297" s="7" t="s">
        <v>0</v>
      </c>
      <c r="T297" s="7" t="s">
        <v>0</v>
      </c>
      <c r="U297" s="7" t="s">
        <v>0</v>
      </c>
      <c r="V297" s="7" t="s">
        <v>0</v>
      </c>
      <c r="W297" s="7" t="s">
        <v>0</v>
      </c>
      <c r="X297" s="7" t="s">
        <v>0</v>
      </c>
      <c r="Y297" s="7" t="s">
        <v>0</v>
      </c>
      <c r="Z297" s="7" t="s">
        <v>0</v>
      </c>
      <c r="AA297" s="7" t="s">
        <v>0</v>
      </c>
      <c r="AB297" s="7" t="s">
        <v>0</v>
      </c>
      <c r="AC297" s="7" t="s">
        <v>0</v>
      </c>
      <c r="AD297" s="7" t="s">
        <v>0</v>
      </c>
      <c r="AE297" s="7" t="s">
        <v>0</v>
      </c>
      <c r="AF297" s="7" t="s">
        <v>0</v>
      </c>
      <c r="AG297" s="7" t="s">
        <v>0</v>
      </c>
      <c r="AH297" s="7" t="s">
        <v>0</v>
      </c>
      <c r="AI297" s="7" t="s">
        <v>0</v>
      </c>
      <c r="AJ297" s="7" t="s">
        <v>0</v>
      </c>
      <c r="AK297" s="7" t="s">
        <v>0</v>
      </c>
      <c r="AL297" s="7" t="s">
        <v>0</v>
      </c>
      <c r="AM297" s="7" t="s">
        <v>0</v>
      </c>
      <c r="AN297" s="7" t="s">
        <v>0</v>
      </c>
      <c r="AO297" s="7" t="s">
        <v>0</v>
      </c>
      <c r="AP297" s="7" t="s">
        <v>0</v>
      </c>
      <c r="AQ297" s="7" t="s">
        <v>0</v>
      </c>
      <c r="AR297" s="7" t="s">
        <v>0</v>
      </c>
      <c r="AS297" s="7" t="s">
        <v>0</v>
      </c>
      <c r="AT297" s="7" t="s">
        <v>0</v>
      </c>
      <c r="AU297" s="7" t="s">
        <v>0</v>
      </c>
      <c r="AV297" s="7" t="s">
        <v>0</v>
      </c>
      <c r="AW297" s="7" t="s">
        <v>0</v>
      </c>
      <c r="AX297" s="7" t="s">
        <v>0</v>
      </c>
      <c r="AY297" s="7" t="s">
        <v>0</v>
      </c>
      <c r="AZ297" s="7" t="s">
        <v>0</v>
      </c>
      <c r="BA297" s="7" t="s">
        <v>0</v>
      </c>
      <c r="BB297" s="7" t="s">
        <v>0</v>
      </c>
      <c r="BC297" s="7" t="s">
        <v>0</v>
      </c>
      <c r="BD297" s="7" t="s">
        <v>0</v>
      </c>
      <c r="BE297" s="7" t="s">
        <v>0</v>
      </c>
      <c r="BF297" s="7" t="s">
        <v>0</v>
      </c>
      <c r="BG297" s="7" t="s">
        <v>0</v>
      </c>
      <c r="BH297" s="7" t="s">
        <v>0</v>
      </c>
      <c r="BI297" s="8"/>
    </row>
    <row r="298" spans="1:61" x14ac:dyDescent="0.25">
      <c r="A298" s="22">
        <f t="shared" si="24"/>
        <v>292</v>
      </c>
      <c r="B298" s="214" t="str">
        <f t="shared" ref="B298:B305" si="29">IF(F298=$F$7,G299,B297)</f>
        <v>F0014826503</v>
      </c>
      <c r="C298" s="214" t="str">
        <f t="shared" ref="C298:C304" si="30">IF(F298=$F$7,G300,C297)</f>
        <v>82115-0E561 B</v>
      </c>
      <c r="D298" s="45" t="str">
        <f>VLOOKUP(B298,'Timing Table'!B:J,9,0)</f>
        <v>C/O</v>
      </c>
      <c r="E298" s="22" t="str">
        <f>VLOOKUP(B298,'Timing Table'!B:H,7,0)</f>
        <v>GAS</v>
      </c>
      <c r="F298" s="121" t="s">
        <v>64</v>
      </c>
      <c r="G298" s="146" t="s">
        <v>184</v>
      </c>
      <c r="H298" s="121" t="s">
        <v>65</v>
      </c>
      <c r="I298" s="150" t="s">
        <v>245</v>
      </c>
      <c r="J298" s="151"/>
      <c r="K298" s="151"/>
      <c r="L298" s="152"/>
      <c r="M298" s="121" t="s">
        <v>66</v>
      </c>
      <c r="N298" s="146">
        <v>2025</v>
      </c>
      <c r="O298" s="140" t="s">
        <v>67</v>
      </c>
      <c r="P298" s="141"/>
      <c r="Q298" s="153" t="s">
        <v>203</v>
      </c>
      <c r="R298" s="122" t="s">
        <v>0</v>
      </c>
      <c r="S298" s="123" t="s">
        <v>0</v>
      </c>
      <c r="T298" s="123" t="s">
        <v>0</v>
      </c>
      <c r="U298" s="123" t="s">
        <v>0</v>
      </c>
      <c r="V298" s="123" t="s">
        <v>0</v>
      </c>
      <c r="W298" s="123" t="s">
        <v>0</v>
      </c>
      <c r="X298" s="123" t="s">
        <v>0</v>
      </c>
      <c r="Y298" s="123" t="s">
        <v>0</v>
      </c>
      <c r="Z298" s="123" t="s">
        <v>0</v>
      </c>
      <c r="AA298" s="123" t="s">
        <v>0</v>
      </c>
      <c r="AB298" s="123" t="s">
        <v>0</v>
      </c>
      <c r="AC298" s="123" t="s">
        <v>0</v>
      </c>
      <c r="AD298" s="123" t="s">
        <v>0</v>
      </c>
      <c r="AE298" s="123" t="s">
        <v>0</v>
      </c>
      <c r="AF298" s="123" t="s">
        <v>0</v>
      </c>
      <c r="AG298" s="123" t="s">
        <v>0</v>
      </c>
      <c r="AH298" s="123" t="s">
        <v>0</v>
      </c>
      <c r="AI298" s="123" t="s">
        <v>0</v>
      </c>
      <c r="AJ298" s="123" t="s">
        <v>0</v>
      </c>
      <c r="AK298" s="123" t="s">
        <v>0</v>
      </c>
      <c r="AL298" s="123" t="s">
        <v>0</v>
      </c>
      <c r="AM298" s="123" t="s">
        <v>0</v>
      </c>
      <c r="AN298" s="123" t="s">
        <v>0</v>
      </c>
      <c r="AO298" s="123" t="s">
        <v>0</v>
      </c>
      <c r="AP298" s="123" t="s">
        <v>0</v>
      </c>
      <c r="AQ298" s="123" t="s">
        <v>0</v>
      </c>
      <c r="AR298" s="123" t="s">
        <v>0</v>
      </c>
      <c r="AS298" s="123" t="s">
        <v>0</v>
      </c>
      <c r="AT298" s="123" t="s">
        <v>0</v>
      </c>
      <c r="AU298" s="123" t="s">
        <v>0</v>
      </c>
      <c r="AV298" s="123" t="s">
        <v>0</v>
      </c>
      <c r="AW298" s="123" t="s">
        <v>0</v>
      </c>
      <c r="AX298" s="123" t="s">
        <v>0</v>
      </c>
      <c r="AY298" s="123" t="s">
        <v>0</v>
      </c>
      <c r="AZ298" s="123" t="s">
        <v>0</v>
      </c>
      <c r="BA298" s="123" t="s">
        <v>0</v>
      </c>
      <c r="BB298" s="123" t="s">
        <v>0</v>
      </c>
      <c r="BC298" s="123" t="s">
        <v>0</v>
      </c>
      <c r="BD298" s="123" t="s">
        <v>0</v>
      </c>
      <c r="BE298" s="123" t="s">
        <v>0</v>
      </c>
      <c r="BF298" s="123" t="s">
        <v>0</v>
      </c>
      <c r="BG298" s="123" t="s">
        <v>0</v>
      </c>
      <c r="BH298" s="123" t="s">
        <v>0</v>
      </c>
      <c r="BI298" s="124"/>
    </row>
    <row r="299" spans="1:61" x14ac:dyDescent="0.25">
      <c r="A299" s="22">
        <f t="shared" si="24"/>
        <v>293</v>
      </c>
      <c r="B299" s="214" t="str">
        <f t="shared" si="29"/>
        <v>F0014826503</v>
      </c>
      <c r="C299" s="214" t="str">
        <f t="shared" si="30"/>
        <v>82115-0E561 B</v>
      </c>
      <c r="D299" s="45" t="str">
        <f>VLOOKUP(B299,'Timing Table'!B:J,9,0)</f>
        <v>C/O</v>
      </c>
      <c r="E299" s="22" t="str">
        <f>VLOOKUP(B299,'Timing Table'!B:H,7,0)</f>
        <v>GAS</v>
      </c>
      <c r="F299" s="121" t="s">
        <v>68</v>
      </c>
      <c r="G299" s="146" t="s">
        <v>354</v>
      </c>
      <c r="H299" s="121" t="s">
        <v>69</v>
      </c>
      <c r="I299" s="154" t="s">
        <v>58</v>
      </c>
      <c r="J299" s="155" t="s">
        <v>0</v>
      </c>
      <c r="K299" s="156" t="s">
        <v>0</v>
      </c>
      <c r="L299" s="157" t="s">
        <v>0</v>
      </c>
      <c r="M299" s="134" t="s">
        <v>0</v>
      </c>
      <c r="N299" s="134" t="s">
        <v>0</v>
      </c>
      <c r="O299" s="134" t="s">
        <v>0</v>
      </c>
      <c r="P299" s="134" t="s">
        <v>0</v>
      </c>
      <c r="Q299" s="134" t="s">
        <v>1</v>
      </c>
      <c r="R299" s="134" t="s">
        <v>2</v>
      </c>
      <c r="S299" s="134" t="s">
        <v>0</v>
      </c>
      <c r="T299" s="134" t="s">
        <v>0</v>
      </c>
      <c r="U299" s="134" t="s">
        <v>0</v>
      </c>
      <c r="V299" s="134" t="s">
        <v>0</v>
      </c>
      <c r="W299" s="134" t="s">
        <v>0</v>
      </c>
      <c r="X299" s="134" t="s">
        <v>0</v>
      </c>
      <c r="Y299" s="134" t="s">
        <v>0</v>
      </c>
      <c r="Z299" s="134" t="s">
        <v>3</v>
      </c>
      <c r="AA299" s="134" t="s">
        <v>0</v>
      </c>
      <c r="AB299" s="134" t="s">
        <v>0</v>
      </c>
      <c r="AC299" s="134" t="s">
        <v>0</v>
      </c>
      <c r="AD299" s="134" t="s">
        <v>0</v>
      </c>
      <c r="AE299" s="134" t="s">
        <v>0</v>
      </c>
      <c r="AF299" s="134" t="s">
        <v>0</v>
      </c>
      <c r="AG299" s="134" t="s">
        <v>0</v>
      </c>
      <c r="AH299" s="134" t="s">
        <v>0</v>
      </c>
      <c r="AI299" s="134" t="s">
        <v>0</v>
      </c>
      <c r="AJ299" s="134" t="s">
        <v>0</v>
      </c>
      <c r="AK299" s="134" t="s">
        <v>0</v>
      </c>
      <c r="AL299" s="134" t="s">
        <v>0</v>
      </c>
      <c r="AM299" s="134" t="s">
        <v>0</v>
      </c>
      <c r="AN299" s="134" t="s">
        <v>0</v>
      </c>
      <c r="AO299" s="134" t="s">
        <v>0</v>
      </c>
      <c r="AP299" s="134" t="s">
        <v>0</v>
      </c>
      <c r="AQ299" s="134" t="s">
        <v>0</v>
      </c>
      <c r="AR299" s="134" t="s">
        <v>0</v>
      </c>
      <c r="AS299" s="134" t="s">
        <v>0</v>
      </c>
      <c r="AT299" s="134" t="s">
        <v>0</v>
      </c>
      <c r="AU299" s="134" t="s">
        <v>0</v>
      </c>
      <c r="AV299" s="134" t="s">
        <v>0</v>
      </c>
      <c r="AW299" s="134" t="s">
        <v>0</v>
      </c>
      <c r="AX299" s="134" t="s">
        <v>0</v>
      </c>
      <c r="AY299" s="134" t="s">
        <v>0</v>
      </c>
      <c r="AZ299" s="134" t="s">
        <v>0</v>
      </c>
      <c r="BA299" s="134" t="s">
        <v>0</v>
      </c>
      <c r="BB299" s="134" t="s">
        <v>0</v>
      </c>
      <c r="BC299" s="134" t="s">
        <v>0</v>
      </c>
      <c r="BD299" s="134" t="s">
        <v>0</v>
      </c>
      <c r="BE299" s="134" t="s">
        <v>0</v>
      </c>
      <c r="BF299" s="134" t="s">
        <v>0</v>
      </c>
      <c r="BG299" s="134" t="s">
        <v>0</v>
      </c>
      <c r="BH299" s="134" t="s">
        <v>0</v>
      </c>
      <c r="BI299" s="135" t="s">
        <v>4</v>
      </c>
    </row>
    <row r="300" spans="1:61" x14ac:dyDescent="0.25">
      <c r="A300" s="22">
        <f t="shared" si="24"/>
        <v>294</v>
      </c>
      <c r="B300" s="214" t="str">
        <f t="shared" si="29"/>
        <v>F0014826503</v>
      </c>
      <c r="C300" s="214" t="str">
        <f t="shared" si="30"/>
        <v>82115-0E561 B</v>
      </c>
      <c r="D300" s="45" t="str">
        <f>VLOOKUP(B300,'Timing Table'!B:J,9,0)</f>
        <v>C/O</v>
      </c>
      <c r="E300" s="22" t="str">
        <f>VLOOKUP(B300,'Timing Table'!B:H,7,0)</f>
        <v>GAS</v>
      </c>
      <c r="F300" s="121" t="s">
        <v>70</v>
      </c>
      <c r="G300" s="146">
        <v>10440</v>
      </c>
      <c r="H300" s="158" t="s">
        <v>240</v>
      </c>
      <c r="I300" s="159" t="s">
        <v>71</v>
      </c>
      <c r="J300" s="13">
        <v>46041</v>
      </c>
      <c r="K300" s="14">
        <v>46048</v>
      </c>
      <c r="L300" s="14">
        <v>46055</v>
      </c>
      <c r="M300" s="14">
        <v>46062</v>
      </c>
      <c r="N300" s="14">
        <v>46069</v>
      </c>
      <c r="O300" s="14">
        <v>46076</v>
      </c>
      <c r="P300" s="14">
        <v>46083</v>
      </c>
      <c r="Q300" s="14">
        <v>46090</v>
      </c>
      <c r="R300" s="14">
        <v>46097</v>
      </c>
      <c r="S300" s="14">
        <v>46104</v>
      </c>
      <c r="T300" s="14">
        <v>46111</v>
      </c>
      <c r="U300" s="14">
        <v>46118</v>
      </c>
      <c r="V300" s="14">
        <v>46125</v>
      </c>
      <c r="W300" s="14">
        <v>46132</v>
      </c>
      <c r="X300" s="14">
        <v>46139</v>
      </c>
      <c r="Y300" s="14">
        <v>46146</v>
      </c>
      <c r="Z300" s="14">
        <v>46153</v>
      </c>
      <c r="AA300" s="14">
        <v>46160</v>
      </c>
      <c r="AB300" s="14">
        <v>46167</v>
      </c>
      <c r="AC300" s="14">
        <v>46174</v>
      </c>
      <c r="AD300" s="14">
        <v>46181</v>
      </c>
      <c r="AE300" s="14">
        <v>46188</v>
      </c>
      <c r="AF300" s="14">
        <v>46195</v>
      </c>
      <c r="AG300" s="14">
        <v>46202</v>
      </c>
      <c r="AH300" s="14">
        <v>46209</v>
      </c>
      <c r="AI300" s="14">
        <v>46216</v>
      </c>
      <c r="AJ300" s="14">
        <v>46223</v>
      </c>
      <c r="AK300" s="14">
        <v>46230</v>
      </c>
      <c r="AL300" s="14">
        <v>46237</v>
      </c>
      <c r="AM300" s="14">
        <v>46244</v>
      </c>
      <c r="AN300" s="14">
        <v>46251</v>
      </c>
      <c r="AO300" s="14">
        <v>46258</v>
      </c>
      <c r="AP300" s="14">
        <v>46265</v>
      </c>
      <c r="AQ300" s="14">
        <v>46272</v>
      </c>
      <c r="AR300" s="14">
        <v>46279</v>
      </c>
      <c r="AS300" s="14">
        <v>46286</v>
      </c>
      <c r="AT300" s="14">
        <v>46293</v>
      </c>
      <c r="AU300" s="14">
        <v>46300</v>
      </c>
      <c r="AV300" s="14">
        <v>46307</v>
      </c>
      <c r="AW300" s="14">
        <v>46314</v>
      </c>
      <c r="AX300" s="14">
        <v>46321</v>
      </c>
      <c r="AY300" s="14">
        <v>46328</v>
      </c>
      <c r="AZ300" s="14">
        <v>46335</v>
      </c>
      <c r="BA300" s="14">
        <v>46342</v>
      </c>
      <c r="BB300" s="14">
        <v>46349</v>
      </c>
      <c r="BC300" s="14">
        <v>46356</v>
      </c>
      <c r="BD300" s="14">
        <v>46363</v>
      </c>
      <c r="BE300" s="14">
        <v>46370</v>
      </c>
      <c r="BF300" s="14">
        <v>46377</v>
      </c>
      <c r="BG300" s="14">
        <v>46384</v>
      </c>
      <c r="BH300" s="14">
        <v>46391</v>
      </c>
      <c r="BI300" s="15">
        <v>46398</v>
      </c>
    </row>
    <row r="301" spans="1:61" x14ac:dyDescent="0.25">
      <c r="A301" s="22">
        <f t="shared" si="24"/>
        <v>295</v>
      </c>
      <c r="B301" s="214" t="str">
        <f t="shared" si="29"/>
        <v>F0014826503</v>
      </c>
      <c r="C301" s="214" t="str">
        <f t="shared" si="30"/>
        <v>82115-0E561 B</v>
      </c>
      <c r="D301" s="45" t="str">
        <f>VLOOKUP(B301,'Timing Table'!B:J,9,0)</f>
        <v>C/O</v>
      </c>
      <c r="E301" s="22" t="str">
        <f>VLOOKUP(B301,'Timing Table'!B:H,7,0)</f>
        <v>GAS</v>
      </c>
      <c r="F301" s="121" t="s">
        <v>72</v>
      </c>
      <c r="G301" s="146">
        <v>11940</v>
      </c>
      <c r="H301" s="5" t="s">
        <v>58</v>
      </c>
      <c r="I301" s="11" t="s">
        <v>83</v>
      </c>
      <c r="J301" s="16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17"/>
    </row>
    <row r="302" spans="1:61" x14ac:dyDescent="0.25">
      <c r="A302" s="22">
        <f t="shared" si="24"/>
        <v>296</v>
      </c>
      <c r="B302" s="214" t="str">
        <f t="shared" si="29"/>
        <v>F0014826503</v>
      </c>
      <c r="C302" s="214" t="str">
        <f t="shared" si="30"/>
        <v>82115-0E561 B</v>
      </c>
      <c r="D302" s="45" t="str">
        <f>VLOOKUP(B302,'Timing Table'!B:J,9,0)</f>
        <v>C/O</v>
      </c>
      <c r="E302" s="22" t="str">
        <f>VLOOKUP(B302,'Timing Table'!B:H,7,0)</f>
        <v>GAS</v>
      </c>
      <c r="F302" s="121" t="s">
        <v>73</v>
      </c>
      <c r="G302" s="160" t="s">
        <v>130</v>
      </c>
      <c r="H302" s="9" t="s">
        <v>119</v>
      </c>
      <c r="I302" s="11" t="s">
        <v>74</v>
      </c>
      <c r="J302" s="117">
        <v>1012</v>
      </c>
      <c r="K302" s="50">
        <v>292</v>
      </c>
      <c r="L302" s="50">
        <v>244</v>
      </c>
      <c r="M302" s="50">
        <v>348</v>
      </c>
      <c r="N302" s="50">
        <v>152</v>
      </c>
      <c r="O302" s="50">
        <v>312</v>
      </c>
      <c r="P302" s="50">
        <v>444</v>
      </c>
      <c r="Q302" s="50">
        <v>404</v>
      </c>
      <c r="R302" s="50">
        <v>0</v>
      </c>
      <c r="S302" s="50">
        <v>140</v>
      </c>
      <c r="T302" s="50">
        <v>228</v>
      </c>
      <c r="U302" s="50">
        <v>228</v>
      </c>
      <c r="V302" s="50">
        <v>228</v>
      </c>
      <c r="W302" s="50">
        <v>180</v>
      </c>
      <c r="X302" s="50">
        <v>152</v>
      </c>
      <c r="Y302" s="50">
        <v>148</v>
      </c>
      <c r="Z302" s="50">
        <v>196</v>
      </c>
      <c r="AA302" s="50">
        <v>268</v>
      </c>
      <c r="AB302" s="50">
        <v>264</v>
      </c>
      <c r="AC302" s="50">
        <v>264</v>
      </c>
      <c r="AD302" s="50">
        <v>216</v>
      </c>
      <c r="AE302" s="50">
        <v>216</v>
      </c>
      <c r="AF302" s="50">
        <v>252</v>
      </c>
      <c r="AG302" s="50">
        <v>256</v>
      </c>
      <c r="AH302" s="50">
        <v>152</v>
      </c>
      <c r="AI302" s="50">
        <v>252</v>
      </c>
      <c r="AJ302" s="50">
        <v>260</v>
      </c>
      <c r="AK302" s="50">
        <v>260</v>
      </c>
      <c r="AL302" s="50">
        <v>388</v>
      </c>
      <c r="AM302" s="50">
        <v>288</v>
      </c>
      <c r="AN302" s="50">
        <v>288</v>
      </c>
      <c r="AO302" s="50">
        <v>288</v>
      </c>
      <c r="AP302" s="50">
        <v>288</v>
      </c>
      <c r="AQ302" s="50">
        <v>288</v>
      </c>
      <c r="AR302" s="50">
        <v>288</v>
      </c>
      <c r="AS302" s="50">
        <v>288</v>
      </c>
      <c r="AT302" s="50">
        <v>288</v>
      </c>
      <c r="AU302" s="50">
        <v>288</v>
      </c>
      <c r="AV302" s="50">
        <v>288</v>
      </c>
      <c r="AW302" s="50">
        <v>288</v>
      </c>
      <c r="AX302" s="50">
        <v>288</v>
      </c>
      <c r="AY302" s="50">
        <v>288</v>
      </c>
      <c r="AZ302" s="50">
        <v>288</v>
      </c>
      <c r="BA302" s="50">
        <v>288</v>
      </c>
      <c r="BB302" s="50">
        <v>288</v>
      </c>
      <c r="BC302" s="50">
        <v>288</v>
      </c>
      <c r="BD302" s="50">
        <v>288</v>
      </c>
      <c r="BE302" s="50">
        <v>288</v>
      </c>
      <c r="BF302" s="50">
        <v>288</v>
      </c>
      <c r="BG302" s="50">
        <v>288</v>
      </c>
      <c r="BH302" s="50">
        <v>288</v>
      </c>
      <c r="BI302" s="118">
        <v>288</v>
      </c>
    </row>
    <row r="303" spans="1:61" x14ac:dyDescent="0.25">
      <c r="A303" s="22">
        <f t="shared" si="24"/>
        <v>297</v>
      </c>
      <c r="B303" s="214" t="str">
        <f t="shared" si="29"/>
        <v>F0014826503</v>
      </c>
      <c r="C303" s="214" t="str">
        <f t="shared" si="30"/>
        <v>82115-0E561 B</v>
      </c>
      <c r="D303" s="45" t="str">
        <f>VLOOKUP(B303,'Timing Table'!B:J,9,0)</f>
        <v>C/O</v>
      </c>
      <c r="E303" s="22" t="str">
        <f>VLOOKUP(B303,'Timing Table'!B:H,7,0)</f>
        <v>GAS</v>
      </c>
      <c r="F303" s="121" t="s">
        <v>75</v>
      </c>
      <c r="G303" s="146">
        <v>82115</v>
      </c>
      <c r="H303" s="10" t="s">
        <v>119</v>
      </c>
      <c r="I303" s="12" t="s">
        <v>76</v>
      </c>
      <c r="J303" s="161">
        <v>8244</v>
      </c>
      <c r="K303" s="162">
        <v>8536</v>
      </c>
      <c r="L303" s="162">
        <v>8780</v>
      </c>
      <c r="M303" s="162">
        <v>9128</v>
      </c>
      <c r="N303" s="162">
        <v>9280</v>
      </c>
      <c r="O303" s="162">
        <v>9592</v>
      </c>
      <c r="P303" s="162">
        <v>10036</v>
      </c>
      <c r="Q303" s="162">
        <v>10440</v>
      </c>
      <c r="R303" s="162">
        <v>10440</v>
      </c>
      <c r="S303" s="162">
        <v>10580</v>
      </c>
      <c r="T303" s="162">
        <v>10808</v>
      </c>
      <c r="U303" s="162">
        <v>11036</v>
      </c>
      <c r="V303" s="162">
        <v>11264</v>
      </c>
      <c r="W303" s="162">
        <v>11444</v>
      </c>
      <c r="X303" s="162">
        <v>11596</v>
      </c>
      <c r="Y303" s="162">
        <v>11744</v>
      </c>
      <c r="Z303" s="162">
        <v>11940</v>
      </c>
      <c r="AA303" s="162">
        <v>12208</v>
      </c>
      <c r="AB303" s="162">
        <v>12472</v>
      </c>
      <c r="AC303" s="162">
        <v>12736</v>
      </c>
      <c r="AD303" s="162">
        <v>12952</v>
      </c>
      <c r="AE303" s="162">
        <v>13168</v>
      </c>
      <c r="AF303" s="162">
        <v>13420</v>
      </c>
      <c r="AG303" s="162">
        <v>13676</v>
      </c>
      <c r="AH303" s="162">
        <v>13828</v>
      </c>
      <c r="AI303" s="162">
        <v>14080</v>
      </c>
      <c r="AJ303" s="162">
        <v>14340</v>
      </c>
      <c r="AK303" s="162">
        <v>14600</v>
      </c>
      <c r="AL303" s="162">
        <v>14988</v>
      </c>
      <c r="AM303" s="162">
        <v>15276</v>
      </c>
      <c r="AN303" s="162">
        <v>15564</v>
      </c>
      <c r="AO303" s="162">
        <v>15852</v>
      </c>
      <c r="AP303" s="162">
        <v>16140</v>
      </c>
      <c r="AQ303" s="162">
        <v>16428</v>
      </c>
      <c r="AR303" s="162">
        <v>16716</v>
      </c>
      <c r="AS303" s="162">
        <v>17004</v>
      </c>
      <c r="AT303" s="162">
        <v>17292</v>
      </c>
      <c r="AU303" s="162">
        <v>17580</v>
      </c>
      <c r="AV303" s="162">
        <v>17868</v>
      </c>
      <c r="AW303" s="162">
        <v>18156</v>
      </c>
      <c r="AX303" s="162">
        <v>18444</v>
      </c>
      <c r="AY303" s="162">
        <v>18732</v>
      </c>
      <c r="AZ303" s="162">
        <v>19020</v>
      </c>
      <c r="BA303" s="162">
        <v>19308</v>
      </c>
      <c r="BB303" s="162">
        <v>19596</v>
      </c>
      <c r="BC303" s="162">
        <v>19884</v>
      </c>
      <c r="BD303" s="162">
        <v>20172</v>
      </c>
      <c r="BE303" s="162">
        <v>20460</v>
      </c>
      <c r="BF303" s="162">
        <v>20748</v>
      </c>
      <c r="BG303" s="162">
        <v>21036</v>
      </c>
      <c r="BH303" s="162">
        <v>21324</v>
      </c>
      <c r="BI303" s="163">
        <v>21612</v>
      </c>
    </row>
    <row r="304" spans="1:61" x14ac:dyDescent="0.25">
      <c r="A304" s="22">
        <f t="shared" si="24"/>
        <v>298</v>
      </c>
      <c r="B304" s="214" t="str">
        <f t="shared" si="29"/>
        <v>F0014826503</v>
      </c>
      <c r="C304" s="214" t="str">
        <f t="shared" si="30"/>
        <v>82115-0E561 B</v>
      </c>
      <c r="D304" s="45" t="str">
        <f>VLOOKUP(B304,'Timing Table'!B:J,9,0)</f>
        <v>C/O</v>
      </c>
      <c r="E304" s="22" t="str">
        <f>VLOOKUP(B304,'Timing Table'!B:H,7,0)</f>
        <v>GAS</v>
      </c>
      <c r="F304" s="164" t="s">
        <v>77</v>
      </c>
      <c r="G304" s="165">
        <v>7232</v>
      </c>
      <c r="H304" s="166" t="s">
        <v>78</v>
      </c>
      <c r="I304" s="167"/>
      <c r="J304" s="168" t="s">
        <v>309</v>
      </c>
      <c r="K304" s="169"/>
      <c r="L304" s="170" t="s">
        <v>0</v>
      </c>
      <c r="M304" s="170" t="s">
        <v>0</v>
      </c>
      <c r="N304" s="170" t="s">
        <v>0</v>
      </c>
      <c r="O304" s="170" t="s">
        <v>0</v>
      </c>
      <c r="P304" s="170" t="s">
        <v>0</v>
      </c>
      <c r="Q304" s="170">
        <v>-9.0090090090090086E-2</v>
      </c>
      <c r="R304" s="170" t="s">
        <v>0</v>
      </c>
      <c r="S304" s="170" t="s">
        <v>0</v>
      </c>
      <c r="T304" s="170" t="s">
        <v>0</v>
      </c>
      <c r="U304" s="170" t="s">
        <v>0</v>
      </c>
      <c r="V304" s="170" t="s">
        <v>0</v>
      </c>
      <c r="W304" s="170" t="s">
        <v>0</v>
      </c>
      <c r="X304" s="170" t="s">
        <v>0</v>
      </c>
      <c r="Y304" s="170" t="s">
        <v>0</v>
      </c>
      <c r="Z304" s="170" t="s">
        <v>0</v>
      </c>
      <c r="AA304" s="170" t="s">
        <v>0</v>
      </c>
      <c r="AB304" s="170" t="s">
        <v>0</v>
      </c>
      <c r="AC304" s="170" t="s">
        <v>0</v>
      </c>
      <c r="AD304" s="170" t="s">
        <v>0</v>
      </c>
      <c r="AE304" s="170" t="s">
        <v>0</v>
      </c>
      <c r="AF304" s="170" t="s">
        <v>0</v>
      </c>
      <c r="AG304" s="170" t="s">
        <v>0</v>
      </c>
      <c r="AH304" s="170" t="s">
        <v>0</v>
      </c>
      <c r="AI304" s="170" t="s">
        <v>0</v>
      </c>
      <c r="AJ304" s="170" t="s">
        <v>0</v>
      </c>
      <c r="AK304" s="170" t="s">
        <v>0</v>
      </c>
      <c r="AL304" s="170" t="s">
        <v>0</v>
      </c>
      <c r="AM304" s="170" t="s">
        <v>0</v>
      </c>
      <c r="AN304" s="170" t="s">
        <v>0</v>
      </c>
      <c r="AO304" s="170" t="s">
        <v>0</v>
      </c>
      <c r="AP304" s="170" t="s">
        <v>0</v>
      </c>
      <c r="AQ304" s="170" t="s">
        <v>0</v>
      </c>
      <c r="AR304" s="170" t="s">
        <v>0</v>
      </c>
      <c r="AS304" s="170" t="s">
        <v>0</v>
      </c>
      <c r="AT304" s="170" t="s">
        <v>0</v>
      </c>
      <c r="AU304" s="170" t="s">
        <v>0</v>
      </c>
      <c r="AV304" s="170" t="s">
        <v>0</v>
      </c>
      <c r="AW304" s="170" t="s">
        <v>0</v>
      </c>
      <c r="AX304" s="170" t="s">
        <v>0</v>
      </c>
      <c r="AY304" s="170" t="s">
        <v>0</v>
      </c>
      <c r="AZ304" s="170" t="s">
        <v>0</v>
      </c>
      <c r="BA304" s="170" t="s">
        <v>0</v>
      </c>
      <c r="BB304" s="170" t="s">
        <v>0</v>
      </c>
      <c r="BC304" s="170" t="s">
        <v>0</v>
      </c>
      <c r="BD304" s="170" t="s">
        <v>0</v>
      </c>
      <c r="BE304" s="170" t="s">
        <v>0</v>
      </c>
      <c r="BF304" s="170" t="s">
        <v>0</v>
      </c>
      <c r="BG304" s="170" t="s">
        <v>0</v>
      </c>
      <c r="BH304" s="170" t="s">
        <v>0</v>
      </c>
      <c r="BI304" s="171"/>
    </row>
    <row r="305" spans="1:61" x14ac:dyDescent="0.25">
      <c r="A305" s="22">
        <f t="shared" si="24"/>
        <v>299</v>
      </c>
      <c r="B305" s="214" t="str">
        <f t="shared" si="29"/>
        <v>F0014826503</v>
      </c>
      <c r="C305" s="214" t="str">
        <f>IF(F305=$F$7,#REF!,C304)</f>
        <v>82115-0E561 B</v>
      </c>
      <c r="D305" s="45" t="str">
        <f>VLOOKUP(B305,'Timing Table'!B:J,9,0)</f>
        <v>C/O</v>
      </c>
      <c r="E305" s="22" t="str">
        <f>VLOOKUP(B305,'Timing Table'!B:H,7,0)</f>
        <v>GAS</v>
      </c>
      <c r="F305" s="172" t="s">
        <v>79</v>
      </c>
      <c r="G305" s="173" t="s">
        <v>58</v>
      </c>
      <c r="H305" s="174" t="s">
        <v>58</v>
      </c>
      <c r="I305" s="175" t="s">
        <v>58</v>
      </c>
      <c r="J305" s="175" t="s">
        <v>0</v>
      </c>
      <c r="K305" s="175" t="s">
        <v>0</v>
      </c>
      <c r="L305" s="175" t="s">
        <v>0</v>
      </c>
      <c r="M305" s="175" t="s">
        <v>0</v>
      </c>
      <c r="N305" s="175" t="s">
        <v>0</v>
      </c>
      <c r="O305" s="175" t="s">
        <v>0</v>
      </c>
      <c r="P305" s="175" t="s">
        <v>0</v>
      </c>
      <c r="Q305" s="175" t="s">
        <v>323</v>
      </c>
      <c r="R305" s="175"/>
      <c r="S305" s="175" t="s">
        <v>0</v>
      </c>
      <c r="T305" s="175" t="s">
        <v>0</v>
      </c>
      <c r="U305" s="175" t="s">
        <v>0</v>
      </c>
      <c r="V305" s="175" t="s">
        <v>0</v>
      </c>
      <c r="W305" s="175" t="s">
        <v>0</v>
      </c>
      <c r="X305" s="175" t="s">
        <v>0</v>
      </c>
      <c r="Y305" s="175" t="s">
        <v>0</v>
      </c>
      <c r="Z305" s="175" t="s">
        <v>0</v>
      </c>
      <c r="AA305" s="175" t="s">
        <v>0</v>
      </c>
      <c r="AB305" s="175" t="s">
        <v>0</v>
      </c>
      <c r="AC305" s="175" t="s">
        <v>0</v>
      </c>
      <c r="AD305" s="175" t="s">
        <v>0</v>
      </c>
      <c r="AE305" s="175" t="s">
        <v>0</v>
      </c>
      <c r="AF305" s="175" t="s">
        <v>0</v>
      </c>
      <c r="AG305" s="175" t="s">
        <v>0</v>
      </c>
      <c r="AH305" s="175" t="s">
        <v>0</v>
      </c>
      <c r="AI305" s="175" t="s">
        <v>0</v>
      </c>
      <c r="AJ305" s="175" t="s">
        <v>0</v>
      </c>
      <c r="AK305" s="175" t="s">
        <v>0</v>
      </c>
      <c r="AL305" s="175" t="s">
        <v>0</v>
      </c>
      <c r="AM305" s="175" t="s">
        <v>0</v>
      </c>
      <c r="AN305" s="175" t="s">
        <v>0</v>
      </c>
      <c r="AO305" s="175" t="s">
        <v>0</v>
      </c>
      <c r="AP305" s="175" t="s">
        <v>0</v>
      </c>
      <c r="AQ305" s="175" t="s">
        <v>0</v>
      </c>
      <c r="AR305" s="175" t="s">
        <v>0</v>
      </c>
      <c r="AS305" s="175" t="s">
        <v>0</v>
      </c>
      <c r="AT305" s="175" t="s">
        <v>0</v>
      </c>
      <c r="AU305" s="175" t="s">
        <v>0</v>
      </c>
      <c r="AV305" s="175" t="s">
        <v>0</v>
      </c>
      <c r="AW305" s="175" t="s">
        <v>0</v>
      </c>
      <c r="AX305" s="175" t="s">
        <v>0</v>
      </c>
      <c r="AY305" s="175" t="s">
        <v>0</v>
      </c>
      <c r="AZ305" s="175" t="s">
        <v>0</v>
      </c>
      <c r="BA305" s="175" t="s">
        <v>0</v>
      </c>
      <c r="BB305" s="175" t="s">
        <v>0</v>
      </c>
      <c r="BC305" s="175" t="s">
        <v>0</v>
      </c>
      <c r="BD305" s="175" t="s">
        <v>0</v>
      </c>
      <c r="BE305" s="175" t="s">
        <v>0</v>
      </c>
      <c r="BF305" s="175" t="s">
        <v>0</v>
      </c>
      <c r="BG305" s="175" t="s">
        <v>0</v>
      </c>
      <c r="BH305" s="175" t="s">
        <v>0</v>
      </c>
      <c r="BI305" s="176"/>
    </row>
    <row r="306" spans="1:61" x14ac:dyDescent="0.25">
      <c r="A306" s="22">
        <f t="shared" si="24"/>
        <v>300</v>
      </c>
      <c r="B306" s="214" t="str">
        <f>IF(F306=$F$7,#REF!,B305)</f>
        <v>F0014826503</v>
      </c>
      <c r="C306" s="214" t="str">
        <f>IF(F306=$F$7,#REF!,C305)</f>
        <v>82115-0E561 B</v>
      </c>
      <c r="D306" s="45" t="str">
        <f>VLOOKUP(B306,'Timing Table'!B:J,9,0)</f>
        <v>C/O</v>
      </c>
      <c r="E306" s="22" t="str">
        <f>VLOOKUP(B306,'Timing Table'!B:H,7,0)</f>
        <v>GAS</v>
      </c>
      <c r="F306" s="177" t="s">
        <v>58</v>
      </c>
      <c r="G306" s="178" t="s">
        <v>58</v>
      </c>
      <c r="H306" s="179" t="s">
        <v>58</v>
      </c>
      <c r="I306" s="180" t="s">
        <v>58</v>
      </c>
      <c r="J306" s="180" t="s">
        <v>0</v>
      </c>
      <c r="K306" s="180" t="s">
        <v>0</v>
      </c>
      <c r="L306" s="180" t="s">
        <v>0</v>
      </c>
      <c r="M306" s="180" t="s">
        <v>0</v>
      </c>
      <c r="N306" s="180" t="s">
        <v>0</v>
      </c>
      <c r="O306" s="180" t="s">
        <v>0</v>
      </c>
      <c r="P306" s="180" t="s">
        <v>0</v>
      </c>
      <c r="Q306" s="180" t="s">
        <v>0</v>
      </c>
      <c r="R306" s="180" t="s">
        <v>0</v>
      </c>
      <c r="S306" s="180" t="s">
        <v>0</v>
      </c>
      <c r="T306" s="180" t="s">
        <v>0</v>
      </c>
      <c r="U306" s="180" t="s">
        <v>0</v>
      </c>
      <c r="V306" s="180" t="s">
        <v>0</v>
      </c>
      <c r="W306" s="180" t="s">
        <v>0</v>
      </c>
      <c r="X306" s="180" t="s">
        <v>0</v>
      </c>
      <c r="Y306" s="180" t="s">
        <v>0</v>
      </c>
      <c r="Z306" s="180" t="s">
        <v>0</v>
      </c>
      <c r="AA306" s="180" t="s">
        <v>0</v>
      </c>
      <c r="AB306" s="180" t="s">
        <v>0</v>
      </c>
      <c r="AC306" s="180" t="s">
        <v>0</v>
      </c>
      <c r="AD306" s="180" t="s">
        <v>0</v>
      </c>
      <c r="AE306" s="180" t="s">
        <v>0</v>
      </c>
      <c r="AF306" s="180" t="s">
        <v>0</v>
      </c>
      <c r="AG306" s="180" t="s">
        <v>0</v>
      </c>
      <c r="AH306" s="180" t="s">
        <v>0</v>
      </c>
      <c r="AI306" s="180" t="s">
        <v>0</v>
      </c>
      <c r="AJ306" s="180" t="s">
        <v>0</v>
      </c>
      <c r="AK306" s="180" t="s">
        <v>0</v>
      </c>
      <c r="AL306" s="180" t="s">
        <v>0</v>
      </c>
      <c r="AM306" s="180" t="s">
        <v>0</v>
      </c>
      <c r="AN306" s="180" t="s">
        <v>0</v>
      </c>
      <c r="AO306" s="180" t="s">
        <v>0</v>
      </c>
      <c r="AP306" s="180" t="s">
        <v>0</v>
      </c>
      <c r="AQ306" s="180" t="s">
        <v>0</v>
      </c>
      <c r="AR306" s="180" t="s">
        <v>0</v>
      </c>
      <c r="AS306" s="180" t="s">
        <v>0</v>
      </c>
      <c r="AT306" s="180" t="s">
        <v>0</v>
      </c>
      <c r="AU306" s="180" t="s">
        <v>0</v>
      </c>
      <c r="AV306" s="180" t="s">
        <v>0</v>
      </c>
      <c r="AW306" s="180" t="s">
        <v>0</v>
      </c>
      <c r="AX306" s="180" t="s">
        <v>0</v>
      </c>
      <c r="AY306" s="180" t="s">
        <v>0</v>
      </c>
      <c r="AZ306" s="180" t="s">
        <v>0</v>
      </c>
      <c r="BA306" s="180" t="s">
        <v>0</v>
      </c>
      <c r="BB306" s="180" t="s">
        <v>0</v>
      </c>
      <c r="BC306" s="180" t="s">
        <v>0</v>
      </c>
      <c r="BD306" s="180" t="s">
        <v>0</v>
      </c>
      <c r="BE306" s="180" t="s">
        <v>0</v>
      </c>
      <c r="BF306" s="180" t="s">
        <v>0</v>
      </c>
      <c r="BG306" s="180" t="s">
        <v>0</v>
      </c>
      <c r="BH306" s="180" t="s">
        <v>0</v>
      </c>
      <c r="BI306" s="181"/>
    </row>
    <row r="307" spans="1:61" x14ac:dyDescent="0.25">
      <c r="A307" s="22">
        <f t="shared" si="24"/>
        <v>301</v>
      </c>
      <c r="B307" s="214" t="str">
        <f>IF(F307=$F$7,G308,B306)</f>
        <v>F0014826601</v>
      </c>
      <c r="C307" s="214" t="str">
        <f>IF(F307=$F$7,G309,C306)</f>
        <v>82115-0E541</v>
      </c>
      <c r="D307" s="45" t="str">
        <f>VLOOKUP(B307,'Timing Table'!B:J,9,0)</f>
        <v>C/O</v>
      </c>
      <c r="E307" s="22" t="str">
        <f>VLOOKUP(B307,'Timing Table'!B:H,7,0)</f>
        <v>GAS</v>
      </c>
      <c r="F307" s="121" t="s">
        <v>59</v>
      </c>
      <c r="G307" s="146">
        <v>5500990633</v>
      </c>
      <c r="H307" s="121" t="s">
        <v>60</v>
      </c>
      <c r="I307" s="146">
        <v>156</v>
      </c>
      <c r="J307" s="121" t="s">
        <v>61</v>
      </c>
      <c r="K307" s="125">
        <v>1121475</v>
      </c>
      <c r="L307" s="126"/>
      <c r="M307" s="147" t="s">
        <v>62</v>
      </c>
      <c r="N307" s="148"/>
      <c r="O307" s="149">
        <v>46086</v>
      </c>
      <c r="P307" s="121" t="s">
        <v>63</v>
      </c>
      <c r="Q307" s="146">
        <v>4</v>
      </c>
      <c r="R307" s="6" t="s">
        <v>0</v>
      </c>
      <c r="S307" s="7" t="s">
        <v>0</v>
      </c>
      <c r="T307" s="7" t="s">
        <v>0</v>
      </c>
      <c r="U307" s="7" t="s">
        <v>0</v>
      </c>
      <c r="V307" s="7" t="s">
        <v>0</v>
      </c>
      <c r="W307" s="7" t="s">
        <v>0</v>
      </c>
      <c r="X307" s="7" t="s">
        <v>0</v>
      </c>
      <c r="Y307" s="7" t="s">
        <v>0</v>
      </c>
      <c r="Z307" s="7" t="s">
        <v>0</v>
      </c>
      <c r="AA307" s="7" t="s">
        <v>0</v>
      </c>
      <c r="AB307" s="7" t="s">
        <v>0</v>
      </c>
      <c r="AC307" s="7" t="s">
        <v>0</v>
      </c>
      <c r="AD307" s="7" t="s">
        <v>0</v>
      </c>
      <c r="AE307" s="7" t="s">
        <v>0</v>
      </c>
      <c r="AF307" s="7" t="s">
        <v>0</v>
      </c>
      <c r="AG307" s="7" t="s">
        <v>0</v>
      </c>
      <c r="AH307" s="7" t="s">
        <v>0</v>
      </c>
      <c r="AI307" s="7" t="s">
        <v>0</v>
      </c>
      <c r="AJ307" s="7" t="s">
        <v>0</v>
      </c>
      <c r="AK307" s="7" t="s">
        <v>0</v>
      </c>
      <c r="AL307" s="7" t="s">
        <v>0</v>
      </c>
      <c r="AM307" s="7" t="s">
        <v>0</v>
      </c>
      <c r="AN307" s="7" t="s">
        <v>0</v>
      </c>
      <c r="AO307" s="7" t="s">
        <v>0</v>
      </c>
      <c r="AP307" s="7" t="s">
        <v>0</v>
      </c>
      <c r="AQ307" s="7" t="s">
        <v>0</v>
      </c>
      <c r="AR307" s="7" t="s">
        <v>0</v>
      </c>
      <c r="AS307" s="7" t="s">
        <v>0</v>
      </c>
      <c r="AT307" s="7" t="s">
        <v>0</v>
      </c>
      <c r="AU307" s="7" t="s">
        <v>0</v>
      </c>
      <c r="AV307" s="7" t="s">
        <v>0</v>
      </c>
      <c r="AW307" s="7" t="s">
        <v>0</v>
      </c>
      <c r="AX307" s="7" t="s">
        <v>0</v>
      </c>
      <c r="AY307" s="7" t="s">
        <v>0</v>
      </c>
      <c r="AZ307" s="7" t="s">
        <v>0</v>
      </c>
      <c r="BA307" s="7" t="s">
        <v>0</v>
      </c>
      <c r="BB307" s="7" t="s">
        <v>0</v>
      </c>
      <c r="BC307" s="7" t="s">
        <v>0</v>
      </c>
      <c r="BD307" s="7" t="s">
        <v>0</v>
      </c>
      <c r="BE307" s="7" t="s">
        <v>0</v>
      </c>
      <c r="BF307" s="7" t="s">
        <v>0</v>
      </c>
      <c r="BG307" s="7" t="s">
        <v>0</v>
      </c>
      <c r="BH307" s="7" t="s">
        <v>0</v>
      </c>
      <c r="BI307" s="8"/>
    </row>
    <row r="308" spans="1:61" x14ac:dyDescent="0.25">
      <c r="A308" s="22">
        <f t="shared" si="24"/>
        <v>302</v>
      </c>
      <c r="B308" s="214" t="str">
        <f t="shared" ref="B308:B315" si="31">IF(F308=$F$7,G309,B307)</f>
        <v>F0014826601</v>
      </c>
      <c r="C308" s="214" t="str">
        <f t="shared" ref="C308:C314" si="32">IF(F308=$F$7,G310,C307)</f>
        <v>82115-0E541</v>
      </c>
      <c r="D308" s="45" t="str">
        <f>VLOOKUP(B308,'Timing Table'!B:J,9,0)</f>
        <v>C/O</v>
      </c>
      <c r="E308" s="22" t="str">
        <f>VLOOKUP(B308,'Timing Table'!B:H,7,0)</f>
        <v>GAS</v>
      </c>
      <c r="F308" s="121" t="s">
        <v>64</v>
      </c>
      <c r="G308" s="146" t="s">
        <v>145</v>
      </c>
      <c r="H308" s="121" t="s">
        <v>65</v>
      </c>
      <c r="I308" s="150" t="s">
        <v>246</v>
      </c>
      <c r="J308" s="151"/>
      <c r="K308" s="151"/>
      <c r="L308" s="152"/>
      <c r="M308" s="121" t="s">
        <v>66</v>
      </c>
      <c r="N308" s="146">
        <v>2025</v>
      </c>
      <c r="O308" s="140" t="s">
        <v>67</v>
      </c>
      <c r="P308" s="141"/>
      <c r="Q308" s="153" t="s">
        <v>133</v>
      </c>
      <c r="R308" s="122" t="s">
        <v>0</v>
      </c>
      <c r="S308" s="123" t="s">
        <v>0</v>
      </c>
      <c r="T308" s="123" t="s">
        <v>0</v>
      </c>
      <c r="U308" s="123" t="s">
        <v>0</v>
      </c>
      <c r="V308" s="123" t="s">
        <v>0</v>
      </c>
      <c r="W308" s="123" t="s">
        <v>0</v>
      </c>
      <c r="X308" s="123" t="s">
        <v>0</v>
      </c>
      <c r="Y308" s="123" t="s">
        <v>0</v>
      </c>
      <c r="Z308" s="123" t="s">
        <v>0</v>
      </c>
      <c r="AA308" s="123" t="s">
        <v>0</v>
      </c>
      <c r="AB308" s="123" t="s">
        <v>0</v>
      </c>
      <c r="AC308" s="123" t="s">
        <v>0</v>
      </c>
      <c r="AD308" s="123" t="s">
        <v>0</v>
      </c>
      <c r="AE308" s="123" t="s">
        <v>0</v>
      </c>
      <c r="AF308" s="123" t="s">
        <v>0</v>
      </c>
      <c r="AG308" s="123" t="s">
        <v>0</v>
      </c>
      <c r="AH308" s="123" t="s">
        <v>0</v>
      </c>
      <c r="AI308" s="123" t="s">
        <v>0</v>
      </c>
      <c r="AJ308" s="123" t="s">
        <v>0</v>
      </c>
      <c r="AK308" s="123" t="s">
        <v>0</v>
      </c>
      <c r="AL308" s="123" t="s">
        <v>0</v>
      </c>
      <c r="AM308" s="123" t="s">
        <v>0</v>
      </c>
      <c r="AN308" s="123" t="s">
        <v>0</v>
      </c>
      <c r="AO308" s="123" t="s">
        <v>0</v>
      </c>
      <c r="AP308" s="123" t="s">
        <v>0</v>
      </c>
      <c r="AQ308" s="123" t="s">
        <v>0</v>
      </c>
      <c r="AR308" s="123" t="s">
        <v>0</v>
      </c>
      <c r="AS308" s="123" t="s">
        <v>0</v>
      </c>
      <c r="AT308" s="123" t="s">
        <v>0</v>
      </c>
      <c r="AU308" s="123" t="s">
        <v>0</v>
      </c>
      <c r="AV308" s="123" t="s">
        <v>0</v>
      </c>
      <c r="AW308" s="123" t="s">
        <v>0</v>
      </c>
      <c r="AX308" s="123" t="s">
        <v>0</v>
      </c>
      <c r="AY308" s="123" t="s">
        <v>0</v>
      </c>
      <c r="AZ308" s="123" t="s">
        <v>0</v>
      </c>
      <c r="BA308" s="123" t="s">
        <v>0</v>
      </c>
      <c r="BB308" s="123" t="s">
        <v>0</v>
      </c>
      <c r="BC308" s="123" t="s">
        <v>0</v>
      </c>
      <c r="BD308" s="123" t="s">
        <v>0</v>
      </c>
      <c r="BE308" s="123" t="s">
        <v>0</v>
      </c>
      <c r="BF308" s="123" t="s">
        <v>0</v>
      </c>
      <c r="BG308" s="123" t="s">
        <v>0</v>
      </c>
      <c r="BH308" s="123" t="s">
        <v>0</v>
      </c>
      <c r="BI308" s="124"/>
    </row>
    <row r="309" spans="1:61" x14ac:dyDescent="0.25">
      <c r="A309" s="22">
        <f t="shared" si="24"/>
        <v>303</v>
      </c>
      <c r="B309" s="214" t="str">
        <f t="shared" si="31"/>
        <v>F0014826601</v>
      </c>
      <c r="C309" s="214" t="str">
        <f t="shared" si="32"/>
        <v>82115-0E541</v>
      </c>
      <c r="D309" s="45" t="str">
        <f>VLOOKUP(B309,'Timing Table'!B:J,9,0)</f>
        <v>C/O</v>
      </c>
      <c r="E309" s="22" t="str">
        <f>VLOOKUP(B309,'Timing Table'!B:H,7,0)</f>
        <v>GAS</v>
      </c>
      <c r="F309" s="121" t="s">
        <v>68</v>
      </c>
      <c r="G309" s="146" t="s">
        <v>117</v>
      </c>
      <c r="H309" s="121" t="s">
        <v>69</v>
      </c>
      <c r="I309" s="154" t="s">
        <v>58</v>
      </c>
      <c r="J309" s="155" t="s">
        <v>0</v>
      </c>
      <c r="K309" s="156" t="s">
        <v>0</v>
      </c>
      <c r="L309" s="157" t="s">
        <v>0</v>
      </c>
      <c r="M309" s="134" t="s">
        <v>0</v>
      </c>
      <c r="N309" s="134" t="s">
        <v>0</v>
      </c>
      <c r="O309" s="134" t="s">
        <v>0</v>
      </c>
      <c r="P309" s="134" t="s">
        <v>0</v>
      </c>
      <c r="Q309" s="134" t="s">
        <v>1</v>
      </c>
      <c r="R309" s="134" t="s">
        <v>2</v>
      </c>
      <c r="S309" s="134" t="s">
        <v>0</v>
      </c>
      <c r="T309" s="134" t="s">
        <v>0</v>
      </c>
      <c r="U309" s="134" t="s">
        <v>0</v>
      </c>
      <c r="V309" s="134" t="s">
        <v>0</v>
      </c>
      <c r="W309" s="134" t="s">
        <v>0</v>
      </c>
      <c r="X309" s="134" t="s">
        <v>0</v>
      </c>
      <c r="Y309" s="134" t="s">
        <v>0</v>
      </c>
      <c r="Z309" s="134" t="s">
        <v>3</v>
      </c>
      <c r="AA309" s="134" t="s">
        <v>0</v>
      </c>
      <c r="AB309" s="134" t="s">
        <v>0</v>
      </c>
      <c r="AC309" s="134" t="s">
        <v>0</v>
      </c>
      <c r="AD309" s="134" t="s">
        <v>0</v>
      </c>
      <c r="AE309" s="134" t="s">
        <v>0</v>
      </c>
      <c r="AF309" s="134" t="s">
        <v>0</v>
      </c>
      <c r="AG309" s="134" t="s">
        <v>0</v>
      </c>
      <c r="AH309" s="134" t="s">
        <v>0</v>
      </c>
      <c r="AI309" s="134" t="s">
        <v>0</v>
      </c>
      <c r="AJ309" s="134" t="s">
        <v>0</v>
      </c>
      <c r="AK309" s="134" t="s">
        <v>0</v>
      </c>
      <c r="AL309" s="134" t="s">
        <v>0</v>
      </c>
      <c r="AM309" s="134" t="s">
        <v>0</v>
      </c>
      <c r="AN309" s="134" t="s">
        <v>0</v>
      </c>
      <c r="AO309" s="134" t="s">
        <v>0</v>
      </c>
      <c r="AP309" s="134" t="s">
        <v>0</v>
      </c>
      <c r="AQ309" s="134" t="s">
        <v>0</v>
      </c>
      <c r="AR309" s="134" t="s">
        <v>0</v>
      </c>
      <c r="AS309" s="134" t="s">
        <v>0</v>
      </c>
      <c r="AT309" s="134" t="s">
        <v>0</v>
      </c>
      <c r="AU309" s="134" t="s">
        <v>0</v>
      </c>
      <c r="AV309" s="134" t="s">
        <v>0</v>
      </c>
      <c r="AW309" s="134" t="s">
        <v>0</v>
      </c>
      <c r="AX309" s="134" t="s">
        <v>0</v>
      </c>
      <c r="AY309" s="134" t="s">
        <v>0</v>
      </c>
      <c r="AZ309" s="134" t="s">
        <v>0</v>
      </c>
      <c r="BA309" s="134" t="s">
        <v>0</v>
      </c>
      <c r="BB309" s="134" t="s">
        <v>0</v>
      </c>
      <c r="BC309" s="134" t="s">
        <v>0</v>
      </c>
      <c r="BD309" s="134" t="s">
        <v>0</v>
      </c>
      <c r="BE309" s="134" t="s">
        <v>0</v>
      </c>
      <c r="BF309" s="134" t="s">
        <v>0</v>
      </c>
      <c r="BG309" s="134" t="s">
        <v>0</v>
      </c>
      <c r="BH309" s="134" t="s">
        <v>0</v>
      </c>
      <c r="BI309" s="135" t="s">
        <v>4</v>
      </c>
    </row>
    <row r="310" spans="1:61" x14ac:dyDescent="0.25">
      <c r="A310" s="22">
        <f t="shared" si="24"/>
        <v>304</v>
      </c>
      <c r="B310" s="214" t="str">
        <f t="shared" si="31"/>
        <v>F0014826601</v>
      </c>
      <c r="C310" s="214" t="str">
        <f t="shared" si="32"/>
        <v>82115-0E541</v>
      </c>
      <c r="D310" s="45" t="str">
        <f>VLOOKUP(B310,'Timing Table'!B:J,9,0)</f>
        <v>C/O</v>
      </c>
      <c r="E310" s="22" t="str">
        <f>VLOOKUP(B310,'Timing Table'!B:H,7,0)</f>
        <v>GAS</v>
      </c>
      <c r="F310" s="121" t="s">
        <v>70</v>
      </c>
      <c r="G310" s="146">
        <v>80</v>
      </c>
      <c r="H310" s="158" t="s">
        <v>241</v>
      </c>
      <c r="I310" s="159" t="s">
        <v>71</v>
      </c>
      <c r="J310" s="13">
        <v>46041</v>
      </c>
      <c r="K310" s="14">
        <v>46048</v>
      </c>
      <c r="L310" s="14">
        <v>46055</v>
      </c>
      <c r="M310" s="14">
        <v>46062</v>
      </c>
      <c r="N310" s="14">
        <v>46069</v>
      </c>
      <c r="O310" s="14">
        <v>46076</v>
      </c>
      <c r="P310" s="14">
        <v>46083</v>
      </c>
      <c r="Q310" s="14">
        <v>46090</v>
      </c>
      <c r="R310" s="14">
        <v>46097</v>
      </c>
      <c r="S310" s="14">
        <v>46104</v>
      </c>
      <c r="T310" s="14">
        <v>46111</v>
      </c>
      <c r="U310" s="14">
        <v>46118</v>
      </c>
      <c r="V310" s="14">
        <v>46125</v>
      </c>
      <c r="W310" s="14">
        <v>46132</v>
      </c>
      <c r="X310" s="14">
        <v>46139</v>
      </c>
      <c r="Y310" s="14">
        <v>46146</v>
      </c>
      <c r="Z310" s="14">
        <v>46153</v>
      </c>
      <c r="AA310" s="14">
        <v>46160</v>
      </c>
      <c r="AB310" s="14">
        <v>46167</v>
      </c>
      <c r="AC310" s="14">
        <v>46174</v>
      </c>
      <c r="AD310" s="14">
        <v>46181</v>
      </c>
      <c r="AE310" s="14">
        <v>46188</v>
      </c>
      <c r="AF310" s="14">
        <v>46195</v>
      </c>
      <c r="AG310" s="14">
        <v>46202</v>
      </c>
      <c r="AH310" s="14">
        <v>46209</v>
      </c>
      <c r="AI310" s="14">
        <v>46216</v>
      </c>
      <c r="AJ310" s="14">
        <v>46223</v>
      </c>
      <c r="AK310" s="14">
        <v>46230</v>
      </c>
      <c r="AL310" s="14">
        <v>46237</v>
      </c>
      <c r="AM310" s="14">
        <v>46244</v>
      </c>
      <c r="AN310" s="14">
        <v>46251</v>
      </c>
      <c r="AO310" s="14">
        <v>46258</v>
      </c>
      <c r="AP310" s="14">
        <v>46265</v>
      </c>
      <c r="AQ310" s="14">
        <v>46272</v>
      </c>
      <c r="AR310" s="14">
        <v>46279</v>
      </c>
      <c r="AS310" s="14">
        <v>46286</v>
      </c>
      <c r="AT310" s="14">
        <v>46293</v>
      </c>
      <c r="AU310" s="14">
        <v>46300</v>
      </c>
      <c r="AV310" s="14">
        <v>46307</v>
      </c>
      <c r="AW310" s="14">
        <v>46314</v>
      </c>
      <c r="AX310" s="14">
        <v>46321</v>
      </c>
      <c r="AY310" s="14">
        <v>46328</v>
      </c>
      <c r="AZ310" s="14">
        <v>46335</v>
      </c>
      <c r="BA310" s="14">
        <v>46342</v>
      </c>
      <c r="BB310" s="14">
        <v>46349</v>
      </c>
      <c r="BC310" s="14">
        <v>46356</v>
      </c>
      <c r="BD310" s="14">
        <v>46363</v>
      </c>
      <c r="BE310" s="14">
        <v>46370</v>
      </c>
      <c r="BF310" s="14">
        <v>46377</v>
      </c>
      <c r="BG310" s="14">
        <v>46384</v>
      </c>
      <c r="BH310" s="14">
        <v>46391</v>
      </c>
      <c r="BI310" s="15">
        <v>46398</v>
      </c>
    </row>
    <row r="311" spans="1:61" x14ac:dyDescent="0.25">
      <c r="A311" s="22">
        <f t="shared" si="24"/>
        <v>305</v>
      </c>
      <c r="B311" s="214" t="str">
        <f t="shared" si="31"/>
        <v>F0014826601</v>
      </c>
      <c r="C311" s="214" t="str">
        <f t="shared" si="32"/>
        <v>82115-0E541</v>
      </c>
      <c r="D311" s="45" t="str">
        <f>VLOOKUP(B311,'Timing Table'!B:J,9,0)</f>
        <v>C/O</v>
      </c>
      <c r="E311" s="22" t="str">
        <f>VLOOKUP(B311,'Timing Table'!B:H,7,0)</f>
        <v>GAS</v>
      </c>
      <c r="F311" s="121" t="s">
        <v>72</v>
      </c>
      <c r="G311" s="146">
        <v>560</v>
      </c>
      <c r="H311" s="5" t="s">
        <v>58</v>
      </c>
      <c r="I311" s="11" t="s">
        <v>83</v>
      </c>
      <c r="J311" s="16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17"/>
    </row>
    <row r="312" spans="1:61" x14ac:dyDescent="0.25">
      <c r="A312" s="22">
        <f t="shared" si="24"/>
        <v>306</v>
      </c>
      <c r="B312" s="214" t="str">
        <f t="shared" si="31"/>
        <v>F0014826601</v>
      </c>
      <c r="C312" s="214" t="str">
        <f t="shared" si="32"/>
        <v>82115-0E541</v>
      </c>
      <c r="D312" s="45" t="str">
        <f>VLOOKUP(B312,'Timing Table'!B:J,9,0)</f>
        <v>C/O</v>
      </c>
      <c r="E312" s="22" t="str">
        <f>VLOOKUP(B312,'Timing Table'!B:H,7,0)</f>
        <v>GAS</v>
      </c>
      <c r="F312" s="121" t="s">
        <v>73</v>
      </c>
      <c r="G312" s="160" t="s">
        <v>130</v>
      </c>
      <c r="H312" s="9" t="s">
        <v>117</v>
      </c>
      <c r="I312" s="11" t="s">
        <v>74</v>
      </c>
      <c r="J312" s="117">
        <v>0</v>
      </c>
      <c r="K312" s="50">
        <v>0</v>
      </c>
      <c r="L312" s="50">
        <v>0</v>
      </c>
      <c r="M312" s="50">
        <v>0</v>
      </c>
      <c r="N312" s="50">
        <v>0</v>
      </c>
      <c r="O312" s="50">
        <v>0</v>
      </c>
      <c r="P312" s="50">
        <v>0</v>
      </c>
      <c r="Q312" s="50">
        <v>0</v>
      </c>
      <c r="R312" s="50">
        <v>0</v>
      </c>
      <c r="S312" s="50">
        <v>0</v>
      </c>
      <c r="T312" s="50">
        <v>0</v>
      </c>
      <c r="U312" s="50">
        <v>0</v>
      </c>
      <c r="V312" s="50">
        <v>0</v>
      </c>
      <c r="W312" s="50">
        <v>0</v>
      </c>
      <c r="X312" s="50">
        <v>0</v>
      </c>
      <c r="Y312" s="50">
        <v>0</v>
      </c>
      <c r="Z312" s="50">
        <v>0</v>
      </c>
      <c r="AA312" s="50">
        <v>0</v>
      </c>
      <c r="AB312" s="50">
        <v>0</v>
      </c>
      <c r="AC312" s="50">
        <v>0</v>
      </c>
      <c r="AD312" s="50">
        <v>0</v>
      </c>
      <c r="AE312" s="50">
        <v>0</v>
      </c>
      <c r="AF312" s="50">
        <v>0</v>
      </c>
      <c r="AG312" s="50">
        <v>0</v>
      </c>
      <c r="AH312" s="50">
        <v>0</v>
      </c>
      <c r="AI312" s="50">
        <v>0</v>
      </c>
      <c r="AJ312" s="50">
        <v>0</v>
      </c>
      <c r="AK312" s="50">
        <v>0</v>
      </c>
      <c r="AL312" s="50">
        <v>0</v>
      </c>
      <c r="AM312" s="50">
        <v>0</v>
      </c>
      <c r="AN312" s="50">
        <v>0</v>
      </c>
      <c r="AO312" s="50">
        <v>0</v>
      </c>
      <c r="AP312" s="50">
        <v>0</v>
      </c>
      <c r="AQ312" s="50">
        <v>0</v>
      </c>
      <c r="AR312" s="50">
        <v>0</v>
      </c>
      <c r="AS312" s="50">
        <v>0</v>
      </c>
      <c r="AT312" s="50">
        <v>0</v>
      </c>
      <c r="AU312" s="50">
        <v>0</v>
      </c>
      <c r="AV312" s="50">
        <v>0</v>
      </c>
      <c r="AW312" s="50">
        <v>0</v>
      </c>
      <c r="AX312" s="50">
        <v>0</v>
      </c>
      <c r="AY312" s="50">
        <v>0</v>
      </c>
      <c r="AZ312" s="50">
        <v>0</v>
      </c>
      <c r="BA312" s="50">
        <v>0</v>
      </c>
      <c r="BB312" s="50">
        <v>0</v>
      </c>
      <c r="BC312" s="50">
        <v>0</v>
      </c>
      <c r="BD312" s="50">
        <v>0</v>
      </c>
      <c r="BE312" s="50">
        <v>0</v>
      </c>
      <c r="BF312" s="50">
        <v>0</v>
      </c>
      <c r="BG312" s="50">
        <v>0</v>
      </c>
      <c r="BH312" s="50">
        <v>0</v>
      </c>
      <c r="BI312" s="118">
        <v>0</v>
      </c>
    </row>
    <row r="313" spans="1:61" x14ac:dyDescent="0.25">
      <c r="A313" s="22">
        <f t="shared" si="24"/>
        <v>307</v>
      </c>
      <c r="B313" s="214" t="str">
        <f t="shared" si="31"/>
        <v>F0014826601</v>
      </c>
      <c r="C313" s="214" t="str">
        <f t="shared" si="32"/>
        <v>82115-0E541</v>
      </c>
      <c r="D313" s="45" t="str">
        <f>VLOOKUP(B313,'Timing Table'!B:J,9,0)</f>
        <v>C/O</v>
      </c>
      <c r="E313" s="22" t="str">
        <f>VLOOKUP(B313,'Timing Table'!B:H,7,0)</f>
        <v>GAS</v>
      </c>
      <c r="F313" s="121" t="s">
        <v>75</v>
      </c>
      <c r="G313" s="146">
        <v>82115</v>
      </c>
      <c r="H313" s="10" t="s">
        <v>117</v>
      </c>
      <c r="I313" s="12" t="s">
        <v>76</v>
      </c>
      <c r="J313" s="161">
        <v>80</v>
      </c>
      <c r="K313" s="162">
        <v>80</v>
      </c>
      <c r="L313" s="162">
        <v>80</v>
      </c>
      <c r="M313" s="162">
        <v>80</v>
      </c>
      <c r="N313" s="162">
        <v>80</v>
      </c>
      <c r="O313" s="162">
        <v>80</v>
      </c>
      <c r="P313" s="162">
        <v>80</v>
      </c>
      <c r="Q313" s="162">
        <v>80</v>
      </c>
      <c r="R313" s="162">
        <v>80</v>
      </c>
      <c r="S313" s="162">
        <v>80</v>
      </c>
      <c r="T313" s="162">
        <v>80</v>
      </c>
      <c r="U313" s="162">
        <v>80</v>
      </c>
      <c r="V313" s="162">
        <v>80</v>
      </c>
      <c r="W313" s="162">
        <v>80</v>
      </c>
      <c r="X313" s="162">
        <v>80</v>
      </c>
      <c r="Y313" s="162">
        <v>80</v>
      </c>
      <c r="Z313" s="162">
        <v>80</v>
      </c>
      <c r="AA313" s="162">
        <v>80</v>
      </c>
      <c r="AB313" s="162">
        <v>80</v>
      </c>
      <c r="AC313" s="162">
        <v>80</v>
      </c>
      <c r="AD313" s="162">
        <v>80</v>
      </c>
      <c r="AE313" s="162">
        <v>80</v>
      </c>
      <c r="AF313" s="162">
        <v>80</v>
      </c>
      <c r="AG313" s="162">
        <v>80</v>
      </c>
      <c r="AH313" s="162">
        <v>80</v>
      </c>
      <c r="AI313" s="162">
        <v>80</v>
      </c>
      <c r="AJ313" s="162">
        <v>80</v>
      </c>
      <c r="AK313" s="162">
        <v>80</v>
      </c>
      <c r="AL313" s="162">
        <v>80</v>
      </c>
      <c r="AM313" s="162">
        <v>80</v>
      </c>
      <c r="AN313" s="162">
        <v>80</v>
      </c>
      <c r="AO313" s="162">
        <v>80</v>
      </c>
      <c r="AP313" s="162">
        <v>80</v>
      </c>
      <c r="AQ313" s="162">
        <v>80</v>
      </c>
      <c r="AR313" s="162">
        <v>80</v>
      </c>
      <c r="AS313" s="162">
        <v>80</v>
      </c>
      <c r="AT313" s="162">
        <v>80</v>
      </c>
      <c r="AU313" s="162">
        <v>80</v>
      </c>
      <c r="AV313" s="162">
        <v>80</v>
      </c>
      <c r="AW313" s="162">
        <v>80</v>
      </c>
      <c r="AX313" s="162">
        <v>80</v>
      </c>
      <c r="AY313" s="162">
        <v>80</v>
      </c>
      <c r="AZ313" s="162">
        <v>80</v>
      </c>
      <c r="BA313" s="162">
        <v>80</v>
      </c>
      <c r="BB313" s="162">
        <v>80</v>
      </c>
      <c r="BC313" s="162">
        <v>80</v>
      </c>
      <c r="BD313" s="162">
        <v>80</v>
      </c>
      <c r="BE313" s="162">
        <v>80</v>
      </c>
      <c r="BF313" s="162">
        <v>80</v>
      </c>
      <c r="BG313" s="162">
        <v>80</v>
      </c>
      <c r="BH313" s="162">
        <v>80</v>
      </c>
      <c r="BI313" s="163">
        <v>80</v>
      </c>
    </row>
    <row r="314" spans="1:61" x14ac:dyDescent="0.25">
      <c r="A314" s="22">
        <f t="shared" si="24"/>
        <v>308</v>
      </c>
      <c r="B314" s="214" t="str">
        <f t="shared" si="31"/>
        <v>F0014826601</v>
      </c>
      <c r="C314" s="214" t="str">
        <f t="shared" si="32"/>
        <v>82115-0E541</v>
      </c>
      <c r="D314" s="45" t="str">
        <f>VLOOKUP(B314,'Timing Table'!B:J,9,0)</f>
        <v>C/O</v>
      </c>
      <c r="E314" s="22" t="str">
        <f>VLOOKUP(B314,'Timing Table'!B:H,7,0)</f>
        <v>GAS</v>
      </c>
      <c r="F314" s="164" t="s">
        <v>77</v>
      </c>
      <c r="G314" s="165">
        <v>80</v>
      </c>
      <c r="H314" s="166" t="s">
        <v>78</v>
      </c>
      <c r="I314" s="167"/>
      <c r="J314" s="168" t="s">
        <v>247</v>
      </c>
      <c r="K314" s="169"/>
      <c r="L314" s="170" t="s">
        <v>0</v>
      </c>
      <c r="M314" s="170" t="s">
        <v>0</v>
      </c>
      <c r="N314" s="170" t="s">
        <v>0</v>
      </c>
      <c r="O314" s="170" t="s">
        <v>0</v>
      </c>
      <c r="P314" s="170" t="s">
        <v>0</v>
      </c>
      <c r="Q314" s="170" t="s">
        <v>0</v>
      </c>
      <c r="R314" s="170" t="s">
        <v>0</v>
      </c>
      <c r="S314" s="170" t="s">
        <v>0</v>
      </c>
      <c r="T314" s="170" t="s">
        <v>0</v>
      </c>
      <c r="U314" s="170" t="s">
        <v>0</v>
      </c>
      <c r="V314" s="170" t="s">
        <v>0</v>
      </c>
      <c r="W314" s="170" t="s">
        <v>0</v>
      </c>
      <c r="X314" s="170" t="s">
        <v>0</v>
      </c>
      <c r="Y314" s="170" t="s">
        <v>0</v>
      </c>
      <c r="Z314" s="170" t="s">
        <v>0</v>
      </c>
      <c r="AA314" s="170" t="s">
        <v>0</v>
      </c>
      <c r="AB314" s="170" t="s">
        <v>0</v>
      </c>
      <c r="AC314" s="170" t="s">
        <v>0</v>
      </c>
      <c r="AD314" s="170" t="s">
        <v>0</v>
      </c>
      <c r="AE314" s="170" t="s">
        <v>0</v>
      </c>
      <c r="AF314" s="170" t="s">
        <v>0</v>
      </c>
      <c r="AG314" s="170" t="s">
        <v>0</v>
      </c>
      <c r="AH314" s="170" t="s">
        <v>0</v>
      </c>
      <c r="AI314" s="170" t="s">
        <v>0</v>
      </c>
      <c r="AJ314" s="170" t="s">
        <v>0</v>
      </c>
      <c r="AK314" s="170" t="s">
        <v>0</v>
      </c>
      <c r="AL314" s="170" t="s">
        <v>0</v>
      </c>
      <c r="AM314" s="170" t="s">
        <v>0</v>
      </c>
      <c r="AN314" s="170" t="s">
        <v>0</v>
      </c>
      <c r="AO314" s="170" t="s">
        <v>0</v>
      </c>
      <c r="AP314" s="170" t="s">
        <v>0</v>
      </c>
      <c r="AQ314" s="170" t="s">
        <v>0</v>
      </c>
      <c r="AR314" s="170" t="s">
        <v>0</v>
      </c>
      <c r="AS314" s="170" t="s">
        <v>0</v>
      </c>
      <c r="AT314" s="170" t="s">
        <v>0</v>
      </c>
      <c r="AU314" s="170" t="s">
        <v>0</v>
      </c>
      <c r="AV314" s="170" t="s">
        <v>0</v>
      </c>
      <c r="AW314" s="170" t="s">
        <v>0</v>
      </c>
      <c r="AX314" s="170" t="s">
        <v>0</v>
      </c>
      <c r="AY314" s="170" t="s">
        <v>0</v>
      </c>
      <c r="AZ314" s="170" t="s">
        <v>0</v>
      </c>
      <c r="BA314" s="170" t="s">
        <v>0</v>
      </c>
      <c r="BB314" s="170" t="s">
        <v>0</v>
      </c>
      <c r="BC314" s="170" t="s">
        <v>0</v>
      </c>
      <c r="BD314" s="170" t="s">
        <v>0</v>
      </c>
      <c r="BE314" s="170" t="s">
        <v>0</v>
      </c>
      <c r="BF314" s="170" t="s">
        <v>0</v>
      </c>
      <c r="BG314" s="170" t="s">
        <v>0</v>
      </c>
      <c r="BH314" s="170" t="s">
        <v>0</v>
      </c>
      <c r="BI314" s="171"/>
    </row>
    <row r="315" spans="1:61" x14ac:dyDescent="0.25">
      <c r="A315" s="22">
        <f t="shared" si="24"/>
        <v>309</v>
      </c>
      <c r="B315" s="214" t="str">
        <f t="shared" si="31"/>
        <v>F0014826601</v>
      </c>
      <c r="C315" s="214" t="str">
        <f>IF(F315=$F$7,#REF!,C314)</f>
        <v>82115-0E541</v>
      </c>
      <c r="D315" s="45" t="str">
        <f>VLOOKUP(B315,'Timing Table'!B:J,9,0)</f>
        <v>C/O</v>
      </c>
      <c r="E315" s="22" t="str">
        <f>VLOOKUP(B315,'Timing Table'!B:H,7,0)</f>
        <v>GAS</v>
      </c>
      <c r="F315" s="172" t="s">
        <v>79</v>
      </c>
      <c r="G315" s="173" t="s">
        <v>58</v>
      </c>
      <c r="H315" s="174" t="s">
        <v>58</v>
      </c>
      <c r="I315" s="175" t="s">
        <v>58</v>
      </c>
      <c r="J315" s="175" t="s">
        <v>0</v>
      </c>
      <c r="K315" s="175" t="s">
        <v>0</v>
      </c>
      <c r="L315" s="175" t="s">
        <v>0</v>
      </c>
      <c r="M315" s="175" t="s">
        <v>0</v>
      </c>
      <c r="N315" s="175" t="s">
        <v>0</v>
      </c>
      <c r="O315" s="175" t="s">
        <v>0</v>
      </c>
      <c r="P315" s="175" t="s">
        <v>0</v>
      </c>
      <c r="Q315" s="175" t="s">
        <v>0</v>
      </c>
      <c r="R315" s="175" t="s">
        <v>0</v>
      </c>
      <c r="S315" s="175" t="s">
        <v>0</v>
      </c>
      <c r="T315" s="175" t="s">
        <v>0</v>
      </c>
      <c r="U315" s="175" t="s">
        <v>0</v>
      </c>
      <c r="V315" s="175" t="s">
        <v>0</v>
      </c>
      <c r="W315" s="175" t="s">
        <v>0</v>
      </c>
      <c r="X315" s="175" t="s">
        <v>0</v>
      </c>
      <c r="Y315" s="175" t="s">
        <v>0</v>
      </c>
      <c r="Z315" s="175" t="s">
        <v>0</v>
      </c>
      <c r="AA315" s="175" t="s">
        <v>0</v>
      </c>
      <c r="AB315" s="175" t="s">
        <v>0</v>
      </c>
      <c r="AC315" s="175" t="s">
        <v>0</v>
      </c>
      <c r="AD315" s="175" t="s">
        <v>0</v>
      </c>
      <c r="AE315" s="175" t="s">
        <v>0</v>
      </c>
      <c r="AF315" s="175" t="s">
        <v>0</v>
      </c>
      <c r="AG315" s="175" t="s">
        <v>0</v>
      </c>
      <c r="AH315" s="175" t="s">
        <v>0</v>
      </c>
      <c r="AI315" s="175" t="s">
        <v>0</v>
      </c>
      <c r="AJ315" s="175" t="s">
        <v>0</v>
      </c>
      <c r="AK315" s="175" t="s">
        <v>0</v>
      </c>
      <c r="AL315" s="175" t="s">
        <v>0</v>
      </c>
      <c r="AM315" s="175" t="s">
        <v>0</v>
      </c>
      <c r="AN315" s="175" t="s">
        <v>0</v>
      </c>
      <c r="AO315" s="175" t="s">
        <v>0</v>
      </c>
      <c r="AP315" s="175" t="s">
        <v>0</v>
      </c>
      <c r="AQ315" s="175" t="s">
        <v>0</v>
      </c>
      <c r="AR315" s="175" t="s">
        <v>0</v>
      </c>
      <c r="AS315" s="175" t="s">
        <v>0</v>
      </c>
      <c r="AT315" s="175" t="s">
        <v>0</v>
      </c>
      <c r="AU315" s="175" t="s">
        <v>0</v>
      </c>
      <c r="AV315" s="175" t="s">
        <v>0</v>
      </c>
      <c r="AW315" s="175" t="s">
        <v>0</v>
      </c>
      <c r="AX315" s="175" t="s">
        <v>0</v>
      </c>
      <c r="AY315" s="175" t="s">
        <v>0</v>
      </c>
      <c r="AZ315" s="175" t="s">
        <v>0</v>
      </c>
      <c r="BA315" s="175" t="s">
        <v>0</v>
      </c>
      <c r="BB315" s="175" t="s">
        <v>0</v>
      </c>
      <c r="BC315" s="175" t="s">
        <v>0</v>
      </c>
      <c r="BD315" s="175" t="s">
        <v>0</v>
      </c>
      <c r="BE315" s="175" t="s">
        <v>0</v>
      </c>
      <c r="BF315" s="175" t="s">
        <v>0</v>
      </c>
      <c r="BG315" s="175" t="s">
        <v>0</v>
      </c>
      <c r="BH315" s="175" t="s">
        <v>0</v>
      </c>
      <c r="BI315" s="176"/>
    </row>
    <row r="316" spans="1:61" x14ac:dyDescent="0.25">
      <c r="A316" s="22">
        <f t="shared" si="24"/>
        <v>310</v>
      </c>
      <c r="B316" s="214" t="str">
        <f>IF(F316=$F$7,#REF!,B315)</f>
        <v>F0014826601</v>
      </c>
      <c r="C316" s="214" t="str">
        <f>IF(F316=$F$7,#REF!,C315)</f>
        <v>82115-0E541</v>
      </c>
      <c r="D316" s="45" t="str">
        <f>VLOOKUP(B316,'Timing Table'!B:J,9,0)</f>
        <v>C/O</v>
      </c>
      <c r="E316" s="22" t="str">
        <f>VLOOKUP(B316,'Timing Table'!B:H,7,0)</f>
        <v>GAS</v>
      </c>
      <c r="F316" s="177" t="s">
        <v>58</v>
      </c>
      <c r="G316" s="178" t="s">
        <v>58</v>
      </c>
      <c r="H316" s="179" t="s">
        <v>58</v>
      </c>
      <c r="I316" s="180" t="s">
        <v>58</v>
      </c>
      <c r="J316" s="180" t="s">
        <v>0</v>
      </c>
      <c r="K316" s="180" t="s">
        <v>0</v>
      </c>
      <c r="L316" s="180" t="s">
        <v>0</v>
      </c>
      <c r="M316" s="180" t="s">
        <v>0</v>
      </c>
      <c r="N316" s="180" t="s">
        <v>0</v>
      </c>
      <c r="O316" s="180" t="s">
        <v>0</v>
      </c>
      <c r="P316" s="180" t="s">
        <v>0</v>
      </c>
      <c r="Q316" s="180" t="s">
        <v>0</v>
      </c>
      <c r="R316" s="180" t="s">
        <v>0</v>
      </c>
      <c r="S316" s="180" t="s">
        <v>0</v>
      </c>
      <c r="T316" s="180" t="s">
        <v>0</v>
      </c>
      <c r="U316" s="180" t="s">
        <v>0</v>
      </c>
      <c r="V316" s="180" t="s">
        <v>0</v>
      </c>
      <c r="W316" s="180" t="s">
        <v>0</v>
      </c>
      <c r="X316" s="180" t="s">
        <v>0</v>
      </c>
      <c r="Y316" s="180" t="s">
        <v>0</v>
      </c>
      <c r="Z316" s="180" t="s">
        <v>0</v>
      </c>
      <c r="AA316" s="180" t="s">
        <v>0</v>
      </c>
      <c r="AB316" s="180" t="s">
        <v>0</v>
      </c>
      <c r="AC316" s="180" t="s">
        <v>0</v>
      </c>
      <c r="AD316" s="180" t="s">
        <v>0</v>
      </c>
      <c r="AE316" s="180" t="s">
        <v>0</v>
      </c>
      <c r="AF316" s="180" t="s">
        <v>0</v>
      </c>
      <c r="AG316" s="180" t="s">
        <v>0</v>
      </c>
      <c r="AH316" s="180" t="s">
        <v>0</v>
      </c>
      <c r="AI316" s="180" t="s">
        <v>0</v>
      </c>
      <c r="AJ316" s="180" t="s">
        <v>0</v>
      </c>
      <c r="AK316" s="180" t="s">
        <v>0</v>
      </c>
      <c r="AL316" s="180" t="s">
        <v>0</v>
      </c>
      <c r="AM316" s="180" t="s">
        <v>0</v>
      </c>
      <c r="AN316" s="180" t="s">
        <v>0</v>
      </c>
      <c r="AO316" s="180" t="s">
        <v>0</v>
      </c>
      <c r="AP316" s="180" t="s">
        <v>0</v>
      </c>
      <c r="AQ316" s="180" t="s">
        <v>0</v>
      </c>
      <c r="AR316" s="180" t="s">
        <v>0</v>
      </c>
      <c r="AS316" s="180" t="s">
        <v>0</v>
      </c>
      <c r="AT316" s="180" t="s">
        <v>0</v>
      </c>
      <c r="AU316" s="180" t="s">
        <v>0</v>
      </c>
      <c r="AV316" s="180" t="s">
        <v>0</v>
      </c>
      <c r="AW316" s="180" t="s">
        <v>0</v>
      </c>
      <c r="AX316" s="180" t="s">
        <v>0</v>
      </c>
      <c r="AY316" s="180" t="s">
        <v>0</v>
      </c>
      <c r="AZ316" s="180" t="s">
        <v>0</v>
      </c>
      <c r="BA316" s="180" t="s">
        <v>0</v>
      </c>
      <c r="BB316" s="180" t="s">
        <v>0</v>
      </c>
      <c r="BC316" s="180" t="s">
        <v>0</v>
      </c>
      <c r="BD316" s="180" t="s">
        <v>0</v>
      </c>
      <c r="BE316" s="180" t="s">
        <v>0</v>
      </c>
      <c r="BF316" s="180" t="s">
        <v>0</v>
      </c>
      <c r="BG316" s="180" t="s">
        <v>0</v>
      </c>
      <c r="BH316" s="180" t="s">
        <v>0</v>
      </c>
      <c r="BI316" s="181"/>
    </row>
    <row r="317" spans="1:61" x14ac:dyDescent="0.25">
      <c r="A317" s="22">
        <f t="shared" si="24"/>
        <v>311</v>
      </c>
      <c r="B317" s="214" t="str">
        <f>IF(F317=$F$7,G318,B316)</f>
        <v>F0014826603</v>
      </c>
      <c r="C317" s="214" t="str">
        <f>IF(F317=$F$7,G319,C316)</f>
        <v>82115-0E541 B</v>
      </c>
      <c r="D317" s="45" t="str">
        <f>VLOOKUP(B317,'Timing Table'!B:J,9,0)</f>
        <v>C/O</v>
      </c>
      <c r="E317" s="22" t="str">
        <f>VLOOKUP(B317,'Timing Table'!B:H,7,0)</f>
        <v>GAS</v>
      </c>
      <c r="F317" s="121" t="s">
        <v>59</v>
      </c>
      <c r="G317" s="146">
        <v>5501017969</v>
      </c>
      <c r="H317" s="121" t="s">
        <v>60</v>
      </c>
      <c r="I317" s="146">
        <v>91</v>
      </c>
      <c r="J317" s="121" t="s">
        <v>61</v>
      </c>
      <c r="K317" s="125">
        <v>1177756</v>
      </c>
      <c r="L317" s="126"/>
      <c r="M317" s="147" t="s">
        <v>62</v>
      </c>
      <c r="N317" s="148"/>
      <c r="O317" s="149">
        <v>46086</v>
      </c>
      <c r="P317" s="121" t="s">
        <v>63</v>
      </c>
      <c r="Q317" s="146">
        <v>4</v>
      </c>
      <c r="R317" s="6" t="s">
        <v>0</v>
      </c>
      <c r="S317" s="7" t="s">
        <v>0</v>
      </c>
      <c r="T317" s="7" t="s">
        <v>0</v>
      </c>
      <c r="U317" s="7" t="s">
        <v>0</v>
      </c>
      <c r="V317" s="7" t="s">
        <v>0</v>
      </c>
      <c r="W317" s="7" t="s">
        <v>0</v>
      </c>
      <c r="X317" s="7" t="s">
        <v>0</v>
      </c>
      <c r="Y317" s="7" t="s">
        <v>0</v>
      </c>
      <c r="Z317" s="7" t="s">
        <v>0</v>
      </c>
      <c r="AA317" s="7" t="s">
        <v>0</v>
      </c>
      <c r="AB317" s="7" t="s">
        <v>0</v>
      </c>
      <c r="AC317" s="7" t="s">
        <v>0</v>
      </c>
      <c r="AD317" s="7" t="s">
        <v>0</v>
      </c>
      <c r="AE317" s="7" t="s">
        <v>0</v>
      </c>
      <c r="AF317" s="7" t="s">
        <v>0</v>
      </c>
      <c r="AG317" s="7" t="s">
        <v>0</v>
      </c>
      <c r="AH317" s="7" t="s">
        <v>0</v>
      </c>
      <c r="AI317" s="7" t="s">
        <v>0</v>
      </c>
      <c r="AJ317" s="7" t="s">
        <v>0</v>
      </c>
      <c r="AK317" s="7" t="s">
        <v>0</v>
      </c>
      <c r="AL317" s="7" t="s">
        <v>0</v>
      </c>
      <c r="AM317" s="7" t="s">
        <v>0</v>
      </c>
      <c r="AN317" s="7" t="s">
        <v>0</v>
      </c>
      <c r="AO317" s="7" t="s">
        <v>0</v>
      </c>
      <c r="AP317" s="7" t="s">
        <v>0</v>
      </c>
      <c r="AQ317" s="7" t="s">
        <v>0</v>
      </c>
      <c r="AR317" s="7" t="s">
        <v>0</v>
      </c>
      <c r="AS317" s="7" t="s">
        <v>0</v>
      </c>
      <c r="AT317" s="7" t="s">
        <v>0</v>
      </c>
      <c r="AU317" s="7" t="s">
        <v>0</v>
      </c>
      <c r="AV317" s="7" t="s">
        <v>0</v>
      </c>
      <c r="AW317" s="7" t="s">
        <v>0</v>
      </c>
      <c r="AX317" s="7" t="s">
        <v>0</v>
      </c>
      <c r="AY317" s="7" t="s">
        <v>0</v>
      </c>
      <c r="AZ317" s="7" t="s">
        <v>0</v>
      </c>
      <c r="BA317" s="7" t="s">
        <v>0</v>
      </c>
      <c r="BB317" s="7" t="s">
        <v>0</v>
      </c>
      <c r="BC317" s="7" t="s">
        <v>0</v>
      </c>
      <c r="BD317" s="7" t="s">
        <v>0</v>
      </c>
      <c r="BE317" s="7" t="s">
        <v>0</v>
      </c>
      <c r="BF317" s="7" t="s">
        <v>0</v>
      </c>
      <c r="BG317" s="7" t="s">
        <v>0</v>
      </c>
      <c r="BH317" s="7" t="s">
        <v>0</v>
      </c>
      <c r="BI317" s="8"/>
    </row>
    <row r="318" spans="1:61" x14ac:dyDescent="0.25">
      <c r="A318" s="22">
        <f t="shared" si="24"/>
        <v>312</v>
      </c>
      <c r="B318" s="214" t="str">
        <f t="shared" ref="B318:B325" si="33">IF(F318=$F$7,G319,B317)</f>
        <v>F0014826603</v>
      </c>
      <c r="C318" s="214" t="str">
        <f t="shared" ref="C318:C324" si="34">IF(F318=$F$7,G320,C317)</f>
        <v>82115-0E541 B</v>
      </c>
      <c r="D318" s="45" t="str">
        <f>VLOOKUP(B318,'Timing Table'!B:J,9,0)</f>
        <v>C/O</v>
      </c>
      <c r="E318" s="22" t="str">
        <f>VLOOKUP(B318,'Timing Table'!B:H,7,0)</f>
        <v>GAS</v>
      </c>
      <c r="F318" s="121" t="s">
        <v>64</v>
      </c>
      <c r="G318" s="146" t="s">
        <v>182</v>
      </c>
      <c r="H318" s="121" t="s">
        <v>65</v>
      </c>
      <c r="I318" s="150" t="s">
        <v>248</v>
      </c>
      <c r="J318" s="151"/>
      <c r="K318" s="151"/>
      <c r="L318" s="152"/>
      <c r="M318" s="121" t="s">
        <v>66</v>
      </c>
      <c r="N318" s="146">
        <v>2025</v>
      </c>
      <c r="O318" s="140" t="s">
        <v>67</v>
      </c>
      <c r="P318" s="141"/>
      <c r="Q318" s="153" t="s">
        <v>203</v>
      </c>
      <c r="R318" s="122" t="s">
        <v>0</v>
      </c>
      <c r="S318" s="123" t="s">
        <v>0</v>
      </c>
      <c r="T318" s="123" t="s">
        <v>0</v>
      </c>
      <c r="U318" s="123" t="s">
        <v>0</v>
      </c>
      <c r="V318" s="123" t="s">
        <v>0</v>
      </c>
      <c r="W318" s="123" t="s">
        <v>0</v>
      </c>
      <c r="X318" s="123" t="s">
        <v>0</v>
      </c>
      <c r="Y318" s="123" t="s">
        <v>0</v>
      </c>
      <c r="Z318" s="123" t="s">
        <v>0</v>
      </c>
      <c r="AA318" s="123" t="s">
        <v>0</v>
      </c>
      <c r="AB318" s="123" t="s">
        <v>0</v>
      </c>
      <c r="AC318" s="123" t="s">
        <v>0</v>
      </c>
      <c r="AD318" s="123" t="s">
        <v>0</v>
      </c>
      <c r="AE318" s="123" t="s">
        <v>0</v>
      </c>
      <c r="AF318" s="123" t="s">
        <v>0</v>
      </c>
      <c r="AG318" s="123" t="s">
        <v>0</v>
      </c>
      <c r="AH318" s="123" t="s">
        <v>0</v>
      </c>
      <c r="AI318" s="123" t="s">
        <v>0</v>
      </c>
      <c r="AJ318" s="123" t="s">
        <v>0</v>
      </c>
      <c r="AK318" s="123" t="s">
        <v>0</v>
      </c>
      <c r="AL318" s="123" t="s">
        <v>0</v>
      </c>
      <c r="AM318" s="123" t="s">
        <v>0</v>
      </c>
      <c r="AN318" s="123" t="s">
        <v>0</v>
      </c>
      <c r="AO318" s="123" t="s">
        <v>0</v>
      </c>
      <c r="AP318" s="123" t="s">
        <v>0</v>
      </c>
      <c r="AQ318" s="123" t="s">
        <v>0</v>
      </c>
      <c r="AR318" s="123" t="s">
        <v>0</v>
      </c>
      <c r="AS318" s="123" t="s">
        <v>0</v>
      </c>
      <c r="AT318" s="123" t="s">
        <v>0</v>
      </c>
      <c r="AU318" s="123" t="s">
        <v>0</v>
      </c>
      <c r="AV318" s="123" t="s">
        <v>0</v>
      </c>
      <c r="AW318" s="123" t="s">
        <v>0</v>
      </c>
      <c r="AX318" s="123" t="s">
        <v>0</v>
      </c>
      <c r="AY318" s="123" t="s">
        <v>0</v>
      </c>
      <c r="AZ318" s="123" t="s">
        <v>0</v>
      </c>
      <c r="BA318" s="123" t="s">
        <v>0</v>
      </c>
      <c r="BB318" s="123" t="s">
        <v>0</v>
      </c>
      <c r="BC318" s="123" t="s">
        <v>0</v>
      </c>
      <c r="BD318" s="123" t="s">
        <v>0</v>
      </c>
      <c r="BE318" s="123" t="s">
        <v>0</v>
      </c>
      <c r="BF318" s="123" t="s">
        <v>0</v>
      </c>
      <c r="BG318" s="123" t="s">
        <v>0</v>
      </c>
      <c r="BH318" s="123" t="s">
        <v>0</v>
      </c>
      <c r="BI318" s="124"/>
    </row>
    <row r="319" spans="1:61" x14ac:dyDescent="0.25">
      <c r="A319" s="22">
        <f t="shared" si="24"/>
        <v>313</v>
      </c>
      <c r="B319" s="214" t="str">
        <f t="shared" si="33"/>
        <v>F0014826603</v>
      </c>
      <c r="C319" s="214" t="str">
        <f t="shared" si="34"/>
        <v>82115-0E541 B</v>
      </c>
      <c r="D319" s="45" t="str">
        <f>VLOOKUP(B319,'Timing Table'!B:J,9,0)</f>
        <v>C/O</v>
      </c>
      <c r="E319" s="22" t="str">
        <f>VLOOKUP(B319,'Timing Table'!B:H,7,0)</f>
        <v>GAS</v>
      </c>
      <c r="F319" s="121" t="s">
        <v>68</v>
      </c>
      <c r="G319" s="146" t="s">
        <v>355</v>
      </c>
      <c r="H319" s="121" t="s">
        <v>69</v>
      </c>
      <c r="I319" s="154" t="s">
        <v>58</v>
      </c>
      <c r="J319" s="155" t="s">
        <v>0</v>
      </c>
      <c r="K319" s="156" t="s">
        <v>0</v>
      </c>
      <c r="L319" s="157" t="s">
        <v>0</v>
      </c>
      <c r="M319" s="134" t="s">
        <v>0</v>
      </c>
      <c r="N319" s="134" t="s">
        <v>0</v>
      </c>
      <c r="O319" s="134" t="s">
        <v>0</v>
      </c>
      <c r="P319" s="134" t="s">
        <v>0</v>
      </c>
      <c r="Q319" s="134" t="s">
        <v>1</v>
      </c>
      <c r="R319" s="134" t="s">
        <v>2</v>
      </c>
      <c r="S319" s="134" t="s">
        <v>0</v>
      </c>
      <c r="T319" s="134" t="s">
        <v>0</v>
      </c>
      <c r="U319" s="134" t="s">
        <v>0</v>
      </c>
      <c r="V319" s="134" t="s">
        <v>0</v>
      </c>
      <c r="W319" s="134" t="s">
        <v>0</v>
      </c>
      <c r="X319" s="134" t="s">
        <v>0</v>
      </c>
      <c r="Y319" s="134" t="s">
        <v>0</v>
      </c>
      <c r="Z319" s="134" t="s">
        <v>3</v>
      </c>
      <c r="AA319" s="134" t="s">
        <v>0</v>
      </c>
      <c r="AB319" s="134" t="s">
        <v>0</v>
      </c>
      <c r="AC319" s="134" t="s">
        <v>0</v>
      </c>
      <c r="AD319" s="134" t="s">
        <v>0</v>
      </c>
      <c r="AE319" s="134" t="s">
        <v>0</v>
      </c>
      <c r="AF319" s="134" t="s">
        <v>0</v>
      </c>
      <c r="AG319" s="134" t="s">
        <v>0</v>
      </c>
      <c r="AH319" s="134" t="s">
        <v>0</v>
      </c>
      <c r="AI319" s="134" t="s">
        <v>0</v>
      </c>
      <c r="AJ319" s="134" t="s">
        <v>0</v>
      </c>
      <c r="AK319" s="134" t="s">
        <v>0</v>
      </c>
      <c r="AL319" s="134" t="s">
        <v>0</v>
      </c>
      <c r="AM319" s="134" t="s">
        <v>0</v>
      </c>
      <c r="AN319" s="134" t="s">
        <v>0</v>
      </c>
      <c r="AO319" s="134" t="s">
        <v>0</v>
      </c>
      <c r="AP319" s="134" t="s">
        <v>0</v>
      </c>
      <c r="AQ319" s="134" t="s">
        <v>0</v>
      </c>
      <c r="AR319" s="134" t="s">
        <v>0</v>
      </c>
      <c r="AS319" s="134" t="s">
        <v>0</v>
      </c>
      <c r="AT319" s="134" t="s">
        <v>0</v>
      </c>
      <c r="AU319" s="134" t="s">
        <v>0</v>
      </c>
      <c r="AV319" s="134" t="s">
        <v>0</v>
      </c>
      <c r="AW319" s="134" t="s">
        <v>0</v>
      </c>
      <c r="AX319" s="134" t="s">
        <v>0</v>
      </c>
      <c r="AY319" s="134" t="s">
        <v>0</v>
      </c>
      <c r="AZ319" s="134" t="s">
        <v>0</v>
      </c>
      <c r="BA319" s="134" t="s">
        <v>0</v>
      </c>
      <c r="BB319" s="134" t="s">
        <v>0</v>
      </c>
      <c r="BC319" s="134" t="s">
        <v>0</v>
      </c>
      <c r="BD319" s="134" t="s">
        <v>0</v>
      </c>
      <c r="BE319" s="134" t="s">
        <v>0</v>
      </c>
      <c r="BF319" s="134" t="s">
        <v>0</v>
      </c>
      <c r="BG319" s="134" t="s">
        <v>0</v>
      </c>
      <c r="BH319" s="134" t="s">
        <v>0</v>
      </c>
      <c r="BI319" s="135" t="s">
        <v>4</v>
      </c>
    </row>
    <row r="320" spans="1:61" x14ac:dyDescent="0.25">
      <c r="A320" s="22">
        <f t="shared" si="24"/>
        <v>314</v>
      </c>
      <c r="B320" s="214" t="str">
        <f t="shared" si="33"/>
        <v>F0014826603</v>
      </c>
      <c r="C320" s="214" t="str">
        <f t="shared" si="34"/>
        <v>82115-0E541 B</v>
      </c>
      <c r="D320" s="45" t="str">
        <f>VLOOKUP(B320,'Timing Table'!B:J,9,0)</f>
        <v>C/O</v>
      </c>
      <c r="E320" s="22" t="str">
        <f>VLOOKUP(B320,'Timing Table'!B:H,7,0)</f>
        <v>GAS</v>
      </c>
      <c r="F320" s="121" t="s">
        <v>70</v>
      </c>
      <c r="G320" s="146">
        <v>0</v>
      </c>
      <c r="H320" s="158" t="s">
        <v>241</v>
      </c>
      <c r="I320" s="159" t="s">
        <v>71</v>
      </c>
      <c r="J320" s="13">
        <v>46041</v>
      </c>
      <c r="K320" s="14">
        <v>46048</v>
      </c>
      <c r="L320" s="14">
        <v>46055</v>
      </c>
      <c r="M320" s="14">
        <v>46062</v>
      </c>
      <c r="N320" s="14">
        <v>46069</v>
      </c>
      <c r="O320" s="14">
        <v>46076</v>
      </c>
      <c r="P320" s="14">
        <v>46083</v>
      </c>
      <c r="Q320" s="14">
        <v>46090</v>
      </c>
      <c r="R320" s="14">
        <v>46097</v>
      </c>
      <c r="S320" s="14">
        <v>46104</v>
      </c>
      <c r="T320" s="14">
        <v>46111</v>
      </c>
      <c r="U320" s="14">
        <v>46118</v>
      </c>
      <c r="V320" s="14">
        <v>46125</v>
      </c>
      <c r="W320" s="14">
        <v>46132</v>
      </c>
      <c r="X320" s="14">
        <v>46139</v>
      </c>
      <c r="Y320" s="14">
        <v>46146</v>
      </c>
      <c r="Z320" s="14">
        <v>46153</v>
      </c>
      <c r="AA320" s="14">
        <v>46160</v>
      </c>
      <c r="AB320" s="14">
        <v>46167</v>
      </c>
      <c r="AC320" s="14">
        <v>46174</v>
      </c>
      <c r="AD320" s="14">
        <v>46181</v>
      </c>
      <c r="AE320" s="14">
        <v>46188</v>
      </c>
      <c r="AF320" s="14">
        <v>46195</v>
      </c>
      <c r="AG320" s="14">
        <v>46202</v>
      </c>
      <c r="AH320" s="14">
        <v>46209</v>
      </c>
      <c r="AI320" s="14">
        <v>46216</v>
      </c>
      <c r="AJ320" s="14">
        <v>46223</v>
      </c>
      <c r="AK320" s="14">
        <v>46230</v>
      </c>
      <c r="AL320" s="14">
        <v>46237</v>
      </c>
      <c r="AM320" s="14">
        <v>46244</v>
      </c>
      <c r="AN320" s="14">
        <v>46251</v>
      </c>
      <c r="AO320" s="14">
        <v>46258</v>
      </c>
      <c r="AP320" s="14">
        <v>46265</v>
      </c>
      <c r="AQ320" s="14">
        <v>46272</v>
      </c>
      <c r="AR320" s="14">
        <v>46279</v>
      </c>
      <c r="AS320" s="14">
        <v>46286</v>
      </c>
      <c r="AT320" s="14">
        <v>46293</v>
      </c>
      <c r="AU320" s="14">
        <v>46300</v>
      </c>
      <c r="AV320" s="14">
        <v>46307</v>
      </c>
      <c r="AW320" s="14">
        <v>46314</v>
      </c>
      <c r="AX320" s="14">
        <v>46321</v>
      </c>
      <c r="AY320" s="14">
        <v>46328</v>
      </c>
      <c r="AZ320" s="14">
        <v>46335</v>
      </c>
      <c r="BA320" s="14">
        <v>46342</v>
      </c>
      <c r="BB320" s="14">
        <v>46349</v>
      </c>
      <c r="BC320" s="14">
        <v>46356</v>
      </c>
      <c r="BD320" s="14">
        <v>46363</v>
      </c>
      <c r="BE320" s="14">
        <v>46370</v>
      </c>
      <c r="BF320" s="14">
        <v>46377</v>
      </c>
      <c r="BG320" s="14">
        <v>46384</v>
      </c>
      <c r="BH320" s="14">
        <v>46391</v>
      </c>
      <c r="BI320" s="15">
        <v>46398</v>
      </c>
    </row>
    <row r="321" spans="1:61" x14ac:dyDescent="0.25">
      <c r="A321" s="22">
        <f t="shared" si="24"/>
        <v>315</v>
      </c>
      <c r="B321" s="214" t="str">
        <f t="shared" si="33"/>
        <v>F0014826603</v>
      </c>
      <c r="C321" s="214" t="str">
        <f t="shared" si="34"/>
        <v>82115-0E541 B</v>
      </c>
      <c r="D321" s="45" t="str">
        <f>VLOOKUP(B321,'Timing Table'!B:J,9,0)</f>
        <v>C/O</v>
      </c>
      <c r="E321" s="22" t="str">
        <f>VLOOKUP(B321,'Timing Table'!B:H,7,0)</f>
        <v>GAS</v>
      </c>
      <c r="F321" s="121" t="s">
        <v>72</v>
      </c>
      <c r="G321" s="146">
        <v>0</v>
      </c>
      <c r="H321" s="5" t="s">
        <v>58</v>
      </c>
      <c r="I321" s="11" t="s">
        <v>83</v>
      </c>
      <c r="J321" s="16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17"/>
    </row>
    <row r="322" spans="1:61" x14ac:dyDescent="0.25">
      <c r="A322" s="22">
        <f t="shared" si="24"/>
        <v>316</v>
      </c>
      <c r="B322" s="214" t="str">
        <f t="shared" si="33"/>
        <v>F0014826603</v>
      </c>
      <c r="C322" s="214" t="str">
        <f t="shared" si="34"/>
        <v>82115-0E541 B</v>
      </c>
      <c r="D322" s="45" t="str">
        <f>VLOOKUP(B322,'Timing Table'!B:J,9,0)</f>
        <v>C/O</v>
      </c>
      <c r="E322" s="22" t="str">
        <f>VLOOKUP(B322,'Timing Table'!B:H,7,0)</f>
        <v>GAS</v>
      </c>
      <c r="F322" s="121" t="s">
        <v>73</v>
      </c>
      <c r="G322" s="160" t="s">
        <v>130</v>
      </c>
      <c r="H322" s="9" t="s">
        <v>117</v>
      </c>
      <c r="I322" s="11" t="s">
        <v>74</v>
      </c>
      <c r="J322" s="117">
        <v>0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  <c r="Q322" s="50">
        <v>0</v>
      </c>
      <c r="R322" s="50">
        <v>0</v>
      </c>
      <c r="S322" s="50">
        <v>0</v>
      </c>
      <c r="T322" s="50">
        <v>0</v>
      </c>
      <c r="U322" s="50">
        <v>0</v>
      </c>
      <c r="V322" s="50">
        <v>0</v>
      </c>
      <c r="W322" s="50">
        <v>0</v>
      </c>
      <c r="X322" s="50">
        <v>0</v>
      </c>
      <c r="Y322" s="50">
        <v>0</v>
      </c>
      <c r="Z322" s="50">
        <v>0</v>
      </c>
      <c r="AA322" s="50">
        <v>0</v>
      </c>
      <c r="AB322" s="50">
        <v>0</v>
      </c>
      <c r="AC322" s="50">
        <v>0</v>
      </c>
      <c r="AD322" s="50">
        <v>0</v>
      </c>
      <c r="AE322" s="50">
        <v>0</v>
      </c>
      <c r="AF322" s="50">
        <v>0</v>
      </c>
      <c r="AG322" s="50">
        <v>0</v>
      </c>
      <c r="AH322" s="50">
        <v>0</v>
      </c>
      <c r="AI322" s="50">
        <v>0</v>
      </c>
      <c r="AJ322" s="50">
        <v>0</v>
      </c>
      <c r="AK322" s="50">
        <v>0</v>
      </c>
      <c r="AL322" s="50">
        <v>0</v>
      </c>
      <c r="AM322" s="50">
        <v>0</v>
      </c>
      <c r="AN322" s="50">
        <v>0</v>
      </c>
      <c r="AO322" s="50">
        <v>0</v>
      </c>
      <c r="AP322" s="50">
        <v>0</v>
      </c>
      <c r="AQ322" s="50">
        <v>0</v>
      </c>
      <c r="AR322" s="50">
        <v>0</v>
      </c>
      <c r="AS322" s="50">
        <v>0</v>
      </c>
      <c r="AT322" s="50">
        <v>0</v>
      </c>
      <c r="AU322" s="50">
        <v>0</v>
      </c>
      <c r="AV322" s="50">
        <v>0</v>
      </c>
      <c r="AW322" s="50">
        <v>0</v>
      </c>
      <c r="AX322" s="50">
        <v>0</v>
      </c>
      <c r="AY322" s="50">
        <v>0</v>
      </c>
      <c r="AZ322" s="50">
        <v>0</v>
      </c>
      <c r="BA322" s="50">
        <v>0</v>
      </c>
      <c r="BB322" s="50">
        <v>0</v>
      </c>
      <c r="BC322" s="50">
        <v>0</v>
      </c>
      <c r="BD322" s="50">
        <v>0</v>
      </c>
      <c r="BE322" s="50">
        <v>0</v>
      </c>
      <c r="BF322" s="50">
        <v>0</v>
      </c>
      <c r="BG322" s="50">
        <v>0</v>
      </c>
      <c r="BH322" s="50">
        <v>0</v>
      </c>
      <c r="BI322" s="118">
        <v>0</v>
      </c>
    </row>
    <row r="323" spans="1:61" x14ac:dyDescent="0.25">
      <c r="A323" s="22">
        <f t="shared" si="24"/>
        <v>317</v>
      </c>
      <c r="B323" s="214" t="str">
        <f t="shared" si="33"/>
        <v>F0014826603</v>
      </c>
      <c r="C323" s="214" t="str">
        <f t="shared" si="34"/>
        <v>82115-0E541 B</v>
      </c>
      <c r="D323" s="45" t="str">
        <f>VLOOKUP(B323,'Timing Table'!B:J,9,0)</f>
        <v>C/O</v>
      </c>
      <c r="E323" s="22" t="str">
        <f>VLOOKUP(B323,'Timing Table'!B:H,7,0)</f>
        <v>GAS</v>
      </c>
      <c r="F323" s="121" t="s">
        <v>75</v>
      </c>
      <c r="G323" s="146">
        <v>82115</v>
      </c>
      <c r="H323" s="10" t="s">
        <v>117</v>
      </c>
      <c r="I323" s="12" t="s">
        <v>76</v>
      </c>
      <c r="J323" s="161">
        <v>0</v>
      </c>
      <c r="K323" s="162">
        <v>0</v>
      </c>
      <c r="L323" s="162">
        <v>0</v>
      </c>
      <c r="M323" s="162">
        <v>0</v>
      </c>
      <c r="N323" s="162">
        <v>0</v>
      </c>
      <c r="O323" s="162">
        <v>0</v>
      </c>
      <c r="P323" s="162">
        <v>0</v>
      </c>
      <c r="Q323" s="162">
        <v>0</v>
      </c>
      <c r="R323" s="162">
        <v>0</v>
      </c>
      <c r="S323" s="162">
        <v>0</v>
      </c>
      <c r="T323" s="162">
        <v>0</v>
      </c>
      <c r="U323" s="162">
        <v>0</v>
      </c>
      <c r="V323" s="162">
        <v>0</v>
      </c>
      <c r="W323" s="162">
        <v>0</v>
      </c>
      <c r="X323" s="162">
        <v>0</v>
      </c>
      <c r="Y323" s="162">
        <v>0</v>
      </c>
      <c r="Z323" s="162">
        <v>0</v>
      </c>
      <c r="AA323" s="162">
        <v>0</v>
      </c>
      <c r="AB323" s="162">
        <v>0</v>
      </c>
      <c r="AC323" s="162">
        <v>0</v>
      </c>
      <c r="AD323" s="162">
        <v>0</v>
      </c>
      <c r="AE323" s="162">
        <v>0</v>
      </c>
      <c r="AF323" s="162">
        <v>0</v>
      </c>
      <c r="AG323" s="162">
        <v>0</v>
      </c>
      <c r="AH323" s="162">
        <v>0</v>
      </c>
      <c r="AI323" s="162">
        <v>0</v>
      </c>
      <c r="AJ323" s="162">
        <v>0</v>
      </c>
      <c r="AK323" s="162">
        <v>0</v>
      </c>
      <c r="AL323" s="162">
        <v>0</v>
      </c>
      <c r="AM323" s="162">
        <v>0</v>
      </c>
      <c r="AN323" s="162">
        <v>0</v>
      </c>
      <c r="AO323" s="162">
        <v>0</v>
      </c>
      <c r="AP323" s="162">
        <v>0</v>
      </c>
      <c r="AQ323" s="162">
        <v>0</v>
      </c>
      <c r="AR323" s="162">
        <v>0</v>
      </c>
      <c r="AS323" s="162">
        <v>0</v>
      </c>
      <c r="AT323" s="162">
        <v>0</v>
      </c>
      <c r="AU323" s="162">
        <v>0</v>
      </c>
      <c r="AV323" s="162">
        <v>0</v>
      </c>
      <c r="AW323" s="162">
        <v>0</v>
      </c>
      <c r="AX323" s="162">
        <v>0</v>
      </c>
      <c r="AY323" s="162">
        <v>0</v>
      </c>
      <c r="AZ323" s="162">
        <v>0</v>
      </c>
      <c r="BA323" s="162">
        <v>0</v>
      </c>
      <c r="BB323" s="162">
        <v>0</v>
      </c>
      <c r="BC323" s="162">
        <v>0</v>
      </c>
      <c r="BD323" s="162">
        <v>0</v>
      </c>
      <c r="BE323" s="162">
        <v>0</v>
      </c>
      <c r="BF323" s="162">
        <v>0</v>
      </c>
      <c r="BG323" s="162">
        <v>0</v>
      </c>
      <c r="BH323" s="162">
        <v>0</v>
      </c>
      <c r="BI323" s="163">
        <v>0</v>
      </c>
    </row>
    <row r="324" spans="1:61" x14ac:dyDescent="0.25">
      <c r="A324" s="22">
        <f t="shared" si="24"/>
        <v>318</v>
      </c>
      <c r="B324" s="214" t="str">
        <f t="shared" si="33"/>
        <v>F0014826603</v>
      </c>
      <c r="C324" s="214" t="str">
        <f t="shared" si="34"/>
        <v>82115-0E541 B</v>
      </c>
      <c r="D324" s="45" t="str">
        <f>VLOOKUP(B324,'Timing Table'!B:J,9,0)</f>
        <v>C/O</v>
      </c>
      <c r="E324" s="22" t="str">
        <f>VLOOKUP(B324,'Timing Table'!B:H,7,0)</f>
        <v>GAS</v>
      </c>
      <c r="F324" s="164" t="s">
        <v>77</v>
      </c>
      <c r="G324" s="165">
        <v>0</v>
      </c>
      <c r="H324" s="166" t="s">
        <v>78</v>
      </c>
      <c r="I324" s="167"/>
      <c r="J324" s="168"/>
      <c r="K324" s="169"/>
      <c r="L324" s="170" t="s">
        <v>0</v>
      </c>
      <c r="M324" s="170" t="s">
        <v>0</v>
      </c>
      <c r="N324" s="170" t="s">
        <v>0</v>
      </c>
      <c r="O324" s="170" t="s">
        <v>0</v>
      </c>
      <c r="P324" s="170" t="s">
        <v>0</v>
      </c>
      <c r="Q324" s="170" t="s">
        <v>0</v>
      </c>
      <c r="R324" s="170" t="s">
        <v>0</v>
      </c>
      <c r="S324" s="170" t="s">
        <v>0</v>
      </c>
      <c r="T324" s="170" t="s">
        <v>0</v>
      </c>
      <c r="U324" s="170" t="s">
        <v>0</v>
      </c>
      <c r="V324" s="170" t="s">
        <v>0</v>
      </c>
      <c r="W324" s="170" t="s">
        <v>0</v>
      </c>
      <c r="X324" s="170" t="s">
        <v>0</v>
      </c>
      <c r="Y324" s="170" t="s">
        <v>0</v>
      </c>
      <c r="Z324" s="170" t="s">
        <v>0</v>
      </c>
      <c r="AA324" s="170" t="s">
        <v>0</v>
      </c>
      <c r="AB324" s="170" t="s">
        <v>0</v>
      </c>
      <c r="AC324" s="170" t="s">
        <v>0</v>
      </c>
      <c r="AD324" s="170" t="s">
        <v>0</v>
      </c>
      <c r="AE324" s="170" t="s">
        <v>0</v>
      </c>
      <c r="AF324" s="170" t="s">
        <v>0</v>
      </c>
      <c r="AG324" s="170" t="s">
        <v>0</v>
      </c>
      <c r="AH324" s="170" t="s">
        <v>0</v>
      </c>
      <c r="AI324" s="170" t="s">
        <v>0</v>
      </c>
      <c r="AJ324" s="170" t="s">
        <v>0</v>
      </c>
      <c r="AK324" s="170" t="s">
        <v>0</v>
      </c>
      <c r="AL324" s="170" t="s">
        <v>0</v>
      </c>
      <c r="AM324" s="170" t="s">
        <v>0</v>
      </c>
      <c r="AN324" s="170" t="s">
        <v>0</v>
      </c>
      <c r="AO324" s="170" t="s">
        <v>0</v>
      </c>
      <c r="AP324" s="170" t="s">
        <v>0</v>
      </c>
      <c r="AQ324" s="170" t="s">
        <v>0</v>
      </c>
      <c r="AR324" s="170" t="s">
        <v>0</v>
      </c>
      <c r="AS324" s="170" t="s">
        <v>0</v>
      </c>
      <c r="AT324" s="170" t="s">
        <v>0</v>
      </c>
      <c r="AU324" s="170" t="s">
        <v>0</v>
      </c>
      <c r="AV324" s="170" t="s">
        <v>0</v>
      </c>
      <c r="AW324" s="170" t="s">
        <v>0</v>
      </c>
      <c r="AX324" s="170" t="s">
        <v>0</v>
      </c>
      <c r="AY324" s="170" t="s">
        <v>0</v>
      </c>
      <c r="AZ324" s="170" t="s">
        <v>0</v>
      </c>
      <c r="BA324" s="170" t="s">
        <v>0</v>
      </c>
      <c r="BB324" s="170" t="s">
        <v>0</v>
      </c>
      <c r="BC324" s="170" t="s">
        <v>0</v>
      </c>
      <c r="BD324" s="170" t="s">
        <v>0</v>
      </c>
      <c r="BE324" s="170" t="s">
        <v>0</v>
      </c>
      <c r="BF324" s="170" t="s">
        <v>0</v>
      </c>
      <c r="BG324" s="170" t="s">
        <v>0</v>
      </c>
      <c r="BH324" s="170" t="s">
        <v>0</v>
      </c>
      <c r="BI324" s="171"/>
    </row>
    <row r="325" spans="1:61" x14ac:dyDescent="0.25">
      <c r="A325" s="22">
        <f t="shared" si="24"/>
        <v>319</v>
      </c>
      <c r="B325" s="214" t="str">
        <f t="shared" si="33"/>
        <v>F0014826603</v>
      </c>
      <c r="C325" s="214" t="str">
        <f>IF(F325=$F$7,#REF!,C324)</f>
        <v>82115-0E541 B</v>
      </c>
      <c r="D325" s="45" t="str">
        <f>VLOOKUP(B325,'Timing Table'!B:J,9,0)</f>
        <v>C/O</v>
      </c>
      <c r="E325" s="22" t="str">
        <f>VLOOKUP(B325,'Timing Table'!B:H,7,0)</f>
        <v>GAS</v>
      </c>
      <c r="F325" s="172" t="s">
        <v>79</v>
      </c>
      <c r="G325" s="173" t="s">
        <v>58</v>
      </c>
      <c r="H325" s="174" t="s">
        <v>58</v>
      </c>
      <c r="I325" s="175" t="s">
        <v>58</v>
      </c>
      <c r="J325" s="175" t="s">
        <v>0</v>
      </c>
      <c r="K325" s="175" t="s">
        <v>0</v>
      </c>
      <c r="L325" s="175" t="s">
        <v>0</v>
      </c>
      <c r="M325" s="175" t="s">
        <v>0</v>
      </c>
      <c r="N325" s="175" t="s">
        <v>0</v>
      </c>
      <c r="O325" s="175" t="s">
        <v>0</v>
      </c>
      <c r="P325" s="175" t="s">
        <v>0</v>
      </c>
      <c r="Q325" s="175" t="s">
        <v>0</v>
      </c>
      <c r="R325" s="175" t="s">
        <v>0</v>
      </c>
      <c r="S325" s="175" t="s">
        <v>0</v>
      </c>
      <c r="T325" s="175" t="s">
        <v>0</v>
      </c>
      <c r="U325" s="175" t="s">
        <v>0</v>
      </c>
      <c r="V325" s="175" t="s">
        <v>0</v>
      </c>
      <c r="W325" s="175" t="s">
        <v>0</v>
      </c>
      <c r="X325" s="175" t="s">
        <v>0</v>
      </c>
      <c r="Y325" s="175" t="s">
        <v>0</v>
      </c>
      <c r="Z325" s="175" t="s">
        <v>0</v>
      </c>
      <c r="AA325" s="175" t="s">
        <v>0</v>
      </c>
      <c r="AB325" s="175" t="s">
        <v>0</v>
      </c>
      <c r="AC325" s="175" t="s">
        <v>0</v>
      </c>
      <c r="AD325" s="175" t="s">
        <v>0</v>
      </c>
      <c r="AE325" s="175" t="s">
        <v>0</v>
      </c>
      <c r="AF325" s="175" t="s">
        <v>0</v>
      </c>
      <c r="AG325" s="175" t="s">
        <v>0</v>
      </c>
      <c r="AH325" s="175" t="s">
        <v>0</v>
      </c>
      <c r="AI325" s="175" t="s">
        <v>0</v>
      </c>
      <c r="AJ325" s="175" t="s">
        <v>0</v>
      </c>
      <c r="AK325" s="175" t="s">
        <v>0</v>
      </c>
      <c r="AL325" s="175" t="s">
        <v>0</v>
      </c>
      <c r="AM325" s="175" t="s">
        <v>0</v>
      </c>
      <c r="AN325" s="175" t="s">
        <v>0</v>
      </c>
      <c r="AO325" s="175" t="s">
        <v>0</v>
      </c>
      <c r="AP325" s="175" t="s">
        <v>0</v>
      </c>
      <c r="AQ325" s="175" t="s">
        <v>0</v>
      </c>
      <c r="AR325" s="175" t="s">
        <v>0</v>
      </c>
      <c r="AS325" s="175" t="s">
        <v>0</v>
      </c>
      <c r="AT325" s="175" t="s">
        <v>0</v>
      </c>
      <c r="AU325" s="175" t="s">
        <v>0</v>
      </c>
      <c r="AV325" s="175" t="s">
        <v>0</v>
      </c>
      <c r="AW325" s="175" t="s">
        <v>0</v>
      </c>
      <c r="AX325" s="175" t="s">
        <v>0</v>
      </c>
      <c r="AY325" s="175" t="s">
        <v>0</v>
      </c>
      <c r="AZ325" s="175" t="s">
        <v>0</v>
      </c>
      <c r="BA325" s="175" t="s">
        <v>0</v>
      </c>
      <c r="BB325" s="175" t="s">
        <v>0</v>
      </c>
      <c r="BC325" s="175" t="s">
        <v>0</v>
      </c>
      <c r="BD325" s="175" t="s">
        <v>0</v>
      </c>
      <c r="BE325" s="175" t="s">
        <v>0</v>
      </c>
      <c r="BF325" s="175" t="s">
        <v>0</v>
      </c>
      <c r="BG325" s="175" t="s">
        <v>0</v>
      </c>
      <c r="BH325" s="175" t="s">
        <v>0</v>
      </c>
      <c r="BI325" s="176"/>
    </row>
    <row r="326" spans="1:61" x14ac:dyDescent="0.25">
      <c r="A326" s="22">
        <f t="shared" si="24"/>
        <v>320</v>
      </c>
      <c r="B326" s="214" t="str">
        <f>IF(F326=$F$7,#REF!,B325)</f>
        <v>F0014826603</v>
      </c>
      <c r="C326" s="214" t="str">
        <f>IF(F326=$F$7,#REF!,C325)</f>
        <v>82115-0E541 B</v>
      </c>
      <c r="D326" s="45" t="str">
        <f>VLOOKUP(B326,'Timing Table'!B:J,9,0)</f>
        <v>C/O</v>
      </c>
      <c r="E326" s="22" t="str">
        <f>VLOOKUP(B326,'Timing Table'!B:H,7,0)</f>
        <v>GAS</v>
      </c>
      <c r="F326" s="177" t="s">
        <v>58</v>
      </c>
      <c r="G326" s="178" t="s">
        <v>58</v>
      </c>
      <c r="H326" s="179" t="s">
        <v>58</v>
      </c>
      <c r="I326" s="180" t="s">
        <v>58</v>
      </c>
      <c r="J326" s="180" t="s">
        <v>0</v>
      </c>
      <c r="K326" s="180" t="s">
        <v>0</v>
      </c>
      <c r="L326" s="180" t="s">
        <v>0</v>
      </c>
      <c r="M326" s="180" t="s">
        <v>0</v>
      </c>
      <c r="N326" s="180" t="s">
        <v>0</v>
      </c>
      <c r="O326" s="180" t="s">
        <v>0</v>
      </c>
      <c r="P326" s="180" t="s">
        <v>0</v>
      </c>
      <c r="Q326" s="180" t="s">
        <v>0</v>
      </c>
      <c r="R326" s="180" t="s">
        <v>0</v>
      </c>
      <c r="S326" s="180" t="s">
        <v>0</v>
      </c>
      <c r="T326" s="180" t="s">
        <v>0</v>
      </c>
      <c r="U326" s="180" t="s">
        <v>0</v>
      </c>
      <c r="V326" s="180" t="s">
        <v>0</v>
      </c>
      <c r="W326" s="180" t="s">
        <v>0</v>
      </c>
      <c r="X326" s="180" t="s">
        <v>0</v>
      </c>
      <c r="Y326" s="180" t="s">
        <v>0</v>
      </c>
      <c r="Z326" s="180" t="s">
        <v>0</v>
      </c>
      <c r="AA326" s="180" t="s">
        <v>0</v>
      </c>
      <c r="AB326" s="180" t="s">
        <v>0</v>
      </c>
      <c r="AC326" s="180" t="s">
        <v>0</v>
      </c>
      <c r="AD326" s="180" t="s">
        <v>0</v>
      </c>
      <c r="AE326" s="180" t="s">
        <v>0</v>
      </c>
      <c r="AF326" s="180" t="s">
        <v>0</v>
      </c>
      <c r="AG326" s="180" t="s">
        <v>0</v>
      </c>
      <c r="AH326" s="180" t="s">
        <v>0</v>
      </c>
      <c r="AI326" s="180" t="s">
        <v>0</v>
      </c>
      <c r="AJ326" s="180" t="s">
        <v>0</v>
      </c>
      <c r="AK326" s="180" t="s">
        <v>0</v>
      </c>
      <c r="AL326" s="180" t="s">
        <v>0</v>
      </c>
      <c r="AM326" s="180" t="s">
        <v>0</v>
      </c>
      <c r="AN326" s="180" t="s">
        <v>0</v>
      </c>
      <c r="AO326" s="180" t="s">
        <v>0</v>
      </c>
      <c r="AP326" s="180" t="s">
        <v>0</v>
      </c>
      <c r="AQ326" s="180" t="s">
        <v>0</v>
      </c>
      <c r="AR326" s="180" t="s">
        <v>0</v>
      </c>
      <c r="AS326" s="180" t="s">
        <v>0</v>
      </c>
      <c r="AT326" s="180" t="s">
        <v>0</v>
      </c>
      <c r="AU326" s="180" t="s">
        <v>0</v>
      </c>
      <c r="AV326" s="180" t="s">
        <v>0</v>
      </c>
      <c r="AW326" s="180" t="s">
        <v>0</v>
      </c>
      <c r="AX326" s="180" t="s">
        <v>0</v>
      </c>
      <c r="AY326" s="180" t="s">
        <v>0</v>
      </c>
      <c r="AZ326" s="180" t="s">
        <v>0</v>
      </c>
      <c r="BA326" s="180" t="s">
        <v>0</v>
      </c>
      <c r="BB326" s="180" t="s">
        <v>0</v>
      </c>
      <c r="BC326" s="180" t="s">
        <v>0</v>
      </c>
      <c r="BD326" s="180" t="s">
        <v>0</v>
      </c>
      <c r="BE326" s="180" t="s">
        <v>0</v>
      </c>
      <c r="BF326" s="180" t="s">
        <v>0</v>
      </c>
      <c r="BG326" s="180" t="s">
        <v>0</v>
      </c>
      <c r="BH326" s="180" t="s">
        <v>0</v>
      </c>
      <c r="BI326" s="181"/>
    </row>
    <row r="327" spans="1:61" x14ac:dyDescent="0.25">
      <c r="A327" s="22">
        <f t="shared" si="24"/>
        <v>321</v>
      </c>
      <c r="B327" s="214" t="str">
        <f>IF(F327=$F$7,G328,B326)</f>
        <v>F0014826703</v>
      </c>
      <c r="C327" s="214" t="str">
        <f>IF(F327=$F$7,G329,C326)</f>
        <v>82115-0E521 B</v>
      </c>
      <c r="D327" s="45" t="str">
        <f>VLOOKUP(B327,'Timing Table'!B:J,9,0)</f>
        <v>C/O</v>
      </c>
      <c r="E327" s="22" t="str">
        <f>VLOOKUP(B327,'Timing Table'!B:H,7,0)</f>
        <v>GAS</v>
      </c>
      <c r="F327" s="121" t="s">
        <v>59</v>
      </c>
      <c r="G327" s="146">
        <v>5501017967</v>
      </c>
      <c r="H327" s="121" t="s">
        <v>60</v>
      </c>
      <c r="I327" s="146">
        <v>91</v>
      </c>
      <c r="J327" s="121" t="s">
        <v>61</v>
      </c>
      <c r="K327" s="125">
        <v>1177754</v>
      </c>
      <c r="L327" s="126"/>
      <c r="M327" s="147" t="s">
        <v>62</v>
      </c>
      <c r="N327" s="148"/>
      <c r="O327" s="149">
        <v>46086</v>
      </c>
      <c r="P327" s="121" t="s">
        <v>63</v>
      </c>
      <c r="Q327" s="146">
        <v>4</v>
      </c>
      <c r="R327" s="6" t="s">
        <v>0</v>
      </c>
      <c r="S327" s="7" t="s">
        <v>0</v>
      </c>
      <c r="T327" s="7" t="s">
        <v>0</v>
      </c>
      <c r="U327" s="7" t="s">
        <v>0</v>
      </c>
      <c r="V327" s="7" t="s">
        <v>0</v>
      </c>
      <c r="W327" s="7" t="s">
        <v>0</v>
      </c>
      <c r="X327" s="7" t="s">
        <v>0</v>
      </c>
      <c r="Y327" s="7" t="s">
        <v>0</v>
      </c>
      <c r="Z327" s="7" t="s">
        <v>0</v>
      </c>
      <c r="AA327" s="7" t="s">
        <v>0</v>
      </c>
      <c r="AB327" s="7" t="s">
        <v>0</v>
      </c>
      <c r="AC327" s="7" t="s">
        <v>0</v>
      </c>
      <c r="AD327" s="7" t="s">
        <v>0</v>
      </c>
      <c r="AE327" s="7" t="s">
        <v>0</v>
      </c>
      <c r="AF327" s="7" t="s">
        <v>0</v>
      </c>
      <c r="AG327" s="7" t="s">
        <v>0</v>
      </c>
      <c r="AH327" s="7" t="s">
        <v>0</v>
      </c>
      <c r="AI327" s="7" t="s">
        <v>0</v>
      </c>
      <c r="AJ327" s="7" t="s">
        <v>0</v>
      </c>
      <c r="AK327" s="7" t="s">
        <v>0</v>
      </c>
      <c r="AL327" s="7" t="s">
        <v>0</v>
      </c>
      <c r="AM327" s="7" t="s">
        <v>0</v>
      </c>
      <c r="AN327" s="7" t="s">
        <v>0</v>
      </c>
      <c r="AO327" s="7" t="s">
        <v>0</v>
      </c>
      <c r="AP327" s="7" t="s">
        <v>0</v>
      </c>
      <c r="AQ327" s="7" t="s">
        <v>0</v>
      </c>
      <c r="AR327" s="7" t="s">
        <v>0</v>
      </c>
      <c r="AS327" s="7" t="s">
        <v>0</v>
      </c>
      <c r="AT327" s="7" t="s">
        <v>0</v>
      </c>
      <c r="AU327" s="7" t="s">
        <v>0</v>
      </c>
      <c r="AV327" s="7" t="s">
        <v>0</v>
      </c>
      <c r="AW327" s="7" t="s">
        <v>0</v>
      </c>
      <c r="AX327" s="7" t="s">
        <v>0</v>
      </c>
      <c r="AY327" s="7" t="s">
        <v>0</v>
      </c>
      <c r="AZ327" s="7" t="s">
        <v>0</v>
      </c>
      <c r="BA327" s="7" t="s">
        <v>0</v>
      </c>
      <c r="BB327" s="7" t="s">
        <v>0</v>
      </c>
      <c r="BC327" s="7" t="s">
        <v>0</v>
      </c>
      <c r="BD327" s="7" t="s">
        <v>0</v>
      </c>
      <c r="BE327" s="7" t="s">
        <v>0</v>
      </c>
      <c r="BF327" s="7" t="s">
        <v>0</v>
      </c>
      <c r="BG327" s="7" t="s">
        <v>0</v>
      </c>
      <c r="BH327" s="7" t="s">
        <v>0</v>
      </c>
      <c r="BI327" s="8"/>
    </row>
    <row r="328" spans="1:61" x14ac:dyDescent="0.25">
      <c r="A328" s="22">
        <f t="shared" ref="A328:A431" si="35">+A327+1</f>
        <v>322</v>
      </c>
      <c r="B328" s="214" t="str">
        <f t="shared" ref="B328:B335" si="36">IF(F328=$F$7,G329,B327)</f>
        <v>F0014826703</v>
      </c>
      <c r="C328" s="214" t="str">
        <f t="shared" ref="C328:C334" si="37">IF(F328=$F$7,G330,C327)</f>
        <v>82115-0E521 B</v>
      </c>
      <c r="D328" s="45" t="str">
        <f>VLOOKUP(B328,'Timing Table'!B:J,9,0)</f>
        <v>C/O</v>
      </c>
      <c r="E328" s="22" t="str">
        <f>VLOOKUP(B328,'Timing Table'!B:H,7,0)</f>
        <v>GAS</v>
      </c>
      <c r="F328" s="121" t="s">
        <v>64</v>
      </c>
      <c r="G328" s="146" t="s">
        <v>180</v>
      </c>
      <c r="H328" s="121" t="s">
        <v>65</v>
      </c>
      <c r="I328" s="150" t="s">
        <v>249</v>
      </c>
      <c r="J328" s="151"/>
      <c r="K328" s="151"/>
      <c r="L328" s="152"/>
      <c r="M328" s="121" t="s">
        <v>66</v>
      </c>
      <c r="N328" s="146">
        <v>2025</v>
      </c>
      <c r="O328" s="140" t="s">
        <v>67</v>
      </c>
      <c r="P328" s="141"/>
      <c r="Q328" s="153" t="s">
        <v>203</v>
      </c>
      <c r="R328" s="122" t="s">
        <v>0</v>
      </c>
      <c r="S328" s="123"/>
      <c r="T328" s="123"/>
      <c r="U328" s="123" t="s">
        <v>0</v>
      </c>
      <c r="V328" s="123" t="s">
        <v>0</v>
      </c>
      <c r="W328" s="123" t="s">
        <v>0</v>
      </c>
      <c r="X328" s="123" t="s">
        <v>0</v>
      </c>
      <c r="Y328" s="123" t="s">
        <v>0</v>
      </c>
      <c r="Z328" s="123" t="s">
        <v>0</v>
      </c>
      <c r="AA328" s="123" t="s">
        <v>0</v>
      </c>
      <c r="AB328" s="123" t="s">
        <v>0</v>
      </c>
      <c r="AC328" s="123" t="s">
        <v>0</v>
      </c>
      <c r="AD328" s="123" t="s">
        <v>0</v>
      </c>
      <c r="AE328" s="123" t="s">
        <v>0</v>
      </c>
      <c r="AF328" s="123" t="s">
        <v>0</v>
      </c>
      <c r="AG328" s="123" t="s">
        <v>0</v>
      </c>
      <c r="AH328" s="123" t="s">
        <v>0</v>
      </c>
      <c r="AI328" s="123" t="s">
        <v>0</v>
      </c>
      <c r="AJ328" s="123" t="s">
        <v>0</v>
      </c>
      <c r="AK328" s="123" t="s">
        <v>0</v>
      </c>
      <c r="AL328" s="123" t="s">
        <v>0</v>
      </c>
      <c r="AM328" s="123" t="s">
        <v>0</v>
      </c>
      <c r="AN328" s="123" t="s">
        <v>0</v>
      </c>
      <c r="AO328" s="123" t="s">
        <v>0</v>
      </c>
      <c r="AP328" s="123" t="s">
        <v>0</v>
      </c>
      <c r="AQ328" s="123" t="s">
        <v>0</v>
      </c>
      <c r="AR328" s="123" t="s">
        <v>0</v>
      </c>
      <c r="AS328" s="123" t="s">
        <v>0</v>
      </c>
      <c r="AT328" s="123" t="s">
        <v>0</v>
      </c>
      <c r="AU328" s="123" t="s">
        <v>0</v>
      </c>
      <c r="AV328" s="123" t="s">
        <v>0</v>
      </c>
      <c r="AW328" s="123" t="s">
        <v>0</v>
      </c>
      <c r="AX328" s="123" t="s">
        <v>0</v>
      </c>
      <c r="AY328" s="123" t="s">
        <v>0</v>
      </c>
      <c r="AZ328" s="123" t="s">
        <v>0</v>
      </c>
      <c r="BA328" s="123" t="s">
        <v>0</v>
      </c>
      <c r="BB328" s="123" t="s">
        <v>0</v>
      </c>
      <c r="BC328" s="123" t="s">
        <v>0</v>
      </c>
      <c r="BD328" s="123" t="s">
        <v>0</v>
      </c>
      <c r="BE328" s="123" t="s">
        <v>0</v>
      </c>
      <c r="BF328" s="123" t="s">
        <v>0</v>
      </c>
      <c r="BG328" s="123" t="s">
        <v>0</v>
      </c>
      <c r="BH328" s="123" t="s">
        <v>0</v>
      </c>
      <c r="BI328" s="124"/>
    </row>
    <row r="329" spans="1:61" x14ac:dyDescent="0.25">
      <c r="A329" s="22">
        <f t="shared" si="35"/>
        <v>323</v>
      </c>
      <c r="B329" s="214" t="str">
        <f t="shared" si="36"/>
        <v>F0014826703</v>
      </c>
      <c r="C329" s="214" t="str">
        <f t="shared" si="37"/>
        <v>82115-0E521 B</v>
      </c>
      <c r="D329" s="45" t="str">
        <f>VLOOKUP(B329,'Timing Table'!B:J,9,0)</f>
        <v>C/O</v>
      </c>
      <c r="E329" s="22" t="str">
        <f>VLOOKUP(B329,'Timing Table'!B:H,7,0)</f>
        <v>GAS</v>
      </c>
      <c r="F329" s="121" t="s">
        <v>68</v>
      </c>
      <c r="G329" s="146" t="s">
        <v>356</v>
      </c>
      <c r="H329" s="121" t="s">
        <v>69</v>
      </c>
      <c r="I329" s="154" t="s">
        <v>58</v>
      </c>
      <c r="J329" s="155" t="s">
        <v>0</v>
      </c>
      <c r="K329" s="156" t="s">
        <v>0</v>
      </c>
      <c r="L329" s="157" t="s">
        <v>0</v>
      </c>
      <c r="M329" s="134" t="s">
        <v>0</v>
      </c>
      <c r="N329" s="134" t="s">
        <v>0</v>
      </c>
      <c r="O329" s="134" t="s">
        <v>0</v>
      </c>
      <c r="P329" s="134" t="s">
        <v>0</v>
      </c>
      <c r="Q329" s="134" t="s">
        <v>1</v>
      </c>
      <c r="R329" s="134" t="s">
        <v>2</v>
      </c>
      <c r="S329" s="134" t="s">
        <v>0</v>
      </c>
      <c r="T329" s="134" t="s">
        <v>0</v>
      </c>
      <c r="U329" s="134" t="s">
        <v>0</v>
      </c>
      <c r="V329" s="134" t="s">
        <v>0</v>
      </c>
      <c r="W329" s="134" t="s">
        <v>0</v>
      </c>
      <c r="X329" s="134" t="s">
        <v>0</v>
      </c>
      <c r="Y329" s="134" t="s">
        <v>0</v>
      </c>
      <c r="Z329" s="134" t="s">
        <v>3</v>
      </c>
      <c r="AA329" s="134" t="s">
        <v>0</v>
      </c>
      <c r="AB329" s="134" t="s">
        <v>0</v>
      </c>
      <c r="AC329" s="134" t="s">
        <v>0</v>
      </c>
      <c r="AD329" s="134" t="s">
        <v>0</v>
      </c>
      <c r="AE329" s="134" t="s">
        <v>0</v>
      </c>
      <c r="AF329" s="134" t="s">
        <v>0</v>
      </c>
      <c r="AG329" s="134" t="s">
        <v>0</v>
      </c>
      <c r="AH329" s="134" t="s">
        <v>0</v>
      </c>
      <c r="AI329" s="134" t="s">
        <v>0</v>
      </c>
      <c r="AJ329" s="134" t="s">
        <v>0</v>
      </c>
      <c r="AK329" s="134" t="s">
        <v>0</v>
      </c>
      <c r="AL329" s="134" t="s">
        <v>0</v>
      </c>
      <c r="AM329" s="134" t="s">
        <v>0</v>
      </c>
      <c r="AN329" s="134" t="s">
        <v>0</v>
      </c>
      <c r="AO329" s="134" t="s">
        <v>0</v>
      </c>
      <c r="AP329" s="134" t="s">
        <v>0</v>
      </c>
      <c r="AQ329" s="134" t="s">
        <v>0</v>
      </c>
      <c r="AR329" s="134" t="s">
        <v>0</v>
      </c>
      <c r="AS329" s="134" t="s">
        <v>0</v>
      </c>
      <c r="AT329" s="134" t="s">
        <v>0</v>
      </c>
      <c r="AU329" s="134" t="s">
        <v>0</v>
      </c>
      <c r="AV329" s="134" t="s">
        <v>0</v>
      </c>
      <c r="AW329" s="134" t="s">
        <v>0</v>
      </c>
      <c r="AX329" s="134" t="s">
        <v>0</v>
      </c>
      <c r="AY329" s="134" t="s">
        <v>0</v>
      </c>
      <c r="AZ329" s="134" t="s">
        <v>0</v>
      </c>
      <c r="BA329" s="134" t="s">
        <v>0</v>
      </c>
      <c r="BB329" s="134" t="s">
        <v>0</v>
      </c>
      <c r="BC329" s="134" t="s">
        <v>0</v>
      </c>
      <c r="BD329" s="134" t="s">
        <v>0</v>
      </c>
      <c r="BE329" s="134" t="s">
        <v>0</v>
      </c>
      <c r="BF329" s="134" t="s">
        <v>0</v>
      </c>
      <c r="BG329" s="134" t="s">
        <v>0</v>
      </c>
      <c r="BH329" s="134" t="s">
        <v>0</v>
      </c>
      <c r="BI329" s="135" t="s">
        <v>4</v>
      </c>
    </row>
    <row r="330" spans="1:61" x14ac:dyDescent="0.25">
      <c r="A330" s="22">
        <f t="shared" si="35"/>
        <v>324</v>
      </c>
      <c r="B330" s="214" t="str">
        <f t="shared" si="36"/>
        <v>F0014826703</v>
      </c>
      <c r="C330" s="214" t="str">
        <f t="shared" si="37"/>
        <v>82115-0E521 B</v>
      </c>
      <c r="D330" s="45" t="str">
        <f>VLOOKUP(B330,'Timing Table'!B:J,9,0)</f>
        <v>C/O</v>
      </c>
      <c r="E330" s="22" t="str">
        <f>VLOOKUP(B330,'Timing Table'!B:H,7,0)</f>
        <v>GAS</v>
      </c>
      <c r="F330" s="121" t="s">
        <v>70</v>
      </c>
      <c r="G330" s="146">
        <v>2236</v>
      </c>
      <c r="H330" s="158" t="s">
        <v>241</v>
      </c>
      <c r="I330" s="159" t="s">
        <v>71</v>
      </c>
      <c r="J330" s="13">
        <v>46041</v>
      </c>
      <c r="K330" s="14">
        <v>46048</v>
      </c>
      <c r="L330" s="14">
        <v>46055</v>
      </c>
      <c r="M330" s="14">
        <v>46062</v>
      </c>
      <c r="N330" s="14">
        <v>46069</v>
      </c>
      <c r="O330" s="14">
        <v>46076</v>
      </c>
      <c r="P330" s="14">
        <v>46083</v>
      </c>
      <c r="Q330" s="14">
        <v>46090</v>
      </c>
      <c r="R330" s="14">
        <v>46097</v>
      </c>
      <c r="S330" s="14">
        <v>46104</v>
      </c>
      <c r="T330" s="14">
        <v>46111</v>
      </c>
      <c r="U330" s="14">
        <v>46118</v>
      </c>
      <c r="V330" s="14">
        <v>46125</v>
      </c>
      <c r="W330" s="14">
        <v>46132</v>
      </c>
      <c r="X330" s="14">
        <v>46139</v>
      </c>
      <c r="Y330" s="14">
        <v>46146</v>
      </c>
      <c r="Z330" s="14">
        <v>46153</v>
      </c>
      <c r="AA330" s="14">
        <v>46160</v>
      </c>
      <c r="AB330" s="14">
        <v>46167</v>
      </c>
      <c r="AC330" s="14">
        <v>46174</v>
      </c>
      <c r="AD330" s="14">
        <v>46181</v>
      </c>
      <c r="AE330" s="14">
        <v>46188</v>
      </c>
      <c r="AF330" s="14">
        <v>46195</v>
      </c>
      <c r="AG330" s="14">
        <v>46202</v>
      </c>
      <c r="AH330" s="14">
        <v>46209</v>
      </c>
      <c r="AI330" s="14">
        <v>46216</v>
      </c>
      <c r="AJ330" s="14">
        <v>46223</v>
      </c>
      <c r="AK330" s="14">
        <v>46230</v>
      </c>
      <c r="AL330" s="14">
        <v>46237</v>
      </c>
      <c r="AM330" s="14">
        <v>46244</v>
      </c>
      <c r="AN330" s="14">
        <v>46251</v>
      </c>
      <c r="AO330" s="14">
        <v>46258</v>
      </c>
      <c r="AP330" s="14">
        <v>46265</v>
      </c>
      <c r="AQ330" s="14">
        <v>46272</v>
      </c>
      <c r="AR330" s="14">
        <v>46279</v>
      </c>
      <c r="AS330" s="14">
        <v>46286</v>
      </c>
      <c r="AT330" s="14">
        <v>46293</v>
      </c>
      <c r="AU330" s="14">
        <v>46300</v>
      </c>
      <c r="AV330" s="14">
        <v>46307</v>
      </c>
      <c r="AW330" s="14">
        <v>46314</v>
      </c>
      <c r="AX330" s="14">
        <v>46321</v>
      </c>
      <c r="AY330" s="14">
        <v>46328</v>
      </c>
      <c r="AZ330" s="14">
        <v>46335</v>
      </c>
      <c r="BA330" s="14">
        <v>46342</v>
      </c>
      <c r="BB330" s="14">
        <v>46349</v>
      </c>
      <c r="BC330" s="14">
        <v>46356</v>
      </c>
      <c r="BD330" s="14">
        <v>46363</v>
      </c>
      <c r="BE330" s="14">
        <v>46370</v>
      </c>
      <c r="BF330" s="14">
        <v>46377</v>
      </c>
      <c r="BG330" s="14">
        <v>46384</v>
      </c>
      <c r="BH330" s="14">
        <v>46391</v>
      </c>
      <c r="BI330" s="15">
        <v>46398</v>
      </c>
    </row>
    <row r="331" spans="1:61" x14ac:dyDescent="0.25">
      <c r="A331" s="22">
        <f t="shared" si="35"/>
        <v>325</v>
      </c>
      <c r="B331" s="214" t="str">
        <f t="shared" si="36"/>
        <v>F0014826703</v>
      </c>
      <c r="C331" s="214" t="str">
        <f t="shared" si="37"/>
        <v>82115-0E521 B</v>
      </c>
      <c r="D331" s="45" t="str">
        <f>VLOOKUP(B331,'Timing Table'!B:J,9,0)</f>
        <v>C/O</v>
      </c>
      <c r="E331" s="22" t="str">
        <f>VLOOKUP(B331,'Timing Table'!B:H,7,0)</f>
        <v>GAS</v>
      </c>
      <c r="F331" s="121" t="s">
        <v>72</v>
      </c>
      <c r="G331" s="146">
        <v>2452</v>
      </c>
      <c r="H331" s="5" t="s">
        <v>58</v>
      </c>
      <c r="I331" s="11" t="s">
        <v>83</v>
      </c>
      <c r="J331" s="16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17"/>
    </row>
    <row r="332" spans="1:61" x14ac:dyDescent="0.25">
      <c r="A332" s="22">
        <f t="shared" si="35"/>
        <v>326</v>
      </c>
      <c r="B332" s="214" t="str">
        <f t="shared" si="36"/>
        <v>F0014826703</v>
      </c>
      <c r="C332" s="214" t="str">
        <f t="shared" si="37"/>
        <v>82115-0E521 B</v>
      </c>
      <c r="D332" s="45" t="str">
        <f>VLOOKUP(B332,'Timing Table'!B:J,9,0)</f>
        <v>C/O</v>
      </c>
      <c r="E332" s="22" t="str">
        <f>VLOOKUP(B332,'Timing Table'!B:H,7,0)</f>
        <v>GAS</v>
      </c>
      <c r="F332" s="121" t="s">
        <v>73</v>
      </c>
      <c r="G332" s="160" t="s">
        <v>130</v>
      </c>
      <c r="H332" s="9" t="s">
        <v>115</v>
      </c>
      <c r="I332" s="11" t="s">
        <v>74</v>
      </c>
      <c r="J332" s="117">
        <v>132</v>
      </c>
      <c r="K332" s="50">
        <v>32</v>
      </c>
      <c r="L332" s="50">
        <v>28</v>
      </c>
      <c r="M332" s="50">
        <v>44</v>
      </c>
      <c r="N332" s="50">
        <v>84</v>
      </c>
      <c r="O332" s="50">
        <v>76</v>
      </c>
      <c r="P332" s="50">
        <v>56</v>
      </c>
      <c r="Q332" s="50">
        <v>72</v>
      </c>
      <c r="R332" s="50">
        <v>0</v>
      </c>
      <c r="S332" s="50">
        <v>16</v>
      </c>
      <c r="T332" s="50">
        <v>32</v>
      </c>
      <c r="U332" s="50">
        <v>36</v>
      </c>
      <c r="V332" s="50">
        <v>32</v>
      </c>
      <c r="W332" s="50">
        <v>28</v>
      </c>
      <c r="X332" s="50">
        <v>8</v>
      </c>
      <c r="Y332" s="50">
        <v>36</v>
      </c>
      <c r="Z332" s="50">
        <v>28</v>
      </c>
      <c r="AA332" s="50">
        <v>40</v>
      </c>
      <c r="AB332" s="50">
        <v>40</v>
      </c>
      <c r="AC332" s="50">
        <v>40</v>
      </c>
      <c r="AD332" s="50">
        <v>28</v>
      </c>
      <c r="AE332" s="50">
        <v>40</v>
      </c>
      <c r="AF332" s="50">
        <v>44</v>
      </c>
      <c r="AG332" s="50">
        <v>32</v>
      </c>
      <c r="AH332" s="50">
        <v>20</v>
      </c>
      <c r="AI332" s="50">
        <v>32</v>
      </c>
      <c r="AJ332" s="50">
        <v>40</v>
      </c>
      <c r="AK332" s="50">
        <v>44</v>
      </c>
      <c r="AL332" s="50">
        <v>60</v>
      </c>
      <c r="AM332" s="50">
        <v>36</v>
      </c>
      <c r="AN332" s="50">
        <v>40</v>
      </c>
      <c r="AO332" s="50">
        <v>40</v>
      </c>
      <c r="AP332" s="50">
        <v>40</v>
      </c>
      <c r="AQ332" s="50">
        <v>40</v>
      </c>
      <c r="AR332" s="50">
        <v>40</v>
      </c>
      <c r="AS332" s="50">
        <v>40</v>
      </c>
      <c r="AT332" s="50">
        <v>40</v>
      </c>
      <c r="AU332" s="50">
        <v>40</v>
      </c>
      <c r="AV332" s="50">
        <v>40</v>
      </c>
      <c r="AW332" s="50">
        <v>40</v>
      </c>
      <c r="AX332" s="50">
        <v>40</v>
      </c>
      <c r="AY332" s="50">
        <v>40</v>
      </c>
      <c r="AZ332" s="50">
        <v>40</v>
      </c>
      <c r="BA332" s="50">
        <v>40</v>
      </c>
      <c r="BB332" s="50">
        <v>40</v>
      </c>
      <c r="BC332" s="50">
        <v>40</v>
      </c>
      <c r="BD332" s="50">
        <v>40</v>
      </c>
      <c r="BE332" s="50">
        <v>40</v>
      </c>
      <c r="BF332" s="50">
        <v>40</v>
      </c>
      <c r="BG332" s="50">
        <v>40</v>
      </c>
      <c r="BH332" s="50">
        <v>40</v>
      </c>
      <c r="BI332" s="118">
        <v>40</v>
      </c>
    </row>
    <row r="333" spans="1:61" x14ac:dyDescent="0.25">
      <c r="A333" s="22">
        <f t="shared" si="35"/>
        <v>327</v>
      </c>
      <c r="B333" s="214" t="str">
        <f t="shared" si="36"/>
        <v>F0014826703</v>
      </c>
      <c r="C333" s="214" t="str">
        <f t="shared" si="37"/>
        <v>82115-0E521 B</v>
      </c>
      <c r="D333" s="45" t="str">
        <f>VLOOKUP(B333,'Timing Table'!B:J,9,0)</f>
        <v>C/O</v>
      </c>
      <c r="E333" s="22" t="str">
        <f>VLOOKUP(B333,'Timing Table'!B:H,7,0)</f>
        <v>GAS</v>
      </c>
      <c r="F333" s="121" t="s">
        <v>75</v>
      </c>
      <c r="G333" s="146">
        <v>82115</v>
      </c>
      <c r="H333" s="10" t="s">
        <v>115</v>
      </c>
      <c r="I333" s="12" t="s">
        <v>76</v>
      </c>
      <c r="J333" s="161">
        <v>1844</v>
      </c>
      <c r="K333" s="162">
        <v>1876</v>
      </c>
      <c r="L333" s="162">
        <v>1904</v>
      </c>
      <c r="M333" s="162">
        <v>1948</v>
      </c>
      <c r="N333" s="162">
        <v>2032</v>
      </c>
      <c r="O333" s="162">
        <v>2108</v>
      </c>
      <c r="P333" s="162">
        <v>2164</v>
      </c>
      <c r="Q333" s="162">
        <v>2236</v>
      </c>
      <c r="R333" s="162">
        <v>2236</v>
      </c>
      <c r="S333" s="162">
        <v>2252</v>
      </c>
      <c r="T333" s="162">
        <v>2284</v>
      </c>
      <c r="U333" s="162">
        <v>2320</v>
      </c>
      <c r="V333" s="162">
        <v>2352</v>
      </c>
      <c r="W333" s="162">
        <v>2380</v>
      </c>
      <c r="X333" s="162">
        <v>2388</v>
      </c>
      <c r="Y333" s="162">
        <v>2424</v>
      </c>
      <c r="Z333" s="162">
        <v>2452</v>
      </c>
      <c r="AA333" s="162">
        <v>2492</v>
      </c>
      <c r="AB333" s="162">
        <v>2532</v>
      </c>
      <c r="AC333" s="162">
        <v>2572</v>
      </c>
      <c r="AD333" s="162">
        <v>2600</v>
      </c>
      <c r="AE333" s="162">
        <v>2640</v>
      </c>
      <c r="AF333" s="162">
        <v>2684</v>
      </c>
      <c r="AG333" s="162">
        <v>2716</v>
      </c>
      <c r="AH333" s="162">
        <v>2736</v>
      </c>
      <c r="AI333" s="162">
        <v>2768</v>
      </c>
      <c r="AJ333" s="162">
        <v>2808</v>
      </c>
      <c r="AK333" s="162">
        <v>2852</v>
      </c>
      <c r="AL333" s="162">
        <v>2912</v>
      </c>
      <c r="AM333" s="162">
        <v>2948</v>
      </c>
      <c r="AN333" s="162">
        <v>2988</v>
      </c>
      <c r="AO333" s="162">
        <v>3028</v>
      </c>
      <c r="AP333" s="162">
        <v>3068</v>
      </c>
      <c r="AQ333" s="162">
        <v>3108</v>
      </c>
      <c r="AR333" s="162">
        <v>3148</v>
      </c>
      <c r="AS333" s="162">
        <v>3188</v>
      </c>
      <c r="AT333" s="162">
        <v>3228</v>
      </c>
      <c r="AU333" s="162">
        <v>3268</v>
      </c>
      <c r="AV333" s="162">
        <v>3308</v>
      </c>
      <c r="AW333" s="162">
        <v>3348</v>
      </c>
      <c r="AX333" s="162">
        <v>3388</v>
      </c>
      <c r="AY333" s="162">
        <v>3428</v>
      </c>
      <c r="AZ333" s="162">
        <v>3468</v>
      </c>
      <c r="BA333" s="162">
        <v>3508</v>
      </c>
      <c r="BB333" s="162">
        <v>3548</v>
      </c>
      <c r="BC333" s="162">
        <v>3588</v>
      </c>
      <c r="BD333" s="162">
        <v>3628</v>
      </c>
      <c r="BE333" s="162">
        <v>3668</v>
      </c>
      <c r="BF333" s="162">
        <v>3708</v>
      </c>
      <c r="BG333" s="162">
        <v>3748</v>
      </c>
      <c r="BH333" s="162">
        <v>3788</v>
      </c>
      <c r="BI333" s="163">
        <v>3828</v>
      </c>
    </row>
    <row r="334" spans="1:61" x14ac:dyDescent="0.25">
      <c r="A334" s="22">
        <f t="shared" si="35"/>
        <v>328</v>
      </c>
      <c r="B334" s="214" t="str">
        <f t="shared" si="36"/>
        <v>F0014826703</v>
      </c>
      <c r="C334" s="214" t="str">
        <f t="shared" si="37"/>
        <v>82115-0E521 B</v>
      </c>
      <c r="D334" s="45" t="str">
        <f>VLOOKUP(B334,'Timing Table'!B:J,9,0)</f>
        <v>C/O</v>
      </c>
      <c r="E334" s="22" t="str">
        <f>VLOOKUP(B334,'Timing Table'!B:H,7,0)</f>
        <v>GAS</v>
      </c>
      <c r="F334" s="164" t="s">
        <v>77</v>
      </c>
      <c r="G334" s="165">
        <v>1712</v>
      </c>
      <c r="H334" s="166" t="s">
        <v>78</v>
      </c>
      <c r="I334" s="167"/>
      <c r="J334" s="168" t="s">
        <v>303</v>
      </c>
      <c r="K334" s="169"/>
      <c r="L334" s="170" t="s">
        <v>0</v>
      </c>
      <c r="M334" s="170" t="s">
        <v>0</v>
      </c>
      <c r="N334" s="170" t="s">
        <v>0</v>
      </c>
      <c r="O334" s="170" t="s">
        <v>0</v>
      </c>
      <c r="P334" s="170" t="s">
        <v>0</v>
      </c>
      <c r="Q334" s="170">
        <v>0.2857142857142857</v>
      </c>
      <c r="R334" s="170" t="s">
        <v>0</v>
      </c>
      <c r="S334" s="170" t="s">
        <v>0</v>
      </c>
      <c r="T334" s="170" t="s">
        <v>0</v>
      </c>
      <c r="U334" s="170" t="s">
        <v>0</v>
      </c>
      <c r="V334" s="170" t="s">
        <v>0</v>
      </c>
      <c r="W334" s="170" t="s">
        <v>0</v>
      </c>
      <c r="X334" s="170" t="s">
        <v>0</v>
      </c>
      <c r="Y334" s="170" t="s">
        <v>0</v>
      </c>
      <c r="Z334" s="170" t="s">
        <v>0</v>
      </c>
      <c r="AA334" s="170" t="s">
        <v>0</v>
      </c>
      <c r="AB334" s="170" t="s">
        <v>0</v>
      </c>
      <c r="AC334" s="170" t="s">
        <v>0</v>
      </c>
      <c r="AD334" s="170" t="s">
        <v>0</v>
      </c>
      <c r="AE334" s="170" t="s">
        <v>0</v>
      </c>
      <c r="AF334" s="170" t="s">
        <v>0</v>
      </c>
      <c r="AG334" s="170" t="s">
        <v>0</v>
      </c>
      <c r="AH334" s="170" t="s">
        <v>0</v>
      </c>
      <c r="AI334" s="170" t="s">
        <v>0</v>
      </c>
      <c r="AJ334" s="170" t="s">
        <v>0</v>
      </c>
      <c r="AK334" s="170" t="s">
        <v>0</v>
      </c>
      <c r="AL334" s="170" t="s">
        <v>0</v>
      </c>
      <c r="AM334" s="170" t="s">
        <v>0</v>
      </c>
      <c r="AN334" s="170" t="s">
        <v>0</v>
      </c>
      <c r="AO334" s="170" t="s">
        <v>0</v>
      </c>
      <c r="AP334" s="170" t="s">
        <v>0</v>
      </c>
      <c r="AQ334" s="170" t="s">
        <v>0</v>
      </c>
      <c r="AR334" s="170" t="s">
        <v>0</v>
      </c>
      <c r="AS334" s="170" t="s">
        <v>0</v>
      </c>
      <c r="AT334" s="170" t="s">
        <v>0</v>
      </c>
      <c r="AU334" s="170" t="s">
        <v>0</v>
      </c>
      <c r="AV334" s="170" t="s">
        <v>0</v>
      </c>
      <c r="AW334" s="170" t="s">
        <v>0</v>
      </c>
      <c r="AX334" s="170" t="s">
        <v>0</v>
      </c>
      <c r="AY334" s="170" t="s">
        <v>0</v>
      </c>
      <c r="AZ334" s="170" t="s">
        <v>0</v>
      </c>
      <c r="BA334" s="170" t="s">
        <v>0</v>
      </c>
      <c r="BB334" s="170" t="s">
        <v>0</v>
      </c>
      <c r="BC334" s="170" t="s">
        <v>0</v>
      </c>
      <c r="BD334" s="170" t="s">
        <v>0</v>
      </c>
      <c r="BE334" s="170" t="s">
        <v>0</v>
      </c>
      <c r="BF334" s="170" t="s">
        <v>0</v>
      </c>
      <c r="BG334" s="170" t="s">
        <v>0</v>
      </c>
      <c r="BH334" s="170" t="s">
        <v>0</v>
      </c>
      <c r="BI334" s="171"/>
    </row>
    <row r="335" spans="1:61" x14ac:dyDescent="0.25">
      <c r="A335" s="22">
        <f t="shared" si="35"/>
        <v>329</v>
      </c>
      <c r="B335" s="214" t="str">
        <f t="shared" si="36"/>
        <v>F0014826703</v>
      </c>
      <c r="C335" s="214" t="str">
        <f>IF(F335=$F$7,#REF!,C334)</f>
        <v>82115-0E521 B</v>
      </c>
      <c r="D335" s="45" t="str">
        <f>VLOOKUP(B335,'Timing Table'!B:J,9,0)</f>
        <v>C/O</v>
      </c>
      <c r="E335" s="22" t="str">
        <f>VLOOKUP(B335,'Timing Table'!B:H,7,0)</f>
        <v>GAS</v>
      </c>
      <c r="F335" s="172" t="s">
        <v>79</v>
      </c>
      <c r="G335" s="173" t="s">
        <v>58</v>
      </c>
      <c r="H335" s="174" t="s">
        <v>58</v>
      </c>
      <c r="I335" s="175" t="s">
        <v>58</v>
      </c>
      <c r="J335" s="175" t="s">
        <v>0</v>
      </c>
      <c r="K335" s="175" t="s">
        <v>0</v>
      </c>
      <c r="L335" s="175" t="s">
        <v>0</v>
      </c>
      <c r="M335" s="175" t="s">
        <v>0</v>
      </c>
      <c r="N335" s="175" t="s">
        <v>0</v>
      </c>
      <c r="O335" s="175" t="s">
        <v>0</v>
      </c>
      <c r="P335" s="175" t="s">
        <v>0</v>
      </c>
      <c r="Q335" s="175" t="s">
        <v>324</v>
      </c>
      <c r="R335" s="175"/>
      <c r="S335" s="175" t="s">
        <v>0</v>
      </c>
      <c r="T335" s="175" t="s">
        <v>0</v>
      </c>
      <c r="U335" s="175" t="s">
        <v>0</v>
      </c>
      <c r="V335" s="175" t="s">
        <v>0</v>
      </c>
      <c r="W335" s="175" t="s">
        <v>0</v>
      </c>
      <c r="X335" s="175" t="s">
        <v>0</v>
      </c>
      <c r="Y335" s="175" t="s">
        <v>0</v>
      </c>
      <c r="Z335" s="175" t="s">
        <v>0</v>
      </c>
      <c r="AA335" s="175" t="s">
        <v>0</v>
      </c>
      <c r="AB335" s="175" t="s">
        <v>0</v>
      </c>
      <c r="AC335" s="175" t="s">
        <v>0</v>
      </c>
      <c r="AD335" s="175" t="s">
        <v>0</v>
      </c>
      <c r="AE335" s="175" t="s">
        <v>0</v>
      </c>
      <c r="AF335" s="175" t="s">
        <v>0</v>
      </c>
      <c r="AG335" s="175" t="s">
        <v>0</v>
      </c>
      <c r="AH335" s="175" t="s">
        <v>0</v>
      </c>
      <c r="AI335" s="175" t="s">
        <v>0</v>
      </c>
      <c r="AJ335" s="175" t="s">
        <v>0</v>
      </c>
      <c r="AK335" s="175" t="s">
        <v>0</v>
      </c>
      <c r="AL335" s="175" t="s">
        <v>0</v>
      </c>
      <c r="AM335" s="175" t="s">
        <v>0</v>
      </c>
      <c r="AN335" s="175" t="s">
        <v>0</v>
      </c>
      <c r="AO335" s="175" t="s">
        <v>0</v>
      </c>
      <c r="AP335" s="175" t="s">
        <v>0</v>
      </c>
      <c r="AQ335" s="175" t="s">
        <v>0</v>
      </c>
      <c r="AR335" s="175" t="s">
        <v>0</v>
      </c>
      <c r="AS335" s="175" t="s">
        <v>0</v>
      </c>
      <c r="AT335" s="175" t="s">
        <v>0</v>
      </c>
      <c r="AU335" s="175" t="s">
        <v>0</v>
      </c>
      <c r="AV335" s="175" t="s">
        <v>0</v>
      </c>
      <c r="AW335" s="175" t="s">
        <v>0</v>
      </c>
      <c r="AX335" s="175" t="s">
        <v>0</v>
      </c>
      <c r="AY335" s="175" t="s">
        <v>0</v>
      </c>
      <c r="AZ335" s="175" t="s">
        <v>0</v>
      </c>
      <c r="BA335" s="175" t="s">
        <v>0</v>
      </c>
      <c r="BB335" s="175" t="s">
        <v>0</v>
      </c>
      <c r="BC335" s="175" t="s">
        <v>0</v>
      </c>
      <c r="BD335" s="175" t="s">
        <v>0</v>
      </c>
      <c r="BE335" s="175" t="s">
        <v>0</v>
      </c>
      <c r="BF335" s="175" t="s">
        <v>0</v>
      </c>
      <c r="BG335" s="175" t="s">
        <v>0</v>
      </c>
      <c r="BH335" s="175" t="s">
        <v>0</v>
      </c>
      <c r="BI335" s="176"/>
    </row>
    <row r="336" spans="1:61" x14ac:dyDescent="0.25">
      <c r="A336" s="22">
        <f t="shared" si="35"/>
        <v>330</v>
      </c>
      <c r="B336" s="214" t="str">
        <f>IF(F336=$F$7,#REF!,B335)</f>
        <v>F0014826703</v>
      </c>
      <c r="C336" s="214" t="str">
        <f>IF(F336=$F$7,#REF!,C335)</f>
        <v>82115-0E521 B</v>
      </c>
      <c r="D336" s="45" t="str">
        <f>VLOOKUP(B336,'Timing Table'!B:J,9,0)</f>
        <v>C/O</v>
      </c>
      <c r="E336" s="22" t="str">
        <f>VLOOKUP(B336,'Timing Table'!B:H,7,0)</f>
        <v>GAS</v>
      </c>
      <c r="F336" s="177" t="s">
        <v>58</v>
      </c>
      <c r="G336" s="178" t="s">
        <v>58</v>
      </c>
      <c r="H336" s="179" t="s">
        <v>58</v>
      </c>
      <c r="I336" s="180" t="s">
        <v>58</v>
      </c>
      <c r="J336" s="180" t="s">
        <v>0</v>
      </c>
      <c r="K336" s="180" t="s">
        <v>0</v>
      </c>
      <c r="L336" s="180" t="s">
        <v>0</v>
      </c>
      <c r="M336" s="180" t="s">
        <v>0</v>
      </c>
      <c r="N336" s="180" t="s">
        <v>0</v>
      </c>
      <c r="O336" s="180" t="s">
        <v>0</v>
      </c>
      <c r="P336" s="180" t="s">
        <v>0</v>
      </c>
      <c r="Q336" s="180" t="s">
        <v>0</v>
      </c>
      <c r="R336" s="180" t="s">
        <v>0</v>
      </c>
      <c r="S336" s="180" t="s">
        <v>0</v>
      </c>
      <c r="T336" s="180" t="s">
        <v>0</v>
      </c>
      <c r="U336" s="180" t="s">
        <v>0</v>
      </c>
      <c r="V336" s="180" t="s">
        <v>0</v>
      </c>
      <c r="W336" s="180" t="s">
        <v>0</v>
      </c>
      <c r="X336" s="180" t="s">
        <v>0</v>
      </c>
      <c r="Y336" s="180" t="s">
        <v>0</v>
      </c>
      <c r="Z336" s="180" t="s">
        <v>0</v>
      </c>
      <c r="AA336" s="180" t="s">
        <v>0</v>
      </c>
      <c r="AB336" s="180" t="s">
        <v>0</v>
      </c>
      <c r="AC336" s="180" t="s">
        <v>0</v>
      </c>
      <c r="AD336" s="180" t="s">
        <v>0</v>
      </c>
      <c r="AE336" s="180" t="s">
        <v>0</v>
      </c>
      <c r="AF336" s="180" t="s">
        <v>0</v>
      </c>
      <c r="AG336" s="180" t="s">
        <v>0</v>
      </c>
      <c r="AH336" s="180" t="s">
        <v>0</v>
      </c>
      <c r="AI336" s="180" t="s">
        <v>0</v>
      </c>
      <c r="AJ336" s="180" t="s">
        <v>0</v>
      </c>
      <c r="AK336" s="180" t="s">
        <v>0</v>
      </c>
      <c r="AL336" s="180" t="s">
        <v>0</v>
      </c>
      <c r="AM336" s="180" t="s">
        <v>0</v>
      </c>
      <c r="AN336" s="180" t="s">
        <v>0</v>
      </c>
      <c r="AO336" s="180" t="s">
        <v>0</v>
      </c>
      <c r="AP336" s="180" t="s">
        <v>0</v>
      </c>
      <c r="AQ336" s="180" t="s">
        <v>0</v>
      </c>
      <c r="AR336" s="180" t="s">
        <v>0</v>
      </c>
      <c r="AS336" s="180" t="s">
        <v>0</v>
      </c>
      <c r="AT336" s="180" t="s">
        <v>0</v>
      </c>
      <c r="AU336" s="180" t="s">
        <v>0</v>
      </c>
      <c r="AV336" s="180" t="s">
        <v>0</v>
      </c>
      <c r="AW336" s="180" t="s">
        <v>0</v>
      </c>
      <c r="AX336" s="180" t="s">
        <v>0</v>
      </c>
      <c r="AY336" s="180" t="s">
        <v>0</v>
      </c>
      <c r="AZ336" s="180" t="s">
        <v>0</v>
      </c>
      <c r="BA336" s="180" t="s">
        <v>0</v>
      </c>
      <c r="BB336" s="180" t="s">
        <v>0</v>
      </c>
      <c r="BC336" s="180" t="s">
        <v>0</v>
      </c>
      <c r="BD336" s="180" t="s">
        <v>0</v>
      </c>
      <c r="BE336" s="180" t="s">
        <v>0</v>
      </c>
      <c r="BF336" s="180" t="s">
        <v>0</v>
      </c>
      <c r="BG336" s="180" t="s">
        <v>0</v>
      </c>
      <c r="BH336" s="180" t="s">
        <v>0</v>
      </c>
      <c r="BI336" s="181"/>
    </row>
    <row r="337" spans="1:61" x14ac:dyDescent="0.25">
      <c r="A337" s="22">
        <f t="shared" si="35"/>
        <v>331</v>
      </c>
      <c r="B337" s="214" t="str">
        <f>IF(F337=$F$7,G338,B336)</f>
        <v>F0014826801</v>
      </c>
      <c r="C337" s="214" t="str">
        <f>IF(F337=$F$7,G339,C336)</f>
        <v>82115-0E501</v>
      </c>
      <c r="D337" s="45" t="str">
        <f>VLOOKUP(B337,'Timing Table'!B:J,9,0)</f>
        <v>C/O</v>
      </c>
      <c r="E337" s="22" t="str">
        <f>VLOOKUP(B337,'Timing Table'!B:H,7,0)</f>
        <v>GAS</v>
      </c>
      <c r="F337" s="121" t="s">
        <v>59</v>
      </c>
      <c r="G337" s="146">
        <v>5500990629</v>
      </c>
      <c r="H337" s="121" t="s">
        <v>60</v>
      </c>
      <c r="I337" s="146">
        <v>156</v>
      </c>
      <c r="J337" s="121" t="s">
        <v>61</v>
      </c>
      <c r="K337" s="125">
        <v>1121471</v>
      </c>
      <c r="L337" s="126"/>
      <c r="M337" s="147" t="s">
        <v>62</v>
      </c>
      <c r="N337" s="148"/>
      <c r="O337" s="149">
        <v>46086</v>
      </c>
      <c r="P337" s="121" t="s">
        <v>63</v>
      </c>
      <c r="Q337" s="146">
        <v>4</v>
      </c>
      <c r="R337" s="6" t="s">
        <v>0</v>
      </c>
      <c r="S337" s="7" t="s">
        <v>0</v>
      </c>
      <c r="T337" s="7" t="s">
        <v>0</v>
      </c>
      <c r="U337" s="7" t="s">
        <v>0</v>
      </c>
      <c r="V337" s="7" t="s">
        <v>0</v>
      </c>
      <c r="W337" s="7" t="s">
        <v>0</v>
      </c>
      <c r="X337" s="7" t="s">
        <v>0</v>
      </c>
      <c r="Y337" s="7" t="s">
        <v>0</v>
      </c>
      <c r="Z337" s="7" t="s">
        <v>0</v>
      </c>
      <c r="AA337" s="7" t="s">
        <v>0</v>
      </c>
      <c r="AB337" s="7" t="s">
        <v>0</v>
      </c>
      <c r="AC337" s="7" t="s">
        <v>0</v>
      </c>
      <c r="AD337" s="7" t="s">
        <v>0</v>
      </c>
      <c r="AE337" s="7" t="s">
        <v>0</v>
      </c>
      <c r="AF337" s="7" t="s">
        <v>0</v>
      </c>
      <c r="AG337" s="7" t="s">
        <v>0</v>
      </c>
      <c r="AH337" s="7" t="s">
        <v>0</v>
      </c>
      <c r="AI337" s="7" t="s">
        <v>0</v>
      </c>
      <c r="AJ337" s="7" t="s">
        <v>0</v>
      </c>
      <c r="AK337" s="7" t="s">
        <v>0</v>
      </c>
      <c r="AL337" s="7" t="s">
        <v>0</v>
      </c>
      <c r="AM337" s="7" t="s">
        <v>0</v>
      </c>
      <c r="AN337" s="7" t="s">
        <v>0</v>
      </c>
      <c r="AO337" s="7" t="s">
        <v>0</v>
      </c>
      <c r="AP337" s="7" t="s">
        <v>0</v>
      </c>
      <c r="AQ337" s="7" t="s">
        <v>0</v>
      </c>
      <c r="AR337" s="7" t="s">
        <v>0</v>
      </c>
      <c r="AS337" s="7" t="s">
        <v>0</v>
      </c>
      <c r="AT337" s="7" t="s">
        <v>0</v>
      </c>
      <c r="AU337" s="7" t="s">
        <v>0</v>
      </c>
      <c r="AV337" s="7" t="s">
        <v>0</v>
      </c>
      <c r="AW337" s="7" t="s">
        <v>0</v>
      </c>
      <c r="AX337" s="7" t="s">
        <v>0</v>
      </c>
      <c r="AY337" s="7" t="s">
        <v>0</v>
      </c>
      <c r="AZ337" s="7" t="s">
        <v>0</v>
      </c>
      <c r="BA337" s="7" t="s">
        <v>0</v>
      </c>
      <c r="BB337" s="7" t="s">
        <v>0</v>
      </c>
      <c r="BC337" s="7" t="s">
        <v>0</v>
      </c>
      <c r="BD337" s="7" t="s">
        <v>0</v>
      </c>
      <c r="BE337" s="7" t="s">
        <v>0</v>
      </c>
      <c r="BF337" s="7" t="s">
        <v>0</v>
      </c>
      <c r="BG337" s="7" t="s">
        <v>0</v>
      </c>
      <c r="BH337" s="7" t="s">
        <v>0</v>
      </c>
      <c r="BI337" s="8"/>
    </row>
    <row r="338" spans="1:61" x14ac:dyDescent="0.25">
      <c r="A338" s="22">
        <f t="shared" si="35"/>
        <v>332</v>
      </c>
      <c r="B338" s="214" t="str">
        <f t="shared" ref="B338:B345" si="38">IF(F338=$F$7,G339,B337)</f>
        <v>F0014826801</v>
      </c>
      <c r="C338" s="214" t="str">
        <f t="shared" ref="C338:C344" si="39">IF(F338=$F$7,G340,C337)</f>
        <v>82115-0E501</v>
      </c>
      <c r="D338" s="45" t="str">
        <f>VLOOKUP(B338,'Timing Table'!B:J,9,0)</f>
        <v>C/O</v>
      </c>
      <c r="E338" s="22" t="str">
        <f>VLOOKUP(B338,'Timing Table'!B:H,7,0)</f>
        <v>GAS</v>
      </c>
      <c r="F338" s="121" t="s">
        <v>64</v>
      </c>
      <c r="G338" s="146" t="s">
        <v>147</v>
      </c>
      <c r="H338" s="121" t="s">
        <v>65</v>
      </c>
      <c r="I338" s="150" t="s">
        <v>250</v>
      </c>
      <c r="J338" s="151"/>
      <c r="K338" s="151"/>
      <c r="L338" s="152"/>
      <c r="M338" s="121" t="s">
        <v>66</v>
      </c>
      <c r="N338" s="146">
        <v>2025</v>
      </c>
      <c r="O338" s="140" t="s">
        <v>67</v>
      </c>
      <c r="P338" s="141"/>
      <c r="Q338" s="153" t="s">
        <v>133</v>
      </c>
      <c r="R338" s="122" t="s">
        <v>0</v>
      </c>
      <c r="S338" s="123" t="s">
        <v>0</v>
      </c>
      <c r="T338" s="123" t="s">
        <v>0</v>
      </c>
      <c r="U338" s="123" t="s">
        <v>0</v>
      </c>
      <c r="V338" s="123" t="s">
        <v>0</v>
      </c>
      <c r="W338" s="123" t="s">
        <v>0</v>
      </c>
      <c r="X338" s="123" t="s">
        <v>0</v>
      </c>
      <c r="Y338" s="123" t="s">
        <v>0</v>
      </c>
      <c r="Z338" s="123" t="s">
        <v>0</v>
      </c>
      <c r="AA338" s="123" t="s">
        <v>0</v>
      </c>
      <c r="AB338" s="123" t="s">
        <v>0</v>
      </c>
      <c r="AC338" s="123" t="s">
        <v>0</v>
      </c>
      <c r="AD338" s="123" t="s">
        <v>0</v>
      </c>
      <c r="AE338" s="123" t="s">
        <v>0</v>
      </c>
      <c r="AF338" s="123" t="s">
        <v>0</v>
      </c>
      <c r="AG338" s="123" t="s">
        <v>0</v>
      </c>
      <c r="AH338" s="123" t="s">
        <v>0</v>
      </c>
      <c r="AI338" s="123" t="s">
        <v>0</v>
      </c>
      <c r="AJ338" s="123" t="s">
        <v>0</v>
      </c>
      <c r="AK338" s="123" t="s">
        <v>0</v>
      </c>
      <c r="AL338" s="123" t="s">
        <v>0</v>
      </c>
      <c r="AM338" s="123" t="s">
        <v>0</v>
      </c>
      <c r="AN338" s="123" t="s">
        <v>0</v>
      </c>
      <c r="AO338" s="123" t="s">
        <v>0</v>
      </c>
      <c r="AP338" s="123" t="s">
        <v>0</v>
      </c>
      <c r="AQ338" s="123" t="s">
        <v>0</v>
      </c>
      <c r="AR338" s="123" t="s">
        <v>0</v>
      </c>
      <c r="AS338" s="123" t="s">
        <v>0</v>
      </c>
      <c r="AT338" s="123" t="s">
        <v>0</v>
      </c>
      <c r="AU338" s="123" t="s">
        <v>0</v>
      </c>
      <c r="AV338" s="123" t="s">
        <v>0</v>
      </c>
      <c r="AW338" s="123" t="s">
        <v>0</v>
      </c>
      <c r="AX338" s="123" t="s">
        <v>0</v>
      </c>
      <c r="AY338" s="123" t="s">
        <v>0</v>
      </c>
      <c r="AZ338" s="123" t="s">
        <v>0</v>
      </c>
      <c r="BA338" s="123" t="s">
        <v>0</v>
      </c>
      <c r="BB338" s="123" t="s">
        <v>0</v>
      </c>
      <c r="BC338" s="123" t="s">
        <v>0</v>
      </c>
      <c r="BD338" s="123" t="s">
        <v>0</v>
      </c>
      <c r="BE338" s="123" t="s">
        <v>0</v>
      </c>
      <c r="BF338" s="123" t="s">
        <v>0</v>
      </c>
      <c r="BG338" s="123" t="s">
        <v>0</v>
      </c>
      <c r="BH338" s="123" t="s">
        <v>0</v>
      </c>
      <c r="BI338" s="124"/>
    </row>
    <row r="339" spans="1:61" x14ac:dyDescent="0.25">
      <c r="A339" s="22">
        <f t="shared" si="35"/>
        <v>333</v>
      </c>
      <c r="B339" s="214" t="str">
        <f t="shared" si="38"/>
        <v>F0014826801</v>
      </c>
      <c r="C339" s="214" t="str">
        <f t="shared" si="39"/>
        <v>82115-0E501</v>
      </c>
      <c r="D339" s="45" t="str">
        <f>VLOOKUP(B339,'Timing Table'!B:J,9,0)</f>
        <v>C/O</v>
      </c>
      <c r="E339" s="22" t="str">
        <f>VLOOKUP(B339,'Timing Table'!B:H,7,0)</f>
        <v>GAS</v>
      </c>
      <c r="F339" s="121" t="s">
        <v>68</v>
      </c>
      <c r="G339" s="146" t="s">
        <v>111</v>
      </c>
      <c r="H339" s="121" t="s">
        <v>69</v>
      </c>
      <c r="I339" s="154" t="s">
        <v>58</v>
      </c>
      <c r="J339" s="155" t="s">
        <v>0</v>
      </c>
      <c r="K339" s="156" t="s">
        <v>0</v>
      </c>
      <c r="L339" s="157" t="s">
        <v>0</v>
      </c>
      <c r="M339" s="134" t="s">
        <v>0</v>
      </c>
      <c r="N339" s="134" t="s">
        <v>0</v>
      </c>
      <c r="O339" s="134" t="s">
        <v>0</v>
      </c>
      <c r="P339" s="134" t="s">
        <v>0</v>
      </c>
      <c r="Q339" s="134" t="s">
        <v>1</v>
      </c>
      <c r="R339" s="134" t="s">
        <v>2</v>
      </c>
      <c r="S339" s="134" t="s">
        <v>0</v>
      </c>
      <c r="T339" s="134" t="s">
        <v>0</v>
      </c>
      <c r="U339" s="134" t="s">
        <v>0</v>
      </c>
      <c r="V339" s="134" t="s">
        <v>0</v>
      </c>
      <c r="W339" s="134" t="s">
        <v>0</v>
      </c>
      <c r="X339" s="134" t="s">
        <v>0</v>
      </c>
      <c r="Y339" s="134" t="s">
        <v>0</v>
      </c>
      <c r="Z339" s="134" t="s">
        <v>3</v>
      </c>
      <c r="AA339" s="134" t="s">
        <v>0</v>
      </c>
      <c r="AB339" s="134" t="s">
        <v>0</v>
      </c>
      <c r="AC339" s="134" t="s">
        <v>0</v>
      </c>
      <c r="AD339" s="134" t="s">
        <v>0</v>
      </c>
      <c r="AE339" s="134" t="s">
        <v>0</v>
      </c>
      <c r="AF339" s="134" t="s">
        <v>0</v>
      </c>
      <c r="AG339" s="134" t="s">
        <v>0</v>
      </c>
      <c r="AH339" s="134" t="s">
        <v>0</v>
      </c>
      <c r="AI339" s="134" t="s">
        <v>0</v>
      </c>
      <c r="AJ339" s="134" t="s">
        <v>0</v>
      </c>
      <c r="AK339" s="134" t="s">
        <v>0</v>
      </c>
      <c r="AL339" s="134" t="s">
        <v>0</v>
      </c>
      <c r="AM339" s="134" t="s">
        <v>0</v>
      </c>
      <c r="AN339" s="134" t="s">
        <v>0</v>
      </c>
      <c r="AO339" s="134" t="s">
        <v>0</v>
      </c>
      <c r="AP339" s="134" t="s">
        <v>0</v>
      </c>
      <c r="AQ339" s="134" t="s">
        <v>0</v>
      </c>
      <c r="AR339" s="134" t="s">
        <v>0</v>
      </c>
      <c r="AS339" s="134" t="s">
        <v>0</v>
      </c>
      <c r="AT339" s="134" t="s">
        <v>0</v>
      </c>
      <c r="AU339" s="134" t="s">
        <v>0</v>
      </c>
      <c r="AV339" s="134" t="s">
        <v>0</v>
      </c>
      <c r="AW339" s="134" t="s">
        <v>0</v>
      </c>
      <c r="AX339" s="134" t="s">
        <v>0</v>
      </c>
      <c r="AY339" s="134" t="s">
        <v>0</v>
      </c>
      <c r="AZ339" s="134" t="s">
        <v>0</v>
      </c>
      <c r="BA339" s="134" t="s">
        <v>0</v>
      </c>
      <c r="BB339" s="134" t="s">
        <v>0</v>
      </c>
      <c r="BC339" s="134" t="s">
        <v>0</v>
      </c>
      <c r="BD339" s="134" t="s">
        <v>0</v>
      </c>
      <c r="BE339" s="134" t="s">
        <v>0</v>
      </c>
      <c r="BF339" s="134" t="s">
        <v>0</v>
      </c>
      <c r="BG339" s="134" t="s">
        <v>0</v>
      </c>
      <c r="BH339" s="134" t="s">
        <v>0</v>
      </c>
      <c r="BI339" s="135" t="s">
        <v>4</v>
      </c>
    </row>
    <row r="340" spans="1:61" x14ac:dyDescent="0.25">
      <c r="A340" s="22">
        <f t="shared" si="35"/>
        <v>334</v>
      </c>
      <c r="B340" s="214" t="str">
        <f t="shared" si="38"/>
        <v>F0014826801</v>
      </c>
      <c r="C340" s="214" t="str">
        <f t="shared" si="39"/>
        <v>82115-0E501</v>
      </c>
      <c r="D340" s="45" t="str">
        <f>VLOOKUP(B340,'Timing Table'!B:J,9,0)</f>
        <v>C/O</v>
      </c>
      <c r="E340" s="22" t="str">
        <f>VLOOKUP(B340,'Timing Table'!B:H,7,0)</f>
        <v>GAS</v>
      </c>
      <c r="F340" s="121" t="s">
        <v>70</v>
      </c>
      <c r="G340" s="146">
        <v>36</v>
      </c>
      <c r="H340" s="158" t="s">
        <v>241</v>
      </c>
      <c r="I340" s="159" t="s">
        <v>71</v>
      </c>
      <c r="J340" s="13">
        <v>46041</v>
      </c>
      <c r="K340" s="14">
        <v>46048</v>
      </c>
      <c r="L340" s="14">
        <v>46055</v>
      </c>
      <c r="M340" s="14">
        <v>46062</v>
      </c>
      <c r="N340" s="14">
        <v>46069</v>
      </c>
      <c r="O340" s="14">
        <v>46076</v>
      </c>
      <c r="P340" s="14">
        <v>46083</v>
      </c>
      <c r="Q340" s="14">
        <v>46090</v>
      </c>
      <c r="R340" s="14">
        <v>46097</v>
      </c>
      <c r="S340" s="14">
        <v>46104</v>
      </c>
      <c r="T340" s="14">
        <v>46111</v>
      </c>
      <c r="U340" s="14">
        <v>46118</v>
      </c>
      <c r="V340" s="14">
        <v>46125</v>
      </c>
      <c r="W340" s="14">
        <v>46132</v>
      </c>
      <c r="X340" s="14">
        <v>46139</v>
      </c>
      <c r="Y340" s="14">
        <v>46146</v>
      </c>
      <c r="Z340" s="14">
        <v>46153</v>
      </c>
      <c r="AA340" s="14">
        <v>46160</v>
      </c>
      <c r="AB340" s="14">
        <v>46167</v>
      </c>
      <c r="AC340" s="14">
        <v>46174</v>
      </c>
      <c r="AD340" s="14">
        <v>46181</v>
      </c>
      <c r="AE340" s="14">
        <v>46188</v>
      </c>
      <c r="AF340" s="14">
        <v>46195</v>
      </c>
      <c r="AG340" s="14">
        <v>46202</v>
      </c>
      <c r="AH340" s="14">
        <v>46209</v>
      </c>
      <c r="AI340" s="14">
        <v>46216</v>
      </c>
      <c r="AJ340" s="14">
        <v>46223</v>
      </c>
      <c r="AK340" s="14">
        <v>46230</v>
      </c>
      <c r="AL340" s="14">
        <v>46237</v>
      </c>
      <c r="AM340" s="14">
        <v>46244</v>
      </c>
      <c r="AN340" s="14">
        <v>46251</v>
      </c>
      <c r="AO340" s="14">
        <v>46258</v>
      </c>
      <c r="AP340" s="14">
        <v>46265</v>
      </c>
      <c r="AQ340" s="14">
        <v>46272</v>
      </c>
      <c r="AR340" s="14">
        <v>46279</v>
      </c>
      <c r="AS340" s="14">
        <v>46286</v>
      </c>
      <c r="AT340" s="14">
        <v>46293</v>
      </c>
      <c r="AU340" s="14">
        <v>46300</v>
      </c>
      <c r="AV340" s="14">
        <v>46307</v>
      </c>
      <c r="AW340" s="14">
        <v>46314</v>
      </c>
      <c r="AX340" s="14">
        <v>46321</v>
      </c>
      <c r="AY340" s="14">
        <v>46328</v>
      </c>
      <c r="AZ340" s="14">
        <v>46335</v>
      </c>
      <c r="BA340" s="14">
        <v>46342</v>
      </c>
      <c r="BB340" s="14">
        <v>46349</v>
      </c>
      <c r="BC340" s="14">
        <v>46356</v>
      </c>
      <c r="BD340" s="14">
        <v>46363</v>
      </c>
      <c r="BE340" s="14">
        <v>46370</v>
      </c>
      <c r="BF340" s="14">
        <v>46377</v>
      </c>
      <c r="BG340" s="14">
        <v>46384</v>
      </c>
      <c r="BH340" s="14">
        <v>46391</v>
      </c>
      <c r="BI340" s="15">
        <v>46398</v>
      </c>
    </row>
    <row r="341" spans="1:61" x14ac:dyDescent="0.25">
      <c r="A341" s="22">
        <f t="shared" si="35"/>
        <v>335</v>
      </c>
      <c r="B341" s="214" t="str">
        <f t="shared" si="38"/>
        <v>F0014826801</v>
      </c>
      <c r="C341" s="214" t="str">
        <f t="shared" si="39"/>
        <v>82115-0E501</v>
      </c>
      <c r="D341" s="45" t="str">
        <f>VLOOKUP(B341,'Timing Table'!B:J,9,0)</f>
        <v>C/O</v>
      </c>
      <c r="E341" s="22" t="str">
        <f>VLOOKUP(B341,'Timing Table'!B:H,7,0)</f>
        <v>GAS</v>
      </c>
      <c r="F341" s="121" t="s">
        <v>72</v>
      </c>
      <c r="G341" s="146">
        <v>248</v>
      </c>
      <c r="H341" s="5" t="s">
        <v>58</v>
      </c>
      <c r="I341" s="11" t="s">
        <v>83</v>
      </c>
      <c r="J341" s="16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17"/>
    </row>
    <row r="342" spans="1:61" x14ac:dyDescent="0.25">
      <c r="A342" s="22">
        <f t="shared" si="35"/>
        <v>336</v>
      </c>
      <c r="B342" s="214" t="str">
        <f t="shared" si="38"/>
        <v>F0014826801</v>
      </c>
      <c r="C342" s="214" t="str">
        <f t="shared" si="39"/>
        <v>82115-0E501</v>
      </c>
      <c r="D342" s="45" t="str">
        <f>VLOOKUP(B342,'Timing Table'!B:J,9,0)</f>
        <v>C/O</v>
      </c>
      <c r="E342" s="22" t="str">
        <f>VLOOKUP(B342,'Timing Table'!B:H,7,0)</f>
        <v>GAS</v>
      </c>
      <c r="F342" s="121" t="s">
        <v>73</v>
      </c>
      <c r="G342" s="160" t="s">
        <v>130</v>
      </c>
      <c r="H342" s="9" t="s">
        <v>111</v>
      </c>
      <c r="I342" s="11" t="s">
        <v>74</v>
      </c>
      <c r="J342" s="117">
        <v>0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  <c r="Q342" s="50">
        <v>0</v>
      </c>
      <c r="R342" s="50">
        <v>0</v>
      </c>
      <c r="S342" s="50">
        <v>0</v>
      </c>
      <c r="T342" s="50">
        <v>0</v>
      </c>
      <c r="U342" s="50">
        <v>0</v>
      </c>
      <c r="V342" s="50">
        <v>0</v>
      </c>
      <c r="W342" s="50">
        <v>0</v>
      </c>
      <c r="X342" s="50">
        <v>0</v>
      </c>
      <c r="Y342" s="50">
        <v>0</v>
      </c>
      <c r="Z342" s="50">
        <v>0</v>
      </c>
      <c r="AA342" s="50">
        <v>0</v>
      </c>
      <c r="AB342" s="50">
        <v>0</v>
      </c>
      <c r="AC342" s="50">
        <v>0</v>
      </c>
      <c r="AD342" s="50">
        <v>0</v>
      </c>
      <c r="AE342" s="50">
        <v>0</v>
      </c>
      <c r="AF342" s="50">
        <v>0</v>
      </c>
      <c r="AG342" s="50">
        <v>0</v>
      </c>
      <c r="AH342" s="50">
        <v>0</v>
      </c>
      <c r="AI342" s="50">
        <v>0</v>
      </c>
      <c r="AJ342" s="50">
        <v>0</v>
      </c>
      <c r="AK342" s="50">
        <v>0</v>
      </c>
      <c r="AL342" s="50">
        <v>0</v>
      </c>
      <c r="AM342" s="50">
        <v>0</v>
      </c>
      <c r="AN342" s="50">
        <v>0</v>
      </c>
      <c r="AO342" s="50">
        <v>0</v>
      </c>
      <c r="AP342" s="50">
        <v>0</v>
      </c>
      <c r="AQ342" s="50">
        <v>0</v>
      </c>
      <c r="AR342" s="50">
        <v>0</v>
      </c>
      <c r="AS342" s="50">
        <v>0</v>
      </c>
      <c r="AT342" s="50">
        <v>0</v>
      </c>
      <c r="AU342" s="50">
        <v>0</v>
      </c>
      <c r="AV342" s="50">
        <v>0</v>
      </c>
      <c r="AW342" s="50">
        <v>0</v>
      </c>
      <c r="AX342" s="50">
        <v>0</v>
      </c>
      <c r="AY342" s="50">
        <v>0</v>
      </c>
      <c r="AZ342" s="50">
        <v>0</v>
      </c>
      <c r="BA342" s="50">
        <v>0</v>
      </c>
      <c r="BB342" s="50">
        <v>0</v>
      </c>
      <c r="BC342" s="50">
        <v>0</v>
      </c>
      <c r="BD342" s="50">
        <v>0</v>
      </c>
      <c r="BE342" s="50">
        <v>0</v>
      </c>
      <c r="BF342" s="50">
        <v>0</v>
      </c>
      <c r="BG342" s="50">
        <v>0</v>
      </c>
      <c r="BH342" s="50">
        <v>0</v>
      </c>
      <c r="BI342" s="118">
        <v>0</v>
      </c>
    </row>
    <row r="343" spans="1:61" x14ac:dyDescent="0.25">
      <c r="A343" s="22">
        <f t="shared" si="35"/>
        <v>337</v>
      </c>
      <c r="B343" s="214" t="str">
        <f t="shared" si="38"/>
        <v>F0014826801</v>
      </c>
      <c r="C343" s="214" t="str">
        <f t="shared" si="39"/>
        <v>82115-0E501</v>
      </c>
      <c r="D343" s="45" t="str">
        <f>VLOOKUP(B343,'Timing Table'!B:J,9,0)</f>
        <v>C/O</v>
      </c>
      <c r="E343" s="22" t="str">
        <f>VLOOKUP(B343,'Timing Table'!B:H,7,0)</f>
        <v>GAS</v>
      </c>
      <c r="F343" s="121" t="s">
        <v>75</v>
      </c>
      <c r="G343" s="146">
        <v>82115</v>
      </c>
      <c r="H343" s="10" t="s">
        <v>111</v>
      </c>
      <c r="I343" s="12" t="s">
        <v>76</v>
      </c>
      <c r="J343" s="161">
        <v>36</v>
      </c>
      <c r="K343" s="162">
        <v>36</v>
      </c>
      <c r="L343" s="162">
        <v>36</v>
      </c>
      <c r="M343" s="162">
        <v>36</v>
      </c>
      <c r="N343" s="162">
        <v>36</v>
      </c>
      <c r="O343" s="162">
        <v>36</v>
      </c>
      <c r="P343" s="162">
        <v>36</v>
      </c>
      <c r="Q343" s="162">
        <v>36</v>
      </c>
      <c r="R343" s="162">
        <v>36</v>
      </c>
      <c r="S343" s="162">
        <v>36</v>
      </c>
      <c r="T343" s="162">
        <v>36</v>
      </c>
      <c r="U343" s="162">
        <v>36</v>
      </c>
      <c r="V343" s="162">
        <v>36</v>
      </c>
      <c r="W343" s="162">
        <v>36</v>
      </c>
      <c r="X343" s="162">
        <v>36</v>
      </c>
      <c r="Y343" s="162">
        <v>36</v>
      </c>
      <c r="Z343" s="162">
        <v>36</v>
      </c>
      <c r="AA343" s="162">
        <v>36</v>
      </c>
      <c r="AB343" s="162">
        <v>36</v>
      </c>
      <c r="AC343" s="162">
        <v>36</v>
      </c>
      <c r="AD343" s="162">
        <v>36</v>
      </c>
      <c r="AE343" s="162">
        <v>36</v>
      </c>
      <c r="AF343" s="162">
        <v>36</v>
      </c>
      <c r="AG343" s="162">
        <v>36</v>
      </c>
      <c r="AH343" s="162">
        <v>36</v>
      </c>
      <c r="AI343" s="162">
        <v>36</v>
      </c>
      <c r="AJ343" s="162">
        <v>36</v>
      </c>
      <c r="AK343" s="162">
        <v>36</v>
      </c>
      <c r="AL343" s="162">
        <v>36</v>
      </c>
      <c r="AM343" s="162">
        <v>36</v>
      </c>
      <c r="AN343" s="162">
        <v>36</v>
      </c>
      <c r="AO343" s="162">
        <v>36</v>
      </c>
      <c r="AP343" s="162">
        <v>36</v>
      </c>
      <c r="AQ343" s="162">
        <v>36</v>
      </c>
      <c r="AR343" s="162">
        <v>36</v>
      </c>
      <c r="AS343" s="162">
        <v>36</v>
      </c>
      <c r="AT343" s="162">
        <v>36</v>
      </c>
      <c r="AU343" s="162">
        <v>36</v>
      </c>
      <c r="AV343" s="162">
        <v>36</v>
      </c>
      <c r="AW343" s="162">
        <v>36</v>
      </c>
      <c r="AX343" s="162">
        <v>36</v>
      </c>
      <c r="AY343" s="162">
        <v>36</v>
      </c>
      <c r="AZ343" s="162">
        <v>36</v>
      </c>
      <c r="BA343" s="162">
        <v>36</v>
      </c>
      <c r="BB343" s="162">
        <v>36</v>
      </c>
      <c r="BC343" s="162">
        <v>36</v>
      </c>
      <c r="BD343" s="162">
        <v>36</v>
      </c>
      <c r="BE343" s="162">
        <v>36</v>
      </c>
      <c r="BF343" s="162">
        <v>36</v>
      </c>
      <c r="BG343" s="162">
        <v>36</v>
      </c>
      <c r="BH343" s="162">
        <v>36</v>
      </c>
      <c r="BI343" s="163">
        <v>36</v>
      </c>
    </row>
    <row r="344" spans="1:61" x14ac:dyDescent="0.25">
      <c r="A344" s="22">
        <f t="shared" si="35"/>
        <v>338</v>
      </c>
      <c r="B344" s="214" t="str">
        <f t="shared" si="38"/>
        <v>F0014826801</v>
      </c>
      <c r="C344" s="214" t="str">
        <f t="shared" si="39"/>
        <v>82115-0E501</v>
      </c>
      <c r="D344" s="45" t="str">
        <f>VLOOKUP(B344,'Timing Table'!B:J,9,0)</f>
        <v>C/O</v>
      </c>
      <c r="E344" s="22" t="str">
        <f>VLOOKUP(B344,'Timing Table'!B:H,7,0)</f>
        <v>GAS</v>
      </c>
      <c r="F344" s="164" t="s">
        <v>77</v>
      </c>
      <c r="G344" s="165">
        <v>36</v>
      </c>
      <c r="H344" s="166" t="s">
        <v>78</v>
      </c>
      <c r="I344" s="167"/>
      <c r="J344" s="168" t="s">
        <v>247</v>
      </c>
      <c r="K344" s="169"/>
      <c r="L344" s="170" t="s">
        <v>0</v>
      </c>
      <c r="M344" s="170" t="s">
        <v>0</v>
      </c>
      <c r="N344" s="170" t="s">
        <v>0</v>
      </c>
      <c r="O344" s="170" t="s">
        <v>0</v>
      </c>
      <c r="P344" s="170" t="s">
        <v>0</v>
      </c>
      <c r="Q344" s="170" t="s">
        <v>0</v>
      </c>
      <c r="R344" s="170" t="s">
        <v>0</v>
      </c>
      <c r="S344" s="170" t="s">
        <v>0</v>
      </c>
      <c r="T344" s="170" t="s">
        <v>0</v>
      </c>
      <c r="U344" s="170" t="s">
        <v>0</v>
      </c>
      <c r="V344" s="170" t="s">
        <v>0</v>
      </c>
      <c r="W344" s="170" t="s">
        <v>0</v>
      </c>
      <c r="X344" s="170" t="s">
        <v>0</v>
      </c>
      <c r="Y344" s="170" t="s">
        <v>0</v>
      </c>
      <c r="Z344" s="170" t="s">
        <v>0</v>
      </c>
      <c r="AA344" s="170" t="s">
        <v>0</v>
      </c>
      <c r="AB344" s="170" t="s">
        <v>0</v>
      </c>
      <c r="AC344" s="170" t="s">
        <v>0</v>
      </c>
      <c r="AD344" s="170" t="s">
        <v>0</v>
      </c>
      <c r="AE344" s="170" t="s">
        <v>0</v>
      </c>
      <c r="AF344" s="170" t="s">
        <v>0</v>
      </c>
      <c r="AG344" s="170" t="s">
        <v>0</v>
      </c>
      <c r="AH344" s="170" t="s">
        <v>0</v>
      </c>
      <c r="AI344" s="170" t="s">
        <v>0</v>
      </c>
      <c r="AJ344" s="170" t="s">
        <v>0</v>
      </c>
      <c r="AK344" s="170" t="s">
        <v>0</v>
      </c>
      <c r="AL344" s="170" t="s">
        <v>0</v>
      </c>
      <c r="AM344" s="170" t="s">
        <v>0</v>
      </c>
      <c r="AN344" s="170" t="s">
        <v>0</v>
      </c>
      <c r="AO344" s="170" t="s">
        <v>0</v>
      </c>
      <c r="AP344" s="170" t="s">
        <v>0</v>
      </c>
      <c r="AQ344" s="170" t="s">
        <v>0</v>
      </c>
      <c r="AR344" s="170" t="s">
        <v>0</v>
      </c>
      <c r="AS344" s="170" t="s">
        <v>0</v>
      </c>
      <c r="AT344" s="170" t="s">
        <v>0</v>
      </c>
      <c r="AU344" s="170" t="s">
        <v>0</v>
      </c>
      <c r="AV344" s="170" t="s">
        <v>0</v>
      </c>
      <c r="AW344" s="170" t="s">
        <v>0</v>
      </c>
      <c r="AX344" s="170" t="s">
        <v>0</v>
      </c>
      <c r="AY344" s="170" t="s">
        <v>0</v>
      </c>
      <c r="AZ344" s="170" t="s">
        <v>0</v>
      </c>
      <c r="BA344" s="170" t="s">
        <v>0</v>
      </c>
      <c r="BB344" s="170" t="s">
        <v>0</v>
      </c>
      <c r="BC344" s="170" t="s">
        <v>0</v>
      </c>
      <c r="BD344" s="170" t="s">
        <v>0</v>
      </c>
      <c r="BE344" s="170" t="s">
        <v>0</v>
      </c>
      <c r="BF344" s="170" t="s">
        <v>0</v>
      </c>
      <c r="BG344" s="170" t="s">
        <v>0</v>
      </c>
      <c r="BH344" s="170" t="s">
        <v>0</v>
      </c>
      <c r="BI344" s="171"/>
    </row>
    <row r="345" spans="1:61" x14ac:dyDescent="0.25">
      <c r="A345" s="22">
        <f t="shared" si="35"/>
        <v>339</v>
      </c>
      <c r="B345" s="214" t="str">
        <f t="shared" si="38"/>
        <v>F0014826801</v>
      </c>
      <c r="C345" s="214" t="str">
        <f>IF(F345=$F$7,#REF!,C344)</f>
        <v>82115-0E501</v>
      </c>
      <c r="D345" s="45" t="str">
        <f>VLOOKUP(B345,'Timing Table'!B:J,9,0)</f>
        <v>C/O</v>
      </c>
      <c r="E345" s="22" t="str">
        <f>VLOOKUP(B345,'Timing Table'!B:H,7,0)</f>
        <v>GAS</v>
      </c>
      <c r="F345" s="172" t="s">
        <v>79</v>
      </c>
      <c r="G345" s="173" t="s">
        <v>58</v>
      </c>
      <c r="H345" s="174" t="s">
        <v>58</v>
      </c>
      <c r="I345" s="175" t="s">
        <v>58</v>
      </c>
      <c r="J345" s="175" t="s">
        <v>0</v>
      </c>
      <c r="K345" s="175" t="s">
        <v>0</v>
      </c>
      <c r="L345" s="175" t="s">
        <v>0</v>
      </c>
      <c r="M345" s="175" t="s">
        <v>0</v>
      </c>
      <c r="N345" s="175" t="s">
        <v>0</v>
      </c>
      <c r="O345" s="175" t="s">
        <v>0</v>
      </c>
      <c r="P345" s="175" t="s">
        <v>0</v>
      </c>
      <c r="Q345" s="175" t="s">
        <v>0</v>
      </c>
      <c r="R345" s="175" t="s">
        <v>0</v>
      </c>
      <c r="S345" s="175" t="s">
        <v>0</v>
      </c>
      <c r="T345" s="175" t="s">
        <v>0</v>
      </c>
      <c r="U345" s="175" t="s">
        <v>0</v>
      </c>
      <c r="V345" s="175" t="s">
        <v>0</v>
      </c>
      <c r="W345" s="175" t="s">
        <v>0</v>
      </c>
      <c r="X345" s="175" t="s">
        <v>0</v>
      </c>
      <c r="Y345" s="175" t="s">
        <v>0</v>
      </c>
      <c r="Z345" s="175" t="s">
        <v>0</v>
      </c>
      <c r="AA345" s="175" t="s">
        <v>0</v>
      </c>
      <c r="AB345" s="175" t="s">
        <v>0</v>
      </c>
      <c r="AC345" s="175" t="s">
        <v>0</v>
      </c>
      <c r="AD345" s="175" t="s">
        <v>0</v>
      </c>
      <c r="AE345" s="175" t="s">
        <v>0</v>
      </c>
      <c r="AF345" s="175" t="s">
        <v>0</v>
      </c>
      <c r="AG345" s="175" t="s">
        <v>0</v>
      </c>
      <c r="AH345" s="175" t="s">
        <v>0</v>
      </c>
      <c r="AI345" s="175" t="s">
        <v>0</v>
      </c>
      <c r="AJ345" s="175" t="s">
        <v>0</v>
      </c>
      <c r="AK345" s="175" t="s">
        <v>0</v>
      </c>
      <c r="AL345" s="175" t="s">
        <v>0</v>
      </c>
      <c r="AM345" s="175" t="s">
        <v>0</v>
      </c>
      <c r="AN345" s="175" t="s">
        <v>0</v>
      </c>
      <c r="AO345" s="175" t="s">
        <v>0</v>
      </c>
      <c r="AP345" s="175" t="s">
        <v>0</v>
      </c>
      <c r="AQ345" s="175" t="s">
        <v>0</v>
      </c>
      <c r="AR345" s="175" t="s">
        <v>0</v>
      </c>
      <c r="AS345" s="175" t="s">
        <v>0</v>
      </c>
      <c r="AT345" s="175" t="s">
        <v>0</v>
      </c>
      <c r="AU345" s="175" t="s">
        <v>0</v>
      </c>
      <c r="AV345" s="175" t="s">
        <v>0</v>
      </c>
      <c r="AW345" s="175" t="s">
        <v>0</v>
      </c>
      <c r="AX345" s="175" t="s">
        <v>0</v>
      </c>
      <c r="AY345" s="175" t="s">
        <v>0</v>
      </c>
      <c r="AZ345" s="175" t="s">
        <v>0</v>
      </c>
      <c r="BA345" s="175" t="s">
        <v>0</v>
      </c>
      <c r="BB345" s="175" t="s">
        <v>0</v>
      </c>
      <c r="BC345" s="175" t="s">
        <v>0</v>
      </c>
      <c r="BD345" s="175" t="s">
        <v>0</v>
      </c>
      <c r="BE345" s="175" t="s">
        <v>0</v>
      </c>
      <c r="BF345" s="175" t="s">
        <v>0</v>
      </c>
      <c r="BG345" s="175" t="s">
        <v>0</v>
      </c>
      <c r="BH345" s="175" t="s">
        <v>0</v>
      </c>
      <c r="BI345" s="176"/>
    </row>
    <row r="346" spans="1:61" x14ac:dyDescent="0.25">
      <c r="A346" s="22">
        <f t="shared" si="35"/>
        <v>340</v>
      </c>
      <c r="B346" s="214" t="str">
        <f>IF(F346=$F$7,#REF!,B345)</f>
        <v>F0014826801</v>
      </c>
      <c r="C346" s="214" t="str">
        <f>IF(F346=$F$7,#REF!,C345)</f>
        <v>82115-0E501</v>
      </c>
      <c r="D346" s="45" t="str">
        <f>VLOOKUP(B346,'Timing Table'!B:J,9,0)</f>
        <v>C/O</v>
      </c>
      <c r="E346" s="22" t="str">
        <f>VLOOKUP(B346,'Timing Table'!B:H,7,0)</f>
        <v>GAS</v>
      </c>
      <c r="F346" s="177" t="s">
        <v>58</v>
      </c>
      <c r="G346" s="178" t="s">
        <v>58</v>
      </c>
      <c r="H346" s="179" t="s">
        <v>58</v>
      </c>
      <c r="I346" s="180" t="s">
        <v>58</v>
      </c>
      <c r="J346" s="180" t="s">
        <v>0</v>
      </c>
      <c r="K346" s="180" t="s">
        <v>0</v>
      </c>
      <c r="L346" s="180" t="s">
        <v>0</v>
      </c>
      <c r="M346" s="180" t="s">
        <v>0</v>
      </c>
      <c r="N346" s="180" t="s">
        <v>0</v>
      </c>
      <c r="O346" s="180" t="s">
        <v>0</v>
      </c>
      <c r="P346" s="180" t="s">
        <v>0</v>
      </c>
      <c r="Q346" s="180" t="s">
        <v>0</v>
      </c>
      <c r="R346" s="180" t="s">
        <v>0</v>
      </c>
      <c r="S346" s="180" t="s">
        <v>0</v>
      </c>
      <c r="T346" s="180" t="s">
        <v>0</v>
      </c>
      <c r="U346" s="180" t="s">
        <v>0</v>
      </c>
      <c r="V346" s="180" t="s">
        <v>0</v>
      </c>
      <c r="W346" s="180" t="s">
        <v>0</v>
      </c>
      <c r="X346" s="180" t="s">
        <v>0</v>
      </c>
      <c r="Y346" s="180" t="s">
        <v>0</v>
      </c>
      <c r="Z346" s="180" t="s">
        <v>0</v>
      </c>
      <c r="AA346" s="180" t="s">
        <v>0</v>
      </c>
      <c r="AB346" s="180" t="s">
        <v>0</v>
      </c>
      <c r="AC346" s="180" t="s">
        <v>0</v>
      </c>
      <c r="AD346" s="180" t="s">
        <v>0</v>
      </c>
      <c r="AE346" s="180" t="s">
        <v>0</v>
      </c>
      <c r="AF346" s="180" t="s">
        <v>0</v>
      </c>
      <c r="AG346" s="180" t="s">
        <v>0</v>
      </c>
      <c r="AH346" s="180" t="s">
        <v>0</v>
      </c>
      <c r="AI346" s="180" t="s">
        <v>0</v>
      </c>
      <c r="AJ346" s="180" t="s">
        <v>0</v>
      </c>
      <c r="AK346" s="180" t="s">
        <v>0</v>
      </c>
      <c r="AL346" s="180" t="s">
        <v>0</v>
      </c>
      <c r="AM346" s="180" t="s">
        <v>0</v>
      </c>
      <c r="AN346" s="180" t="s">
        <v>0</v>
      </c>
      <c r="AO346" s="180" t="s">
        <v>0</v>
      </c>
      <c r="AP346" s="180" t="s">
        <v>0</v>
      </c>
      <c r="AQ346" s="180" t="s">
        <v>0</v>
      </c>
      <c r="AR346" s="180" t="s">
        <v>0</v>
      </c>
      <c r="AS346" s="180" t="s">
        <v>0</v>
      </c>
      <c r="AT346" s="180" t="s">
        <v>0</v>
      </c>
      <c r="AU346" s="180" t="s">
        <v>0</v>
      </c>
      <c r="AV346" s="180" t="s">
        <v>0</v>
      </c>
      <c r="AW346" s="180" t="s">
        <v>0</v>
      </c>
      <c r="AX346" s="180" t="s">
        <v>0</v>
      </c>
      <c r="AY346" s="180" t="s">
        <v>0</v>
      </c>
      <c r="AZ346" s="180" t="s">
        <v>0</v>
      </c>
      <c r="BA346" s="180" t="s">
        <v>0</v>
      </c>
      <c r="BB346" s="180" t="s">
        <v>0</v>
      </c>
      <c r="BC346" s="180" t="s">
        <v>0</v>
      </c>
      <c r="BD346" s="180" t="s">
        <v>0</v>
      </c>
      <c r="BE346" s="180" t="s">
        <v>0</v>
      </c>
      <c r="BF346" s="180" t="s">
        <v>0</v>
      </c>
      <c r="BG346" s="180" t="s">
        <v>0</v>
      </c>
      <c r="BH346" s="180" t="s">
        <v>0</v>
      </c>
      <c r="BI346" s="181"/>
    </row>
    <row r="347" spans="1:61" x14ac:dyDescent="0.25">
      <c r="A347" s="22">
        <f t="shared" si="35"/>
        <v>341</v>
      </c>
      <c r="B347" s="214" t="str">
        <f>IF(F347=$F$7,G348,B346)</f>
        <v>F0014826803</v>
      </c>
      <c r="C347" s="214" t="str">
        <f>IF(F347=$F$7,G349,C346)</f>
        <v>82115-0E501 B</v>
      </c>
      <c r="D347" s="45" t="str">
        <f>VLOOKUP(B347,'Timing Table'!B:J,9,0)</f>
        <v>C/O</v>
      </c>
      <c r="E347" s="22" t="str">
        <f>VLOOKUP(B347,'Timing Table'!B:H,7,0)</f>
        <v>GAS</v>
      </c>
      <c r="F347" s="121" t="s">
        <v>59</v>
      </c>
      <c r="G347" s="146">
        <v>5501017965</v>
      </c>
      <c r="H347" s="121" t="s">
        <v>60</v>
      </c>
      <c r="I347" s="146">
        <v>91</v>
      </c>
      <c r="J347" s="121" t="s">
        <v>61</v>
      </c>
      <c r="K347" s="125">
        <v>1177752</v>
      </c>
      <c r="L347" s="126"/>
      <c r="M347" s="147" t="s">
        <v>62</v>
      </c>
      <c r="N347" s="148"/>
      <c r="O347" s="149">
        <v>46086</v>
      </c>
      <c r="P347" s="121" t="s">
        <v>63</v>
      </c>
      <c r="Q347" s="146">
        <v>4</v>
      </c>
      <c r="R347" s="6" t="s">
        <v>0</v>
      </c>
      <c r="S347" s="7" t="s">
        <v>0</v>
      </c>
      <c r="T347" s="7" t="s">
        <v>0</v>
      </c>
      <c r="U347" s="7" t="s">
        <v>0</v>
      </c>
      <c r="V347" s="7" t="s">
        <v>0</v>
      </c>
      <c r="W347" s="7" t="s">
        <v>0</v>
      </c>
      <c r="X347" s="7" t="s">
        <v>0</v>
      </c>
      <c r="Y347" s="7" t="s">
        <v>0</v>
      </c>
      <c r="Z347" s="7" t="s">
        <v>0</v>
      </c>
      <c r="AA347" s="7" t="s">
        <v>0</v>
      </c>
      <c r="AB347" s="7" t="s">
        <v>0</v>
      </c>
      <c r="AC347" s="7" t="s">
        <v>0</v>
      </c>
      <c r="AD347" s="7" t="s">
        <v>0</v>
      </c>
      <c r="AE347" s="7" t="s">
        <v>0</v>
      </c>
      <c r="AF347" s="7" t="s">
        <v>0</v>
      </c>
      <c r="AG347" s="7" t="s">
        <v>0</v>
      </c>
      <c r="AH347" s="7" t="s">
        <v>0</v>
      </c>
      <c r="AI347" s="7" t="s">
        <v>0</v>
      </c>
      <c r="AJ347" s="7" t="s">
        <v>0</v>
      </c>
      <c r="AK347" s="7" t="s">
        <v>0</v>
      </c>
      <c r="AL347" s="7" t="s">
        <v>0</v>
      </c>
      <c r="AM347" s="7" t="s">
        <v>0</v>
      </c>
      <c r="AN347" s="7" t="s">
        <v>0</v>
      </c>
      <c r="AO347" s="7" t="s">
        <v>0</v>
      </c>
      <c r="AP347" s="7" t="s">
        <v>0</v>
      </c>
      <c r="AQ347" s="7" t="s">
        <v>0</v>
      </c>
      <c r="AR347" s="7" t="s">
        <v>0</v>
      </c>
      <c r="AS347" s="7" t="s">
        <v>0</v>
      </c>
      <c r="AT347" s="7" t="s">
        <v>0</v>
      </c>
      <c r="AU347" s="7" t="s">
        <v>0</v>
      </c>
      <c r="AV347" s="7" t="s">
        <v>0</v>
      </c>
      <c r="AW347" s="7" t="s">
        <v>0</v>
      </c>
      <c r="AX347" s="7" t="s">
        <v>0</v>
      </c>
      <c r="AY347" s="7" t="s">
        <v>0</v>
      </c>
      <c r="AZ347" s="7" t="s">
        <v>0</v>
      </c>
      <c r="BA347" s="7" t="s">
        <v>0</v>
      </c>
      <c r="BB347" s="7" t="s">
        <v>0</v>
      </c>
      <c r="BC347" s="7" t="s">
        <v>0</v>
      </c>
      <c r="BD347" s="7" t="s">
        <v>0</v>
      </c>
      <c r="BE347" s="7" t="s">
        <v>0</v>
      </c>
      <c r="BF347" s="7" t="s">
        <v>0</v>
      </c>
      <c r="BG347" s="7" t="s">
        <v>0</v>
      </c>
      <c r="BH347" s="7" t="s">
        <v>0</v>
      </c>
      <c r="BI347" s="8"/>
    </row>
    <row r="348" spans="1:61" x14ac:dyDescent="0.25">
      <c r="A348" s="22">
        <f t="shared" si="35"/>
        <v>342</v>
      </c>
      <c r="B348" s="214" t="str">
        <f t="shared" ref="B348:B355" si="40">IF(F348=$F$7,G349,B347)</f>
        <v>F0014826803</v>
      </c>
      <c r="C348" s="214" t="str">
        <f t="shared" ref="C348:C354" si="41">IF(F348=$F$7,G350,C347)</f>
        <v>82115-0E501 B</v>
      </c>
      <c r="D348" s="45" t="str">
        <f>VLOOKUP(B348,'Timing Table'!B:J,9,0)</f>
        <v>C/O</v>
      </c>
      <c r="E348" s="22" t="str">
        <f>VLOOKUP(B348,'Timing Table'!B:H,7,0)</f>
        <v>GAS</v>
      </c>
      <c r="F348" s="121" t="s">
        <v>64</v>
      </c>
      <c r="G348" s="146" t="s">
        <v>178</v>
      </c>
      <c r="H348" s="121" t="s">
        <v>65</v>
      </c>
      <c r="I348" s="150" t="s">
        <v>251</v>
      </c>
      <c r="J348" s="151"/>
      <c r="K348" s="151"/>
      <c r="L348" s="152"/>
      <c r="M348" s="121" t="s">
        <v>66</v>
      </c>
      <c r="N348" s="146">
        <v>2025</v>
      </c>
      <c r="O348" s="140" t="s">
        <v>67</v>
      </c>
      <c r="P348" s="141"/>
      <c r="Q348" s="153" t="s">
        <v>203</v>
      </c>
      <c r="R348" s="122" t="s">
        <v>0</v>
      </c>
      <c r="S348" s="123" t="s">
        <v>0</v>
      </c>
      <c r="T348" s="123" t="s">
        <v>0</v>
      </c>
      <c r="U348" s="123" t="s">
        <v>0</v>
      </c>
      <c r="V348" s="123" t="s">
        <v>0</v>
      </c>
      <c r="W348" s="123" t="s">
        <v>0</v>
      </c>
      <c r="X348" s="123" t="s">
        <v>0</v>
      </c>
      <c r="Y348" s="123" t="s">
        <v>0</v>
      </c>
      <c r="Z348" s="123" t="s">
        <v>0</v>
      </c>
      <c r="AA348" s="123" t="s">
        <v>0</v>
      </c>
      <c r="AB348" s="123" t="s">
        <v>0</v>
      </c>
      <c r="AC348" s="123" t="s">
        <v>0</v>
      </c>
      <c r="AD348" s="123" t="s">
        <v>0</v>
      </c>
      <c r="AE348" s="123" t="s">
        <v>0</v>
      </c>
      <c r="AF348" s="123" t="s">
        <v>0</v>
      </c>
      <c r="AG348" s="123" t="s">
        <v>0</v>
      </c>
      <c r="AH348" s="123" t="s">
        <v>0</v>
      </c>
      <c r="AI348" s="123" t="s">
        <v>0</v>
      </c>
      <c r="AJ348" s="123" t="s">
        <v>0</v>
      </c>
      <c r="AK348" s="123" t="s">
        <v>0</v>
      </c>
      <c r="AL348" s="123" t="s">
        <v>0</v>
      </c>
      <c r="AM348" s="123" t="s">
        <v>0</v>
      </c>
      <c r="AN348" s="123" t="s">
        <v>0</v>
      </c>
      <c r="AO348" s="123" t="s">
        <v>0</v>
      </c>
      <c r="AP348" s="123" t="s">
        <v>0</v>
      </c>
      <c r="AQ348" s="123" t="s">
        <v>0</v>
      </c>
      <c r="AR348" s="123" t="s">
        <v>0</v>
      </c>
      <c r="AS348" s="123" t="s">
        <v>0</v>
      </c>
      <c r="AT348" s="123" t="s">
        <v>0</v>
      </c>
      <c r="AU348" s="123" t="s">
        <v>0</v>
      </c>
      <c r="AV348" s="123" t="s">
        <v>0</v>
      </c>
      <c r="AW348" s="123" t="s">
        <v>0</v>
      </c>
      <c r="AX348" s="123" t="s">
        <v>0</v>
      </c>
      <c r="AY348" s="123" t="s">
        <v>0</v>
      </c>
      <c r="AZ348" s="123" t="s">
        <v>0</v>
      </c>
      <c r="BA348" s="123" t="s">
        <v>0</v>
      </c>
      <c r="BB348" s="123" t="s">
        <v>0</v>
      </c>
      <c r="BC348" s="123" t="s">
        <v>0</v>
      </c>
      <c r="BD348" s="123" t="s">
        <v>0</v>
      </c>
      <c r="BE348" s="123" t="s">
        <v>0</v>
      </c>
      <c r="BF348" s="123" t="s">
        <v>0</v>
      </c>
      <c r="BG348" s="123" t="s">
        <v>0</v>
      </c>
      <c r="BH348" s="123" t="s">
        <v>0</v>
      </c>
      <c r="BI348" s="124"/>
    </row>
    <row r="349" spans="1:61" x14ac:dyDescent="0.25">
      <c r="A349" s="22">
        <f t="shared" si="35"/>
        <v>343</v>
      </c>
      <c r="B349" s="214" t="str">
        <f t="shared" si="40"/>
        <v>F0014826803</v>
      </c>
      <c r="C349" s="214" t="str">
        <f t="shared" si="41"/>
        <v>82115-0E501 B</v>
      </c>
      <c r="D349" s="45" t="str">
        <f>VLOOKUP(B349,'Timing Table'!B:J,9,0)</f>
        <v>C/O</v>
      </c>
      <c r="E349" s="22" t="str">
        <f>VLOOKUP(B349,'Timing Table'!B:H,7,0)</f>
        <v>GAS</v>
      </c>
      <c r="F349" s="121" t="s">
        <v>68</v>
      </c>
      <c r="G349" s="146" t="s">
        <v>357</v>
      </c>
      <c r="H349" s="121" t="s">
        <v>69</v>
      </c>
      <c r="I349" s="154" t="s">
        <v>58</v>
      </c>
      <c r="J349" s="155" t="s">
        <v>0</v>
      </c>
      <c r="K349" s="156" t="s">
        <v>0</v>
      </c>
      <c r="L349" s="157" t="s">
        <v>0</v>
      </c>
      <c r="M349" s="134" t="s">
        <v>0</v>
      </c>
      <c r="N349" s="134" t="s">
        <v>0</v>
      </c>
      <c r="O349" s="134" t="s">
        <v>0</v>
      </c>
      <c r="P349" s="134" t="s">
        <v>0</v>
      </c>
      <c r="Q349" s="134" t="s">
        <v>1</v>
      </c>
      <c r="R349" s="134" t="s">
        <v>2</v>
      </c>
      <c r="S349" s="134" t="s">
        <v>0</v>
      </c>
      <c r="T349" s="134" t="s">
        <v>0</v>
      </c>
      <c r="U349" s="134" t="s">
        <v>0</v>
      </c>
      <c r="V349" s="134" t="s">
        <v>0</v>
      </c>
      <c r="W349" s="134" t="s">
        <v>0</v>
      </c>
      <c r="X349" s="134" t="s">
        <v>0</v>
      </c>
      <c r="Y349" s="134" t="s">
        <v>0</v>
      </c>
      <c r="Z349" s="134" t="s">
        <v>3</v>
      </c>
      <c r="AA349" s="134" t="s">
        <v>0</v>
      </c>
      <c r="AB349" s="134" t="s">
        <v>0</v>
      </c>
      <c r="AC349" s="134" t="s">
        <v>0</v>
      </c>
      <c r="AD349" s="134" t="s">
        <v>0</v>
      </c>
      <c r="AE349" s="134" t="s">
        <v>0</v>
      </c>
      <c r="AF349" s="134" t="s">
        <v>0</v>
      </c>
      <c r="AG349" s="134" t="s">
        <v>0</v>
      </c>
      <c r="AH349" s="134" t="s">
        <v>0</v>
      </c>
      <c r="AI349" s="134" t="s">
        <v>0</v>
      </c>
      <c r="AJ349" s="134" t="s">
        <v>0</v>
      </c>
      <c r="AK349" s="134" t="s">
        <v>0</v>
      </c>
      <c r="AL349" s="134" t="s">
        <v>0</v>
      </c>
      <c r="AM349" s="134" t="s">
        <v>0</v>
      </c>
      <c r="AN349" s="134" t="s">
        <v>0</v>
      </c>
      <c r="AO349" s="134" t="s">
        <v>0</v>
      </c>
      <c r="AP349" s="134" t="s">
        <v>0</v>
      </c>
      <c r="AQ349" s="134" t="s">
        <v>0</v>
      </c>
      <c r="AR349" s="134" t="s">
        <v>0</v>
      </c>
      <c r="AS349" s="134" t="s">
        <v>0</v>
      </c>
      <c r="AT349" s="134" t="s">
        <v>0</v>
      </c>
      <c r="AU349" s="134" t="s">
        <v>0</v>
      </c>
      <c r="AV349" s="134" t="s">
        <v>0</v>
      </c>
      <c r="AW349" s="134" t="s">
        <v>0</v>
      </c>
      <c r="AX349" s="134" t="s">
        <v>0</v>
      </c>
      <c r="AY349" s="134" t="s">
        <v>0</v>
      </c>
      <c r="AZ349" s="134" t="s">
        <v>0</v>
      </c>
      <c r="BA349" s="134" t="s">
        <v>0</v>
      </c>
      <c r="BB349" s="134" t="s">
        <v>0</v>
      </c>
      <c r="BC349" s="134" t="s">
        <v>0</v>
      </c>
      <c r="BD349" s="134" t="s">
        <v>0</v>
      </c>
      <c r="BE349" s="134" t="s">
        <v>0</v>
      </c>
      <c r="BF349" s="134" t="s">
        <v>0</v>
      </c>
      <c r="BG349" s="134" t="s">
        <v>0</v>
      </c>
      <c r="BH349" s="134" t="s">
        <v>0</v>
      </c>
      <c r="BI349" s="135" t="s">
        <v>4</v>
      </c>
    </row>
    <row r="350" spans="1:61" x14ac:dyDescent="0.25">
      <c r="A350" s="22">
        <f t="shared" si="35"/>
        <v>344</v>
      </c>
      <c r="B350" s="214" t="str">
        <f t="shared" si="40"/>
        <v>F0014826803</v>
      </c>
      <c r="C350" s="214" t="str">
        <f t="shared" si="41"/>
        <v>82115-0E501 B</v>
      </c>
      <c r="D350" s="45" t="str">
        <f>VLOOKUP(B350,'Timing Table'!B:J,9,0)</f>
        <v>C/O</v>
      </c>
      <c r="E350" s="22" t="str">
        <f>VLOOKUP(B350,'Timing Table'!B:H,7,0)</f>
        <v>GAS</v>
      </c>
      <c r="F350" s="121" t="s">
        <v>70</v>
      </c>
      <c r="G350" s="146">
        <v>0</v>
      </c>
      <c r="H350" s="158" t="s">
        <v>241</v>
      </c>
      <c r="I350" s="159" t="s">
        <v>71</v>
      </c>
      <c r="J350" s="13">
        <v>46041</v>
      </c>
      <c r="K350" s="14">
        <v>46048</v>
      </c>
      <c r="L350" s="14">
        <v>46055</v>
      </c>
      <c r="M350" s="14">
        <v>46062</v>
      </c>
      <c r="N350" s="14">
        <v>46069</v>
      </c>
      <c r="O350" s="14">
        <v>46076</v>
      </c>
      <c r="P350" s="14">
        <v>46083</v>
      </c>
      <c r="Q350" s="14">
        <v>46090</v>
      </c>
      <c r="R350" s="14">
        <v>46097</v>
      </c>
      <c r="S350" s="14">
        <v>46104</v>
      </c>
      <c r="T350" s="14">
        <v>46111</v>
      </c>
      <c r="U350" s="14">
        <v>46118</v>
      </c>
      <c r="V350" s="14">
        <v>46125</v>
      </c>
      <c r="W350" s="14">
        <v>46132</v>
      </c>
      <c r="X350" s="14">
        <v>46139</v>
      </c>
      <c r="Y350" s="14">
        <v>46146</v>
      </c>
      <c r="Z350" s="14">
        <v>46153</v>
      </c>
      <c r="AA350" s="14">
        <v>46160</v>
      </c>
      <c r="AB350" s="14">
        <v>46167</v>
      </c>
      <c r="AC350" s="14">
        <v>46174</v>
      </c>
      <c r="AD350" s="14">
        <v>46181</v>
      </c>
      <c r="AE350" s="14">
        <v>46188</v>
      </c>
      <c r="AF350" s="14">
        <v>46195</v>
      </c>
      <c r="AG350" s="14">
        <v>46202</v>
      </c>
      <c r="AH350" s="14">
        <v>46209</v>
      </c>
      <c r="AI350" s="14">
        <v>46216</v>
      </c>
      <c r="AJ350" s="14">
        <v>46223</v>
      </c>
      <c r="AK350" s="14">
        <v>46230</v>
      </c>
      <c r="AL350" s="14">
        <v>46237</v>
      </c>
      <c r="AM350" s="14">
        <v>46244</v>
      </c>
      <c r="AN350" s="14">
        <v>46251</v>
      </c>
      <c r="AO350" s="14">
        <v>46258</v>
      </c>
      <c r="AP350" s="14">
        <v>46265</v>
      </c>
      <c r="AQ350" s="14">
        <v>46272</v>
      </c>
      <c r="AR350" s="14">
        <v>46279</v>
      </c>
      <c r="AS350" s="14">
        <v>46286</v>
      </c>
      <c r="AT350" s="14">
        <v>46293</v>
      </c>
      <c r="AU350" s="14">
        <v>46300</v>
      </c>
      <c r="AV350" s="14">
        <v>46307</v>
      </c>
      <c r="AW350" s="14">
        <v>46314</v>
      </c>
      <c r="AX350" s="14">
        <v>46321</v>
      </c>
      <c r="AY350" s="14">
        <v>46328</v>
      </c>
      <c r="AZ350" s="14">
        <v>46335</v>
      </c>
      <c r="BA350" s="14">
        <v>46342</v>
      </c>
      <c r="BB350" s="14">
        <v>46349</v>
      </c>
      <c r="BC350" s="14">
        <v>46356</v>
      </c>
      <c r="BD350" s="14">
        <v>46363</v>
      </c>
      <c r="BE350" s="14">
        <v>46370</v>
      </c>
      <c r="BF350" s="14">
        <v>46377</v>
      </c>
      <c r="BG350" s="14">
        <v>46384</v>
      </c>
      <c r="BH350" s="14">
        <v>46391</v>
      </c>
      <c r="BI350" s="15">
        <v>46398</v>
      </c>
    </row>
    <row r="351" spans="1:61" x14ac:dyDescent="0.25">
      <c r="A351" s="22">
        <f t="shared" si="35"/>
        <v>345</v>
      </c>
      <c r="B351" s="214" t="str">
        <f t="shared" si="40"/>
        <v>F0014826803</v>
      </c>
      <c r="C351" s="214" t="str">
        <f t="shared" si="41"/>
        <v>82115-0E501 B</v>
      </c>
      <c r="D351" s="45" t="str">
        <f>VLOOKUP(B351,'Timing Table'!B:J,9,0)</f>
        <v>C/O</v>
      </c>
      <c r="E351" s="22" t="str">
        <f>VLOOKUP(B351,'Timing Table'!B:H,7,0)</f>
        <v>GAS</v>
      </c>
      <c r="F351" s="121" t="s">
        <v>72</v>
      </c>
      <c r="G351" s="146">
        <v>0</v>
      </c>
      <c r="H351" s="5" t="s">
        <v>58</v>
      </c>
      <c r="I351" s="11" t="s">
        <v>83</v>
      </c>
      <c r="J351" s="16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17"/>
    </row>
    <row r="352" spans="1:61" x14ac:dyDescent="0.25">
      <c r="A352" s="22">
        <f t="shared" si="35"/>
        <v>346</v>
      </c>
      <c r="B352" s="214" t="str">
        <f t="shared" si="40"/>
        <v>F0014826803</v>
      </c>
      <c r="C352" s="214" t="str">
        <f t="shared" si="41"/>
        <v>82115-0E501 B</v>
      </c>
      <c r="D352" s="45" t="str">
        <f>VLOOKUP(B352,'Timing Table'!B:J,9,0)</f>
        <v>C/O</v>
      </c>
      <c r="E352" s="22" t="str">
        <f>VLOOKUP(B352,'Timing Table'!B:H,7,0)</f>
        <v>GAS</v>
      </c>
      <c r="F352" s="121" t="s">
        <v>73</v>
      </c>
      <c r="G352" s="160" t="s">
        <v>130</v>
      </c>
      <c r="H352" s="9" t="s">
        <v>111</v>
      </c>
      <c r="I352" s="11" t="s">
        <v>74</v>
      </c>
      <c r="J352" s="117">
        <v>0</v>
      </c>
      <c r="K352" s="50">
        <v>0</v>
      </c>
      <c r="L352" s="50">
        <v>0</v>
      </c>
      <c r="M352" s="50">
        <v>0</v>
      </c>
      <c r="N352" s="50">
        <v>0</v>
      </c>
      <c r="O352" s="50">
        <v>0</v>
      </c>
      <c r="P352" s="50">
        <v>0</v>
      </c>
      <c r="Q352" s="50">
        <v>0</v>
      </c>
      <c r="R352" s="50">
        <v>0</v>
      </c>
      <c r="S352" s="50">
        <v>0</v>
      </c>
      <c r="T352" s="50">
        <v>0</v>
      </c>
      <c r="U352" s="50">
        <v>0</v>
      </c>
      <c r="V352" s="50">
        <v>0</v>
      </c>
      <c r="W352" s="50">
        <v>0</v>
      </c>
      <c r="X352" s="50">
        <v>0</v>
      </c>
      <c r="Y352" s="50">
        <v>0</v>
      </c>
      <c r="Z352" s="50">
        <v>0</v>
      </c>
      <c r="AA352" s="50">
        <v>0</v>
      </c>
      <c r="AB352" s="50">
        <v>0</v>
      </c>
      <c r="AC352" s="50">
        <v>0</v>
      </c>
      <c r="AD352" s="50">
        <v>0</v>
      </c>
      <c r="AE352" s="50">
        <v>0</v>
      </c>
      <c r="AF352" s="50">
        <v>0</v>
      </c>
      <c r="AG352" s="50">
        <v>0</v>
      </c>
      <c r="AH352" s="50">
        <v>0</v>
      </c>
      <c r="AI352" s="50">
        <v>0</v>
      </c>
      <c r="AJ352" s="50">
        <v>0</v>
      </c>
      <c r="AK352" s="50">
        <v>0</v>
      </c>
      <c r="AL352" s="50">
        <v>0</v>
      </c>
      <c r="AM352" s="50">
        <v>0</v>
      </c>
      <c r="AN352" s="50">
        <v>0</v>
      </c>
      <c r="AO352" s="50">
        <v>0</v>
      </c>
      <c r="AP352" s="50">
        <v>0</v>
      </c>
      <c r="AQ352" s="50">
        <v>0</v>
      </c>
      <c r="AR352" s="50">
        <v>0</v>
      </c>
      <c r="AS352" s="50">
        <v>0</v>
      </c>
      <c r="AT352" s="50">
        <v>0</v>
      </c>
      <c r="AU352" s="50">
        <v>0</v>
      </c>
      <c r="AV352" s="50">
        <v>0</v>
      </c>
      <c r="AW352" s="50">
        <v>0</v>
      </c>
      <c r="AX352" s="50">
        <v>0</v>
      </c>
      <c r="AY352" s="50">
        <v>0</v>
      </c>
      <c r="AZ352" s="50">
        <v>0</v>
      </c>
      <c r="BA352" s="50">
        <v>0</v>
      </c>
      <c r="BB352" s="50">
        <v>0</v>
      </c>
      <c r="BC352" s="50">
        <v>0</v>
      </c>
      <c r="BD352" s="50">
        <v>0</v>
      </c>
      <c r="BE352" s="50">
        <v>0</v>
      </c>
      <c r="BF352" s="50">
        <v>0</v>
      </c>
      <c r="BG352" s="50">
        <v>0</v>
      </c>
      <c r="BH352" s="50">
        <v>0</v>
      </c>
      <c r="BI352" s="118">
        <v>0</v>
      </c>
    </row>
    <row r="353" spans="1:61" x14ac:dyDescent="0.25">
      <c r="A353" s="22">
        <f t="shared" si="35"/>
        <v>347</v>
      </c>
      <c r="B353" s="214" t="str">
        <f t="shared" si="40"/>
        <v>F0014826803</v>
      </c>
      <c r="C353" s="214" t="str">
        <f t="shared" si="41"/>
        <v>82115-0E501 B</v>
      </c>
      <c r="D353" s="45" t="str">
        <f>VLOOKUP(B353,'Timing Table'!B:J,9,0)</f>
        <v>C/O</v>
      </c>
      <c r="E353" s="22" t="str">
        <f>VLOOKUP(B353,'Timing Table'!B:H,7,0)</f>
        <v>GAS</v>
      </c>
      <c r="F353" s="121" t="s">
        <v>75</v>
      </c>
      <c r="G353" s="146">
        <v>82115</v>
      </c>
      <c r="H353" s="10" t="s">
        <v>111</v>
      </c>
      <c r="I353" s="12" t="s">
        <v>76</v>
      </c>
      <c r="J353" s="161">
        <v>0</v>
      </c>
      <c r="K353" s="162">
        <v>0</v>
      </c>
      <c r="L353" s="162">
        <v>0</v>
      </c>
      <c r="M353" s="162">
        <v>0</v>
      </c>
      <c r="N353" s="162">
        <v>0</v>
      </c>
      <c r="O353" s="162">
        <v>0</v>
      </c>
      <c r="P353" s="162">
        <v>0</v>
      </c>
      <c r="Q353" s="162">
        <v>0</v>
      </c>
      <c r="R353" s="162">
        <v>0</v>
      </c>
      <c r="S353" s="162">
        <v>0</v>
      </c>
      <c r="T353" s="162">
        <v>0</v>
      </c>
      <c r="U353" s="162">
        <v>0</v>
      </c>
      <c r="V353" s="162">
        <v>0</v>
      </c>
      <c r="W353" s="162">
        <v>0</v>
      </c>
      <c r="X353" s="162">
        <v>0</v>
      </c>
      <c r="Y353" s="162">
        <v>0</v>
      </c>
      <c r="Z353" s="162">
        <v>0</v>
      </c>
      <c r="AA353" s="162">
        <v>0</v>
      </c>
      <c r="AB353" s="162">
        <v>0</v>
      </c>
      <c r="AC353" s="162">
        <v>0</v>
      </c>
      <c r="AD353" s="162">
        <v>0</v>
      </c>
      <c r="AE353" s="162">
        <v>0</v>
      </c>
      <c r="AF353" s="162">
        <v>0</v>
      </c>
      <c r="AG353" s="162">
        <v>0</v>
      </c>
      <c r="AH353" s="162">
        <v>0</v>
      </c>
      <c r="AI353" s="162">
        <v>0</v>
      </c>
      <c r="AJ353" s="162">
        <v>0</v>
      </c>
      <c r="AK353" s="162">
        <v>0</v>
      </c>
      <c r="AL353" s="162">
        <v>0</v>
      </c>
      <c r="AM353" s="162">
        <v>0</v>
      </c>
      <c r="AN353" s="162">
        <v>0</v>
      </c>
      <c r="AO353" s="162">
        <v>0</v>
      </c>
      <c r="AP353" s="162">
        <v>0</v>
      </c>
      <c r="AQ353" s="162">
        <v>0</v>
      </c>
      <c r="AR353" s="162">
        <v>0</v>
      </c>
      <c r="AS353" s="162">
        <v>0</v>
      </c>
      <c r="AT353" s="162">
        <v>0</v>
      </c>
      <c r="AU353" s="162">
        <v>0</v>
      </c>
      <c r="AV353" s="162">
        <v>0</v>
      </c>
      <c r="AW353" s="162">
        <v>0</v>
      </c>
      <c r="AX353" s="162">
        <v>0</v>
      </c>
      <c r="AY353" s="162">
        <v>0</v>
      </c>
      <c r="AZ353" s="162">
        <v>0</v>
      </c>
      <c r="BA353" s="162">
        <v>0</v>
      </c>
      <c r="BB353" s="162">
        <v>0</v>
      </c>
      <c r="BC353" s="162">
        <v>0</v>
      </c>
      <c r="BD353" s="162">
        <v>0</v>
      </c>
      <c r="BE353" s="162">
        <v>0</v>
      </c>
      <c r="BF353" s="162">
        <v>0</v>
      </c>
      <c r="BG353" s="162">
        <v>0</v>
      </c>
      <c r="BH353" s="162">
        <v>0</v>
      </c>
      <c r="BI353" s="163">
        <v>0</v>
      </c>
    </row>
    <row r="354" spans="1:61" x14ac:dyDescent="0.25">
      <c r="A354" s="22">
        <f t="shared" si="35"/>
        <v>348</v>
      </c>
      <c r="B354" s="214" t="str">
        <f t="shared" si="40"/>
        <v>F0014826803</v>
      </c>
      <c r="C354" s="214" t="str">
        <f t="shared" si="41"/>
        <v>82115-0E501 B</v>
      </c>
      <c r="D354" s="45" t="str">
        <f>VLOOKUP(B354,'Timing Table'!B:J,9,0)</f>
        <v>C/O</v>
      </c>
      <c r="E354" s="22" t="str">
        <f>VLOOKUP(B354,'Timing Table'!B:H,7,0)</f>
        <v>GAS</v>
      </c>
      <c r="F354" s="164" t="s">
        <v>77</v>
      </c>
      <c r="G354" s="165">
        <v>0</v>
      </c>
      <c r="H354" s="166" t="s">
        <v>78</v>
      </c>
      <c r="I354" s="167"/>
      <c r="J354" s="168"/>
      <c r="K354" s="169"/>
      <c r="L354" s="170" t="s">
        <v>0</v>
      </c>
      <c r="M354" s="170" t="s">
        <v>0</v>
      </c>
      <c r="N354" s="170" t="s">
        <v>0</v>
      </c>
      <c r="O354" s="170" t="s">
        <v>0</v>
      </c>
      <c r="P354" s="170" t="s">
        <v>0</v>
      </c>
      <c r="Q354" s="170" t="s">
        <v>0</v>
      </c>
      <c r="R354" s="170" t="s">
        <v>0</v>
      </c>
      <c r="S354" s="170" t="s">
        <v>0</v>
      </c>
      <c r="T354" s="170" t="s">
        <v>0</v>
      </c>
      <c r="U354" s="170" t="s">
        <v>0</v>
      </c>
      <c r="V354" s="170" t="s">
        <v>0</v>
      </c>
      <c r="W354" s="170" t="s">
        <v>0</v>
      </c>
      <c r="X354" s="170" t="s">
        <v>0</v>
      </c>
      <c r="Y354" s="170" t="s">
        <v>0</v>
      </c>
      <c r="Z354" s="170" t="s">
        <v>0</v>
      </c>
      <c r="AA354" s="170" t="s">
        <v>0</v>
      </c>
      <c r="AB354" s="170" t="s">
        <v>0</v>
      </c>
      <c r="AC354" s="170" t="s">
        <v>0</v>
      </c>
      <c r="AD354" s="170" t="s">
        <v>0</v>
      </c>
      <c r="AE354" s="170" t="s">
        <v>0</v>
      </c>
      <c r="AF354" s="170" t="s">
        <v>0</v>
      </c>
      <c r="AG354" s="170" t="s">
        <v>0</v>
      </c>
      <c r="AH354" s="170" t="s">
        <v>0</v>
      </c>
      <c r="AI354" s="170" t="s">
        <v>0</v>
      </c>
      <c r="AJ354" s="170" t="s">
        <v>0</v>
      </c>
      <c r="AK354" s="170" t="s">
        <v>0</v>
      </c>
      <c r="AL354" s="170" t="s">
        <v>0</v>
      </c>
      <c r="AM354" s="170" t="s">
        <v>0</v>
      </c>
      <c r="AN354" s="170" t="s">
        <v>0</v>
      </c>
      <c r="AO354" s="170" t="s">
        <v>0</v>
      </c>
      <c r="AP354" s="170" t="s">
        <v>0</v>
      </c>
      <c r="AQ354" s="170" t="s">
        <v>0</v>
      </c>
      <c r="AR354" s="170" t="s">
        <v>0</v>
      </c>
      <c r="AS354" s="170" t="s">
        <v>0</v>
      </c>
      <c r="AT354" s="170" t="s">
        <v>0</v>
      </c>
      <c r="AU354" s="170" t="s">
        <v>0</v>
      </c>
      <c r="AV354" s="170" t="s">
        <v>0</v>
      </c>
      <c r="AW354" s="170" t="s">
        <v>0</v>
      </c>
      <c r="AX354" s="170" t="s">
        <v>0</v>
      </c>
      <c r="AY354" s="170" t="s">
        <v>0</v>
      </c>
      <c r="AZ354" s="170" t="s">
        <v>0</v>
      </c>
      <c r="BA354" s="170" t="s">
        <v>0</v>
      </c>
      <c r="BB354" s="170" t="s">
        <v>0</v>
      </c>
      <c r="BC354" s="170" t="s">
        <v>0</v>
      </c>
      <c r="BD354" s="170" t="s">
        <v>0</v>
      </c>
      <c r="BE354" s="170" t="s">
        <v>0</v>
      </c>
      <c r="BF354" s="170" t="s">
        <v>0</v>
      </c>
      <c r="BG354" s="170" t="s">
        <v>0</v>
      </c>
      <c r="BH354" s="170" t="s">
        <v>0</v>
      </c>
      <c r="BI354" s="171"/>
    </row>
    <row r="355" spans="1:61" x14ac:dyDescent="0.25">
      <c r="A355" s="22">
        <f t="shared" si="35"/>
        <v>349</v>
      </c>
      <c r="B355" s="214" t="str">
        <f t="shared" si="40"/>
        <v>F0014826803</v>
      </c>
      <c r="C355" s="214" t="str">
        <f>IF(F355=$F$7,#REF!,C354)</f>
        <v>82115-0E501 B</v>
      </c>
      <c r="D355" s="45" t="str">
        <f>VLOOKUP(B355,'Timing Table'!B:J,9,0)</f>
        <v>C/O</v>
      </c>
      <c r="E355" s="22" t="str">
        <f>VLOOKUP(B355,'Timing Table'!B:H,7,0)</f>
        <v>GAS</v>
      </c>
      <c r="F355" s="172" t="s">
        <v>79</v>
      </c>
      <c r="G355" s="173" t="s">
        <v>58</v>
      </c>
      <c r="H355" s="174" t="s">
        <v>58</v>
      </c>
      <c r="I355" s="175" t="s">
        <v>58</v>
      </c>
      <c r="J355" s="175" t="s">
        <v>0</v>
      </c>
      <c r="K355" s="175" t="s">
        <v>0</v>
      </c>
      <c r="L355" s="175" t="s">
        <v>0</v>
      </c>
      <c r="M355" s="175" t="s">
        <v>0</v>
      </c>
      <c r="N355" s="175" t="s">
        <v>0</v>
      </c>
      <c r="O355" s="175" t="s">
        <v>0</v>
      </c>
      <c r="P355" s="175" t="s">
        <v>0</v>
      </c>
      <c r="Q355" s="175" t="s">
        <v>0</v>
      </c>
      <c r="R355" s="175" t="s">
        <v>0</v>
      </c>
      <c r="S355" s="175" t="s">
        <v>0</v>
      </c>
      <c r="T355" s="175" t="s">
        <v>0</v>
      </c>
      <c r="U355" s="175" t="s">
        <v>0</v>
      </c>
      <c r="V355" s="175" t="s">
        <v>0</v>
      </c>
      <c r="W355" s="175" t="s">
        <v>0</v>
      </c>
      <c r="X355" s="175" t="s">
        <v>0</v>
      </c>
      <c r="Y355" s="175" t="s">
        <v>0</v>
      </c>
      <c r="Z355" s="175" t="s">
        <v>0</v>
      </c>
      <c r="AA355" s="175" t="s">
        <v>0</v>
      </c>
      <c r="AB355" s="175" t="s">
        <v>0</v>
      </c>
      <c r="AC355" s="175" t="s">
        <v>0</v>
      </c>
      <c r="AD355" s="175" t="s">
        <v>0</v>
      </c>
      <c r="AE355" s="175" t="s">
        <v>0</v>
      </c>
      <c r="AF355" s="175" t="s">
        <v>0</v>
      </c>
      <c r="AG355" s="175" t="s">
        <v>0</v>
      </c>
      <c r="AH355" s="175" t="s">
        <v>0</v>
      </c>
      <c r="AI355" s="175" t="s">
        <v>0</v>
      </c>
      <c r="AJ355" s="175" t="s">
        <v>0</v>
      </c>
      <c r="AK355" s="175" t="s">
        <v>0</v>
      </c>
      <c r="AL355" s="175" t="s">
        <v>0</v>
      </c>
      <c r="AM355" s="175" t="s">
        <v>0</v>
      </c>
      <c r="AN355" s="175" t="s">
        <v>0</v>
      </c>
      <c r="AO355" s="175" t="s">
        <v>0</v>
      </c>
      <c r="AP355" s="175" t="s">
        <v>0</v>
      </c>
      <c r="AQ355" s="175" t="s">
        <v>0</v>
      </c>
      <c r="AR355" s="175" t="s">
        <v>0</v>
      </c>
      <c r="AS355" s="175" t="s">
        <v>0</v>
      </c>
      <c r="AT355" s="175" t="s">
        <v>0</v>
      </c>
      <c r="AU355" s="175" t="s">
        <v>0</v>
      </c>
      <c r="AV355" s="175" t="s">
        <v>0</v>
      </c>
      <c r="AW355" s="175" t="s">
        <v>0</v>
      </c>
      <c r="AX355" s="175" t="s">
        <v>0</v>
      </c>
      <c r="AY355" s="175" t="s">
        <v>0</v>
      </c>
      <c r="AZ355" s="175" t="s">
        <v>0</v>
      </c>
      <c r="BA355" s="175" t="s">
        <v>0</v>
      </c>
      <c r="BB355" s="175" t="s">
        <v>0</v>
      </c>
      <c r="BC355" s="175" t="s">
        <v>0</v>
      </c>
      <c r="BD355" s="175" t="s">
        <v>0</v>
      </c>
      <c r="BE355" s="175" t="s">
        <v>0</v>
      </c>
      <c r="BF355" s="175" t="s">
        <v>0</v>
      </c>
      <c r="BG355" s="175" t="s">
        <v>0</v>
      </c>
      <c r="BH355" s="175" t="s">
        <v>0</v>
      </c>
      <c r="BI355" s="176"/>
    </row>
    <row r="356" spans="1:61" x14ac:dyDescent="0.25">
      <c r="A356" s="22">
        <f t="shared" si="35"/>
        <v>350</v>
      </c>
      <c r="B356" s="214" t="str">
        <f>IF(F356=$F$7,#REF!,B355)</f>
        <v>F0014826803</v>
      </c>
      <c r="C356" s="214" t="str">
        <f>IF(F356=$F$7,#REF!,C355)</f>
        <v>82115-0E501 B</v>
      </c>
      <c r="D356" s="45" t="str">
        <f>VLOOKUP(B356,'Timing Table'!B:J,9,0)</f>
        <v>C/O</v>
      </c>
      <c r="E356" s="22" t="str">
        <f>VLOOKUP(B356,'Timing Table'!B:H,7,0)</f>
        <v>GAS</v>
      </c>
      <c r="F356" s="177" t="s">
        <v>58</v>
      </c>
      <c r="G356" s="178" t="s">
        <v>58</v>
      </c>
      <c r="H356" s="179" t="s">
        <v>58</v>
      </c>
      <c r="I356" s="180" t="s">
        <v>58</v>
      </c>
      <c r="J356" s="180" t="s">
        <v>0</v>
      </c>
      <c r="K356" s="180" t="s">
        <v>0</v>
      </c>
      <c r="L356" s="180" t="s">
        <v>0</v>
      </c>
      <c r="M356" s="180" t="s">
        <v>0</v>
      </c>
      <c r="N356" s="180" t="s">
        <v>0</v>
      </c>
      <c r="O356" s="180" t="s">
        <v>0</v>
      </c>
      <c r="P356" s="180" t="s">
        <v>0</v>
      </c>
      <c r="Q356" s="180" t="s">
        <v>0</v>
      </c>
      <c r="R356" s="180" t="s">
        <v>0</v>
      </c>
      <c r="S356" s="180" t="s">
        <v>0</v>
      </c>
      <c r="T356" s="180" t="s">
        <v>0</v>
      </c>
      <c r="U356" s="180" t="s">
        <v>0</v>
      </c>
      <c r="V356" s="180" t="s">
        <v>0</v>
      </c>
      <c r="W356" s="180" t="s">
        <v>0</v>
      </c>
      <c r="X356" s="180" t="s">
        <v>0</v>
      </c>
      <c r="Y356" s="180" t="s">
        <v>0</v>
      </c>
      <c r="Z356" s="180" t="s">
        <v>0</v>
      </c>
      <c r="AA356" s="180" t="s">
        <v>0</v>
      </c>
      <c r="AB356" s="180" t="s">
        <v>0</v>
      </c>
      <c r="AC356" s="180" t="s">
        <v>0</v>
      </c>
      <c r="AD356" s="180" t="s">
        <v>0</v>
      </c>
      <c r="AE356" s="180" t="s">
        <v>0</v>
      </c>
      <c r="AF356" s="180" t="s">
        <v>0</v>
      </c>
      <c r="AG356" s="180" t="s">
        <v>0</v>
      </c>
      <c r="AH356" s="180" t="s">
        <v>0</v>
      </c>
      <c r="AI356" s="180" t="s">
        <v>0</v>
      </c>
      <c r="AJ356" s="180" t="s">
        <v>0</v>
      </c>
      <c r="AK356" s="180" t="s">
        <v>0</v>
      </c>
      <c r="AL356" s="180" t="s">
        <v>0</v>
      </c>
      <c r="AM356" s="180" t="s">
        <v>0</v>
      </c>
      <c r="AN356" s="180" t="s">
        <v>0</v>
      </c>
      <c r="AO356" s="180" t="s">
        <v>0</v>
      </c>
      <c r="AP356" s="180" t="s">
        <v>0</v>
      </c>
      <c r="AQ356" s="180" t="s">
        <v>0</v>
      </c>
      <c r="AR356" s="180" t="s">
        <v>0</v>
      </c>
      <c r="AS356" s="180" t="s">
        <v>0</v>
      </c>
      <c r="AT356" s="180" t="s">
        <v>0</v>
      </c>
      <c r="AU356" s="180" t="s">
        <v>0</v>
      </c>
      <c r="AV356" s="180" t="s">
        <v>0</v>
      </c>
      <c r="AW356" s="180" t="s">
        <v>0</v>
      </c>
      <c r="AX356" s="180" t="s">
        <v>0</v>
      </c>
      <c r="AY356" s="180" t="s">
        <v>0</v>
      </c>
      <c r="AZ356" s="180" t="s">
        <v>0</v>
      </c>
      <c r="BA356" s="180" t="s">
        <v>0</v>
      </c>
      <c r="BB356" s="180" t="s">
        <v>0</v>
      </c>
      <c r="BC356" s="180" t="s">
        <v>0</v>
      </c>
      <c r="BD356" s="180" t="s">
        <v>0</v>
      </c>
      <c r="BE356" s="180" t="s">
        <v>0</v>
      </c>
      <c r="BF356" s="180" t="s">
        <v>0</v>
      </c>
      <c r="BG356" s="180" t="s">
        <v>0</v>
      </c>
      <c r="BH356" s="180" t="s">
        <v>0</v>
      </c>
      <c r="BI356" s="181"/>
    </row>
    <row r="357" spans="1:61" x14ac:dyDescent="0.25">
      <c r="A357" s="22">
        <f t="shared" si="35"/>
        <v>351</v>
      </c>
      <c r="B357" s="214" t="str">
        <f>IF(F357=$F$7,G358,B356)</f>
        <v>F0014826901</v>
      </c>
      <c r="C357" s="214" t="str">
        <f>IF(F357=$F$7,G359,C356)</f>
        <v>82115-0EA21</v>
      </c>
      <c r="D357" s="45" t="str">
        <f>VLOOKUP(B357,'Timing Table'!B:J,9,0)</f>
        <v>C/O</v>
      </c>
      <c r="E357" s="22" t="str">
        <f>VLOOKUP(B357,'Timing Table'!B:H,7,0)</f>
        <v>GAS</v>
      </c>
      <c r="F357" s="121" t="s">
        <v>59</v>
      </c>
      <c r="G357" s="146">
        <v>5500990636</v>
      </c>
      <c r="H357" s="121" t="s">
        <v>60</v>
      </c>
      <c r="I357" s="146">
        <v>156</v>
      </c>
      <c r="J357" s="121" t="s">
        <v>61</v>
      </c>
      <c r="K357" s="125">
        <v>1121478</v>
      </c>
      <c r="L357" s="126"/>
      <c r="M357" s="147" t="s">
        <v>62</v>
      </c>
      <c r="N357" s="148"/>
      <c r="O357" s="149">
        <v>46086</v>
      </c>
      <c r="P357" s="121" t="s">
        <v>63</v>
      </c>
      <c r="Q357" s="146">
        <v>4</v>
      </c>
      <c r="R357" s="6" t="s">
        <v>0</v>
      </c>
      <c r="S357" s="7" t="s">
        <v>0</v>
      </c>
      <c r="T357" s="7" t="s">
        <v>0</v>
      </c>
      <c r="U357" s="7" t="s">
        <v>0</v>
      </c>
      <c r="V357" s="7" t="s">
        <v>0</v>
      </c>
      <c r="W357" s="7" t="s">
        <v>0</v>
      </c>
      <c r="X357" s="7" t="s">
        <v>0</v>
      </c>
      <c r="Y357" s="7" t="s">
        <v>0</v>
      </c>
      <c r="Z357" s="7" t="s">
        <v>0</v>
      </c>
      <c r="AA357" s="7" t="s">
        <v>0</v>
      </c>
      <c r="AB357" s="7" t="s">
        <v>0</v>
      </c>
      <c r="AC357" s="7" t="s">
        <v>0</v>
      </c>
      <c r="AD357" s="7" t="s">
        <v>0</v>
      </c>
      <c r="AE357" s="7" t="s">
        <v>0</v>
      </c>
      <c r="AF357" s="7" t="s">
        <v>0</v>
      </c>
      <c r="AG357" s="7" t="s">
        <v>0</v>
      </c>
      <c r="AH357" s="7" t="s">
        <v>0</v>
      </c>
      <c r="AI357" s="7" t="s">
        <v>0</v>
      </c>
      <c r="AJ357" s="7" t="s">
        <v>0</v>
      </c>
      <c r="AK357" s="7" t="s">
        <v>0</v>
      </c>
      <c r="AL357" s="7" t="s">
        <v>0</v>
      </c>
      <c r="AM357" s="7" t="s">
        <v>0</v>
      </c>
      <c r="AN357" s="7" t="s">
        <v>0</v>
      </c>
      <c r="AO357" s="7" t="s">
        <v>0</v>
      </c>
      <c r="AP357" s="7" t="s">
        <v>0</v>
      </c>
      <c r="AQ357" s="7" t="s">
        <v>0</v>
      </c>
      <c r="AR357" s="7" t="s">
        <v>0</v>
      </c>
      <c r="AS357" s="7" t="s">
        <v>0</v>
      </c>
      <c r="AT357" s="7" t="s">
        <v>0</v>
      </c>
      <c r="AU357" s="7" t="s">
        <v>0</v>
      </c>
      <c r="AV357" s="7" t="s">
        <v>0</v>
      </c>
      <c r="AW357" s="7" t="s">
        <v>0</v>
      </c>
      <c r="AX357" s="7" t="s">
        <v>0</v>
      </c>
      <c r="AY357" s="7" t="s">
        <v>0</v>
      </c>
      <c r="AZ357" s="7" t="s">
        <v>0</v>
      </c>
      <c r="BA357" s="7" t="s">
        <v>0</v>
      </c>
      <c r="BB357" s="7" t="s">
        <v>0</v>
      </c>
      <c r="BC357" s="7" t="s">
        <v>0</v>
      </c>
      <c r="BD357" s="7" t="s">
        <v>0</v>
      </c>
      <c r="BE357" s="7" t="s">
        <v>0</v>
      </c>
      <c r="BF357" s="7" t="s">
        <v>0</v>
      </c>
      <c r="BG357" s="7" t="s">
        <v>0</v>
      </c>
      <c r="BH357" s="7" t="s">
        <v>0</v>
      </c>
      <c r="BI357" s="8"/>
    </row>
    <row r="358" spans="1:61" x14ac:dyDescent="0.25">
      <c r="A358" s="22">
        <f t="shared" si="35"/>
        <v>352</v>
      </c>
      <c r="B358" s="214" t="str">
        <f t="shared" ref="B358:B365" si="42">IF(F358=$F$7,G359,B357)</f>
        <v>F0014826901</v>
      </c>
      <c r="C358" s="214" t="str">
        <f t="shared" ref="C358:C364" si="43">IF(F358=$F$7,G360,C357)</f>
        <v>82115-0EA21</v>
      </c>
      <c r="D358" s="45" t="str">
        <f>VLOOKUP(B358,'Timing Table'!B:J,9,0)</f>
        <v>C/O</v>
      </c>
      <c r="E358" s="22" t="str">
        <f>VLOOKUP(B358,'Timing Table'!B:H,7,0)</f>
        <v>GAS</v>
      </c>
      <c r="F358" s="121" t="s">
        <v>64</v>
      </c>
      <c r="G358" s="146" t="s">
        <v>148</v>
      </c>
      <c r="H358" s="121" t="s">
        <v>65</v>
      </c>
      <c r="I358" s="150" t="s">
        <v>252</v>
      </c>
      <c r="J358" s="151"/>
      <c r="K358" s="151"/>
      <c r="L358" s="152"/>
      <c r="M358" s="121" t="s">
        <v>66</v>
      </c>
      <c r="N358" s="146">
        <v>2025</v>
      </c>
      <c r="O358" s="140" t="s">
        <v>67</v>
      </c>
      <c r="P358" s="141"/>
      <c r="Q358" s="153" t="s">
        <v>133</v>
      </c>
      <c r="R358" s="122" t="s">
        <v>0</v>
      </c>
      <c r="S358" s="123" t="s">
        <v>0</v>
      </c>
      <c r="T358" s="123" t="s">
        <v>0</v>
      </c>
      <c r="U358" s="123" t="s">
        <v>0</v>
      </c>
      <c r="V358" s="123" t="s">
        <v>0</v>
      </c>
      <c r="W358" s="123" t="s">
        <v>0</v>
      </c>
      <c r="X358" s="123" t="s">
        <v>0</v>
      </c>
      <c r="Y358" s="123" t="s">
        <v>0</v>
      </c>
      <c r="Z358" s="123" t="s">
        <v>0</v>
      </c>
      <c r="AA358" s="123" t="s">
        <v>0</v>
      </c>
      <c r="AB358" s="123" t="s">
        <v>0</v>
      </c>
      <c r="AC358" s="123" t="s">
        <v>0</v>
      </c>
      <c r="AD358" s="123" t="s">
        <v>0</v>
      </c>
      <c r="AE358" s="123" t="s">
        <v>0</v>
      </c>
      <c r="AF358" s="123" t="s">
        <v>0</v>
      </c>
      <c r="AG358" s="123" t="s">
        <v>0</v>
      </c>
      <c r="AH358" s="123" t="s">
        <v>0</v>
      </c>
      <c r="AI358" s="123" t="s">
        <v>0</v>
      </c>
      <c r="AJ358" s="123" t="s">
        <v>0</v>
      </c>
      <c r="AK358" s="123" t="s">
        <v>0</v>
      </c>
      <c r="AL358" s="123" t="s">
        <v>0</v>
      </c>
      <c r="AM358" s="123" t="s">
        <v>0</v>
      </c>
      <c r="AN358" s="123" t="s">
        <v>0</v>
      </c>
      <c r="AO358" s="123" t="s">
        <v>0</v>
      </c>
      <c r="AP358" s="123" t="s">
        <v>0</v>
      </c>
      <c r="AQ358" s="123" t="s">
        <v>0</v>
      </c>
      <c r="AR358" s="123" t="s">
        <v>0</v>
      </c>
      <c r="AS358" s="123" t="s">
        <v>0</v>
      </c>
      <c r="AT358" s="123" t="s">
        <v>0</v>
      </c>
      <c r="AU358" s="123" t="s">
        <v>0</v>
      </c>
      <c r="AV358" s="123" t="s">
        <v>0</v>
      </c>
      <c r="AW358" s="123" t="s">
        <v>0</v>
      </c>
      <c r="AX358" s="123" t="s">
        <v>0</v>
      </c>
      <c r="AY358" s="123" t="s">
        <v>0</v>
      </c>
      <c r="AZ358" s="123" t="s">
        <v>0</v>
      </c>
      <c r="BA358" s="123" t="s">
        <v>0</v>
      </c>
      <c r="BB358" s="123" t="s">
        <v>0</v>
      </c>
      <c r="BC358" s="123" t="s">
        <v>0</v>
      </c>
      <c r="BD358" s="123" t="s">
        <v>0</v>
      </c>
      <c r="BE358" s="123" t="s">
        <v>0</v>
      </c>
      <c r="BF358" s="123" t="s">
        <v>0</v>
      </c>
      <c r="BG358" s="123" t="s">
        <v>0</v>
      </c>
      <c r="BH358" s="123" t="s">
        <v>0</v>
      </c>
      <c r="BI358" s="124"/>
    </row>
    <row r="359" spans="1:61" x14ac:dyDescent="0.25">
      <c r="A359" s="22">
        <f t="shared" si="35"/>
        <v>353</v>
      </c>
      <c r="B359" s="214" t="str">
        <f t="shared" si="42"/>
        <v>F0014826901</v>
      </c>
      <c r="C359" s="214" t="str">
        <f t="shared" si="43"/>
        <v>82115-0EA21</v>
      </c>
      <c r="D359" s="45" t="str">
        <f>VLOOKUP(B359,'Timing Table'!B:J,9,0)</f>
        <v>C/O</v>
      </c>
      <c r="E359" s="22" t="str">
        <f>VLOOKUP(B359,'Timing Table'!B:H,7,0)</f>
        <v>GAS</v>
      </c>
      <c r="F359" s="121" t="s">
        <v>68</v>
      </c>
      <c r="G359" s="146" t="s">
        <v>120</v>
      </c>
      <c r="H359" s="121" t="s">
        <v>69</v>
      </c>
      <c r="I359" s="154" t="s">
        <v>58</v>
      </c>
      <c r="J359" s="155" t="s">
        <v>0</v>
      </c>
      <c r="K359" s="156" t="s">
        <v>0</v>
      </c>
      <c r="L359" s="157" t="s">
        <v>0</v>
      </c>
      <c r="M359" s="134" t="s">
        <v>0</v>
      </c>
      <c r="N359" s="134" t="s">
        <v>0</v>
      </c>
      <c r="O359" s="134" t="s">
        <v>0</v>
      </c>
      <c r="P359" s="134" t="s">
        <v>0</v>
      </c>
      <c r="Q359" s="134" t="s">
        <v>1</v>
      </c>
      <c r="R359" s="134" t="s">
        <v>2</v>
      </c>
      <c r="S359" s="134" t="s">
        <v>0</v>
      </c>
      <c r="T359" s="134" t="s">
        <v>0</v>
      </c>
      <c r="U359" s="134" t="s">
        <v>0</v>
      </c>
      <c r="V359" s="134" t="s">
        <v>0</v>
      </c>
      <c r="W359" s="134" t="s">
        <v>0</v>
      </c>
      <c r="X359" s="134" t="s">
        <v>0</v>
      </c>
      <c r="Y359" s="134" t="s">
        <v>0</v>
      </c>
      <c r="Z359" s="134" t="s">
        <v>3</v>
      </c>
      <c r="AA359" s="134" t="s">
        <v>0</v>
      </c>
      <c r="AB359" s="134" t="s">
        <v>0</v>
      </c>
      <c r="AC359" s="134" t="s">
        <v>0</v>
      </c>
      <c r="AD359" s="134" t="s">
        <v>0</v>
      </c>
      <c r="AE359" s="134" t="s">
        <v>0</v>
      </c>
      <c r="AF359" s="134" t="s">
        <v>0</v>
      </c>
      <c r="AG359" s="134" t="s">
        <v>0</v>
      </c>
      <c r="AH359" s="134" t="s">
        <v>0</v>
      </c>
      <c r="AI359" s="134" t="s">
        <v>0</v>
      </c>
      <c r="AJ359" s="134" t="s">
        <v>0</v>
      </c>
      <c r="AK359" s="134" t="s">
        <v>0</v>
      </c>
      <c r="AL359" s="134" t="s">
        <v>0</v>
      </c>
      <c r="AM359" s="134" t="s">
        <v>0</v>
      </c>
      <c r="AN359" s="134" t="s">
        <v>0</v>
      </c>
      <c r="AO359" s="134" t="s">
        <v>0</v>
      </c>
      <c r="AP359" s="134" t="s">
        <v>0</v>
      </c>
      <c r="AQ359" s="134" t="s">
        <v>0</v>
      </c>
      <c r="AR359" s="134" t="s">
        <v>0</v>
      </c>
      <c r="AS359" s="134" t="s">
        <v>0</v>
      </c>
      <c r="AT359" s="134" t="s">
        <v>0</v>
      </c>
      <c r="AU359" s="134" t="s">
        <v>0</v>
      </c>
      <c r="AV359" s="134" t="s">
        <v>0</v>
      </c>
      <c r="AW359" s="134" t="s">
        <v>0</v>
      </c>
      <c r="AX359" s="134" t="s">
        <v>0</v>
      </c>
      <c r="AY359" s="134" t="s">
        <v>0</v>
      </c>
      <c r="AZ359" s="134" t="s">
        <v>0</v>
      </c>
      <c r="BA359" s="134" t="s">
        <v>0</v>
      </c>
      <c r="BB359" s="134" t="s">
        <v>0</v>
      </c>
      <c r="BC359" s="134" t="s">
        <v>0</v>
      </c>
      <c r="BD359" s="134" t="s">
        <v>0</v>
      </c>
      <c r="BE359" s="134" t="s">
        <v>0</v>
      </c>
      <c r="BF359" s="134" t="s">
        <v>0</v>
      </c>
      <c r="BG359" s="134" t="s">
        <v>0</v>
      </c>
      <c r="BH359" s="134" t="s">
        <v>0</v>
      </c>
      <c r="BI359" s="135" t="s">
        <v>4</v>
      </c>
    </row>
    <row r="360" spans="1:61" x14ac:dyDescent="0.25">
      <c r="A360" s="22">
        <f t="shared" si="35"/>
        <v>354</v>
      </c>
      <c r="B360" s="214" t="str">
        <f t="shared" si="42"/>
        <v>F0014826901</v>
      </c>
      <c r="C360" s="214" t="str">
        <f t="shared" si="43"/>
        <v>82115-0EA21</v>
      </c>
      <c r="D360" s="45" t="str">
        <f>VLOOKUP(B360,'Timing Table'!B:J,9,0)</f>
        <v>C/O</v>
      </c>
      <c r="E360" s="22" t="str">
        <f>VLOOKUP(B360,'Timing Table'!B:H,7,0)</f>
        <v>GAS</v>
      </c>
      <c r="F360" s="121" t="s">
        <v>70</v>
      </c>
      <c r="G360" s="146">
        <v>48</v>
      </c>
      <c r="H360" s="158" t="s">
        <v>241</v>
      </c>
      <c r="I360" s="159" t="s">
        <v>71</v>
      </c>
      <c r="J360" s="13">
        <v>46041</v>
      </c>
      <c r="K360" s="14">
        <v>46048</v>
      </c>
      <c r="L360" s="14">
        <v>46055</v>
      </c>
      <c r="M360" s="14">
        <v>46062</v>
      </c>
      <c r="N360" s="14">
        <v>46069</v>
      </c>
      <c r="O360" s="14">
        <v>46076</v>
      </c>
      <c r="P360" s="14">
        <v>46083</v>
      </c>
      <c r="Q360" s="14">
        <v>46090</v>
      </c>
      <c r="R360" s="14">
        <v>46097</v>
      </c>
      <c r="S360" s="14">
        <v>46104</v>
      </c>
      <c r="T360" s="14">
        <v>46111</v>
      </c>
      <c r="U360" s="14">
        <v>46118</v>
      </c>
      <c r="V360" s="14">
        <v>46125</v>
      </c>
      <c r="W360" s="14">
        <v>46132</v>
      </c>
      <c r="X360" s="14">
        <v>46139</v>
      </c>
      <c r="Y360" s="14">
        <v>46146</v>
      </c>
      <c r="Z360" s="14">
        <v>46153</v>
      </c>
      <c r="AA360" s="14">
        <v>46160</v>
      </c>
      <c r="AB360" s="14">
        <v>46167</v>
      </c>
      <c r="AC360" s="14">
        <v>46174</v>
      </c>
      <c r="AD360" s="14">
        <v>46181</v>
      </c>
      <c r="AE360" s="14">
        <v>46188</v>
      </c>
      <c r="AF360" s="14">
        <v>46195</v>
      </c>
      <c r="AG360" s="14">
        <v>46202</v>
      </c>
      <c r="AH360" s="14">
        <v>46209</v>
      </c>
      <c r="AI360" s="14">
        <v>46216</v>
      </c>
      <c r="AJ360" s="14">
        <v>46223</v>
      </c>
      <c r="AK360" s="14">
        <v>46230</v>
      </c>
      <c r="AL360" s="14">
        <v>46237</v>
      </c>
      <c r="AM360" s="14">
        <v>46244</v>
      </c>
      <c r="AN360" s="14">
        <v>46251</v>
      </c>
      <c r="AO360" s="14">
        <v>46258</v>
      </c>
      <c r="AP360" s="14">
        <v>46265</v>
      </c>
      <c r="AQ360" s="14">
        <v>46272</v>
      </c>
      <c r="AR360" s="14">
        <v>46279</v>
      </c>
      <c r="AS360" s="14">
        <v>46286</v>
      </c>
      <c r="AT360" s="14">
        <v>46293</v>
      </c>
      <c r="AU360" s="14">
        <v>46300</v>
      </c>
      <c r="AV360" s="14">
        <v>46307</v>
      </c>
      <c r="AW360" s="14">
        <v>46314</v>
      </c>
      <c r="AX360" s="14">
        <v>46321</v>
      </c>
      <c r="AY360" s="14">
        <v>46328</v>
      </c>
      <c r="AZ360" s="14">
        <v>46335</v>
      </c>
      <c r="BA360" s="14">
        <v>46342</v>
      </c>
      <c r="BB360" s="14">
        <v>46349</v>
      </c>
      <c r="BC360" s="14">
        <v>46356</v>
      </c>
      <c r="BD360" s="14">
        <v>46363</v>
      </c>
      <c r="BE360" s="14">
        <v>46370</v>
      </c>
      <c r="BF360" s="14">
        <v>46377</v>
      </c>
      <c r="BG360" s="14">
        <v>46384</v>
      </c>
      <c r="BH360" s="14">
        <v>46391</v>
      </c>
      <c r="BI360" s="15">
        <v>46398</v>
      </c>
    </row>
    <row r="361" spans="1:61" x14ac:dyDescent="0.25">
      <c r="A361" s="22">
        <f t="shared" si="35"/>
        <v>355</v>
      </c>
      <c r="B361" s="214" t="str">
        <f t="shared" si="42"/>
        <v>F0014826901</v>
      </c>
      <c r="C361" s="214" t="str">
        <f t="shared" si="43"/>
        <v>82115-0EA21</v>
      </c>
      <c r="D361" s="45" t="str">
        <f>VLOOKUP(B361,'Timing Table'!B:J,9,0)</f>
        <v>C/O</v>
      </c>
      <c r="E361" s="22" t="str">
        <f>VLOOKUP(B361,'Timing Table'!B:H,7,0)</f>
        <v>GAS</v>
      </c>
      <c r="F361" s="121" t="s">
        <v>72</v>
      </c>
      <c r="G361" s="146">
        <v>348</v>
      </c>
      <c r="H361" s="5" t="s">
        <v>58</v>
      </c>
      <c r="I361" s="11" t="s">
        <v>83</v>
      </c>
      <c r="J361" s="16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17"/>
    </row>
    <row r="362" spans="1:61" x14ac:dyDescent="0.25">
      <c r="A362" s="22">
        <f t="shared" si="35"/>
        <v>356</v>
      </c>
      <c r="B362" s="214" t="str">
        <f t="shared" si="42"/>
        <v>F0014826901</v>
      </c>
      <c r="C362" s="214" t="str">
        <f t="shared" si="43"/>
        <v>82115-0EA21</v>
      </c>
      <c r="D362" s="45" t="str">
        <f>VLOOKUP(B362,'Timing Table'!B:J,9,0)</f>
        <v>C/O</v>
      </c>
      <c r="E362" s="22" t="str">
        <f>VLOOKUP(B362,'Timing Table'!B:H,7,0)</f>
        <v>GAS</v>
      </c>
      <c r="F362" s="121" t="s">
        <v>73</v>
      </c>
      <c r="G362" s="160" t="s">
        <v>130</v>
      </c>
      <c r="H362" s="9" t="s">
        <v>120</v>
      </c>
      <c r="I362" s="11" t="s">
        <v>74</v>
      </c>
      <c r="J362" s="117">
        <v>0</v>
      </c>
      <c r="K362" s="50">
        <v>0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  <c r="Q362" s="50">
        <v>0</v>
      </c>
      <c r="R362" s="50">
        <v>0</v>
      </c>
      <c r="S362" s="50">
        <v>0</v>
      </c>
      <c r="T362" s="50">
        <v>0</v>
      </c>
      <c r="U362" s="50">
        <v>0</v>
      </c>
      <c r="V362" s="50">
        <v>0</v>
      </c>
      <c r="W362" s="50">
        <v>0</v>
      </c>
      <c r="X362" s="50">
        <v>0</v>
      </c>
      <c r="Y362" s="50">
        <v>0</v>
      </c>
      <c r="Z362" s="50">
        <v>0</v>
      </c>
      <c r="AA362" s="50">
        <v>0</v>
      </c>
      <c r="AB362" s="50">
        <v>0</v>
      </c>
      <c r="AC362" s="50">
        <v>0</v>
      </c>
      <c r="AD362" s="50">
        <v>0</v>
      </c>
      <c r="AE362" s="50">
        <v>0</v>
      </c>
      <c r="AF362" s="50">
        <v>0</v>
      </c>
      <c r="AG362" s="50">
        <v>0</v>
      </c>
      <c r="AH362" s="50">
        <v>0</v>
      </c>
      <c r="AI362" s="50">
        <v>0</v>
      </c>
      <c r="AJ362" s="50">
        <v>0</v>
      </c>
      <c r="AK362" s="50">
        <v>0</v>
      </c>
      <c r="AL362" s="50">
        <v>0</v>
      </c>
      <c r="AM362" s="50">
        <v>0</v>
      </c>
      <c r="AN362" s="50">
        <v>0</v>
      </c>
      <c r="AO362" s="50">
        <v>0</v>
      </c>
      <c r="AP362" s="50">
        <v>0</v>
      </c>
      <c r="AQ362" s="50">
        <v>0</v>
      </c>
      <c r="AR362" s="50">
        <v>0</v>
      </c>
      <c r="AS362" s="50">
        <v>0</v>
      </c>
      <c r="AT362" s="50">
        <v>0</v>
      </c>
      <c r="AU362" s="50">
        <v>0</v>
      </c>
      <c r="AV362" s="50">
        <v>0</v>
      </c>
      <c r="AW362" s="50">
        <v>0</v>
      </c>
      <c r="AX362" s="50">
        <v>0</v>
      </c>
      <c r="AY362" s="50">
        <v>0</v>
      </c>
      <c r="AZ362" s="50">
        <v>0</v>
      </c>
      <c r="BA362" s="50">
        <v>0</v>
      </c>
      <c r="BB362" s="50">
        <v>0</v>
      </c>
      <c r="BC362" s="50">
        <v>0</v>
      </c>
      <c r="BD362" s="50">
        <v>0</v>
      </c>
      <c r="BE362" s="50">
        <v>0</v>
      </c>
      <c r="BF362" s="50">
        <v>0</v>
      </c>
      <c r="BG362" s="50">
        <v>0</v>
      </c>
      <c r="BH362" s="50">
        <v>0</v>
      </c>
      <c r="BI362" s="118">
        <v>0</v>
      </c>
    </row>
    <row r="363" spans="1:61" x14ac:dyDescent="0.25">
      <c r="A363" s="22">
        <f t="shared" si="35"/>
        <v>357</v>
      </c>
      <c r="B363" s="214" t="str">
        <f t="shared" si="42"/>
        <v>F0014826901</v>
      </c>
      <c r="C363" s="214" t="str">
        <f t="shared" si="43"/>
        <v>82115-0EA21</v>
      </c>
      <c r="D363" s="45" t="str">
        <f>VLOOKUP(B363,'Timing Table'!B:J,9,0)</f>
        <v>C/O</v>
      </c>
      <c r="E363" s="22" t="str">
        <f>VLOOKUP(B363,'Timing Table'!B:H,7,0)</f>
        <v>GAS</v>
      </c>
      <c r="F363" s="121" t="s">
        <v>75</v>
      </c>
      <c r="G363" s="146">
        <v>82115</v>
      </c>
      <c r="H363" s="10" t="s">
        <v>120</v>
      </c>
      <c r="I363" s="12" t="s">
        <v>76</v>
      </c>
      <c r="J363" s="161">
        <v>48</v>
      </c>
      <c r="K363" s="162">
        <v>48</v>
      </c>
      <c r="L363" s="162">
        <v>48</v>
      </c>
      <c r="M363" s="162">
        <v>48</v>
      </c>
      <c r="N363" s="162">
        <v>48</v>
      </c>
      <c r="O363" s="162">
        <v>48</v>
      </c>
      <c r="P363" s="162">
        <v>48</v>
      </c>
      <c r="Q363" s="162">
        <v>48</v>
      </c>
      <c r="R363" s="162">
        <v>48</v>
      </c>
      <c r="S363" s="162">
        <v>48</v>
      </c>
      <c r="T363" s="162">
        <v>48</v>
      </c>
      <c r="U363" s="162">
        <v>48</v>
      </c>
      <c r="V363" s="162">
        <v>48</v>
      </c>
      <c r="W363" s="162">
        <v>48</v>
      </c>
      <c r="X363" s="162">
        <v>48</v>
      </c>
      <c r="Y363" s="162">
        <v>48</v>
      </c>
      <c r="Z363" s="162">
        <v>48</v>
      </c>
      <c r="AA363" s="162">
        <v>48</v>
      </c>
      <c r="AB363" s="162">
        <v>48</v>
      </c>
      <c r="AC363" s="162">
        <v>48</v>
      </c>
      <c r="AD363" s="162">
        <v>48</v>
      </c>
      <c r="AE363" s="162">
        <v>48</v>
      </c>
      <c r="AF363" s="162">
        <v>48</v>
      </c>
      <c r="AG363" s="162">
        <v>48</v>
      </c>
      <c r="AH363" s="162">
        <v>48</v>
      </c>
      <c r="AI363" s="162">
        <v>48</v>
      </c>
      <c r="AJ363" s="162">
        <v>48</v>
      </c>
      <c r="AK363" s="162">
        <v>48</v>
      </c>
      <c r="AL363" s="162">
        <v>48</v>
      </c>
      <c r="AM363" s="162">
        <v>48</v>
      </c>
      <c r="AN363" s="162">
        <v>48</v>
      </c>
      <c r="AO363" s="162">
        <v>48</v>
      </c>
      <c r="AP363" s="162">
        <v>48</v>
      </c>
      <c r="AQ363" s="162">
        <v>48</v>
      </c>
      <c r="AR363" s="162">
        <v>48</v>
      </c>
      <c r="AS363" s="162">
        <v>48</v>
      </c>
      <c r="AT363" s="162">
        <v>48</v>
      </c>
      <c r="AU363" s="162">
        <v>48</v>
      </c>
      <c r="AV363" s="162">
        <v>48</v>
      </c>
      <c r="AW363" s="162">
        <v>48</v>
      </c>
      <c r="AX363" s="162">
        <v>48</v>
      </c>
      <c r="AY363" s="162">
        <v>48</v>
      </c>
      <c r="AZ363" s="162">
        <v>48</v>
      </c>
      <c r="BA363" s="162">
        <v>48</v>
      </c>
      <c r="BB363" s="162">
        <v>48</v>
      </c>
      <c r="BC363" s="162">
        <v>48</v>
      </c>
      <c r="BD363" s="162">
        <v>48</v>
      </c>
      <c r="BE363" s="162">
        <v>48</v>
      </c>
      <c r="BF363" s="162">
        <v>48</v>
      </c>
      <c r="BG363" s="162">
        <v>48</v>
      </c>
      <c r="BH363" s="162">
        <v>48</v>
      </c>
      <c r="BI363" s="163">
        <v>48</v>
      </c>
    </row>
    <row r="364" spans="1:61" x14ac:dyDescent="0.25">
      <c r="A364" s="22">
        <f t="shared" si="35"/>
        <v>358</v>
      </c>
      <c r="B364" s="214" t="str">
        <f t="shared" si="42"/>
        <v>F0014826901</v>
      </c>
      <c r="C364" s="214" t="str">
        <f t="shared" si="43"/>
        <v>82115-0EA21</v>
      </c>
      <c r="D364" s="45" t="str">
        <f>VLOOKUP(B364,'Timing Table'!B:J,9,0)</f>
        <v>C/O</v>
      </c>
      <c r="E364" s="22" t="str">
        <f>VLOOKUP(B364,'Timing Table'!B:H,7,0)</f>
        <v>GAS</v>
      </c>
      <c r="F364" s="164" t="s">
        <v>77</v>
      </c>
      <c r="G364" s="165">
        <v>48</v>
      </c>
      <c r="H364" s="166" t="s">
        <v>78</v>
      </c>
      <c r="I364" s="167"/>
      <c r="J364" s="168" t="s">
        <v>253</v>
      </c>
      <c r="K364" s="169"/>
      <c r="L364" s="170" t="s">
        <v>0</v>
      </c>
      <c r="M364" s="170" t="s">
        <v>0</v>
      </c>
      <c r="N364" s="170" t="s">
        <v>0</v>
      </c>
      <c r="O364" s="170" t="s">
        <v>0</v>
      </c>
      <c r="P364" s="170" t="s">
        <v>0</v>
      </c>
      <c r="Q364" s="170" t="s">
        <v>0</v>
      </c>
      <c r="R364" s="170" t="s">
        <v>0</v>
      </c>
      <c r="S364" s="170" t="s">
        <v>0</v>
      </c>
      <c r="T364" s="170" t="s">
        <v>0</v>
      </c>
      <c r="U364" s="170" t="s">
        <v>0</v>
      </c>
      <c r="V364" s="170" t="s">
        <v>0</v>
      </c>
      <c r="W364" s="170" t="s">
        <v>0</v>
      </c>
      <c r="X364" s="170" t="s">
        <v>0</v>
      </c>
      <c r="Y364" s="170" t="s">
        <v>0</v>
      </c>
      <c r="Z364" s="170" t="s">
        <v>0</v>
      </c>
      <c r="AA364" s="170" t="s">
        <v>0</v>
      </c>
      <c r="AB364" s="170" t="s">
        <v>0</v>
      </c>
      <c r="AC364" s="170" t="s">
        <v>0</v>
      </c>
      <c r="AD364" s="170" t="s">
        <v>0</v>
      </c>
      <c r="AE364" s="170" t="s">
        <v>0</v>
      </c>
      <c r="AF364" s="170" t="s">
        <v>0</v>
      </c>
      <c r="AG364" s="170" t="s">
        <v>0</v>
      </c>
      <c r="AH364" s="170" t="s">
        <v>0</v>
      </c>
      <c r="AI364" s="170" t="s">
        <v>0</v>
      </c>
      <c r="AJ364" s="170" t="s">
        <v>0</v>
      </c>
      <c r="AK364" s="170" t="s">
        <v>0</v>
      </c>
      <c r="AL364" s="170" t="s">
        <v>0</v>
      </c>
      <c r="AM364" s="170" t="s">
        <v>0</v>
      </c>
      <c r="AN364" s="170" t="s">
        <v>0</v>
      </c>
      <c r="AO364" s="170" t="s">
        <v>0</v>
      </c>
      <c r="AP364" s="170" t="s">
        <v>0</v>
      </c>
      <c r="AQ364" s="170" t="s">
        <v>0</v>
      </c>
      <c r="AR364" s="170" t="s">
        <v>0</v>
      </c>
      <c r="AS364" s="170" t="s">
        <v>0</v>
      </c>
      <c r="AT364" s="170" t="s">
        <v>0</v>
      </c>
      <c r="AU364" s="170" t="s">
        <v>0</v>
      </c>
      <c r="AV364" s="170" t="s">
        <v>0</v>
      </c>
      <c r="AW364" s="170" t="s">
        <v>0</v>
      </c>
      <c r="AX364" s="170" t="s">
        <v>0</v>
      </c>
      <c r="AY364" s="170" t="s">
        <v>0</v>
      </c>
      <c r="AZ364" s="170" t="s">
        <v>0</v>
      </c>
      <c r="BA364" s="170" t="s">
        <v>0</v>
      </c>
      <c r="BB364" s="170" t="s">
        <v>0</v>
      </c>
      <c r="BC364" s="170" t="s">
        <v>0</v>
      </c>
      <c r="BD364" s="170" t="s">
        <v>0</v>
      </c>
      <c r="BE364" s="170" t="s">
        <v>0</v>
      </c>
      <c r="BF364" s="170" t="s">
        <v>0</v>
      </c>
      <c r="BG364" s="170" t="s">
        <v>0</v>
      </c>
      <c r="BH364" s="170" t="s">
        <v>0</v>
      </c>
      <c r="BI364" s="171"/>
    </row>
    <row r="365" spans="1:61" x14ac:dyDescent="0.25">
      <c r="A365" s="22">
        <f t="shared" si="35"/>
        <v>359</v>
      </c>
      <c r="B365" s="214" t="str">
        <f t="shared" si="42"/>
        <v>F0014826901</v>
      </c>
      <c r="C365" s="214" t="str">
        <f>IF(F365=$F$7,#REF!,C364)</f>
        <v>82115-0EA21</v>
      </c>
      <c r="D365" s="45" t="str">
        <f>VLOOKUP(B365,'Timing Table'!B:J,9,0)</f>
        <v>C/O</v>
      </c>
      <c r="E365" s="22" t="str">
        <f>VLOOKUP(B365,'Timing Table'!B:H,7,0)</f>
        <v>GAS</v>
      </c>
      <c r="F365" s="172" t="s">
        <v>79</v>
      </c>
      <c r="G365" s="173" t="s">
        <v>58</v>
      </c>
      <c r="H365" s="174" t="s">
        <v>58</v>
      </c>
      <c r="I365" s="175" t="s">
        <v>58</v>
      </c>
      <c r="J365" s="175" t="s">
        <v>0</v>
      </c>
      <c r="K365" s="175" t="s">
        <v>0</v>
      </c>
      <c r="L365" s="175" t="s">
        <v>0</v>
      </c>
      <c r="M365" s="175" t="s">
        <v>0</v>
      </c>
      <c r="N365" s="175" t="s">
        <v>0</v>
      </c>
      <c r="O365" s="175" t="s">
        <v>0</v>
      </c>
      <c r="P365" s="175" t="s">
        <v>0</v>
      </c>
      <c r="Q365" s="175" t="s">
        <v>0</v>
      </c>
      <c r="R365" s="175" t="s">
        <v>0</v>
      </c>
      <c r="S365" s="175" t="s">
        <v>0</v>
      </c>
      <c r="T365" s="175" t="s">
        <v>0</v>
      </c>
      <c r="U365" s="175" t="s">
        <v>0</v>
      </c>
      <c r="V365" s="175" t="s">
        <v>0</v>
      </c>
      <c r="W365" s="175" t="s">
        <v>0</v>
      </c>
      <c r="X365" s="175" t="s">
        <v>0</v>
      </c>
      <c r="Y365" s="175" t="s">
        <v>0</v>
      </c>
      <c r="Z365" s="175" t="s">
        <v>0</v>
      </c>
      <c r="AA365" s="175" t="s">
        <v>0</v>
      </c>
      <c r="AB365" s="175" t="s">
        <v>0</v>
      </c>
      <c r="AC365" s="175" t="s">
        <v>0</v>
      </c>
      <c r="AD365" s="175" t="s">
        <v>0</v>
      </c>
      <c r="AE365" s="175" t="s">
        <v>0</v>
      </c>
      <c r="AF365" s="175" t="s">
        <v>0</v>
      </c>
      <c r="AG365" s="175" t="s">
        <v>0</v>
      </c>
      <c r="AH365" s="175" t="s">
        <v>0</v>
      </c>
      <c r="AI365" s="175" t="s">
        <v>0</v>
      </c>
      <c r="AJ365" s="175" t="s">
        <v>0</v>
      </c>
      <c r="AK365" s="175" t="s">
        <v>0</v>
      </c>
      <c r="AL365" s="175" t="s">
        <v>0</v>
      </c>
      <c r="AM365" s="175" t="s">
        <v>0</v>
      </c>
      <c r="AN365" s="175" t="s">
        <v>0</v>
      </c>
      <c r="AO365" s="175" t="s">
        <v>0</v>
      </c>
      <c r="AP365" s="175" t="s">
        <v>0</v>
      </c>
      <c r="AQ365" s="175" t="s">
        <v>0</v>
      </c>
      <c r="AR365" s="175" t="s">
        <v>0</v>
      </c>
      <c r="AS365" s="175" t="s">
        <v>0</v>
      </c>
      <c r="AT365" s="175" t="s">
        <v>0</v>
      </c>
      <c r="AU365" s="175" t="s">
        <v>0</v>
      </c>
      <c r="AV365" s="175" t="s">
        <v>0</v>
      </c>
      <c r="AW365" s="175" t="s">
        <v>0</v>
      </c>
      <c r="AX365" s="175" t="s">
        <v>0</v>
      </c>
      <c r="AY365" s="175" t="s">
        <v>0</v>
      </c>
      <c r="AZ365" s="175" t="s">
        <v>0</v>
      </c>
      <c r="BA365" s="175" t="s">
        <v>0</v>
      </c>
      <c r="BB365" s="175" t="s">
        <v>0</v>
      </c>
      <c r="BC365" s="175" t="s">
        <v>0</v>
      </c>
      <c r="BD365" s="175" t="s">
        <v>0</v>
      </c>
      <c r="BE365" s="175" t="s">
        <v>0</v>
      </c>
      <c r="BF365" s="175" t="s">
        <v>0</v>
      </c>
      <c r="BG365" s="175" t="s">
        <v>0</v>
      </c>
      <c r="BH365" s="175" t="s">
        <v>0</v>
      </c>
      <c r="BI365" s="176"/>
    </row>
    <row r="366" spans="1:61" x14ac:dyDescent="0.25">
      <c r="A366" s="22">
        <f t="shared" si="35"/>
        <v>360</v>
      </c>
      <c r="B366" s="214" t="str">
        <f>IF(F366=$F$7,#REF!,B365)</f>
        <v>F0014826901</v>
      </c>
      <c r="C366" s="214" t="str">
        <f>IF(F366=$F$7,#REF!,C365)</f>
        <v>82115-0EA21</v>
      </c>
      <c r="D366" s="45" t="str">
        <f>VLOOKUP(B366,'Timing Table'!B:J,9,0)</f>
        <v>C/O</v>
      </c>
      <c r="E366" s="22" t="str">
        <f>VLOOKUP(B366,'Timing Table'!B:H,7,0)</f>
        <v>GAS</v>
      </c>
      <c r="F366" s="177" t="s">
        <v>58</v>
      </c>
      <c r="G366" s="178" t="s">
        <v>58</v>
      </c>
      <c r="H366" s="179" t="s">
        <v>58</v>
      </c>
      <c r="I366" s="180" t="s">
        <v>58</v>
      </c>
      <c r="J366" s="180" t="s">
        <v>0</v>
      </c>
      <c r="K366" s="180" t="s">
        <v>0</v>
      </c>
      <c r="L366" s="180" t="s">
        <v>0</v>
      </c>
      <c r="M366" s="180" t="s">
        <v>0</v>
      </c>
      <c r="N366" s="180" t="s">
        <v>0</v>
      </c>
      <c r="O366" s="180" t="s">
        <v>0</v>
      </c>
      <c r="P366" s="180" t="s">
        <v>0</v>
      </c>
      <c r="Q366" s="180" t="s">
        <v>0</v>
      </c>
      <c r="R366" s="180" t="s">
        <v>0</v>
      </c>
      <c r="S366" s="180" t="s">
        <v>0</v>
      </c>
      <c r="T366" s="180" t="s">
        <v>0</v>
      </c>
      <c r="U366" s="180" t="s">
        <v>0</v>
      </c>
      <c r="V366" s="180" t="s">
        <v>0</v>
      </c>
      <c r="W366" s="180" t="s">
        <v>0</v>
      </c>
      <c r="X366" s="180" t="s">
        <v>0</v>
      </c>
      <c r="Y366" s="180" t="s">
        <v>0</v>
      </c>
      <c r="Z366" s="180" t="s">
        <v>0</v>
      </c>
      <c r="AA366" s="180" t="s">
        <v>0</v>
      </c>
      <c r="AB366" s="180" t="s">
        <v>0</v>
      </c>
      <c r="AC366" s="180" t="s">
        <v>0</v>
      </c>
      <c r="AD366" s="180" t="s">
        <v>0</v>
      </c>
      <c r="AE366" s="180" t="s">
        <v>0</v>
      </c>
      <c r="AF366" s="180" t="s">
        <v>0</v>
      </c>
      <c r="AG366" s="180" t="s">
        <v>0</v>
      </c>
      <c r="AH366" s="180" t="s">
        <v>0</v>
      </c>
      <c r="AI366" s="180" t="s">
        <v>0</v>
      </c>
      <c r="AJ366" s="180" t="s">
        <v>0</v>
      </c>
      <c r="AK366" s="180" t="s">
        <v>0</v>
      </c>
      <c r="AL366" s="180" t="s">
        <v>0</v>
      </c>
      <c r="AM366" s="180" t="s">
        <v>0</v>
      </c>
      <c r="AN366" s="180" t="s">
        <v>0</v>
      </c>
      <c r="AO366" s="180" t="s">
        <v>0</v>
      </c>
      <c r="AP366" s="180" t="s">
        <v>0</v>
      </c>
      <c r="AQ366" s="180" t="s">
        <v>0</v>
      </c>
      <c r="AR366" s="180" t="s">
        <v>0</v>
      </c>
      <c r="AS366" s="180" t="s">
        <v>0</v>
      </c>
      <c r="AT366" s="180" t="s">
        <v>0</v>
      </c>
      <c r="AU366" s="180" t="s">
        <v>0</v>
      </c>
      <c r="AV366" s="180" t="s">
        <v>0</v>
      </c>
      <c r="AW366" s="180" t="s">
        <v>0</v>
      </c>
      <c r="AX366" s="180" t="s">
        <v>0</v>
      </c>
      <c r="AY366" s="180" t="s">
        <v>0</v>
      </c>
      <c r="AZ366" s="180" t="s">
        <v>0</v>
      </c>
      <c r="BA366" s="180" t="s">
        <v>0</v>
      </c>
      <c r="BB366" s="180" t="s">
        <v>0</v>
      </c>
      <c r="BC366" s="180" t="s">
        <v>0</v>
      </c>
      <c r="BD366" s="180" t="s">
        <v>0</v>
      </c>
      <c r="BE366" s="180" t="s">
        <v>0</v>
      </c>
      <c r="BF366" s="180" t="s">
        <v>0</v>
      </c>
      <c r="BG366" s="180" t="s">
        <v>0</v>
      </c>
      <c r="BH366" s="180" t="s">
        <v>0</v>
      </c>
      <c r="BI366" s="181"/>
    </row>
    <row r="367" spans="1:61" x14ac:dyDescent="0.25">
      <c r="A367" s="22">
        <f t="shared" si="35"/>
        <v>361</v>
      </c>
      <c r="B367" s="214" t="str">
        <f>IF(F367=$F$7,G368,B366)</f>
        <v>F0014826903</v>
      </c>
      <c r="C367" s="214" t="str">
        <f>IF(F367=$F$7,G369,C366)</f>
        <v>82115-0EA21 B</v>
      </c>
      <c r="D367" s="45" t="str">
        <f>VLOOKUP(B367,'Timing Table'!B:J,9,0)</f>
        <v>C/O</v>
      </c>
      <c r="E367" s="22" t="str">
        <f>VLOOKUP(B367,'Timing Table'!B:H,7,0)</f>
        <v>GAS</v>
      </c>
      <c r="F367" s="121" t="s">
        <v>59</v>
      </c>
      <c r="G367" s="146">
        <v>5501017972</v>
      </c>
      <c r="H367" s="121" t="s">
        <v>60</v>
      </c>
      <c r="I367" s="146">
        <v>91</v>
      </c>
      <c r="J367" s="121" t="s">
        <v>61</v>
      </c>
      <c r="K367" s="125">
        <v>1177759</v>
      </c>
      <c r="L367" s="126"/>
      <c r="M367" s="147" t="s">
        <v>62</v>
      </c>
      <c r="N367" s="148"/>
      <c r="O367" s="149">
        <v>46086</v>
      </c>
      <c r="P367" s="121" t="s">
        <v>63</v>
      </c>
      <c r="Q367" s="146">
        <v>4</v>
      </c>
      <c r="R367" s="6" t="s">
        <v>0</v>
      </c>
      <c r="S367" s="7" t="s">
        <v>0</v>
      </c>
      <c r="T367" s="7" t="s">
        <v>0</v>
      </c>
      <c r="U367" s="7" t="s">
        <v>0</v>
      </c>
      <c r="V367" s="7" t="s">
        <v>0</v>
      </c>
      <c r="W367" s="7" t="s">
        <v>0</v>
      </c>
      <c r="X367" s="7" t="s">
        <v>0</v>
      </c>
      <c r="Y367" s="7" t="s">
        <v>0</v>
      </c>
      <c r="Z367" s="7" t="s">
        <v>0</v>
      </c>
      <c r="AA367" s="7" t="s">
        <v>0</v>
      </c>
      <c r="AB367" s="7" t="s">
        <v>0</v>
      </c>
      <c r="AC367" s="7" t="s">
        <v>0</v>
      </c>
      <c r="AD367" s="7" t="s">
        <v>0</v>
      </c>
      <c r="AE367" s="7" t="s">
        <v>0</v>
      </c>
      <c r="AF367" s="7" t="s">
        <v>0</v>
      </c>
      <c r="AG367" s="7" t="s">
        <v>0</v>
      </c>
      <c r="AH367" s="7" t="s">
        <v>0</v>
      </c>
      <c r="AI367" s="7" t="s">
        <v>0</v>
      </c>
      <c r="AJ367" s="7" t="s">
        <v>0</v>
      </c>
      <c r="AK367" s="7" t="s">
        <v>0</v>
      </c>
      <c r="AL367" s="7" t="s">
        <v>0</v>
      </c>
      <c r="AM367" s="7" t="s">
        <v>0</v>
      </c>
      <c r="AN367" s="7" t="s">
        <v>0</v>
      </c>
      <c r="AO367" s="7" t="s">
        <v>0</v>
      </c>
      <c r="AP367" s="7" t="s">
        <v>0</v>
      </c>
      <c r="AQ367" s="7" t="s">
        <v>0</v>
      </c>
      <c r="AR367" s="7" t="s">
        <v>0</v>
      </c>
      <c r="AS367" s="7" t="s">
        <v>0</v>
      </c>
      <c r="AT367" s="7" t="s">
        <v>0</v>
      </c>
      <c r="AU367" s="7" t="s">
        <v>0</v>
      </c>
      <c r="AV367" s="7" t="s">
        <v>0</v>
      </c>
      <c r="AW367" s="7" t="s">
        <v>0</v>
      </c>
      <c r="AX367" s="7" t="s">
        <v>0</v>
      </c>
      <c r="AY367" s="7" t="s">
        <v>0</v>
      </c>
      <c r="AZ367" s="7" t="s">
        <v>0</v>
      </c>
      <c r="BA367" s="7" t="s">
        <v>0</v>
      </c>
      <c r="BB367" s="7" t="s">
        <v>0</v>
      </c>
      <c r="BC367" s="7" t="s">
        <v>0</v>
      </c>
      <c r="BD367" s="7" t="s">
        <v>0</v>
      </c>
      <c r="BE367" s="7" t="s">
        <v>0</v>
      </c>
      <c r="BF367" s="7" t="s">
        <v>0</v>
      </c>
      <c r="BG367" s="7" t="s">
        <v>0</v>
      </c>
      <c r="BH367" s="7" t="s">
        <v>0</v>
      </c>
      <c r="BI367" s="8"/>
    </row>
    <row r="368" spans="1:61" x14ac:dyDescent="0.25">
      <c r="A368" s="22">
        <f t="shared" si="35"/>
        <v>362</v>
      </c>
      <c r="B368" s="214" t="str">
        <f t="shared" ref="B368:B375" si="44">IF(F368=$F$7,G369,B367)</f>
        <v>F0014826903</v>
      </c>
      <c r="C368" s="214" t="str">
        <f t="shared" ref="C368:C374" si="45">IF(F368=$F$7,G370,C367)</f>
        <v>82115-0EA21 B</v>
      </c>
      <c r="D368" s="45" t="str">
        <f>VLOOKUP(B368,'Timing Table'!B:J,9,0)</f>
        <v>C/O</v>
      </c>
      <c r="E368" s="22" t="str">
        <f>VLOOKUP(B368,'Timing Table'!B:H,7,0)</f>
        <v>GAS</v>
      </c>
      <c r="F368" s="121" t="s">
        <v>64</v>
      </c>
      <c r="G368" s="146" t="s">
        <v>185</v>
      </c>
      <c r="H368" s="121" t="s">
        <v>65</v>
      </c>
      <c r="I368" s="150" t="s">
        <v>254</v>
      </c>
      <c r="J368" s="151"/>
      <c r="K368" s="151"/>
      <c r="L368" s="152"/>
      <c r="M368" s="121" t="s">
        <v>66</v>
      </c>
      <c r="N368" s="146">
        <v>2025</v>
      </c>
      <c r="O368" s="140" t="s">
        <v>67</v>
      </c>
      <c r="P368" s="141"/>
      <c r="Q368" s="153" t="s">
        <v>203</v>
      </c>
      <c r="R368" s="122" t="s">
        <v>0</v>
      </c>
      <c r="S368" s="123" t="s">
        <v>0</v>
      </c>
      <c r="T368" s="123" t="s">
        <v>0</v>
      </c>
      <c r="U368" s="123" t="s">
        <v>0</v>
      </c>
      <c r="V368" s="123" t="s">
        <v>0</v>
      </c>
      <c r="W368" s="123" t="s">
        <v>0</v>
      </c>
      <c r="X368" s="123" t="s">
        <v>0</v>
      </c>
      <c r="Y368" s="123" t="s">
        <v>0</v>
      </c>
      <c r="Z368" s="123" t="s">
        <v>0</v>
      </c>
      <c r="AA368" s="123" t="s">
        <v>0</v>
      </c>
      <c r="AB368" s="123" t="s">
        <v>0</v>
      </c>
      <c r="AC368" s="123" t="s">
        <v>0</v>
      </c>
      <c r="AD368" s="123" t="s">
        <v>0</v>
      </c>
      <c r="AE368" s="123" t="s">
        <v>0</v>
      </c>
      <c r="AF368" s="123" t="s">
        <v>0</v>
      </c>
      <c r="AG368" s="123" t="s">
        <v>0</v>
      </c>
      <c r="AH368" s="123" t="s">
        <v>0</v>
      </c>
      <c r="AI368" s="123" t="s">
        <v>0</v>
      </c>
      <c r="AJ368" s="123" t="s">
        <v>0</v>
      </c>
      <c r="AK368" s="123" t="s">
        <v>0</v>
      </c>
      <c r="AL368" s="123" t="s">
        <v>0</v>
      </c>
      <c r="AM368" s="123" t="s">
        <v>0</v>
      </c>
      <c r="AN368" s="123" t="s">
        <v>0</v>
      </c>
      <c r="AO368" s="123" t="s">
        <v>0</v>
      </c>
      <c r="AP368" s="123" t="s">
        <v>0</v>
      </c>
      <c r="AQ368" s="123" t="s">
        <v>0</v>
      </c>
      <c r="AR368" s="123" t="s">
        <v>0</v>
      </c>
      <c r="AS368" s="123" t="s">
        <v>0</v>
      </c>
      <c r="AT368" s="123" t="s">
        <v>0</v>
      </c>
      <c r="AU368" s="123" t="s">
        <v>0</v>
      </c>
      <c r="AV368" s="123" t="s">
        <v>0</v>
      </c>
      <c r="AW368" s="123" t="s">
        <v>0</v>
      </c>
      <c r="AX368" s="123" t="s">
        <v>0</v>
      </c>
      <c r="AY368" s="123" t="s">
        <v>0</v>
      </c>
      <c r="AZ368" s="123" t="s">
        <v>0</v>
      </c>
      <c r="BA368" s="123" t="s">
        <v>0</v>
      </c>
      <c r="BB368" s="123" t="s">
        <v>0</v>
      </c>
      <c r="BC368" s="123" t="s">
        <v>0</v>
      </c>
      <c r="BD368" s="123" t="s">
        <v>0</v>
      </c>
      <c r="BE368" s="123" t="s">
        <v>0</v>
      </c>
      <c r="BF368" s="123" t="s">
        <v>0</v>
      </c>
      <c r="BG368" s="123" t="s">
        <v>0</v>
      </c>
      <c r="BH368" s="123" t="s">
        <v>0</v>
      </c>
      <c r="BI368" s="124"/>
    </row>
    <row r="369" spans="1:61" x14ac:dyDescent="0.25">
      <c r="A369" s="22">
        <f t="shared" si="35"/>
        <v>363</v>
      </c>
      <c r="B369" s="214" t="str">
        <f t="shared" si="44"/>
        <v>F0014826903</v>
      </c>
      <c r="C369" s="214" t="str">
        <f t="shared" si="45"/>
        <v>82115-0EA21 B</v>
      </c>
      <c r="D369" s="45" t="str">
        <f>VLOOKUP(B369,'Timing Table'!B:J,9,0)</f>
        <v>C/O</v>
      </c>
      <c r="E369" s="22" t="str">
        <f>VLOOKUP(B369,'Timing Table'!B:H,7,0)</f>
        <v>GAS</v>
      </c>
      <c r="F369" s="121" t="s">
        <v>68</v>
      </c>
      <c r="G369" s="146" t="s">
        <v>358</v>
      </c>
      <c r="H369" s="121" t="s">
        <v>69</v>
      </c>
      <c r="I369" s="154" t="s">
        <v>58</v>
      </c>
      <c r="J369" s="155" t="s">
        <v>0</v>
      </c>
      <c r="K369" s="156" t="s">
        <v>0</v>
      </c>
      <c r="L369" s="157" t="s">
        <v>0</v>
      </c>
      <c r="M369" s="134" t="s">
        <v>0</v>
      </c>
      <c r="N369" s="134" t="s">
        <v>0</v>
      </c>
      <c r="O369" s="134" t="s">
        <v>0</v>
      </c>
      <c r="P369" s="134" t="s">
        <v>0</v>
      </c>
      <c r="Q369" s="134" t="s">
        <v>1</v>
      </c>
      <c r="R369" s="134" t="s">
        <v>2</v>
      </c>
      <c r="S369" s="134" t="s">
        <v>0</v>
      </c>
      <c r="T369" s="134" t="s">
        <v>0</v>
      </c>
      <c r="U369" s="134" t="s">
        <v>0</v>
      </c>
      <c r="V369" s="134" t="s">
        <v>0</v>
      </c>
      <c r="W369" s="134" t="s">
        <v>0</v>
      </c>
      <c r="X369" s="134" t="s">
        <v>0</v>
      </c>
      <c r="Y369" s="134" t="s">
        <v>0</v>
      </c>
      <c r="Z369" s="134" t="s">
        <v>3</v>
      </c>
      <c r="AA369" s="134" t="s">
        <v>0</v>
      </c>
      <c r="AB369" s="134" t="s">
        <v>0</v>
      </c>
      <c r="AC369" s="134" t="s">
        <v>0</v>
      </c>
      <c r="AD369" s="134" t="s">
        <v>0</v>
      </c>
      <c r="AE369" s="134" t="s">
        <v>0</v>
      </c>
      <c r="AF369" s="134" t="s">
        <v>0</v>
      </c>
      <c r="AG369" s="134" t="s">
        <v>0</v>
      </c>
      <c r="AH369" s="134" t="s">
        <v>0</v>
      </c>
      <c r="AI369" s="134" t="s">
        <v>0</v>
      </c>
      <c r="AJ369" s="134" t="s">
        <v>0</v>
      </c>
      <c r="AK369" s="134" t="s">
        <v>0</v>
      </c>
      <c r="AL369" s="134" t="s">
        <v>0</v>
      </c>
      <c r="AM369" s="134" t="s">
        <v>0</v>
      </c>
      <c r="AN369" s="134" t="s">
        <v>0</v>
      </c>
      <c r="AO369" s="134" t="s">
        <v>0</v>
      </c>
      <c r="AP369" s="134" t="s">
        <v>0</v>
      </c>
      <c r="AQ369" s="134" t="s">
        <v>0</v>
      </c>
      <c r="AR369" s="134" t="s">
        <v>0</v>
      </c>
      <c r="AS369" s="134" t="s">
        <v>0</v>
      </c>
      <c r="AT369" s="134" t="s">
        <v>0</v>
      </c>
      <c r="AU369" s="134" t="s">
        <v>0</v>
      </c>
      <c r="AV369" s="134" t="s">
        <v>0</v>
      </c>
      <c r="AW369" s="134" t="s">
        <v>0</v>
      </c>
      <c r="AX369" s="134" t="s">
        <v>0</v>
      </c>
      <c r="AY369" s="134" t="s">
        <v>0</v>
      </c>
      <c r="AZ369" s="134" t="s">
        <v>0</v>
      </c>
      <c r="BA369" s="134" t="s">
        <v>0</v>
      </c>
      <c r="BB369" s="134" t="s">
        <v>0</v>
      </c>
      <c r="BC369" s="134" t="s">
        <v>0</v>
      </c>
      <c r="BD369" s="134" t="s">
        <v>0</v>
      </c>
      <c r="BE369" s="134" t="s">
        <v>0</v>
      </c>
      <c r="BF369" s="134" t="s">
        <v>0</v>
      </c>
      <c r="BG369" s="134" t="s">
        <v>0</v>
      </c>
      <c r="BH369" s="134" t="s">
        <v>0</v>
      </c>
      <c r="BI369" s="135" t="s">
        <v>4</v>
      </c>
    </row>
    <row r="370" spans="1:61" x14ac:dyDescent="0.25">
      <c r="A370" s="22">
        <f t="shared" si="35"/>
        <v>364</v>
      </c>
      <c r="B370" s="214" t="str">
        <f t="shared" si="44"/>
        <v>F0014826903</v>
      </c>
      <c r="C370" s="214" t="str">
        <f t="shared" si="45"/>
        <v>82115-0EA21 B</v>
      </c>
      <c r="D370" s="45" t="str">
        <f>VLOOKUP(B370,'Timing Table'!B:J,9,0)</f>
        <v>C/O</v>
      </c>
      <c r="E370" s="22" t="str">
        <f>VLOOKUP(B370,'Timing Table'!B:H,7,0)</f>
        <v>GAS</v>
      </c>
      <c r="F370" s="121" t="s">
        <v>70</v>
      </c>
      <c r="G370" s="146">
        <v>0</v>
      </c>
      <c r="H370" s="158" t="s">
        <v>241</v>
      </c>
      <c r="I370" s="159" t="s">
        <v>71</v>
      </c>
      <c r="J370" s="13">
        <v>46041</v>
      </c>
      <c r="K370" s="14">
        <v>46048</v>
      </c>
      <c r="L370" s="14">
        <v>46055</v>
      </c>
      <c r="M370" s="14">
        <v>46062</v>
      </c>
      <c r="N370" s="14">
        <v>46069</v>
      </c>
      <c r="O370" s="14">
        <v>46076</v>
      </c>
      <c r="P370" s="14">
        <v>46083</v>
      </c>
      <c r="Q370" s="14">
        <v>46090</v>
      </c>
      <c r="R370" s="14">
        <v>46097</v>
      </c>
      <c r="S370" s="14">
        <v>46104</v>
      </c>
      <c r="T370" s="14">
        <v>46111</v>
      </c>
      <c r="U370" s="14">
        <v>46118</v>
      </c>
      <c r="V370" s="14">
        <v>46125</v>
      </c>
      <c r="W370" s="14">
        <v>46132</v>
      </c>
      <c r="X370" s="14">
        <v>46139</v>
      </c>
      <c r="Y370" s="14">
        <v>46146</v>
      </c>
      <c r="Z370" s="14">
        <v>46153</v>
      </c>
      <c r="AA370" s="14">
        <v>46160</v>
      </c>
      <c r="AB370" s="14">
        <v>46167</v>
      </c>
      <c r="AC370" s="14">
        <v>46174</v>
      </c>
      <c r="AD370" s="14">
        <v>46181</v>
      </c>
      <c r="AE370" s="14">
        <v>46188</v>
      </c>
      <c r="AF370" s="14">
        <v>46195</v>
      </c>
      <c r="AG370" s="14">
        <v>46202</v>
      </c>
      <c r="AH370" s="14">
        <v>46209</v>
      </c>
      <c r="AI370" s="14">
        <v>46216</v>
      </c>
      <c r="AJ370" s="14">
        <v>46223</v>
      </c>
      <c r="AK370" s="14">
        <v>46230</v>
      </c>
      <c r="AL370" s="14">
        <v>46237</v>
      </c>
      <c r="AM370" s="14">
        <v>46244</v>
      </c>
      <c r="AN370" s="14">
        <v>46251</v>
      </c>
      <c r="AO370" s="14">
        <v>46258</v>
      </c>
      <c r="AP370" s="14">
        <v>46265</v>
      </c>
      <c r="AQ370" s="14">
        <v>46272</v>
      </c>
      <c r="AR370" s="14">
        <v>46279</v>
      </c>
      <c r="AS370" s="14">
        <v>46286</v>
      </c>
      <c r="AT370" s="14">
        <v>46293</v>
      </c>
      <c r="AU370" s="14">
        <v>46300</v>
      </c>
      <c r="AV370" s="14">
        <v>46307</v>
      </c>
      <c r="AW370" s="14">
        <v>46314</v>
      </c>
      <c r="AX370" s="14">
        <v>46321</v>
      </c>
      <c r="AY370" s="14">
        <v>46328</v>
      </c>
      <c r="AZ370" s="14">
        <v>46335</v>
      </c>
      <c r="BA370" s="14">
        <v>46342</v>
      </c>
      <c r="BB370" s="14">
        <v>46349</v>
      </c>
      <c r="BC370" s="14">
        <v>46356</v>
      </c>
      <c r="BD370" s="14">
        <v>46363</v>
      </c>
      <c r="BE370" s="14">
        <v>46370</v>
      </c>
      <c r="BF370" s="14">
        <v>46377</v>
      </c>
      <c r="BG370" s="14">
        <v>46384</v>
      </c>
      <c r="BH370" s="14">
        <v>46391</v>
      </c>
      <c r="BI370" s="15">
        <v>46398</v>
      </c>
    </row>
    <row r="371" spans="1:61" x14ac:dyDescent="0.25">
      <c r="A371" s="22">
        <f t="shared" si="35"/>
        <v>365</v>
      </c>
      <c r="B371" s="214" t="str">
        <f t="shared" si="44"/>
        <v>F0014826903</v>
      </c>
      <c r="C371" s="214" t="str">
        <f t="shared" si="45"/>
        <v>82115-0EA21 B</v>
      </c>
      <c r="D371" s="45" t="str">
        <f>VLOOKUP(B371,'Timing Table'!B:J,9,0)</f>
        <v>C/O</v>
      </c>
      <c r="E371" s="22" t="str">
        <f>VLOOKUP(B371,'Timing Table'!B:H,7,0)</f>
        <v>GAS</v>
      </c>
      <c r="F371" s="121" t="s">
        <v>72</v>
      </c>
      <c r="G371" s="146">
        <v>0</v>
      </c>
      <c r="H371" s="5" t="s">
        <v>58</v>
      </c>
      <c r="I371" s="11" t="s">
        <v>83</v>
      </c>
      <c r="J371" s="16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17"/>
    </row>
    <row r="372" spans="1:61" x14ac:dyDescent="0.25">
      <c r="A372" s="22">
        <f t="shared" si="35"/>
        <v>366</v>
      </c>
      <c r="B372" s="214" t="str">
        <f t="shared" si="44"/>
        <v>F0014826903</v>
      </c>
      <c r="C372" s="214" t="str">
        <f t="shared" si="45"/>
        <v>82115-0EA21 B</v>
      </c>
      <c r="D372" s="45" t="str">
        <f>VLOOKUP(B372,'Timing Table'!B:J,9,0)</f>
        <v>C/O</v>
      </c>
      <c r="E372" s="22" t="str">
        <f>VLOOKUP(B372,'Timing Table'!B:H,7,0)</f>
        <v>GAS</v>
      </c>
      <c r="F372" s="121" t="s">
        <v>73</v>
      </c>
      <c r="G372" s="160" t="s">
        <v>130</v>
      </c>
      <c r="H372" s="9" t="s">
        <v>120</v>
      </c>
      <c r="I372" s="11" t="s">
        <v>74</v>
      </c>
      <c r="J372" s="117">
        <v>0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  <c r="Q372" s="50">
        <v>0</v>
      </c>
      <c r="R372" s="50">
        <v>0</v>
      </c>
      <c r="S372" s="50">
        <v>0</v>
      </c>
      <c r="T372" s="50">
        <v>0</v>
      </c>
      <c r="U372" s="50">
        <v>0</v>
      </c>
      <c r="V372" s="50">
        <v>0</v>
      </c>
      <c r="W372" s="50">
        <v>0</v>
      </c>
      <c r="X372" s="50">
        <v>0</v>
      </c>
      <c r="Y372" s="50">
        <v>0</v>
      </c>
      <c r="Z372" s="50">
        <v>0</v>
      </c>
      <c r="AA372" s="50">
        <v>0</v>
      </c>
      <c r="AB372" s="50">
        <v>0</v>
      </c>
      <c r="AC372" s="50">
        <v>0</v>
      </c>
      <c r="AD372" s="50">
        <v>0</v>
      </c>
      <c r="AE372" s="50">
        <v>0</v>
      </c>
      <c r="AF372" s="50">
        <v>0</v>
      </c>
      <c r="AG372" s="50">
        <v>0</v>
      </c>
      <c r="AH372" s="50">
        <v>0</v>
      </c>
      <c r="AI372" s="50">
        <v>0</v>
      </c>
      <c r="AJ372" s="50">
        <v>0</v>
      </c>
      <c r="AK372" s="50">
        <v>0</v>
      </c>
      <c r="AL372" s="50">
        <v>0</v>
      </c>
      <c r="AM372" s="50">
        <v>0</v>
      </c>
      <c r="AN372" s="50">
        <v>0</v>
      </c>
      <c r="AO372" s="50">
        <v>0</v>
      </c>
      <c r="AP372" s="50">
        <v>0</v>
      </c>
      <c r="AQ372" s="50">
        <v>0</v>
      </c>
      <c r="AR372" s="50">
        <v>0</v>
      </c>
      <c r="AS372" s="50">
        <v>0</v>
      </c>
      <c r="AT372" s="50">
        <v>0</v>
      </c>
      <c r="AU372" s="50">
        <v>0</v>
      </c>
      <c r="AV372" s="50">
        <v>0</v>
      </c>
      <c r="AW372" s="50">
        <v>0</v>
      </c>
      <c r="AX372" s="50">
        <v>0</v>
      </c>
      <c r="AY372" s="50">
        <v>0</v>
      </c>
      <c r="AZ372" s="50">
        <v>0</v>
      </c>
      <c r="BA372" s="50">
        <v>0</v>
      </c>
      <c r="BB372" s="50">
        <v>0</v>
      </c>
      <c r="BC372" s="50">
        <v>0</v>
      </c>
      <c r="BD372" s="50">
        <v>0</v>
      </c>
      <c r="BE372" s="50">
        <v>0</v>
      </c>
      <c r="BF372" s="50">
        <v>0</v>
      </c>
      <c r="BG372" s="50">
        <v>0</v>
      </c>
      <c r="BH372" s="50">
        <v>0</v>
      </c>
      <c r="BI372" s="118">
        <v>0</v>
      </c>
    </row>
    <row r="373" spans="1:61" x14ac:dyDescent="0.25">
      <c r="A373" s="22">
        <f t="shared" si="35"/>
        <v>367</v>
      </c>
      <c r="B373" s="214" t="str">
        <f t="shared" si="44"/>
        <v>F0014826903</v>
      </c>
      <c r="C373" s="214" t="str">
        <f t="shared" si="45"/>
        <v>82115-0EA21 B</v>
      </c>
      <c r="D373" s="45" t="str">
        <f>VLOOKUP(B373,'Timing Table'!B:J,9,0)</f>
        <v>C/O</v>
      </c>
      <c r="E373" s="22" t="str">
        <f>VLOOKUP(B373,'Timing Table'!B:H,7,0)</f>
        <v>GAS</v>
      </c>
      <c r="F373" s="121" t="s">
        <v>75</v>
      </c>
      <c r="G373" s="146">
        <v>82115</v>
      </c>
      <c r="H373" s="10" t="s">
        <v>120</v>
      </c>
      <c r="I373" s="12" t="s">
        <v>76</v>
      </c>
      <c r="J373" s="161">
        <v>0</v>
      </c>
      <c r="K373" s="162">
        <v>0</v>
      </c>
      <c r="L373" s="162">
        <v>0</v>
      </c>
      <c r="M373" s="162">
        <v>0</v>
      </c>
      <c r="N373" s="162">
        <v>0</v>
      </c>
      <c r="O373" s="162">
        <v>0</v>
      </c>
      <c r="P373" s="162">
        <v>0</v>
      </c>
      <c r="Q373" s="162">
        <v>0</v>
      </c>
      <c r="R373" s="162">
        <v>0</v>
      </c>
      <c r="S373" s="162">
        <v>0</v>
      </c>
      <c r="T373" s="162">
        <v>0</v>
      </c>
      <c r="U373" s="162">
        <v>0</v>
      </c>
      <c r="V373" s="162">
        <v>0</v>
      </c>
      <c r="W373" s="162">
        <v>0</v>
      </c>
      <c r="X373" s="162">
        <v>0</v>
      </c>
      <c r="Y373" s="162">
        <v>0</v>
      </c>
      <c r="Z373" s="162">
        <v>0</v>
      </c>
      <c r="AA373" s="162">
        <v>0</v>
      </c>
      <c r="AB373" s="162">
        <v>0</v>
      </c>
      <c r="AC373" s="162">
        <v>0</v>
      </c>
      <c r="AD373" s="162">
        <v>0</v>
      </c>
      <c r="AE373" s="162">
        <v>0</v>
      </c>
      <c r="AF373" s="162">
        <v>0</v>
      </c>
      <c r="AG373" s="162">
        <v>0</v>
      </c>
      <c r="AH373" s="162">
        <v>0</v>
      </c>
      <c r="AI373" s="162">
        <v>0</v>
      </c>
      <c r="AJ373" s="162">
        <v>0</v>
      </c>
      <c r="AK373" s="162">
        <v>0</v>
      </c>
      <c r="AL373" s="162">
        <v>0</v>
      </c>
      <c r="AM373" s="162">
        <v>0</v>
      </c>
      <c r="AN373" s="162">
        <v>0</v>
      </c>
      <c r="AO373" s="162">
        <v>0</v>
      </c>
      <c r="AP373" s="162">
        <v>0</v>
      </c>
      <c r="AQ373" s="162">
        <v>0</v>
      </c>
      <c r="AR373" s="162">
        <v>0</v>
      </c>
      <c r="AS373" s="162">
        <v>0</v>
      </c>
      <c r="AT373" s="162">
        <v>0</v>
      </c>
      <c r="AU373" s="162">
        <v>0</v>
      </c>
      <c r="AV373" s="162">
        <v>0</v>
      </c>
      <c r="AW373" s="162">
        <v>0</v>
      </c>
      <c r="AX373" s="162">
        <v>0</v>
      </c>
      <c r="AY373" s="162">
        <v>0</v>
      </c>
      <c r="AZ373" s="162">
        <v>0</v>
      </c>
      <c r="BA373" s="162">
        <v>0</v>
      </c>
      <c r="BB373" s="162">
        <v>0</v>
      </c>
      <c r="BC373" s="162">
        <v>0</v>
      </c>
      <c r="BD373" s="162">
        <v>0</v>
      </c>
      <c r="BE373" s="162">
        <v>0</v>
      </c>
      <c r="BF373" s="162">
        <v>0</v>
      </c>
      <c r="BG373" s="162">
        <v>0</v>
      </c>
      <c r="BH373" s="162">
        <v>0</v>
      </c>
      <c r="BI373" s="163">
        <v>0</v>
      </c>
    </row>
    <row r="374" spans="1:61" x14ac:dyDescent="0.25">
      <c r="A374" s="22">
        <f t="shared" si="35"/>
        <v>368</v>
      </c>
      <c r="B374" s="214" t="str">
        <f t="shared" si="44"/>
        <v>F0014826903</v>
      </c>
      <c r="C374" s="214" t="str">
        <f t="shared" si="45"/>
        <v>82115-0EA21 B</v>
      </c>
      <c r="D374" s="45" t="str">
        <f>VLOOKUP(B374,'Timing Table'!B:J,9,0)</f>
        <v>C/O</v>
      </c>
      <c r="E374" s="22" t="str">
        <f>VLOOKUP(B374,'Timing Table'!B:H,7,0)</f>
        <v>GAS</v>
      </c>
      <c r="F374" s="164" t="s">
        <v>77</v>
      </c>
      <c r="G374" s="165">
        <v>0</v>
      </c>
      <c r="H374" s="166" t="s">
        <v>78</v>
      </c>
      <c r="I374" s="167"/>
      <c r="J374" s="168"/>
      <c r="K374" s="169"/>
      <c r="L374" s="170" t="s">
        <v>0</v>
      </c>
      <c r="M374" s="170" t="s">
        <v>0</v>
      </c>
      <c r="N374" s="170" t="s">
        <v>0</v>
      </c>
      <c r="O374" s="170" t="s">
        <v>0</v>
      </c>
      <c r="P374" s="170" t="s">
        <v>0</v>
      </c>
      <c r="Q374" s="170" t="s">
        <v>0</v>
      </c>
      <c r="R374" s="170" t="s">
        <v>0</v>
      </c>
      <c r="S374" s="170" t="s">
        <v>0</v>
      </c>
      <c r="T374" s="170" t="s">
        <v>0</v>
      </c>
      <c r="U374" s="170" t="s">
        <v>0</v>
      </c>
      <c r="V374" s="170" t="s">
        <v>0</v>
      </c>
      <c r="W374" s="170" t="s">
        <v>0</v>
      </c>
      <c r="X374" s="170" t="s">
        <v>0</v>
      </c>
      <c r="Y374" s="170" t="s">
        <v>0</v>
      </c>
      <c r="Z374" s="170" t="s">
        <v>0</v>
      </c>
      <c r="AA374" s="170" t="s">
        <v>0</v>
      </c>
      <c r="AB374" s="170" t="s">
        <v>0</v>
      </c>
      <c r="AC374" s="170" t="s">
        <v>0</v>
      </c>
      <c r="AD374" s="170" t="s">
        <v>0</v>
      </c>
      <c r="AE374" s="170" t="s">
        <v>0</v>
      </c>
      <c r="AF374" s="170" t="s">
        <v>0</v>
      </c>
      <c r="AG374" s="170" t="s">
        <v>0</v>
      </c>
      <c r="AH374" s="170" t="s">
        <v>0</v>
      </c>
      <c r="AI374" s="170" t="s">
        <v>0</v>
      </c>
      <c r="AJ374" s="170" t="s">
        <v>0</v>
      </c>
      <c r="AK374" s="170" t="s">
        <v>0</v>
      </c>
      <c r="AL374" s="170" t="s">
        <v>0</v>
      </c>
      <c r="AM374" s="170" t="s">
        <v>0</v>
      </c>
      <c r="AN374" s="170" t="s">
        <v>0</v>
      </c>
      <c r="AO374" s="170" t="s">
        <v>0</v>
      </c>
      <c r="AP374" s="170" t="s">
        <v>0</v>
      </c>
      <c r="AQ374" s="170" t="s">
        <v>0</v>
      </c>
      <c r="AR374" s="170" t="s">
        <v>0</v>
      </c>
      <c r="AS374" s="170" t="s">
        <v>0</v>
      </c>
      <c r="AT374" s="170" t="s">
        <v>0</v>
      </c>
      <c r="AU374" s="170" t="s">
        <v>0</v>
      </c>
      <c r="AV374" s="170" t="s">
        <v>0</v>
      </c>
      <c r="AW374" s="170" t="s">
        <v>0</v>
      </c>
      <c r="AX374" s="170" t="s">
        <v>0</v>
      </c>
      <c r="AY374" s="170" t="s">
        <v>0</v>
      </c>
      <c r="AZ374" s="170" t="s">
        <v>0</v>
      </c>
      <c r="BA374" s="170" t="s">
        <v>0</v>
      </c>
      <c r="BB374" s="170" t="s">
        <v>0</v>
      </c>
      <c r="BC374" s="170" t="s">
        <v>0</v>
      </c>
      <c r="BD374" s="170" t="s">
        <v>0</v>
      </c>
      <c r="BE374" s="170" t="s">
        <v>0</v>
      </c>
      <c r="BF374" s="170" t="s">
        <v>0</v>
      </c>
      <c r="BG374" s="170" t="s">
        <v>0</v>
      </c>
      <c r="BH374" s="170" t="s">
        <v>0</v>
      </c>
      <c r="BI374" s="171"/>
    </row>
    <row r="375" spans="1:61" x14ac:dyDescent="0.25">
      <c r="A375" s="22">
        <f t="shared" si="35"/>
        <v>369</v>
      </c>
      <c r="B375" s="214" t="str">
        <f t="shared" si="44"/>
        <v>F0014826903</v>
      </c>
      <c r="C375" s="214" t="str">
        <f>IF(F375=$F$7,#REF!,C374)</f>
        <v>82115-0EA21 B</v>
      </c>
      <c r="D375" s="45" t="str">
        <f>VLOOKUP(B375,'Timing Table'!B:J,9,0)</f>
        <v>C/O</v>
      </c>
      <c r="E375" s="22" t="str">
        <f>VLOOKUP(B375,'Timing Table'!B:H,7,0)</f>
        <v>GAS</v>
      </c>
      <c r="F375" s="172" t="s">
        <v>79</v>
      </c>
      <c r="G375" s="173" t="s">
        <v>58</v>
      </c>
      <c r="H375" s="174" t="s">
        <v>58</v>
      </c>
      <c r="I375" s="175" t="s">
        <v>58</v>
      </c>
      <c r="J375" s="175" t="s">
        <v>0</v>
      </c>
      <c r="K375" s="175" t="s">
        <v>0</v>
      </c>
      <c r="L375" s="175" t="s">
        <v>0</v>
      </c>
      <c r="M375" s="175" t="s">
        <v>0</v>
      </c>
      <c r="N375" s="175" t="s">
        <v>0</v>
      </c>
      <c r="O375" s="175" t="s">
        <v>0</v>
      </c>
      <c r="P375" s="175" t="s">
        <v>0</v>
      </c>
      <c r="Q375" s="175" t="s">
        <v>0</v>
      </c>
      <c r="R375" s="175" t="s">
        <v>0</v>
      </c>
      <c r="S375" s="175" t="s">
        <v>0</v>
      </c>
      <c r="T375" s="175" t="s">
        <v>0</v>
      </c>
      <c r="U375" s="175" t="s">
        <v>0</v>
      </c>
      <c r="V375" s="175" t="s">
        <v>0</v>
      </c>
      <c r="W375" s="175" t="s">
        <v>0</v>
      </c>
      <c r="X375" s="175" t="s">
        <v>0</v>
      </c>
      <c r="Y375" s="175" t="s">
        <v>0</v>
      </c>
      <c r="Z375" s="175" t="s">
        <v>0</v>
      </c>
      <c r="AA375" s="175" t="s">
        <v>0</v>
      </c>
      <c r="AB375" s="175" t="s">
        <v>0</v>
      </c>
      <c r="AC375" s="175" t="s">
        <v>0</v>
      </c>
      <c r="AD375" s="175" t="s">
        <v>0</v>
      </c>
      <c r="AE375" s="175" t="s">
        <v>0</v>
      </c>
      <c r="AF375" s="175" t="s">
        <v>0</v>
      </c>
      <c r="AG375" s="175" t="s">
        <v>0</v>
      </c>
      <c r="AH375" s="175" t="s">
        <v>0</v>
      </c>
      <c r="AI375" s="175" t="s">
        <v>0</v>
      </c>
      <c r="AJ375" s="175" t="s">
        <v>0</v>
      </c>
      <c r="AK375" s="175" t="s">
        <v>0</v>
      </c>
      <c r="AL375" s="175" t="s">
        <v>0</v>
      </c>
      <c r="AM375" s="175" t="s">
        <v>0</v>
      </c>
      <c r="AN375" s="175" t="s">
        <v>0</v>
      </c>
      <c r="AO375" s="175" t="s">
        <v>0</v>
      </c>
      <c r="AP375" s="175" t="s">
        <v>0</v>
      </c>
      <c r="AQ375" s="175" t="s">
        <v>0</v>
      </c>
      <c r="AR375" s="175" t="s">
        <v>0</v>
      </c>
      <c r="AS375" s="175" t="s">
        <v>0</v>
      </c>
      <c r="AT375" s="175" t="s">
        <v>0</v>
      </c>
      <c r="AU375" s="175" t="s">
        <v>0</v>
      </c>
      <c r="AV375" s="175" t="s">
        <v>0</v>
      </c>
      <c r="AW375" s="175" t="s">
        <v>0</v>
      </c>
      <c r="AX375" s="175" t="s">
        <v>0</v>
      </c>
      <c r="AY375" s="175" t="s">
        <v>0</v>
      </c>
      <c r="AZ375" s="175" t="s">
        <v>0</v>
      </c>
      <c r="BA375" s="175" t="s">
        <v>0</v>
      </c>
      <c r="BB375" s="175" t="s">
        <v>0</v>
      </c>
      <c r="BC375" s="175" t="s">
        <v>0</v>
      </c>
      <c r="BD375" s="175" t="s">
        <v>0</v>
      </c>
      <c r="BE375" s="175" t="s">
        <v>0</v>
      </c>
      <c r="BF375" s="175" t="s">
        <v>0</v>
      </c>
      <c r="BG375" s="175" t="s">
        <v>0</v>
      </c>
      <c r="BH375" s="175" t="s">
        <v>0</v>
      </c>
      <c r="BI375" s="176"/>
    </row>
    <row r="376" spans="1:61" x14ac:dyDescent="0.25">
      <c r="A376" s="22">
        <f t="shared" si="35"/>
        <v>370</v>
      </c>
      <c r="B376" s="214" t="str">
        <f>IF(F376=$F$7,#REF!,B375)</f>
        <v>F0014826903</v>
      </c>
      <c r="C376" s="214" t="str">
        <f>IF(F376=$F$7,#REF!,C375)</f>
        <v>82115-0EA21 B</v>
      </c>
      <c r="D376" s="45" t="str">
        <f>VLOOKUP(B376,'Timing Table'!B:J,9,0)</f>
        <v>C/O</v>
      </c>
      <c r="E376" s="22" t="str">
        <f>VLOOKUP(B376,'Timing Table'!B:H,7,0)</f>
        <v>GAS</v>
      </c>
      <c r="F376" s="177" t="s">
        <v>58</v>
      </c>
      <c r="G376" s="178" t="s">
        <v>58</v>
      </c>
      <c r="H376" s="179" t="s">
        <v>58</v>
      </c>
      <c r="I376" s="180" t="s">
        <v>58</v>
      </c>
      <c r="J376" s="180" t="s">
        <v>0</v>
      </c>
      <c r="K376" s="180" t="s">
        <v>0</v>
      </c>
      <c r="L376" s="180" t="s">
        <v>0</v>
      </c>
      <c r="M376" s="180" t="s">
        <v>0</v>
      </c>
      <c r="N376" s="180" t="s">
        <v>0</v>
      </c>
      <c r="O376" s="180" t="s">
        <v>0</v>
      </c>
      <c r="P376" s="180" t="s">
        <v>0</v>
      </c>
      <c r="Q376" s="180" t="s">
        <v>0</v>
      </c>
      <c r="R376" s="180" t="s">
        <v>0</v>
      </c>
      <c r="S376" s="180" t="s">
        <v>0</v>
      </c>
      <c r="T376" s="180" t="s">
        <v>0</v>
      </c>
      <c r="U376" s="180" t="s">
        <v>0</v>
      </c>
      <c r="V376" s="180" t="s">
        <v>0</v>
      </c>
      <c r="W376" s="180" t="s">
        <v>0</v>
      </c>
      <c r="X376" s="180" t="s">
        <v>0</v>
      </c>
      <c r="Y376" s="180" t="s">
        <v>0</v>
      </c>
      <c r="Z376" s="180" t="s">
        <v>0</v>
      </c>
      <c r="AA376" s="180" t="s">
        <v>0</v>
      </c>
      <c r="AB376" s="180" t="s">
        <v>0</v>
      </c>
      <c r="AC376" s="180" t="s">
        <v>0</v>
      </c>
      <c r="AD376" s="180" t="s">
        <v>0</v>
      </c>
      <c r="AE376" s="180" t="s">
        <v>0</v>
      </c>
      <c r="AF376" s="180" t="s">
        <v>0</v>
      </c>
      <c r="AG376" s="180" t="s">
        <v>0</v>
      </c>
      <c r="AH376" s="180" t="s">
        <v>0</v>
      </c>
      <c r="AI376" s="180" t="s">
        <v>0</v>
      </c>
      <c r="AJ376" s="180" t="s">
        <v>0</v>
      </c>
      <c r="AK376" s="180" t="s">
        <v>0</v>
      </c>
      <c r="AL376" s="180" t="s">
        <v>0</v>
      </c>
      <c r="AM376" s="180" t="s">
        <v>0</v>
      </c>
      <c r="AN376" s="180" t="s">
        <v>0</v>
      </c>
      <c r="AO376" s="180" t="s">
        <v>0</v>
      </c>
      <c r="AP376" s="180" t="s">
        <v>0</v>
      </c>
      <c r="AQ376" s="180" t="s">
        <v>0</v>
      </c>
      <c r="AR376" s="180" t="s">
        <v>0</v>
      </c>
      <c r="AS376" s="180" t="s">
        <v>0</v>
      </c>
      <c r="AT376" s="180" t="s">
        <v>0</v>
      </c>
      <c r="AU376" s="180" t="s">
        <v>0</v>
      </c>
      <c r="AV376" s="180" t="s">
        <v>0</v>
      </c>
      <c r="AW376" s="180" t="s">
        <v>0</v>
      </c>
      <c r="AX376" s="180" t="s">
        <v>0</v>
      </c>
      <c r="AY376" s="180" t="s">
        <v>0</v>
      </c>
      <c r="AZ376" s="180" t="s">
        <v>0</v>
      </c>
      <c r="BA376" s="180" t="s">
        <v>0</v>
      </c>
      <c r="BB376" s="180" t="s">
        <v>0</v>
      </c>
      <c r="BC376" s="180" t="s">
        <v>0</v>
      </c>
      <c r="BD376" s="180" t="s">
        <v>0</v>
      </c>
      <c r="BE376" s="180" t="s">
        <v>0</v>
      </c>
      <c r="BF376" s="180" t="s">
        <v>0</v>
      </c>
      <c r="BG376" s="180" t="s">
        <v>0</v>
      </c>
      <c r="BH376" s="180" t="s">
        <v>0</v>
      </c>
      <c r="BI376" s="181"/>
    </row>
    <row r="377" spans="1:61" x14ac:dyDescent="0.25">
      <c r="A377" s="22">
        <f t="shared" si="35"/>
        <v>371</v>
      </c>
      <c r="B377" s="214" t="str">
        <f>IF(F377=$F$7,G378,B376)</f>
        <v>F0014827001</v>
      </c>
      <c r="C377" s="214" t="str">
        <f>IF(F377=$F$7,G379,C376)</f>
        <v>82115-0E551</v>
      </c>
      <c r="D377" s="45" t="str">
        <f>VLOOKUP(B377,'Timing Table'!B:J,9,0)</f>
        <v>C/O</v>
      </c>
      <c r="E377" s="22" t="str">
        <f>VLOOKUP(B377,'Timing Table'!B:H,7,0)</f>
        <v>GAS</v>
      </c>
      <c r="F377" s="121" t="s">
        <v>59</v>
      </c>
      <c r="G377" s="146">
        <v>5500990634</v>
      </c>
      <c r="H377" s="121" t="s">
        <v>60</v>
      </c>
      <c r="I377" s="146">
        <v>156</v>
      </c>
      <c r="J377" s="121" t="s">
        <v>61</v>
      </c>
      <c r="K377" s="125">
        <v>1121476</v>
      </c>
      <c r="L377" s="126"/>
      <c r="M377" s="147" t="s">
        <v>62</v>
      </c>
      <c r="N377" s="148"/>
      <c r="O377" s="149">
        <v>46086</v>
      </c>
      <c r="P377" s="121" t="s">
        <v>63</v>
      </c>
      <c r="Q377" s="146">
        <v>4</v>
      </c>
      <c r="R377" s="6" t="s">
        <v>0</v>
      </c>
      <c r="S377" s="7" t="s">
        <v>0</v>
      </c>
      <c r="T377" s="7" t="s">
        <v>0</v>
      </c>
      <c r="U377" s="7" t="s">
        <v>0</v>
      </c>
      <c r="V377" s="7" t="s">
        <v>0</v>
      </c>
      <c r="W377" s="7" t="s">
        <v>0</v>
      </c>
      <c r="X377" s="7" t="s">
        <v>0</v>
      </c>
      <c r="Y377" s="7" t="s">
        <v>0</v>
      </c>
      <c r="Z377" s="7" t="s">
        <v>0</v>
      </c>
      <c r="AA377" s="7" t="s">
        <v>0</v>
      </c>
      <c r="AB377" s="7" t="s">
        <v>0</v>
      </c>
      <c r="AC377" s="7" t="s">
        <v>0</v>
      </c>
      <c r="AD377" s="7" t="s">
        <v>0</v>
      </c>
      <c r="AE377" s="7" t="s">
        <v>0</v>
      </c>
      <c r="AF377" s="7" t="s">
        <v>0</v>
      </c>
      <c r="AG377" s="7" t="s">
        <v>0</v>
      </c>
      <c r="AH377" s="7" t="s">
        <v>0</v>
      </c>
      <c r="AI377" s="7" t="s">
        <v>0</v>
      </c>
      <c r="AJ377" s="7" t="s">
        <v>0</v>
      </c>
      <c r="AK377" s="7" t="s">
        <v>0</v>
      </c>
      <c r="AL377" s="7" t="s">
        <v>0</v>
      </c>
      <c r="AM377" s="7" t="s">
        <v>0</v>
      </c>
      <c r="AN377" s="7" t="s">
        <v>0</v>
      </c>
      <c r="AO377" s="7" t="s">
        <v>0</v>
      </c>
      <c r="AP377" s="7" t="s">
        <v>0</v>
      </c>
      <c r="AQ377" s="7" t="s">
        <v>0</v>
      </c>
      <c r="AR377" s="7" t="s">
        <v>0</v>
      </c>
      <c r="AS377" s="7" t="s">
        <v>0</v>
      </c>
      <c r="AT377" s="7" t="s">
        <v>0</v>
      </c>
      <c r="AU377" s="7" t="s">
        <v>0</v>
      </c>
      <c r="AV377" s="7" t="s">
        <v>0</v>
      </c>
      <c r="AW377" s="7" t="s">
        <v>0</v>
      </c>
      <c r="AX377" s="7" t="s">
        <v>0</v>
      </c>
      <c r="AY377" s="7" t="s">
        <v>0</v>
      </c>
      <c r="AZ377" s="7" t="s">
        <v>0</v>
      </c>
      <c r="BA377" s="7" t="s">
        <v>0</v>
      </c>
      <c r="BB377" s="7" t="s">
        <v>0</v>
      </c>
      <c r="BC377" s="7" t="s">
        <v>0</v>
      </c>
      <c r="BD377" s="7" t="s">
        <v>0</v>
      </c>
      <c r="BE377" s="7" t="s">
        <v>0</v>
      </c>
      <c r="BF377" s="7" t="s">
        <v>0</v>
      </c>
      <c r="BG377" s="7" t="s">
        <v>0</v>
      </c>
      <c r="BH377" s="7" t="s">
        <v>0</v>
      </c>
      <c r="BI377" s="8"/>
    </row>
    <row r="378" spans="1:61" x14ac:dyDescent="0.25">
      <c r="A378" s="22">
        <f t="shared" si="35"/>
        <v>372</v>
      </c>
      <c r="B378" s="214" t="str">
        <f t="shared" ref="B378:B385" si="46">IF(F378=$F$7,G379,B377)</f>
        <v>F0014827001</v>
      </c>
      <c r="C378" s="214" t="str">
        <f t="shared" ref="C378:C384" si="47">IF(F378=$F$7,G380,C377)</f>
        <v>82115-0E551</v>
      </c>
      <c r="D378" s="45" t="str">
        <f>VLOOKUP(B378,'Timing Table'!B:J,9,0)</f>
        <v>C/O</v>
      </c>
      <c r="E378" s="22" t="str">
        <f>VLOOKUP(B378,'Timing Table'!B:H,7,0)</f>
        <v>GAS</v>
      </c>
      <c r="F378" s="121" t="s">
        <v>64</v>
      </c>
      <c r="G378" s="146" t="s">
        <v>149</v>
      </c>
      <c r="H378" s="121" t="s">
        <v>65</v>
      </c>
      <c r="I378" s="150" t="s">
        <v>255</v>
      </c>
      <c r="J378" s="151"/>
      <c r="K378" s="151"/>
      <c r="L378" s="152"/>
      <c r="M378" s="121" t="s">
        <v>66</v>
      </c>
      <c r="N378" s="146">
        <v>2026</v>
      </c>
      <c r="O378" s="140" t="s">
        <v>67</v>
      </c>
      <c r="P378" s="141"/>
      <c r="Q378" s="153" t="s">
        <v>133</v>
      </c>
      <c r="R378" s="122" t="s">
        <v>0</v>
      </c>
      <c r="S378" s="123" t="s">
        <v>0</v>
      </c>
      <c r="T378" s="123" t="s">
        <v>0</v>
      </c>
      <c r="U378" s="123" t="s">
        <v>0</v>
      </c>
      <c r="V378" s="123" t="s">
        <v>0</v>
      </c>
      <c r="W378" s="123" t="s">
        <v>0</v>
      </c>
      <c r="X378" s="123" t="s">
        <v>0</v>
      </c>
      <c r="Y378" s="123" t="s">
        <v>0</v>
      </c>
      <c r="Z378" s="123" t="s">
        <v>0</v>
      </c>
      <c r="AA378" s="123" t="s">
        <v>0</v>
      </c>
      <c r="AB378" s="123" t="s">
        <v>0</v>
      </c>
      <c r="AC378" s="123" t="s">
        <v>0</v>
      </c>
      <c r="AD378" s="123" t="s">
        <v>0</v>
      </c>
      <c r="AE378" s="123" t="s">
        <v>0</v>
      </c>
      <c r="AF378" s="123" t="s">
        <v>0</v>
      </c>
      <c r="AG378" s="123" t="s">
        <v>0</v>
      </c>
      <c r="AH378" s="123" t="s">
        <v>0</v>
      </c>
      <c r="AI378" s="123" t="s">
        <v>0</v>
      </c>
      <c r="AJ378" s="123" t="s">
        <v>0</v>
      </c>
      <c r="AK378" s="123" t="s">
        <v>0</v>
      </c>
      <c r="AL378" s="123" t="s">
        <v>0</v>
      </c>
      <c r="AM378" s="123" t="s">
        <v>0</v>
      </c>
      <c r="AN378" s="123" t="s">
        <v>0</v>
      </c>
      <c r="AO378" s="123" t="s">
        <v>0</v>
      </c>
      <c r="AP378" s="123" t="s">
        <v>0</v>
      </c>
      <c r="AQ378" s="123" t="s">
        <v>0</v>
      </c>
      <c r="AR378" s="123" t="s">
        <v>0</v>
      </c>
      <c r="AS378" s="123" t="s">
        <v>0</v>
      </c>
      <c r="AT378" s="123" t="s">
        <v>0</v>
      </c>
      <c r="AU378" s="123" t="s">
        <v>0</v>
      </c>
      <c r="AV378" s="123" t="s">
        <v>0</v>
      </c>
      <c r="AW378" s="123" t="s">
        <v>0</v>
      </c>
      <c r="AX378" s="123" t="s">
        <v>0</v>
      </c>
      <c r="AY378" s="123" t="s">
        <v>0</v>
      </c>
      <c r="AZ378" s="123" t="s">
        <v>0</v>
      </c>
      <c r="BA378" s="123" t="s">
        <v>0</v>
      </c>
      <c r="BB378" s="123" t="s">
        <v>0</v>
      </c>
      <c r="BC378" s="123" t="s">
        <v>0</v>
      </c>
      <c r="BD378" s="123" t="s">
        <v>0</v>
      </c>
      <c r="BE378" s="123" t="s">
        <v>0</v>
      </c>
      <c r="BF378" s="123" t="s">
        <v>0</v>
      </c>
      <c r="BG378" s="123" t="s">
        <v>0</v>
      </c>
      <c r="BH378" s="123" t="s">
        <v>0</v>
      </c>
      <c r="BI378" s="124"/>
    </row>
    <row r="379" spans="1:61" x14ac:dyDescent="0.25">
      <c r="A379" s="22">
        <f t="shared" si="35"/>
        <v>373</v>
      </c>
      <c r="B379" s="214" t="str">
        <f t="shared" si="46"/>
        <v>F0014827001</v>
      </c>
      <c r="C379" s="214" t="str">
        <f t="shared" si="47"/>
        <v>82115-0E551</v>
      </c>
      <c r="D379" s="45" t="str">
        <f>VLOOKUP(B379,'Timing Table'!B:J,9,0)</f>
        <v>C/O</v>
      </c>
      <c r="E379" s="22" t="str">
        <f>VLOOKUP(B379,'Timing Table'!B:H,7,0)</f>
        <v>GAS</v>
      </c>
      <c r="F379" s="121" t="s">
        <v>68</v>
      </c>
      <c r="G379" s="146" t="s">
        <v>118</v>
      </c>
      <c r="H379" s="121" t="s">
        <v>69</v>
      </c>
      <c r="I379" s="154" t="s">
        <v>58</v>
      </c>
      <c r="J379" s="155" t="s">
        <v>0</v>
      </c>
      <c r="K379" s="156" t="s">
        <v>0</v>
      </c>
      <c r="L379" s="157" t="s">
        <v>0</v>
      </c>
      <c r="M379" s="134" t="s">
        <v>0</v>
      </c>
      <c r="N379" s="134" t="s">
        <v>0</v>
      </c>
      <c r="O379" s="134" t="s">
        <v>0</v>
      </c>
      <c r="P379" s="134" t="s">
        <v>0</v>
      </c>
      <c r="Q379" s="134" t="s">
        <v>1</v>
      </c>
      <c r="R379" s="134" t="s">
        <v>2</v>
      </c>
      <c r="S379" s="134" t="s">
        <v>0</v>
      </c>
      <c r="T379" s="134" t="s">
        <v>0</v>
      </c>
      <c r="U379" s="134" t="s">
        <v>0</v>
      </c>
      <c r="V379" s="134" t="s">
        <v>0</v>
      </c>
      <c r="W379" s="134" t="s">
        <v>0</v>
      </c>
      <c r="X379" s="134" t="s">
        <v>0</v>
      </c>
      <c r="Y379" s="134" t="s">
        <v>0</v>
      </c>
      <c r="Z379" s="134" t="s">
        <v>3</v>
      </c>
      <c r="AA379" s="134" t="s">
        <v>0</v>
      </c>
      <c r="AB379" s="134" t="s">
        <v>0</v>
      </c>
      <c r="AC379" s="134" t="s">
        <v>0</v>
      </c>
      <c r="AD379" s="134" t="s">
        <v>0</v>
      </c>
      <c r="AE379" s="134" t="s">
        <v>0</v>
      </c>
      <c r="AF379" s="134" t="s">
        <v>0</v>
      </c>
      <c r="AG379" s="134" t="s">
        <v>0</v>
      </c>
      <c r="AH379" s="134" t="s">
        <v>0</v>
      </c>
      <c r="AI379" s="134" t="s">
        <v>0</v>
      </c>
      <c r="AJ379" s="134" t="s">
        <v>0</v>
      </c>
      <c r="AK379" s="134" t="s">
        <v>0</v>
      </c>
      <c r="AL379" s="134" t="s">
        <v>0</v>
      </c>
      <c r="AM379" s="134" t="s">
        <v>0</v>
      </c>
      <c r="AN379" s="134" t="s">
        <v>0</v>
      </c>
      <c r="AO379" s="134" t="s">
        <v>0</v>
      </c>
      <c r="AP379" s="134" t="s">
        <v>0</v>
      </c>
      <c r="AQ379" s="134" t="s">
        <v>0</v>
      </c>
      <c r="AR379" s="134" t="s">
        <v>0</v>
      </c>
      <c r="AS379" s="134" t="s">
        <v>0</v>
      </c>
      <c r="AT379" s="134" t="s">
        <v>0</v>
      </c>
      <c r="AU379" s="134" t="s">
        <v>0</v>
      </c>
      <c r="AV379" s="134" t="s">
        <v>0</v>
      </c>
      <c r="AW379" s="134" t="s">
        <v>0</v>
      </c>
      <c r="AX379" s="134" t="s">
        <v>0</v>
      </c>
      <c r="AY379" s="134" t="s">
        <v>0</v>
      </c>
      <c r="AZ379" s="134" t="s">
        <v>0</v>
      </c>
      <c r="BA379" s="134" t="s">
        <v>0</v>
      </c>
      <c r="BB379" s="134" t="s">
        <v>0</v>
      </c>
      <c r="BC379" s="134" t="s">
        <v>0</v>
      </c>
      <c r="BD379" s="134" t="s">
        <v>0</v>
      </c>
      <c r="BE379" s="134" t="s">
        <v>0</v>
      </c>
      <c r="BF379" s="134" t="s">
        <v>0</v>
      </c>
      <c r="BG379" s="134" t="s">
        <v>0</v>
      </c>
      <c r="BH379" s="134" t="s">
        <v>0</v>
      </c>
      <c r="BI379" s="135" t="s">
        <v>4</v>
      </c>
    </row>
    <row r="380" spans="1:61" x14ac:dyDescent="0.25">
      <c r="A380" s="22">
        <f t="shared" si="35"/>
        <v>374</v>
      </c>
      <c r="B380" s="214" t="str">
        <f t="shared" si="46"/>
        <v>F0014827001</v>
      </c>
      <c r="C380" s="214" t="str">
        <f t="shared" si="47"/>
        <v>82115-0E551</v>
      </c>
      <c r="D380" s="45" t="str">
        <f>VLOOKUP(B380,'Timing Table'!B:J,9,0)</f>
        <v>C/O</v>
      </c>
      <c r="E380" s="22" t="str">
        <f>VLOOKUP(B380,'Timing Table'!B:H,7,0)</f>
        <v>GAS</v>
      </c>
      <c r="F380" s="121" t="s">
        <v>70</v>
      </c>
      <c r="G380" s="146">
        <v>36</v>
      </c>
      <c r="H380" s="158" t="s">
        <v>241</v>
      </c>
      <c r="I380" s="159" t="s">
        <v>71</v>
      </c>
      <c r="J380" s="13">
        <v>46041</v>
      </c>
      <c r="K380" s="14">
        <v>46048</v>
      </c>
      <c r="L380" s="14">
        <v>46055</v>
      </c>
      <c r="M380" s="14">
        <v>46062</v>
      </c>
      <c r="N380" s="14">
        <v>46069</v>
      </c>
      <c r="O380" s="14">
        <v>46076</v>
      </c>
      <c r="P380" s="14">
        <v>46083</v>
      </c>
      <c r="Q380" s="14">
        <v>46090</v>
      </c>
      <c r="R380" s="14">
        <v>46097</v>
      </c>
      <c r="S380" s="14">
        <v>46104</v>
      </c>
      <c r="T380" s="14">
        <v>46111</v>
      </c>
      <c r="U380" s="14">
        <v>46118</v>
      </c>
      <c r="V380" s="14">
        <v>46125</v>
      </c>
      <c r="W380" s="14">
        <v>46132</v>
      </c>
      <c r="X380" s="14">
        <v>46139</v>
      </c>
      <c r="Y380" s="14">
        <v>46146</v>
      </c>
      <c r="Z380" s="14">
        <v>46153</v>
      </c>
      <c r="AA380" s="14">
        <v>46160</v>
      </c>
      <c r="AB380" s="14">
        <v>46167</v>
      </c>
      <c r="AC380" s="14">
        <v>46174</v>
      </c>
      <c r="AD380" s="14">
        <v>46181</v>
      </c>
      <c r="AE380" s="14">
        <v>46188</v>
      </c>
      <c r="AF380" s="14">
        <v>46195</v>
      </c>
      <c r="AG380" s="14">
        <v>46202</v>
      </c>
      <c r="AH380" s="14">
        <v>46209</v>
      </c>
      <c r="AI380" s="14">
        <v>46216</v>
      </c>
      <c r="AJ380" s="14">
        <v>46223</v>
      </c>
      <c r="AK380" s="14">
        <v>46230</v>
      </c>
      <c r="AL380" s="14">
        <v>46237</v>
      </c>
      <c r="AM380" s="14">
        <v>46244</v>
      </c>
      <c r="AN380" s="14">
        <v>46251</v>
      </c>
      <c r="AO380" s="14">
        <v>46258</v>
      </c>
      <c r="AP380" s="14">
        <v>46265</v>
      </c>
      <c r="AQ380" s="14">
        <v>46272</v>
      </c>
      <c r="AR380" s="14">
        <v>46279</v>
      </c>
      <c r="AS380" s="14">
        <v>46286</v>
      </c>
      <c r="AT380" s="14">
        <v>46293</v>
      </c>
      <c r="AU380" s="14">
        <v>46300</v>
      </c>
      <c r="AV380" s="14">
        <v>46307</v>
      </c>
      <c r="AW380" s="14">
        <v>46314</v>
      </c>
      <c r="AX380" s="14">
        <v>46321</v>
      </c>
      <c r="AY380" s="14">
        <v>46328</v>
      </c>
      <c r="AZ380" s="14">
        <v>46335</v>
      </c>
      <c r="BA380" s="14">
        <v>46342</v>
      </c>
      <c r="BB380" s="14">
        <v>46349</v>
      </c>
      <c r="BC380" s="14">
        <v>46356</v>
      </c>
      <c r="BD380" s="14">
        <v>46363</v>
      </c>
      <c r="BE380" s="14">
        <v>46370</v>
      </c>
      <c r="BF380" s="14">
        <v>46377</v>
      </c>
      <c r="BG380" s="14">
        <v>46384</v>
      </c>
      <c r="BH380" s="14">
        <v>46391</v>
      </c>
      <c r="BI380" s="15">
        <v>46398</v>
      </c>
    </row>
    <row r="381" spans="1:61" x14ac:dyDescent="0.25">
      <c r="A381" s="22">
        <f t="shared" si="35"/>
        <v>375</v>
      </c>
      <c r="B381" s="214" t="str">
        <f t="shared" si="46"/>
        <v>F0014827001</v>
      </c>
      <c r="C381" s="214" t="str">
        <f t="shared" si="47"/>
        <v>82115-0E551</v>
      </c>
      <c r="D381" s="45" t="str">
        <f>VLOOKUP(B381,'Timing Table'!B:J,9,0)</f>
        <v>C/O</v>
      </c>
      <c r="E381" s="22" t="str">
        <f>VLOOKUP(B381,'Timing Table'!B:H,7,0)</f>
        <v>GAS</v>
      </c>
      <c r="F381" s="121" t="s">
        <v>72</v>
      </c>
      <c r="G381" s="146">
        <v>196</v>
      </c>
      <c r="H381" s="5" t="s">
        <v>58</v>
      </c>
      <c r="I381" s="11" t="s">
        <v>83</v>
      </c>
      <c r="J381" s="16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  <c r="BE381" s="49"/>
      <c r="BF381" s="49"/>
      <c r="BG381" s="49"/>
      <c r="BH381" s="49"/>
      <c r="BI381" s="17"/>
    </row>
    <row r="382" spans="1:61" x14ac:dyDescent="0.25">
      <c r="A382" s="22">
        <f t="shared" si="35"/>
        <v>376</v>
      </c>
      <c r="B382" s="214" t="str">
        <f t="shared" si="46"/>
        <v>F0014827001</v>
      </c>
      <c r="C382" s="214" t="str">
        <f t="shared" si="47"/>
        <v>82115-0E551</v>
      </c>
      <c r="D382" s="45" t="str">
        <f>VLOOKUP(B382,'Timing Table'!B:J,9,0)</f>
        <v>C/O</v>
      </c>
      <c r="E382" s="22" t="str">
        <f>VLOOKUP(B382,'Timing Table'!B:H,7,0)</f>
        <v>GAS</v>
      </c>
      <c r="F382" s="121" t="s">
        <v>73</v>
      </c>
      <c r="G382" s="160" t="s">
        <v>130</v>
      </c>
      <c r="H382" s="9" t="s">
        <v>118</v>
      </c>
      <c r="I382" s="11" t="s">
        <v>74</v>
      </c>
      <c r="J382" s="117">
        <v>0</v>
      </c>
      <c r="K382" s="50">
        <v>0</v>
      </c>
      <c r="L382" s="50">
        <v>0</v>
      </c>
      <c r="M382" s="50">
        <v>0</v>
      </c>
      <c r="N382" s="50">
        <v>0</v>
      </c>
      <c r="O382" s="50">
        <v>0</v>
      </c>
      <c r="P382" s="50">
        <v>0</v>
      </c>
      <c r="Q382" s="50">
        <v>0</v>
      </c>
      <c r="R382" s="50">
        <v>0</v>
      </c>
      <c r="S382" s="50">
        <v>0</v>
      </c>
      <c r="T382" s="50">
        <v>0</v>
      </c>
      <c r="U382" s="50">
        <v>0</v>
      </c>
      <c r="V382" s="50">
        <v>0</v>
      </c>
      <c r="W382" s="50">
        <v>0</v>
      </c>
      <c r="X382" s="50">
        <v>0</v>
      </c>
      <c r="Y382" s="50">
        <v>0</v>
      </c>
      <c r="Z382" s="50">
        <v>0</v>
      </c>
      <c r="AA382" s="50">
        <v>0</v>
      </c>
      <c r="AB382" s="50">
        <v>0</v>
      </c>
      <c r="AC382" s="50">
        <v>0</v>
      </c>
      <c r="AD382" s="50">
        <v>0</v>
      </c>
      <c r="AE382" s="50">
        <v>0</v>
      </c>
      <c r="AF382" s="50">
        <v>0</v>
      </c>
      <c r="AG382" s="50">
        <v>0</v>
      </c>
      <c r="AH382" s="50">
        <v>0</v>
      </c>
      <c r="AI382" s="50">
        <v>0</v>
      </c>
      <c r="AJ382" s="50">
        <v>0</v>
      </c>
      <c r="AK382" s="50">
        <v>0</v>
      </c>
      <c r="AL382" s="50">
        <v>0</v>
      </c>
      <c r="AM382" s="50">
        <v>0</v>
      </c>
      <c r="AN382" s="50">
        <v>0</v>
      </c>
      <c r="AO382" s="50">
        <v>0</v>
      </c>
      <c r="AP382" s="50">
        <v>0</v>
      </c>
      <c r="AQ382" s="50">
        <v>0</v>
      </c>
      <c r="AR382" s="50">
        <v>0</v>
      </c>
      <c r="AS382" s="50">
        <v>0</v>
      </c>
      <c r="AT382" s="50">
        <v>0</v>
      </c>
      <c r="AU382" s="50">
        <v>0</v>
      </c>
      <c r="AV382" s="50">
        <v>0</v>
      </c>
      <c r="AW382" s="50">
        <v>0</v>
      </c>
      <c r="AX382" s="50">
        <v>0</v>
      </c>
      <c r="AY382" s="50">
        <v>0</v>
      </c>
      <c r="AZ382" s="50">
        <v>0</v>
      </c>
      <c r="BA382" s="50">
        <v>0</v>
      </c>
      <c r="BB382" s="50">
        <v>0</v>
      </c>
      <c r="BC382" s="50">
        <v>0</v>
      </c>
      <c r="BD382" s="50">
        <v>0</v>
      </c>
      <c r="BE382" s="50">
        <v>0</v>
      </c>
      <c r="BF382" s="50">
        <v>0</v>
      </c>
      <c r="BG382" s="50">
        <v>0</v>
      </c>
      <c r="BH382" s="50">
        <v>0</v>
      </c>
      <c r="BI382" s="118">
        <v>0</v>
      </c>
    </row>
    <row r="383" spans="1:61" x14ac:dyDescent="0.25">
      <c r="A383" s="22">
        <f t="shared" si="35"/>
        <v>377</v>
      </c>
      <c r="B383" s="214" t="str">
        <f t="shared" si="46"/>
        <v>F0014827001</v>
      </c>
      <c r="C383" s="214" t="str">
        <f t="shared" si="47"/>
        <v>82115-0E551</v>
      </c>
      <c r="D383" s="45" t="str">
        <f>VLOOKUP(B383,'Timing Table'!B:J,9,0)</f>
        <v>C/O</v>
      </c>
      <c r="E383" s="22" t="str">
        <f>VLOOKUP(B383,'Timing Table'!B:H,7,0)</f>
        <v>GAS</v>
      </c>
      <c r="F383" s="121" t="s">
        <v>75</v>
      </c>
      <c r="G383" s="146">
        <v>82115</v>
      </c>
      <c r="H383" s="10" t="s">
        <v>118</v>
      </c>
      <c r="I383" s="12" t="s">
        <v>76</v>
      </c>
      <c r="J383" s="161">
        <v>36</v>
      </c>
      <c r="K383" s="162">
        <v>36</v>
      </c>
      <c r="L383" s="162">
        <v>36</v>
      </c>
      <c r="M383" s="162">
        <v>36</v>
      </c>
      <c r="N383" s="162">
        <v>36</v>
      </c>
      <c r="O383" s="162">
        <v>36</v>
      </c>
      <c r="P383" s="162">
        <v>36</v>
      </c>
      <c r="Q383" s="162">
        <v>36</v>
      </c>
      <c r="R383" s="162">
        <v>36</v>
      </c>
      <c r="S383" s="162">
        <v>36</v>
      </c>
      <c r="T383" s="162">
        <v>36</v>
      </c>
      <c r="U383" s="162">
        <v>36</v>
      </c>
      <c r="V383" s="162">
        <v>36</v>
      </c>
      <c r="W383" s="162">
        <v>36</v>
      </c>
      <c r="X383" s="162">
        <v>36</v>
      </c>
      <c r="Y383" s="162">
        <v>36</v>
      </c>
      <c r="Z383" s="162">
        <v>36</v>
      </c>
      <c r="AA383" s="162">
        <v>36</v>
      </c>
      <c r="AB383" s="162">
        <v>36</v>
      </c>
      <c r="AC383" s="162">
        <v>36</v>
      </c>
      <c r="AD383" s="162">
        <v>36</v>
      </c>
      <c r="AE383" s="162">
        <v>36</v>
      </c>
      <c r="AF383" s="162">
        <v>36</v>
      </c>
      <c r="AG383" s="162">
        <v>36</v>
      </c>
      <c r="AH383" s="162">
        <v>36</v>
      </c>
      <c r="AI383" s="162">
        <v>36</v>
      </c>
      <c r="AJ383" s="162">
        <v>36</v>
      </c>
      <c r="AK383" s="162">
        <v>36</v>
      </c>
      <c r="AL383" s="162">
        <v>36</v>
      </c>
      <c r="AM383" s="162">
        <v>36</v>
      </c>
      <c r="AN383" s="162">
        <v>36</v>
      </c>
      <c r="AO383" s="162">
        <v>36</v>
      </c>
      <c r="AP383" s="162">
        <v>36</v>
      </c>
      <c r="AQ383" s="162">
        <v>36</v>
      </c>
      <c r="AR383" s="162">
        <v>36</v>
      </c>
      <c r="AS383" s="162">
        <v>36</v>
      </c>
      <c r="AT383" s="162">
        <v>36</v>
      </c>
      <c r="AU383" s="162">
        <v>36</v>
      </c>
      <c r="AV383" s="162">
        <v>36</v>
      </c>
      <c r="AW383" s="162">
        <v>36</v>
      </c>
      <c r="AX383" s="162">
        <v>36</v>
      </c>
      <c r="AY383" s="162">
        <v>36</v>
      </c>
      <c r="AZ383" s="162">
        <v>36</v>
      </c>
      <c r="BA383" s="162">
        <v>36</v>
      </c>
      <c r="BB383" s="162">
        <v>36</v>
      </c>
      <c r="BC383" s="162">
        <v>36</v>
      </c>
      <c r="BD383" s="162">
        <v>36</v>
      </c>
      <c r="BE383" s="162">
        <v>36</v>
      </c>
      <c r="BF383" s="162">
        <v>36</v>
      </c>
      <c r="BG383" s="162">
        <v>36</v>
      </c>
      <c r="BH383" s="162">
        <v>36</v>
      </c>
      <c r="BI383" s="163">
        <v>36</v>
      </c>
    </row>
    <row r="384" spans="1:61" x14ac:dyDescent="0.25">
      <c r="A384" s="22">
        <f t="shared" si="35"/>
        <v>378</v>
      </c>
      <c r="B384" s="214" t="str">
        <f t="shared" si="46"/>
        <v>F0014827001</v>
      </c>
      <c r="C384" s="214" t="str">
        <f t="shared" si="47"/>
        <v>82115-0E551</v>
      </c>
      <c r="D384" s="45" t="str">
        <f>VLOOKUP(B384,'Timing Table'!B:J,9,0)</f>
        <v>C/O</v>
      </c>
      <c r="E384" s="22" t="str">
        <f>VLOOKUP(B384,'Timing Table'!B:H,7,0)</f>
        <v>GAS</v>
      </c>
      <c r="F384" s="164" t="s">
        <v>77</v>
      </c>
      <c r="G384" s="165">
        <v>36</v>
      </c>
      <c r="H384" s="166" t="s">
        <v>78</v>
      </c>
      <c r="I384" s="167"/>
      <c r="J384" s="168" t="s">
        <v>253</v>
      </c>
      <c r="K384" s="169"/>
      <c r="L384" s="170" t="s">
        <v>0</v>
      </c>
      <c r="M384" s="170" t="s">
        <v>0</v>
      </c>
      <c r="N384" s="170" t="s">
        <v>0</v>
      </c>
      <c r="O384" s="170" t="s">
        <v>0</v>
      </c>
      <c r="P384" s="170" t="s">
        <v>0</v>
      </c>
      <c r="Q384" s="170" t="s">
        <v>0</v>
      </c>
      <c r="R384" s="170" t="s">
        <v>0</v>
      </c>
      <c r="S384" s="170" t="s">
        <v>0</v>
      </c>
      <c r="T384" s="170" t="s">
        <v>0</v>
      </c>
      <c r="U384" s="170" t="s">
        <v>0</v>
      </c>
      <c r="V384" s="170" t="s">
        <v>0</v>
      </c>
      <c r="W384" s="170" t="s">
        <v>0</v>
      </c>
      <c r="X384" s="170" t="s">
        <v>0</v>
      </c>
      <c r="Y384" s="170" t="s">
        <v>0</v>
      </c>
      <c r="Z384" s="170" t="s">
        <v>0</v>
      </c>
      <c r="AA384" s="170" t="s">
        <v>0</v>
      </c>
      <c r="AB384" s="170" t="s">
        <v>0</v>
      </c>
      <c r="AC384" s="170" t="s">
        <v>0</v>
      </c>
      <c r="AD384" s="170" t="s">
        <v>0</v>
      </c>
      <c r="AE384" s="170" t="s">
        <v>0</v>
      </c>
      <c r="AF384" s="170" t="s">
        <v>0</v>
      </c>
      <c r="AG384" s="170" t="s">
        <v>0</v>
      </c>
      <c r="AH384" s="170" t="s">
        <v>0</v>
      </c>
      <c r="AI384" s="170" t="s">
        <v>0</v>
      </c>
      <c r="AJ384" s="170" t="s">
        <v>0</v>
      </c>
      <c r="AK384" s="170" t="s">
        <v>0</v>
      </c>
      <c r="AL384" s="170" t="s">
        <v>0</v>
      </c>
      <c r="AM384" s="170" t="s">
        <v>0</v>
      </c>
      <c r="AN384" s="170" t="s">
        <v>0</v>
      </c>
      <c r="AO384" s="170" t="s">
        <v>0</v>
      </c>
      <c r="AP384" s="170" t="s">
        <v>0</v>
      </c>
      <c r="AQ384" s="170" t="s">
        <v>0</v>
      </c>
      <c r="AR384" s="170" t="s">
        <v>0</v>
      </c>
      <c r="AS384" s="170" t="s">
        <v>0</v>
      </c>
      <c r="AT384" s="170" t="s">
        <v>0</v>
      </c>
      <c r="AU384" s="170" t="s">
        <v>0</v>
      </c>
      <c r="AV384" s="170" t="s">
        <v>0</v>
      </c>
      <c r="AW384" s="170" t="s">
        <v>0</v>
      </c>
      <c r="AX384" s="170" t="s">
        <v>0</v>
      </c>
      <c r="AY384" s="170" t="s">
        <v>0</v>
      </c>
      <c r="AZ384" s="170" t="s">
        <v>0</v>
      </c>
      <c r="BA384" s="170" t="s">
        <v>0</v>
      </c>
      <c r="BB384" s="170" t="s">
        <v>0</v>
      </c>
      <c r="BC384" s="170" t="s">
        <v>0</v>
      </c>
      <c r="BD384" s="170" t="s">
        <v>0</v>
      </c>
      <c r="BE384" s="170" t="s">
        <v>0</v>
      </c>
      <c r="BF384" s="170" t="s">
        <v>0</v>
      </c>
      <c r="BG384" s="170" t="s">
        <v>0</v>
      </c>
      <c r="BH384" s="170" t="s">
        <v>0</v>
      </c>
      <c r="BI384" s="171"/>
    </row>
    <row r="385" spans="1:61" x14ac:dyDescent="0.25">
      <c r="A385" s="22">
        <f t="shared" si="35"/>
        <v>379</v>
      </c>
      <c r="B385" s="214" t="str">
        <f t="shared" si="46"/>
        <v>F0014827001</v>
      </c>
      <c r="C385" s="214" t="str">
        <f>IF(F385=$F$7,#REF!,C384)</f>
        <v>82115-0E551</v>
      </c>
      <c r="D385" s="45" t="str">
        <f>VLOOKUP(B385,'Timing Table'!B:J,9,0)</f>
        <v>C/O</v>
      </c>
      <c r="E385" s="22" t="str">
        <f>VLOOKUP(B385,'Timing Table'!B:H,7,0)</f>
        <v>GAS</v>
      </c>
      <c r="F385" s="172" t="s">
        <v>79</v>
      </c>
      <c r="G385" s="173" t="s">
        <v>58</v>
      </c>
      <c r="H385" s="174" t="s">
        <v>58</v>
      </c>
      <c r="I385" s="175" t="s">
        <v>58</v>
      </c>
      <c r="J385" s="175" t="s">
        <v>0</v>
      </c>
      <c r="K385" s="175" t="s">
        <v>0</v>
      </c>
      <c r="L385" s="175" t="s">
        <v>0</v>
      </c>
      <c r="M385" s="175" t="s">
        <v>0</v>
      </c>
      <c r="N385" s="175" t="s">
        <v>0</v>
      </c>
      <c r="O385" s="175" t="s">
        <v>0</v>
      </c>
      <c r="P385" s="175" t="s">
        <v>0</v>
      </c>
      <c r="Q385" s="175" t="s">
        <v>0</v>
      </c>
      <c r="R385" s="175" t="s">
        <v>0</v>
      </c>
      <c r="S385" s="175" t="s">
        <v>0</v>
      </c>
      <c r="T385" s="175" t="s">
        <v>0</v>
      </c>
      <c r="U385" s="175" t="s">
        <v>0</v>
      </c>
      <c r="V385" s="175" t="s">
        <v>0</v>
      </c>
      <c r="W385" s="175" t="s">
        <v>0</v>
      </c>
      <c r="X385" s="175" t="s">
        <v>0</v>
      </c>
      <c r="Y385" s="175" t="s">
        <v>0</v>
      </c>
      <c r="Z385" s="175" t="s">
        <v>0</v>
      </c>
      <c r="AA385" s="175" t="s">
        <v>0</v>
      </c>
      <c r="AB385" s="175" t="s">
        <v>0</v>
      </c>
      <c r="AC385" s="175" t="s">
        <v>0</v>
      </c>
      <c r="AD385" s="175" t="s">
        <v>0</v>
      </c>
      <c r="AE385" s="175" t="s">
        <v>0</v>
      </c>
      <c r="AF385" s="175" t="s">
        <v>0</v>
      </c>
      <c r="AG385" s="175" t="s">
        <v>0</v>
      </c>
      <c r="AH385" s="175" t="s">
        <v>0</v>
      </c>
      <c r="AI385" s="175" t="s">
        <v>0</v>
      </c>
      <c r="AJ385" s="175" t="s">
        <v>0</v>
      </c>
      <c r="AK385" s="175" t="s">
        <v>0</v>
      </c>
      <c r="AL385" s="175" t="s">
        <v>0</v>
      </c>
      <c r="AM385" s="175" t="s">
        <v>0</v>
      </c>
      <c r="AN385" s="175" t="s">
        <v>0</v>
      </c>
      <c r="AO385" s="175" t="s">
        <v>0</v>
      </c>
      <c r="AP385" s="175" t="s">
        <v>0</v>
      </c>
      <c r="AQ385" s="175" t="s">
        <v>0</v>
      </c>
      <c r="AR385" s="175" t="s">
        <v>0</v>
      </c>
      <c r="AS385" s="175" t="s">
        <v>0</v>
      </c>
      <c r="AT385" s="175" t="s">
        <v>0</v>
      </c>
      <c r="AU385" s="175" t="s">
        <v>0</v>
      </c>
      <c r="AV385" s="175" t="s">
        <v>0</v>
      </c>
      <c r="AW385" s="175" t="s">
        <v>0</v>
      </c>
      <c r="AX385" s="175" t="s">
        <v>0</v>
      </c>
      <c r="AY385" s="175" t="s">
        <v>0</v>
      </c>
      <c r="AZ385" s="175" t="s">
        <v>0</v>
      </c>
      <c r="BA385" s="175" t="s">
        <v>0</v>
      </c>
      <c r="BB385" s="175" t="s">
        <v>0</v>
      </c>
      <c r="BC385" s="175" t="s">
        <v>0</v>
      </c>
      <c r="BD385" s="175" t="s">
        <v>0</v>
      </c>
      <c r="BE385" s="175" t="s">
        <v>0</v>
      </c>
      <c r="BF385" s="175" t="s">
        <v>0</v>
      </c>
      <c r="BG385" s="175" t="s">
        <v>0</v>
      </c>
      <c r="BH385" s="175" t="s">
        <v>0</v>
      </c>
      <c r="BI385" s="176"/>
    </row>
    <row r="386" spans="1:61" x14ac:dyDescent="0.25">
      <c r="A386" s="22">
        <f t="shared" si="35"/>
        <v>380</v>
      </c>
      <c r="B386" s="214" t="str">
        <f>IF(F386=$F$7,#REF!,B385)</f>
        <v>F0014827001</v>
      </c>
      <c r="C386" s="214" t="str">
        <f>IF(F386=$F$7,#REF!,C385)</f>
        <v>82115-0E551</v>
      </c>
      <c r="D386" s="45" t="str">
        <f>VLOOKUP(B386,'Timing Table'!B:J,9,0)</f>
        <v>C/O</v>
      </c>
      <c r="E386" s="22" t="str">
        <f>VLOOKUP(B386,'Timing Table'!B:H,7,0)</f>
        <v>GAS</v>
      </c>
      <c r="F386" s="177" t="s">
        <v>58</v>
      </c>
      <c r="G386" s="178" t="s">
        <v>58</v>
      </c>
      <c r="H386" s="179" t="s">
        <v>58</v>
      </c>
      <c r="I386" s="180" t="s">
        <v>58</v>
      </c>
      <c r="J386" s="180" t="s">
        <v>0</v>
      </c>
      <c r="K386" s="180" t="s">
        <v>0</v>
      </c>
      <c r="L386" s="180" t="s">
        <v>0</v>
      </c>
      <c r="M386" s="180" t="s">
        <v>0</v>
      </c>
      <c r="N386" s="180" t="s">
        <v>0</v>
      </c>
      <c r="O386" s="180" t="s">
        <v>0</v>
      </c>
      <c r="P386" s="180" t="s">
        <v>0</v>
      </c>
      <c r="Q386" s="180" t="s">
        <v>0</v>
      </c>
      <c r="R386" s="180" t="s">
        <v>0</v>
      </c>
      <c r="S386" s="180" t="s">
        <v>0</v>
      </c>
      <c r="T386" s="180" t="s">
        <v>0</v>
      </c>
      <c r="U386" s="180" t="s">
        <v>0</v>
      </c>
      <c r="V386" s="180" t="s">
        <v>0</v>
      </c>
      <c r="W386" s="180" t="s">
        <v>0</v>
      </c>
      <c r="X386" s="180" t="s">
        <v>0</v>
      </c>
      <c r="Y386" s="180" t="s">
        <v>0</v>
      </c>
      <c r="Z386" s="180" t="s">
        <v>0</v>
      </c>
      <c r="AA386" s="180" t="s">
        <v>0</v>
      </c>
      <c r="AB386" s="180" t="s">
        <v>0</v>
      </c>
      <c r="AC386" s="180" t="s">
        <v>0</v>
      </c>
      <c r="AD386" s="180" t="s">
        <v>0</v>
      </c>
      <c r="AE386" s="180" t="s">
        <v>0</v>
      </c>
      <c r="AF386" s="180" t="s">
        <v>0</v>
      </c>
      <c r="AG386" s="180" t="s">
        <v>0</v>
      </c>
      <c r="AH386" s="180" t="s">
        <v>0</v>
      </c>
      <c r="AI386" s="180" t="s">
        <v>0</v>
      </c>
      <c r="AJ386" s="180" t="s">
        <v>0</v>
      </c>
      <c r="AK386" s="180" t="s">
        <v>0</v>
      </c>
      <c r="AL386" s="180" t="s">
        <v>0</v>
      </c>
      <c r="AM386" s="180" t="s">
        <v>0</v>
      </c>
      <c r="AN386" s="180" t="s">
        <v>0</v>
      </c>
      <c r="AO386" s="180" t="s">
        <v>0</v>
      </c>
      <c r="AP386" s="180" t="s">
        <v>0</v>
      </c>
      <c r="AQ386" s="180" t="s">
        <v>0</v>
      </c>
      <c r="AR386" s="180" t="s">
        <v>0</v>
      </c>
      <c r="AS386" s="180" t="s">
        <v>0</v>
      </c>
      <c r="AT386" s="180" t="s">
        <v>0</v>
      </c>
      <c r="AU386" s="180" t="s">
        <v>0</v>
      </c>
      <c r="AV386" s="180" t="s">
        <v>0</v>
      </c>
      <c r="AW386" s="180" t="s">
        <v>0</v>
      </c>
      <c r="AX386" s="180" t="s">
        <v>0</v>
      </c>
      <c r="AY386" s="180" t="s">
        <v>0</v>
      </c>
      <c r="AZ386" s="180" t="s">
        <v>0</v>
      </c>
      <c r="BA386" s="180" t="s">
        <v>0</v>
      </c>
      <c r="BB386" s="180" t="s">
        <v>0</v>
      </c>
      <c r="BC386" s="180" t="s">
        <v>0</v>
      </c>
      <c r="BD386" s="180" t="s">
        <v>0</v>
      </c>
      <c r="BE386" s="180" t="s">
        <v>0</v>
      </c>
      <c r="BF386" s="180" t="s">
        <v>0</v>
      </c>
      <c r="BG386" s="180" t="s">
        <v>0</v>
      </c>
      <c r="BH386" s="180" t="s">
        <v>0</v>
      </c>
      <c r="BI386" s="181"/>
    </row>
    <row r="387" spans="1:61" x14ac:dyDescent="0.25">
      <c r="A387" s="22">
        <f>+A346+1</f>
        <v>341</v>
      </c>
      <c r="B387" s="214" t="str">
        <f>IF(F387=$F$7,G388,B346)</f>
        <v>F0014827003</v>
      </c>
      <c r="C387" s="214" t="str">
        <f>IF(F387=$F$7,G389,C346)</f>
        <v>82115-0E551 B</v>
      </c>
      <c r="D387" s="45" t="str">
        <f>VLOOKUP(B387,'Timing Table'!B:J,9,0)</f>
        <v>C/O</v>
      </c>
      <c r="E387" s="22" t="str">
        <f>VLOOKUP(B387,'Timing Table'!B:H,7,0)</f>
        <v>GAS</v>
      </c>
      <c r="F387" s="121" t="s">
        <v>59</v>
      </c>
      <c r="G387" s="146">
        <v>5501017970</v>
      </c>
      <c r="H387" s="121" t="s">
        <v>60</v>
      </c>
      <c r="I387" s="146">
        <v>91</v>
      </c>
      <c r="J387" s="121" t="s">
        <v>61</v>
      </c>
      <c r="K387" s="125">
        <v>1177757</v>
      </c>
      <c r="L387" s="126"/>
      <c r="M387" s="147" t="s">
        <v>62</v>
      </c>
      <c r="N387" s="148"/>
      <c r="O387" s="149">
        <v>46086</v>
      </c>
      <c r="P387" s="121" t="s">
        <v>63</v>
      </c>
      <c r="Q387" s="146">
        <v>4</v>
      </c>
      <c r="R387" s="6" t="s">
        <v>0</v>
      </c>
      <c r="S387" s="7" t="s">
        <v>0</v>
      </c>
      <c r="T387" s="7" t="s">
        <v>0</v>
      </c>
      <c r="U387" s="7" t="s">
        <v>0</v>
      </c>
      <c r="V387" s="7" t="s">
        <v>0</v>
      </c>
      <c r="W387" s="7" t="s">
        <v>0</v>
      </c>
      <c r="X387" s="7" t="s">
        <v>0</v>
      </c>
      <c r="Y387" s="7" t="s">
        <v>0</v>
      </c>
      <c r="Z387" s="7" t="s">
        <v>0</v>
      </c>
      <c r="AA387" s="7" t="s">
        <v>0</v>
      </c>
      <c r="AB387" s="7" t="s">
        <v>0</v>
      </c>
      <c r="AC387" s="7" t="s">
        <v>0</v>
      </c>
      <c r="AD387" s="7" t="s">
        <v>0</v>
      </c>
      <c r="AE387" s="7" t="s">
        <v>0</v>
      </c>
      <c r="AF387" s="7" t="s">
        <v>0</v>
      </c>
      <c r="AG387" s="7" t="s">
        <v>0</v>
      </c>
      <c r="AH387" s="7" t="s">
        <v>0</v>
      </c>
      <c r="AI387" s="7" t="s">
        <v>0</v>
      </c>
      <c r="AJ387" s="7" t="s">
        <v>0</v>
      </c>
      <c r="AK387" s="7" t="s">
        <v>0</v>
      </c>
      <c r="AL387" s="7" t="s">
        <v>0</v>
      </c>
      <c r="AM387" s="7" t="s">
        <v>0</v>
      </c>
      <c r="AN387" s="7" t="s">
        <v>0</v>
      </c>
      <c r="AO387" s="7" t="s">
        <v>0</v>
      </c>
      <c r="AP387" s="7" t="s">
        <v>0</v>
      </c>
      <c r="AQ387" s="7" t="s">
        <v>0</v>
      </c>
      <c r="AR387" s="7" t="s">
        <v>0</v>
      </c>
      <c r="AS387" s="7" t="s">
        <v>0</v>
      </c>
      <c r="AT387" s="7" t="s">
        <v>0</v>
      </c>
      <c r="AU387" s="7" t="s">
        <v>0</v>
      </c>
      <c r="AV387" s="7" t="s">
        <v>0</v>
      </c>
      <c r="AW387" s="7" t="s">
        <v>0</v>
      </c>
      <c r="AX387" s="7" t="s">
        <v>0</v>
      </c>
      <c r="AY387" s="7" t="s">
        <v>0</v>
      </c>
      <c r="AZ387" s="7" t="s">
        <v>0</v>
      </c>
      <c r="BA387" s="7" t="s">
        <v>0</v>
      </c>
      <c r="BB387" s="7" t="s">
        <v>0</v>
      </c>
      <c r="BC387" s="7" t="s">
        <v>0</v>
      </c>
      <c r="BD387" s="7" t="s">
        <v>0</v>
      </c>
      <c r="BE387" s="7" t="s">
        <v>0</v>
      </c>
      <c r="BF387" s="7" t="s">
        <v>0</v>
      </c>
      <c r="BG387" s="7" t="s">
        <v>0</v>
      </c>
      <c r="BH387" s="7" t="s">
        <v>0</v>
      </c>
      <c r="BI387" s="8"/>
    </row>
    <row r="388" spans="1:61" x14ac:dyDescent="0.25">
      <c r="A388" s="22">
        <f t="shared" si="35"/>
        <v>342</v>
      </c>
      <c r="B388" s="214" t="str">
        <f t="shared" ref="B388:B395" si="48">IF(F388=$F$7,G389,B387)</f>
        <v>F0014827003</v>
      </c>
      <c r="C388" s="214" t="str">
        <f t="shared" ref="C388:C394" si="49">IF(F388=$F$7,G390,C387)</f>
        <v>82115-0E551 B</v>
      </c>
      <c r="D388" s="45" t="str">
        <f>VLOOKUP(B388,'Timing Table'!B:J,9,0)</f>
        <v>C/O</v>
      </c>
      <c r="E388" s="22" t="str">
        <f>VLOOKUP(B388,'Timing Table'!B:H,7,0)</f>
        <v>GAS</v>
      </c>
      <c r="F388" s="121" t="s">
        <v>64</v>
      </c>
      <c r="G388" s="146" t="s">
        <v>183</v>
      </c>
      <c r="H388" s="121" t="s">
        <v>65</v>
      </c>
      <c r="I388" s="150" t="s">
        <v>256</v>
      </c>
      <c r="J388" s="151"/>
      <c r="K388" s="151"/>
      <c r="L388" s="152"/>
      <c r="M388" s="121" t="s">
        <v>66</v>
      </c>
      <c r="N388" s="146">
        <v>2025</v>
      </c>
      <c r="O388" s="140" t="s">
        <v>67</v>
      </c>
      <c r="P388" s="141"/>
      <c r="Q388" s="153" t="s">
        <v>203</v>
      </c>
      <c r="R388" s="122" t="s">
        <v>0</v>
      </c>
      <c r="S388" s="123" t="s">
        <v>0</v>
      </c>
      <c r="T388" s="123" t="s">
        <v>0</v>
      </c>
      <c r="U388" s="123" t="s">
        <v>0</v>
      </c>
      <c r="V388" s="123" t="s">
        <v>0</v>
      </c>
      <c r="W388" s="123" t="s">
        <v>0</v>
      </c>
      <c r="X388" s="123" t="s">
        <v>0</v>
      </c>
      <c r="Y388" s="123" t="s">
        <v>0</v>
      </c>
      <c r="Z388" s="123" t="s">
        <v>0</v>
      </c>
      <c r="AA388" s="123" t="s">
        <v>0</v>
      </c>
      <c r="AB388" s="123" t="s">
        <v>0</v>
      </c>
      <c r="AC388" s="123" t="s">
        <v>0</v>
      </c>
      <c r="AD388" s="123" t="s">
        <v>0</v>
      </c>
      <c r="AE388" s="123" t="s">
        <v>0</v>
      </c>
      <c r="AF388" s="123" t="s">
        <v>0</v>
      </c>
      <c r="AG388" s="123" t="s">
        <v>0</v>
      </c>
      <c r="AH388" s="123" t="s">
        <v>0</v>
      </c>
      <c r="AI388" s="123" t="s">
        <v>0</v>
      </c>
      <c r="AJ388" s="123" t="s">
        <v>0</v>
      </c>
      <c r="AK388" s="123" t="s">
        <v>0</v>
      </c>
      <c r="AL388" s="123" t="s">
        <v>0</v>
      </c>
      <c r="AM388" s="123" t="s">
        <v>0</v>
      </c>
      <c r="AN388" s="123" t="s">
        <v>0</v>
      </c>
      <c r="AO388" s="123" t="s">
        <v>0</v>
      </c>
      <c r="AP388" s="123" t="s">
        <v>0</v>
      </c>
      <c r="AQ388" s="123" t="s">
        <v>0</v>
      </c>
      <c r="AR388" s="123" t="s">
        <v>0</v>
      </c>
      <c r="AS388" s="123" t="s">
        <v>0</v>
      </c>
      <c r="AT388" s="123" t="s">
        <v>0</v>
      </c>
      <c r="AU388" s="123" t="s">
        <v>0</v>
      </c>
      <c r="AV388" s="123" t="s">
        <v>0</v>
      </c>
      <c r="AW388" s="123" t="s">
        <v>0</v>
      </c>
      <c r="AX388" s="123" t="s">
        <v>0</v>
      </c>
      <c r="AY388" s="123" t="s">
        <v>0</v>
      </c>
      <c r="AZ388" s="123" t="s">
        <v>0</v>
      </c>
      <c r="BA388" s="123" t="s">
        <v>0</v>
      </c>
      <c r="BB388" s="123" t="s">
        <v>0</v>
      </c>
      <c r="BC388" s="123" t="s">
        <v>0</v>
      </c>
      <c r="BD388" s="123" t="s">
        <v>0</v>
      </c>
      <c r="BE388" s="123" t="s">
        <v>0</v>
      </c>
      <c r="BF388" s="123" t="s">
        <v>0</v>
      </c>
      <c r="BG388" s="123" t="s">
        <v>0</v>
      </c>
      <c r="BH388" s="123" t="s">
        <v>0</v>
      </c>
      <c r="BI388" s="124"/>
    </row>
    <row r="389" spans="1:61" x14ac:dyDescent="0.25">
      <c r="A389" s="22">
        <f t="shared" si="35"/>
        <v>343</v>
      </c>
      <c r="B389" s="214" t="str">
        <f t="shared" si="48"/>
        <v>F0014827003</v>
      </c>
      <c r="C389" s="214" t="str">
        <f t="shared" si="49"/>
        <v>82115-0E551 B</v>
      </c>
      <c r="D389" s="45" t="str">
        <f>VLOOKUP(B389,'Timing Table'!B:J,9,0)</f>
        <v>C/O</v>
      </c>
      <c r="E389" s="22" t="str">
        <f>VLOOKUP(B389,'Timing Table'!B:H,7,0)</f>
        <v>GAS</v>
      </c>
      <c r="F389" s="121" t="s">
        <v>68</v>
      </c>
      <c r="G389" s="146" t="s">
        <v>359</v>
      </c>
      <c r="H389" s="121" t="s">
        <v>69</v>
      </c>
      <c r="I389" s="154" t="s">
        <v>58</v>
      </c>
      <c r="J389" s="155" t="s">
        <v>0</v>
      </c>
      <c r="K389" s="156" t="s">
        <v>0</v>
      </c>
      <c r="L389" s="157" t="s">
        <v>0</v>
      </c>
      <c r="M389" s="134" t="s">
        <v>0</v>
      </c>
      <c r="N389" s="134" t="s">
        <v>0</v>
      </c>
      <c r="O389" s="134" t="s">
        <v>0</v>
      </c>
      <c r="P389" s="134" t="s">
        <v>0</v>
      </c>
      <c r="Q389" s="134" t="s">
        <v>1</v>
      </c>
      <c r="R389" s="134" t="s">
        <v>2</v>
      </c>
      <c r="S389" s="134" t="s">
        <v>0</v>
      </c>
      <c r="T389" s="134" t="s">
        <v>0</v>
      </c>
      <c r="U389" s="134" t="s">
        <v>0</v>
      </c>
      <c r="V389" s="134" t="s">
        <v>0</v>
      </c>
      <c r="W389" s="134" t="s">
        <v>0</v>
      </c>
      <c r="X389" s="134" t="s">
        <v>0</v>
      </c>
      <c r="Y389" s="134" t="s">
        <v>0</v>
      </c>
      <c r="Z389" s="134" t="s">
        <v>3</v>
      </c>
      <c r="AA389" s="134" t="s">
        <v>0</v>
      </c>
      <c r="AB389" s="134" t="s">
        <v>0</v>
      </c>
      <c r="AC389" s="134" t="s">
        <v>0</v>
      </c>
      <c r="AD389" s="134" t="s">
        <v>0</v>
      </c>
      <c r="AE389" s="134" t="s">
        <v>0</v>
      </c>
      <c r="AF389" s="134" t="s">
        <v>0</v>
      </c>
      <c r="AG389" s="134" t="s">
        <v>0</v>
      </c>
      <c r="AH389" s="134" t="s">
        <v>0</v>
      </c>
      <c r="AI389" s="134" t="s">
        <v>0</v>
      </c>
      <c r="AJ389" s="134" t="s">
        <v>0</v>
      </c>
      <c r="AK389" s="134" t="s">
        <v>0</v>
      </c>
      <c r="AL389" s="134" t="s">
        <v>0</v>
      </c>
      <c r="AM389" s="134" t="s">
        <v>0</v>
      </c>
      <c r="AN389" s="134" t="s">
        <v>0</v>
      </c>
      <c r="AO389" s="134" t="s">
        <v>0</v>
      </c>
      <c r="AP389" s="134" t="s">
        <v>0</v>
      </c>
      <c r="AQ389" s="134" t="s">
        <v>0</v>
      </c>
      <c r="AR389" s="134" t="s">
        <v>0</v>
      </c>
      <c r="AS389" s="134" t="s">
        <v>0</v>
      </c>
      <c r="AT389" s="134" t="s">
        <v>0</v>
      </c>
      <c r="AU389" s="134" t="s">
        <v>0</v>
      </c>
      <c r="AV389" s="134" t="s">
        <v>0</v>
      </c>
      <c r="AW389" s="134" t="s">
        <v>0</v>
      </c>
      <c r="AX389" s="134" t="s">
        <v>0</v>
      </c>
      <c r="AY389" s="134" t="s">
        <v>0</v>
      </c>
      <c r="AZ389" s="134" t="s">
        <v>0</v>
      </c>
      <c r="BA389" s="134" t="s">
        <v>0</v>
      </c>
      <c r="BB389" s="134" t="s">
        <v>0</v>
      </c>
      <c r="BC389" s="134" t="s">
        <v>0</v>
      </c>
      <c r="BD389" s="134" t="s">
        <v>0</v>
      </c>
      <c r="BE389" s="134" t="s">
        <v>0</v>
      </c>
      <c r="BF389" s="134" t="s">
        <v>0</v>
      </c>
      <c r="BG389" s="134" t="s">
        <v>0</v>
      </c>
      <c r="BH389" s="134" t="s">
        <v>0</v>
      </c>
      <c r="BI389" s="135" t="s">
        <v>4</v>
      </c>
    </row>
    <row r="390" spans="1:61" x14ac:dyDescent="0.25">
      <c r="A390" s="22">
        <f t="shared" si="35"/>
        <v>344</v>
      </c>
      <c r="B390" s="214" t="str">
        <f t="shared" si="48"/>
        <v>F0014827003</v>
      </c>
      <c r="C390" s="214" t="str">
        <f t="shared" si="49"/>
        <v>82115-0E551 B</v>
      </c>
      <c r="D390" s="45" t="str">
        <f>VLOOKUP(B390,'Timing Table'!B:J,9,0)</f>
        <v>C/O</v>
      </c>
      <c r="E390" s="22" t="str">
        <f>VLOOKUP(B390,'Timing Table'!B:H,7,0)</f>
        <v>GAS</v>
      </c>
      <c r="F390" s="121" t="s">
        <v>70</v>
      </c>
      <c r="G390" s="146">
        <v>0</v>
      </c>
      <c r="H390" s="158" t="s">
        <v>241</v>
      </c>
      <c r="I390" s="159" t="s">
        <v>71</v>
      </c>
      <c r="J390" s="13">
        <v>46041</v>
      </c>
      <c r="K390" s="14">
        <v>46048</v>
      </c>
      <c r="L390" s="14">
        <v>46055</v>
      </c>
      <c r="M390" s="14">
        <v>46062</v>
      </c>
      <c r="N390" s="14">
        <v>46069</v>
      </c>
      <c r="O390" s="14">
        <v>46076</v>
      </c>
      <c r="P390" s="14">
        <v>46083</v>
      </c>
      <c r="Q390" s="14">
        <v>46090</v>
      </c>
      <c r="R390" s="14">
        <v>46097</v>
      </c>
      <c r="S390" s="14">
        <v>46104</v>
      </c>
      <c r="T390" s="14">
        <v>46111</v>
      </c>
      <c r="U390" s="14">
        <v>46118</v>
      </c>
      <c r="V390" s="14">
        <v>46125</v>
      </c>
      <c r="W390" s="14">
        <v>46132</v>
      </c>
      <c r="X390" s="14">
        <v>46139</v>
      </c>
      <c r="Y390" s="14">
        <v>46146</v>
      </c>
      <c r="Z390" s="14">
        <v>46153</v>
      </c>
      <c r="AA390" s="14">
        <v>46160</v>
      </c>
      <c r="AB390" s="14">
        <v>46167</v>
      </c>
      <c r="AC390" s="14">
        <v>46174</v>
      </c>
      <c r="AD390" s="14">
        <v>46181</v>
      </c>
      <c r="AE390" s="14">
        <v>46188</v>
      </c>
      <c r="AF390" s="14">
        <v>46195</v>
      </c>
      <c r="AG390" s="14">
        <v>46202</v>
      </c>
      <c r="AH390" s="14">
        <v>46209</v>
      </c>
      <c r="AI390" s="14">
        <v>46216</v>
      </c>
      <c r="AJ390" s="14">
        <v>46223</v>
      </c>
      <c r="AK390" s="14">
        <v>46230</v>
      </c>
      <c r="AL390" s="14">
        <v>46237</v>
      </c>
      <c r="AM390" s="14">
        <v>46244</v>
      </c>
      <c r="AN390" s="14">
        <v>46251</v>
      </c>
      <c r="AO390" s="14">
        <v>46258</v>
      </c>
      <c r="AP390" s="14">
        <v>46265</v>
      </c>
      <c r="AQ390" s="14">
        <v>46272</v>
      </c>
      <c r="AR390" s="14">
        <v>46279</v>
      </c>
      <c r="AS390" s="14">
        <v>46286</v>
      </c>
      <c r="AT390" s="14">
        <v>46293</v>
      </c>
      <c r="AU390" s="14">
        <v>46300</v>
      </c>
      <c r="AV390" s="14">
        <v>46307</v>
      </c>
      <c r="AW390" s="14">
        <v>46314</v>
      </c>
      <c r="AX390" s="14">
        <v>46321</v>
      </c>
      <c r="AY390" s="14">
        <v>46328</v>
      </c>
      <c r="AZ390" s="14">
        <v>46335</v>
      </c>
      <c r="BA390" s="14">
        <v>46342</v>
      </c>
      <c r="BB390" s="14">
        <v>46349</v>
      </c>
      <c r="BC390" s="14">
        <v>46356</v>
      </c>
      <c r="BD390" s="14">
        <v>46363</v>
      </c>
      <c r="BE390" s="14">
        <v>46370</v>
      </c>
      <c r="BF390" s="14">
        <v>46377</v>
      </c>
      <c r="BG390" s="14">
        <v>46384</v>
      </c>
      <c r="BH390" s="14">
        <v>46391</v>
      </c>
      <c r="BI390" s="15">
        <v>46398</v>
      </c>
    </row>
    <row r="391" spans="1:61" x14ac:dyDescent="0.25">
      <c r="A391" s="22">
        <f t="shared" si="35"/>
        <v>345</v>
      </c>
      <c r="B391" s="214" t="str">
        <f t="shared" si="48"/>
        <v>F0014827003</v>
      </c>
      <c r="C391" s="214" t="str">
        <f t="shared" si="49"/>
        <v>82115-0E551 B</v>
      </c>
      <c r="D391" s="45" t="str">
        <f>VLOOKUP(B391,'Timing Table'!B:J,9,0)</f>
        <v>C/O</v>
      </c>
      <c r="E391" s="22" t="str">
        <f>VLOOKUP(B391,'Timing Table'!B:H,7,0)</f>
        <v>GAS</v>
      </c>
      <c r="F391" s="121" t="s">
        <v>72</v>
      </c>
      <c r="G391" s="146">
        <v>0</v>
      </c>
      <c r="H391" s="5" t="s">
        <v>58</v>
      </c>
      <c r="I391" s="11" t="s">
        <v>83</v>
      </c>
      <c r="J391" s="16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17"/>
    </row>
    <row r="392" spans="1:61" x14ac:dyDescent="0.25">
      <c r="A392" s="22">
        <f t="shared" si="35"/>
        <v>346</v>
      </c>
      <c r="B392" s="214" t="str">
        <f t="shared" si="48"/>
        <v>F0014827003</v>
      </c>
      <c r="C392" s="214" t="str">
        <f t="shared" si="49"/>
        <v>82115-0E551 B</v>
      </c>
      <c r="D392" s="45" t="str">
        <f>VLOOKUP(B392,'Timing Table'!B:J,9,0)</f>
        <v>C/O</v>
      </c>
      <c r="E392" s="22" t="str">
        <f>VLOOKUP(B392,'Timing Table'!B:H,7,0)</f>
        <v>GAS</v>
      </c>
      <c r="F392" s="121" t="s">
        <v>73</v>
      </c>
      <c r="G392" s="160" t="s">
        <v>130</v>
      </c>
      <c r="H392" s="9" t="s">
        <v>118</v>
      </c>
      <c r="I392" s="11" t="s">
        <v>74</v>
      </c>
      <c r="J392" s="117">
        <v>0</v>
      </c>
      <c r="K392" s="50">
        <v>0</v>
      </c>
      <c r="L392" s="50">
        <v>0</v>
      </c>
      <c r="M392" s="50">
        <v>0</v>
      </c>
      <c r="N392" s="50">
        <v>0</v>
      </c>
      <c r="O392" s="50">
        <v>0</v>
      </c>
      <c r="P392" s="50">
        <v>0</v>
      </c>
      <c r="Q392" s="50">
        <v>0</v>
      </c>
      <c r="R392" s="50">
        <v>0</v>
      </c>
      <c r="S392" s="50">
        <v>0</v>
      </c>
      <c r="T392" s="50">
        <v>0</v>
      </c>
      <c r="U392" s="50">
        <v>0</v>
      </c>
      <c r="V392" s="50">
        <v>0</v>
      </c>
      <c r="W392" s="50">
        <v>0</v>
      </c>
      <c r="X392" s="50">
        <v>0</v>
      </c>
      <c r="Y392" s="50">
        <v>0</v>
      </c>
      <c r="Z392" s="50">
        <v>0</v>
      </c>
      <c r="AA392" s="50">
        <v>0</v>
      </c>
      <c r="AB392" s="50">
        <v>0</v>
      </c>
      <c r="AC392" s="50">
        <v>0</v>
      </c>
      <c r="AD392" s="50">
        <v>0</v>
      </c>
      <c r="AE392" s="50">
        <v>0</v>
      </c>
      <c r="AF392" s="50">
        <v>0</v>
      </c>
      <c r="AG392" s="50">
        <v>0</v>
      </c>
      <c r="AH392" s="50">
        <v>0</v>
      </c>
      <c r="AI392" s="50">
        <v>0</v>
      </c>
      <c r="AJ392" s="50">
        <v>0</v>
      </c>
      <c r="AK392" s="50">
        <v>0</v>
      </c>
      <c r="AL392" s="50">
        <v>0</v>
      </c>
      <c r="AM392" s="50">
        <v>0</v>
      </c>
      <c r="AN392" s="50">
        <v>0</v>
      </c>
      <c r="AO392" s="50">
        <v>0</v>
      </c>
      <c r="AP392" s="50">
        <v>0</v>
      </c>
      <c r="AQ392" s="50">
        <v>0</v>
      </c>
      <c r="AR392" s="50">
        <v>0</v>
      </c>
      <c r="AS392" s="50">
        <v>0</v>
      </c>
      <c r="AT392" s="50">
        <v>0</v>
      </c>
      <c r="AU392" s="50">
        <v>0</v>
      </c>
      <c r="AV392" s="50">
        <v>0</v>
      </c>
      <c r="AW392" s="50">
        <v>0</v>
      </c>
      <c r="AX392" s="50">
        <v>0</v>
      </c>
      <c r="AY392" s="50">
        <v>0</v>
      </c>
      <c r="AZ392" s="50">
        <v>0</v>
      </c>
      <c r="BA392" s="50">
        <v>0</v>
      </c>
      <c r="BB392" s="50">
        <v>0</v>
      </c>
      <c r="BC392" s="50">
        <v>0</v>
      </c>
      <c r="BD392" s="50">
        <v>0</v>
      </c>
      <c r="BE392" s="50">
        <v>0</v>
      </c>
      <c r="BF392" s="50">
        <v>0</v>
      </c>
      <c r="BG392" s="50">
        <v>0</v>
      </c>
      <c r="BH392" s="50">
        <v>0</v>
      </c>
      <c r="BI392" s="118">
        <v>0</v>
      </c>
    </row>
    <row r="393" spans="1:61" x14ac:dyDescent="0.25">
      <c r="A393" s="22">
        <f t="shared" si="35"/>
        <v>347</v>
      </c>
      <c r="B393" s="214" t="str">
        <f t="shared" si="48"/>
        <v>F0014827003</v>
      </c>
      <c r="C393" s="214" t="str">
        <f t="shared" si="49"/>
        <v>82115-0E551 B</v>
      </c>
      <c r="D393" s="45" t="str">
        <f>VLOOKUP(B393,'Timing Table'!B:J,9,0)</f>
        <v>C/O</v>
      </c>
      <c r="E393" s="22" t="str">
        <f>VLOOKUP(B393,'Timing Table'!B:H,7,0)</f>
        <v>GAS</v>
      </c>
      <c r="F393" s="121" t="s">
        <v>75</v>
      </c>
      <c r="G393" s="146">
        <v>82115</v>
      </c>
      <c r="H393" s="10" t="s">
        <v>118</v>
      </c>
      <c r="I393" s="12" t="s">
        <v>76</v>
      </c>
      <c r="J393" s="161">
        <v>0</v>
      </c>
      <c r="K393" s="162">
        <v>0</v>
      </c>
      <c r="L393" s="162">
        <v>0</v>
      </c>
      <c r="M393" s="162">
        <v>0</v>
      </c>
      <c r="N393" s="162">
        <v>0</v>
      </c>
      <c r="O393" s="162">
        <v>0</v>
      </c>
      <c r="P393" s="162">
        <v>0</v>
      </c>
      <c r="Q393" s="162">
        <v>0</v>
      </c>
      <c r="R393" s="162">
        <v>0</v>
      </c>
      <c r="S393" s="162">
        <v>0</v>
      </c>
      <c r="T393" s="162">
        <v>0</v>
      </c>
      <c r="U393" s="162">
        <v>0</v>
      </c>
      <c r="V393" s="162">
        <v>0</v>
      </c>
      <c r="W393" s="162">
        <v>0</v>
      </c>
      <c r="X393" s="162">
        <v>0</v>
      </c>
      <c r="Y393" s="162">
        <v>0</v>
      </c>
      <c r="Z393" s="162">
        <v>0</v>
      </c>
      <c r="AA393" s="162">
        <v>0</v>
      </c>
      <c r="AB393" s="162">
        <v>0</v>
      </c>
      <c r="AC393" s="162">
        <v>0</v>
      </c>
      <c r="AD393" s="162">
        <v>0</v>
      </c>
      <c r="AE393" s="162">
        <v>0</v>
      </c>
      <c r="AF393" s="162">
        <v>0</v>
      </c>
      <c r="AG393" s="162">
        <v>0</v>
      </c>
      <c r="AH393" s="162">
        <v>0</v>
      </c>
      <c r="AI393" s="162">
        <v>0</v>
      </c>
      <c r="AJ393" s="162">
        <v>0</v>
      </c>
      <c r="AK393" s="162">
        <v>0</v>
      </c>
      <c r="AL393" s="162">
        <v>0</v>
      </c>
      <c r="AM393" s="162">
        <v>0</v>
      </c>
      <c r="AN393" s="162">
        <v>0</v>
      </c>
      <c r="AO393" s="162">
        <v>0</v>
      </c>
      <c r="AP393" s="162">
        <v>0</v>
      </c>
      <c r="AQ393" s="162">
        <v>0</v>
      </c>
      <c r="AR393" s="162">
        <v>0</v>
      </c>
      <c r="AS393" s="162">
        <v>0</v>
      </c>
      <c r="AT393" s="162">
        <v>0</v>
      </c>
      <c r="AU393" s="162">
        <v>0</v>
      </c>
      <c r="AV393" s="162">
        <v>0</v>
      </c>
      <c r="AW393" s="162">
        <v>0</v>
      </c>
      <c r="AX393" s="162">
        <v>0</v>
      </c>
      <c r="AY393" s="162">
        <v>0</v>
      </c>
      <c r="AZ393" s="162">
        <v>0</v>
      </c>
      <c r="BA393" s="162">
        <v>0</v>
      </c>
      <c r="BB393" s="162">
        <v>0</v>
      </c>
      <c r="BC393" s="162">
        <v>0</v>
      </c>
      <c r="BD393" s="162">
        <v>0</v>
      </c>
      <c r="BE393" s="162">
        <v>0</v>
      </c>
      <c r="BF393" s="162">
        <v>0</v>
      </c>
      <c r="BG393" s="162">
        <v>0</v>
      </c>
      <c r="BH393" s="162">
        <v>0</v>
      </c>
      <c r="BI393" s="163">
        <v>0</v>
      </c>
    </row>
    <row r="394" spans="1:61" x14ac:dyDescent="0.25">
      <c r="A394" s="22">
        <f t="shared" si="35"/>
        <v>348</v>
      </c>
      <c r="B394" s="214" t="str">
        <f t="shared" si="48"/>
        <v>F0014827003</v>
      </c>
      <c r="C394" s="214" t="str">
        <f t="shared" si="49"/>
        <v>82115-0E551 B</v>
      </c>
      <c r="D394" s="45" t="str">
        <f>VLOOKUP(B394,'Timing Table'!B:J,9,0)</f>
        <v>C/O</v>
      </c>
      <c r="E394" s="22" t="str">
        <f>VLOOKUP(B394,'Timing Table'!B:H,7,0)</f>
        <v>GAS</v>
      </c>
      <c r="F394" s="164" t="s">
        <v>77</v>
      </c>
      <c r="G394" s="165">
        <v>0</v>
      </c>
      <c r="H394" s="166" t="s">
        <v>78</v>
      </c>
      <c r="I394" s="167"/>
      <c r="J394" s="168"/>
      <c r="K394" s="169"/>
      <c r="L394" s="170" t="s">
        <v>0</v>
      </c>
      <c r="M394" s="170" t="s">
        <v>0</v>
      </c>
      <c r="N394" s="170" t="s">
        <v>0</v>
      </c>
      <c r="O394" s="170" t="s">
        <v>0</v>
      </c>
      <c r="P394" s="170" t="s">
        <v>0</v>
      </c>
      <c r="Q394" s="170" t="s">
        <v>0</v>
      </c>
      <c r="R394" s="170" t="s">
        <v>0</v>
      </c>
      <c r="S394" s="170" t="s">
        <v>0</v>
      </c>
      <c r="T394" s="170" t="s">
        <v>0</v>
      </c>
      <c r="U394" s="170" t="s">
        <v>0</v>
      </c>
      <c r="V394" s="170" t="s">
        <v>0</v>
      </c>
      <c r="W394" s="170" t="s">
        <v>0</v>
      </c>
      <c r="X394" s="170" t="s">
        <v>0</v>
      </c>
      <c r="Y394" s="170" t="s">
        <v>0</v>
      </c>
      <c r="Z394" s="170" t="s">
        <v>0</v>
      </c>
      <c r="AA394" s="170" t="s">
        <v>0</v>
      </c>
      <c r="AB394" s="170" t="s">
        <v>0</v>
      </c>
      <c r="AC394" s="170" t="s">
        <v>0</v>
      </c>
      <c r="AD394" s="170" t="s">
        <v>0</v>
      </c>
      <c r="AE394" s="170" t="s">
        <v>0</v>
      </c>
      <c r="AF394" s="170" t="s">
        <v>0</v>
      </c>
      <c r="AG394" s="170" t="s">
        <v>0</v>
      </c>
      <c r="AH394" s="170" t="s">
        <v>0</v>
      </c>
      <c r="AI394" s="170" t="s">
        <v>0</v>
      </c>
      <c r="AJ394" s="170" t="s">
        <v>0</v>
      </c>
      <c r="AK394" s="170" t="s">
        <v>0</v>
      </c>
      <c r="AL394" s="170" t="s">
        <v>0</v>
      </c>
      <c r="AM394" s="170" t="s">
        <v>0</v>
      </c>
      <c r="AN394" s="170" t="s">
        <v>0</v>
      </c>
      <c r="AO394" s="170" t="s">
        <v>0</v>
      </c>
      <c r="AP394" s="170" t="s">
        <v>0</v>
      </c>
      <c r="AQ394" s="170" t="s">
        <v>0</v>
      </c>
      <c r="AR394" s="170" t="s">
        <v>0</v>
      </c>
      <c r="AS394" s="170" t="s">
        <v>0</v>
      </c>
      <c r="AT394" s="170" t="s">
        <v>0</v>
      </c>
      <c r="AU394" s="170" t="s">
        <v>0</v>
      </c>
      <c r="AV394" s="170" t="s">
        <v>0</v>
      </c>
      <c r="AW394" s="170" t="s">
        <v>0</v>
      </c>
      <c r="AX394" s="170" t="s">
        <v>0</v>
      </c>
      <c r="AY394" s="170" t="s">
        <v>0</v>
      </c>
      <c r="AZ394" s="170" t="s">
        <v>0</v>
      </c>
      <c r="BA394" s="170" t="s">
        <v>0</v>
      </c>
      <c r="BB394" s="170" t="s">
        <v>0</v>
      </c>
      <c r="BC394" s="170" t="s">
        <v>0</v>
      </c>
      <c r="BD394" s="170" t="s">
        <v>0</v>
      </c>
      <c r="BE394" s="170" t="s">
        <v>0</v>
      </c>
      <c r="BF394" s="170" t="s">
        <v>0</v>
      </c>
      <c r="BG394" s="170" t="s">
        <v>0</v>
      </c>
      <c r="BH394" s="170" t="s">
        <v>0</v>
      </c>
      <c r="BI394" s="171"/>
    </row>
    <row r="395" spans="1:61" x14ac:dyDescent="0.25">
      <c r="A395" s="22">
        <f t="shared" si="35"/>
        <v>349</v>
      </c>
      <c r="B395" s="214" t="str">
        <f t="shared" si="48"/>
        <v>F0014827003</v>
      </c>
      <c r="C395" s="214" t="str">
        <f>IF(F395=$F$7,#REF!,C394)</f>
        <v>82115-0E551 B</v>
      </c>
      <c r="D395" s="45" t="str">
        <f>VLOOKUP(B395,'Timing Table'!B:J,9,0)</f>
        <v>C/O</v>
      </c>
      <c r="E395" s="22" t="str">
        <f>VLOOKUP(B395,'Timing Table'!B:H,7,0)</f>
        <v>GAS</v>
      </c>
      <c r="F395" s="172" t="s">
        <v>79</v>
      </c>
      <c r="G395" s="173" t="s">
        <v>58</v>
      </c>
      <c r="H395" s="174" t="s">
        <v>58</v>
      </c>
      <c r="I395" s="175" t="s">
        <v>58</v>
      </c>
      <c r="J395" s="175" t="s">
        <v>0</v>
      </c>
      <c r="K395" s="175" t="s">
        <v>0</v>
      </c>
      <c r="L395" s="175" t="s">
        <v>0</v>
      </c>
      <c r="M395" s="175" t="s">
        <v>0</v>
      </c>
      <c r="N395" s="175" t="s">
        <v>0</v>
      </c>
      <c r="O395" s="175" t="s">
        <v>0</v>
      </c>
      <c r="P395" s="175" t="s">
        <v>0</v>
      </c>
      <c r="Q395" s="175" t="s">
        <v>0</v>
      </c>
      <c r="R395" s="175" t="s">
        <v>0</v>
      </c>
      <c r="S395" s="175" t="s">
        <v>0</v>
      </c>
      <c r="T395" s="175" t="s">
        <v>0</v>
      </c>
      <c r="U395" s="175" t="s">
        <v>0</v>
      </c>
      <c r="V395" s="175" t="s">
        <v>0</v>
      </c>
      <c r="W395" s="175" t="s">
        <v>0</v>
      </c>
      <c r="X395" s="175" t="s">
        <v>0</v>
      </c>
      <c r="Y395" s="175" t="s">
        <v>0</v>
      </c>
      <c r="Z395" s="175" t="s">
        <v>0</v>
      </c>
      <c r="AA395" s="175" t="s">
        <v>0</v>
      </c>
      <c r="AB395" s="175" t="s">
        <v>0</v>
      </c>
      <c r="AC395" s="175" t="s">
        <v>0</v>
      </c>
      <c r="AD395" s="175" t="s">
        <v>0</v>
      </c>
      <c r="AE395" s="175" t="s">
        <v>0</v>
      </c>
      <c r="AF395" s="175" t="s">
        <v>0</v>
      </c>
      <c r="AG395" s="175" t="s">
        <v>0</v>
      </c>
      <c r="AH395" s="175" t="s">
        <v>0</v>
      </c>
      <c r="AI395" s="175" t="s">
        <v>0</v>
      </c>
      <c r="AJ395" s="175" t="s">
        <v>0</v>
      </c>
      <c r="AK395" s="175" t="s">
        <v>0</v>
      </c>
      <c r="AL395" s="175" t="s">
        <v>0</v>
      </c>
      <c r="AM395" s="175" t="s">
        <v>0</v>
      </c>
      <c r="AN395" s="175" t="s">
        <v>0</v>
      </c>
      <c r="AO395" s="175" t="s">
        <v>0</v>
      </c>
      <c r="AP395" s="175" t="s">
        <v>0</v>
      </c>
      <c r="AQ395" s="175" t="s">
        <v>0</v>
      </c>
      <c r="AR395" s="175" t="s">
        <v>0</v>
      </c>
      <c r="AS395" s="175" t="s">
        <v>0</v>
      </c>
      <c r="AT395" s="175" t="s">
        <v>0</v>
      </c>
      <c r="AU395" s="175" t="s">
        <v>0</v>
      </c>
      <c r="AV395" s="175" t="s">
        <v>0</v>
      </c>
      <c r="AW395" s="175" t="s">
        <v>0</v>
      </c>
      <c r="AX395" s="175" t="s">
        <v>0</v>
      </c>
      <c r="AY395" s="175" t="s">
        <v>0</v>
      </c>
      <c r="AZ395" s="175" t="s">
        <v>0</v>
      </c>
      <c r="BA395" s="175" t="s">
        <v>0</v>
      </c>
      <c r="BB395" s="175" t="s">
        <v>0</v>
      </c>
      <c r="BC395" s="175" t="s">
        <v>0</v>
      </c>
      <c r="BD395" s="175" t="s">
        <v>0</v>
      </c>
      <c r="BE395" s="175" t="s">
        <v>0</v>
      </c>
      <c r="BF395" s="175" t="s">
        <v>0</v>
      </c>
      <c r="BG395" s="175" t="s">
        <v>0</v>
      </c>
      <c r="BH395" s="175" t="s">
        <v>0</v>
      </c>
      <c r="BI395" s="176"/>
    </row>
    <row r="396" spans="1:61" x14ac:dyDescent="0.25">
      <c r="A396" s="22">
        <f t="shared" si="35"/>
        <v>350</v>
      </c>
      <c r="B396" s="214" t="str">
        <f>IF(F396=$F$7,#REF!,B395)</f>
        <v>F0014827003</v>
      </c>
      <c r="C396" s="214" t="str">
        <f>IF(F396=$F$7,#REF!,C395)</f>
        <v>82115-0E551 B</v>
      </c>
      <c r="D396" s="45" t="str">
        <f>VLOOKUP(B396,'Timing Table'!B:J,9,0)</f>
        <v>C/O</v>
      </c>
      <c r="E396" s="22" t="str">
        <f>VLOOKUP(B396,'Timing Table'!B:H,7,0)</f>
        <v>GAS</v>
      </c>
      <c r="F396" s="177" t="s">
        <v>58</v>
      </c>
      <c r="G396" s="178" t="s">
        <v>58</v>
      </c>
      <c r="H396" s="179" t="s">
        <v>58</v>
      </c>
      <c r="I396" s="180" t="s">
        <v>58</v>
      </c>
      <c r="J396" s="180" t="s">
        <v>0</v>
      </c>
      <c r="K396" s="180" t="s">
        <v>0</v>
      </c>
      <c r="L396" s="180" t="s">
        <v>0</v>
      </c>
      <c r="M396" s="180" t="s">
        <v>0</v>
      </c>
      <c r="N396" s="180" t="s">
        <v>0</v>
      </c>
      <c r="O396" s="180" t="s">
        <v>0</v>
      </c>
      <c r="P396" s="180" t="s">
        <v>0</v>
      </c>
      <c r="Q396" s="180" t="s">
        <v>0</v>
      </c>
      <c r="R396" s="180" t="s">
        <v>0</v>
      </c>
      <c r="S396" s="180" t="s">
        <v>0</v>
      </c>
      <c r="T396" s="180" t="s">
        <v>0</v>
      </c>
      <c r="U396" s="180" t="s">
        <v>0</v>
      </c>
      <c r="V396" s="180" t="s">
        <v>0</v>
      </c>
      <c r="W396" s="180" t="s">
        <v>0</v>
      </c>
      <c r="X396" s="180" t="s">
        <v>0</v>
      </c>
      <c r="Y396" s="180" t="s">
        <v>0</v>
      </c>
      <c r="Z396" s="180" t="s">
        <v>0</v>
      </c>
      <c r="AA396" s="180" t="s">
        <v>0</v>
      </c>
      <c r="AB396" s="180" t="s">
        <v>0</v>
      </c>
      <c r="AC396" s="180" t="s">
        <v>0</v>
      </c>
      <c r="AD396" s="180" t="s">
        <v>0</v>
      </c>
      <c r="AE396" s="180" t="s">
        <v>0</v>
      </c>
      <c r="AF396" s="180" t="s">
        <v>0</v>
      </c>
      <c r="AG396" s="180" t="s">
        <v>0</v>
      </c>
      <c r="AH396" s="180" t="s">
        <v>0</v>
      </c>
      <c r="AI396" s="180" t="s">
        <v>0</v>
      </c>
      <c r="AJ396" s="180" t="s">
        <v>0</v>
      </c>
      <c r="AK396" s="180" t="s">
        <v>0</v>
      </c>
      <c r="AL396" s="180" t="s">
        <v>0</v>
      </c>
      <c r="AM396" s="180" t="s">
        <v>0</v>
      </c>
      <c r="AN396" s="180" t="s">
        <v>0</v>
      </c>
      <c r="AO396" s="180" t="s">
        <v>0</v>
      </c>
      <c r="AP396" s="180" t="s">
        <v>0</v>
      </c>
      <c r="AQ396" s="180" t="s">
        <v>0</v>
      </c>
      <c r="AR396" s="180" t="s">
        <v>0</v>
      </c>
      <c r="AS396" s="180" t="s">
        <v>0</v>
      </c>
      <c r="AT396" s="180" t="s">
        <v>0</v>
      </c>
      <c r="AU396" s="180" t="s">
        <v>0</v>
      </c>
      <c r="AV396" s="180" t="s">
        <v>0</v>
      </c>
      <c r="AW396" s="180" t="s">
        <v>0</v>
      </c>
      <c r="AX396" s="180" t="s">
        <v>0</v>
      </c>
      <c r="AY396" s="180" t="s">
        <v>0</v>
      </c>
      <c r="AZ396" s="180" t="s">
        <v>0</v>
      </c>
      <c r="BA396" s="180" t="s">
        <v>0</v>
      </c>
      <c r="BB396" s="180" t="s">
        <v>0</v>
      </c>
      <c r="BC396" s="180" t="s">
        <v>0</v>
      </c>
      <c r="BD396" s="180" t="s">
        <v>0</v>
      </c>
      <c r="BE396" s="180" t="s">
        <v>0</v>
      </c>
      <c r="BF396" s="180" t="s">
        <v>0</v>
      </c>
      <c r="BG396" s="180" t="s">
        <v>0</v>
      </c>
      <c r="BH396" s="180" t="s">
        <v>0</v>
      </c>
      <c r="BI396" s="181"/>
    </row>
    <row r="397" spans="1:61" x14ac:dyDescent="0.25">
      <c r="A397" s="22">
        <f>+A356+1</f>
        <v>351</v>
      </c>
      <c r="B397" s="214" t="str">
        <f>IF(F397=$F$7,G398,B356)</f>
        <v>F0014827101</v>
      </c>
      <c r="C397" s="214" t="str">
        <f>IF(F397=$F$7,G399,C356)</f>
        <v>82115-0EA31</v>
      </c>
      <c r="D397" s="45" t="str">
        <f>VLOOKUP(B397,'Timing Table'!B:J,9,0)</f>
        <v>C/O</v>
      </c>
      <c r="E397" s="22" t="str">
        <f>VLOOKUP(B397,'Timing Table'!B:H,7,0)</f>
        <v>GAS</v>
      </c>
      <c r="F397" s="121" t="s">
        <v>59</v>
      </c>
      <c r="G397" s="146">
        <v>5500990620</v>
      </c>
      <c r="H397" s="121" t="s">
        <v>60</v>
      </c>
      <c r="I397" s="146">
        <v>156</v>
      </c>
      <c r="J397" s="121" t="s">
        <v>61</v>
      </c>
      <c r="K397" s="125">
        <v>1121479</v>
      </c>
      <c r="L397" s="126"/>
      <c r="M397" s="147" t="s">
        <v>62</v>
      </c>
      <c r="N397" s="148"/>
      <c r="O397" s="149">
        <v>46086</v>
      </c>
      <c r="P397" s="121" t="s">
        <v>63</v>
      </c>
      <c r="Q397" s="146">
        <v>4</v>
      </c>
      <c r="R397" s="6" t="s">
        <v>0</v>
      </c>
      <c r="S397" s="7" t="s">
        <v>0</v>
      </c>
      <c r="T397" s="7" t="s">
        <v>0</v>
      </c>
      <c r="U397" s="7" t="s">
        <v>0</v>
      </c>
      <c r="V397" s="7" t="s">
        <v>0</v>
      </c>
      <c r="W397" s="7" t="s">
        <v>0</v>
      </c>
      <c r="X397" s="7" t="s">
        <v>0</v>
      </c>
      <c r="Y397" s="7" t="s">
        <v>0</v>
      </c>
      <c r="Z397" s="7" t="s">
        <v>0</v>
      </c>
      <c r="AA397" s="7" t="s">
        <v>0</v>
      </c>
      <c r="AB397" s="7" t="s">
        <v>0</v>
      </c>
      <c r="AC397" s="7" t="s">
        <v>0</v>
      </c>
      <c r="AD397" s="7" t="s">
        <v>0</v>
      </c>
      <c r="AE397" s="7" t="s">
        <v>0</v>
      </c>
      <c r="AF397" s="7" t="s">
        <v>0</v>
      </c>
      <c r="AG397" s="7" t="s">
        <v>0</v>
      </c>
      <c r="AH397" s="7" t="s">
        <v>0</v>
      </c>
      <c r="AI397" s="7" t="s">
        <v>0</v>
      </c>
      <c r="AJ397" s="7" t="s">
        <v>0</v>
      </c>
      <c r="AK397" s="7" t="s">
        <v>0</v>
      </c>
      <c r="AL397" s="7" t="s">
        <v>0</v>
      </c>
      <c r="AM397" s="7" t="s">
        <v>0</v>
      </c>
      <c r="AN397" s="7" t="s">
        <v>0</v>
      </c>
      <c r="AO397" s="7" t="s">
        <v>0</v>
      </c>
      <c r="AP397" s="7" t="s">
        <v>0</v>
      </c>
      <c r="AQ397" s="7" t="s">
        <v>0</v>
      </c>
      <c r="AR397" s="7" t="s">
        <v>0</v>
      </c>
      <c r="AS397" s="7" t="s">
        <v>0</v>
      </c>
      <c r="AT397" s="7" t="s">
        <v>0</v>
      </c>
      <c r="AU397" s="7" t="s">
        <v>0</v>
      </c>
      <c r="AV397" s="7" t="s">
        <v>0</v>
      </c>
      <c r="AW397" s="7" t="s">
        <v>0</v>
      </c>
      <c r="AX397" s="7" t="s">
        <v>0</v>
      </c>
      <c r="AY397" s="7" t="s">
        <v>0</v>
      </c>
      <c r="AZ397" s="7" t="s">
        <v>0</v>
      </c>
      <c r="BA397" s="7" t="s">
        <v>0</v>
      </c>
      <c r="BB397" s="7" t="s">
        <v>0</v>
      </c>
      <c r="BC397" s="7" t="s">
        <v>0</v>
      </c>
      <c r="BD397" s="7" t="s">
        <v>0</v>
      </c>
      <c r="BE397" s="7" t="s">
        <v>0</v>
      </c>
      <c r="BF397" s="7" t="s">
        <v>0</v>
      </c>
      <c r="BG397" s="7" t="s">
        <v>0</v>
      </c>
      <c r="BH397" s="7" t="s">
        <v>0</v>
      </c>
      <c r="BI397" s="8"/>
    </row>
    <row r="398" spans="1:61" x14ac:dyDescent="0.25">
      <c r="A398" s="22">
        <f t="shared" si="35"/>
        <v>352</v>
      </c>
      <c r="B398" s="214" t="str">
        <f t="shared" ref="B398:B405" si="50">IF(F398=$F$7,G399,B397)</f>
        <v>F0014827101</v>
      </c>
      <c r="C398" s="214" t="str">
        <f t="shared" ref="C398:C404" si="51">IF(F398=$F$7,G400,C397)</f>
        <v>82115-0EA31</v>
      </c>
      <c r="D398" s="45" t="str">
        <f>VLOOKUP(B398,'Timing Table'!B:J,9,0)</f>
        <v>C/O</v>
      </c>
      <c r="E398" s="22" t="str">
        <f>VLOOKUP(B398,'Timing Table'!B:H,7,0)</f>
        <v>GAS</v>
      </c>
      <c r="F398" s="121" t="s">
        <v>64</v>
      </c>
      <c r="G398" s="146" t="s">
        <v>150</v>
      </c>
      <c r="H398" s="121" t="s">
        <v>65</v>
      </c>
      <c r="I398" s="150" t="s">
        <v>257</v>
      </c>
      <c r="J398" s="151"/>
      <c r="K398" s="151"/>
      <c r="L398" s="152"/>
      <c r="M398" s="121" t="s">
        <v>66</v>
      </c>
      <c r="N398" s="146">
        <v>2026</v>
      </c>
      <c r="O398" s="140" t="s">
        <v>67</v>
      </c>
      <c r="P398" s="141"/>
      <c r="Q398" s="153" t="s">
        <v>133</v>
      </c>
      <c r="R398" s="122" t="s">
        <v>0</v>
      </c>
      <c r="S398" s="123" t="s">
        <v>0</v>
      </c>
      <c r="T398" s="123" t="s">
        <v>0</v>
      </c>
      <c r="U398" s="123" t="s">
        <v>0</v>
      </c>
      <c r="V398" s="123" t="s">
        <v>0</v>
      </c>
      <c r="W398" s="123" t="s">
        <v>0</v>
      </c>
      <c r="X398" s="123" t="s">
        <v>0</v>
      </c>
      <c r="Y398" s="123" t="s">
        <v>0</v>
      </c>
      <c r="Z398" s="123" t="s">
        <v>0</v>
      </c>
      <c r="AA398" s="123" t="s">
        <v>0</v>
      </c>
      <c r="AB398" s="123" t="s">
        <v>0</v>
      </c>
      <c r="AC398" s="123" t="s">
        <v>0</v>
      </c>
      <c r="AD398" s="123" t="s">
        <v>0</v>
      </c>
      <c r="AE398" s="123" t="s">
        <v>0</v>
      </c>
      <c r="AF398" s="123" t="s">
        <v>0</v>
      </c>
      <c r="AG398" s="123" t="s">
        <v>0</v>
      </c>
      <c r="AH398" s="123" t="s">
        <v>0</v>
      </c>
      <c r="AI398" s="123" t="s">
        <v>0</v>
      </c>
      <c r="AJ398" s="123" t="s">
        <v>0</v>
      </c>
      <c r="AK398" s="123" t="s">
        <v>0</v>
      </c>
      <c r="AL398" s="123" t="s">
        <v>0</v>
      </c>
      <c r="AM398" s="123" t="s">
        <v>0</v>
      </c>
      <c r="AN398" s="123" t="s">
        <v>0</v>
      </c>
      <c r="AO398" s="123" t="s">
        <v>0</v>
      </c>
      <c r="AP398" s="123" t="s">
        <v>0</v>
      </c>
      <c r="AQ398" s="123" t="s">
        <v>0</v>
      </c>
      <c r="AR398" s="123" t="s">
        <v>0</v>
      </c>
      <c r="AS398" s="123" t="s">
        <v>0</v>
      </c>
      <c r="AT398" s="123" t="s">
        <v>0</v>
      </c>
      <c r="AU398" s="123" t="s">
        <v>0</v>
      </c>
      <c r="AV398" s="123" t="s">
        <v>0</v>
      </c>
      <c r="AW398" s="123" t="s">
        <v>0</v>
      </c>
      <c r="AX398" s="123" t="s">
        <v>0</v>
      </c>
      <c r="AY398" s="123" t="s">
        <v>0</v>
      </c>
      <c r="AZ398" s="123" t="s">
        <v>0</v>
      </c>
      <c r="BA398" s="123" t="s">
        <v>0</v>
      </c>
      <c r="BB398" s="123" t="s">
        <v>0</v>
      </c>
      <c r="BC398" s="123" t="s">
        <v>0</v>
      </c>
      <c r="BD398" s="123" t="s">
        <v>0</v>
      </c>
      <c r="BE398" s="123" t="s">
        <v>0</v>
      </c>
      <c r="BF398" s="123" t="s">
        <v>0</v>
      </c>
      <c r="BG398" s="123" t="s">
        <v>0</v>
      </c>
      <c r="BH398" s="123" t="s">
        <v>0</v>
      </c>
      <c r="BI398" s="124"/>
    </row>
    <row r="399" spans="1:61" x14ac:dyDescent="0.25">
      <c r="A399" s="22">
        <f t="shared" si="35"/>
        <v>353</v>
      </c>
      <c r="B399" s="214" t="str">
        <f t="shared" si="50"/>
        <v>F0014827101</v>
      </c>
      <c r="C399" s="214" t="str">
        <f t="shared" si="51"/>
        <v>82115-0EA31</v>
      </c>
      <c r="D399" s="45" t="str">
        <f>VLOOKUP(B399,'Timing Table'!B:J,9,0)</f>
        <v>C/O</v>
      </c>
      <c r="E399" s="22" t="str">
        <f>VLOOKUP(B399,'Timing Table'!B:H,7,0)</f>
        <v>GAS</v>
      </c>
      <c r="F399" s="121" t="s">
        <v>68</v>
      </c>
      <c r="G399" s="146" t="s">
        <v>121</v>
      </c>
      <c r="H399" s="121" t="s">
        <v>69</v>
      </c>
      <c r="I399" s="154" t="s">
        <v>58</v>
      </c>
      <c r="J399" s="155" t="s">
        <v>0</v>
      </c>
      <c r="K399" s="156" t="s">
        <v>0</v>
      </c>
      <c r="L399" s="157" t="s">
        <v>0</v>
      </c>
      <c r="M399" s="134" t="s">
        <v>0</v>
      </c>
      <c r="N399" s="134" t="s">
        <v>0</v>
      </c>
      <c r="O399" s="134" t="s">
        <v>0</v>
      </c>
      <c r="P399" s="134" t="s">
        <v>0</v>
      </c>
      <c r="Q399" s="134" t="s">
        <v>1</v>
      </c>
      <c r="R399" s="134" t="s">
        <v>2</v>
      </c>
      <c r="S399" s="134" t="s">
        <v>0</v>
      </c>
      <c r="T399" s="134" t="s">
        <v>0</v>
      </c>
      <c r="U399" s="134" t="s">
        <v>0</v>
      </c>
      <c r="V399" s="134" t="s">
        <v>0</v>
      </c>
      <c r="W399" s="134" t="s">
        <v>0</v>
      </c>
      <c r="X399" s="134" t="s">
        <v>0</v>
      </c>
      <c r="Y399" s="134" t="s">
        <v>0</v>
      </c>
      <c r="Z399" s="134" t="s">
        <v>3</v>
      </c>
      <c r="AA399" s="134" t="s">
        <v>0</v>
      </c>
      <c r="AB399" s="134" t="s">
        <v>0</v>
      </c>
      <c r="AC399" s="134" t="s">
        <v>0</v>
      </c>
      <c r="AD399" s="134" t="s">
        <v>0</v>
      </c>
      <c r="AE399" s="134" t="s">
        <v>0</v>
      </c>
      <c r="AF399" s="134" t="s">
        <v>0</v>
      </c>
      <c r="AG399" s="134" t="s">
        <v>0</v>
      </c>
      <c r="AH399" s="134" t="s">
        <v>0</v>
      </c>
      <c r="AI399" s="134" t="s">
        <v>0</v>
      </c>
      <c r="AJ399" s="134" t="s">
        <v>0</v>
      </c>
      <c r="AK399" s="134" t="s">
        <v>0</v>
      </c>
      <c r="AL399" s="134" t="s">
        <v>0</v>
      </c>
      <c r="AM399" s="134" t="s">
        <v>0</v>
      </c>
      <c r="AN399" s="134" t="s">
        <v>0</v>
      </c>
      <c r="AO399" s="134" t="s">
        <v>0</v>
      </c>
      <c r="AP399" s="134" t="s">
        <v>0</v>
      </c>
      <c r="AQ399" s="134" t="s">
        <v>0</v>
      </c>
      <c r="AR399" s="134" t="s">
        <v>0</v>
      </c>
      <c r="AS399" s="134" t="s">
        <v>0</v>
      </c>
      <c r="AT399" s="134" t="s">
        <v>0</v>
      </c>
      <c r="AU399" s="134" t="s">
        <v>0</v>
      </c>
      <c r="AV399" s="134" t="s">
        <v>0</v>
      </c>
      <c r="AW399" s="134" t="s">
        <v>0</v>
      </c>
      <c r="AX399" s="134" t="s">
        <v>0</v>
      </c>
      <c r="AY399" s="134" t="s">
        <v>0</v>
      </c>
      <c r="AZ399" s="134" t="s">
        <v>0</v>
      </c>
      <c r="BA399" s="134" t="s">
        <v>0</v>
      </c>
      <c r="BB399" s="134" t="s">
        <v>0</v>
      </c>
      <c r="BC399" s="134" t="s">
        <v>0</v>
      </c>
      <c r="BD399" s="134" t="s">
        <v>0</v>
      </c>
      <c r="BE399" s="134" t="s">
        <v>0</v>
      </c>
      <c r="BF399" s="134" t="s">
        <v>0</v>
      </c>
      <c r="BG399" s="134" t="s">
        <v>0</v>
      </c>
      <c r="BH399" s="134" t="s">
        <v>0</v>
      </c>
      <c r="BI399" s="135" t="s">
        <v>4</v>
      </c>
    </row>
    <row r="400" spans="1:61" x14ac:dyDescent="0.25">
      <c r="A400" s="22">
        <f t="shared" si="35"/>
        <v>354</v>
      </c>
      <c r="B400" s="214" t="str">
        <f t="shared" si="50"/>
        <v>F0014827101</v>
      </c>
      <c r="C400" s="214" t="str">
        <f t="shared" si="51"/>
        <v>82115-0EA31</v>
      </c>
      <c r="D400" s="45" t="str">
        <f>VLOOKUP(B400,'Timing Table'!B:J,9,0)</f>
        <v>C/O</v>
      </c>
      <c r="E400" s="22" t="str">
        <f>VLOOKUP(B400,'Timing Table'!B:H,7,0)</f>
        <v>GAS</v>
      </c>
      <c r="F400" s="121" t="s">
        <v>70</v>
      </c>
      <c r="G400" s="146">
        <v>12</v>
      </c>
      <c r="H400" s="158" t="s">
        <v>241</v>
      </c>
      <c r="I400" s="159" t="s">
        <v>71</v>
      </c>
      <c r="J400" s="13">
        <v>46041</v>
      </c>
      <c r="K400" s="14">
        <v>46048</v>
      </c>
      <c r="L400" s="14">
        <v>46055</v>
      </c>
      <c r="M400" s="14">
        <v>46062</v>
      </c>
      <c r="N400" s="14">
        <v>46069</v>
      </c>
      <c r="O400" s="14">
        <v>46076</v>
      </c>
      <c r="P400" s="14">
        <v>46083</v>
      </c>
      <c r="Q400" s="14">
        <v>46090</v>
      </c>
      <c r="R400" s="14">
        <v>46097</v>
      </c>
      <c r="S400" s="14">
        <v>46104</v>
      </c>
      <c r="T400" s="14">
        <v>46111</v>
      </c>
      <c r="U400" s="14">
        <v>46118</v>
      </c>
      <c r="V400" s="14">
        <v>46125</v>
      </c>
      <c r="W400" s="14">
        <v>46132</v>
      </c>
      <c r="X400" s="14">
        <v>46139</v>
      </c>
      <c r="Y400" s="14">
        <v>46146</v>
      </c>
      <c r="Z400" s="14">
        <v>46153</v>
      </c>
      <c r="AA400" s="14">
        <v>46160</v>
      </c>
      <c r="AB400" s="14">
        <v>46167</v>
      </c>
      <c r="AC400" s="14">
        <v>46174</v>
      </c>
      <c r="AD400" s="14">
        <v>46181</v>
      </c>
      <c r="AE400" s="14">
        <v>46188</v>
      </c>
      <c r="AF400" s="14">
        <v>46195</v>
      </c>
      <c r="AG400" s="14">
        <v>46202</v>
      </c>
      <c r="AH400" s="14">
        <v>46209</v>
      </c>
      <c r="AI400" s="14">
        <v>46216</v>
      </c>
      <c r="AJ400" s="14">
        <v>46223</v>
      </c>
      <c r="AK400" s="14">
        <v>46230</v>
      </c>
      <c r="AL400" s="14">
        <v>46237</v>
      </c>
      <c r="AM400" s="14">
        <v>46244</v>
      </c>
      <c r="AN400" s="14">
        <v>46251</v>
      </c>
      <c r="AO400" s="14">
        <v>46258</v>
      </c>
      <c r="AP400" s="14">
        <v>46265</v>
      </c>
      <c r="AQ400" s="14">
        <v>46272</v>
      </c>
      <c r="AR400" s="14">
        <v>46279</v>
      </c>
      <c r="AS400" s="14">
        <v>46286</v>
      </c>
      <c r="AT400" s="14">
        <v>46293</v>
      </c>
      <c r="AU400" s="14">
        <v>46300</v>
      </c>
      <c r="AV400" s="14">
        <v>46307</v>
      </c>
      <c r="AW400" s="14">
        <v>46314</v>
      </c>
      <c r="AX400" s="14">
        <v>46321</v>
      </c>
      <c r="AY400" s="14">
        <v>46328</v>
      </c>
      <c r="AZ400" s="14">
        <v>46335</v>
      </c>
      <c r="BA400" s="14">
        <v>46342</v>
      </c>
      <c r="BB400" s="14">
        <v>46349</v>
      </c>
      <c r="BC400" s="14">
        <v>46356</v>
      </c>
      <c r="BD400" s="14">
        <v>46363</v>
      </c>
      <c r="BE400" s="14">
        <v>46370</v>
      </c>
      <c r="BF400" s="14">
        <v>46377</v>
      </c>
      <c r="BG400" s="14">
        <v>46384</v>
      </c>
      <c r="BH400" s="14">
        <v>46391</v>
      </c>
      <c r="BI400" s="15">
        <v>46398</v>
      </c>
    </row>
    <row r="401" spans="1:61" x14ac:dyDescent="0.25">
      <c r="A401" s="22">
        <f t="shared" si="35"/>
        <v>355</v>
      </c>
      <c r="B401" s="214" t="str">
        <f t="shared" si="50"/>
        <v>F0014827101</v>
      </c>
      <c r="C401" s="214" t="str">
        <f t="shared" si="51"/>
        <v>82115-0EA31</v>
      </c>
      <c r="D401" s="45" t="str">
        <f>VLOOKUP(B401,'Timing Table'!B:J,9,0)</f>
        <v>C/O</v>
      </c>
      <c r="E401" s="22" t="str">
        <f>VLOOKUP(B401,'Timing Table'!B:H,7,0)</f>
        <v>GAS</v>
      </c>
      <c r="F401" s="121" t="s">
        <v>72</v>
      </c>
      <c r="G401" s="146">
        <v>64</v>
      </c>
      <c r="H401" s="5" t="s">
        <v>58</v>
      </c>
      <c r="I401" s="11" t="s">
        <v>83</v>
      </c>
      <c r="J401" s="16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/>
      <c r="BH401" s="49"/>
      <c r="BI401" s="17"/>
    </row>
    <row r="402" spans="1:61" x14ac:dyDescent="0.25">
      <c r="A402" s="22">
        <f t="shared" si="35"/>
        <v>356</v>
      </c>
      <c r="B402" s="214" t="str">
        <f t="shared" si="50"/>
        <v>F0014827101</v>
      </c>
      <c r="C402" s="214" t="str">
        <f t="shared" si="51"/>
        <v>82115-0EA31</v>
      </c>
      <c r="D402" s="45" t="str">
        <f>VLOOKUP(B402,'Timing Table'!B:J,9,0)</f>
        <v>C/O</v>
      </c>
      <c r="E402" s="22" t="str">
        <f>VLOOKUP(B402,'Timing Table'!B:H,7,0)</f>
        <v>GAS</v>
      </c>
      <c r="F402" s="121" t="s">
        <v>73</v>
      </c>
      <c r="G402" s="160" t="s">
        <v>130</v>
      </c>
      <c r="H402" s="9" t="s">
        <v>121</v>
      </c>
      <c r="I402" s="11" t="s">
        <v>74</v>
      </c>
      <c r="J402" s="117">
        <v>0</v>
      </c>
      <c r="K402" s="50">
        <v>0</v>
      </c>
      <c r="L402" s="50">
        <v>0</v>
      </c>
      <c r="M402" s="50">
        <v>0</v>
      </c>
      <c r="N402" s="50">
        <v>0</v>
      </c>
      <c r="O402" s="50">
        <v>0</v>
      </c>
      <c r="P402" s="50">
        <v>0</v>
      </c>
      <c r="Q402" s="50">
        <v>0</v>
      </c>
      <c r="R402" s="50">
        <v>0</v>
      </c>
      <c r="S402" s="50">
        <v>0</v>
      </c>
      <c r="T402" s="50">
        <v>0</v>
      </c>
      <c r="U402" s="50">
        <v>0</v>
      </c>
      <c r="V402" s="50">
        <v>0</v>
      </c>
      <c r="W402" s="50">
        <v>0</v>
      </c>
      <c r="X402" s="50">
        <v>0</v>
      </c>
      <c r="Y402" s="50">
        <v>0</v>
      </c>
      <c r="Z402" s="50">
        <v>0</v>
      </c>
      <c r="AA402" s="50">
        <v>0</v>
      </c>
      <c r="AB402" s="50">
        <v>0</v>
      </c>
      <c r="AC402" s="50">
        <v>0</v>
      </c>
      <c r="AD402" s="50">
        <v>0</v>
      </c>
      <c r="AE402" s="50">
        <v>0</v>
      </c>
      <c r="AF402" s="50">
        <v>0</v>
      </c>
      <c r="AG402" s="50">
        <v>0</v>
      </c>
      <c r="AH402" s="50">
        <v>0</v>
      </c>
      <c r="AI402" s="50">
        <v>0</v>
      </c>
      <c r="AJ402" s="50">
        <v>0</v>
      </c>
      <c r="AK402" s="50">
        <v>0</v>
      </c>
      <c r="AL402" s="50">
        <v>0</v>
      </c>
      <c r="AM402" s="50">
        <v>0</v>
      </c>
      <c r="AN402" s="50">
        <v>0</v>
      </c>
      <c r="AO402" s="50">
        <v>0</v>
      </c>
      <c r="AP402" s="50">
        <v>0</v>
      </c>
      <c r="AQ402" s="50">
        <v>0</v>
      </c>
      <c r="AR402" s="50">
        <v>0</v>
      </c>
      <c r="AS402" s="50">
        <v>0</v>
      </c>
      <c r="AT402" s="50">
        <v>0</v>
      </c>
      <c r="AU402" s="50">
        <v>0</v>
      </c>
      <c r="AV402" s="50">
        <v>0</v>
      </c>
      <c r="AW402" s="50">
        <v>0</v>
      </c>
      <c r="AX402" s="50">
        <v>0</v>
      </c>
      <c r="AY402" s="50">
        <v>0</v>
      </c>
      <c r="AZ402" s="50">
        <v>0</v>
      </c>
      <c r="BA402" s="50">
        <v>0</v>
      </c>
      <c r="BB402" s="50">
        <v>0</v>
      </c>
      <c r="BC402" s="50">
        <v>0</v>
      </c>
      <c r="BD402" s="50">
        <v>0</v>
      </c>
      <c r="BE402" s="50">
        <v>0</v>
      </c>
      <c r="BF402" s="50">
        <v>0</v>
      </c>
      <c r="BG402" s="50">
        <v>0</v>
      </c>
      <c r="BH402" s="50">
        <v>0</v>
      </c>
      <c r="BI402" s="118">
        <v>0</v>
      </c>
    </row>
    <row r="403" spans="1:61" x14ac:dyDescent="0.25">
      <c r="A403" s="22">
        <f t="shared" si="35"/>
        <v>357</v>
      </c>
      <c r="B403" s="214" t="str">
        <f t="shared" si="50"/>
        <v>F0014827101</v>
      </c>
      <c r="C403" s="214" t="str">
        <f t="shared" si="51"/>
        <v>82115-0EA31</v>
      </c>
      <c r="D403" s="45" t="str">
        <f>VLOOKUP(B403,'Timing Table'!B:J,9,0)</f>
        <v>C/O</v>
      </c>
      <c r="E403" s="22" t="str">
        <f>VLOOKUP(B403,'Timing Table'!B:H,7,0)</f>
        <v>GAS</v>
      </c>
      <c r="F403" s="121" t="s">
        <v>75</v>
      </c>
      <c r="G403" s="146">
        <v>82115</v>
      </c>
      <c r="H403" s="10" t="s">
        <v>121</v>
      </c>
      <c r="I403" s="12" t="s">
        <v>76</v>
      </c>
      <c r="J403" s="161">
        <v>12</v>
      </c>
      <c r="K403" s="162">
        <v>12</v>
      </c>
      <c r="L403" s="162">
        <v>12</v>
      </c>
      <c r="M403" s="162">
        <v>12</v>
      </c>
      <c r="N403" s="162">
        <v>12</v>
      </c>
      <c r="O403" s="162">
        <v>12</v>
      </c>
      <c r="P403" s="162">
        <v>12</v>
      </c>
      <c r="Q403" s="162">
        <v>12</v>
      </c>
      <c r="R403" s="162">
        <v>12</v>
      </c>
      <c r="S403" s="162">
        <v>12</v>
      </c>
      <c r="T403" s="162">
        <v>12</v>
      </c>
      <c r="U403" s="162">
        <v>12</v>
      </c>
      <c r="V403" s="162">
        <v>12</v>
      </c>
      <c r="W403" s="162">
        <v>12</v>
      </c>
      <c r="X403" s="162">
        <v>12</v>
      </c>
      <c r="Y403" s="162">
        <v>12</v>
      </c>
      <c r="Z403" s="162">
        <v>12</v>
      </c>
      <c r="AA403" s="162">
        <v>12</v>
      </c>
      <c r="AB403" s="162">
        <v>12</v>
      </c>
      <c r="AC403" s="162">
        <v>12</v>
      </c>
      <c r="AD403" s="162">
        <v>12</v>
      </c>
      <c r="AE403" s="162">
        <v>12</v>
      </c>
      <c r="AF403" s="162">
        <v>12</v>
      </c>
      <c r="AG403" s="162">
        <v>12</v>
      </c>
      <c r="AH403" s="162">
        <v>12</v>
      </c>
      <c r="AI403" s="162">
        <v>12</v>
      </c>
      <c r="AJ403" s="162">
        <v>12</v>
      </c>
      <c r="AK403" s="162">
        <v>12</v>
      </c>
      <c r="AL403" s="162">
        <v>12</v>
      </c>
      <c r="AM403" s="162">
        <v>12</v>
      </c>
      <c r="AN403" s="162">
        <v>12</v>
      </c>
      <c r="AO403" s="162">
        <v>12</v>
      </c>
      <c r="AP403" s="162">
        <v>12</v>
      </c>
      <c r="AQ403" s="162">
        <v>12</v>
      </c>
      <c r="AR403" s="162">
        <v>12</v>
      </c>
      <c r="AS403" s="162">
        <v>12</v>
      </c>
      <c r="AT403" s="162">
        <v>12</v>
      </c>
      <c r="AU403" s="162">
        <v>12</v>
      </c>
      <c r="AV403" s="162">
        <v>12</v>
      </c>
      <c r="AW403" s="162">
        <v>12</v>
      </c>
      <c r="AX403" s="162">
        <v>12</v>
      </c>
      <c r="AY403" s="162">
        <v>12</v>
      </c>
      <c r="AZ403" s="162">
        <v>12</v>
      </c>
      <c r="BA403" s="162">
        <v>12</v>
      </c>
      <c r="BB403" s="162">
        <v>12</v>
      </c>
      <c r="BC403" s="162">
        <v>12</v>
      </c>
      <c r="BD403" s="162">
        <v>12</v>
      </c>
      <c r="BE403" s="162">
        <v>12</v>
      </c>
      <c r="BF403" s="162">
        <v>12</v>
      </c>
      <c r="BG403" s="162">
        <v>12</v>
      </c>
      <c r="BH403" s="162">
        <v>12</v>
      </c>
      <c r="BI403" s="163">
        <v>12</v>
      </c>
    </row>
    <row r="404" spans="1:61" x14ac:dyDescent="0.25">
      <c r="A404" s="22">
        <f t="shared" si="35"/>
        <v>358</v>
      </c>
      <c r="B404" s="214" t="str">
        <f t="shared" si="50"/>
        <v>F0014827101</v>
      </c>
      <c r="C404" s="214" t="str">
        <f t="shared" si="51"/>
        <v>82115-0EA31</v>
      </c>
      <c r="D404" s="45" t="str">
        <f>VLOOKUP(B404,'Timing Table'!B:J,9,0)</f>
        <v>C/O</v>
      </c>
      <c r="E404" s="22" t="str">
        <f>VLOOKUP(B404,'Timing Table'!B:H,7,0)</f>
        <v>GAS</v>
      </c>
      <c r="F404" s="164" t="s">
        <v>77</v>
      </c>
      <c r="G404" s="165">
        <v>12</v>
      </c>
      <c r="H404" s="166" t="s">
        <v>78</v>
      </c>
      <c r="I404" s="167"/>
      <c r="J404" s="168" t="s">
        <v>247</v>
      </c>
      <c r="K404" s="169"/>
      <c r="L404" s="170" t="s">
        <v>0</v>
      </c>
      <c r="M404" s="170" t="s">
        <v>0</v>
      </c>
      <c r="N404" s="170" t="s">
        <v>0</v>
      </c>
      <c r="O404" s="170" t="s">
        <v>0</v>
      </c>
      <c r="P404" s="170" t="s">
        <v>0</v>
      </c>
      <c r="Q404" s="170" t="s">
        <v>0</v>
      </c>
      <c r="R404" s="170" t="s">
        <v>0</v>
      </c>
      <c r="S404" s="170" t="s">
        <v>0</v>
      </c>
      <c r="T404" s="170" t="s">
        <v>0</v>
      </c>
      <c r="U404" s="170" t="s">
        <v>0</v>
      </c>
      <c r="V404" s="170" t="s">
        <v>0</v>
      </c>
      <c r="W404" s="170" t="s">
        <v>0</v>
      </c>
      <c r="X404" s="170" t="s">
        <v>0</v>
      </c>
      <c r="Y404" s="170" t="s">
        <v>0</v>
      </c>
      <c r="Z404" s="170" t="s">
        <v>0</v>
      </c>
      <c r="AA404" s="170" t="s">
        <v>0</v>
      </c>
      <c r="AB404" s="170" t="s">
        <v>0</v>
      </c>
      <c r="AC404" s="170" t="s">
        <v>0</v>
      </c>
      <c r="AD404" s="170" t="s">
        <v>0</v>
      </c>
      <c r="AE404" s="170" t="s">
        <v>0</v>
      </c>
      <c r="AF404" s="170" t="s">
        <v>0</v>
      </c>
      <c r="AG404" s="170" t="s">
        <v>0</v>
      </c>
      <c r="AH404" s="170" t="s">
        <v>0</v>
      </c>
      <c r="AI404" s="170" t="s">
        <v>0</v>
      </c>
      <c r="AJ404" s="170" t="s">
        <v>0</v>
      </c>
      <c r="AK404" s="170" t="s">
        <v>0</v>
      </c>
      <c r="AL404" s="170" t="s">
        <v>0</v>
      </c>
      <c r="AM404" s="170" t="s">
        <v>0</v>
      </c>
      <c r="AN404" s="170" t="s">
        <v>0</v>
      </c>
      <c r="AO404" s="170" t="s">
        <v>0</v>
      </c>
      <c r="AP404" s="170" t="s">
        <v>0</v>
      </c>
      <c r="AQ404" s="170" t="s">
        <v>0</v>
      </c>
      <c r="AR404" s="170" t="s">
        <v>0</v>
      </c>
      <c r="AS404" s="170" t="s">
        <v>0</v>
      </c>
      <c r="AT404" s="170" t="s">
        <v>0</v>
      </c>
      <c r="AU404" s="170" t="s">
        <v>0</v>
      </c>
      <c r="AV404" s="170" t="s">
        <v>0</v>
      </c>
      <c r="AW404" s="170" t="s">
        <v>0</v>
      </c>
      <c r="AX404" s="170" t="s">
        <v>0</v>
      </c>
      <c r="AY404" s="170" t="s">
        <v>0</v>
      </c>
      <c r="AZ404" s="170" t="s">
        <v>0</v>
      </c>
      <c r="BA404" s="170" t="s">
        <v>0</v>
      </c>
      <c r="BB404" s="170" t="s">
        <v>0</v>
      </c>
      <c r="BC404" s="170" t="s">
        <v>0</v>
      </c>
      <c r="BD404" s="170" t="s">
        <v>0</v>
      </c>
      <c r="BE404" s="170" t="s">
        <v>0</v>
      </c>
      <c r="BF404" s="170" t="s">
        <v>0</v>
      </c>
      <c r="BG404" s="170" t="s">
        <v>0</v>
      </c>
      <c r="BH404" s="170" t="s">
        <v>0</v>
      </c>
      <c r="BI404" s="171"/>
    </row>
    <row r="405" spans="1:61" x14ac:dyDescent="0.25">
      <c r="A405" s="22">
        <f t="shared" si="35"/>
        <v>359</v>
      </c>
      <c r="B405" s="214" t="str">
        <f t="shared" si="50"/>
        <v>F0014827101</v>
      </c>
      <c r="C405" s="214" t="str">
        <f>IF(F405=$F$7,#REF!,C404)</f>
        <v>82115-0EA31</v>
      </c>
      <c r="D405" s="45" t="str">
        <f>VLOOKUP(B405,'Timing Table'!B:J,9,0)</f>
        <v>C/O</v>
      </c>
      <c r="E405" s="22" t="str">
        <f>VLOOKUP(B405,'Timing Table'!B:H,7,0)</f>
        <v>GAS</v>
      </c>
      <c r="F405" s="172" t="s">
        <v>79</v>
      </c>
      <c r="G405" s="173" t="s">
        <v>58</v>
      </c>
      <c r="H405" s="174" t="s">
        <v>58</v>
      </c>
      <c r="I405" s="175" t="s">
        <v>58</v>
      </c>
      <c r="J405" s="175" t="s">
        <v>0</v>
      </c>
      <c r="K405" s="175" t="s">
        <v>0</v>
      </c>
      <c r="L405" s="175" t="s">
        <v>0</v>
      </c>
      <c r="M405" s="175" t="s">
        <v>0</v>
      </c>
      <c r="N405" s="175" t="s">
        <v>0</v>
      </c>
      <c r="O405" s="175" t="s">
        <v>0</v>
      </c>
      <c r="P405" s="175" t="s">
        <v>0</v>
      </c>
      <c r="Q405" s="175" t="s">
        <v>0</v>
      </c>
      <c r="R405" s="175" t="s">
        <v>0</v>
      </c>
      <c r="S405" s="175" t="s">
        <v>0</v>
      </c>
      <c r="T405" s="175" t="s">
        <v>0</v>
      </c>
      <c r="U405" s="175" t="s">
        <v>0</v>
      </c>
      <c r="V405" s="175" t="s">
        <v>0</v>
      </c>
      <c r="W405" s="175" t="s">
        <v>0</v>
      </c>
      <c r="X405" s="175" t="s">
        <v>0</v>
      </c>
      <c r="Y405" s="175" t="s">
        <v>0</v>
      </c>
      <c r="Z405" s="175" t="s">
        <v>0</v>
      </c>
      <c r="AA405" s="175" t="s">
        <v>0</v>
      </c>
      <c r="AB405" s="175" t="s">
        <v>0</v>
      </c>
      <c r="AC405" s="175" t="s">
        <v>0</v>
      </c>
      <c r="AD405" s="175" t="s">
        <v>0</v>
      </c>
      <c r="AE405" s="175" t="s">
        <v>0</v>
      </c>
      <c r="AF405" s="175" t="s">
        <v>0</v>
      </c>
      <c r="AG405" s="175" t="s">
        <v>0</v>
      </c>
      <c r="AH405" s="175" t="s">
        <v>0</v>
      </c>
      <c r="AI405" s="175" t="s">
        <v>0</v>
      </c>
      <c r="AJ405" s="175" t="s">
        <v>0</v>
      </c>
      <c r="AK405" s="175" t="s">
        <v>0</v>
      </c>
      <c r="AL405" s="175" t="s">
        <v>0</v>
      </c>
      <c r="AM405" s="175" t="s">
        <v>0</v>
      </c>
      <c r="AN405" s="175" t="s">
        <v>0</v>
      </c>
      <c r="AO405" s="175" t="s">
        <v>0</v>
      </c>
      <c r="AP405" s="175" t="s">
        <v>0</v>
      </c>
      <c r="AQ405" s="175" t="s">
        <v>0</v>
      </c>
      <c r="AR405" s="175" t="s">
        <v>0</v>
      </c>
      <c r="AS405" s="175" t="s">
        <v>0</v>
      </c>
      <c r="AT405" s="175" t="s">
        <v>0</v>
      </c>
      <c r="AU405" s="175" t="s">
        <v>0</v>
      </c>
      <c r="AV405" s="175" t="s">
        <v>0</v>
      </c>
      <c r="AW405" s="175" t="s">
        <v>0</v>
      </c>
      <c r="AX405" s="175" t="s">
        <v>0</v>
      </c>
      <c r="AY405" s="175" t="s">
        <v>0</v>
      </c>
      <c r="AZ405" s="175" t="s">
        <v>0</v>
      </c>
      <c r="BA405" s="175" t="s">
        <v>0</v>
      </c>
      <c r="BB405" s="175" t="s">
        <v>0</v>
      </c>
      <c r="BC405" s="175" t="s">
        <v>0</v>
      </c>
      <c r="BD405" s="175" t="s">
        <v>0</v>
      </c>
      <c r="BE405" s="175" t="s">
        <v>0</v>
      </c>
      <c r="BF405" s="175" t="s">
        <v>0</v>
      </c>
      <c r="BG405" s="175" t="s">
        <v>0</v>
      </c>
      <c r="BH405" s="175" t="s">
        <v>0</v>
      </c>
      <c r="BI405" s="176"/>
    </row>
    <row r="406" spans="1:61" x14ac:dyDescent="0.25">
      <c r="A406" s="22">
        <f t="shared" si="35"/>
        <v>360</v>
      </c>
      <c r="B406" s="214" t="str">
        <f>IF(F406=$F$7,#REF!,B405)</f>
        <v>F0014827101</v>
      </c>
      <c r="C406" s="214" t="str">
        <f>IF(F406=$F$7,#REF!,C405)</f>
        <v>82115-0EA31</v>
      </c>
      <c r="D406" s="45" t="str">
        <f>VLOOKUP(B406,'Timing Table'!B:J,9,0)</f>
        <v>C/O</v>
      </c>
      <c r="E406" s="22" t="str">
        <f>VLOOKUP(B406,'Timing Table'!B:H,7,0)</f>
        <v>GAS</v>
      </c>
      <c r="F406" s="177" t="s">
        <v>58</v>
      </c>
      <c r="G406" s="178" t="s">
        <v>58</v>
      </c>
      <c r="H406" s="179" t="s">
        <v>58</v>
      </c>
      <c r="I406" s="180" t="s">
        <v>58</v>
      </c>
      <c r="J406" s="180" t="s">
        <v>0</v>
      </c>
      <c r="K406" s="180" t="s">
        <v>0</v>
      </c>
      <c r="L406" s="180" t="s">
        <v>0</v>
      </c>
      <c r="M406" s="180" t="s">
        <v>0</v>
      </c>
      <c r="N406" s="180" t="s">
        <v>0</v>
      </c>
      <c r="O406" s="180" t="s">
        <v>0</v>
      </c>
      <c r="P406" s="180" t="s">
        <v>0</v>
      </c>
      <c r="Q406" s="180" t="s">
        <v>0</v>
      </c>
      <c r="R406" s="180" t="s">
        <v>0</v>
      </c>
      <c r="S406" s="180" t="s">
        <v>0</v>
      </c>
      <c r="T406" s="180" t="s">
        <v>0</v>
      </c>
      <c r="U406" s="180" t="s">
        <v>0</v>
      </c>
      <c r="V406" s="180" t="s">
        <v>0</v>
      </c>
      <c r="W406" s="180" t="s">
        <v>0</v>
      </c>
      <c r="X406" s="180" t="s">
        <v>0</v>
      </c>
      <c r="Y406" s="180" t="s">
        <v>0</v>
      </c>
      <c r="Z406" s="180" t="s">
        <v>0</v>
      </c>
      <c r="AA406" s="180" t="s">
        <v>0</v>
      </c>
      <c r="AB406" s="180" t="s">
        <v>0</v>
      </c>
      <c r="AC406" s="180" t="s">
        <v>0</v>
      </c>
      <c r="AD406" s="180" t="s">
        <v>0</v>
      </c>
      <c r="AE406" s="180" t="s">
        <v>0</v>
      </c>
      <c r="AF406" s="180" t="s">
        <v>0</v>
      </c>
      <c r="AG406" s="180" t="s">
        <v>0</v>
      </c>
      <c r="AH406" s="180" t="s">
        <v>0</v>
      </c>
      <c r="AI406" s="180" t="s">
        <v>0</v>
      </c>
      <c r="AJ406" s="180" t="s">
        <v>0</v>
      </c>
      <c r="AK406" s="180" t="s">
        <v>0</v>
      </c>
      <c r="AL406" s="180" t="s">
        <v>0</v>
      </c>
      <c r="AM406" s="180" t="s">
        <v>0</v>
      </c>
      <c r="AN406" s="180" t="s">
        <v>0</v>
      </c>
      <c r="AO406" s="180" t="s">
        <v>0</v>
      </c>
      <c r="AP406" s="180" t="s">
        <v>0</v>
      </c>
      <c r="AQ406" s="180" t="s">
        <v>0</v>
      </c>
      <c r="AR406" s="180" t="s">
        <v>0</v>
      </c>
      <c r="AS406" s="180" t="s">
        <v>0</v>
      </c>
      <c r="AT406" s="180" t="s">
        <v>0</v>
      </c>
      <c r="AU406" s="180" t="s">
        <v>0</v>
      </c>
      <c r="AV406" s="180" t="s">
        <v>0</v>
      </c>
      <c r="AW406" s="180" t="s">
        <v>0</v>
      </c>
      <c r="AX406" s="180" t="s">
        <v>0</v>
      </c>
      <c r="AY406" s="180" t="s">
        <v>0</v>
      </c>
      <c r="AZ406" s="180" t="s">
        <v>0</v>
      </c>
      <c r="BA406" s="180" t="s">
        <v>0</v>
      </c>
      <c r="BB406" s="180" t="s">
        <v>0</v>
      </c>
      <c r="BC406" s="180" t="s">
        <v>0</v>
      </c>
      <c r="BD406" s="180" t="s">
        <v>0</v>
      </c>
      <c r="BE406" s="180" t="s">
        <v>0</v>
      </c>
      <c r="BF406" s="180" t="s">
        <v>0</v>
      </c>
      <c r="BG406" s="180" t="s">
        <v>0</v>
      </c>
      <c r="BH406" s="180" t="s">
        <v>0</v>
      </c>
      <c r="BI406" s="181"/>
    </row>
    <row r="407" spans="1:61" x14ac:dyDescent="0.25">
      <c r="A407" s="22">
        <f>+A366+1</f>
        <v>361</v>
      </c>
      <c r="B407" s="214" t="str">
        <f>IF(F407=$F$7,G408,B366)</f>
        <v>F0014827103</v>
      </c>
      <c r="C407" s="214" t="str">
        <f>IF(F407=$F$7,G409,C366)</f>
        <v>82115-0EA31 B</v>
      </c>
      <c r="D407" s="45" t="str">
        <f>VLOOKUP(B407,'Timing Table'!B:J,9,0)</f>
        <v>C/O</v>
      </c>
      <c r="E407" s="22" t="str">
        <f>VLOOKUP(B407,'Timing Table'!B:H,7,0)</f>
        <v>GAS</v>
      </c>
      <c r="F407" s="121" t="s">
        <v>59</v>
      </c>
      <c r="G407" s="146">
        <v>5501017973</v>
      </c>
      <c r="H407" s="121" t="s">
        <v>60</v>
      </c>
      <c r="I407" s="146">
        <v>91</v>
      </c>
      <c r="J407" s="121" t="s">
        <v>61</v>
      </c>
      <c r="K407" s="125">
        <v>1177760</v>
      </c>
      <c r="L407" s="126"/>
      <c r="M407" s="147" t="s">
        <v>62</v>
      </c>
      <c r="N407" s="148"/>
      <c r="O407" s="149">
        <v>46086</v>
      </c>
      <c r="P407" s="121" t="s">
        <v>63</v>
      </c>
      <c r="Q407" s="146">
        <v>4</v>
      </c>
      <c r="R407" s="6" t="s">
        <v>0</v>
      </c>
      <c r="S407" s="7" t="s">
        <v>0</v>
      </c>
      <c r="T407" s="7" t="s">
        <v>0</v>
      </c>
      <c r="U407" s="7" t="s">
        <v>0</v>
      </c>
      <c r="V407" s="7" t="s">
        <v>0</v>
      </c>
      <c r="W407" s="7" t="s">
        <v>0</v>
      </c>
      <c r="X407" s="7" t="s">
        <v>0</v>
      </c>
      <c r="Y407" s="7" t="s">
        <v>0</v>
      </c>
      <c r="Z407" s="7" t="s">
        <v>0</v>
      </c>
      <c r="AA407" s="7" t="s">
        <v>0</v>
      </c>
      <c r="AB407" s="7" t="s">
        <v>0</v>
      </c>
      <c r="AC407" s="7" t="s">
        <v>0</v>
      </c>
      <c r="AD407" s="7" t="s">
        <v>0</v>
      </c>
      <c r="AE407" s="7" t="s">
        <v>0</v>
      </c>
      <c r="AF407" s="7" t="s">
        <v>0</v>
      </c>
      <c r="AG407" s="7" t="s">
        <v>0</v>
      </c>
      <c r="AH407" s="7" t="s">
        <v>0</v>
      </c>
      <c r="AI407" s="7" t="s">
        <v>0</v>
      </c>
      <c r="AJ407" s="7" t="s">
        <v>0</v>
      </c>
      <c r="AK407" s="7" t="s">
        <v>0</v>
      </c>
      <c r="AL407" s="7" t="s">
        <v>0</v>
      </c>
      <c r="AM407" s="7" t="s">
        <v>0</v>
      </c>
      <c r="AN407" s="7" t="s">
        <v>0</v>
      </c>
      <c r="AO407" s="7" t="s">
        <v>0</v>
      </c>
      <c r="AP407" s="7" t="s">
        <v>0</v>
      </c>
      <c r="AQ407" s="7" t="s">
        <v>0</v>
      </c>
      <c r="AR407" s="7" t="s">
        <v>0</v>
      </c>
      <c r="AS407" s="7" t="s">
        <v>0</v>
      </c>
      <c r="AT407" s="7" t="s">
        <v>0</v>
      </c>
      <c r="AU407" s="7" t="s">
        <v>0</v>
      </c>
      <c r="AV407" s="7" t="s">
        <v>0</v>
      </c>
      <c r="AW407" s="7" t="s">
        <v>0</v>
      </c>
      <c r="AX407" s="7" t="s">
        <v>0</v>
      </c>
      <c r="AY407" s="7" t="s">
        <v>0</v>
      </c>
      <c r="AZ407" s="7" t="s">
        <v>0</v>
      </c>
      <c r="BA407" s="7" t="s">
        <v>0</v>
      </c>
      <c r="BB407" s="7" t="s">
        <v>0</v>
      </c>
      <c r="BC407" s="7" t="s">
        <v>0</v>
      </c>
      <c r="BD407" s="7" t="s">
        <v>0</v>
      </c>
      <c r="BE407" s="7" t="s">
        <v>0</v>
      </c>
      <c r="BF407" s="7" t="s">
        <v>0</v>
      </c>
      <c r="BG407" s="7" t="s">
        <v>0</v>
      </c>
      <c r="BH407" s="7" t="s">
        <v>0</v>
      </c>
      <c r="BI407" s="8"/>
    </row>
    <row r="408" spans="1:61" x14ac:dyDescent="0.25">
      <c r="A408" s="22">
        <f t="shared" si="35"/>
        <v>362</v>
      </c>
      <c r="B408" s="214" t="str">
        <f t="shared" ref="B408:B415" si="52">IF(F408=$F$7,G409,B407)</f>
        <v>F0014827103</v>
      </c>
      <c r="C408" s="214" t="str">
        <f t="shared" ref="C408:C414" si="53">IF(F408=$F$7,G410,C407)</f>
        <v>82115-0EA31 B</v>
      </c>
      <c r="D408" s="45" t="str">
        <f>VLOOKUP(B408,'Timing Table'!B:J,9,0)</f>
        <v>C/O</v>
      </c>
      <c r="E408" s="22" t="str">
        <f>VLOOKUP(B408,'Timing Table'!B:H,7,0)</f>
        <v>GAS</v>
      </c>
      <c r="F408" s="121" t="s">
        <v>64</v>
      </c>
      <c r="G408" s="146" t="s">
        <v>186</v>
      </c>
      <c r="H408" s="121" t="s">
        <v>65</v>
      </c>
      <c r="I408" s="150" t="s">
        <v>258</v>
      </c>
      <c r="J408" s="151"/>
      <c r="K408" s="151"/>
      <c r="L408" s="152"/>
      <c r="M408" s="121" t="s">
        <v>66</v>
      </c>
      <c r="N408" s="146">
        <v>2026</v>
      </c>
      <c r="O408" s="140" t="s">
        <v>67</v>
      </c>
      <c r="P408" s="141"/>
      <c r="Q408" s="153" t="s">
        <v>203</v>
      </c>
      <c r="R408" s="122" t="s">
        <v>0</v>
      </c>
      <c r="S408" s="123" t="s">
        <v>0</v>
      </c>
      <c r="T408" s="123" t="s">
        <v>0</v>
      </c>
      <c r="U408" s="123" t="s">
        <v>0</v>
      </c>
      <c r="V408" s="123" t="s">
        <v>0</v>
      </c>
      <c r="W408" s="123" t="s">
        <v>0</v>
      </c>
      <c r="X408" s="123" t="s">
        <v>0</v>
      </c>
      <c r="Y408" s="123" t="s">
        <v>0</v>
      </c>
      <c r="Z408" s="123" t="s">
        <v>0</v>
      </c>
      <c r="AA408" s="123" t="s">
        <v>0</v>
      </c>
      <c r="AB408" s="123" t="s">
        <v>0</v>
      </c>
      <c r="AC408" s="123" t="s">
        <v>0</v>
      </c>
      <c r="AD408" s="123" t="s">
        <v>0</v>
      </c>
      <c r="AE408" s="123" t="s">
        <v>0</v>
      </c>
      <c r="AF408" s="123" t="s">
        <v>0</v>
      </c>
      <c r="AG408" s="123" t="s">
        <v>0</v>
      </c>
      <c r="AH408" s="123" t="s">
        <v>0</v>
      </c>
      <c r="AI408" s="123" t="s">
        <v>0</v>
      </c>
      <c r="AJ408" s="123" t="s">
        <v>0</v>
      </c>
      <c r="AK408" s="123" t="s">
        <v>0</v>
      </c>
      <c r="AL408" s="123" t="s">
        <v>0</v>
      </c>
      <c r="AM408" s="123" t="s">
        <v>0</v>
      </c>
      <c r="AN408" s="123" t="s">
        <v>0</v>
      </c>
      <c r="AO408" s="123" t="s">
        <v>0</v>
      </c>
      <c r="AP408" s="123" t="s">
        <v>0</v>
      </c>
      <c r="AQ408" s="123" t="s">
        <v>0</v>
      </c>
      <c r="AR408" s="123" t="s">
        <v>0</v>
      </c>
      <c r="AS408" s="123" t="s">
        <v>0</v>
      </c>
      <c r="AT408" s="123" t="s">
        <v>0</v>
      </c>
      <c r="AU408" s="123" t="s">
        <v>0</v>
      </c>
      <c r="AV408" s="123" t="s">
        <v>0</v>
      </c>
      <c r="AW408" s="123" t="s">
        <v>0</v>
      </c>
      <c r="AX408" s="123" t="s">
        <v>0</v>
      </c>
      <c r="AY408" s="123" t="s">
        <v>0</v>
      </c>
      <c r="AZ408" s="123" t="s">
        <v>0</v>
      </c>
      <c r="BA408" s="123" t="s">
        <v>0</v>
      </c>
      <c r="BB408" s="123" t="s">
        <v>0</v>
      </c>
      <c r="BC408" s="123" t="s">
        <v>0</v>
      </c>
      <c r="BD408" s="123" t="s">
        <v>0</v>
      </c>
      <c r="BE408" s="123" t="s">
        <v>0</v>
      </c>
      <c r="BF408" s="123" t="s">
        <v>0</v>
      </c>
      <c r="BG408" s="123" t="s">
        <v>0</v>
      </c>
      <c r="BH408" s="123" t="s">
        <v>0</v>
      </c>
      <c r="BI408" s="124"/>
    </row>
    <row r="409" spans="1:61" x14ac:dyDescent="0.25">
      <c r="A409" s="22">
        <f t="shared" si="35"/>
        <v>363</v>
      </c>
      <c r="B409" s="214" t="str">
        <f t="shared" si="52"/>
        <v>F0014827103</v>
      </c>
      <c r="C409" s="214" t="str">
        <f t="shared" si="53"/>
        <v>82115-0EA31 B</v>
      </c>
      <c r="D409" s="45" t="str">
        <f>VLOOKUP(B409,'Timing Table'!B:J,9,0)</f>
        <v>C/O</v>
      </c>
      <c r="E409" s="22" t="str">
        <f>VLOOKUP(B409,'Timing Table'!B:H,7,0)</f>
        <v>GAS</v>
      </c>
      <c r="F409" s="121" t="s">
        <v>68</v>
      </c>
      <c r="G409" s="146" t="s">
        <v>360</v>
      </c>
      <c r="H409" s="121" t="s">
        <v>69</v>
      </c>
      <c r="I409" s="154" t="s">
        <v>58</v>
      </c>
      <c r="J409" s="155" t="s">
        <v>0</v>
      </c>
      <c r="K409" s="156" t="s">
        <v>0</v>
      </c>
      <c r="L409" s="157" t="s">
        <v>0</v>
      </c>
      <c r="M409" s="134" t="s">
        <v>0</v>
      </c>
      <c r="N409" s="134" t="s">
        <v>0</v>
      </c>
      <c r="O409" s="134" t="s">
        <v>0</v>
      </c>
      <c r="P409" s="134" t="s">
        <v>0</v>
      </c>
      <c r="Q409" s="134" t="s">
        <v>1</v>
      </c>
      <c r="R409" s="134" t="s">
        <v>2</v>
      </c>
      <c r="S409" s="134" t="s">
        <v>0</v>
      </c>
      <c r="T409" s="134" t="s">
        <v>0</v>
      </c>
      <c r="U409" s="134" t="s">
        <v>0</v>
      </c>
      <c r="V409" s="134" t="s">
        <v>0</v>
      </c>
      <c r="W409" s="134" t="s">
        <v>0</v>
      </c>
      <c r="X409" s="134" t="s">
        <v>0</v>
      </c>
      <c r="Y409" s="134" t="s">
        <v>0</v>
      </c>
      <c r="Z409" s="134" t="s">
        <v>3</v>
      </c>
      <c r="AA409" s="134" t="s">
        <v>0</v>
      </c>
      <c r="AB409" s="134" t="s">
        <v>0</v>
      </c>
      <c r="AC409" s="134" t="s">
        <v>0</v>
      </c>
      <c r="AD409" s="134" t="s">
        <v>0</v>
      </c>
      <c r="AE409" s="134" t="s">
        <v>0</v>
      </c>
      <c r="AF409" s="134" t="s">
        <v>0</v>
      </c>
      <c r="AG409" s="134" t="s">
        <v>0</v>
      </c>
      <c r="AH409" s="134" t="s">
        <v>0</v>
      </c>
      <c r="AI409" s="134" t="s">
        <v>0</v>
      </c>
      <c r="AJ409" s="134" t="s">
        <v>0</v>
      </c>
      <c r="AK409" s="134" t="s">
        <v>0</v>
      </c>
      <c r="AL409" s="134" t="s">
        <v>0</v>
      </c>
      <c r="AM409" s="134" t="s">
        <v>0</v>
      </c>
      <c r="AN409" s="134" t="s">
        <v>0</v>
      </c>
      <c r="AO409" s="134" t="s">
        <v>0</v>
      </c>
      <c r="AP409" s="134" t="s">
        <v>0</v>
      </c>
      <c r="AQ409" s="134" t="s">
        <v>0</v>
      </c>
      <c r="AR409" s="134" t="s">
        <v>0</v>
      </c>
      <c r="AS409" s="134" t="s">
        <v>0</v>
      </c>
      <c r="AT409" s="134" t="s">
        <v>0</v>
      </c>
      <c r="AU409" s="134" t="s">
        <v>0</v>
      </c>
      <c r="AV409" s="134" t="s">
        <v>0</v>
      </c>
      <c r="AW409" s="134" t="s">
        <v>0</v>
      </c>
      <c r="AX409" s="134" t="s">
        <v>0</v>
      </c>
      <c r="AY409" s="134" t="s">
        <v>0</v>
      </c>
      <c r="AZ409" s="134" t="s">
        <v>0</v>
      </c>
      <c r="BA409" s="134" t="s">
        <v>0</v>
      </c>
      <c r="BB409" s="134" t="s">
        <v>0</v>
      </c>
      <c r="BC409" s="134" t="s">
        <v>0</v>
      </c>
      <c r="BD409" s="134" t="s">
        <v>0</v>
      </c>
      <c r="BE409" s="134" t="s">
        <v>0</v>
      </c>
      <c r="BF409" s="134" t="s">
        <v>0</v>
      </c>
      <c r="BG409" s="134" t="s">
        <v>0</v>
      </c>
      <c r="BH409" s="134" t="s">
        <v>0</v>
      </c>
      <c r="BI409" s="135" t="s">
        <v>4</v>
      </c>
    </row>
    <row r="410" spans="1:61" x14ac:dyDescent="0.25">
      <c r="A410" s="22">
        <f t="shared" si="35"/>
        <v>364</v>
      </c>
      <c r="B410" s="214" t="str">
        <f t="shared" si="52"/>
        <v>F0014827103</v>
      </c>
      <c r="C410" s="214" t="str">
        <f t="shared" si="53"/>
        <v>82115-0EA31 B</v>
      </c>
      <c r="D410" s="45" t="str">
        <f>VLOOKUP(B410,'Timing Table'!B:J,9,0)</f>
        <v>C/O</v>
      </c>
      <c r="E410" s="22" t="str">
        <f>VLOOKUP(B410,'Timing Table'!B:H,7,0)</f>
        <v>GAS</v>
      </c>
      <c r="F410" s="121" t="s">
        <v>70</v>
      </c>
      <c r="G410" s="146">
        <v>0</v>
      </c>
      <c r="H410" s="158" t="s">
        <v>241</v>
      </c>
      <c r="I410" s="159" t="s">
        <v>71</v>
      </c>
      <c r="J410" s="13">
        <v>46041</v>
      </c>
      <c r="K410" s="14">
        <v>46048</v>
      </c>
      <c r="L410" s="14">
        <v>46055</v>
      </c>
      <c r="M410" s="14">
        <v>46062</v>
      </c>
      <c r="N410" s="14">
        <v>46069</v>
      </c>
      <c r="O410" s="14">
        <v>46076</v>
      </c>
      <c r="P410" s="14">
        <v>46083</v>
      </c>
      <c r="Q410" s="14">
        <v>46090</v>
      </c>
      <c r="R410" s="14">
        <v>46097</v>
      </c>
      <c r="S410" s="14">
        <v>46104</v>
      </c>
      <c r="T410" s="14">
        <v>46111</v>
      </c>
      <c r="U410" s="14">
        <v>46118</v>
      </c>
      <c r="V410" s="14">
        <v>46125</v>
      </c>
      <c r="W410" s="14">
        <v>46132</v>
      </c>
      <c r="X410" s="14">
        <v>46139</v>
      </c>
      <c r="Y410" s="14">
        <v>46146</v>
      </c>
      <c r="Z410" s="14">
        <v>46153</v>
      </c>
      <c r="AA410" s="14">
        <v>46160</v>
      </c>
      <c r="AB410" s="14">
        <v>46167</v>
      </c>
      <c r="AC410" s="14">
        <v>46174</v>
      </c>
      <c r="AD410" s="14">
        <v>46181</v>
      </c>
      <c r="AE410" s="14">
        <v>46188</v>
      </c>
      <c r="AF410" s="14">
        <v>46195</v>
      </c>
      <c r="AG410" s="14">
        <v>46202</v>
      </c>
      <c r="AH410" s="14">
        <v>46209</v>
      </c>
      <c r="AI410" s="14">
        <v>46216</v>
      </c>
      <c r="AJ410" s="14">
        <v>46223</v>
      </c>
      <c r="AK410" s="14">
        <v>46230</v>
      </c>
      <c r="AL410" s="14">
        <v>46237</v>
      </c>
      <c r="AM410" s="14">
        <v>46244</v>
      </c>
      <c r="AN410" s="14">
        <v>46251</v>
      </c>
      <c r="AO410" s="14">
        <v>46258</v>
      </c>
      <c r="AP410" s="14">
        <v>46265</v>
      </c>
      <c r="AQ410" s="14">
        <v>46272</v>
      </c>
      <c r="AR410" s="14">
        <v>46279</v>
      </c>
      <c r="AS410" s="14">
        <v>46286</v>
      </c>
      <c r="AT410" s="14">
        <v>46293</v>
      </c>
      <c r="AU410" s="14">
        <v>46300</v>
      </c>
      <c r="AV410" s="14">
        <v>46307</v>
      </c>
      <c r="AW410" s="14">
        <v>46314</v>
      </c>
      <c r="AX410" s="14">
        <v>46321</v>
      </c>
      <c r="AY410" s="14">
        <v>46328</v>
      </c>
      <c r="AZ410" s="14">
        <v>46335</v>
      </c>
      <c r="BA410" s="14">
        <v>46342</v>
      </c>
      <c r="BB410" s="14">
        <v>46349</v>
      </c>
      <c r="BC410" s="14">
        <v>46356</v>
      </c>
      <c r="BD410" s="14">
        <v>46363</v>
      </c>
      <c r="BE410" s="14">
        <v>46370</v>
      </c>
      <c r="BF410" s="14">
        <v>46377</v>
      </c>
      <c r="BG410" s="14">
        <v>46384</v>
      </c>
      <c r="BH410" s="14">
        <v>46391</v>
      </c>
      <c r="BI410" s="15">
        <v>46398</v>
      </c>
    </row>
    <row r="411" spans="1:61" x14ac:dyDescent="0.25">
      <c r="A411" s="22">
        <f t="shared" si="35"/>
        <v>365</v>
      </c>
      <c r="B411" s="214" t="str">
        <f t="shared" si="52"/>
        <v>F0014827103</v>
      </c>
      <c r="C411" s="214" t="str">
        <f t="shared" si="53"/>
        <v>82115-0EA31 B</v>
      </c>
      <c r="D411" s="45" t="str">
        <f>VLOOKUP(B411,'Timing Table'!B:J,9,0)</f>
        <v>C/O</v>
      </c>
      <c r="E411" s="22" t="str">
        <f>VLOOKUP(B411,'Timing Table'!B:H,7,0)</f>
        <v>GAS</v>
      </c>
      <c r="F411" s="121" t="s">
        <v>72</v>
      </c>
      <c r="G411" s="146">
        <v>0</v>
      </c>
      <c r="H411" s="5" t="s">
        <v>58</v>
      </c>
      <c r="I411" s="11" t="s">
        <v>83</v>
      </c>
      <c r="J411" s="16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/>
      <c r="BH411" s="49"/>
      <c r="BI411" s="17"/>
    </row>
    <row r="412" spans="1:61" x14ac:dyDescent="0.25">
      <c r="A412" s="22">
        <f t="shared" si="35"/>
        <v>366</v>
      </c>
      <c r="B412" s="214" t="str">
        <f t="shared" si="52"/>
        <v>F0014827103</v>
      </c>
      <c r="C412" s="214" t="str">
        <f t="shared" si="53"/>
        <v>82115-0EA31 B</v>
      </c>
      <c r="D412" s="45" t="str">
        <f>VLOOKUP(B412,'Timing Table'!B:J,9,0)</f>
        <v>C/O</v>
      </c>
      <c r="E412" s="22" t="str">
        <f>VLOOKUP(B412,'Timing Table'!B:H,7,0)</f>
        <v>GAS</v>
      </c>
      <c r="F412" s="121" t="s">
        <v>73</v>
      </c>
      <c r="G412" s="160" t="s">
        <v>130</v>
      </c>
      <c r="H412" s="9" t="s">
        <v>121</v>
      </c>
      <c r="I412" s="11" t="s">
        <v>74</v>
      </c>
      <c r="J412" s="117">
        <v>0</v>
      </c>
      <c r="K412" s="50">
        <v>0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  <c r="Q412" s="50">
        <v>0</v>
      </c>
      <c r="R412" s="50">
        <v>0</v>
      </c>
      <c r="S412" s="50">
        <v>0</v>
      </c>
      <c r="T412" s="50">
        <v>0</v>
      </c>
      <c r="U412" s="50">
        <v>0</v>
      </c>
      <c r="V412" s="50">
        <v>0</v>
      </c>
      <c r="W412" s="50">
        <v>0</v>
      </c>
      <c r="X412" s="50">
        <v>0</v>
      </c>
      <c r="Y412" s="50">
        <v>0</v>
      </c>
      <c r="Z412" s="50">
        <v>0</v>
      </c>
      <c r="AA412" s="50">
        <v>0</v>
      </c>
      <c r="AB412" s="50">
        <v>0</v>
      </c>
      <c r="AC412" s="50">
        <v>0</v>
      </c>
      <c r="AD412" s="50">
        <v>0</v>
      </c>
      <c r="AE412" s="50">
        <v>0</v>
      </c>
      <c r="AF412" s="50">
        <v>0</v>
      </c>
      <c r="AG412" s="50">
        <v>0</v>
      </c>
      <c r="AH412" s="50">
        <v>0</v>
      </c>
      <c r="AI412" s="50">
        <v>0</v>
      </c>
      <c r="AJ412" s="50">
        <v>0</v>
      </c>
      <c r="AK412" s="50">
        <v>0</v>
      </c>
      <c r="AL412" s="50">
        <v>0</v>
      </c>
      <c r="AM412" s="50">
        <v>0</v>
      </c>
      <c r="AN412" s="50">
        <v>0</v>
      </c>
      <c r="AO412" s="50">
        <v>0</v>
      </c>
      <c r="AP412" s="50">
        <v>0</v>
      </c>
      <c r="AQ412" s="50">
        <v>0</v>
      </c>
      <c r="AR412" s="50">
        <v>0</v>
      </c>
      <c r="AS412" s="50">
        <v>0</v>
      </c>
      <c r="AT412" s="50">
        <v>0</v>
      </c>
      <c r="AU412" s="50">
        <v>0</v>
      </c>
      <c r="AV412" s="50">
        <v>0</v>
      </c>
      <c r="AW412" s="50">
        <v>0</v>
      </c>
      <c r="AX412" s="50">
        <v>0</v>
      </c>
      <c r="AY412" s="50">
        <v>0</v>
      </c>
      <c r="AZ412" s="50">
        <v>0</v>
      </c>
      <c r="BA412" s="50">
        <v>0</v>
      </c>
      <c r="BB412" s="50">
        <v>0</v>
      </c>
      <c r="BC412" s="50">
        <v>0</v>
      </c>
      <c r="BD412" s="50">
        <v>0</v>
      </c>
      <c r="BE412" s="50">
        <v>0</v>
      </c>
      <c r="BF412" s="50">
        <v>0</v>
      </c>
      <c r="BG412" s="50">
        <v>0</v>
      </c>
      <c r="BH412" s="50">
        <v>0</v>
      </c>
      <c r="BI412" s="118">
        <v>0</v>
      </c>
    </row>
    <row r="413" spans="1:61" x14ac:dyDescent="0.25">
      <c r="A413" s="22">
        <f t="shared" si="35"/>
        <v>367</v>
      </c>
      <c r="B413" s="214" t="str">
        <f t="shared" si="52"/>
        <v>F0014827103</v>
      </c>
      <c r="C413" s="214" t="str">
        <f t="shared" si="53"/>
        <v>82115-0EA31 B</v>
      </c>
      <c r="D413" s="45" t="str">
        <f>VLOOKUP(B413,'Timing Table'!B:J,9,0)</f>
        <v>C/O</v>
      </c>
      <c r="E413" s="22" t="str">
        <f>VLOOKUP(B413,'Timing Table'!B:H,7,0)</f>
        <v>GAS</v>
      </c>
      <c r="F413" s="121" t="s">
        <v>75</v>
      </c>
      <c r="G413" s="146">
        <v>82115</v>
      </c>
      <c r="H413" s="10" t="s">
        <v>121</v>
      </c>
      <c r="I413" s="12" t="s">
        <v>76</v>
      </c>
      <c r="J413" s="161">
        <v>0</v>
      </c>
      <c r="K413" s="162">
        <v>0</v>
      </c>
      <c r="L413" s="162">
        <v>0</v>
      </c>
      <c r="M413" s="162">
        <v>0</v>
      </c>
      <c r="N413" s="162">
        <v>0</v>
      </c>
      <c r="O413" s="162">
        <v>0</v>
      </c>
      <c r="P413" s="162">
        <v>0</v>
      </c>
      <c r="Q413" s="162">
        <v>0</v>
      </c>
      <c r="R413" s="162">
        <v>0</v>
      </c>
      <c r="S413" s="162">
        <v>0</v>
      </c>
      <c r="T413" s="162">
        <v>0</v>
      </c>
      <c r="U413" s="162">
        <v>0</v>
      </c>
      <c r="V413" s="162">
        <v>0</v>
      </c>
      <c r="W413" s="162">
        <v>0</v>
      </c>
      <c r="X413" s="162">
        <v>0</v>
      </c>
      <c r="Y413" s="162">
        <v>0</v>
      </c>
      <c r="Z413" s="162">
        <v>0</v>
      </c>
      <c r="AA413" s="162">
        <v>0</v>
      </c>
      <c r="AB413" s="162">
        <v>0</v>
      </c>
      <c r="AC413" s="162">
        <v>0</v>
      </c>
      <c r="AD413" s="162">
        <v>0</v>
      </c>
      <c r="AE413" s="162">
        <v>0</v>
      </c>
      <c r="AF413" s="162">
        <v>0</v>
      </c>
      <c r="AG413" s="162">
        <v>0</v>
      </c>
      <c r="AH413" s="162">
        <v>0</v>
      </c>
      <c r="AI413" s="162">
        <v>0</v>
      </c>
      <c r="AJ413" s="162">
        <v>0</v>
      </c>
      <c r="AK413" s="162">
        <v>0</v>
      </c>
      <c r="AL413" s="162">
        <v>0</v>
      </c>
      <c r="AM413" s="162">
        <v>0</v>
      </c>
      <c r="AN413" s="162">
        <v>0</v>
      </c>
      <c r="AO413" s="162">
        <v>0</v>
      </c>
      <c r="AP413" s="162">
        <v>0</v>
      </c>
      <c r="AQ413" s="162">
        <v>0</v>
      </c>
      <c r="AR413" s="162">
        <v>0</v>
      </c>
      <c r="AS413" s="162">
        <v>0</v>
      </c>
      <c r="AT413" s="162">
        <v>0</v>
      </c>
      <c r="AU413" s="162">
        <v>0</v>
      </c>
      <c r="AV413" s="162">
        <v>0</v>
      </c>
      <c r="AW413" s="162">
        <v>0</v>
      </c>
      <c r="AX413" s="162">
        <v>0</v>
      </c>
      <c r="AY413" s="162">
        <v>0</v>
      </c>
      <c r="AZ413" s="162">
        <v>0</v>
      </c>
      <c r="BA413" s="162">
        <v>0</v>
      </c>
      <c r="BB413" s="162">
        <v>0</v>
      </c>
      <c r="BC413" s="162">
        <v>0</v>
      </c>
      <c r="BD413" s="162">
        <v>0</v>
      </c>
      <c r="BE413" s="162">
        <v>0</v>
      </c>
      <c r="BF413" s="162">
        <v>0</v>
      </c>
      <c r="BG413" s="162">
        <v>0</v>
      </c>
      <c r="BH413" s="162">
        <v>0</v>
      </c>
      <c r="BI413" s="163">
        <v>0</v>
      </c>
    </row>
    <row r="414" spans="1:61" x14ac:dyDescent="0.25">
      <c r="A414" s="22">
        <f t="shared" si="35"/>
        <v>368</v>
      </c>
      <c r="B414" s="214" t="str">
        <f t="shared" si="52"/>
        <v>F0014827103</v>
      </c>
      <c r="C414" s="214" t="str">
        <f t="shared" si="53"/>
        <v>82115-0EA31 B</v>
      </c>
      <c r="D414" s="45" t="str">
        <f>VLOOKUP(B414,'Timing Table'!B:J,9,0)</f>
        <v>C/O</v>
      </c>
      <c r="E414" s="22" t="str">
        <f>VLOOKUP(B414,'Timing Table'!B:H,7,0)</f>
        <v>GAS</v>
      </c>
      <c r="F414" s="164" t="s">
        <v>77</v>
      </c>
      <c r="G414" s="165">
        <v>0</v>
      </c>
      <c r="H414" s="166" t="s">
        <v>78</v>
      </c>
      <c r="I414" s="167"/>
      <c r="J414" s="168"/>
      <c r="K414" s="169"/>
      <c r="L414" s="170" t="s">
        <v>0</v>
      </c>
      <c r="M414" s="170" t="s">
        <v>0</v>
      </c>
      <c r="N414" s="170" t="s">
        <v>0</v>
      </c>
      <c r="O414" s="170" t="s">
        <v>0</v>
      </c>
      <c r="P414" s="170" t="s">
        <v>0</v>
      </c>
      <c r="Q414" s="170" t="s">
        <v>0</v>
      </c>
      <c r="R414" s="170" t="s">
        <v>0</v>
      </c>
      <c r="S414" s="170" t="s">
        <v>0</v>
      </c>
      <c r="T414" s="170" t="s">
        <v>0</v>
      </c>
      <c r="U414" s="170" t="s">
        <v>0</v>
      </c>
      <c r="V414" s="170" t="s">
        <v>0</v>
      </c>
      <c r="W414" s="170" t="s">
        <v>0</v>
      </c>
      <c r="X414" s="170" t="s">
        <v>0</v>
      </c>
      <c r="Y414" s="170" t="s">
        <v>0</v>
      </c>
      <c r="Z414" s="170" t="s">
        <v>0</v>
      </c>
      <c r="AA414" s="170" t="s">
        <v>0</v>
      </c>
      <c r="AB414" s="170" t="s">
        <v>0</v>
      </c>
      <c r="AC414" s="170" t="s">
        <v>0</v>
      </c>
      <c r="AD414" s="170" t="s">
        <v>0</v>
      </c>
      <c r="AE414" s="170" t="s">
        <v>0</v>
      </c>
      <c r="AF414" s="170" t="s">
        <v>0</v>
      </c>
      <c r="AG414" s="170" t="s">
        <v>0</v>
      </c>
      <c r="AH414" s="170" t="s">
        <v>0</v>
      </c>
      <c r="AI414" s="170" t="s">
        <v>0</v>
      </c>
      <c r="AJ414" s="170" t="s">
        <v>0</v>
      </c>
      <c r="AK414" s="170" t="s">
        <v>0</v>
      </c>
      <c r="AL414" s="170" t="s">
        <v>0</v>
      </c>
      <c r="AM414" s="170" t="s">
        <v>0</v>
      </c>
      <c r="AN414" s="170" t="s">
        <v>0</v>
      </c>
      <c r="AO414" s="170" t="s">
        <v>0</v>
      </c>
      <c r="AP414" s="170" t="s">
        <v>0</v>
      </c>
      <c r="AQ414" s="170" t="s">
        <v>0</v>
      </c>
      <c r="AR414" s="170" t="s">
        <v>0</v>
      </c>
      <c r="AS414" s="170" t="s">
        <v>0</v>
      </c>
      <c r="AT414" s="170" t="s">
        <v>0</v>
      </c>
      <c r="AU414" s="170" t="s">
        <v>0</v>
      </c>
      <c r="AV414" s="170" t="s">
        <v>0</v>
      </c>
      <c r="AW414" s="170" t="s">
        <v>0</v>
      </c>
      <c r="AX414" s="170" t="s">
        <v>0</v>
      </c>
      <c r="AY414" s="170" t="s">
        <v>0</v>
      </c>
      <c r="AZ414" s="170" t="s">
        <v>0</v>
      </c>
      <c r="BA414" s="170" t="s">
        <v>0</v>
      </c>
      <c r="BB414" s="170" t="s">
        <v>0</v>
      </c>
      <c r="BC414" s="170" t="s">
        <v>0</v>
      </c>
      <c r="BD414" s="170" t="s">
        <v>0</v>
      </c>
      <c r="BE414" s="170" t="s">
        <v>0</v>
      </c>
      <c r="BF414" s="170" t="s">
        <v>0</v>
      </c>
      <c r="BG414" s="170" t="s">
        <v>0</v>
      </c>
      <c r="BH414" s="170" t="s">
        <v>0</v>
      </c>
      <c r="BI414" s="171"/>
    </row>
    <row r="415" spans="1:61" x14ac:dyDescent="0.25">
      <c r="A415" s="22">
        <f t="shared" si="35"/>
        <v>369</v>
      </c>
      <c r="B415" s="214" t="str">
        <f t="shared" si="52"/>
        <v>F0014827103</v>
      </c>
      <c r="C415" s="214" t="str">
        <f>IF(F415=$F$7,#REF!,C414)</f>
        <v>82115-0EA31 B</v>
      </c>
      <c r="D415" s="45" t="str">
        <f>VLOOKUP(B415,'Timing Table'!B:J,9,0)</f>
        <v>C/O</v>
      </c>
      <c r="E415" s="22" t="str">
        <f>VLOOKUP(B415,'Timing Table'!B:H,7,0)</f>
        <v>GAS</v>
      </c>
      <c r="F415" s="172" t="s">
        <v>79</v>
      </c>
      <c r="G415" s="173" t="s">
        <v>58</v>
      </c>
      <c r="H415" s="174" t="s">
        <v>58</v>
      </c>
      <c r="I415" s="175" t="s">
        <v>58</v>
      </c>
      <c r="J415" s="175" t="s">
        <v>0</v>
      </c>
      <c r="K415" s="175" t="s">
        <v>0</v>
      </c>
      <c r="L415" s="175" t="s">
        <v>0</v>
      </c>
      <c r="M415" s="175" t="s">
        <v>0</v>
      </c>
      <c r="N415" s="175" t="s">
        <v>0</v>
      </c>
      <c r="O415" s="175" t="s">
        <v>0</v>
      </c>
      <c r="P415" s="175" t="s">
        <v>0</v>
      </c>
      <c r="Q415" s="175" t="s">
        <v>0</v>
      </c>
      <c r="R415" s="175" t="s">
        <v>0</v>
      </c>
      <c r="S415" s="175" t="s">
        <v>0</v>
      </c>
      <c r="T415" s="175" t="s">
        <v>0</v>
      </c>
      <c r="U415" s="175" t="s">
        <v>0</v>
      </c>
      <c r="V415" s="175" t="s">
        <v>0</v>
      </c>
      <c r="W415" s="175" t="s">
        <v>0</v>
      </c>
      <c r="X415" s="175" t="s">
        <v>0</v>
      </c>
      <c r="Y415" s="175" t="s">
        <v>0</v>
      </c>
      <c r="Z415" s="175" t="s">
        <v>0</v>
      </c>
      <c r="AA415" s="175" t="s">
        <v>0</v>
      </c>
      <c r="AB415" s="175" t="s">
        <v>0</v>
      </c>
      <c r="AC415" s="175" t="s">
        <v>0</v>
      </c>
      <c r="AD415" s="175" t="s">
        <v>0</v>
      </c>
      <c r="AE415" s="175" t="s">
        <v>0</v>
      </c>
      <c r="AF415" s="175" t="s">
        <v>0</v>
      </c>
      <c r="AG415" s="175" t="s">
        <v>0</v>
      </c>
      <c r="AH415" s="175" t="s">
        <v>0</v>
      </c>
      <c r="AI415" s="175" t="s">
        <v>0</v>
      </c>
      <c r="AJ415" s="175" t="s">
        <v>0</v>
      </c>
      <c r="AK415" s="175" t="s">
        <v>0</v>
      </c>
      <c r="AL415" s="175" t="s">
        <v>0</v>
      </c>
      <c r="AM415" s="175" t="s">
        <v>0</v>
      </c>
      <c r="AN415" s="175" t="s">
        <v>0</v>
      </c>
      <c r="AO415" s="175" t="s">
        <v>0</v>
      </c>
      <c r="AP415" s="175" t="s">
        <v>0</v>
      </c>
      <c r="AQ415" s="175" t="s">
        <v>0</v>
      </c>
      <c r="AR415" s="175" t="s">
        <v>0</v>
      </c>
      <c r="AS415" s="175" t="s">
        <v>0</v>
      </c>
      <c r="AT415" s="175" t="s">
        <v>0</v>
      </c>
      <c r="AU415" s="175" t="s">
        <v>0</v>
      </c>
      <c r="AV415" s="175" t="s">
        <v>0</v>
      </c>
      <c r="AW415" s="175" t="s">
        <v>0</v>
      </c>
      <c r="AX415" s="175" t="s">
        <v>0</v>
      </c>
      <c r="AY415" s="175" t="s">
        <v>0</v>
      </c>
      <c r="AZ415" s="175" t="s">
        <v>0</v>
      </c>
      <c r="BA415" s="175" t="s">
        <v>0</v>
      </c>
      <c r="BB415" s="175" t="s">
        <v>0</v>
      </c>
      <c r="BC415" s="175" t="s">
        <v>0</v>
      </c>
      <c r="BD415" s="175" t="s">
        <v>0</v>
      </c>
      <c r="BE415" s="175" t="s">
        <v>0</v>
      </c>
      <c r="BF415" s="175" t="s">
        <v>0</v>
      </c>
      <c r="BG415" s="175" t="s">
        <v>0</v>
      </c>
      <c r="BH415" s="175" t="s">
        <v>0</v>
      </c>
      <c r="BI415" s="176"/>
    </row>
    <row r="416" spans="1:61" x14ac:dyDescent="0.25">
      <c r="A416" s="22">
        <f t="shared" si="35"/>
        <v>370</v>
      </c>
      <c r="B416" s="214" t="str">
        <f>IF(F416=$F$7,#REF!,B415)</f>
        <v>F0014827103</v>
      </c>
      <c r="C416" s="214" t="str">
        <f>IF(F416=$F$7,#REF!,C415)</f>
        <v>82115-0EA31 B</v>
      </c>
      <c r="D416" s="45" t="str">
        <f>VLOOKUP(B416,'Timing Table'!B:J,9,0)</f>
        <v>C/O</v>
      </c>
      <c r="E416" s="22" t="str">
        <f>VLOOKUP(B416,'Timing Table'!B:H,7,0)</f>
        <v>GAS</v>
      </c>
      <c r="F416" s="177" t="s">
        <v>58</v>
      </c>
      <c r="G416" s="178" t="s">
        <v>58</v>
      </c>
      <c r="H416" s="179" t="s">
        <v>58</v>
      </c>
      <c r="I416" s="180" t="s">
        <v>58</v>
      </c>
      <c r="J416" s="180" t="s">
        <v>0</v>
      </c>
      <c r="K416" s="180" t="s">
        <v>0</v>
      </c>
      <c r="L416" s="180" t="s">
        <v>0</v>
      </c>
      <c r="M416" s="180" t="s">
        <v>0</v>
      </c>
      <c r="N416" s="180" t="s">
        <v>0</v>
      </c>
      <c r="O416" s="180" t="s">
        <v>0</v>
      </c>
      <c r="P416" s="180" t="s">
        <v>0</v>
      </c>
      <c r="Q416" s="180" t="s">
        <v>0</v>
      </c>
      <c r="R416" s="180" t="s">
        <v>0</v>
      </c>
      <c r="S416" s="180" t="s">
        <v>0</v>
      </c>
      <c r="T416" s="180" t="s">
        <v>0</v>
      </c>
      <c r="U416" s="180" t="s">
        <v>0</v>
      </c>
      <c r="V416" s="180" t="s">
        <v>0</v>
      </c>
      <c r="W416" s="180" t="s">
        <v>0</v>
      </c>
      <c r="X416" s="180" t="s">
        <v>0</v>
      </c>
      <c r="Y416" s="180" t="s">
        <v>0</v>
      </c>
      <c r="Z416" s="180" t="s">
        <v>0</v>
      </c>
      <c r="AA416" s="180" t="s">
        <v>0</v>
      </c>
      <c r="AB416" s="180" t="s">
        <v>0</v>
      </c>
      <c r="AC416" s="180" t="s">
        <v>0</v>
      </c>
      <c r="AD416" s="180" t="s">
        <v>0</v>
      </c>
      <c r="AE416" s="180" t="s">
        <v>0</v>
      </c>
      <c r="AF416" s="180" t="s">
        <v>0</v>
      </c>
      <c r="AG416" s="180" t="s">
        <v>0</v>
      </c>
      <c r="AH416" s="180" t="s">
        <v>0</v>
      </c>
      <c r="AI416" s="180" t="s">
        <v>0</v>
      </c>
      <c r="AJ416" s="180" t="s">
        <v>0</v>
      </c>
      <c r="AK416" s="180" t="s">
        <v>0</v>
      </c>
      <c r="AL416" s="180" t="s">
        <v>0</v>
      </c>
      <c r="AM416" s="180" t="s">
        <v>0</v>
      </c>
      <c r="AN416" s="180" t="s">
        <v>0</v>
      </c>
      <c r="AO416" s="180" t="s">
        <v>0</v>
      </c>
      <c r="AP416" s="180" t="s">
        <v>0</v>
      </c>
      <c r="AQ416" s="180" t="s">
        <v>0</v>
      </c>
      <c r="AR416" s="180" t="s">
        <v>0</v>
      </c>
      <c r="AS416" s="180" t="s">
        <v>0</v>
      </c>
      <c r="AT416" s="180" t="s">
        <v>0</v>
      </c>
      <c r="AU416" s="180" t="s">
        <v>0</v>
      </c>
      <c r="AV416" s="180" t="s">
        <v>0</v>
      </c>
      <c r="AW416" s="180" t="s">
        <v>0</v>
      </c>
      <c r="AX416" s="180" t="s">
        <v>0</v>
      </c>
      <c r="AY416" s="180" t="s">
        <v>0</v>
      </c>
      <c r="AZ416" s="180" t="s">
        <v>0</v>
      </c>
      <c r="BA416" s="180" t="s">
        <v>0</v>
      </c>
      <c r="BB416" s="180" t="s">
        <v>0</v>
      </c>
      <c r="BC416" s="180" t="s">
        <v>0</v>
      </c>
      <c r="BD416" s="180" t="s">
        <v>0</v>
      </c>
      <c r="BE416" s="180" t="s">
        <v>0</v>
      </c>
      <c r="BF416" s="180" t="s">
        <v>0</v>
      </c>
      <c r="BG416" s="180" t="s">
        <v>0</v>
      </c>
      <c r="BH416" s="180" t="s">
        <v>0</v>
      </c>
      <c r="BI416" s="181"/>
    </row>
    <row r="417" spans="1:61" x14ac:dyDescent="0.25">
      <c r="A417" s="22">
        <f>+A376+1</f>
        <v>371</v>
      </c>
      <c r="B417" s="214" t="str">
        <f>IF(F417=$F$7,G418,B376)</f>
        <v>F0014827203</v>
      </c>
      <c r="C417" s="214" t="str">
        <f>IF(F417=$F$7,G419,C376)</f>
        <v>82115-0E531 B</v>
      </c>
      <c r="D417" s="45" t="str">
        <f>VLOOKUP(B417,'Timing Table'!B:J,9,0)</f>
        <v>C/O</v>
      </c>
      <c r="E417" s="22" t="str">
        <f>VLOOKUP(B417,'Timing Table'!B:H,7,0)</f>
        <v>GAS</v>
      </c>
      <c r="F417" s="121" t="s">
        <v>59</v>
      </c>
      <c r="G417" s="146">
        <v>5501017968</v>
      </c>
      <c r="H417" s="121" t="s">
        <v>60</v>
      </c>
      <c r="I417" s="146">
        <v>91</v>
      </c>
      <c r="J417" s="121" t="s">
        <v>61</v>
      </c>
      <c r="K417" s="125">
        <v>1177755</v>
      </c>
      <c r="L417" s="126"/>
      <c r="M417" s="147" t="s">
        <v>62</v>
      </c>
      <c r="N417" s="148"/>
      <c r="O417" s="149">
        <v>46086</v>
      </c>
      <c r="P417" s="121" t="s">
        <v>63</v>
      </c>
      <c r="Q417" s="146">
        <v>4</v>
      </c>
      <c r="R417" s="6" t="s">
        <v>0</v>
      </c>
      <c r="S417" s="7" t="s">
        <v>0</v>
      </c>
      <c r="T417" s="7" t="s">
        <v>0</v>
      </c>
      <c r="U417" s="7" t="s">
        <v>0</v>
      </c>
      <c r="V417" s="7" t="s">
        <v>0</v>
      </c>
      <c r="W417" s="7" t="s">
        <v>0</v>
      </c>
      <c r="X417" s="7" t="s">
        <v>0</v>
      </c>
      <c r="Y417" s="7" t="s">
        <v>0</v>
      </c>
      <c r="Z417" s="7" t="s">
        <v>0</v>
      </c>
      <c r="AA417" s="7" t="s">
        <v>0</v>
      </c>
      <c r="AB417" s="7" t="s">
        <v>0</v>
      </c>
      <c r="AC417" s="7" t="s">
        <v>0</v>
      </c>
      <c r="AD417" s="7" t="s">
        <v>0</v>
      </c>
      <c r="AE417" s="7" t="s">
        <v>0</v>
      </c>
      <c r="AF417" s="7" t="s">
        <v>0</v>
      </c>
      <c r="AG417" s="7" t="s">
        <v>0</v>
      </c>
      <c r="AH417" s="7" t="s">
        <v>0</v>
      </c>
      <c r="AI417" s="7" t="s">
        <v>0</v>
      </c>
      <c r="AJ417" s="7" t="s">
        <v>0</v>
      </c>
      <c r="AK417" s="7" t="s">
        <v>0</v>
      </c>
      <c r="AL417" s="7" t="s">
        <v>0</v>
      </c>
      <c r="AM417" s="7" t="s">
        <v>0</v>
      </c>
      <c r="AN417" s="7" t="s">
        <v>0</v>
      </c>
      <c r="AO417" s="7" t="s">
        <v>0</v>
      </c>
      <c r="AP417" s="7" t="s">
        <v>0</v>
      </c>
      <c r="AQ417" s="7" t="s">
        <v>0</v>
      </c>
      <c r="AR417" s="7" t="s">
        <v>0</v>
      </c>
      <c r="AS417" s="7" t="s">
        <v>0</v>
      </c>
      <c r="AT417" s="7" t="s">
        <v>0</v>
      </c>
      <c r="AU417" s="7" t="s">
        <v>0</v>
      </c>
      <c r="AV417" s="7" t="s">
        <v>0</v>
      </c>
      <c r="AW417" s="7" t="s">
        <v>0</v>
      </c>
      <c r="AX417" s="7" t="s">
        <v>0</v>
      </c>
      <c r="AY417" s="7" t="s">
        <v>0</v>
      </c>
      <c r="AZ417" s="7" t="s">
        <v>0</v>
      </c>
      <c r="BA417" s="7" t="s">
        <v>0</v>
      </c>
      <c r="BB417" s="7" t="s">
        <v>0</v>
      </c>
      <c r="BC417" s="7" t="s">
        <v>0</v>
      </c>
      <c r="BD417" s="7" t="s">
        <v>0</v>
      </c>
      <c r="BE417" s="7" t="s">
        <v>0</v>
      </c>
      <c r="BF417" s="7" t="s">
        <v>0</v>
      </c>
      <c r="BG417" s="7" t="s">
        <v>0</v>
      </c>
      <c r="BH417" s="7" t="s">
        <v>0</v>
      </c>
      <c r="BI417" s="8"/>
    </row>
    <row r="418" spans="1:61" x14ac:dyDescent="0.25">
      <c r="A418" s="22">
        <f t="shared" si="35"/>
        <v>372</v>
      </c>
      <c r="B418" s="214" t="str">
        <f t="shared" ref="B418:B425" si="54">IF(F418=$F$7,G419,B417)</f>
        <v>F0014827203</v>
      </c>
      <c r="C418" s="214" t="str">
        <f t="shared" ref="C418:C424" si="55">IF(F418=$F$7,G420,C417)</f>
        <v>82115-0E531 B</v>
      </c>
      <c r="D418" s="45" t="str">
        <f>VLOOKUP(B418,'Timing Table'!B:J,9,0)</f>
        <v>C/O</v>
      </c>
      <c r="E418" s="22" t="str">
        <f>VLOOKUP(B418,'Timing Table'!B:H,7,0)</f>
        <v>GAS</v>
      </c>
      <c r="F418" s="121" t="s">
        <v>64</v>
      </c>
      <c r="G418" s="146" t="s">
        <v>181</v>
      </c>
      <c r="H418" s="121" t="s">
        <v>65</v>
      </c>
      <c r="I418" s="150" t="s">
        <v>259</v>
      </c>
      <c r="J418" s="151"/>
      <c r="K418" s="151"/>
      <c r="L418" s="152"/>
      <c r="M418" s="121" t="s">
        <v>66</v>
      </c>
      <c r="N418" s="146">
        <v>2025</v>
      </c>
      <c r="O418" s="140" t="s">
        <v>67</v>
      </c>
      <c r="P418" s="141"/>
      <c r="Q418" s="153" t="s">
        <v>203</v>
      </c>
      <c r="R418" s="122" t="s">
        <v>0</v>
      </c>
      <c r="S418" s="123"/>
      <c r="T418" s="123"/>
      <c r="U418" s="123" t="s">
        <v>0</v>
      </c>
      <c r="V418" s="123" t="s">
        <v>0</v>
      </c>
      <c r="W418" s="123" t="s">
        <v>0</v>
      </c>
      <c r="X418" s="123" t="s">
        <v>0</v>
      </c>
      <c r="Y418" s="123" t="s">
        <v>0</v>
      </c>
      <c r="Z418" s="123" t="s">
        <v>0</v>
      </c>
      <c r="AA418" s="123" t="s">
        <v>0</v>
      </c>
      <c r="AB418" s="123" t="s">
        <v>0</v>
      </c>
      <c r="AC418" s="123" t="s">
        <v>0</v>
      </c>
      <c r="AD418" s="123" t="s">
        <v>0</v>
      </c>
      <c r="AE418" s="123" t="s">
        <v>0</v>
      </c>
      <c r="AF418" s="123" t="s">
        <v>0</v>
      </c>
      <c r="AG418" s="123" t="s">
        <v>0</v>
      </c>
      <c r="AH418" s="123" t="s">
        <v>0</v>
      </c>
      <c r="AI418" s="123" t="s">
        <v>0</v>
      </c>
      <c r="AJ418" s="123" t="s">
        <v>0</v>
      </c>
      <c r="AK418" s="123" t="s">
        <v>0</v>
      </c>
      <c r="AL418" s="123" t="s">
        <v>0</v>
      </c>
      <c r="AM418" s="123" t="s">
        <v>0</v>
      </c>
      <c r="AN418" s="123" t="s">
        <v>0</v>
      </c>
      <c r="AO418" s="123" t="s">
        <v>0</v>
      </c>
      <c r="AP418" s="123" t="s">
        <v>0</v>
      </c>
      <c r="AQ418" s="123" t="s">
        <v>0</v>
      </c>
      <c r="AR418" s="123" t="s">
        <v>0</v>
      </c>
      <c r="AS418" s="123" t="s">
        <v>0</v>
      </c>
      <c r="AT418" s="123" t="s">
        <v>0</v>
      </c>
      <c r="AU418" s="123" t="s">
        <v>0</v>
      </c>
      <c r="AV418" s="123" t="s">
        <v>0</v>
      </c>
      <c r="AW418" s="123" t="s">
        <v>0</v>
      </c>
      <c r="AX418" s="123" t="s">
        <v>0</v>
      </c>
      <c r="AY418" s="123" t="s">
        <v>0</v>
      </c>
      <c r="AZ418" s="123" t="s">
        <v>0</v>
      </c>
      <c r="BA418" s="123" t="s">
        <v>0</v>
      </c>
      <c r="BB418" s="123" t="s">
        <v>0</v>
      </c>
      <c r="BC418" s="123" t="s">
        <v>0</v>
      </c>
      <c r="BD418" s="123" t="s">
        <v>0</v>
      </c>
      <c r="BE418" s="123" t="s">
        <v>0</v>
      </c>
      <c r="BF418" s="123" t="s">
        <v>0</v>
      </c>
      <c r="BG418" s="123" t="s">
        <v>0</v>
      </c>
      <c r="BH418" s="123" t="s">
        <v>0</v>
      </c>
      <c r="BI418" s="124"/>
    </row>
    <row r="419" spans="1:61" x14ac:dyDescent="0.25">
      <c r="A419" s="22">
        <f t="shared" si="35"/>
        <v>373</v>
      </c>
      <c r="B419" s="214" t="str">
        <f t="shared" si="54"/>
        <v>F0014827203</v>
      </c>
      <c r="C419" s="214" t="str">
        <f t="shared" si="55"/>
        <v>82115-0E531 B</v>
      </c>
      <c r="D419" s="45" t="str">
        <f>VLOOKUP(B419,'Timing Table'!B:J,9,0)</f>
        <v>C/O</v>
      </c>
      <c r="E419" s="22" t="str">
        <f>VLOOKUP(B419,'Timing Table'!B:H,7,0)</f>
        <v>GAS</v>
      </c>
      <c r="F419" s="121" t="s">
        <v>68</v>
      </c>
      <c r="G419" s="146" t="s">
        <v>361</v>
      </c>
      <c r="H419" s="121" t="s">
        <v>69</v>
      </c>
      <c r="I419" s="154" t="s">
        <v>58</v>
      </c>
      <c r="J419" s="155" t="s">
        <v>0</v>
      </c>
      <c r="K419" s="156" t="s">
        <v>0</v>
      </c>
      <c r="L419" s="157" t="s">
        <v>0</v>
      </c>
      <c r="M419" s="134" t="s">
        <v>0</v>
      </c>
      <c r="N419" s="134" t="s">
        <v>0</v>
      </c>
      <c r="O419" s="134" t="s">
        <v>0</v>
      </c>
      <c r="P419" s="134" t="s">
        <v>0</v>
      </c>
      <c r="Q419" s="134" t="s">
        <v>1</v>
      </c>
      <c r="R419" s="134" t="s">
        <v>2</v>
      </c>
      <c r="S419" s="134" t="s">
        <v>0</v>
      </c>
      <c r="T419" s="134" t="s">
        <v>0</v>
      </c>
      <c r="U419" s="134" t="s">
        <v>0</v>
      </c>
      <c r="V419" s="134" t="s">
        <v>0</v>
      </c>
      <c r="W419" s="134" t="s">
        <v>0</v>
      </c>
      <c r="X419" s="134" t="s">
        <v>0</v>
      </c>
      <c r="Y419" s="134" t="s">
        <v>0</v>
      </c>
      <c r="Z419" s="134" t="s">
        <v>3</v>
      </c>
      <c r="AA419" s="134" t="s">
        <v>0</v>
      </c>
      <c r="AB419" s="134" t="s">
        <v>0</v>
      </c>
      <c r="AC419" s="134" t="s">
        <v>0</v>
      </c>
      <c r="AD419" s="134" t="s">
        <v>0</v>
      </c>
      <c r="AE419" s="134" t="s">
        <v>0</v>
      </c>
      <c r="AF419" s="134" t="s">
        <v>0</v>
      </c>
      <c r="AG419" s="134" t="s">
        <v>0</v>
      </c>
      <c r="AH419" s="134" t="s">
        <v>0</v>
      </c>
      <c r="AI419" s="134" t="s">
        <v>0</v>
      </c>
      <c r="AJ419" s="134" t="s">
        <v>0</v>
      </c>
      <c r="AK419" s="134" t="s">
        <v>0</v>
      </c>
      <c r="AL419" s="134" t="s">
        <v>0</v>
      </c>
      <c r="AM419" s="134" t="s">
        <v>0</v>
      </c>
      <c r="AN419" s="134" t="s">
        <v>0</v>
      </c>
      <c r="AO419" s="134" t="s">
        <v>0</v>
      </c>
      <c r="AP419" s="134" t="s">
        <v>0</v>
      </c>
      <c r="AQ419" s="134" t="s">
        <v>0</v>
      </c>
      <c r="AR419" s="134" t="s">
        <v>0</v>
      </c>
      <c r="AS419" s="134" t="s">
        <v>0</v>
      </c>
      <c r="AT419" s="134" t="s">
        <v>0</v>
      </c>
      <c r="AU419" s="134" t="s">
        <v>0</v>
      </c>
      <c r="AV419" s="134" t="s">
        <v>0</v>
      </c>
      <c r="AW419" s="134" t="s">
        <v>0</v>
      </c>
      <c r="AX419" s="134" t="s">
        <v>0</v>
      </c>
      <c r="AY419" s="134" t="s">
        <v>0</v>
      </c>
      <c r="AZ419" s="134" t="s">
        <v>0</v>
      </c>
      <c r="BA419" s="134" t="s">
        <v>0</v>
      </c>
      <c r="BB419" s="134" t="s">
        <v>0</v>
      </c>
      <c r="BC419" s="134" t="s">
        <v>0</v>
      </c>
      <c r="BD419" s="134" t="s">
        <v>0</v>
      </c>
      <c r="BE419" s="134" t="s">
        <v>0</v>
      </c>
      <c r="BF419" s="134" t="s">
        <v>0</v>
      </c>
      <c r="BG419" s="134" t="s">
        <v>0</v>
      </c>
      <c r="BH419" s="134" t="s">
        <v>0</v>
      </c>
      <c r="BI419" s="135" t="s">
        <v>4</v>
      </c>
    </row>
    <row r="420" spans="1:61" x14ac:dyDescent="0.25">
      <c r="A420" s="22">
        <f t="shared" si="35"/>
        <v>374</v>
      </c>
      <c r="B420" s="214" t="str">
        <f t="shared" si="54"/>
        <v>F0014827203</v>
      </c>
      <c r="C420" s="214" t="str">
        <f t="shared" si="55"/>
        <v>82115-0E531 B</v>
      </c>
      <c r="D420" s="45" t="str">
        <f>VLOOKUP(B420,'Timing Table'!B:J,9,0)</f>
        <v>C/O</v>
      </c>
      <c r="E420" s="22" t="str">
        <f>VLOOKUP(B420,'Timing Table'!B:H,7,0)</f>
        <v>GAS</v>
      </c>
      <c r="F420" s="121" t="s">
        <v>70</v>
      </c>
      <c r="G420" s="146">
        <v>28728</v>
      </c>
      <c r="H420" s="158" t="s">
        <v>260</v>
      </c>
      <c r="I420" s="159" t="s">
        <v>71</v>
      </c>
      <c r="J420" s="13">
        <v>46041</v>
      </c>
      <c r="K420" s="14">
        <v>46048</v>
      </c>
      <c r="L420" s="14">
        <v>46055</v>
      </c>
      <c r="M420" s="14">
        <v>46062</v>
      </c>
      <c r="N420" s="14">
        <v>46069</v>
      </c>
      <c r="O420" s="14">
        <v>46076</v>
      </c>
      <c r="P420" s="14">
        <v>46083</v>
      </c>
      <c r="Q420" s="14">
        <v>46090</v>
      </c>
      <c r="R420" s="14">
        <v>46097</v>
      </c>
      <c r="S420" s="14">
        <v>46104</v>
      </c>
      <c r="T420" s="14">
        <v>46111</v>
      </c>
      <c r="U420" s="14">
        <v>46118</v>
      </c>
      <c r="V420" s="14">
        <v>46125</v>
      </c>
      <c r="W420" s="14">
        <v>46132</v>
      </c>
      <c r="X420" s="14">
        <v>46139</v>
      </c>
      <c r="Y420" s="14">
        <v>46146</v>
      </c>
      <c r="Z420" s="14">
        <v>46153</v>
      </c>
      <c r="AA420" s="14">
        <v>46160</v>
      </c>
      <c r="AB420" s="14">
        <v>46167</v>
      </c>
      <c r="AC420" s="14">
        <v>46174</v>
      </c>
      <c r="AD420" s="14">
        <v>46181</v>
      </c>
      <c r="AE420" s="14">
        <v>46188</v>
      </c>
      <c r="AF420" s="14">
        <v>46195</v>
      </c>
      <c r="AG420" s="14">
        <v>46202</v>
      </c>
      <c r="AH420" s="14">
        <v>46209</v>
      </c>
      <c r="AI420" s="14">
        <v>46216</v>
      </c>
      <c r="AJ420" s="14">
        <v>46223</v>
      </c>
      <c r="AK420" s="14">
        <v>46230</v>
      </c>
      <c r="AL420" s="14">
        <v>46237</v>
      </c>
      <c r="AM420" s="14">
        <v>46244</v>
      </c>
      <c r="AN420" s="14">
        <v>46251</v>
      </c>
      <c r="AO420" s="14">
        <v>46258</v>
      </c>
      <c r="AP420" s="14">
        <v>46265</v>
      </c>
      <c r="AQ420" s="14">
        <v>46272</v>
      </c>
      <c r="AR420" s="14">
        <v>46279</v>
      </c>
      <c r="AS420" s="14">
        <v>46286</v>
      </c>
      <c r="AT420" s="14">
        <v>46293</v>
      </c>
      <c r="AU420" s="14">
        <v>46300</v>
      </c>
      <c r="AV420" s="14">
        <v>46307</v>
      </c>
      <c r="AW420" s="14">
        <v>46314</v>
      </c>
      <c r="AX420" s="14">
        <v>46321</v>
      </c>
      <c r="AY420" s="14">
        <v>46328</v>
      </c>
      <c r="AZ420" s="14">
        <v>46335</v>
      </c>
      <c r="BA420" s="14">
        <v>46342</v>
      </c>
      <c r="BB420" s="14">
        <v>46349</v>
      </c>
      <c r="BC420" s="14">
        <v>46356</v>
      </c>
      <c r="BD420" s="14">
        <v>46363</v>
      </c>
      <c r="BE420" s="14">
        <v>46370</v>
      </c>
      <c r="BF420" s="14">
        <v>46377</v>
      </c>
      <c r="BG420" s="14">
        <v>46384</v>
      </c>
      <c r="BH420" s="14">
        <v>46391</v>
      </c>
      <c r="BI420" s="15">
        <v>46398</v>
      </c>
    </row>
    <row r="421" spans="1:61" x14ac:dyDescent="0.25">
      <c r="A421" s="22">
        <f t="shared" si="35"/>
        <v>375</v>
      </c>
      <c r="B421" s="214" t="str">
        <f t="shared" si="54"/>
        <v>F0014827203</v>
      </c>
      <c r="C421" s="214" t="str">
        <f t="shared" si="55"/>
        <v>82115-0E531 B</v>
      </c>
      <c r="D421" s="45" t="str">
        <f>VLOOKUP(B421,'Timing Table'!B:J,9,0)</f>
        <v>C/O</v>
      </c>
      <c r="E421" s="22" t="str">
        <f>VLOOKUP(B421,'Timing Table'!B:H,7,0)</f>
        <v>GAS</v>
      </c>
      <c r="F421" s="121" t="s">
        <v>72</v>
      </c>
      <c r="G421" s="146">
        <v>32708</v>
      </c>
      <c r="H421" s="5" t="s">
        <v>58</v>
      </c>
      <c r="I421" s="11" t="s">
        <v>83</v>
      </c>
      <c r="J421" s="16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/>
      <c r="BH421" s="49"/>
      <c r="BI421" s="17"/>
    </row>
    <row r="422" spans="1:61" x14ac:dyDescent="0.25">
      <c r="A422" s="22">
        <f t="shared" si="35"/>
        <v>376</v>
      </c>
      <c r="B422" s="214" t="str">
        <f t="shared" si="54"/>
        <v>F0014827203</v>
      </c>
      <c r="C422" s="214" t="str">
        <f t="shared" si="55"/>
        <v>82115-0E531 B</v>
      </c>
      <c r="D422" s="45" t="str">
        <f>VLOOKUP(B422,'Timing Table'!B:J,9,0)</f>
        <v>C/O</v>
      </c>
      <c r="E422" s="22" t="str">
        <f>VLOOKUP(B422,'Timing Table'!B:H,7,0)</f>
        <v>GAS</v>
      </c>
      <c r="F422" s="121" t="s">
        <v>73</v>
      </c>
      <c r="G422" s="160" t="s">
        <v>130</v>
      </c>
      <c r="H422" s="9" t="s">
        <v>116</v>
      </c>
      <c r="I422" s="11" t="s">
        <v>74</v>
      </c>
      <c r="J422" s="117">
        <v>1380</v>
      </c>
      <c r="K422" s="50">
        <v>784</v>
      </c>
      <c r="L422" s="50">
        <v>748</v>
      </c>
      <c r="M422" s="50">
        <v>1000</v>
      </c>
      <c r="N422" s="50">
        <v>1036</v>
      </c>
      <c r="O422" s="50">
        <v>700</v>
      </c>
      <c r="P422" s="50">
        <v>1100</v>
      </c>
      <c r="Q422" s="50">
        <v>1500</v>
      </c>
      <c r="R422" s="50">
        <v>0</v>
      </c>
      <c r="S422" s="50">
        <v>176</v>
      </c>
      <c r="T422" s="50">
        <v>800</v>
      </c>
      <c r="U422" s="50">
        <v>680</v>
      </c>
      <c r="V422" s="50">
        <v>460</v>
      </c>
      <c r="W422" s="50">
        <v>580</v>
      </c>
      <c r="X422" s="50">
        <v>372</v>
      </c>
      <c r="Y422" s="50">
        <v>368</v>
      </c>
      <c r="Z422" s="50">
        <v>692</v>
      </c>
      <c r="AA422" s="50">
        <v>728</v>
      </c>
      <c r="AB422" s="50">
        <v>728</v>
      </c>
      <c r="AC422" s="50">
        <v>732</v>
      </c>
      <c r="AD422" s="50">
        <v>444</v>
      </c>
      <c r="AE422" s="50">
        <v>444</v>
      </c>
      <c r="AF422" s="50">
        <v>700</v>
      </c>
      <c r="AG422" s="50">
        <v>704</v>
      </c>
      <c r="AH422" s="50">
        <v>700</v>
      </c>
      <c r="AI422" s="50">
        <v>692</v>
      </c>
      <c r="AJ422" s="50">
        <v>744</v>
      </c>
      <c r="AK422" s="50">
        <v>744</v>
      </c>
      <c r="AL422" s="50">
        <v>744</v>
      </c>
      <c r="AM422" s="50">
        <v>912</v>
      </c>
      <c r="AN422" s="50">
        <v>800</v>
      </c>
      <c r="AO422" s="50">
        <v>800</v>
      </c>
      <c r="AP422" s="50">
        <v>800</v>
      </c>
      <c r="AQ422" s="50">
        <v>800</v>
      </c>
      <c r="AR422" s="50">
        <v>800</v>
      </c>
      <c r="AS422" s="50">
        <v>800</v>
      </c>
      <c r="AT422" s="50">
        <v>800</v>
      </c>
      <c r="AU422" s="50">
        <v>800</v>
      </c>
      <c r="AV422" s="50">
        <v>800</v>
      </c>
      <c r="AW422" s="50">
        <v>800</v>
      </c>
      <c r="AX422" s="50">
        <v>800</v>
      </c>
      <c r="AY422" s="50">
        <v>800</v>
      </c>
      <c r="AZ422" s="50">
        <v>800</v>
      </c>
      <c r="BA422" s="50">
        <v>800</v>
      </c>
      <c r="BB422" s="50">
        <v>800</v>
      </c>
      <c r="BC422" s="50">
        <v>800</v>
      </c>
      <c r="BD422" s="50">
        <v>800</v>
      </c>
      <c r="BE422" s="50">
        <v>800</v>
      </c>
      <c r="BF422" s="50">
        <v>800</v>
      </c>
      <c r="BG422" s="50">
        <v>800</v>
      </c>
      <c r="BH422" s="50">
        <v>800</v>
      </c>
      <c r="BI422" s="118">
        <v>800</v>
      </c>
    </row>
    <row r="423" spans="1:61" x14ac:dyDescent="0.25">
      <c r="A423" s="22">
        <f t="shared" si="35"/>
        <v>377</v>
      </c>
      <c r="B423" s="214" t="str">
        <f t="shared" si="54"/>
        <v>F0014827203</v>
      </c>
      <c r="C423" s="214" t="str">
        <f t="shared" si="55"/>
        <v>82115-0E531 B</v>
      </c>
      <c r="D423" s="45" t="str">
        <f>VLOOKUP(B423,'Timing Table'!B:J,9,0)</f>
        <v>C/O</v>
      </c>
      <c r="E423" s="22" t="str">
        <f>VLOOKUP(B423,'Timing Table'!B:H,7,0)</f>
        <v>GAS</v>
      </c>
      <c r="F423" s="121" t="s">
        <v>75</v>
      </c>
      <c r="G423" s="146">
        <v>82115</v>
      </c>
      <c r="H423" s="10" t="s">
        <v>116</v>
      </c>
      <c r="I423" s="12" t="s">
        <v>76</v>
      </c>
      <c r="J423" s="161">
        <v>21860</v>
      </c>
      <c r="K423" s="162">
        <v>22644</v>
      </c>
      <c r="L423" s="162">
        <v>23392</v>
      </c>
      <c r="M423" s="162">
        <v>24392</v>
      </c>
      <c r="N423" s="162">
        <v>25428</v>
      </c>
      <c r="O423" s="162">
        <v>26128</v>
      </c>
      <c r="P423" s="162">
        <v>27228</v>
      </c>
      <c r="Q423" s="162">
        <v>28728</v>
      </c>
      <c r="R423" s="162">
        <v>28728</v>
      </c>
      <c r="S423" s="162">
        <v>28904</v>
      </c>
      <c r="T423" s="162">
        <v>29704</v>
      </c>
      <c r="U423" s="162">
        <v>30384</v>
      </c>
      <c r="V423" s="162">
        <v>30844</v>
      </c>
      <c r="W423" s="162">
        <v>31424</v>
      </c>
      <c r="X423" s="162">
        <v>31796</v>
      </c>
      <c r="Y423" s="162">
        <v>32164</v>
      </c>
      <c r="Z423" s="162">
        <v>32856</v>
      </c>
      <c r="AA423" s="162">
        <v>33584</v>
      </c>
      <c r="AB423" s="162">
        <v>34312</v>
      </c>
      <c r="AC423" s="162">
        <v>35044</v>
      </c>
      <c r="AD423" s="162">
        <v>35488</v>
      </c>
      <c r="AE423" s="162">
        <v>35932</v>
      </c>
      <c r="AF423" s="162">
        <v>36632</v>
      </c>
      <c r="AG423" s="162">
        <v>37336</v>
      </c>
      <c r="AH423" s="162">
        <v>38036</v>
      </c>
      <c r="AI423" s="162">
        <v>38728</v>
      </c>
      <c r="AJ423" s="162">
        <v>39472</v>
      </c>
      <c r="AK423" s="162">
        <v>40216</v>
      </c>
      <c r="AL423" s="162">
        <v>40960</v>
      </c>
      <c r="AM423" s="162">
        <v>41872</v>
      </c>
      <c r="AN423" s="162">
        <v>42672</v>
      </c>
      <c r="AO423" s="162">
        <v>43472</v>
      </c>
      <c r="AP423" s="162">
        <v>44272</v>
      </c>
      <c r="AQ423" s="162">
        <v>45072</v>
      </c>
      <c r="AR423" s="162">
        <v>45872</v>
      </c>
      <c r="AS423" s="162">
        <v>46672</v>
      </c>
      <c r="AT423" s="162">
        <v>47472</v>
      </c>
      <c r="AU423" s="162">
        <v>48272</v>
      </c>
      <c r="AV423" s="162">
        <v>49072</v>
      </c>
      <c r="AW423" s="162">
        <v>49872</v>
      </c>
      <c r="AX423" s="162">
        <v>50672</v>
      </c>
      <c r="AY423" s="162">
        <v>51472</v>
      </c>
      <c r="AZ423" s="162">
        <v>52272</v>
      </c>
      <c r="BA423" s="162">
        <v>53072</v>
      </c>
      <c r="BB423" s="162">
        <v>53872</v>
      </c>
      <c r="BC423" s="162">
        <v>54672</v>
      </c>
      <c r="BD423" s="162">
        <v>55472</v>
      </c>
      <c r="BE423" s="162">
        <v>56272</v>
      </c>
      <c r="BF423" s="162">
        <v>57072</v>
      </c>
      <c r="BG423" s="162">
        <v>57872</v>
      </c>
      <c r="BH423" s="162">
        <v>58672</v>
      </c>
      <c r="BI423" s="163">
        <v>59472</v>
      </c>
    </row>
    <row r="424" spans="1:61" x14ac:dyDescent="0.25">
      <c r="A424" s="22">
        <f t="shared" si="35"/>
        <v>378</v>
      </c>
      <c r="B424" s="214" t="str">
        <f t="shared" si="54"/>
        <v>F0014827203</v>
      </c>
      <c r="C424" s="214" t="str">
        <f t="shared" si="55"/>
        <v>82115-0E531 B</v>
      </c>
      <c r="D424" s="45" t="str">
        <f>VLOOKUP(B424,'Timing Table'!B:J,9,0)</f>
        <v>C/O</v>
      </c>
      <c r="E424" s="22" t="str">
        <f>VLOOKUP(B424,'Timing Table'!B:H,7,0)</f>
        <v>GAS</v>
      </c>
      <c r="F424" s="164" t="s">
        <v>77</v>
      </c>
      <c r="G424" s="165">
        <v>20480</v>
      </c>
      <c r="H424" s="166" t="s">
        <v>78</v>
      </c>
      <c r="I424" s="167"/>
      <c r="J424" s="168" t="s">
        <v>309</v>
      </c>
      <c r="K424" s="169"/>
      <c r="L424" s="170" t="s">
        <v>0</v>
      </c>
      <c r="M424" s="170" t="s">
        <v>0</v>
      </c>
      <c r="N424" s="170" t="s">
        <v>0</v>
      </c>
      <c r="O424" s="170" t="s">
        <v>0</v>
      </c>
      <c r="P424" s="170" t="s">
        <v>0</v>
      </c>
      <c r="Q424" s="170">
        <v>0.36363636363636365</v>
      </c>
      <c r="R424" s="170" t="s">
        <v>0</v>
      </c>
      <c r="S424" s="170" t="s">
        <v>0</v>
      </c>
      <c r="T424" s="170" t="s">
        <v>0</v>
      </c>
      <c r="U424" s="170" t="s">
        <v>0</v>
      </c>
      <c r="V424" s="170" t="s">
        <v>0</v>
      </c>
      <c r="W424" s="170" t="s">
        <v>0</v>
      </c>
      <c r="X424" s="170" t="s">
        <v>0</v>
      </c>
      <c r="Y424" s="170" t="s">
        <v>0</v>
      </c>
      <c r="Z424" s="170" t="s">
        <v>0</v>
      </c>
      <c r="AA424" s="170" t="s">
        <v>0</v>
      </c>
      <c r="AB424" s="170" t="s">
        <v>0</v>
      </c>
      <c r="AC424" s="170" t="s">
        <v>0</v>
      </c>
      <c r="AD424" s="170" t="s">
        <v>0</v>
      </c>
      <c r="AE424" s="170" t="s">
        <v>0</v>
      </c>
      <c r="AF424" s="170" t="s">
        <v>0</v>
      </c>
      <c r="AG424" s="170" t="s">
        <v>0</v>
      </c>
      <c r="AH424" s="170" t="s">
        <v>0</v>
      </c>
      <c r="AI424" s="170" t="s">
        <v>0</v>
      </c>
      <c r="AJ424" s="170" t="s">
        <v>0</v>
      </c>
      <c r="AK424" s="170" t="s">
        <v>0</v>
      </c>
      <c r="AL424" s="170" t="s">
        <v>0</v>
      </c>
      <c r="AM424" s="170" t="s">
        <v>0</v>
      </c>
      <c r="AN424" s="170" t="s">
        <v>0</v>
      </c>
      <c r="AO424" s="170" t="s">
        <v>0</v>
      </c>
      <c r="AP424" s="170" t="s">
        <v>0</v>
      </c>
      <c r="AQ424" s="170" t="s">
        <v>0</v>
      </c>
      <c r="AR424" s="170" t="s">
        <v>0</v>
      </c>
      <c r="AS424" s="170" t="s">
        <v>0</v>
      </c>
      <c r="AT424" s="170" t="s">
        <v>0</v>
      </c>
      <c r="AU424" s="170" t="s">
        <v>0</v>
      </c>
      <c r="AV424" s="170" t="s">
        <v>0</v>
      </c>
      <c r="AW424" s="170" t="s">
        <v>0</v>
      </c>
      <c r="AX424" s="170" t="s">
        <v>0</v>
      </c>
      <c r="AY424" s="170" t="s">
        <v>0</v>
      </c>
      <c r="AZ424" s="170" t="s">
        <v>0</v>
      </c>
      <c r="BA424" s="170" t="s">
        <v>0</v>
      </c>
      <c r="BB424" s="170" t="s">
        <v>0</v>
      </c>
      <c r="BC424" s="170" t="s">
        <v>0</v>
      </c>
      <c r="BD424" s="170" t="s">
        <v>0</v>
      </c>
      <c r="BE424" s="170" t="s">
        <v>0</v>
      </c>
      <c r="BF424" s="170" t="s">
        <v>0</v>
      </c>
      <c r="BG424" s="170" t="s">
        <v>0</v>
      </c>
      <c r="BH424" s="170" t="s">
        <v>0</v>
      </c>
      <c r="BI424" s="171"/>
    </row>
    <row r="425" spans="1:61" x14ac:dyDescent="0.25">
      <c r="A425" s="22">
        <f t="shared" si="35"/>
        <v>379</v>
      </c>
      <c r="B425" s="214" t="str">
        <f t="shared" si="54"/>
        <v>F0014827203</v>
      </c>
      <c r="C425" s="214" t="str">
        <f>IF(F425=$F$7,#REF!,C424)</f>
        <v>82115-0E531 B</v>
      </c>
      <c r="D425" s="45" t="str">
        <f>VLOOKUP(B425,'Timing Table'!B:J,9,0)</f>
        <v>C/O</v>
      </c>
      <c r="E425" s="22" t="str">
        <f>VLOOKUP(B425,'Timing Table'!B:H,7,0)</f>
        <v>GAS</v>
      </c>
      <c r="F425" s="172" t="s">
        <v>79</v>
      </c>
      <c r="G425" s="173" t="s">
        <v>58</v>
      </c>
      <c r="H425" s="174" t="s">
        <v>58</v>
      </c>
      <c r="I425" s="175" t="s">
        <v>58</v>
      </c>
      <c r="J425" s="175" t="s">
        <v>0</v>
      </c>
      <c r="K425" s="175" t="s">
        <v>0</v>
      </c>
      <c r="L425" s="175" t="s">
        <v>0</v>
      </c>
      <c r="M425" s="175" t="s">
        <v>0</v>
      </c>
      <c r="N425" s="175" t="s">
        <v>0</v>
      </c>
      <c r="O425" s="175" t="s">
        <v>0</v>
      </c>
      <c r="P425" s="175" t="s">
        <v>0</v>
      </c>
      <c r="Q425" s="175" t="s">
        <v>304</v>
      </c>
      <c r="R425" s="175"/>
      <c r="S425" s="175" t="s">
        <v>0</v>
      </c>
      <c r="T425" s="175" t="s">
        <v>0</v>
      </c>
      <c r="U425" s="175" t="s">
        <v>0</v>
      </c>
      <c r="V425" s="175" t="s">
        <v>0</v>
      </c>
      <c r="W425" s="175" t="s">
        <v>0</v>
      </c>
      <c r="X425" s="175" t="s">
        <v>0</v>
      </c>
      <c r="Y425" s="175" t="s">
        <v>0</v>
      </c>
      <c r="Z425" s="175" t="s">
        <v>0</v>
      </c>
      <c r="AA425" s="175" t="s">
        <v>0</v>
      </c>
      <c r="AB425" s="175" t="s">
        <v>0</v>
      </c>
      <c r="AC425" s="175" t="s">
        <v>0</v>
      </c>
      <c r="AD425" s="175" t="s">
        <v>0</v>
      </c>
      <c r="AE425" s="175" t="s">
        <v>0</v>
      </c>
      <c r="AF425" s="175" t="s">
        <v>0</v>
      </c>
      <c r="AG425" s="175" t="s">
        <v>0</v>
      </c>
      <c r="AH425" s="175" t="s">
        <v>0</v>
      </c>
      <c r="AI425" s="175" t="s">
        <v>0</v>
      </c>
      <c r="AJ425" s="175" t="s">
        <v>0</v>
      </c>
      <c r="AK425" s="175" t="s">
        <v>0</v>
      </c>
      <c r="AL425" s="175" t="s">
        <v>0</v>
      </c>
      <c r="AM425" s="175" t="s">
        <v>0</v>
      </c>
      <c r="AN425" s="175" t="s">
        <v>0</v>
      </c>
      <c r="AO425" s="175" t="s">
        <v>0</v>
      </c>
      <c r="AP425" s="175" t="s">
        <v>0</v>
      </c>
      <c r="AQ425" s="175" t="s">
        <v>0</v>
      </c>
      <c r="AR425" s="175" t="s">
        <v>0</v>
      </c>
      <c r="AS425" s="175" t="s">
        <v>0</v>
      </c>
      <c r="AT425" s="175" t="s">
        <v>0</v>
      </c>
      <c r="AU425" s="175" t="s">
        <v>0</v>
      </c>
      <c r="AV425" s="175" t="s">
        <v>0</v>
      </c>
      <c r="AW425" s="175" t="s">
        <v>0</v>
      </c>
      <c r="AX425" s="175" t="s">
        <v>0</v>
      </c>
      <c r="AY425" s="175" t="s">
        <v>0</v>
      </c>
      <c r="AZ425" s="175" t="s">
        <v>0</v>
      </c>
      <c r="BA425" s="175" t="s">
        <v>0</v>
      </c>
      <c r="BB425" s="175" t="s">
        <v>0</v>
      </c>
      <c r="BC425" s="175" t="s">
        <v>0</v>
      </c>
      <c r="BD425" s="175" t="s">
        <v>0</v>
      </c>
      <c r="BE425" s="175" t="s">
        <v>0</v>
      </c>
      <c r="BF425" s="175" t="s">
        <v>0</v>
      </c>
      <c r="BG425" s="175" t="s">
        <v>0</v>
      </c>
      <c r="BH425" s="175" t="s">
        <v>0</v>
      </c>
      <c r="BI425" s="176"/>
    </row>
    <row r="426" spans="1:61" x14ac:dyDescent="0.25">
      <c r="A426" s="22">
        <f t="shared" si="35"/>
        <v>380</v>
      </c>
      <c r="B426" s="214" t="str">
        <f>IF(F426=$F$7,#REF!,B425)</f>
        <v>F0014827203</v>
      </c>
      <c r="C426" s="214" t="str">
        <f>IF(F426=$F$7,#REF!,C425)</f>
        <v>82115-0E531 B</v>
      </c>
      <c r="D426" s="45" t="str">
        <f>VLOOKUP(B426,'Timing Table'!B:J,9,0)</f>
        <v>C/O</v>
      </c>
      <c r="E426" s="22" t="str">
        <f>VLOOKUP(B426,'Timing Table'!B:H,7,0)</f>
        <v>GAS</v>
      </c>
      <c r="F426" s="177" t="s">
        <v>58</v>
      </c>
      <c r="G426" s="178" t="s">
        <v>58</v>
      </c>
      <c r="H426" s="179" t="s">
        <v>58</v>
      </c>
      <c r="I426" s="180" t="s">
        <v>58</v>
      </c>
      <c r="J426" s="180" t="s">
        <v>0</v>
      </c>
      <c r="K426" s="180" t="s">
        <v>0</v>
      </c>
      <c r="L426" s="180" t="s">
        <v>0</v>
      </c>
      <c r="M426" s="180" t="s">
        <v>0</v>
      </c>
      <c r="N426" s="180" t="s">
        <v>0</v>
      </c>
      <c r="O426" s="180" t="s">
        <v>0</v>
      </c>
      <c r="P426" s="180" t="s">
        <v>0</v>
      </c>
      <c r="Q426" s="180" t="s">
        <v>0</v>
      </c>
      <c r="R426" s="180" t="s">
        <v>0</v>
      </c>
      <c r="S426" s="180" t="s">
        <v>0</v>
      </c>
      <c r="T426" s="180" t="s">
        <v>0</v>
      </c>
      <c r="U426" s="180" t="s">
        <v>0</v>
      </c>
      <c r="V426" s="180" t="s">
        <v>0</v>
      </c>
      <c r="W426" s="180" t="s">
        <v>0</v>
      </c>
      <c r="X426" s="180" t="s">
        <v>0</v>
      </c>
      <c r="Y426" s="180" t="s">
        <v>0</v>
      </c>
      <c r="Z426" s="180" t="s">
        <v>0</v>
      </c>
      <c r="AA426" s="180" t="s">
        <v>0</v>
      </c>
      <c r="AB426" s="180" t="s">
        <v>0</v>
      </c>
      <c r="AC426" s="180" t="s">
        <v>0</v>
      </c>
      <c r="AD426" s="180" t="s">
        <v>0</v>
      </c>
      <c r="AE426" s="180" t="s">
        <v>0</v>
      </c>
      <c r="AF426" s="180" t="s">
        <v>0</v>
      </c>
      <c r="AG426" s="180" t="s">
        <v>0</v>
      </c>
      <c r="AH426" s="180" t="s">
        <v>0</v>
      </c>
      <c r="AI426" s="180" t="s">
        <v>0</v>
      </c>
      <c r="AJ426" s="180" t="s">
        <v>0</v>
      </c>
      <c r="AK426" s="180" t="s">
        <v>0</v>
      </c>
      <c r="AL426" s="180" t="s">
        <v>0</v>
      </c>
      <c r="AM426" s="180" t="s">
        <v>0</v>
      </c>
      <c r="AN426" s="180" t="s">
        <v>0</v>
      </c>
      <c r="AO426" s="180" t="s">
        <v>0</v>
      </c>
      <c r="AP426" s="180" t="s">
        <v>0</v>
      </c>
      <c r="AQ426" s="180" t="s">
        <v>0</v>
      </c>
      <c r="AR426" s="180" t="s">
        <v>0</v>
      </c>
      <c r="AS426" s="180" t="s">
        <v>0</v>
      </c>
      <c r="AT426" s="180" t="s">
        <v>0</v>
      </c>
      <c r="AU426" s="180" t="s">
        <v>0</v>
      </c>
      <c r="AV426" s="180" t="s">
        <v>0</v>
      </c>
      <c r="AW426" s="180" t="s">
        <v>0</v>
      </c>
      <c r="AX426" s="180" t="s">
        <v>0</v>
      </c>
      <c r="AY426" s="180" t="s">
        <v>0</v>
      </c>
      <c r="AZ426" s="180" t="s">
        <v>0</v>
      </c>
      <c r="BA426" s="180" t="s">
        <v>0</v>
      </c>
      <c r="BB426" s="180" t="s">
        <v>0</v>
      </c>
      <c r="BC426" s="180" t="s">
        <v>0</v>
      </c>
      <c r="BD426" s="180" t="s">
        <v>0</v>
      </c>
      <c r="BE426" s="180" t="s">
        <v>0</v>
      </c>
      <c r="BF426" s="180" t="s">
        <v>0</v>
      </c>
      <c r="BG426" s="180" t="s">
        <v>0</v>
      </c>
      <c r="BH426" s="180" t="s">
        <v>0</v>
      </c>
      <c r="BI426" s="181"/>
    </row>
    <row r="427" spans="1:61" x14ac:dyDescent="0.25">
      <c r="A427" s="22">
        <f>+A386+1</f>
        <v>381</v>
      </c>
      <c r="B427" s="214" t="str">
        <f>IF(F427=$F$7,G428,B386)</f>
        <v>F0014827303</v>
      </c>
      <c r="C427" s="214" t="str">
        <f>IF(F427=$F$7,G429,C386)</f>
        <v>82115-0E511 B</v>
      </c>
      <c r="D427" s="45" t="str">
        <f>VLOOKUP(B427,'Timing Table'!B:J,9,0)</f>
        <v>C/O</v>
      </c>
      <c r="E427" s="22" t="str">
        <f>VLOOKUP(B427,'Timing Table'!B:H,7,0)</f>
        <v>GAS</v>
      </c>
      <c r="F427" s="121" t="s">
        <v>59</v>
      </c>
      <c r="G427" s="146">
        <v>5501017966</v>
      </c>
      <c r="H427" s="121" t="s">
        <v>60</v>
      </c>
      <c r="I427" s="146">
        <v>91</v>
      </c>
      <c r="J427" s="121" t="s">
        <v>61</v>
      </c>
      <c r="K427" s="125">
        <v>1177753</v>
      </c>
      <c r="L427" s="126"/>
      <c r="M427" s="147" t="s">
        <v>62</v>
      </c>
      <c r="N427" s="148"/>
      <c r="O427" s="149">
        <v>46086</v>
      </c>
      <c r="P427" s="121" t="s">
        <v>63</v>
      </c>
      <c r="Q427" s="146">
        <v>4</v>
      </c>
      <c r="R427" s="6" t="s">
        <v>0</v>
      </c>
      <c r="S427" s="7" t="s">
        <v>0</v>
      </c>
      <c r="T427" s="7" t="s">
        <v>0</v>
      </c>
      <c r="U427" s="7" t="s">
        <v>0</v>
      </c>
      <c r="V427" s="7" t="s">
        <v>0</v>
      </c>
      <c r="W427" s="7" t="s">
        <v>0</v>
      </c>
      <c r="X427" s="7" t="s">
        <v>0</v>
      </c>
      <c r="Y427" s="7" t="s">
        <v>0</v>
      </c>
      <c r="Z427" s="7" t="s">
        <v>0</v>
      </c>
      <c r="AA427" s="7" t="s">
        <v>0</v>
      </c>
      <c r="AB427" s="7" t="s">
        <v>0</v>
      </c>
      <c r="AC427" s="7" t="s">
        <v>0</v>
      </c>
      <c r="AD427" s="7" t="s">
        <v>0</v>
      </c>
      <c r="AE427" s="7" t="s">
        <v>0</v>
      </c>
      <c r="AF427" s="7" t="s">
        <v>0</v>
      </c>
      <c r="AG427" s="7" t="s">
        <v>0</v>
      </c>
      <c r="AH427" s="7" t="s">
        <v>0</v>
      </c>
      <c r="AI427" s="7" t="s">
        <v>0</v>
      </c>
      <c r="AJ427" s="7" t="s">
        <v>0</v>
      </c>
      <c r="AK427" s="7" t="s">
        <v>0</v>
      </c>
      <c r="AL427" s="7" t="s">
        <v>0</v>
      </c>
      <c r="AM427" s="7" t="s">
        <v>0</v>
      </c>
      <c r="AN427" s="7" t="s">
        <v>0</v>
      </c>
      <c r="AO427" s="7" t="s">
        <v>0</v>
      </c>
      <c r="AP427" s="7" t="s">
        <v>0</v>
      </c>
      <c r="AQ427" s="7" t="s">
        <v>0</v>
      </c>
      <c r="AR427" s="7" t="s">
        <v>0</v>
      </c>
      <c r="AS427" s="7" t="s">
        <v>0</v>
      </c>
      <c r="AT427" s="7" t="s">
        <v>0</v>
      </c>
      <c r="AU427" s="7" t="s">
        <v>0</v>
      </c>
      <c r="AV427" s="7" t="s">
        <v>0</v>
      </c>
      <c r="AW427" s="7" t="s">
        <v>0</v>
      </c>
      <c r="AX427" s="7" t="s">
        <v>0</v>
      </c>
      <c r="AY427" s="7" t="s">
        <v>0</v>
      </c>
      <c r="AZ427" s="7" t="s">
        <v>0</v>
      </c>
      <c r="BA427" s="7" t="s">
        <v>0</v>
      </c>
      <c r="BB427" s="7" t="s">
        <v>0</v>
      </c>
      <c r="BC427" s="7" t="s">
        <v>0</v>
      </c>
      <c r="BD427" s="7" t="s">
        <v>0</v>
      </c>
      <c r="BE427" s="7" t="s">
        <v>0</v>
      </c>
      <c r="BF427" s="7" t="s">
        <v>0</v>
      </c>
      <c r="BG427" s="7" t="s">
        <v>0</v>
      </c>
      <c r="BH427" s="7" t="s">
        <v>0</v>
      </c>
      <c r="BI427" s="8"/>
    </row>
    <row r="428" spans="1:61" x14ac:dyDescent="0.25">
      <c r="A428" s="22">
        <f t="shared" si="35"/>
        <v>382</v>
      </c>
      <c r="B428" s="214" t="str">
        <f t="shared" ref="B428:B435" si="56">IF(F428=$F$7,G429,B427)</f>
        <v>F0014827303</v>
      </c>
      <c r="C428" s="214" t="str">
        <f t="shared" ref="C428:C434" si="57">IF(F428=$F$7,G430,C427)</f>
        <v>82115-0E511 B</v>
      </c>
      <c r="D428" s="45" t="str">
        <f>VLOOKUP(B428,'Timing Table'!B:J,9,0)</f>
        <v>C/O</v>
      </c>
      <c r="E428" s="22" t="str">
        <f>VLOOKUP(B428,'Timing Table'!B:H,7,0)</f>
        <v>GAS</v>
      </c>
      <c r="F428" s="121" t="s">
        <v>64</v>
      </c>
      <c r="G428" s="146" t="s">
        <v>179</v>
      </c>
      <c r="H428" s="121" t="s">
        <v>65</v>
      </c>
      <c r="I428" s="150" t="s">
        <v>261</v>
      </c>
      <c r="J428" s="151"/>
      <c r="K428" s="151"/>
      <c r="L428" s="152"/>
      <c r="M428" s="121" t="s">
        <v>66</v>
      </c>
      <c r="N428" s="146">
        <v>2025</v>
      </c>
      <c r="O428" s="140" t="s">
        <v>67</v>
      </c>
      <c r="P428" s="141"/>
      <c r="Q428" s="153" t="s">
        <v>203</v>
      </c>
      <c r="R428" s="122" t="s">
        <v>0</v>
      </c>
      <c r="S428" s="123" t="s">
        <v>0</v>
      </c>
      <c r="T428" s="123" t="s">
        <v>0</v>
      </c>
      <c r="U428" s="123" t="s">
        <v>0</v>
      </c>
      <c r="V428" s="123" t="s">
        <v>0</v>
      </c>
      <c r="W428" s="123" t="s">
        <v>0</v>
      </c>
      <c r="X428" s="123" t="s">
        <v>0</v>
      </c>
      <c r="Y428" s="123" t="s">
        <v>0</v>
      </c>
      <c r="Z428" s="123" t="s">
        <v>0</v>
      </c>
      <c r="AA428" s="123" t="s">
        <v>0</v>
      </c>
      <c r="AB428" s="123" t="s">
        <v>0</v>
      </c>
      <c r="AC428" s="123" t="s">
        <v>0</v>
      </c>
      <c r="AD428" s="123" t="s">
        <v>0</v>
      </c>
      <c r="AE428" s="123" t="s">
        <v>0</v>
      </c>
      <c r="AF428" s="123" t="s">
        <v>0</v>
      </c>
      <c r="AG428" s="123" t="s">
        <v>0</v>
      </c>
      <c r="AH428" s="123" t="s">
        <v>0</v>
      </c>
      <c r="AI428" s="123" t="s">
        <v>0</v>
      </c>
      <c r="AJ428" s="123" t="s">
        <v>0</v>
      </c>
      <c r="AK428" s="123" t="s">
        <v>0</v>
      </c>
      <c r="AL428" s="123" t="s">
        <v>0</v>
      </c>
      <c r="AM428" s="123" t="s">
        <v>0</v>
      </c>
      <c r="AN428" s="123" t="s">
        <v>0</v>
      </c>
      <c r="AO428" s="123" t="s">
        <v>0</v>
      </c>
      <c r="AP428" s="123" t="s">
        <v>0</v>
      </c>
      <c r="AQ428" s="123" t="s">
        <v>0</v>
      </c>
      <c r="AR428" s="123" t="s">
        <v>0</v>
      </c>
      <c r="AS428" s="123" t="s">
        <v>0</v>
      </c>
      <c r="AT428" s="123" t="s">
        <v>0</v>
      </c>
      <c r="AU428" s="123" t="s">
        <v>0</v>
      </c>
      <c r="AV428" s="123" t="s">
        <v>0</v>
      </c>
      <c r="AW428" s="123" t="s">
        <v>0</v>
      </c>
      <c r="AX428" s="123" t="s">
        <v>0</v>
      </c>
      <c r="AY428" s="123" t="s">
        <v>0</v>
      </c>
      <c r="AZ428" s="123" t="s">
        <v>0</v>
      </c>
      <c r="BA428" s="123" t="s">
        <v>0</v>
      </c>
      <c r="BB428" s="123" t="s">
        <v>0</v>
      </c>
      <c r="BC428" s="123" t="s">
        <v>0</v>
      </c>
      <c r="BD428" s="123" t="s">
        <v>0</v>
      </c>
      <c r="BE428" s="123" t="s">
        <v>0</v>
      </c>
      <c r="BF428" s="123" t="s">
        <v>0</v>
      </c>
      <c r="BG428" s="123" t="s">
        <v>0</v>
      </c>
      <c r="BH428" s="123" t="s">
        <v>0</v>
      </c>
      <c r="BI428" s="124"/>
    </row>
    <row r="429" spans="1:61" x14ac:dyDescent="0.25">
      <c r="A429" s="22">
        <f t="shared" si="35"/>
        <v>383</v>
      </c>
      <c r="B429" s="214" t="str">
        <f t="shared" si="56"/>
        <v>F0014827303</v>
      </c>
      <c r="C429" s="214" t="str">
        <f t="shared" si="57"/>
        <v>82115-0E511 B</v>
      </c>
      <c r="D429" s="45" t="str">
        <f>VLOOKUP(B429,'Timing Table'!B:J,9,0)</f>
        <v>C/O</v>
      </c>
      <c r="E429" s="22" t="str">
        <f>VLOOKUP(B429,'Timing Table'!B:H,7,0)</f>
        <v>GAS</v>
      </c>
      <c r="F429" s="121" t="s">
        <v>68</v>
      </c>
      <c r="G429" s="146" t="s">
        <v>362</v>
      </c>
      <c r="H429" s="121" t="s">
        <v>69</v>
      </c>
      <c r="I429" s="154" t="s">
        <v>58</v>
      </c>
      <c r="J429" s="155" t="s">
        <v>0</v>
      </c>
      <c r="K429" s="156" t="s">
        <v>0</v>
      </c>
      <c r="L429" s="157" t="s">
        <v>0</v>
      </c>
      <c r="M429" s="134" t="s">
        <v>0</v>
      </c>
      <c r="N429" s="134" t="s">
        <v>0</v>
      </c>
      <c r="O429" s="134" t="s">
        <v>0</v>
      </c>
      <c r="P429" s="134" t="s">
        <v>0</v>
      </c>
      <c r="Q429" s="134" t="s">
        <v>1</v>
      </c>
      <c r="R429" s="134" t="s">
        <v>2</v>
      </c>
      <c r="S429" s="134" t="s">
        <v>0</v>
      </c>
      <c r="T429" s="134" t="s">
        <v>0</v>
      </c>
      <c r="U429" s="134" t="s">
        <v>0</v>
      </c>
      <c r="V429" s="134" t="s">
        <v>0</v>
      </c>
      <c r="W429" s="134" t="s">
        <v>0</v>
      </c>
      <c r="X429" s="134" t="s">
        <v>0</v>
      </c>
      <c r="Y429" s="134" t="s">
        <v>0</v>
      </c>
      <c r="Z429" s="134" t="s">
        <v>3</v>
      </c>
      <c r="AA429" s="134" t="s">
        <v>0</v>
      </c>
      <c r="AB429" s="134" t="s">
        <v>0</v>
      </c>
      <c r="AC429" s="134" t="s">
        <v>0</v>
      </c>
      <c r="AD429" s="134" t="s">
        <v>0</v>
      </c>
      <c r="AE429" s="134" t="s">
        <v>0</v>
      </c>
      <c r="AF429" s="134" t="s">
        <v>0</v>
      </c>
      <c r="AG429" s="134" t="s">
        <v>0</v>
      </c>
      <c r="AH429" s="134" t="s">
        <v>0</v>
      </c>
      <c r="AI429" s="134" t="s">
        <v>0</v>
      </c>
      <c r="AJ429" s="134" t="s">
        <v>0</v>
      </c>
      <c r="AK429" s="134" t="s">
        <v>0</v>
      </c>
      <c r="AL429" s="134" t="s">
        <v>0</v>
      </c>
      <c r="AM429" s="134" t="s">
        <v>0</v>
      </c>
      <c r="AN429" s="134" t="s">
        <v>0</v>
      </c>
      <c r="AO429" s="134" t="s">
        <v>0</v>
      </c>
      <c r="AP429" s="134" t="s">
        <v>0</v>
      </c>
      <c r="AQ429" s="134" t="s">
        <v>0</v>
      </c>
      <c r="AR429" s="134" t="s">
        <v>0</v>
      </c>
      <c r="AS429" s="134" t="s">
        <v>0</v>
      </c>
      <c r="AT429" s="134" t="s">
        <v>0</v>
      </c>
      <c r="AU429" s="134" t="s">
        <v>0</v>
      </c>
      <c r="AV429" s="134" t="s">
        <v>0</v>
      </c>
      <c r="AW429" s="134" t="s">
        <v>0</v>
      </c>
      <c r="AX429" s="134" t="s">
        <v>0</v>
      </c>
      <c r="AY429" s="134" t="s">
        <v>0</v>
      </c>
      <c r="AZ429" s="134" t="s">
        <v>0</v>
      </c>
      <c r="BA429" s="134" t="s">
        <v>0</v>
      </c>
      <c r="BB429" s="134" t="s">
        <v>0</v>
      </c>
      <c r="BC429" s="134" t="s">
        <v>0</v>
      </c>
      <c r="BD429" s="134" t="s">
        <v>0</v>
      </c>
      <c r="BE429" s="134" t="s">
        <v>0</v>
      </c>
      <c r="BF429" s="134" t="s">
        <v>0</v>
      </c>
      <c r="BG429" s="134" t="s">
        <v>0</v>
      </c>
      <c r="BH429" s="134" t="s">
        <v>0</v>
      </c>
      <c r="BI429" s="135" t="s">
        <v>4</v>
      </c>
    </row>
    <row r="430" spans="1:61" x14ac:dyDescent="0.25">
      <c r="A430" s="22">
        <f t="shared" si="35"/>
        <v>384</v>
      </c>
      <c r="B430" s="214" t="str">
        <f t="shared" si="56"/>
        <v>F0014827303</v>
      </c>
      <c r="C430" s="214" t="str">
        <f t="shared" si="57"/>
        <v>82115-0E511 B</v>
      </c>
      <c r="D430" s="45" t="str">
        <f>VLOOKUP(B430,'Timing Table'!B:J,9,0)</f>
        <v>C/O</v>
      </c>
      <c r="E430" s="22" t="str">
        <f>VLOOKUP(B430,'Timing Table'!B:H,7,0)</f>
        <v>GAS</v>
      </c>
      <c r="F430" s="121" t="s">
        <v>70</v>
      </c>
      <c r="G430" s="146">
        <v>1152</v>
      </c>
      <c r="H430" s="158" t="s">
        <v>241</v>
      </c>
      <c r="I430" s="159" t="s">
        <v>71</v>
      </c>
      <c r="J430" s="13">
        <v>46041</v>
      </c>
      <c r="K430" s="14">
        <v>46048</v>
      </c>
      <c r="L430" s="14">
        <v>46055</v>
      </c>
      <c r="M430" s="14">
        <v>46062</v>
      </c>
      <c r="N430" s="14">
        <v>46069</v>
      </c>
      <c r="O430" s="14">
        <v>46076</v>
      </c>
      <c r="P430" s="14">
        <v>46083</v>
      </c>
      <c r="Q430" s="14">
        <v>46090</v>
      </c>
      <c r="R430" s="14">
        <v>46097</v>
      </c>
      <c r="S430" s="14">
        <v>46104</v>
      </c>
      <c r="T430" s="14">
        <v>46111</v>
      </c>
      <c r="U430" s="14">
        <v>46118</v>
      </c>
      <c r="V430" s="14">
        <v>46125</v>
      </c>
      <c r="W430" s="14">
        <v>46132</v>
      </c>
      <c r="X430" s="14">
        <v>46139</v>
      </c>
      <c r="Y430" s="14">
        <v>46146</v>
      </c>
      <c r="Z430" s="14">
        <v>46153</v>
      </c>
      <c r="AA430" s="14">
        <v>46160</v>
      </c>
      <c r="AB430" s="14">
        <v>46167</v>
      </c>
      <c r="AC430" s="14">
        <v>46174</v>
      </c>
      <c r="AD430" s="14">
        <v>46181</v>
      </c>
      <c r="AE430" s="14">
        <v>46188</v>
      </c>
      <c r="AF430" s="14">
        <v>46195</v>
      </c>
      <c r="AG430" s="14">
        <v>46202</v>
      </c>
      <c r="AH430" s="14">
        <v>46209</v>
      </c>
      <c r="AI430" s="14">
        <v>46216</v>
      </c>
      <c r="AJ430" s="14">
        <v>46223</v>
      </c>
      <c r="AK430" s="14">
        <v>46230</v>
      </c>
      <c r="AL430" s="14">
        <v>46237</v>
      </c>
      <c r="AM430" s="14">
        <v>46244</v>
      </c>
      <c r="AN430" s="14">
        <v>46251</v>
      </c>
      <c r="AO430" s="14">
        <v>46258</v>
      </c>
      <c r="AP430" s="14">
        <v>46265</v>
      </c>
      <c r="AQ430" s="14">
        <v>46272</v>
      </c>
      <c r="AR430" s="14">
        <v>46279</v>
      </c>
      <c r="AS430" s="14">
        <v>46286</v>
      </c>
      <c r="AT430" s="14">
        <v>46293</v>
      </c>
      <c r="AU430" s="14">
        <v>46300</v>
      </c>
      <c r="AV430" s="14">
        <v>46307</v>
      </c>
      <c r="AW430" s="14">
        <v>46314</v>
      </c>
      <c r="AX430" s="14">
        <v>46321</v>
      </c>
      <c r="AY430" s="14">
        <v>46328</v>
      </c>
      <c r="AZ430" s="14">
        <v>46335</v>
      </c>
      <c r="BA430" s="14">
        <v>46342</v>
      </c>
      <c r="BB430" s="14">
        <v>46349</v>
      </c>
      <c r="BC430" s="14">
        <v>46356</v>
      </c>
      <c r="BD430" s="14">
        <v>46363</v>
      </c>
      <c r="BE430" s="14">
        <v>46370</v>
      </c>
      <c r="BF430" s="14">
        <v>46377</v>
      </c>
      <c r="BG430" s="14">
        <v>46384</v>
      </c>
      <c r="BH430" s="14">
        <v>46391</v>
      </c>
      <c r="BI430" s="15">
        <v>46398</v>
      </c>
    </row>
    <row r="431" spans="1:61" x14ac:dyDescent="0.25">
      <c r="A431" s="22">
        <f t="shared" si="35"/>
        <v>385</v>
      </c>
      <c r="B431" s="214" t="str">
        <f t="shared" si="56"/>
        <v>F0014827303</v>
      </c>
      <c r="C431" s="214" t="str">
        <f t="shared" si="57"/>
        <v>82115-0E511 B</v>
      </c>
      <c r="D431" s="45" t="str">
        <f>VLOOKUP(B431,'Timing Table'!B:J,9,0)</f>
        <v>C/O</v>
      </c>
      <c r="E431" s="22" t="str">
        <f>VLOOKUP(B431,'Timing Table'!B:H,7,0)</f>
        <v>GAS</v>
      </c>
      <c r="F431" s="121" t="s">
        <v>72</v>
      </c>
      <c r="G431" s="146">
        <v>1308</v>
      </c>
      <c r="H431" s="5" t="s">
        <v>58</v>
      </c>
      <c r="I431" s="11" t="s">
        <v>83</v>
      </c>
      <c r="J431" s="16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17"/>
    </row>
    <row r="432" spans="1:61" x14ac:dyDescent="0.25">
      <c r="A432" s="22">
        <f t="shared" ref="A432:A436" si="58">+A431+1</f>
        <v>386</v>
      </c>
      <c r="B432" s="214" t="str">
        <f t="shared" si="56"/>
        <v>F0014827303</v>
      </c>
      <c r="C432" s="214" t="str">
        <f t="shared" si="57"/>
        <v>82115-0E511 B</v>
      </c>
      <c r="D432" s="45" t="str">
        <f>VLOOKUP(B432,'Timing Table'!B:J,9,0)</f>
        <v>C/O</v>
      </c>
      <c r="E432" s="22" t="str">
        <f>VLOOKUP(B432,'Timing Table'!B:H,7,0)</f>
        <v>GAS</v>
      </c>
      <c r="F432" s="121" t="s">
        <v>73</v>
      </c>
      <c r="G432" s="160" t="s">
        <v>130</v>
      </c>
      <c r="H432" s="9" t="s">
        <v>114</v>
      </c>
      <c r="I432" s="11" t="s">
        <v>74</v>
      </c>
      <c r="J432" s="117">
        <v>72</v>
      </c>
      <c r="K432" s="50">
        <v>80</v>
      </c>
      <c r="L432" s="50">
        <v>16</v>
      </c>
      <c r="M432" s="50">
        <v>28</v>
      </c>
      <c r="N432" s="50">
        <v>20</v>
      </c>
      <c r="O432" s="50">
        <v>64</v>
      </c>
      <c r="P432" s="50">
        <v>52</v>
      </c>
      <c r="Q432" s="50">
        <v>60</v>
      </c>
      <c r="R432" s="50">
        <v>0</v>
      </c>
      <c r="S432" s="50">
        <v>0</v>
      </c>
      <c r="T432" s="50">
        <v>20</v>
      </c>
      <c r="U432" s="50">
        <v>28</v>
      </c>
      <c r="V432" s="50">
        <v>28</v>
      </c>
      <c r="W432" s="50">
        <v>20</v>
      </c>
      <c r="X432" s="50">
        <v>8</v>
      </c>
      <c r="Y432" s="50">
        <v>32</v>
      </c>
      <c r="Z432" s="50">
        <v>20</v>
      </c>
      <c r="AA432" s="50">
        <v>32</v>
      </c>
      <c r="AB432" s="50">
        <v>32</v>
      </c>
      <c r="AC432" s="50">
        <v>32</v>
      </c>
      <c r="AD432" s="50">
        <v>28</v>
      </c>
      <c r="AE432" s="50">
        <v>32</v>
      </c>
      <c r="AF432" s="50">
        <v>32</v>
      </c>
      <c r="AG432" s="50">
        <v>32</v>
      </c>
      <c r="AH432" s="50">
        <v>8</v>
      </c>
      <c r="AI432" s="50">
        <v>32</v>
      </c>
      <c r="AJ432" s="50">
        <v>32</v>
      </c>
      <c r="AK432" s="50">
        <v>36</v>
      </c>
      <c r="AL432" s="50">
        <v>44</v>
      </c>
      <c r="AM432" s="50">
        <v>32</v>
      </c>
      <c r="AN432" s="50">
        <v>32</v>
      </c>
      <c r="AO432" s="50">
        <v>32</v>
      </c>
      <c r="AP432" s="50">
        <v>32</v>
      </c>
      <c r="AQ432" s="50">
        <v>32</v>
      </c>
      <c r="AR432" s="50">
        <v>32</v>
      </c>
      <c r="AS432" s="50">
        <v>32</v>
      </c>
      <c r="AT432" s="50">
        <v>32</v>
      </c>
      <c r="AU432" s="50">
        <v>32</v>
      </c>
      <c r="AV432" s="50">
        <v>32</v>
      </c>
      <c r="AW432" s="50">
        <v>32</v>
      </c>
      <c r="AX432" s="50">
        <v>32</v>
      </c>
      <c r="AY432" s="50">
        <v>32</v>
      </c>
      <c r="AZ432" s="50">
        <v>32</v>
      </c>
      <c r="BA432" s="50">
        <v>32</v>
      </c>
      <c r="BB432" s="50">
        <v>32</v>
      </c>
      <c r="BC432" s="50">
        <v>32</v>
      </c>
      <c r="BD432" s="50">
        <v>32</v>
      </c>
      <c r="BE432" s="50">
        <v>32</v>
      </c>
      <c r="BF432" s="50">
        <v>32</v>
      </c>
      <c r="BG432" s="50">
        <v>32</v>
      </c>
      <c r="BH432" s="50">
        <v>32</v>
      </c>
      <c r="BI432" s="118">
        <v>32</v>
      </c>
    </row>
    <row r="433" spans="1:61" x14ac:dyDescent="0.25">
      <c r="A433" s="22">
        <f t="shared" si="58"/>
        <v>387</v>
      </c>
      <c r="B433" s="214" t="str">
        <f t="shared" si="56"/>
        <v>F0014827303</v>
      </c>
      <c r="C433" s="214" t="str">
        <f t="shared" si="57"/>
        <v>82115-0E511 B</v>
      </c>
      <c r="D433" s="45" t="str">
        <f>VLOOKUP(B433,'Timing Table'!B:J,9,0)</f>
        <v>C/O</v>
      </c>
      <c r="E433" s="22" t="str">
        <f>VLOOKUP(B433,'Timing Table'!B:H,7,0)</f>
        <v>GAS</v>
      </c>
      <c r="F433" s="121" t="s">
        <v>75</v>
      </c>
      <c r="G433" s="146">
        <v>82115</v>
      </c>
      <c r="H433" s="10" t="s">
        <v>114</v>
      </c>
      <c r="I433" s="12" t="s">
        <v>76</v>
      </c>
      <c r="J433" s="161">
        <v>832</v>
      </c>
      <c r="K433" s="162">
        <v>912</v>
      </c>
      <c r="L433" s="162">
        <v>928</v>
      </c>
      <c r="M433" s="162">
        <v>956</v>
      </c>
      <c r="N433" s="162">
        <v>976</v>
      </c>
      <c r="O433" s="162">
        <v>1040</v>
      </c>
      <c r="P433" s="162">
        <v>1092</v>
      </c>
      <c r="Q433" s="162">
        <v>1152</v>
      </c>
      <c r="R433" s="162">
        <v>1152</v>
      </c>
      <c r="S433" s="162">
        <v>1152</v>
      </c>
      <c r="T433" s="162">
        <v>1172</v>
      </c>
      <c r="U433" s="162">
        <v>1200</v>
      </c>
      <c r="V433" s="162">
        <v>1228</v>
      </c>
      <c r="W433" s="162">
        <v>1248</v>
      </c>
      <c r="X433" s="162">
        <v>1256</v>
      </c>
      <c r="Y433" s="162">
        <v>1288</v>
      </c>
      <c r="Z433" s="162">
        <v>1308</v>
      </c>
      <c r="AA433" s="162">
        <v>1340</v>
      </c>
      <c r="AB433" s="162">
        <v>1372</v>
      </c>
      <c r="AC433" s="162">
        <v>1404</v>
      </c>
      <c r="AD433" s="162">
        <v>1432</v>
      </c>
      <c r="AE433" s="162">
        <v>1464</v>
      </c>
      <c r="AF433" s="162">
        <v>1496</v>
      </c>
      <c r="AG433" s="162">
        <v>1528</v>
      </c>
      <c r="AH433" s="162">
        <v>1536</v>
      </c>
      <c r="AI433" s="162">
        <v>1568</v>
      </c>
      <c r="AJ433" s="162">
        <v>1600</v>
      </c>
      <c r="AK433" s="162">
        <v>1636</v>
      </c>
      <c r="AL433" s="162">
        <v>1680</v>
      </c>
      <c r="AM433" s="162">
        <v>1712</v>
      </c>
      <c r="AN433" s="162">
        <v>1744</v>
      </c>
      <c r="AO433" s="162">
        <v>1776</v>
      </c>
      <c r="AP433" s="162">
        <v>1808</v>
      </c>
      <c r="AQ433" s="162">
        <v>1840</v>
      </c>
      <c r="AR433" s="162">
        <v>1872</v>
      </c>
      <c r="AS433" s="162">
        <v>1904</v>
      </c>
      <c r="AT433" s="162">
        <v>1936</v>
      </c>
      <c r="AU433" s="162">
        <v>1968</v>
      </c>
      <c r="AV433" s="162">
        <v>2000</v>
      </c>
      <c r="AW433" s="162">
        <v>2032</v>
      </c>
      <c r="AX433" s="162">
        <v>2064</v>
      </c>
      <c r="AY433" s="162">
        <v>2096</v>
      </c>
      <c r="AZ433" s="162">
        <v>2128</v>
      </c>
      <c r="BA433" s="162">
        <v>2160</v>
      </c>
      <c r="BB433" s="162">
        <v>2192</v>
      </c>
      <c r="BC433" s="162">
        <v>2224</v>
      </c>
      <c r="BD433" s="162">
        <v>2256</v>
      </c>
      <c r="BE433" s="162">
        <v>2288</v>
      </c>
      <c r="BF433" s="162">
        <v>2320</v>
      </c>
      <c r="BG433" s="162">
        <v>2352</v>
      </c>
      <c r="BH433" s="162">
        <v>2384</v>
      </c>
      <c r="BI433" s="163">
        <v>2416</v>
      </c>
    </row>
    <row r="434" spans="1:61" x14ac:dyDescent="0.25">
      <c r="A434" s="22">
        <f t="shared" si="58"/>
        <v>388</v>
      </c>
      <c r="B434" s="214" t="str">
        <f t="shared" si="56"/>
        <v>F0014827303</v>
      </c>
      <c r="C434" s="214" t="str">
        <f t="shared" si="57"/>
        <v>82115-0E511 B</v>
      </c>
      <c r="D434" s="45" t="str">
        <f>VLOOKUP(B434,'Timing Table'!B:J,9,0)</f>
        <v>C/O</v>
      </c>
      <c r="E434" s="22" t="str">
        <f>VLOOKUP(B434,'Timing Table'!B:H,7,0)</f>
        <v>GAS</v>
      </c>
      <c r="F434" s="164" t="s">
        <v>77</v>
      </c>
      <c r="G434" s="165">
        <v>760</v>
      </c>
      <c r="H434" s="166" t="s">
        <v>78</v>
      </c>
      <c r="I434" s="167"/>
      <c r="J434" s="168" t="s">
        <v>297</v>
      </c>
      <c r="K434" s="169"/>
      <c r="L434" s="170" t="s">
        <v>0</v>
      </c>
      <c r="M434" s="170" t="s">
        <v>0</v>
      </c>
      <c r="N434" s="170" t="s">
        <v>0</v>
      </c>
      <c r="O434" s="170" t="s">
        <v>0</v>
      </c>
      <c r="P434" s="170" t="s">
        <v>0</v>
      </c>
      <c r="Q434" s="170">
        <v>0.15384615384615385</v>
      </c>
      <c r="R434" s="170" t="s">
        <v>0</v>
      </c>
      <c r="S434" s="170" t="s">
        <v>0</v>
      </c>
      <c r="T434" s="170" t="s">
        <v>0</v>
      </c>
      <c r="U434" s="170" t="s">
        <v>0</v>
      </c>
      <c r="V434" s="170" t="s">
        <v>0</v>
      </c>
      <c r="W434" s="170" t="s">
        <v>0</v>
      </c>
      <c r="X434" s="170" t="s">
        <v>0</v>
      </c>
      <c r="Y434" s="170" t="s">
        <v>0</v>
      </c>
      <c r="Z434" s="170" t="s">
        <v>0</v>
      </c>
      <c r="AA434" s="170" t="s">
        <v>0</v>
      </c>
      <c r="AB434" s="170" t="s">
        <v>0</v>
      </c>
      <c r="AC434" s="170" t="s">
        <v>0</v>
      </c>
      <c r="AD434" s="170" t="s">
        <v>0</v>
      </c>
      <c r="AE434" s="170" t="s">
        <v>0</v>
      </c>
      <c r="AF434" s="170" t="s">
        <v>0</v>
      </c>
      <c r="AG434" s="170" t="s">
        <v>0</v>
      </c>
      <c r="AH434" s="170" t="s">
        <v>0</v>
      </c>
      <c r="AI434" s="170" t="s">
        <v>0</v>
      </c>
      <c r="AJ434" s="170" t="s">
        <v>0</v>
      </c>
      <c r="AK434" s="170" t="s">
        <v>0</v>
      </c>
      <c r="AL434" s="170" t="s">
        <v>0</v>
      </c>
      <c r="AM434" s="170" t="s">
        <v>0</v>
      </c>
      <c r="AN434" s="170" t="s">
        <v>0</v>
      </c>
      <c r="AO434" s="170" t="s">
        <v>0</v>
      </c>
      <c r="AP434" s="170" t="s">
        <v>0</v>
      </c>
      <c r="AQ434" s="170" t="s">
        <v>0</v>
      </c>
      <c r="AR434" s="170" t="s">
        <v>0</v>
      </c>
      <c r="AS434" s="170" t="s">
        <v>0</v>
      </c>
      <c r="AT434" s="170" t="s">
        <v>0</v>
      </c>
      <c r="AU434" s="170" t="s">
        <v>0</v>
      </c>
      <c r="AV434" s="170" t="s">
        <v>0</v>
      </c>
      <c r="AW434" s="170" t="s">
        <v>0</v>
      </c>
      <c r="AX434" s="170" t="s">
        <v>0</v>
      </c>
      <c r="AY434" s="170" t="s">
        <v>0</v>
      </c>
      <c r="AZ434" s="170" t="s">
        <v>0</v>
      </c>
      <c r="BA434" s="170" t="s">
        <v>0</v>
      </c>
      <c r="BB434" s="170" t="s">
        <v>0</v>
      </c>
      <c r="BC434" s="170" t="s">
        <v>0</v>
      </c>
      <c r="BD434" s="170" t="s">
        <v>0</v>
      </c>
      <c r="BE434" s="170" t="s">
        <v>0</v>
      </c>
      <c r="BF434" s="170" t="s">
        <v>0</v>
      </c>
      <c r="BG434" s="170" t="s">
        <v>0</v>
      </c>
      <c r="BH434" s="170" t="s">
        <v>0</v>
      </c>
      <c r="BI434" s="171"/>
    </row>
    <row r="435" spans="1:61" x14ac:dyDescent="0.25">
      <c r="A435" s="22">
        <f t="shared" si="58"/>
        <v>389</v>
      </c>
      <c r="B435" s="214" t="str">
        <f t="shared" si="56"/>
        <v>F0014827303</v>
      </c>
      <c r="C435" s="214" t="str">
        <f>IF(F435=$F$7,#REF!,C434)</f>
        <v>82115-0E511 B</v>
      </c>
      <c r="D435" s="45" t="str">
        <f>VLOOKUP(B435,'Timing Table'!B:J,9,0)</f>
        <v>C/O</v>
      </c>
      <c r="E435" s="22" t="str">
        <f>VLOOKUP(B435,'Timing Table'!B:H,7,0)</f>
        <v>GAS</v>
      </c>
      <c r="F435" s="172" t="s">
        <v>79</v>
      </c>
      <c r="G435" s="173" t="s">
        <v>58</v>
      </c>
      <c r="H435" s="174" t="s">
        <v>58</v>
      </c>
      <c r="I435" s="175" t="s">
        <v>58</v>
      </c>
      <c r="J435" s="175" t="s">
        <v>0</v>
      </c>
      <c r="K435" s="175" t="s">
        <v>0</v>
      </c>
      <c r="L435" s="175" t="s">
        <v>0</v>
      </c>
      <c r="M435" s="175" t="s">
        <v>0</v>
      </c>
      <c r="N435" s="175" t="s">
        <v>0</v>
      </c>
      <c r="O435" s="175" t="s">
        <v>0</v>
      </c>
      <c r="P435" s="175" t="s">
        <v>0</v>
      </c>
      <c r="Q435" s="175" t="s">
        <v>325</v>
      </c>
      <c r="R435" s="175"/>
      <c r="S435" s="175" t="s">
        <v>0</v>
      </c>
      <c r="T435" s="175" t="s">
        <v>0</v>
      </c>
      <c r="U435" s="175" t="s">
        <v>0</v>
      </c>
      <c r="V435" s="175" t="s">
        <v>0</v>
      </c>
      <c r="W435" s="175" t="s">
        <v>0</v>
      </c>
      <c r="X435" s="175" t="s">
        <v>0</v>
      </c>
      <c r="Y435" s="175" t="s">
        <v>0</v>
      </c>
      <c r="Z435" s="175" t="s">
        <v>0</v>
      </c>
      <c r="AA435" s="175" t="s">
        <v>0</v>
      </c>
      <c r="AB435" s="175" t="s">
        <v>0</v>
      </c>
      <c r="AC435" s="175" t="s">
        <v>0</v>
      </c>
      <c r="AD435" s="175" t="s">
        <v>0</v>
      </c>
      <c r="AE435" s="175" t="s">
        <v>0</v>
      </c>
      <c r="AF435" s="175" t="s">
        <v>0</v>
      </c>
      <c r="AG435" s="175" t="s">
        <v>0</v>
      </c>
      <c r="AH435" s="175" t="s">
        <v>0</v>
      </c>
      <c r="AI435" s="175" t="s">
        <v>0</v>
      </c>
      <c r="AJ435" s="175" t="s">
        <v>0</v>
      </c>
      <c r="AK435" s="175" t="s">
        <v>0</v>
      </c>
      <c r="AL435" s="175" t="s">
        <v>0</v>
      </c>
      <c r="AM435" s="175" t="s">
        <v>0</v>
      </c>
      <c r="AN435" s="175" t="s">
        <v>0</v>
      </c>
      <c r="AO435" s="175" t="s">
        <v>0</v>
      </c>
      <c r="AP435" s="175" t="s">
        <v>0</v>
      </c>
      <c r="AQ435" s="175" t="s">
        <v>0</v>
      </c>
      <c r="AR435" s="175" t="s">
        <v>0</v>
      </c>
      <c r="AS435" s="175" t="s">
        <v>0</v>
      </c>
      <c r="AT435" s="175" t="s">
        <v>0</v>
      </c>
      <c r="AU435" s="175" t="s">
        <v>0</v>
      </c>
      <c r="AV435" s="175" t="s">
        <v>0</v>
      </c>
      <c r="AW435" s="175" t="s">
        <v>0</v>
      </c>
      <c r="AX435" s="175" t="s">
        <v>0</v>
      </c>
      <c r="AY435" s="175" t="s">
        <v>0</v>
      </c>
      <c r="AZ435" s="175" t="s">
        <v>0</v>
      </c>
      <c r="BA435" s="175" t="s">
        <v>0</v>
      </c>
      <c r="BB435" s="175" t="s">
        <v>0</v>
      </c>
      <c r="BC435" s="175" t="s">
        <v>0</v>
      </c>
      <c r="BD435" s="175" t="s">
        <v>0</v>
      </c>
      <c r="BE435" s="175" t="s">
        <v>0</v>
      </c>
      <c r="BF435" s="175" t="s">
        <v>0</v>
      </c>
      <c r="BG435" s="175" t="s">
        <v>0</v>
      </c>
      <c r="BH435" s="175" t="s">
        <v>0</v>
      </c>
      <c r="BI435" s="176"/>
    </row>
    <row r="436" spans="1:61" x14ac:dyDescent="0.25">
      <c r="A436" s="22">
        <f t="shared" si="58"/>
        <v>390</v>
      </c>
      <c r="B436" s="214" t="str">
        <f>IF(F436=$F$7,#REF!,B435)</f>
        <v>F0014827303</v>
      </c>
      <c r="C436" s="214" t="str">
        <f>IF(F436=$F$7,#REF!,C435)</f>
        <v>82115-0E511 B</v>
      </c>
      <c r="D436" s="45" t="str">
        <f>VLOOKUP(B436,'Timing Table'!B:J,9,0)</f>
        <v>C/O</v>
      </c>
      <c r="E436" s="22" t="str">
        <f>VLOOKUP(B436,'Timing Table'!B:H,7,0)</f>
        <v>GAS</v>
      </c>
      <c r="F436" s="177" t="s">
        <v>58</v>
      </c>
      <c r="G436" s="178" t="s">
        <v>58</v>
      </c>
      <c r="H436" s="179" t="s">
        <v>58</v>
      </c>
      <c r="I436" s="180" t="s">
        <v>58</v>
      </c>
      <c r="J436" s="180" t="s">
        <v>0</v>
      </c>
      <c r="K436" s="180" t="s">
        <v>0</v>
      </c>
      <c r="L436" s="180" t="s">
        <v>0</v>
      </c>
      <c r="M436" s="180" t="s">
        <v>0</v>
      </c>
      <c r="N436" s="180" t="s">
        <v>0</v>
      </c>
      <c r="O436" s="180" t="s">
        <v>0</v>
      </c>
      <c r="P436" s="180" t="s">
        <v>0</v>
      </c>
      <c r="Q436" s="180" t="s">
        <v>0</v>
      </c>
      <c r="R436" s="180" t="s">
        <v>0</v>
      </c>
      <c r="S436" s="180" t="s">
        <v>0</v>
      </c>
      <c r="T436" s="180" t="s">
        <v>0</v>
      </c>
      <c r="U436" s="180" t="s">
        <v>0</v>
      </c>
      <c r="V436" s="180" t="s">
        <v>0</v>
      </c>
      <c r="W436" s="180" t="s">
        <v>0</v>
      </c>
      <c r="X436" s="180" t="s">
        <v>0</v>
      </c>
      <c r="Y436" s="180" t="s">
        <v>0</v>
      </c>
      <c r="Z436" s="180" t="s">
        <v>0</v>
      </c>
      <c r="AA436" s="180" t="s">
        <v>0</v>
      </c>
      <c r="AB436" s="180" t="s">
        <v>0</v>
      </c>
      <c r="AC436" s="180" t="s">
        <v>0</v>
      </c>
      <c r="AD436" s="180" t="s">
        <v>0</v>
      </c>
      <c r="AE436" s="180" t="s">
        <v>0</v>
      </c>
      <c r="AF436" s="180" t="s">
        <v>0</v>
      </c>
      <c r="AG436" s="180" t="s">
        <v>0</v>
      </c>
      <c r="AH436" s="180" t="s">
        <v>0</v>
      </c>
      <c r="AI436" s="180" t="s">
        <v>0</v>
      </c>
      <c r="AJ436" s="180" t="s">
        <v>0</v>
      </c>
      <c r="AK436" s="180" t="s">
        <v>0</v>
      </c>
      <c r="AL436" s="180" t="s">
        <v>0</v>
      </c>
      <c r="AM436" s="180" t="s">
        <v>0</v>
      </c>
      <c r="AN436" s="180" t="s">
        <v>0</v>
      </c>
      <c r="AO436" s="180" t="s">
        <v>0</v>
      </c>
      <c r="AP436" s="180" t="s">
        <v>0</v>
      </c>
      <c r="AQ436" s="180" t="s">
        <v>0</v>
      </c>
      <c r="AR436" s="180" t="s">
        <v>0</v>
      </c>
      <c r="AS436" s="180" t="s">
        <v>0</v>
      </c>
      <c r="AT436" s="180" t="s">
        <v>0</v>
      </c>
      <c r="AU436" s="180" t="s">
        <v>0</v>
      </c>
      <c r="AV436" s="180" t="s">
        <v>0</v>
      </c>
      <c r="AW436" s="180" t="s">
        <v>0</v>
      </c>
      <c r="AX436" s="180" t="s">
        <v>0</v>
      </c>
      <c r="AY436" s="180" t="s">
        <v>0</v>
      </c>
      <c r="AZ436" s="180" t="s">
        <v>0</v>
      </c>
      <c r="BA436" s="180" t="s">
        <v>0</v>
      </c>
      <c r="BB436" s="180" t="s">
        <v>0</v>
      </c>
      <c r="BC436" s="180" t="s">
        <v>0</v>
      </c>
      <c r="BD436" s="180" t="s">
        <v>0</v>
      </c>
      <c r="BE436" s="180" t="s">
        <v>0</v>
      </c>
      <c r="BF436" s="180" t="s">
        <v>0</v>
      </c>
      <c r="BG436" s="180" t="s">
        <v>0</v>
      </c>
      <c r="BH436" s="180" t="s">
        <v>0</v>
      </c>
      <c r="BI436" s="181"/>
    </row>
    <row r="437" spans="1:61" x14ac:dyDescent="0.25">
      <c r="F437" s="130" t="s">
        <v>93</v>
      </c>
      <c r="G437" s="119" t="s">
        <v>58</v>
      </c>
      <c r="H437" s="184" t="s">
        <v>94</v>
      </c>
      <c r="I437" s="185"/>
      <c r="J437" s="186">
        <v>9848</v>
      </c>
      <c r="K437" s="186">
        <v>3896</v>
      </c>
      <c r="L437" s="186">
        <v>3112</v>
      </c>
      <c r="M437" s="186">
        <v>3816</v>
      </c>
      <c r="N437" s="186">
        <v>4448</v>
      </c>
      <c r="O437" s="186">
        <v>3732</v>
      </c>
      <c r="P437" s="186">
        <v>4940</v>
      </c>
      <c r="Q437" s="186">
        <v>5024</v>
      </c>
      <c r="R437" s="186">
        <v>0</v>
      </c>
      <c r="S437" s="186">
        <v>3200</v>
      </c>
      <c r="T437" s="186">
        <v>3200</v>
      </c>
      <c r="U437" s="186">
        <v>3196</v>
      </c>
      <c r="V437" s="186">
        <v>2560</v>
      </c>
      <c r="W437" s="186">
        <v>2424</v>
      </c>
      <c r="X437" s="186">
        <v>1764</v>
      </c>
      <c r="Y437" s="186">
        <v>1804</v>
      </c>
      <c r="Z437" s="186">
        <v>2500</v>
      </c>
      <c r="AA437" s="186">
        <v>3100</v>
      </c>
      <c r="AB437" s="186">
        <v>3088</v>
      </c>
      <c r="AC437" s="186">
        <v>3100</v>
      </c>
      <c r="AD437" s="186">
        <v>2464</v>
      </c>
      <c r="AE437" s="186">
        <v>2544</v>
      </c>
      <c r="AF437" s="186">
        <v>2512</v>
      </c>
      <c r="AG437" s="186">
        <v>2988</v>
      </c>
      <c r="AH437" s="186">
        <v>2120</v>
      </c>
      <c r="AI437" s="186">
        <v>2816</v>
      </c>
      <c r="AJ437" s="186">
        <v>3236</v>
      </c>
      <c r="AK437" s="186">
        <v>3236</v>
      </c>
      <c r="AL437" s="186">
        <v>4212</v>
      </c>
      <c r="AM437" s="186">
        <v>4108</v>
      </c>
      <c r="AN437" s="186">
        <v>4008</v>
      </c>
      <c r="AO437" s="186">
        <v>4008</v>
      </c>
      <c r="AP437" s="186">
        <v>4008</v>
      </c>
      <c r="AQ437" s="186">
        <v>4008</v>
      </c>
      <c r="AR437" s="186">
        <v>4008</v>
      </c>
      <c r="AS437" s="186">
        <v>4008</v>
      </c>
      <c r="AT437" s="186">
        <v>4008</v>
      </c>
      <c r="AU437" s="186">
        <v>4008</v>
      </c>
      <c r="AV437" s="186">
        <v>4008</v>
      </c>
      <c r="AW437" s="186">
        <v>4008</v>
      </c>
      <c r="AX437" s="186">
        <v>4008</v>
      </c>
      <c r="AY437" s="186">
        <v>4008</v>
      </c>
      <c r="AZ437" s="186">
        <v>4008</v>
      </c>
      <c r="BA437" s="186">
        <v>4008</v>
      </c>
      <c r="BB437" s="186">
        <v>4008</v>
      </c>
      <c r="BC437" s="186">
        <v>4008</v>
      </c>
      <c r="BD437" s="186">
        <v>4008</v>
      </c>
      <c r="BE437" s="186">
        <v>4008</v>
      </c>
      <c r="BF437" s="186">
        <v>4008</v>
      </c>
      <c r="BG437" s="186">
        <v>4008</v>
      </c>
      <c r="BH437" s="186">
        <v>4008</v>
      </c>
      <c r="BI437" s="186">
        <v>4008</v>
      </c>
    </row>
    <row r="438" spans="1:61" x14ac:dyDescent="0.25">
      <c r="F438" s="3" t="s">
        <v>58</v>
      </c>
      <c r="G438" s="131" t="s">
        <v>58</v>
      </c>
      <c r="H438" s="187" t="s">
        <v>95</v>
      </c>
      <c r="I438" s="188"/>
      <c r="J438" s="189">
        <v>134356</v>
      </c>
      <c r="K438" s="189">
        <v>138252</v>
      </c>
      <c r="L438" s="189">
        <v>141364</v>
      </c>
      <c r="M438" s="189">
        <v>145180</v>
      </c>
      <c r="N438" s="189">
        <v>149628</v>
      </c>
      <c r="O438" s="189">
        <v>153360</v>
      </c>
      <c r="P438" s="189">
        <v>158300</v>
      </c>
      <c r="Q438" s="189">
        <v>163324</v>
      </c>
      <c r="R438" s="189">
        <v>163324</v>
      </c>
      <c r="S438" s="189">
        <v>166524</v>
      </c>
      <c r="T438" s="189">
        <v>169724</v>
      </c>
      <c r="U438" s="189">
        <v>172920</v>
      </c>
      <c r="V438" s="189">
        <v>175480</v>
      </c>
      <c r="W438" s="189">
        <v>177904</v>
      </c>
      <c r="X438" s="189">
        <v>179668</v>
      </c>
      <c r="Y438" s="189">
        <v>181472</v>
      </c>
      <c r="Z438" s="189">
        <v>183972</v>
      </c>
      <c r="AA438" s="189">
        <v>187072</v>
      </c>
      <c r="AB438" s="189">
        <v>190160</v>
      </c>
      <c r="AC438" s="189">
        <v>193260</v>
      </c>
      <c r="AD438" s="189">
        <v>195724</v>
      </c>
      <c r="AE438" s="189">
        <v>198268</v>
      </c>
      <c r="AF438" s="189">
        <v>200780</v>
      </c>
      <c r="AG438" s="189">
        <v>203768</v>
      </c>
      <c r="AH438" s="189">
        <v>205888</v>
      </c>
      <c r="AI438" s="189">
        <v>208704</v>
      </c>
      <c r="AJ438" s="189">
        <v>211940</v>
      </c>
      <c r="AK438" s="189">
        <v>215176</v>
      </c>
      <c r="AL438" s="189">
        <v>219388</v>
      </c>
      <c r="AM438" s="189">
        <v>223496</v>
      </c>
      <c r="AN438" s="189">
        <v>227504</v>
      </c>
      <c r="AO438" s="189">
        <v>231512</v>
      </c>
      <c r="AP438" s="189">
        <v>235520</v>
      </c>
      <c r="AQ438" s="189">
        <v>239528</v>
      </c>
      <c r="AR438" s="189">
        <v>243536</v>
      </c>
      <c r="AS438" s="189">
        <v>247544</v>
      </c>
      <c r="AT438" s="189">
        <v>251552</v>
      </c>
      <c r="AU438" s="189">
        <v>255560</v>
      </c>
      <c r="AV438" s="189">
        <v>259568</v>
      </c>
      <c r="AW438" s="189">
        <v>263576</v>
      </c>
      <c r="AX438" s="189">
        <v>267584</v>
      </c>
      <c r="AY438" s="189">
        <v>271592</v>
      </c>
      <c r="AZ438" s="189">
        <v>275600</v>
      </c>
      <c r="BA438" s="189">
        <v>279608</v>
      </c>
      <c r="BB438" s="189">
        <v>283616</v>
      </c>
      <c r="BC438" s="189">
        <v>287624</v>
      </c>
      <c r="BD438" s="189">
        <v>291632</v>
      </c>
      <c r="BE438" s="189">
        <v>295640</v>
      </c>
      <c r="BF438" s="189">
        <v>299648</v>
      </c>
      <c r="BG438" s="189">
        <v>303656</v>
      </c>
      <c r="BH438" s="189">
        <v>307664</v>
      </c>
      <c r="BI438" s="189">
        <v>311672</v>
      </c>
    </row>
    <row r="439" spans="1:61" x14ac:dyDescent="0.25">
      <c r="F439" s="177"/>
      <c r="G439" s="178"/>
      <c r="H439" s="179"/>
      <c r="I439" s="180"/>
      <c r="J439" s="180"/>
      <c r="K439" s="180" t="s">
        <v>0</v>
      </c>
      <c r="L439" s="180" t="s">
        <v>0</v>
      </c>
      <c r="M439" s="180" t="s">
        <v>0</v>
      </c>
      <c r="N439" s="180" t="s">
        <v>0</v>
      </c>
      <c r="O439" s="180" t="s">
        <v>0</v>
      </c>
      <c r="P439" s="180" t="s">
        <v>161</v>
      </c>
      <c r="Q439" s="180">
        <v>1256</v>
      </c>
      <c r="R439" s="180">
        <v>0</v>
      </c>
      <c r="S439" s="180">
        <v>800</v>
      </c>
      <c r="T439" s="180">
        <v>800</v>
      </c>
      <c r="U439" s="180">
        <v>799</v>
      </c>
      <c r="V439" s="180">
        <v>640</v>
      </c>
      <c r="W439" s="180">
        <v>606</v>
      </c>
      <c r="X439" s="180">
        <v>441</v>
      </c>
      <c r="Y439" s="180">
        <v>451</v>
      </c>
      <c r="Z439" s="180">
        <v>625</v>
      </c>
      <c r="AA439" s="180">
        <v>775</v>
      </c>
      <c r="AB439" s="180">
        <v>772</v>
      </c>
      <c r="AC439" s="180">
        <v>775</v>
      </c>
      <c r="AD439" s="180">
        <v>616</v>
      </c>
      <c r="AE439" s="180">
        <v>636</v>
      </c>
      <c r="AF439" s="180">
        <v>628</v>
      </c>
      <c r="AG439" s="180">
        <v>747</v>
      </c>
      <c r="AH439" s="180">
        <v>530</v>
      </c>
      <c r="AI439" s="180">
        <v>704</v>
      </c>
      <c r="AJ439" s="180">
        <v>809</v>
      </c>
      <c r="AK439" s="180">
        <v>809</v>
      </c>
      <c r="AL439" s="180">
        <v>1053</v>
      </c>
      <c r="AM439" s="180">
        <v>1027</v>
      </c>
      <c r="AN439" s="180">
        <v>1002</v>
      </c>
      <c r="AO439" s="180">
        <v>1002</v>
      </c>
      <c r="AP439" s="180">
        <v>1002</v>
      </c>
      <c r="AQ439" s="180">
        <v>1002</v>
      </c>
      <c r="AR439" s="180">
        <v>1002</v>
      </c>
      <c r="AS439" s="180">
        <v>1002</v>
      </c>
      <c r="AT439" s="180">
        <v>1002</v>
      </c>
      <c r="AU439" s="180">
        <v>1002</v>
      </c>
      <c r="AV439" s="180">
        <v>1002</v>
      </c>
      <c r="AW439" s="180">
        <v>1002</v>
      </c>
      <c r="AX439" s="180">
        <v>1002</v>
      </c>
      <c r="AY439" s="180">
        <v>1002</v>
      </c>
      <c r="AZ439" s="180">
        <v>1002</v>
      </c>
      <c r="BA439" s="180">
        <v>1002</v>
      </c>
      <c r="BB439" s="180">
        <v>1002</v>
      </c>
      <c r="BC439" s="180">
        <v>1002</v>
      </c>
      <c r="BD439" s="180">
        <v>1002</v>
      </c>
      <c r="BE439" s="180">
        <v>1002</v>
      </c>
      <c r="BF439" s="180">
        <v>1002</v>
      </c>
      <c r="BG439" s="180">
        <v>1002</v>
      </c>
      <c r="BH439" s="180">
        <v>1002</v>
      </c>
      <c r="BI439" s="181">
        <v>1002</v>
      </c>
    </row>
    <row r="441" spans="1:61" x14ac:dyDescent="0.25">
      <c r="Q441"/>
    </row>
    <row r="442" spans="1:61" x14ac:dyDescent="0.25">
      <c r="Q442"/>
    </row>
    <row r="443" spans="1:61" x14ac:dyDescent="0.25">
      <c r="Q443"/>
    </row>
    <row r="444" spans="1:61" x14ac:dyDescent="0.25">
      <c r="Q444"/>
    </row>
  </sheetData>
  <autoFilter ref="A6:BI439"/>
  <sortState ref="A7:AM36">
    <sortCondition ref="E7:E36"/>
    <sortCondition ref="C7:C36"/>
  </sortState>
  <conditionalFormatting sqref="D6">
    <cfRule type="cellIs" dxfId="65" priority="263" operator="equal">
      <formula>"RUS"</formula>
    </cfRule>
    <cfRule type="cellIs" dxfId="64" priority="264" operator="equal">
      <formula>"TWN"</formula>
    </cfRule>
    <cfRule type="beginsWith" dxfId="63" priority="269" operator="beginsWith" text="N">
      <formula>LEFT(D6,LEN("N"))="N"</formula>
    </cfRule>
    <cfRule type="beginsWith" dxfId="62" priority="270" operator="beginsWith" text="GC">
      <formula>LEFT(D6,LEN("GC"))="GC"</formula>
    </cfRule>
    <cfRule type="beginsWith" dxfId="61" priority="271" operator="beginsWith" text="M">
      <formula>LEFT(D6,LEN("M"))="M"</formula>
    </cfRule>
    <cfRule type="beginsWith" dxfId="60" priority="272" operator="beginsWith" text="GO">
      <formula>LEFT(D6,LEN("GO"))="GO"</formula>
    </cfRule>
    <cfRule type="beginsWith" dxfId="59" priority="273" operator="beginsWith" text="A">
      <formula>LEFT(D6,LEN("A"))="A"</formula>
    </cfRule>
    <cfRule type="beginsWith" dxfId="58" priority="274" operator="beginsWith" text="PRC">
      <formula>LEFT(D6,LEN("PRC"))="PRC"</formula>
    </cfRule>
    <cfRule type="beginsWith" dxfId="57" priority="275" operator="beginsWith" text="K">
      <formula>LEFT(D6,LEN("K"))="K"</formula>
    </cfRule>
    <cfRule type="beginsWith" dxfId="56" priority="276" operator="beginsWith" text="L">
      <formula>LEFT(D6,LEN("L"))="L"</formula>
    </cfRule>
  </conditionalFormatting>
  <conditionalFormatting sqref="E6">
    <cfRule type="containsText" dxfId="55" priority="265" operator="containsText" text="P42M">
      <formula>NOT(ISERROR(SEARCH("P42M",E6)))</formula>
    </cfRule>
    <cfRule type="containsText" dxfId="54" priority="266" operator="containsText" text="L42N">
      <formula>NOT(ISERROR(SEARCH("L42N",E6)))</formula>
    </cfRule>
    <cfRule type="containsText" dxfId="53" priority="267" operator="containsText" text="P42K">
      <formula>NOT(ISERROR(SEARCH("P42K",E6)))</formula>
    </cfRule>
    <cfRule type="containsText" dxfId="52" priority="268" operator="containsText" text="P42J">
      <formula>NOT(ISERROR(SEARCH("P42J",E6)))</formula>
    </cfRule>
  </conditionalFormatting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D47"/>
  <sheetViews>
    <sheetView topLeftCell="B1" zoomScale="80" zoomScaleNormal="80" workbookViewId="0">
      <selection activeCell="L31" sqref="L31"/>
    </sheetView>
  </sheetViews>
  <sheetFormatPr defaultColWidth="9.140625" defaultRowHeight="12.75" x14ac:dyDescent="0.2"/>
  <cols>
    <col min="1" max="1" width="11.5703125" style="82" bestFit="1" customWidth="1"/>
    <col min="2" max="2" width="16.5703125" style="81" bestFit="1" customWidth="1"/>
    <col min="3" max="6" width="9.140625" style="81" customWidth="1"/>
    <col min="7" max="7" width="10.42578125" style="81" customWidth="1"/>
    <col min="8" max="12" width="9.140625" style="81" customWidth="1"/>
    <col min="13" max="13" width="12.5703125" style="81" customWidth="1"/>
    <col min="14" max="15" width="9.140625" style="81" customWidth="1"/>
    <col min="16" max="25" width="9.140625" style="81"/>
    <col min="26" max="26" width="9.140625" style="81" customWidth="1"/>
    <col min="27" max="16384" width="9.140625" style="81"/>
  </cols>
  <sheetData>
    <row r="1" spans="1:56" x14ac:dyDescent="0.2">
      <c r="E1" s="81" t="s">
        <v>0</v>
      </c>
      <c r="F1" s="81" t="s">
        <v>0</v>
      </c>
      <c r="G1" s="81" t="s">
        <v>0</v>
      </c>
      <c r="H1" s="81" t="s">
        <v>0</v>
      </c>
      <c r="I1" s="81" t="s">
        <v>0</v>
      </c>
      <c r="K1" s="88"/>
      <c r="L1" s="88"/>
      <c r="M1" s="88"/>
      <c r="U1" s="81" t="s">
        <v>0</v>
      </c>
      <c r="V1" s="81" t="s">
        <v>0</v>
      </c>
      <c r="W1" s="81" t="s">
        <v>0</v>
      </c>
      <c r="X1" s="81" t="s">
        <v>0</v>
      </c>
      <c r="Y1" s="81" t="s">
        <v>0</v>
      </c>
      <c r="Z1" s="81" t="s">
        <v>0</v>
      </c>
      <c r="AA1" s="81" t="s">
        <v>0</v>
      </c>
      <c r="AB1" s="81" t="s">
        <v>0</v>
      </c>
      <c r="AC1" s="81" t="s">
        <v>0</v>
      </c>
      <c r="AD1" s="81" t="s">
        <v>0</v>
      </c>
      <c r="AE1" s="81" t="s">
        <v>0</v>
      </c>
      <c r="AF1" s="81" t="s">
        <v>0</v>
      </c>
      <c r="AG1" s="81" t="s">
        <v>0</v>
      </c>
    </row>
    <row r="2" spans="1:56" x14ac:dyDescent="0.2">
      <c r="C2" s="245" t="s">
        <v>5</v>
      </c>
      <c r="D2" s="246"/>
      <c r="E2" s="108">
        <f>'Final SR'!$J$10</f>
        <v>46041</v>
      </c>
      <c r="F2" s="107">
        <f>E2+7</f>
        <v>46048</v>
      </c>
      <c r="G2" s="107">
        <f t="shared" ref="G2:AH3" si="0">F2+7</f>
        <v>46055</v>
      </c>
      <c r="H2" s="107">
        <f t="shared" si="0"/>
        <v>46062</v>
      </c>
      <c r="I2" s="107">
        <f t="shared" si="0"/>
        <v>46069</v>
      </c>
      <c r="J2" s="107">
        <f t="shared" si="0"/>
        <v>46076</v>
      </c>
      <c r="K2" s="107">
        <f t="shared" si="0"/>
        <v>46083</v>
      </c>
      <c r="L2" s="107">
        <f t="shared" si="0"/>
        <v>46090</v>
      </c>
      <c r="M2" s="107">
        <f t="shared" si="0"/>
        <v>46097</v>
      </c>
      <c r="N2" s="107">
        <f t="shared" si="0"/>
        <v>46104</v>
      </c>
      <c r="O2" s="107">
        <f t="shared" si="0"/>
        <v>46111</v>
      </c>
      <c r="P2" s="107">
        <f t="shared" si="0"/>
        <v>46118</v>
      </c>
      <c r="Q2" s="107">
        <f t="shared" si="0"/>
        <v>46125</v>
      </c>
      <c r="R2" s="107">
        <f t="shared" si="0"/>
        <v>46132</v>
      </c>
      <c r="S2" s="107">
        <f t="shared" si="0"/>
        <v>46139</v>
      </c>
      <c r="T2" s="107">
        <f t="shared" si="0"/>
        <v>46146</v>
      </c>
      <c r="U2" s="107">
        <f t="shared" si="0"/>
        <v>46153</v>
      </c>
      <c r="V2" s="107">
        <f t="shared" si="0"/>
        <v>46160</v>
      </c>
      <c r="W2" s="107">
        <f t="shared" si="0"/>
        <v>46167</v>
      </c>
      <c r="X2" s="107">
        <f t="shared" si="0"/>
        <v>46174</v>
      </c>
      <c r="Y2" s="107">
        <f t="shared" si="0"/>
        <v>46181</v>
      </c>
      <c r="Z2" s="107">
        <f t="shared" si="0"/>
        <v>46188</v>
      </c>
      <c r="AA2" s="107">
        <f t="shared" si="0"/>
        <v>46195</v>
      </c>
      <c r="AB2" s="107">
        <f t="shared" si="0"/>
        <v>46202</v>
      </c>
      <c r="AC2" s="107">
        <f t="shared" si="0"/>
        <v>46209</v>
      </c>
      <c r="AD2" s="107">
        <f t="shared" si="0"/>
        <v>46216</v>
      </c>
      <c r="AE2" s="107">
        <f t="shared" si="0"/>
        <v>46223</v>
      </c>
      <c r="AF2" s="107">
        <f t="shared" si="0"/>
        <v>46230</v>
      </c>
      <c r="AG2" s="107">
        <f t="shared" si="0"/>
        <v>46237</v>
      </c>
      <c r="AH2" s="107">
        <f t="shared" si="0"/>
        <v>46244</v>
      </c>
      <c r="AI2" s="107">
        <f t="shared" ref="AI2:AI3" si="1">AH2+7</f>
        <v>46251</v>
      </c>
      <c r="AJ2" s="107">
        <f t="shared" ref="AJ2:AJ3" si="2">AI2+7</f>
        <v>46258</v>
      </c>
      <c r="AK2" s="107">
        <f t="shared" ref="AK2:AK3" si="3">AJ2+7</f>
        <v>46265</v>
      </c>
      <c r="AL2" s="107">
        <f t="shared" ref="AL2:AL3" si="4">AK2+7</f>
        <v>46272</v>
      </c>
      <c r="AM2" s="107">
        <f t="shared" ref="AM2:AM3" si="5">AL2+7</f>
        <v>46279</v>
      </c>
      <c r="AN2" s="107">
        <f t="shared" ref="AN2:AN3" si="6">AM2+7</f>
        <v>46286</v>
      </c>
      <c r="AO2" s="107">
        <f t="shared" ref="AO2:AO3" si="7">AN2+7</f>
        <v>46293</v>
      </c>
      <c r="AP2" s="107">
        <f t="shared" ref="AP2:AP3" si="8">AO2+7</f>
        <v>46300</v>
      </c>
      <c r="AQ2" s="107">
        <f t="shared" ref="AQ2:AQ3" si="9">AP2+7</f>
        <v>46307</v>
      </c>
      <c r="AR2" s="107">
        <f t="shared" ref="AR2:AR3" si="10">AQ2+7</f>
        <v>46314</v>
      </c>
      <c r="AS2" s="107">
        <f t="shared" ref="AS2:AS3" si="11">AR2+7</f>
        <v>46321</v>
      </c>
      <c r="AT2" s="107">
        <f t="shared" ref="AT2:AT3" si="12">AS2+7</f>
        <v>46328</v>
      </c>
      <c r="AU2" s="107">
        <f t="shared" ref="AU2:AU3" si="13">AT2+7</f>
        <v>46335</v>
      </c>
      <c r="AV2" s="107">
        <f t="shared" ref="AV2:AV3" si="14">AU2+7</f>
        <v>46342</v>
      </c>
      <c r="AW2" s="107">
        <f t="shared" ref="AW2:AW3" si="15">AV2+7</f>
        <v>46349</v>
      </c>
      <c r="AX2" s="107">
        <f t="shared" ref="AX2:AX3" si="16">AW2+7</f>
        <v>46356</v>
      </c>
      <c r="AY2" s="107">
        <f t="shared" ref="AY2:AY3" si="17">AX2+7</f>
        <v>46363</v>
      </c>
      <c r="AZ2" s="107">
        <f t="shared" ref="AZ2:AZ3" si="18">AY2+7</f>
        <v>46370</v>
      </c>
      <c r="BA2" s="107">
        <f t="shared" ref="BA2:BA3" si="19">AZ2+7</f>
        <v>46377</v>
      </c>
      <c r="BB2" s="107">
        <f t="shared" ref="BB2:BB3" si="20">BA2+7</f>
        <v>46384</v>
      </c>
      <c r="BC2" s="107">
        <f t="shared" ref="BC2:BC3" si="21">BB2+7</f>
        <v>46391</v>
      </c>
      <c r="BD2" s="107">
        <f t="shared" ref="BD2:BD3" si="22">BC2+7</f>
        <v>46398</v>
      </c>
    </row>
    <row r="3" spans="1:56" x14ac:dyDescent="0.2">
      <c r="C3" s="247"/>
      <c r="D3" s="248"/>
      <c r="E3" s="108">
        <f>'Final SR'!$J$11</f>
        <v>46083</v>
      </c>
      <c r="F3" s="107">
        <f>E3+7</f>
        <v>46090</v>
      </c>
      <c r="G3" s="107">
        <f t="shared" si="0"/>
        <v>46097</v>
      </c>
      <c r="H3" s="107">
        <f t="shared" si="0"/>
        <v>46104</v>
      </c>
      <c r="I3" s="107">
        <f t="shared" si="0"/>
        <v>46111</v>
      </c>
      <c r="J3" s="107">
        <f t="shared" si="0"/>
        <v>46118</v>
      </c>
      <c r="K3" s="107">
        <f t="shared" si="0"/>
        <v>46125</v>
      </c>
      <c r="L3" s="107">
        <f t="shared" si="0"/>
        <v>46132</v>
      </c>
      <c r="M3" s="107">
        <f t="shared" si="0"/>
        <v>46139</v>
      </c>
      <c r="N3" s="107">
        <f t="shared" si="0"/>
        <v>46146</v>
      </c>
      <c r="O3" s="107">
        <f t="shared" si="0"/>
        <v>46153</v>
      </c>
      <c r="P3" s="107">
        <f t="shared" si="0"/>
        <v>46160</v>
      </c>
      <c r="Q3" s="107">
        <f t="shared" si="0"/>
        <v>46167</v>
      </c>
      <c r="R3" s="107">
        <f t="shared" si="0"/>
        <v>46174</v>
      </c>
      <c r="S3" s="107">
        <f t="shared" si="0"/>
        <v>46181</v>
      </c>
      <c r="T3" s="107">
        <f t="shared" si="0"/>
        <v>46188</v>
      </c>
      <c r="U3" s="107">
        <f t="shared" si="0"/>
        <v>46195</v>
      </c>
      <c r="V3" s="107">
        <f t="shared" si="0"/>
        <v>46202</v>
      </c>
      <c r="W3" s="107">
        <f t="shared" si="0"/>
        <v>46209</v>
      </c>
      <c r="X3" s="107">
        <f t="shared" si="0"/>
        <v>46216</v>
      </c>
      <c r="Y3" s="107">
        <f t="shared" si="0"/>
        <v>46223</v>
      </c>
      <c r="Z3" s="107">
        <f t="shared" si="0"/>
        <v>46230</v>
      </c>
      <c r="AA3" s="107">
        <f t="shared" si="0"/>
        <v>46237</v>
      </c>
      <c r="AB3" s="107">
        <f t="shared" si="0"/>
        <v>46244</v>
      </c>
      <c r="AC3" s="107">
        <f t="shared" si="0"/>
        <v>46251</v>
      </c>
      <c r="AD3" s="107">
        <f t="shared" si="0"/>
        <v>46258</v>
      </c>
      <c r="AE3" s="107">
        <f t="shared" si="0"/>
        <v>46265</v>
      </c>
      <c r="AF3" s="107">
        <f t="shared" si="0"/>
        <v>46272</v>
      </c>
      <c r="AG3" s="107">
        <f t="shared" si="0"/>
        <v>46279</v>
      </c>
      <c r="AH3" s="107">
        <f t="shared" si="0"/>
        <v>46286</v>
      </c>
      <c r="AI3" s="107">
        <f t="shared" si="1"/>
        <v>46293</v>
      </c>
      <c r="AJ3" s="107">
        <f t="shared" si="2"/>
        <v>46300</v>
      </c>
      <c r="AK3" s="107">
        <f t="shared" si="3"/>
        <v>46307</v>
      </c>
      <c r="AL3" s="107">
        <f t="shared" si="4"/>
        <v>46314</v>
      </c>
      <c r="AM3" s="107">
        <f t="shared" si="5"/>
        <v>46321</v>
      </c>
      <c r="AN3" s="107">
        <f t="shared" si="6"/>
        <v>46328</v>
      </c>
      <c r="AO3" s="107">
        <f t="shared" si="7"/>
        <v>46335</v>
      </c>
      <c r="AP3" s="107">
        <f t="shared" si="8"/>
        <v>46342</v>
      </c>
      <c r="AQ3" s="107">
        <f t="shared" si="9"/>
        <v>46349</v>
      </c>
      <c r="AR3" s="107">
        <f t="shared" si="10"/>
        <v>46356</v>
      </c>
      <c r="AS3" s="107">
        <f t="shared" si="11"/>
        <v>46363</v>
      </c>
      <c r="AT3" s="107">
        <f t="shared" si="12"/>
        <v>46370</v>
      </c>
      <c r="AU3" s="107">
        <f t="shared" si="13"/>
        <v>46377</v>
      </c>
      <c r="AV3" s="107">
        <f t="shared" si="14"/>
        <v>46384</v>
      </c>
      <c r="AW3" s="107">
        <f t="shared" si="15"/>
        <v>46391</v>
      </c>
      <c r="AX3" s="107">
        <f t="shared" si="16"/>
        <v>46398</v>
      </c>
      <c r="AY3" s="107">
        <f t="shared" si="17"/>
        <v>46405</v>
      </c>
      <c r="AZ3" s="107">
        <f t="shared" si="18"/>
        <v>46412</v>
      </c>
      <c r="BA3" s="107">
        <f t="shared" si="19"/>
        <v>46419</v>
      </c>
      <c r="BB3" s="107">
        <f t="shared" si="20"/>
        <v>46426</v>
      </c>
      <c r="BC3" s="107">
        <f t="shared" si="21"/>
        <v>46433</v>
      </c>
      <c r="BD3" s="107">
        <f t="shared" si="22"/>
        <v>46440</v>
      </c>
    </row>
    <row r="4" spans="1:56" hidden="1" x14ac:dyDescent="0.2">
      <c r="A4" s="96"/>
      <c r="B4" s="93"/>
      <c r="C4" s="93"/>
      <c r="D4" s="93"/>
      <c r="E4" s="93"/>
      <c r="F4" s="93"/>
      <c r="G4" s="93"/>
      <c r="H4" s="93"/>
      <c r="I4" s="93"/>
      <c r="J4" s="93"/>
      <c r="K4" s="93"/>
      <c r="L4" s="95" t="s">
        <v>1</v>
      </c>
      <c r="M4" s="95" t="s">
        <v>2</v>
      </c>
      <c r="N4" s="94" t="s">
        <v>0</v>
      </c>
      <c r="O4" s="94" t="s">
        <v>0</v>
      </c>
      <c r="P4" s="94" t="s">
        <v>0</v>
      </c>
      <c r="Q4" s="94" t="s">
        <v>0</v>
      </c>
      <c r="R4" s="94" t="s">
        <v>0</v>
      </c>
      <c r="S4" s="94" t="s">
        <v>0</v>
      </c>
      <c r="T4" s="94" t="s">
        <v>0</v>
      </c>
      <c r="U4" s="94" t="s">
        <v>3</v>
      </c>
      <c r="V4" s="94" t="s">
        <v>0</v>
      </c>
      <c r="W4" s="94" t="s">
        <v>0</v>
      </c>
      <c r="X4" s="94" t="s">
        <v>0</v>
      </c>
      <c r="Y4" s="93"/>
      <c r="Z4" s="93"/>
      <c r="AA4" s="93"/>
      <c r="AB4" s="93"/>
      <c r="AC4" s="93"/>
      <c r="AD4" s="93"/>
      <c r="AE4" s="94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</row>
    <row r="5" spans="1:56" hidden="1" x14ac:dyDescent="0.2">
      <c r="A5" s="106" t="s">
        <v>6</v>
      </c>
      <c r="B5" s="105" t="s">
        <v>153</v>
      </c>
      <c r="C5" s="104" t="s">
        <v>7</v>
      </c>
      <c r="D5" s="103"/>
      <c r="E5" s="102">
        <f>SUMIFS('Final SR'!J:J,'Final SR'!$E:$E,TOTALss!#REF!,'Final SR'!$I:$I,'Final SR'!$I$12)</f>
        <v>0</v>
      </c>
      <c r="F5" s="102">
        <f>SUMIFS('Final SR'!K:K,'Final SR'!$E:$E,TOTALss!#REF!,'Final SR'!$I:$I,'Final SR'!$I$12)</f>
        <v>0</v>
      </c>
      <c r="G5" s="102">
        <f>SUMIFS('Final SR'!L:L,'Final SR'!$E:$E,TOTALss!#REF!,'Final SR'!$I:$I,'Final SR'!$I$12)</f>
        <v>0</v>
      </c>
      <c r="H5" s="102">
        <f>SUMIFS('Final SR'!M:M,'Final SR'!$E:$E,TOTALss!#REF!,'Final SR'!$I:$I,'Final SR'!$I$12)</f>
        <v>0</v>
      </c>
      <c r="I5" s="102">
        <f>SUMIFS('Final SR'!N:N,'Final SR'!$E:$E,TOTALss!#REF!,'Final SR'!$I:$I,'Final SR'!$I$12)</f>
        <v>0</v>
      </c>
      <c r="J5" s="102">
        <f>SUMIFS('Final SR'!O:O,'Final SR'!$E:$E,TOTALss!#REF!,'Final SR'!$I:$I,'Final SR'!$I$12)</f>
        <v>0</v>
      </c>
      <c r="K5" s="102">
        <f>SUMIFS('Final SR'!P:P,'Final SR'!$E:$E,TOTALss!#REF!,'Final SR'!$I:$I,'Final SR'!$I$12)</f>
        <v>0</v>
      </c>
      <c r="L5" s="102">
        <f>SUMIFS('Final SR'!Q:Q,'Final SR'!$E:$E,TOTALss!#REF!,'Final SR'!$I:$I,'Final SR'!$I$12)</f>
        <v>0</v>
      </c>
      <c r="M5" s="102">
        <f>SUMIFS('Final SR'!R:R,'Final SR'!$E:$E,TOTALss!#REF!,'Final SR'!$I:$I,'Final SR'!$I$12)</f>
        <v>0</v>
      </c>
      <c r="N5" s="102">
        <f>SUMIFS('Final SR'!S:S,'Final SR'!$E:$E,TOTALss!#REF!,'Final SR'!$I:$I,'Final SR'!$I$12)</f>
        <v>0</v>
      </c>
      <c r="O5" s="102">
        <f>SUMIFS('Final SR'!T:T,'Final SR'!$E:$E,TOTALss!#REF!,'Final SR'!$I:$I,'Final SR'!$I$12)</f>
        <v>0</v>
      </c>
      <c r="P5" s="102">
        <f>SUMIFS('Final SR'!U:U,'Final SR'!$E:$E,TOTALss!#REF!,'Final SR'!$I:$I,'Final SR'!$I$12)</f>
        <v>0</v>
      </c>
      <c r="Q5" s="102">
        <f>SUMIFS('Final SR'!V:V,'Final SR'!$E:$E,TOTALss!#REF!,'Final SR'!$I:$I,'Final SR'!$I$12)</f>
        <v>0</v>
      </c>
      <c r="R5" s="102">
        <f>SUMIFS('Final SR'!W:W,'Final SR'!$E:$E,TOTALss!#REF!,'Final SR'!$I:$I,'Final SR'!$I$12)</f>
        <v>0</v>
      </c>
      <c r="S5" s="102">
        <f>SUMIFS('Final SR'!X:X,'Final SR'!$E:$E,TOTALss!#REF!,'Final SR'!$I:$I,'Final SR'!$I$12)</f>
        <v>0</v>
      </c>
      <c r="T5" s="102">
        <f>SUMIFS('Final SR'!Y:Y,'Final SR'!$E:$E,TOTALss!#REF!,'Final SR'!$I:$I,'Final SR'!$I$12)</f>
        <v>0</v>
      </c>
      <c r="U5" s="102">
        <f>SUMIFS('Final SR'!Z:Z,'Final SR'!$E:$E,TOTALss!#REF!,'Final SR'!$I:$I,'Final SR'!$I$12)</f>
        <v>0</v>
      </c>
      <c r="V5" s="102">
        <f>SUMIFS('Final SR'!AA:AA,'Final SR'!$E:$E,TOTALss!#REF!,'Final SR'!$I:$I,'Final SR'!$I$12)</f>
        <v>0</v>
      </c>
      <c r="W5" s="102">
        <f>SUMIFS('Final SR'!AB:AB,'Final SR'!$E:$E,TOTALss!#REF!,'Final SR'!$I:$I,'Final SR'!$I$12)</f>
        <v>0</v>
      </c>
      <c r="X5" s="102">
        <f>SUMIFS('Final SR'!AC:AC,'Final SR'!$E:$E,TOTALss!#REF!,'Final SR'!$I:$I,'Final SR'!$I$12)</f>
        <v>0</v>
      </c>
      <c r="Y5" s="102">
        <f>SUMIFS('Final SR'!AD:AD,'Final SR'!$E:$E,TOTALss!#REF!,'Final SR'!$I:$I,'Final SR'!$I$12)</f>
        <v>0</v>
      </c>
      <c r="Z5" s="102">
        <f>SUMIFS('Final SR'!AE:AE,'Final SR'!$E:$E,TOTALss!#REF!,'Final SR'!$I:$I,'Final SR'!$I$12)</f>
        <v>0</v>
      </c>
      <c r="AA5" s="102">
        <f>SUMIFS('Final SR'!AF:AF,'Final SR'!$E:$E,TOTALss!#REF!,'Final SR'!$I:$I,'Final SR'!$I$12)</f>
        <v>0</v>
      </c>
      <c r="AB5" s="102">
        <f>SUMIFS('Final SR'!AG:AG,'Final SR'!$E:$E,TOTALss!#REF!,'Final SR'!$I:$I,'Final SR'!$I$12)</f>
        <v>0</v>
      </c>
      <c r="AC5" s="102">
        <f>SUMIFS('Final SR'!AH:AH,'Final SR'!$E:$E,TOTALss!#REF!,'Final SR'!$I:$I,'Final SR'!$I$12)</f>
        <v>0</v>
      </c>
      <c r="AD5" s="102">
        <f>SUMIFS('Final SR'!AI:AI,'Final SR'!$E:$E,TOTALss!#REF!,'Final SR'!$I:$I,'Final SR'!$I$12)</f>
        <v>0</v>
      </c>
      <c r="AE5" s="102">
        <f>SUMIFS('Final SR'!AJ:AJ,'Final SR'!$E:$E,TOTALss!#REF!,'Final SR'!$I:$I,'Final SR'!$I$12)</f>
        <v>0</v>
      </c>
      <c r="AF5" s="102">
        <f>SUMIFS('Final SR'!AK:AK,'Final SR'!$E:$E,TOTALss!#REF!,'Final SR'!$I:$I,'Final SR'!$I$12)</f>
        <v>0</v>
      </c>
      <c r="AG5" s="102">
        <f>SUMIFS('Final SR'!AL:AL,'Final SR'!$E:$E,TOTALss!#REF!,'Final SR'!$I:$I,'Final SR'!$I$12)</f>
        <v>0</v>
      </c>
      <c r="AH5" s="102">
        <f>SUMIFS('Final SR'!AM:AM,'Final SR'!$E:$E,TOTALss!#REF!,'Final SR'!$I:$I,'Final SR'!$I$12)</f>
        <v>0</v>
      </c>
      <c r="AI5" s="102">
        <f>SUMIFS('Final SR'!AN:AN,'Final SR'!$E:$E,TOTALss!#REF!,'Final SR'!$I:$I,'Final SR'!$I$12)</f>
        <v>0</v>
      </c>
      <c r="AJ5" s="102">
        <f>SUMIFS('Final SR'!AO:AO,'Final SR'!$E:$E,TOTALss!#REF!,'Final SR'!$I:$I,'Final SR'!$I$12)</f>
        <v>0</v>
      </c>
      <c r="AK5" s="102">
        <f>SUMIFS('Final SR'!AP:AP,'Final SR'!$E:$E,TOTALss!#REF!,'Final SR'!$I:$I,'Final SR'!$I$12)</f>
        <v>0</v>
      </c>
      <c r="AL5" s="102">
        <f>SUMIFS('Final SR'!AQ:AQ,'Final SR'!$E:$E,TOTALss!#REF!,'Final SR'!$I:$I,'Final SR'!$I$12)</f>
        <v>0</v>
      </c>
      <c r="AM5" s="102">
        <f>SUMIFS('Final SR'!AR:AR,'Final SR'!$E:$E,TOTALss!#REF!,'Final SR'!$I:$I,'Final SR'!$I$12)</f>
        <v>0</v>
      </c>
      <c r="AN5" s="102">
        <f>SUMIFS('Final SR'!AS:AS,'Final SR'!$E:$E,TOTALss!#REF!,'Final SR'!$I:$I,'Final SR'!$I$12)</f>
        <v>0</v>
      </c>
      <c r="AO5" s="102">
        <f>SUMIFS('Final SR'!AT:AT,'Final SR'!$E:$E,TOTALss!#REF!,'Final SR'!$I:$I,'Final SR'!$I$12)</f>
        <v>0</v>
      </c>
      <c r="AP5" s="102">
        <f>SUMIFS('Final SR'!AU:AU,'Final SR'!$E:$E,TOTALss!#REF!,'Final SR'!$I:$I,'Final SR'!$I$12)</f>
        <v>0</v>
      </c>
      <c r="AQ5" s="102">
        <f>SUMIFS('Final SR'!AV:AV,'Final SR'!$E:$E,TOTALss!#REF!,'Final SR'!$I:$I,'Final SR'!$I$12)</f>
        <v>0</v>
      </c>
      <c r="AR5" s="102">
        <f>SUMIFS('Final SR'!AW:AW,'Final SR'!$E:$E,TOTALss!#REF!,'Final SR'!$I:$I,'Final SR'!$I$12)</f>
        <v>0</v>
      </c>
      <c r="AS5" s="102">
        <f>SUMIFS('Final SR'!AX:AX,'Final SR'!$E:$E,TOTALss!#REF!,'Final SR'!$I:$I,'Final SR'!$I$12)</f>
        <v>0</v>
      </c>
      <c r="AT5" s="102">
        <f>SUMIFS('Final SR'!AY:AY,'Final SR'!$E:$E,TOTALss!#REF!,'Final SR'!$I:$I,'Final SR'!$I$12)</f>
        <v>0</v>
      </c>
      <c r="AU5" s="102">
        <f>SUMIFS('Final SR'!AZ:AZ,'Final SR'!$E:$E,TOTALss!#REF!,'Final SR'!$I:$I,'Final SR'!$I$12)</f>
        <v>0</v>
      </c>
      <c r="AV5" s="102">
        <f>SUMIFS('Final SR'!BA:BA,'Final SR'!$E:$E,TOTALss!#REF!,'Final SR'!$I:$I,'Final SR'!$I$12)</f>
        <v>0</v>
      </c>
      <c r="AW5" s="102">
        <f>SUMIFS('Final SR'!BB:BB,'Final SR'!$E:$E,TOTALss!#REF!,'Final SR'!$I:$I,'Final SR'!$I$12)</f>
        <v>0</v>
      </c>
      <c r="AX5" s="102">
        <f>SUMIFS('Final SR'!BC:BC,'Final SR'!$E:$E,TOTALss!#REF!,'Final SR'!$I:$I,'Final SR'!$I$12)</f>
        <v>0</v>
      </c>
      <c r="AY5" s="102">
        <f>SUMIFS('Final SR'!BD:BD,'Final SR'!$E:$E,TOTALss!#REF!,'Final SR'!$I:$I,'Final SR'!$I$12)</f>
        <v>0</v>
      </c>
      <c r="AZ5" s="102">
        <f>SUMIFS('Final SR'!BE:BE,'Final SR'!$E:$E,TOTALss!#REF!,'Final SR'!$I:$I,'Final SR'!$I$12)</f>
        <v>0</v>
      </c>
      <c r="BA5" s="102">
        <f>SUMIFS('Final SR'!BF:BF,'Final SR'!$E:$E,TOTALss!#REF!,'Final SR'!$I:$I,'Final SR'!$I$12)</f>
        <v>0</v>
      </c>
      <c r="BB5" s="102">
        <f>SUMIFS('Final SR'!BG:BG,'Final SR'!$E:$E,TOTALss!#REF!,'Final SR'!$I:$I,'Final SR'!$I$12)</f>
        <v>0</v>
      </c>
      <c r="BC5" s="102">
        <f>SUMIFS('Final SR'!BH:BH,'Final SR'!$E:$E,TOTALss!#REF!,'Final SR'!$I:$I,'Final SR'!$I$12)</f>
        <v>0</v>
      </c>
      <c r="BD5" s="102">
        <f>SUMIFS('Final SR'!BI:BI,'Final SR'!$E:$E,TOTALss!#REF!,'Final SR'!$I:$I,'Final SR'!$I$12)</f>
        <v>0</v>
      </c>
    </row>
    <row r="6" spans="1:56" hidden="1" x14ac:dyDescent="0.2">
      <c r="A6" s="101"/>
      <c r="B6" s="100"/>
      <c r="C6" s="99" t="s">
        <v>8</v>
      </c>
      <c r="D6" s="98"/>
      <c r="E6" s="97">
        <f>SUMIFS('Final SR'!J:J,'Final SR'!$E:$E,TOTALss!#REF!,'Final SR'!$I:$I,'Final SR'!$I$13)</f>
        <v>0</v>
      </c>
      <c r="F6" s="97">
        <f t="shared" ref="F6" si="23">+F5+E6</f>
        <v>0</v>
      </c>
      <c r="G6" s="97">
        <f t="shared" ref="G6" si="24">+G5+F6</f>
        <v>0</v>
      </c>
      <c r="H6" s="97">
        <f t="shared" ref="H6" si="25">+H5+G6</f>
        <v>0</v>
      </c>
      <c r="I6" s="97">
        <f t="shared" ref="I6" si="26">+I5+H6</f>
        <v>0</v>
      </c>
      <c r="J6" s="97">
        <f t="shared" ref="J6" si="27">+J5+I6</f>
        <v>0</v>
      </c>
      <c r="K6" s="97">
        <f t="shared" ref="K6" si="28">+K5+J6</f>
        <v>0</v>
      </c>
      <c r="L6" s="97">
        <f t="shared" ref="L6" si="29">+L5+K6</f>
        <v>0</v>
      </c>
      <c r="M6" s="97">
        <f>+M5+L6</f>
        <v>0</v>
      </c>
      <c r="N6" s="97">
        <f t="shared" ref="N6" si="30">+N5+M6</f>
        <v>0</v>
      </c>
      <c r="O6" s="97">
        <f t="shared" ref="O6" si="31">+O5+N6</f>
        <v>0</v>
      </c>
      <c r="P6" s="97">
        <f t="shared" ref="P6" si="32">+P5+O6</f>
        <v>0</v>
      </c>
      <c r="Q6" s="97">
        <f t="shared" ref="Q6" si="33">+Q5+P6</f>
        <v>0</v>
      </c>
      <c r="R6" s="97">
        <f t="shared" ref="R6" si="34">+R5+Q6</f>
        <v>0</v>
      </c>
      <c r="S6" s="97">
        <f t="shared" ref="S6" si="35">+S5+R6</f>
        <v>0</v>
      </c>
      <c r="T6" s="97">
        <f t="shared" ref="T6" si="36">+T5+S6</f>
        <v>0</v>
      </c>
      <c r="U6" s="97">
        <f t="shared" ref="U6" si="37">+U5+T6</f>
        <v>0</v>
      </c>
      <c r="V6" s="97">
        <f t="shared" ref="V6" si="38">+V5+U6</f>
        <v>0</v>
      </c>
      <c r="W6" s="97">
        <f t="shared" ref="W6" si="39">+W5+V6</f>
        <v>0</v>
      </c>
      <c r="X6" s="97">
        <f t="shared" ref="X6" si="40">+X5+W6</f>
        <v>0</v>
      </c>
      <c r="Y6" s="97">
        <f t="shared" ref="Y6" si="41">+Y5+X6</f>
        <v>0</v>
      </c>
      <c r="Z6" s="97">
        <f t="shared" ref="Z6" si="42">+Z5+Y6</f>
        <v>0</v>
      </c>
      <c r="AA6" s="97">
        <f t="shared" ref="AA6" si="43">+AA5+Z6</f>
        <v>0</v>
      </c>
      <c r="AB6" s="97">
        <f t="shared" ref="AB6" si="44">+AB5+AA6</f>
        <v>0</v>
      </c>
      <c r="AC6" s="97">
        <f t="shared" ref="AC6" si="45">+AC5+AB6</f>
        <v>0</v>
      </c>
      <c r="AD6" s="97">
        <f t="shared" ref="AD6" si="46">+AD5+AC6</f>
        <v>0</v>
      </c>
      <c r="AE6" s="97">
        <f t="shared" ref="AE6" si="47">+AE5+AD6</f>
        <v>0</v>
      </c>
      <c r="AF6" s="97">
        <f t="shared" ref="AF6" si="48">+AF5+AE6</f>
        <v>0</v>
      </c>
      <c r="AG6" s="97">
        <f t="shared" ref="AG6" si="49">+AG5+AF6</f>
        <v>0</v>
      </c>
      <c r="AH6" s="97">
        <f t="shared" ref="AH6" si="50">+AH5+AG6</f>
        <v>0</v>
      </c>
      <c r="AI6" s="97">
        <f t="shared" ref="AI6" si="51">+AI5+AH6</f>
        <v>0</v>
      </c>
      <c r="AJ6" s="97">
        <f t="shared" ref="AJ6" si="52">+AJ5+AI6</f>
        <v>0</v>
      </c>
      <c r="AK6" s="97">
        <f t="shared" ref="AK6" si="53">+AK5+AJ6</f>
        <v>0</v>
      </c>
      <c r="AL6" s="97">
        <f t="shared" ref="AL6" si="54">+AL5+AK6</f>
        <v>0</v>
      </c>
      <c r="AM6" s="97">
        <f t="shared" ref="AM6" si="55">+AM5+AL6</f>
        <v>0</v>
      </c>
      <c r="AN6" s="97">
        <f t="shared" ref="AN6" si="56">+AN5+AM6</f>
        <v>0</v>
      </c>
      <c r="AO6" s="97">
        <f t="shared" ref="AO6" si="57">+AO5+AN6</f>
        <v>0</v>
      </c>
      <c r="AP6" s="97">
        <f t="shared" ref="AP6" si="58">+AP5+AO6</f>
        <v>0</v>
      </c>
      <c r="AQ6" s="97">
        <f t="shared" ref="AQ6" si="59">+AQ5+AP6</f>
        <v>0</v>
      </c>
      <c r="AR6" s="97">
        <f t="shared" ref="AR6" si="60">+AR5+AQ6</f>
        <v>0</v>
      </c>
      <c r="AS6" s="97">
        <f t="shared" ref="AS6" si="61">+AS5+AR6</f>
        <v>0</v>
      </c>
      <c r="AT6" s="97">
        <f t="shared" ref="AT6" si="62">+AT5+AS6</f>
        <v>0</v>
      </c>
      <c r="AU6" s="97">
        <f t="shared" ref="AU6" si="63">+AU5+AT6</f>
        <v>0</v>
      </c>
      <c r="AV6" s="97">
        <f t="shared" ref="AV6" si="64">+AV5+AU6</f>
        <v>0</v>
      </c>
      <c r="AW6" s="97">
        <f t="shared" ref="AW6" si="65">+AW5+AV6</f>
        <v>0</v>
      </c>
      <c r="AX6" s="97">
        <f t="shared" ref="AX6" si="66">+AX5+AW6</f>
        <v>0</v>
      </c>
      <c r="AY6" s="97">
        <f t="shared" ref="AY6" si="67">+AY5+AX6</f>
        <v>0</v>
      </c>
      <c r="AZ6" s="97">
        <f t="shared" ref="AZ6" si="68">+AZ5+AY6</f>
        <v>0</v>
      </c>
      <c r="BA6" s="97">
        <f t="shared" ref="BA6" si="69">+BA5+AZ6</f>
        <v>0</v>
      </c>
      <c r="BB6" s="97">
        <f t="shared" ref="BB6" si="70">+BB5+BA6</f>
        <v>0</v>
      </c>
      <c r="BC6" s="97">
        <f t="shared" ref="BC6" si="71">+BC5+BB6</f>
        <v>0</v>
      </c>
      <c r="BD6" s="97">
        <f t="shared" ref="BD6" si="72">+BD5+BC6</f>
        <v>0</v>
      </c>
    </row>
    <row r="7" spans="1:56" hidden="1" x14ac:dyDescent="0.2">
      <c r="A7" s="96"/>
      <c r="B7" s="93"/>
      <c r="C7" s="93"/>
      <c r="D7" s="93"/>
      <c r="E7" s="93"/>
      <c r="F7" s="93"/>
      <c r="G7" s="93"/>
      <c r="H7" s="93"/>
      <c r="I7" s="93"/>
      <c r="J7" s="93"/>
      <c r="K7" s="93"/>
      <c r="L7" s="95" t="s">
        <v>1</v>
      </c>
      <c r="M7" s="95" t="s">
        <v>2</v>
      </c>
      <c r="N7" s="94" t="s">
        <v>0</v>
      </c>
      <c r="O7" s="94" t="s">
        <v>0</v>
      </c>
      <c r="P7" s="94" t="s">
        <v>0</v>
      </c>
      <c r="Q7" s="94" t="s">
        <v>0</v>
      </c>
      <c r="R7" s="94" t="s">
        <v>0</v>
      </c>
      <c r="S7" s="94" t="s">
        <v>0</v>
      </c>
      <c r="T7" s="94" t="s">
        <v>0</v>
      </c>
      <c r="U7" s="94" t="s">
        <v>3</v>
      </c>
      <c r="V7" s="94" t="s">
        <v>0</v>
      </c>
      <c r="W7" s="94" t="s">
        <v>0</v>
      </c>
      <c r="X7" s="94" t="s">
        <v>0</v>
      </c>
      <c r="Y7" s="93"/>
      <c r="Z7" s="93"/>
      <c r="AA7" s="93"/>
      <c r="AB7" s="93"/>
      <c r="AC7" s="93"/>
      <c r="AD7" s="93"/>
      <c r="AE7" s="94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</row>
    <row r="8" spans="1:56" ht="20.25" hidden="1" customHeight="1" thickBot="1" x14ac:dyDescent="0.25">
      <c r="A8" s="92"/>
      <c r="B8" s="91"/>
      <c r="C8" s="90"/>
      <c r="D8" s="90"/>
      <c r="K8" s="95" t="s">
        <v>1</v>
      </c>
      <c r="L8" s="95" t="s">
        <v>2</v>
      </c>
    </row>
    <row r="9" spans="1:56" hidden="1" x14ac:dyDescent="0.2">
      <c r="A9" s="92"/>
      <c r="B9" s="91"/>
      <c r="C9" s="90"/>
      <c r="D9" s="90"/>
      <c r="G9" s="240" t="str">
        <f>B5</f>
        <v>220D-GAS</v>
      </c>
      <c r="H9" s="243" t="s">
        <v>9</v>
      </c>
      <c r="I9" s="60" t="s">
        <v>10</v>
      </c>
      <c r="J9" s="60">
        <f t="shared" ref="J9:L10" si="73">K5</f>
        <v>0</v>
      </c>
      <c r="K9" s="24">
        <f>L5</f>
        <v>0</v>
      </c>
      <c r="L9" s="60">
        <f>M5</f>
        <v>0</v>
      </c>
      <c r="M9" s="85" t="b">
        <f>K9=K11</f>
        <v>1</v>
      </c>
      <c r="N9" s="231">
        <f>K10-K12</f>
        <v>-36</v>
      </c>
      <c r="O9" s="232"/>
      <c r="P9" s="233"/>
    </row>
    <row r="10" spans="1:56" ht="13.5" hidden="1" thickBot="1" x14ac:dyDescent="0.25">
      <c r="A10" s="92"/>
      <c r="B10" s="91"/>
      <c r="C10" s="90"/>
      <c r="D10" s="90"/>
      <c r="G10" s="241"/>
      <c r="H10" s="244"/>
      <c r="I10" s="24" t="s">
        <v>11</v>
      </c>
      <c r="J10" s="24">
        <f t="shared" si="73"/>
        <v>0</v>
      </c>
      <c r="K10" s="24">
        <f t="shared" si="73"/>
        <v>0</v>
      </c>
      <c r="L10" s="24">
        <f t="shared" si="73"/>
        <v>0</v>
      </c>
      <c r="M10" s="87" t="b">
        <f>K10=K12</f>
        <v>0</v>
      </c>
      <c r="N10" s="234"/>
      <c r="O10" s="235"/>
      <c r="P10" s="236"/>
    </row>
    <row r="11" spans="1:56" hidden="1" x14ac:dyDescent="0.2">
      <c r="A11" s="92"/>
      <c r="B11" s="91"/>
      <c r="C11" s="90"/>
      <c r="D11" s="90"/>
      <c r="G11" s="241"/>
      <c r="H11" s="243" t="s">
        <v>12</v>
      </c>
      <c r="I11" s="86" t="s">
        <v>10</v>
      </c>
      <c r="J11" s="60"/>
      <c r="K11" s="60">
        <v>0</v>
      </c>
      <c r="L11" s="60"/>
      <c r="M11" s="85"/>
      <c r="N11" s="234"/>
      <c r="O11" s="235"/>
      <c r="P11" s="236"/>
    </row>
    <row r="12" spans="1:56" ht="13.5" hidden="1" thickBot="1" x14ac:dyDescent="0.25">
      <c r="A12" s="92"/>
      <c r="B12" s="91"/>
      <c r="C12" s="90"/>
      <c r="D12" s="90"/>
      <c r="G12" s="242"/>
      <c r="H12" s="244"/>
      <c r="I12" s="84" t="s">
        <v>11</v>
      </c>
      <c r="J12" s="61"/>
      <c r="K12" s="61">
        <v>36</v>
      </c>
      <c r="L12" s="61"/>
      <c r="M12" s="83"/>
      <c r="N12" s="237"/>
      <c r="O12" s="238"/>
      <c r="P12" s="239"/>
    </row>
    <row r="13" spans="1:56" hidden="1" x14ac:dyDescent="0.2">
      <c r="S13" s="89"/>
    </row>
    <row r="14" spans="1:56" hidden="1" x14ac:dyDescent="0.2">
      <c r="A14" s="96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5" t="s">
        <v>1</v>
      </c>
      <c r="M14" s="95" t="s">
        <v>2</v>
      </c>
      <c r="N14" s="94" t="s">
        <v>0</v>
      </c>
      <c r="O14" s="94" t="s">
        <v>0</v>
      </c>
      <c r="P14" s="94" t="s">
        <v>0</v>
      </c>
      <c r="Q14" s="94" t="s">
        <v>0</v>
      </c>
      <c r="R14" s="94" t="s">
        <v>0</v>
      </c>
      <c r="S14" s="94" t="s">
        <v>0</v>
      </c>
      <c r="T14" s="94" t="s">
        <v>0</v>
      </c>
      <c r="U14" s="94" t="s">
        <v>3</v>
      </c>
      <c r="V14" s="94" t="s">
        <v>0</v>
      </c>
      <c r="W14" s="94" t="s">
        <v>0</v>
      </c>
      <c r="X14" s="94" t="s">
        <v>0</v>
      </c>
      <c r="Y14" s="93"/>
      <c r="Z14" s="93"/>
      <c r="AA14" s="93"/>
      <c r="AB14" s="93"/>
      <c r="AC14" s="93"/>
      <c r="AD14" s="93"/>
      <c r="AE14" s="94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</row>
    <row r="15" spans="1:56" hidden="1" x14ac:dyDescent="0.2">
      <c r="A15" s="106" t="s">
        <v>6</v>
      </c>
      <c r="B15" s="105" t="s">
        <v>81</v>
      </c>
      <c r="C15" s="104" t="s">
        <v>7</v>
      </c>
      <c r="D15" s="103"/>
      <c r="E15" s="102">
        <f>SUMIFS('Final SR'!J:J,'Final SR'!$E:$E,TOTALss!#REF!,'Final SR'!$I:$I,'Final SR'!$I$12)</f>
        <v>0</v>
      </c>
      <c r="F15" s="102">
        <f>SUMIFS('Final SR'!K:K,'Final SR'!$E:$E,TOTALss!#REF!,'Final SR'!$I:$I,'Final SR'!$I$12)</f>
        <v>0</v>
      </c>
      <c r="G15" s="102">
        <f>SUMIFS('Final SR'!L:L,'Final SR'!$E:$E,TOTALss!#REF!,'Final SR'!$I:$I,'Final SR'!$I$12)</f>
        <v>0</v>
      </c>
      <c r="H15" s="102">
        <f>SUMIFS('Final SR'!M:M,'Final SR'!$E:$E,TOTALss!#REF!,'Final SR'!$I:$I,'Final SR'!$I$12)</f>
        <v>0</v>
      </c>
      <c r="I15" s="102">
        <f>SUMIFS('Final SR'!N:N,'Final SR'!$E:$E,TOTALss!#REF!,'Final SR'!$I:$I,'Final SR'!$I$12)</f>
        <v>0</v>
      </c>
      <c r="J15" s="102">
        <f>SUMIFS('Final SR'!O:O,'Final SR'!$E:$E,TOTALss!#REF!,'Final SR'!$I:$I,'Final SR'!$I$12)</f>
        <v>0</v>
      </c>
      <c r="K15" s="102">
        <f>SUMIFS('Final SR'!P:P,'Final SR'!$E:$E,TOTALss!#REF!,'Final SR'!$I:$I,'Final SR'!$I$12)</f>
        <v>0</v>
      </c>
      <c r="L15" s="102">
        <f>SUMIFS('Final SR'!Q:Q,'Final SR'!$E:$E,TOTALss!#REF!,'Final SR'!$I:$I,'Final SR'!$I$12)</f>
        <v>0</v>
      </c>
      <c r="M15" s="102">
        <f>SUMIFS('Final SR'!R:R,'Final SR'!$E:$E,TOTALss!#REF!,'Final SR'!$I:$I,'Final SR'!$I$12)</f>
        <v>0</v>
      </c>
      <c r="N15" s="102">
        <f>SUMIFS('Final SR'!S:S,'Final SR'!$E:$E,TOTALss!#REF!,'Final SR'!$I:$I,'Final SR'!$I$12)</f>
        <v>0</v>
      </c>
      <c r="O15" s="102">
        <f>SUMIFS('Final SR'!T:T,'Final SR'!$E:$E,TOTALss!#REF!,'Final SR'!$I:$I,'Final SR'!$I$12)</f>
        <v>0</v>
      </c>
      <c r="P15" s="102">
        <f>SUMIFS('Final SR'!U:U,'Final SR'!$E:$E,TOTALss!#REF!,'Final SR'!$I:$I,'Final SR'!$I$12)</f>
        <v>0</v>
      </c>
      <c r="Q15" s="102">
        <f>SUMIFS('Final SR'!V:V,'Final SR'!$E:$E,TOTALss!#REF!,'Final SR'!$I:$I,'Final SR'!$I$12)</f>
        <v>0</v>
      </c>
      <c r="R15" s="102">
        <f>SUMIFS('Final SR'!W:W,'Final SR'!$E:$E,TOTALss!#REF!,'Final SR'!$I:$I,'Final SR'!$I$12)</f>
        <v>0</v>
      </c>
      <c r="S15" s="102">
        <f>SUMIFS('Final SR'!X:X,'Final SR'!$E:$E,TOTALss!#REF!,'Final SR'!$I:$I,'Final SR'!$I$12)</f>
        <v>0</v>
      </c>
      <c r="T15" s="102">
        <f>SUMIFS('Final SR'!Y:Y,'Final SR'!$E:$E,TOTALss!#REF!,'Final SR'!$I:$I,'Final SR'!$I$12)</f>
        <v>0</v>
      </c>
      <c r="U15" s="102">
        <f>SUMIFS('Final SR'!Z:Z,'Final SR'!$E:$E,TOTALss!#REF!,'Final SR'!$I:$I,'Final SR'!$I$12)</f>
        <v>0</v>
      </c>
      <c r="V15" s="102">
        <f>SUMIFS('Final SR'!AA:AA,'Final SR'!$E:$E,TOTALss!#REF!,'Final SR'!$I:$I,'Final SR'!$I$12)</f>
        <v>0</v>
      </c>
      <c r="W15" s="102">
        <f>SUMIFS('Final SR'!AB:AB,'Final SR'!$E:$E,TOTALss!#REF!,'Final SR'!$I:$I,'Final SR'!$I$12)</f>
        <v>0</v>
      </c>
      <c r="X15" s="102">
        <f>SUMIFS('Final SR'!AC:AC,'Final SR'!$E:$E,TOTALss!#REF!,'Final SR'!$I:$I,'Final SR'!$I$12)</f>
        <v>0</v>
      </c>
      <c r="Y15" s="102">
        <f>SUMIFS('Final SR'!AD:AD,'Final SR'!$E:$E,TOTALss!#REF!,'Final SR'!$I:$I,'Final SR'!$I$12)</f>
        <v>0</v>
      </c>
      <c r="Z15" s="102">
        <f>SUMIFS('Final SR'!AE:AE,'Final SR'!$E:$E,TOTALss!#REF!,'Final SR'!$I:$I,'Final SR'!$I$12)</f>
        <v>0</v>
      </c>
      <c r="AA15" s="102">
        <f>SUMIFS('Final SR'!AF:AF,'Final SR'!$E:$E,TOTALss!#REF!,'Final SR'!$I:$I,'Final SR'!$I$12)</f>
        <v>0</v>
      </c>
      <c r="AB15" s="102">
        <f>SUMIFS('Final SR'!AG:AG,'Final SR'!$E:$E,TOTALss!#REF!,'Final SR'!$I:$I,'Final SR'!$I$12)</f>
        <v>0</v>
      </c>
      <c r="AC15" s="102">
        <f>SUMIFS('Final SR'!AH:AH,'Final SR'!$E:$E,TOTALss!#REF!,'Final SR'!$I:$I,'Final SR'!$I$12)</f>
        <v>0</v>
      </c>
      <c r="AD15" s="102">
        <f>SUMIFS('Final SR'!AI:AI,'Final SR'!$E:$E,TOTALss!#REF!,'Final SR'!$I:$I,'Final SR'!$I$12)</f>
        <v>0</v>
      </c>
      <c r="AE15" s="102">
        <f>SUMIFS('Final SR'!AJ:AJ,'Final SR'!$E:$E,TOTALss!#REF!,'Final SR'!$I:$I,'Final SR'!$I$12)</f>
        <v>0</v>
      </c>
      <c r="AF15" s="102">
        <f>SUMIFS('Final SR'!AK:AK,'Final SR'!$E:$E,TOTALss!#REF!,'Final SR'!$I:$I,'Final SR'!$I$12)</f>
        <v>0</v>
      </c>
      <c r="AG15" s="102">
        <f>SUMIFS('Final SR'!AL:AL,'Final SR'!$E:$E,TOTALss!#REF!,'Final SR'!$I:$I,'Final SR'!$I$12)</f>
        <v>0</v>
      </c>
      <c r="AH15" s="102">
        <f>SUMIFS('Final SR'!AM:AM,'Final SR'!$E:$E,TOTALss!#REF!,'Final SR'!$I:$I,'Final SR'!$I$12)</f>
        <v>0</v>
      </c>
      <c r="AI15" s="102">
        <f>SUMIFS('Final SR'!AN:AN,'Final SR'!$E:$E,TOTALss!#REF!,'Final SR'!$I:$I,'Final SR'!$I$12)</f>
        <v>0</v>
      </c>
      <c r="AJ15" s="102">
        <f>SUMIFS('Final SR'!AO:AO,'Final SR'!$E:$E,TOTALss!#REF!,'Final SR'!$I:$I,'Final SR'!$I$12)</f>
        <v>0</v>
      </c>
      <c r="AK15" s="102">
        <f>SUMIFS('Final SR'!AP:AP,'Final SR'!$E:$E,TOTALss!#REF!,'Final SR'!$I:$I,'Final SR'!$I$12)</f>
        <v>0</v>
      </c>
      <c r="AL15" s="102">
        <f>SUMIFS('Final SR'!AQ:AQ,'Final SR'!$E:$E,TOTALss!#REF!,'Final SR'!$I:$I,'Final SR'!$I$12)</f>
        <v>0</v>
      </c>
      <c r="AM15" s="102">
        <f>SUMIFS('Final SR'!AR:AR,'Final SR'!$E:$E,TOTALss!#REF!,'Final SR'!$I:$I,'Final SR'!$I$12)</f>
        <v>0</v>
      </c>
      <c r="AN15" s="102">
        <f>SUMIFS('Final SR'!AS:AS,'Final SR'!$E:$E,TOTALss!#REF!,'Final SR'!$I:$I,'Final SR'!$I$12)</f>
        <v>0</v>
      </c>
      <c r="AO15" s="102">
        <f>SUMIFS('Final SR'!AT:AT,'Final SR'!$E:$E,TOTALss!#REF!,'Final SR'!$I:$I,'Final SR'!$I$12)</f>
        <v>0</v>
      </c>
      <c r="AP15" s="102">
        <f>SUMIFS('Final SR'!AU:AU,'Final SR'!$E:$E,TOTALss!#REF!,'Final SR'!$I:$I,'Final SR'!$I$12)</f>
        <v>0</v>
      </c>
      <c r="AQ15" s="102">
        <f>SUMIFS('Final SR'!AV:AV,'Final SR'!$E:$E,TOTALss!#REF!,'Final SR'!$I:$I,'Final SR'!$I$12)</f>
        <v>0</v>
      </c>
      <c r="AR15" s="102">
        <f>SUMIFS('Final SR'!AW:AW,'Final SR'!$E:$E,TOTALss!#REF!,'Final SR'!$I:$I,'Final SR'!$I$12)</f>
        <v>0</v>
      </c>
      <c r="AS15" s="102">
        <f>SUMIFS('Final SR'!AX:AX,'Final SR'!$E:$E,TOTALss!#REF!,'Final SR'!$I:$I,'Final SR'!$I$12)</f>
        <v>0</v>
      </c>
      <c r="AT15" s="102">
        <f>SUMIFS('Final SR'!AY:AY,'Final SR'!$E:$E,TOTALss!#REF!,'Final SR'!$I:$I,'Final SR'!$I$12)</f>
        <v>0</v>
      </c>
      <c r="AU15" s="102">
        <f>SUMIFS('Final SR'!AZ:AZ,'Final SR'!$E:$E,TOTALss!#REF!,'Final SR'!$I:$I,'Final SR'!$I$12)</f>
        <v>0</v>
      </c>
      <c r="AV15" s="102">
        <f>SUMIFS('Final SR'!BA:BA,'Final SR'!$E:$E,TOTALss!#REF!,'Final SR'!$I:$I,'Final SR'!$I$12)</f>
        <v>0</v>
      </c>
      <c r="AW15" s="102">
        <f>SUMIFS('Final SR'!BB:BB,'Final SR'!$E:$E,TOTALss!#REF!,'Final SR'!$I:$I,'Final SR'!$I$12)</f>
        <v>0</v>
      </c>
      <c r="AX15" s="102">
        <f>SUMIFS('Final SR'!BC:BC,'Final SR'!$E:$E,TOTALss!#REF!,'Final SR'!$I:$I,'Final SR'!$I$12)</f>
        <v>0</v>
      </c>
      <c r="AY15" s="102">
        <f>SUMIFS('Final SR'!BD:BD,'Final SR'!$E:$E,TOTALss!#REF!,'Final SR'!$I:$I,'Final SR'!$I$12)</f>
        <v>0</v>
      </c>
      <c r="AZ15" s="102">
        <f>SUMIFS('Final SR'!BE:BE,'Final SR'!$E:$E,TOTALss!#REF!,'Final SR'!$I:$I,'Final SR'!$I$12)</f>
        <v>0</v>
      </c>
      <c r="BA15" s="102">
        <f>SUMIFS('Final SR'!BF:BF,'Final SR'!$E:$E,TOTALss!#REF!,'Final SR'!$I:$I,'Final SR'!$I$12)</f>
        <v>0</v>
      </c>
      <c r="BB15" s="102">
        <f>SUMIFS('Final SR'!BG:BG,'Final SR'!$E:$E,TOTALss!#REF!,'Final SR'!$I:$I,'Final SR'!$I$12)</f>
        <v>0</v>
      </c>
      <c r="BC15" s="102">
        <f>SUMIFS('Final SR'!BH:BH,'Final SR'!$E:$E,TOTALss!#REF!,'Final SR'!$I:$I,'Final SR'!$I$12)</f>
        <v>0</v>
      </c>
      <c r="BD15" s="102">
        <f>SUMIFS('Final SR'!BI:BI,'Final SR'!$E:$E,TOTALss!#REF!,'Final SR'!$I:$I,'Final SR'!$I$12)</f>
        <v>0</v>
      </c>
    </row>
    <row r="16" spans="1:56" hidden="1" x14ac:dyDescent="0.2">
      <c r="A16" s="101"/>
      <c r="B16" s="100"/>
      <c r="C16" s="99" t="s">
        <v>8</v>
      </c>
      <c r="D16" s="98"/>
      <c r="E16" s="97">
        <f>SUMIFS('Final SR'!J:J,'Final SR'!$E:$E,TOTALss!#REF!,'Final SR'!$I:$I,'Final SR'!$I$13)</f>
        <v>0</v>
      </c>
      <c r="F16" s="97">
        <f>SUMIFS('Final SR'!K:K,'Final SR'!$E:$E,TOTALss!#REF!,'Final SR'!$I:$I,'Final SR'!$I$13)</f>
        <v>0</v>
      </c>
      <c r="G16" s="97">
        <f>SUMIFS('Final SR'!L:L,'Final SR'!$E:$E,TOTALss!#REF!,'Final SR'!$I:$I,'Final SR'!$I$13)</f>
        <v>0</v>
      </c>
      <c r="H16" s="97">
        <f>SUMIFS('Final SR'!M:M,'Final SR'!$E:$E,TOTALss!#REF!,'Final SR'!$I:$I,'Final SR'!$I$13)</f>
        <v>0</v>
      </c>
      <c r="I16" s="97">
        <f>SUMIFS('Final SR'!N:N,'Final SR'!$E:$E,TOTALss!#REF!,'Final SR'!$I:$I,'Final SR'!$I$13)</f>
        <v>0</v>
      </c>
      <c r="J16" s="97">
        <f>SUMIFS('Final SR'!O:O,'Final SR'!$E:$E,TOTALss!#REF!,'Final SR'!$I:$I,'Final SR'!$I$13)</f>
        <v>0</v>
      </c>
      <c r="K16" s="97">
        <f>SUMIFS('Final SR'!P:P,'Final SR'!$E:$E,TOTALss!#REF!,'Final SR'!$I:$I,'Final SR'!$I$13)</f>
        <v>0</v>
      </c>
      <c r="L16" s="97">
        <f>SUMIFS('Final SR'!Q:Q,'Final SR'!$E:$E,TOTALss!#REF!,'Final SR'!$I:$I,'Final SR'!$I$13)</f>
        <v>0</v>
      </c>
      <c r="M16" s="97">
        <f>SUMIFS('Final SR'!R:R,'Final SR'!$E:$E,TOTALss!#REF!,'Final SR'!$I:$I,'Final SR'!$I$13)</f>
        <v>0</v>
      </c>
      <c r="N16" s="97">
        <f>SUMIFS('Final SR'!S:S,'Final SR'!$E:$E,TOTALss!#REF!,'Final SR'!$I:$I,'Final SR'!$I$13)</f>
        <v>0</v>
      </c>
      <c r="O16" s="97">
        <f>SUMIFS('Final SR'!T:T,'Final SR'!$E:$E,TOTALss!#REF!,'Final SR'!$I:$I,'Final SR'!$I$13)</f>
        <v>0</v>
      </c>
      <c r="P16" s="97">
        <f>SUMIFS('Final SR'!U:U,'Final SR'!$E:$E,TOTALss!#REF!,'Final SR'!$I:$I,'Final SR'!$I$13)</f>
        <v>0</v>
      </c>
      <c r="Q16" s="97">
        <f>SUMIFS('Final SR'!V:V,'Final SR'!$E:$E,TOTALss!#REF!,'Final SR'!$I:$I,'Final SR'!$I$13)</f>
        <v>0</v>
      </c>
      <c r="R16" s="97">
        <f>SUMIFS('Final SR'!W:W,'Final SR'!$E:$E,TOTALss!#REF!,'Final SR'!$I:$I,'Final SR'!$I$13)</f>
        <v>0</v>
      </c>
      <c r="S16" s="97">
        <f>SUMIFS('Final SR'!X:X,'Final SR'!$E:$E,TOTALss!#REF!,'Final SR'!$I:$I,'Final SR'!$I$13)</f>
        <v>0</v>
      </c>
      <c r="T16" s="97">
        <f>SUMIFS('Final SR'!Y:Y,'Final SR'!$E:$E,TOTALss!#REF!,'Final SR'!$I:$I,'Final SR'!$I$13)</f>
        <v>0</v>
      </c>
      <c r="U16" s="97">
        <f>SUMIFS('Final SR'!Z:Z,'Final SR'!$E:$E,TOTALss!#REF!,'Final SR'!$I:$I,'Final SR'!$I$13)</f>
        <v>0</v>
      </c>
      <c r="V16" s="97">
        <f>SUMIFS('Final SR'!AA:AA,'Final SR'!$E:$E,TOTALss!#REF!,'Final SR'!$I:$I,'Final SR'!$I$13)</f>
        <v>0</v>
      </c>
      <c r="W16" s="97">
        <f>SUMIFS('Final SR'!AB:AB,'Final SR'!$E:$E,TOTALss!#REF!,'Final SR'!$I:$I,'Final SR'!$I$13)</f>
        <v>0</v>
      </c>
      <c r="X16" s="97">
        <f>SUMIFS('Final SR'!AC:AC,'Final SR'!$E:$E,TOTALss!#REF!,'Final SR'!$I:$I,'Final SR'!$I$13)</f>
        <v>0</v>
      </c>
      <c r="Y16" s="97">
        <f>SUMIFS('Final SR'!AD:AD,'Final SR'!$E:$E,TOTALss!#REF!,'Final SR'!$I:$I,'Final SR'!$I$13)</f>
        <v>0</v>
      </c>
      <c r="Z16" s="97">
        <f>SUMIFS('Final SR'!AE:AE,'Final SR'!$E:$E,TOTALss!#REF!,'Final SR'!$I:$I,'Final SR'!$I$13)</f>
        <v>0</v>
      </c>
      <c r="AA16" s="97">
        <f>SUMIFS('Final SR'!AF:AF,'Final SR'!$E:$E,TOTALss!#REF!,'Final SR'!$I:$I,'Final SR'!$I$13)</f>
        <v>0</v>
      </c>
      <c r="AB16" s="97">
        <f>SUMIFS('Final SR'!AG:AG,'Final SR'!$E:$E,TOTALss!#REF!,'Final SR'!$I:$I,'Final SR'!$I$13)</f>
        <v>0</v>
      </c>
      <c r="AC16" s="97">
        <f>SUMIFS('Final SR'!AH:AH,'Final SR'!$E:$E,TOTALss!#REF!,'Final SR'!$I:$I,'Final SR'!$I$13)</f>
        <v>0</v>
      </c>
      <c r="AD16" s="97">
        <f>SUMIFS('Final SR'!AI:AI,'Final SR'!$E:$E,TOTALss!#REF!,'Final SR'!$I:$I,'Final SR'!$I$13)</f>
        <v>0</v>
      </c>
      <c r="AE16" s="97">
        <f>SUMIFS('Final SR'!AJ:AJ,'Final SR'!$E:$E,TOTALss!#REF!,'Final SR'!$I:$I,'Final SR'!$I$13)</f>
        <v>0</v>
      </c>
      <c r="AF16" s="97">
        <f>SUMIFS('Final SR'!AK:AK,'Final SR'!$E:$E,TOTALss!#REF!,'Final SR'!$I:$I,'Final SR'!$I$13)</f>
        <v>0</v>
      </c>
      <c r="AG16" s="97">
        <f>SUMIFS('Final SR'!AL:AL,'Final SR'!$E:$E,TOTALss!#REF!,'Final SR'!$I:$I,'Final SR'!$I$13)</f>
        <v>0</v>
      </c>
      <c r="AH16" s="97">
        <f>SUMIFS('Final SR'!AM:AM,'Final SR'!$E:$E,TOTALss!#REF!,'Final SR'!$I:$I,'Final SR'!$I$13)</f>
        <v>0</v>
      </c>
      <c r="AI16" s="97">
        <f>SUMIFS('Final SR'!AN:AN,'Final SR'!$E:$E,TOTALss!#REF!,'Final SR'!$I:$I,'Final SR'!$I$13)</f>
        <v>0</v>
      </c>
      <c r="AJ16" s="97">
        <f>SUMIFS('Final SR'!AO:AO,'Final SR'!$E:$E,TOTALss!#REF!,'Final SR'!$I:$I,'Final SR'!$I$13)</f>
        <v>0</v>
      </c>
      <c r="AK16" s="97">
        <f>SUMIFS('Final SR'!AP:AP,'Final SR'!$E:$E,TOTALss!#REF!,'Final SR'!$I:$I,'Final SR'!$I$13)</f>
        <v>0</v>
      </c>
      <c r="AL16" s="97">
        <f>SUMIFS('Final SR'!AQ:AQ,'Final SR'!$E:$E,TOTALss!#REF!,'Final SR'!$I:$I,'Final SR'!$I$13)</f>
        <v>0</v>
      </c>
      <c r="AM16" s="97">
        <f>SUMIFS('Final SR'!AR:AR,'Final SR'!$E:$E,TOTALss!#REF!,'Final SR'!$I:$I,'Final SR'!$I$13)</f>
        <v>0</v>
      </c>
      <c r="AN16" s="97">
        <f>SUMIFS('Final SR'!AS:AS,'Final SR'!$E:$E,TOTALss!#REF!,'Final SR'!$I:$I,'Final SR'!$I$13)</f>
        <v>0</v>
      </c>
      <c r="AO16" s="97">
        <f>SUMIFS('Final SR'!AT:AT,'Final SR'!$E:$E,TOTALss!#REF!,'Final SR'!$I:$I,'Final SR'!$I$13)</f>
        <v>0</v>
      </c>
      <c r="AP16" s="97">
        <f>SUMIFS('Final SR'!AU:AU,'Final SR'!$E:$E,TOTALss!#REF!,'Final SR'!$I:$I,'Final SR'!$I$13)</f>
        <v>0</v>
      </c>
      <c r="AQ16" s="97">
        <f>SUMIFS('Final SR'!AV:AV,'Final SR'!$E:$E,TOTALss!#REF!,'Final SR'!$I:$I,'Final SR'!$I$13)</f>
        <v>0</v>
      </c>
      <c r="AR16" s="97">
        <f>SUMIFS('Final SR'!AW:AW,'Final SR'!$E:$E,TOTALss!#REF!,'Final SR'!$I:$I,'Final SR'!$I$13)</f>
        <v>0</v>
      </c>
      <c r="AS16" s="97">
        <f>SUMIFS('Final SR'!AX:AX,'Final SR'!$E:$E,TOTALss!#REF!,'Final SR'!$I:$I,'Final SR'!$I$13)</f>
        <v>0</v>
      </c>
      <c r="AT16" s="97">
        <f>SUMIFS('Final SR'!AY:AY,'Final SR'!$E:$E,TOTALss!#REF!,'Final SR'!$I:$I,'Final SR'!$I$13)</f>
        <v>0</v>
      </c>
      <c r="AU16" s="97">
        <f>SUMIFS('Final SR'!AZ:AZ,'Final SR'!$E:$E,TOTALss!#REF!,'Final SR'!$I:$I,'Final SR'!$I$13)</f>
        <v>0</v>
      </c>
      <c r="AV16" s="97">
        <f>SUMIFS('Final SR'!BA:BA,'Final SR'!$E:$E,TOTALss!#REF!,'Final SR'!$I:$I,'Final SR'!$I$13)</f>
        <v>0</v>
      </c>
      <c r="AW16" s="97">
        <f>SUMIFS('Final SR'!BB:BB,'Final SR'!$E:$E,TOTALss!#REF!,'Final SR'!$I:$I,'Final SR'!$I$13)</f>
        <v>0</v>
      </c>
      <c r="AX16" s="97">
        <f>SUMIFS('Final SR'!BC:BC,'Final SR'!$E:$E,TOTALss!#REF!,'Final SR'!$I:$I,'Final SR'!$I$13)</f>
        <v>0</v>
      </c>
      <c r="AY16" s="97">
        <f>SUMIFS('Final SR'!BD:BD,'Final SR'!$E:$E,TOTALss!#REF!,'Final SR'!$I:$I,'Final SR'!$I$13)</f>
        <v>0</v>
      </c>
      <c r="AZ16" s="97">
        <f>SUMIFS('Final SR'!BE:BE,'Final SR'!$E:$E,TOTALss!#REF!,'Final SR'!$I:$I,'Final SR'!$I$13)</f>
        <v>0</v>
      </c>
      <c r="BA16" s="97">
        <f>SUMIFS('Final SR'!BF:BF,'Final SR'!$E:$E,TOTALss!#REF!,'Final SR'!$I:$I,'Final SR'!$I$13)</f>
        <v>0</v>
      </c>
      <c r="BB16" s="97">
        <f>SUMIFS('Final SR'!BG:BG,'Final SR'!$E:$E,TOTALss!#REF!,'Final SR'!$I:$I,'Final SR'!$I$13)</f>
        <v>0</v>
      </c>
      <c r="BC16" s="97">
        <f>SUMIFS('Final SR'!BH:BH,'Final SR'!$E:$E,TOTALss!#REF!,'Final SR'!$I:$I,'Final SR'!$I$13)</f>
        <v>0</v>
      </c>
      <c r="BD16" s="97">
        <f>SUMIFS('Final SR'!BI:BI,'Final SR'!$E:$E,TOTALss!#REF!,'Final SR'!$I:$I,'Final SR'!$I$13)</f>
        <v>0</v>
      </c>
    </row>
    <row r="17" spans="1:56" hidden="1" x14ac:dyDescent="0.2">
      <c r="A17" s="96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5" t="s">
        <v>1</v>
      </c>
      <c r="M17" s="95" t="s">
        <v>2</v>
      </c>
      <c r="N17" s="94" t="s">
        <v>0</v>
      </c>
      <c r="O17" s="94" t="s">
        <v>0</v>
      </c>
      <c r="P17" s="94" t="s">
        <v>0</v>
      </c>
      <c r="Q17" s="94" t="s">
        <v>0</v>
      </c>
      <c r="R17" s="94" t="s">
        <v>0</v>
      </c>
      <c r="S17" s="94" t="s">
        <v>0</v>
      </c>
      <c r="T17" s="94" t="s">
        <v>0</v>
      </c>
      <c r="U17" s="94" t="s">
        <v>3</v>
      </c>
      <c r="V17" s="94" t="s">
        <v>0</v>
      </c>
      <c r="W17" s="94" t="s">
        <v>0</v>
      </c>
      <c r="X17" s="94" t="s">
        <v>0</v>
      </c>
      <c r="Y17" s="93"/>
      <c r="Z17" s="93"/>
      <c r="AA17" s="93"/>
      <c r="AB17" s="93"/>
      <c r="AC17" s="93"/>
      <c r="AD17" s="93"/>
      <c r="AE17" s="94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</row>
    <row r="18" spans="1:56" ht="20.25" hidden="1" customHeight="1" thickBot="1" x14ac:dyDescent="0.25">
      <c r="A18" s="92"/>
      <c r="B18" s="91"/>
      <c r="C18" s="90"/>
      <c r="D18" s="90"/>
      <c r="K18" s="95" t="s">
        <v>1</v>
      </c>
      <c r="L18" s="95" t="s">
        <v>2</v>
      </c>
    </row>
    <row r="19" spans="1:56" hidden="1" x14ac:dyDescent="0.2">
      <c r="A19" s="92"/>
      <c r="B19" s="91"/>
      <c r="C19" s="90"/>
      <c r="D19" s="90"/>
      <c r="G19" s="240" t="str">
        <f>B15</f>
        <v>220D-HV</v>
      </c>
      <c r="H19" s="243" t="s">
        <v>9</v>
      </c>
      <c r="I19" s="60" t="s">
        <v>10</v>
      </c>
      <c r="J19" s="60">
        <f t="shared" ref="J19:L20" si="74">K15</f>
        <v>0</v>
      </c>
      <c r="K19" s="60">
        <f t="shared" si="74"/>
        <v>0</v>
      </c>
      <c r="L19" s="60">
        <f t="shared" si="74"/>
        <v>0</v>
      </c>
      <c r="M19" s="85" t="b">
        <f>K19=K21</f>
        <v>1</v>
      </c>
      <c r="N19" s="231">
        <f>K20-K22</f>
        <v>0</v>
      </c>
      <c r="O19" s="232"/>
      <c r="P19" s="233"/>
    </row>
    <row r="20" spans="1:56" ht="13.5" hidden="1" thickBot="1" x14ac:dyDescent="0.25">
      <c r="A20" s="92"/>
      <c r="B20" s="91"/>
      <c r="C20" s="90"/>
      <c r="D20" s="90"/>
      <c r="G20" s="241"/>
      <c r="H20" s="244"/>
      <c r="I20" s="24" t="s">
        <v>11</v>
      </c>
      <c r="J20" s="24">
        <f t="shared" si="74"/>
        <v>0</v>
      </c>
      <c r="K20" s="24">
        <f t="shared" si="74"/>
        <v>0</v>
      </c>
      <c r="L20" s="24">
        <f t="shared" si="74"/>
        <v>0</v>
      </c>
      <c r="M20" s="87" t="b">
        <f>K20=K22</f>
        <v>1</v>
      </c>
      <c r="N20" s="234"/>
      <c r="O20" s="235"/>
      <c r="P20" s="236"/>
    </row>
    <row r="21" spans="1:56" hidden="1" x14ac:dyDescent="0.2">
      <c r="A21" s="92"/>
      <c r="B21" s="91"/>
      <c r="C21" s="90"/>
      <c r="D21" s="90"/>
      <c r="G21" s="241"/>
      <c r="H21" s="243" t="s">
        <v>12</v>
      </c>
      <c r="I21" s="86" t="s">
        <v>10</v>
      </c>
      <c r="J21" s="60"/>
      <c r="K21" s="60">
        <v>0</v>
      </c>
      <c r="L21" s="60"/>
      <c r="M21" s="85"/>
      <c r="N21" s="234"/>
      <c r="O21" s="235"/>
      <c r="P21" s="236"/>
    </row>
    <row r="22" spans="1:56" ht="13.5" hidden="1" thickBot="1" x14ac:dyDescent="0.25">
      <c r="A22" s="92"/>
      <c r="B22" s="91"/>
      <c r="C22" s="90"/>
      <c r="D22" s="90"/>
      <c r="G22" s="242"/>
      <c r="H22" s="244"/>
      <c r="I22" s="84" t="s">
        <v>11</v>
      </c>
      <c r="J22" s="61"/>
      <c r="K22" s="61">
        <v>0</v>
      </c>
      <c r="L22" s="61"/>
      <c r="M22" s="83"/>
      <c r="N22" s="237"/>
      <c r="O22" s="238"/>
      <c r="P22" s="239"/>
    </row>
    <row r="23" spans="1:56" hidden="1" x14ac:dyDescent="0.2"/>
    <row r="24" spans="1:56" x14ac:dyDescent="0.2">
      <c r="A24" s="96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5" t="s">
        <v>1</v>
      </c>
      <c r="M24" s="95" t="s">
        <v>2</v>
      </c>
      <c r="N24" s="94" t="s">
        <v>0</v>
      </c>
      <c r="O24" s="94" t="s">
        <v>0</v>
      </c>
      <c r="P24" s="94" t="s">
        <v>0</v>
      </c>
      <c r="Q24" s="94" t="s">
        <v>0</v>
      </c>
      <c r="R24" s="94" t="s">
        <v>0</v>
      </c>
      <c r="S24" s="94" t="s">
        <v>0</v>
      </c>
      <c r="T24" s="94" t="s">
        <v>0</v>
      </c>
      <c r="U24" s="94" t="s">
        <v>3</v>
      </c>
      <c r="V24" s="94" t="s">
        <v>0</v>
      </c>
      <c r="W24" s="94" t="s">
        <v>0</v>
      </c>
      <c r="X24" s="94" t="s">
        <v>0</v>
      </c>
      <c r="Y24" s="93"/>
      <c r="Z24" s="93"/>
      <c r="AA24" s="93"/>
      <c r="AB24" s="93"/>
      <c r="AC24" s="93"/>
      <c r="AD24" s="93"/>
      <c r="AE24" s="94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</row>
    <row r="25" spans="1:56" x14ac:dyDescent="0.2">
      <c r="A25" s="106" t="s">
        <v>6</v>
      </c>
      <c r="B25" s="105" t="s">
        <v>211</v>
      </c>
      <c r="C25" s="104" t="s">
        <v>7</v>
      </c>
      <c r="D25" s="103"/>
      <c r="E25" s="102">
        <f>SUMIFS('Final SR'!J:J,'Final SR'!$E:$E,TOTALss!$B6,'Final SR'!$I:$I,'Final SR'!$I$12)</f>
        <v>6652</v>
      </c>
      <c r="F25" s="102">
        <f>SUMIFS('Final SR'!K:K,'Final SR'!$E:$E,TOTALss!$B6,'Final SR'!$I:$I,'Final SR'!$I$12)</f>
        <v>2784</v>
      </c>
      <c r="G25" s="102">
        <f>SUMIFS('Final SR'!L:L,'Final SR'!$E:$E,TOTALss!$B6,'Final SR'!$I:$I,'Final SR'!$I$12)</f>
        <v>2276</v>
      </c>
      <c r="H25" s="102">
        <f>SUMIFS('Final SR'!M:M,'Final SR'!$E:$E,TOTALss!$B6,'Final SR'!$I:$I,'Final SR'!$I$12)</f>
        <v>2648</v>
      </c>
      <c r="I25" s="102">
        <f>SUMIFS('Final SR'!N:N,'Final SR'!$E:$E,TOTALss!$B6,'Final SR'!$I:$I,'Final SR'!$I$12)</f>
        <v>2928</v>
      </c>
      <c r="J25" s="102">
        <f>SUMIFS('Final SR'!O:O,'Final SR'!$E:$E,TOTALss!$B6,'Final SR'!$I:$I,'Final SR'!$I$12)</f>
        <v>2688</v>
      </c>
      <c r="K25" s="102">
        <f>SUMIFS('Final SR'!P:P,'Final SR'!$E:$E,TOTALss!$B6,'Final SR'!$I:$I,'Final SR'!$I$12)</f>
        <v>3716</v>
      </c>
      <c r="L25" s="102">
        <f>SUMIFS('Final SR'!Q:Q,'Final SR'!$E:$E,TOTALss!$B6,'Final SR'!$I:$I,'Final SR'!$I$12)</f>
        <v>3720</v>
      </c>
      <c r="M25" s="102">
        <f>SUMIFS('Final SR'!R:R,'Final SR'!$E:$E,TOTALss!$B6,'Final SR'!$I:$I,'Final SR'!$I$12)</f>
        <v>0</v>
      </c>
      <c r="N25" s="102">
        <f>SUMIFS('Final SR'!S:S,'Final SR'!$E:$E,TOTALss!$B6,'Final SR'!$I:$I,'Final SR'!$I$12)</f>
        <v>2056</v>
      </c>
      <c r="O25" s="102">
        <f>SUMIFS('Final SR'!T:T,'Final SR'!$E:$E,TOTALss!$B6,'Final SR'!$I:$I,'Final SR'!$I$12)</f>
        <v>2640</v>
      </c>
      <c r="P25" s="102">
        <f>SUMIFS('Final SR'!U:U,'Final SR'!$E:$E,TOTALss!$B6,'Final SR'!$I:$I,'Final SR'!$I$12)</f>
        <v>2348</v>
      </c>
      <c r="Q25" s="102">
        <f>SUMIFS('Final SR'!V:V,'Final SR'!$E:$E,TOTALss!$B6,'Final SR'!$I:$I,'Final SR'!$I$12)</f>
        <v>1944</v>
      </c>
      <c r="R25" s="102">
        <f>SUMIFS('Final SR'!W:W,'Final SR'!$E:$E,TOTALss!$B6,'Final SR'!$I:$I,'Final SR'!$I$12)</f>
        <v>1620</v>
      </c>
      <c r="S25" s="102">
        <f>SUMIFS('Final SR'!X:X,'Final SR'!$E:$E,TOTALss!$B6,'Final SR'!$I:$I,'Final SR'!$I$12)</f>
        <v>1152</v>
      </c>
      <c r="T25" s="102">
        <f>SUMIFS('Final SR'!Y:Y,'Final SR'!$E:$E,TOTALss!$B6,'Final SR'!$I:$I,'Final SR'!$I$12)</f>
        <v>1192</v>
      </c>
      <c r="U25" s="102">
        <f>SUMIFS('Final SR'!Z:Z,'Final SR'!$E:$E,TOTALss!$B6,'Final SR'!$I:$I,'Final SR'!$I$12)</f>
        <v>1740</v>
      </c>
      <c r="V25" s="102">
        <f>SUMIFS('Final SR'!AA:AA,'Final SR'!$E:$E,TOTALss!$B6,'Final SR'!$I:$I,'Final SR'!$I$12)</f>
        <v>2184</v>
      </c>
      <c r="W25" s="102">
        <f>SUMIFS('Final SR'!AB:AB,'Final SR'!$E:$E,TOTALss!$B6,'Final SR'!$I:$I,'Final SR'!$I$12)</f>
        <v>2176</v>
      </c>
      <c r="X25" s="102">
        <f>SUMIFS('Final SR'!AC:AC,'Final SR'!$E:$E,TOTALss!$B6,'Final SR'!$I:$I,'Final SR'!$I$12)</f>
        <v>2180</v>
      </c>
      <c r="Y25" s="102">
        <f>SUMIFS('Final SR'!AD:AD,'Final SR'!$E:$E,TOTALss!$B6,'Final SR'!$I:$I,'Final SR'!$I$12)</f>
        <v>1656</v>
      </c>
      <c r="Z25" s="102">
        <f>SUMIFS('Final SR'!AE:AE,'Final SR'!$E:$E,TOTALss!$B6,'Final SR'!$I:$I,'Final SR'!$I$12)</f>
        <v>1704</v>
      </c>
      <c r="AA25" s="102">
        <f>SUMIFS('Final SR'!AF:AF,'Final SR'!$E:$E,TOTALss!$B6,'Final SR'!$I:$I,'Final SR'!$I$12)</f>
        <v>1804</v>
      </c>
      <c r="AB25" s="102">
        <f>SUMIFS('Final SR'!AG:AG,'Final SR'!$E:$E,TOTALss!$B6,'Final SR'!$I:$I,'Final SR'!$I$12)</f>
        <v>2096</v>
      </c>
      <c r="AC25" s="102">
        <f>SUMIFS('Final SR'!AH:AH,'Final SR'!$E:$E,TOTALss!$B6,'Final SR'!$I:$I,'Final SR'!$I$12)</f>
        <v>1508</v>
      </c>
      <c r="AD25" s="102">
        <f>SUMIFS('Final SR'!AI:AI,'Final SR'!$E:$E,TOTALss!$B6,'Final SR'!$I:$I,'Final SR'!$I$12)</f>
        <v>1908</v>
      </c>
      <c r="AE25" s="102">
        <f>SUMIFS('Final SR'!AJ:AJ,'Final SR'!$E:$E,TOTALss!$B6,'Final SR'!$I:$I,'Final SR'!$I$12)</f>
        <v>2364</v>
      </c>
      <c r="AF25" s="102">
        <f>SUMIFS('Final SR'!AK:AK,'Final SR'!$E:$E,TOTALss!$B6,'Final SR'!$I:$I,'Final SR'!$I$12)</f>
        <v>2360</v>
      </c>
      <c r="AG25" s="102">
        <f>SUMIFS('Final SR'!AL:AL,'Final SR'!$E:$E,TOTALss!$B6,'Final SR'!$I:$I,'Final SR'!$I$12)</f>
        <v>3076</v>
      </c>
      <c r="AH25" s="102">
        <f>SUMIFS('Final SR'!AM:AM,'Final SR'!$E:$E,TOTALss!$B6,'Final SR'!$I:$I,'Final SR'!$I$12)</f>
        <v>3012</v>
      </c>
      <c r="AI25" s="102">
        <f>SUMIFS('Final SR'!AN:AN,'Final SR'!$E:$E,TOTALss!$B6,'Final SR'!$I:$I,'Final SR'!$I$12)</f>
        <v>2904</v>
      </c>
      <c r="AJ25" s="102">
        <f>SUMIFS('Final SR'!AO:AO,'Final SR'!$E:$E,TOTALss!$B6,'Final SR'!$I:$I,'Final SR'!$I$12)</f>
        <v>2904</v>
      </c>
      <c r="AK25" s="102">
        <f>SUMIFS('Final SR'!AP:AP,'Final SR'!$E:$E,TOTALss!$B6,'Final SR'!$I:$I,'Final SR'!$I$12)</f>
        <v>2904</v>
      </c>
      <c r="AL25" s="102">
        <f>SUMIFS('Final SR'!AQ:AQ,'Final SR'!$E:$E,TOTALss!$B6,'Final SR'!$I:$I,'Final SR'!$I$12)</f>
        <v>2904</v>
      </c>
      <c r="AM25" s="102">
        <f>SUMIFS('Final SR'!AR:AR,'Final SR'!$E:$E,TOTALss!$B6,'Final SR'!$I:$I,'Final SR'!$I$12)</f>
        <v>2904</v>
      </c>
      <c r="AN25" s="102">
        <f>SUMIFS('Final SR'!AS:AS,'Final SR'!$E:$E,TOTALss!$B6,'Final SR'!$I:$I,'Final SR'!$I$12)</f>
        <v>2904</v>
      </c>
      <c r="AO25" s="102">
        <f>SUMIFS('Final SR'!AT:AT,'Final SR'!$E:$E,TOTALss!$B6,'Final SR'!$I:$I,'Final SR'!$I$12)</f>
        <v>2904</v>
      </c>
      <c r="AP25" s="102">
        <f>SUMIFS('Final SR'!AU:AU,'Final SR'!$E:$E,TOTALss!$B6,'Final SR'!$I:$I,'Final SR'!$I$12)</f>
        <v>2904</v>
      </c>
      <c r="AQ25" s="102">
        <f>SUMIFS('Final SR'!AV:AV,'Final SR'!$E:$E,TOTALss!$B6,'Final SR'!$I:$I,'Final SR'!$I$12)</f>
        <v>2904</v>
      </c>
      <c r="AR25" s="102">
        <f>SUMIFS('Final SR'!AW:AW,'Final SR'!$E:$E,TOTALss!$B6,'Final SR'!$I:$I,'Final SR'!$I$12)</f>
        <v>2904</v>
      </c>
      <c r="AS25" s="102">
        <f>SUMIFS('Final SR'!AX:AX,'Final SR'!$E:$E,TOTALss!$B6,'Final SR'!$I:$I,'Final SR'!$I$12)</f>
        <v>2904</v>
      </c>
      <c r="AT25" s="102">
        <f>SUMIFS('Final SR'!AY:AY,'Final SR'!$E:$E,TOTALss!$B6,'Final SR'!$I:$I,'Final SR'!$I$12)</f>
        <v>2904</v>
      </c>
      <c r="AU25" s="102">
        <f>SUMIFS('Final SR'!AZ:AZ,'Final SR'!$E:$E,TOTALss!$B6,'Final SR'!$I:$I,'Final SR'!$I$12)</f>
        <v>2904</v>
      </c>
      <c r="AV25" s="102">
        <f>SUMIFS('Final SR'!BA:BA,'Final SR'!$E:$E,TOTALss!$B6,'Final SR'!$I:$I,'Final SR'!$I$12)</f>
        <v>2904</v>
      </c>
      <c r="AW25" s="102">
        <f>SUMIFS('Final SR'!BB:BB,'Final SR'!$E:$E,TOTALss!$B6,'Final SR'!$I:$I,'Final SR'!$I$12)</f>
        <v>2904</v>
      </c>
      <c r="AX25" s="102">
        <f>SUMIFS('Final SR'!BC:BC,'Final SR'!$E:$E,TOTALss!$B6,'Final SR'!$I:$I,'Final SR'!$I$12)</f>
        <v>2904</v>
      </c>
      <c r="AY25" s="102">
        <f>SUMIFS('Final SR'!BD:BD,'Final SR'!$E:$E,TOTALss!$B6,'Final SR'!$I:$I,'Final SR'!$I$12)</f>
        <v>2904</v>
      </c>
      <c r="AZ25" s="102">
        <f>SUMIFS('Final SR'!BE:BE,'Final SR'!$E:$E,TOTALss!$B6,'Final SR'!$I:$I,'Final SR'!$I$12)</f>
        <v>2904</v>
      </c>
      <c r="BA25" s="102">
        <f>SUMIFS('Final SR'!BF:BF,'Final SR'!$E:$E,TOTALss!$B6,'Final SR'!$I:$I,'Final SR'!$I$12)</f>
        <v>2904</v>
      </c>
      <c r="BB25" s="102">
        <f>SUMIFS('Final SR'!BG:BG,'Final SR'!$E:$E,TOTALss!$B6,'Final SR'!$I:$I,'Final SR'!$I$12)</f>
        <v>2904</v>
      </c>
      <c r="BC25" s="102">
        <f>SUMIFS('Final SR'!BH:BH,'Final SR'!$E:$E,TOTALss!$B6,'Final SR'!$I:$I,'Final SR'!$I$12)</f>
        <v>2904</v>
      </c>
      <c r="BD25" s="102">
        <f>SUMIFS('Final SR'!BI:BI,'Final SR'!$E:$E,TOTALss!$B6,'Final SR'!$I:$I,'Final SR'!$I$12)</f>
        <v>2904</v>
      </c>
    </row>
    <row r="26" spans="1:56" x14ac:dyDescent="0.2">
      <c r="A26" s="101"/>
      <c r="B26" s="100"/>
      <c r="C26" s="99" t="s">
        <v>8</v>
      </c>
      <c r="D26" s="98"/>
      <c r="E26" s="97">
        <f>SUMIFS('Final SR'!J:J,'Final SR'!$E:$E,TOTALss!$B6,'Final SR'!$I:$I,'Final SR'!$I$13)</f>
        <v>102932</v>
      </c>
      <c r="F26" s="97">
        <f>SUMIFS('Final SR'!K:K,'Final SR'!$E:$E,TOTALss!$B6,'Final SR'!$I:$I,'Final SR'!$I$13)</f>
        <v>105716</v>
      </c>
      <c r="G26" s="97">
        <f>SUMIFS('Final SR'!L:L,'Final SR'!$E:$E,TOTALss!$B6,'Final SR'!$I:$I,'Final SR'!$I$13)</f>
        <v>107992</v>
      </c>
      <c r="H26" s="97">
        <f>SUMIFS('Final SR'!M:M,'Final SR'!$E:$E,TOTALss!$B6,'Final SR'!$I:$I,'Final SR'!$I$13)</f>
        <v>110640</v>
      </c>
      <c r="I26" s="97">
        <f>SUMIFS('Final SR'!N:N,'Final SR'!$E:$E,TOTALss!$B6,'Final SR'!$I:$I,'Final SR'!$I$13)</f>
        <v>113568</v>
      </c>
      <c r="J26" s="97">
        <f>SUMIFS('Final SR'!O:O,'Final SR'!$E:$E,TOTALss!$B6,'Final SR'!$I:$I,'Final SR'!$I$13)</f>
        <v>116256</v>
      </c>
      <c r="K26" s="97">
        <f>SUMIFS('Final SR'!P:P,'Final SR'!$E:$E,TOTALss!$B6,'Final SR'!$I:$I,'Final SR'!$I$13)</f>
        <v>119972</v>
      </c>
      <c r="L26" s="97">
        <f>SUMIFS('Final SR'!Q:Q,'Final SR'!$E:$E,TOTALss!$B6,'Final SR'!$I:$I,'Final SR'!$I$13)</f>
        <v>123692</v>
      </c>
      <c r="M26" s="97">
        <f>SUMIFS('Final SR'!R:R,'Final SR'!$E:$E,TOTALss!$B6,'Final SR'!$I:$I,'Final SR'!$I$13)</f>
        <v>123692</v>
      </c>
      <c r="N26" s="97">
        <f>SUMIFS('Final SR'!S:S,'Final SR'!$E:$E,TOTALss!$B6,'Final SR'!$I:$I,'Final SR'!$I$13)</f>
        <v>125748</v>
      </c>
      <c r="O26" s="97">
        <f>SUMIFS('Final SR'!T:T,'Final SR'!$E:$E,TOTALss!$B6,'Final SR'!$I:$I,'Final SR'!$I$13)</f>
        <v>128388</v>
      </c>
      <c r="P26" s="97">
        <f>SUMIFS('Final SR'!U:U,'Final SR'!$E:$E,TOTALss!$B6,'Final SR'!$I:$I,'Final SR'!$I$13)</f>
        <v>130736</v>
      </c>
      <c r="Q26" s="97">
        <f>SUMIFS('Final SR'!V:V,'Final SR'!$E:$E,TOTALss!$B6,'Final SR'!$I:$I,'Final SR'!$I$13)</f>
        <v>132680</v>
      </c>
      <c r="R26" s="97">
        <f>SUMIFS('Final SR'!W:W,'Final SR'!$E:$E,TOTALss!$B6,'Final SR'!$I:$I,'Final SR'!$I$13)</f>
        <v>134300</v>
      </c>
      <c r="S26" s="97">
        <f>SUMIFS('Final SR'!X:X,'Final SR'!$E:$E,TOTALss!$B6,'Final SR'!$I:$I,'Final SR'!$I$13)</f>
        <v>135452</v>
      </c>
      <c r="T26" s="97">
        <f>SUMIFS('Final SR'!Y:Y,'Final SR'!$E:$E,TOTALss!$B6,'Final SR'!$I:$I,'Final SR'!$I$13)</f>
        <v>136644</v>
      </c>
      <c r="U26" s="97">
        <f>SUMIFS('Final SR'!Z:Z,'Final SR'!$E:$E,TOTALss!$B6,'Final SR'!$I:$I,'Final SR'!$I$13)</f>
        <v>138384</v>
      </c>
      <c r="V26" s="97">
        <f>SUMIFS('Final SR'!AA:AA,'Final SR'!$E:$E,TOTALss!$B6,'Final SR'!$I:$I,'Final SR'!$I$13)</f>
        <v>140568</v>
      </c>
      <c r="W26" s="97">
        <f>SUMIFS('Final SR'!AB:AB,'Final SR'!$E:$E,TOTALss!$B6,'Final SR'!$I:$I,'Final SR'!$I$13)</f>
        <v>142744</v>
      </c>
      <c r="X26" s="97">
        <f>SUMIFS('Final SR'!AC:AC,'Final SR'!$E:$E,TOTALss!$B6,'Final SR'!$I:$I,'Final SR'!$I$13)</f>
        <v>144924</v>
      </c>
      <c r="Y26" s="97">
        <f>SUMIFS('Final SR'!AD:AD,'Final SR'!$E:$E,TOTALss!$B6,'Final SR'!$I:$I,'Final SR'!$I$13)</f>
        <v>146580</v>
      </c>
      <c r="Z26" s="97">
        <f>SUMIFS('Final SR'!AE:AE,'Final SR'!$E:$E,TOTALss!$B6,'Final SR'!$I:$I,'Final SR'!$I$13)</f>
        <v>148284</v>
      </c>
      <c r="AA26" s="97">
        <f>SUMIFS('Final SR'!AF:AF,'Final SR'!$E:$E,TOTALss!$B6,'Final SR'!$I:$I,'Final SR'!$I$13)</f>
        <v>150088</v>
      </c>
      <c r="AB26" s="97">
        <f>SUMIFS('Final SR'!AG:AG,'Final SR'!$E:$E,TOTALss!$B6,'Final SR'!$I:$I,'Final SR'!$I$13)</f>
        <v>152184</v>
      </c>
      <c r="AC26" s="97">
        <f>SUMIFS('Final SR'!AH:AH,'Final SR'!$E:$E,TOTALss!$B6,'Final SR'!$I:$I,'Final SR'!$I$13)</f>
        <v>153692</v>
      </c>
      <c r="AD26" s="97">
        <f>SUMIFS('Final SR'!AI:AI,'Final SR'!$E:$E,TOTALss!$B6,'Final SR'!$I:$I,'Final SR'!$I$13)</f>
        <v>155600</v>
      </c>
      <c r="AE26" s="97">
        <f>SUMIFS('Final SR'!AJ:AJ,'Final SR'!$E:$E,TOTALss!$B6,'Final SR'!$I:$I,'Final SR'!$I$13)</f>
        <v>157964</v>
      </c>
      <c r="AF26" s="97">
        <f>SUMIFS('Final SR'!AK:AK,'Final SR'!$E:$E,TOTALss!$B6,'Final SR'!$I:$I,'Final SR'!$I$13)</f>
        <v>160324</v>
      </c>
      <c r="AG26" s="97">
        <f>SUMIFS('Final SR'!AL:AL,'Final SR'!$E:$E,TOTALss!$B6,'Final SR'!$I:$I,'Final SR'!$I$13)</f>
        <v>163400</v>
      </c>
      <c r="AH26" s="97">
        <f>SUMIFS('Final SR'!AM:AM,'Final SR'!$E:$E,TOTALss!$B6,'Final SR'!$I:$I,'Final SR'!$I$13)</f>
        <v>166412</v>
      </c>
      <c r="AI26" s="97">
        <f>SUMIFS('Final SR'!AN:AN,'Final SR'!$E:$E,TOTALss!$B6,'Final SR'!$I:$I,'Final SR'!$I$13)</f>
        <v>169316</v>
      </c>
      <c r="AJ26" s="97">
        <f>SUMIFS('Final SR'!AO:AO,'Final SR'!$E:$E,TOTALss!$B6,'Final SR'!$I:$I,'Final SR'!$I$13)</f>
        <v>172220</v>
      </c>
      <c r="AK26" s="97">
        <f>SUMIFS('Final SR'!AP:AP,'Final SR'!$E:$E,TOTALss!$B6,'Final SR'!$I:$I,'Final SR'!$I$13)</f>
        <v>175124</v>
      </c>
      <c r="AL26" s="97">
        <f>SUMIFS('Final SR'!AQ:AQ,'Final SR'!$E:$E,TOTALss!$B6,'Final SR'!$I:$I,'Final SR'!$I$13)</f>
        <v>178028</v>
      </c>
      <c r="AM26" s="97">
        <f>SUMIFS('Final SR'!AR:AR,'Final SR'!$E:$E,TOTALss!$B6,'Final SR'!$I:$I,'Final SR'!$I$13)</f>
        <v>180932</v>
      </c>
      <c r="AN26" s="97">
        <f>SUMIFS('Final SR'!AS:AS,'Final SR'!$E:$E,TOTALss!$B6,'Final SR'!$I:$I,'Final SR'!$I$13)</f>
        <v>183836</v>
      </c>
      <c r="AO26" s="97">
        <f>SUMIFS('Final SR'!AT:AT,'Final SR'!$E:$E,TOTALss!$B6,'Final SR'!$I:$I,'Final SR'!$I$13)</f>
        <v>186740</v>
      </c>
      <c r="AP26" s="97">
        <f>SUMIFS('Final SR'!AU:AU,'Final SR'!$E:$E,TOTALss!$B6,'Final SR'!$I:$I,'Final SR'!$I$13)</f>
        <v>189644</v>
      </c>
      <c r="AQ26" s="97">
        <f>SUMIFS('Final SR'!AV:AV,'Final SR'!$E:$E,TOTALss!$B6,'Final SR'!$I:$I,'Final SR'!$I$13)</f>
        <v>192548</v>
      </c>
      <c r="AR26" s="97">
        <f>SUMIFS('Final SR'!AW:AW,'Final SR'!$E:$E,TOTALss!$B6,'Final SR'!$I:$I,'Final SR'!$I$13)</f>
        <v>195452</v>
      </c>
      <c r="AS26" s="97">
        <f>SUMIFS('Final SR'!AX:AX,'Final SR'!$E:$E,TOTALss!$B6,'Final SR'!$I:$I,'Final SR'!$I$13)</f>
        <v>198356</v>
      </c>
      <c r="AT26" s="97">
        <f>SUMIFS('Final SR'!AY:AY,'Final SR'!$E:$E,TOTALss!$B6,'Final SR'!$I:$I,'Final SR'!$I$13)</f>
        <v>201260</v>
      </c>
      <c r="AU26" s="97">
        <f>SUMIFS('Final SR'!AZ:AZ,'Final SR'!$E:$E,TOTALss!$B6,'Final SR'!$I:$I,'Final SR'!$I$13)</f>
        <v>204164</v>
      </c>
      <c r="AV26" s="97">
        <f>SUMIFS('Final SR'!BA:BA,'Final SR'!$E:$E,TOTALss!$B6,'Final SR'!$I:$I,'Final SR'!$I$13)</f>
        <v>207068</v>
      </c>
      <c r="AW26" s="97">
        <f>SUMIFS('Final SR'!BB:BB,'Final SR'!$E:$E,TOTALss!$B6,'Final SR'!$I:$I,'Final SR'!$I$13)</f>
        <v>209972</v>
      </c>
      <c r="AX26" s="97">
        <f>SUMIFS('Final SR'!BC:BC,'Final SR'!$E:$E,TOTALss!$B6,'Final SR'!$I:$I,'Final SR'!$I$13)</f>
        <v>212876</v>
      </c>
      <c r="AY26" s="97">
        <f>SUMIFS('Final SR'!BD:BD,'Final SR'!$E:$E,TOTALss!$B6,'Final SR'!$I:$I,'Final SR'!$I$13)</f>
        <v>215780</v>
      </c>
      <c r="AZ26" s="97">
        <f>SUMIFS('Final SR'!BE:BE,'Final SR'!$E:$E,TOTALss!$B6,'Final SR'!$I:$I,'Final SR'!$I$13)</f>
        <v>218684</v>
      </c>
      <c r="BA26" s="97">
        <f>SUMIFS('Final SR'!BF:BF,'Final SR'!$E:$E,TOTALss!$B6,'Final SR'!$I:$I,'Final SR'!$I$13)</f>
        <v>221588</v>
      </c>
      <c r="BB26" s="97">
        <f>SUMIFS('Final SR'!BG:BG,'Final SR'!$E:$E,TOTALss!$B6,'Final SR'!$I:$I,'Final SR'!$I$13)</f>
        <v>224492</v>
      </c>
      <c r="BC26" s="97">
        <f>SUMIFS('Final SR'!BH:BH,'Final SR'!$E:$E,TOTALss!$B6,'Final SR'!$I:$I,'Final SR'!$I$13)</f>
        <v>227396</v>
      </c>
      <c r="BD26" s="97">
        <f>SUMIFS('Final SR'!BI:BI,'Final SR'!$E:$E,TOTALss!$B6,'Final SR'!$I:$I,'Final SR'!$I$13)</f>
        <v>230300</v>
      </c>
    </row>
    <row r="27" spans="1:56" x14ac:dyDescent="0.2">
      <c r="A27" s="96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5" t="s">
        <v>1</v>
      </c>
      <c r="M27" s="95" t="s">
        <v>2</v>
      </c>
      <c r="N27" s="94" t="s">
        <v>0</v>
      </c>
      <c r="O27" s="94" t="s">
        <v>0</v>
      </c>
      <c r="P27" s="94" t="s">
        <v>0</v>
      </c>
      <c r="Q27" s="94" t="s">
        <v>0</v>
      </c>
      <c r="R27" s="94" t="s">
        <v>0</v>
      </c>
      <c r="S27" s="94" t="s">
        <v>0</v>
      </c>
      <c r="T27" s="94" t="s">
        <v>0</v>
      </c>
      <c r="U27" s="94" t="s">
        <v>3</v>
      </c>
      <c r="V27" s="94" t="s">
        <v>0</v>
      </c>
      <c r="W27" s="94" t="s">
        <v>0</v>
      </c>
      <c r="X27" s="94" t="s">
        <v>0</v>
      </c>
      <c r="Y27" s="93"/>
      <c r="Z27" s="93"/>
      <c r="AA27" s="93"/>
      <c r="AB27" s="93"/>
      <c r="AC27" s="93"/>
      <c r="AD27" s="93"/>
      <c r="AE27" s="94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</row>
    <row r="28" spans="1:56" ht="20.25" customHeight="1" thickBot="1" x14ac:dyDescent="0.25">
      <c r="A28" s="92"/>
      <c r="B28" s="91"/>
      <c r="C28" s="90"/>
      <c r="D28" s="90"/>
      <c r="K28" s="95" t="s">
        <v>1</v>
      </c>
      <c r="L28" s="95" t="s">
        <v>2</v>
      </c>
    </row>
    <row r="29" spans="1:56" x14ac:dyDescent="0.2">
      <c r="A29" s="92"/>
      <c r="B29" s="91"/>
      <c r="C29" s="90"/>
      <c r="D29" s="90"/>
      <c r="G29" s="240" t="str">
        <f>B25</f>
        <v>GAS</v>
      </c>
      <c r="H29" s="243" t="s">
        <v>9</v>
      </c>
      <c r="I29" s="60" t="s">
        <v>10</v>
      </c>
      <c r="J29" s="60">
        <f t="shared" ref="J29:L30" si="75">K25</f>
        <v>3716</v>
      </c>
      <c r="K29" s="60">
        <f t="shared" si="75"/>
        <v>3720</v>
      </c>
      <c r="L29" s="60">
        <f t="shared" si="75"/>
        <v>0</v>
      </c>
      <c r="M29" s="85" t="b">
        <f>K29=K31</f>
        <v>1</v>
      </c>
      <c r="N29" s="231">
        <f>K30-K32</f>
        <v>-176</v>
      </c>
      <c r="O29" s="232"/>
      <c r="P29" s="233"/>
    </row>
    <row r="30" spans="1:56" ht="13.5" thickBot="1" x14ac:dyDescent="0.25">
      <c r="A30" s="92"/>
      <c r="B30" s="91"/>
      <c r="C30" s="90"/>
      <c r="D30" s="90"/>
      <c r="G30" s="241"/>
      <c r="H30" s="244"/>
      <c r="I30" s="24" t="s">
        <v>11</v>
      </c>
      <c r="J30" s="24">
        <f t="shared" si="75"/>
        <v>119972</v>
      </c>
      <c r="K30" s="24">
        <f t="shared" si="75"/>
        <v>123692</v>
      </c>
      <c r="L30" s="24">
        <f t="shared" si="75"/>
        <v>123692</v>
      </c>
      <c r="M30" s="87" t="b">
        <f>K30=K32</f>
        <v>0</v>
      </c>
      <c r="N30" s="234"/>
      <c r="O30" s="249"/>
      <c r="P30" s="236"/>
    </row>
    <row r="31" spans="1:56" x14ac:dyDescent="0.2">
      <c r="A31" s="92"/>
      <c r="B31" s="91"/>
      <c r="C31" s="90"/>
      <c r="D31" s="90"/>
      <c r="G31" s="241"/>
      <c r="H31" s="243" t="s">
        <v>12</v>
      </c>
      <c r="I31" s="86" t="s">
        <v>10</v>
      </c>
      <c r="J31" s="60"/>
      <c r="K31" s="60">
        <v>3720</v>
      </c>
      <c r="L31" s="60"/>
      <c r="M31" s="85"/>
      <c r="N31" s="234"/>
      <c r="O31" s="249"/>
      <c r="P31" s="236"/>
    </row>
    <row r="32" spans="1:56" ht="13.5" thickBot="1" x14ac:dyDescent="0.25">
      <c r="A32" s="92"/>
      <c r="B32" s="91"/>
      <c r="C32" s="90"/>
      <c r="D32" s="90"/>
      <c r="G32" s="242"/>
      <c r="H32" s="244"/>
      <c r="I32" s="84" t="s">
        <v>11</v>
      </c>
      <c r="J32" s="61"/>
      <c r="K32" s="61">
        <v>123868</v>
      </c>
      <c r="L32" s="61"/>
      <c r="M32" s="83"/>
      <c r="N32" s="237"/>
      <c r="O32" s="238"/>
      <c r="P32" s="239"/>
    </row>
    <row r="33" spans="1:56" x14ac:dyDescent="0.2">
      <c r="A33" s="92"/>
      <c r="B33" s="91"/>
      <c r="C33" s="90"/>
      <c r="D33" s="90"/>
      <c r="G33" s="198"/>
      <c r="H33" s="199"/>
      <c r="I33" s="200"/>
      <c r="J33" s="200"/>
      <c r="K33" s="200"/>
      <c r="L33" s="200"/>
      <c r="M33" s="200"/>
      <c r="N33" s="201"/>
      <c r="O33" s="201"/>
      <c r="P33" s="201"/>
    </row>
    <row r="35" spans="1:56" x14ac:dyDescent="0.2">
      <c r="A35" s="92"/>
      <c r="B35" s="91"/>
      <c r="C35" s="90"/>
      <c r="D35" s="90"/>
      <c r="G35" s="198"/>
      <c r="H35" s="199"/>
      <c r="I35" s="200"/>
      <c r="J35" s="200"/>
      <c r="K35" s="200"/>
      <c r="L35" s="200"/>
      <c r="M35" s="200"/>
      <c r="N35" s="201"/>
      <c r="O35" s="201"/>
      <c r="P35" s="201"/>
    </row>
    <row r="36" spans="1:56" x14ac:dyDescent="0.2">
      <c r="A36" s="96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5" t="s">
        <v>1</v>
      </c>
      <c r="M36" s="95" t="s">
        <v>2</v>
      </c>
      <c r="N36" s="94" t="s">
        <v>0</v>
      </c>
      <c r="O36" s="94" t="s">
        <v>0</v>
      </c>
      <c r="P36" s="94" t="s">
        <v>0</v>
      </c>
      <c r="Q36" s="94" t="s">
        <v>0</v>
      </c>
      <c r="R36" s="94" t="s">
        <v>0</v>
      </c>
      <c r="S36" s="94" t="s">
        <v>0</v>
      </c>
      <c r="T36" s="94" t="s">
        <v>0</v>
      </c>
      <c r="U36" s="94" t="s">
        <v>3</v>
      </c>
      <c r="V36" s="94" t="s">
        <v>0</v>
      </c>
      <c r="W36" s="94" t="s">
        <v>0</v>
      </c>
      <c r="X36" s="94" t="s">
        <v>0</v>
      </c>
      <c r="Y36" s="93"/>
      <c r="Z36" s="93"/>
      <c r="AA36" s="93"/>
      <c r="AB36" s="93"/>
      <c r="AC36" s="93"/>
      <c r="AD36" s="93"/>
      <c r="AE36" s="94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</row>
    <row r="37" spans="1:56" x14ac:dyDescent="0.2">
      <c r="A37" s="106" t="s">
        <v>6</v>
      </c>
      <c r="B37" s="105" t="s">
        <v>171</v>
      </c>
      <c r="C37" s="104" t="s">
        <v>7</v>
      </c>
      <c r="D37" s="103"/>
      <c r="E37" s="202">
        <f>SUMIFS('Final SR'!J:J,'Final SR'!$E:$E,TOTALss!$B65,'Final SR'!$I:$I,'Final SR'!$I$12)</f>
        <v>3196</v>
      </c>
      <c r="F37" s="202">
        <f>SUMIFS('Final SR'!K:K,'Final SR'!$E:$E,TOTALss!$B65,'Final SR'!$I:$I,'Final SR'!$I$12)</f>
        <v>1112</v>
      </c>
      <c r="G37" s="202">
        <f>SUMIFS('Final SR'!L:L,'Final SR'!$E:$E,TOTALss!$B65,'Final SR'!$I:$I,'Final SR'!$I$12)</f>
        <v>836</v>
      </c>
      <c r="H37" s="202">
        <f>SUMIFS('Final SR'!M:M,'Final SR'!$E:$E,TOTALss!$B65,'Final SR'!$I:$I,'Final SR'!$I$12)</f>
        <v>1168</v>
      </c>
      <c r="I37" s="202">
        <f>SUMIFS('Final SR'!N:N,'Final SR'!$E:$E,TOTALss!$B65,'Final SR'!$I:$I,'Final SR'!$I$12)</f>
        <v>1520</v>
      </c>
      <c r="J37" s="202">
        <f>SUMIFS('Final SR'!O:O,'Final SR'!$E:$E,TOTALss!$B65,'Final SR'!$I:$I,'Final SR'!$I$12)</f>
        <v>1044</v>
      </c>
      <c r="K37" s="202">
        <f>SUMIFS('Final SR'!P:P,'Final SR'!$E:$E,TOTALss!$B65,'Final SR'!$I:$I,'Final SR'!$I$12)</f>
        <v>1224</v>
      </c>
      <c r="L37" s="202">
        <f>SUMIFS('Final SR'!Q:Q,'Final SR'!$E:$E,TOTALss!$B65,'Final SR'!$I:$I,'Final SR'!$I$12)</f>
        <v>1304</v>
      </c>
      <c r="M37" s="202">
        <f>SUMIFS('Final SR'!R:R,'Final SR'!$E:$E,TOTALss!$B65,'Final SR'!$I:$I,'Final SR'!$I$12)</f>
        <v>0</v>
      </c>
      <c r="N37" s="202">
        <f>SUMIFS('Final SR'!S:S,'Final SR'!$E:$E,TOTALss!$B65,'Final SR'!$I:$I,'Final SR'!$I$12)</f>
        <v>1144</v>
      </c>
      <c r="O37" s="202">
        <f>SUMIFS('Final SR'!T:T,'Final SR'!$E:$E,TOTALss!$B65,'Final SR'!$I:$I,'Final SR'!$I$12)</f>
        <v>560</v>
      </c>
      <c r="P37" s="202">
        <f>SUMIFS('Final SR'!U:U,'Final SR'!$E:$E,TOTALss!$B65,'Final SR'!$I:$I,'Final SR'!$I$12)</f>
        <v>848</v>
      </c>
      <c r="Q37" s="102">
        <f>SUMIFS('Final SR'!V:V,'Final SR'!$E:$E,TOTALss!$B65,'Final SR'!$I:$I,'Final SR'!$I$12)</f>
        <v>616</v>
      </c>
      <c r="R37" s="202">
        <f>SUMIFS('Final SR'!W:W,'Final SR'!$E:$E,TOTALss!$B65,'Final SR'!$I:$I,'Final SR'!$I$12)</f>
        <v>804</v>
      </c>
      <c r="S37" s="202">
        <f>SUMIFS('Final SR'!X:X,'Final SR'!$E:$E,TOTALss!$B65,'Final SR'!$I:$I,'Final SR'!$I$12)</f>
        <v>612</v>
      </c>
      <c r="T37" s="202">
        <f>SUMIFS('Final SR'!Y:Y,'Final SR'!$E:$E,TOTALss!$B65,'Final SR'!$I:$I,'Final SR'!$I$12)</f>
        <v>612</v>
      </c>
      <c r="U37" s="202">
        <f>SUMIFS('Final SR'!Z:Z,'Final SR'!$E:$E,TOTALss!$B65,'Final SR'!$I:$I,'Final SR'!$I$12)</f>
        <v>760</v>
      </c>
      <c r="V37" s="202">
        <f>SUMIFS('Final SR'!AA:AA,'Final SR'!$E:$E,TOTALss!$B65,'Final SR'!$I:$I,'Final SR'!$I$12)</f>
        <v>916</v>
      </c>
      <c r="W37" s="202">
        <f>SUMIFS('Final SR'!AB:AB,'Final SR'!$E:$E,TOTALss!$B65,'Final SR'!$I:$I,'Final SR'!$I$12)</f>
        <v>912</v>
      </c>
      <c r="X37" s="202">
        <f>SUMIFS('Final SR'!AC:AC,'Final SR'!$E:$E,TOTALss!$B65,'Final SR'!$I:$I,'Final SR'!$I$12)</f>
        <v>920</v>
      </c>
      <c r="Y37" s="202">
        <f>SUMIFS('Final SR'!AD:AD,'Final SR'!$E:$E,TOTALss!$B65,'Final SR'!$I:$I,'Final SR'!$I$12)</f>
        <v>808</v>
      </c>
      <c r="Z37" s="202">
        <f>SUMIFS('Final SR'!AE:AE,'Final SR'!$E:$E,TOTALss!$B65,'Final SR'!$I:$I,'Final SR'!$I$12)</f>
        <v>840</v>
      </c>
      <c r="AA37" s="202">
        <f>SUMIFS('Final SR'!AF:AF,'Final SR'!$E:$E,TOTALss!$B65,'Final SR'!$I:$I,'Final SR'!$I$12)</f>
        <v>708</v>
      </c>
      <c r="AB37" s="202">
        <f>SUMIFS('Final SR'!AG:AG,'Final SR'!$E:$E,TOTALss!$B65,'Final SR'!$I:$I,'Final SR'!$I$12)</f>
        <v>892</v>
      </c>
      <c r="AC37" s="202">
        <f>SUMIFS('Final SR'!AH:AH,'Final SR'!$E:$E,TOTALss!$B65,'Final SR'!$I:$I,'Final SR'!$I$12)</f>
        <v>612</v>
      </c>
      <c r="AD37" s="202">
        <f>SUMIFS('Final SR'!AI:AI,'Final SR'!$E:$E,TOTALss!$B65,'Final SR'!$I:$I,'Final SR'!$I$12)</f>
        <v>908</v>
      </c>
      <c r="AE37" s="202">
        <f>SUMIFS('Final SR'!AJ:AJ,'Final SR'!$E:$E,TOTALss!$B65,'Final SR'!$I:$I,'Final SR'!$I$12)</f>
        <v>872</v>
      </c>
      <c r="AF37" s="202">
        <f>SUMIFS('Final SR'!AK:AK,'Final SR'!$E:$E,TOTALss!$B65,'Final SR'!$I:$I,'Final SR'!$I$12)</f>
        <v>876</v>
      </c>
      <c r="AG37" s="202">
        <f>SUMIFS('Final SR'!AL:AL,'Final SR'!$E:$E,TOTALss!$B65,'Final SR'!$I:$I,'Final SR'!$I$12)</f>
        <v>1136</v>
      </c>
      <c r="AH37" s="202">
        <f>SUMIFS('Final SR'!AM:AM,'Final SR'!$E:$E,TOTALss!$B65,'Final SR'!$I:$I,'Final SR'!$I$12)</f>
        <v>1096</v>
      </c>
      <c r="AI37" s="202">
        <f>SUMIFS('Final SR'!AN:AN,'Final SR'!$E:$E,TOTALss!$B65,'Final SR'!$I:$I,'Final SR'!$I$12)</f>
        <v>1104</v>
      </c>
      <c r="AJ37" s="202">
        <f>SUMIFS('Final SR'!AO:AO,'Final SR'!$E:$E,TOTALss!$B65,'Final SR'!$I:$I,'Final SR'!$I$12)</f>
        <v>1104</v>
      </c>
      <c r="AK37" s="202">
        <f>SUMIFS('Final SR'!AP:AP,'Final SR'!$E:$E,TOTALss!$B65,'Final SR'!$I:$I,'Final SR'!$I$12)</f>
        <v>1104</v>
      </c>
      <c r="AL37" s="202">
        <f>SUMIFS('Final SR'!AQ:AQ,'Final SR'!$E:$E,TOTALss!$B65,'Final SR'!$I:$I,'Final SR'!$I$12)</f>
        <v>1104</v>
      </c>
      <c r="AM37" s="202">
        <f>SUMIFS('Final SR'!AR:AR,'Final SR'!$E:$E,TOTALss!$B65,'Final SR'!$I:$I,'Final SR'!$I$12)</f>
        <v>1104</v>
      </c>
      <c r="AN37" s="202">
        <f>SUMIFS('Final SR'!AS:AS,'Final SR'!$E:$E,TOTALss!$B65,'Final SR'!$I:$I,'Final SR'!$I$12)</f>
        <v>1104</v>
      </c>
      <c r="AO37" s="202">
        <f>SUMIFS('Final SR'!AT:AT,'Final SR'!$E:$E,TOTALss!$B65,'Final SR'!$I:$I,'Final SR'!$I$12)</f>
        <v>1104</v>
      </c>
      <c r="AP37" s="202">
        <f>SUMIFS('Final SR'!AU:AU,'Final SR'!$E:$E,TOTALss!$B65,'Final SR'!$I:$I,'Final SR'!$I$12)</f>
        <v>1104</v>
      </c>
      <c r="AQ37" s="202">
        <f>SUMIFS('Final SR'!AV:AV,'Final SR'!$E:$E,TOTALss!$B65,'Final SR'!$I:$I,'Final SR'!$I$12)</f>
        <v>1104</v>
      </c>
      <c r="AR37" s="202">
        <f>SUMIFS('Final SR'!AW:AW,'Final SR'!$E:$E,TOTALss!$B65,'Final SR'!$I:$I,'Final SR'!$I$12)</f>
        <v>1104</v>
      </c>
      <c r="AS37" s="202">
        <f>SUMIFS('Final SR'!AX:AX,'Final SR'!$E:$E,TOTALss!$B65,'Final SR'!$I:$I,'Final SR'!$I$12)</f>
        <v>1104</v>
      </c>
      <c r="AT37" s="202">
        <f>SUMIFS('Final SR'!AY:AY,'Final SR'!$E:$E,TOTALss!$B65,'Final SR'!$I:$I,'Final SR'!$I$12)</f>
        <v>1104</v>
      </c>
      <c r="AU37" s="202">
        <f>SUMIFS('Final SR'!AZ:AZ,'Final SR'!$E:$E,TOTALss!$B65,'Final SR'!$I:$I,'Final SR'!$I$12)</f>
        <v>1104</v>
      </c>
      <c r="AV37" s="202">
        <f>SUMIFS('Final SR'!BA:BA,'Final SR'!$E:$E,TOTALss!$B65,'Final SR'!$I:$I,'Final SR'!$I$12)</f>
        <v>1104</v>
      </c>
      <c r="AW37" s="202">
        <f>SUMIFS('Final SR'!BB:BB,'Final SR'!$E:$E,TOTALss!$B65,'Final SR'!$I:$I,'Final SR'!$I$12)</f>
        <v>1104</v>
      </c>
      <c r="AX37" s="202">
        <f>SUMIFS('Final SR'!BC:BC,'Final SR'!$E:$E,TOTALss!$B65,'Final SR'!$I:$I,'Final SR'!$I$12)</f>
        <v>1104</v>
      </c>
      <c r="AY37" s="202">
        <f>SUMIFS('Final SR'!BD:BD,'Final SR'!$E:$E,TOTALss!$B65,'Final SR'!$I:$I,'Final SR'!$I$12)</f>
        <v>1104</v>
      </c>
      <c r="AZ37" s="202">
        <f>SUMIFS('Final SR'!BE:BE,'Final SR'!$E:$E,TOTALss!$B65,'Final SR'!$I:$I,'Final SR'!$I$12)</f>
        <v>1104</v>
      </c>
      <c r="BA37" s="202">
        <f>SUMIFS('Final SR'!BF:BF,'Final SR'!$E:$E,TOTALss!$B65,'Final SR'!$I:$I,'Final SR'!$I$12)</f>
        <v>1104</v>
      </c>
      <c r="BB37" s="202">
        <f>SUMIFS('Final SR'!BG:BG,'Final SR'!$E:$E,TOTALss!$B65,'Final SR'!$I:$I,'Final SR'!$I$12)</f>
        <v>1104</v>
      </c>
      <c r="BC37" s="202">
        <f>SUMIFS('Final SR'!BH:BH,'Final SR'!$E:$E,TOTALss!$B65,'Final SR'!$I:$I,'Final SR'!$I$12)</f>
        <v>1104</v>
      </c>
      <c r="BD37" s="202">
        <f>SUMIFS('Final SR'!BI:BI,'Final SR'!$E:$E,TOTALss!$B65,'Final SR'!$I:$I,'Final SR'!$I$12)</f>
        <v>1104</v>
      </c>
    </row>
    <row r="38" spans="1:56" x14ac:dyDescent="0.2">
      <c r="A38" s="101"/>
      <c r="B38" s="100"/>
      <c r="C38" s="99" t="s">
        <v>8</v>
      </c>
      <c r="D38" s="98"/>
      <c r="E38" s="97">
        <f>SUMIFS('Final SR'!J:J,'Final SR'!$E:$E,TOTALss!$B65,'Final SR'!$I:$I,'Final SR'!$I$13)</f>
        <v>31424</v>
      </c>
      <c r="F38" s="97">
        <f>SUMIFS('Final SR'!K:K,'Final SR'!$E:$E,TOTALss!$B65,'Final SR'!$I:$I,'Final SR'!$I$13)</f>
        <v>32536</v>
      </c>
      <c r="G38" s="97">
        <f>SUMIFS('Final SR'!L:L,'Final SR'!$E:$E,TOTALss!$B65,'Final SR'!$I:$I,'Final SR'!$I$13)</f>
        <v>33372</v>
      </c>
      <c r="H38" s="97">
        <f>SUMIFS('Final SR'!M:M,'Final SR'!$E:$E,TOTALss!$B65,'Final SR'!$I:$I,'Final SR'!$I$13)</f>
        <v>34540</v>
      </c>
      <c r="I38" s="97">
        <f>SUMIFS('Final SR'!N:N,'Final SR'!$E:$E,TOTALss!$B65,'Final SR'!$I:$I,'Final SR'!$I$13)</f>
        <v>36060</v>
      </c>
      <c r="J38" s="97">
        <f>SUMIFS('Final SR'!O:O,'Final SR'!$E:$E,TOTALss!$B65,'Final SR'!$I:$I,'Final SR'!$I$13)</f>
        <v>37104</v>
      </c>
      <c r="K38" s="97">
        <f>SUMIFS('Final SR'!P:P,'Final SR'!$E:$E,TOTALss!$B65,'Final SR'!$I:$I,'Final SR'!$I$13)</f>
        <v>38328</v>
      </c>
      <c r="L38" s="97">
        <f>SUMIFS('Final SR'!Q:Q,'Final SR'!$E:$E,TOTALss!$B65,'Final SR'!$I:$I,'Final SR'!$I$13)</f>
        <v>39632</v>
      </c>
      <c r="M38" s="97">
        <f>SUMIFS('Final SR'!R:R,'Final SR'!$E:$E,TOTALss!$B65,'Final SR'!$I:$I,'Final SR'!$I$13)</f>
        <v>39632</v>
      </c>
      <c r="N38" s="97">
        <f>SUMIFS('Final SR'!S:S,'Final SR'!$E:$E,TOTALss!$B65,'Final SR'!$I:$I,'Final SR'!$I$13)</f>
        <v>40776</v>
      </c>
      <c r="O38" s="97">
        <f>SUMIFS('Final SR'!T:T,'Final SR'!$E:$E,TOTALss!$B65,'Final SR'!$I:$I,'Final SR'!$I$13)</f>
        <v>41336</v>
      </c>
      <c r="P38" s="97">
        <f>SUMIFS('Final SR'!U:U,'Final SR'!$E:$E,TOTALss!$B65,'Final SR'!$I:$I,'Final SR'!$I$13)</f>
        <v>42184</v>
      </c>
      <c r="Q38" s="97">
        <f>SUMIFS('Final SR'!V:V,'Final SR'!$E:$E,TOTALss!$B65,'Final SR'!$I:$I,'Final SR'!$I$13)</f>
        <v>42800</v>
      </c>
      <c r="R38" s="97">
        <f>SUMIFS('Final SR'!W:W,'Final SR'!$E:$E,TOTALss!$B65,'Final SR'!$I:$I,'Final SR'!$I$13)</f>
        <v>43604</v>
      </c>
      <c r="S38" s="97">
        <f>SUMIFS('Final SR'!X:X,'Final SR'!$E:$E,TOTALss!$B65,'Final SR'!$I:$I,'Final SR'!$I$13)</f>
        <v>44216</v>
      </c>
      <c r="T38" s="97">
        <f>SUMIFS('Final SR'!Y:Y,'Final SR'!$E:$E,TOTALss!$B65,'Final SR'!$I:$I,'Final SR'!$I$13)</f>
        <v>44828</v>
      </c>
      <c r="U38" s="97">
        <f>SUMIFS('Final SR'!Z:Z,'Final SR'!$E:$E,TOTALss!$B65,'Final SR'!$I:$I,'Final SR'!$I$13)</f>
        <v>45588</v>
      </c>
      <c r="V38" s="97">
        <f>SUMIFS('Final SR'!AA:AA,'Final SR'!$E:$E,TOTALss!$B65,'Final SR'!$I:$I,'Final SR'!$I$13)</f>
        <v>46504</v>
      </c>
      <c r="W38" s="97">
        <f>SUMIFS('Final SR'!AB:AB,'Final SR'!$E:$E,TOTALss!$B65,'Final SR'!$I:$I,'Final SR'!$I$13)</f>
        <v>47416</v>
      </c>
      <c r="X38" s="97">
        <f>SUMIFS('Final SR'!AC:AC,'Final SR'!$E:$E,TOTALss!$B65,'Final SR'!$I:$I,'Final SR'!$I$13)</f>
        <v>48336</v>
      </c>
      <c r="Y38" s="97">
        <f>SUMIFS('Final SR'!AD:AD,'Final SR'!$E:$E,TOTALss!$B65,'Final SR'!$I:$I,'Final SR'!$I$13)</f>
        <v>49144</v>
      </c>
      <c r="Z38" s="97">
        <f>SUMIFS('Final SR'!AE:AE,'Final SR'!$E:$E,TOTALss!$B65,'Final SR'!$I:$I,'Final SR'!$I$13)</f>
        <v>49984</v>
      </c>
      <c r="AA38" s="97">
        <f>SUMIFS('Final SR'!AF:AF,'Final SR'!$E:$E,TOTALss!$B65,'Final SR'!$I:$I,'Final SR'!$I$13)</f>
        <v>50692</v>
      </c>
      <c r="AB38" s="97">
        <f>SUMIFS('Final SR'!AG:AG,'Final SR'!$E:$E,TOTALss!$B65,'Final SR'!$I:$I,'Final SR'!$I$13)</f>
        <v>51584</v>
      </c>
      <c r="AC38" s="97">
        <f>SUMIFS('Final SR'!AH:AH,'Final SR'!$E:$E,TOTALss!$B65,'Final SR'!$I:$I,'Final SR'!$I$13)</f>
        <v>52196</v>
      </c>
      <c r="AD38" s="97">
        <f>SUMIFS('Final SR'!AI:AI,'Final SR'!$E:$E,TOTALss!$B65,'Final SR'!$I:$I,'Final SR'!$I$13)</f>
        <v>53104</v>
      </c>
      <c r="AE38" s="97">
        <f>SUMIFS('Final SR'!AJ:AJ,'Final SR'!$E:$E,TOTALss!$B65,'Final SR'!$I:$I,'Final SR'!$I$13)</f>
        <v>53976</v>
      </c>
      <c r="AF38" s="97">
        <f>SUMIFS('Final SR'!AK:AK,'Final SR'!$E:$E,TOTALss!$B65,'Final SR'!$I:$I,'Final SR'!$I$13)</f>
        <v>54852</v>
      </c>
      <c r="AG38" s="97">
        <f>SUMIFS('Final SR'!AL:AL,'Final SR'!$E:$E,TOTALss!$B65,'Final SR'!$I:$I,'Final SR'!$I$13)</f>
        <v>55988</v>
      </c>
      <c r="AH38" s="97">
        <f>SUMIFS('Final SR'!AM:AM,'Final SR'!$E:$E,TOTALss!$B65,'Final SR'!$I:$I,'Final SR'!$I$13)</f>
        <v>57084</v>
      </c>
      <c r="AI38" s="97">
        <f>SUMIFS('Final SR'!AN:AN,'Final SR'!$E:$E,TOTALss!$B65,'Final SR'!$I:$I,'Final SR'!$I$13)</f>
        <v>58188</v>
      </c>
      <c r="AJ38" s="97">
        <f>SUMIFS('Final SR'!AO:AO,'Final SR'!$E:$E,TOTALss!$B65,'Final SR'!$I:$I,'Final SR'!$I$13)</f>
        <v>59292</v>
      </c>
      <c r="AK38" s="97">
        <f>SUMIFS('Final SR'!AP:AP,'Final SR'!$E:$E,TOTALss!$B65,'Final SR'!$I:$I,'Final SR'!$I$13)</f>
        <v>60396</v>
      </c>
      <c r="AL38" s="97">
        <f>SUMIFS('Final SR'!AQ:AQ,'Final SR'!$E:$E,TOTALss!$B65,'Final SR'!$I:$I,'Final SR'!$I$13)</f>
        <v>61500</v>
      </c>
      <c r="AM38" s="97">
        <f>SUMIFS('Final SR'!AR:AR,'Final SR'!$E:$E,TOTALss!$B65,'Final SR'!$I:$I,'Final SR'!$I$13)</f>
        <v>62604</v>
      </c>
      <c r="AN38" s="97">
        <f>SUMIFS('Final SR'!AS:AS,'Final SR'!$E:$E,TOTALss!$B65,'Final SR'!$I:$I,'Final SR'!$I$13)</f>
        <v>63708</v>
      </c>
      <c r="AO38" s="97">
        <f>SUMIFS('Final SR'!AT:AT,'Final SR'!$E:$E,TOTALss!$B65,'Final SR'!$I:$I,'Final SR'!$I$13)</f>
        <v>64812</v>
      </c>
      <c r="AP38" s="97">
        <f>SUMIFS('Final SR'!AU:AU,'Final SR'!$E:$E,TOTALss!$B65,'Final SR'!$I:$I,'Final SR'!$I$13)</f>
        <v>65916</v>
      </c>
      <c r="AQ38" s="97">
        <f>SUMIFS('Final SR'!AV:AV,'Final SR'!$E:$E,TOTALss!$B65,'Final SR'!$I:$I,'Final SR'!$I$13)</f>
        <v>67020</v>
      </c>
      <c r="AR38" s="97">
        <f>SUMIFS('Final SR'!AW:AW,'Final SR'!$E:$E,TOTALss!$B65,'Final SR'!$I:$I,'Final SR'!$I$13)</f>
        <v>68124</v>
      </c>
      <c r="AS38" s="97">
        <f>SUMIFS('Final SR'!AX:AX,'Final SR'!$E:$E,TOTALss!$B65,'Final SR'!$I:$I,'Final SR'!$I$13)</f>
        <v>69228</v>
      </c>
      <c r="AT38" s="97">
        <f>SUMIFS('Final SR'!AY:AY,'Final SR'!$E:$E,TOTALss!$B65,'Final SR'!$I:$I,'Final SR'!$I$13)</f>
        <v>70332</v>
      </c>
      <c r="AU38" s="97">
        <f>SUMIFS('Final SR'!AZ:AZ,'Final SR'!$E:$E,TOTALss!$B65,'Final SR'!$I:$I,'Final SR'!$I$13)</f>
        <v>71436</v>
      </c>
      <c r="AV38" s="97">
        <f>SUMIFS('Final SR'!BA:BA,'Final SR'!$E:$E,TOTALss!$B65,'Final SR'!$I:$I,'Final SR'!$I$13)</f>
        <v>72540</v>
      </c>
      <c r="AW38" s="97">
        <f>SUMIFS('Final SR'!BB:BB,'Final SR'!$E:$E,TOTALss!$B65,'Final SR'!$I:$I,'Final SR'!$I$13)</f>
        <v>73644</v>
      </c>
      <c r="AX38" s="97">
        <f>SUMIFS('Final SR'!BC:BC,'Final SR'!$E:$E,TOTALss!$B65,'Final SR'!$I:$I,'Final SR'!$I$13)</f>
        <v>74748</v>
      </c>
      <c r="AY38" s="97">
        <f>SUMIFS('Final SR'!BD:BD,'Final SR'!$E:$E,TOTALss!$B65,'Final SR'!$I:$I,'Final SR'!$I$13)</f>
        <v>75852</v>
      </c>
      <c r="AZ38" s="97">
        <f>SUMIFS('Final SR'!BE:BE,'Final SR'!$E:$E,TOTALss!$B65,'Final SR'!$I:$I,'Final SR'!$I$13)</f>
        <v>76956</v>
      </c>
      <c r="BA38" s="97">
        <f>SUMIFS('Final SR'!BF:BF,'Final SR'!$E:$E,TOTALss!$B65,'Final SR'!$I:$I,'Final SR'!$I$13)</f>
        <v>78060</v>
      </c>
      <c r="BB38" s="97">
        <f>SUMIFS('Final SR'!BG:BG,'Final SR'!$E:$E,TOTALss!$B65,'Final SR'!$I:$I,'Final SR'!$I$13)</f>
        <v>79164</v>
      </c>
      <c r="BC38" s="97">
        <f>SUMIFS('Final SR'!BH:BH,'Final SR'!$E:$E,TOTALss!$B65,'Final SR'!$I:$I,'Final SR'!$I$13)</f>
        <v>80268</v>
      </c>
      <c r="BD38" s="97">
        <f>SUMIFS('Final SR'!BI:BI,'Final SR'!$E:$E,TOTALss!$B65,'Final SR'!$I:$I,'Final SR'!$I$13)</f>
        <v>81372</v>
      </c>
    </row>
    <row r="39" spans="1:56" x14ac:dyDescent="0.2">
      <c r="A39" s="96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5" t="s">
        <v>1</v>
      </c>
      <c r="M39" s="95" t="s">
        <v>2</v>
      </c>
      <c r="N39" s="94" t="s">
        <v>0</v>
      </c>
      <c r="O39" s="94" t="s">
        <v>0</v>
      </c>
      <c r="P39" s="94" t="s">
        <v>0</v>
      </c>
      <c r="Q39" s="94" t="s">
        <v>0</v>
      </c>
      <c r="R39" s="94" t="s">
        <v>0</v>
      </c>
      <c r="S39" s="94" t="s">
        <v>0</v>
      </c>
      <c r="T39" s="94" t="s">
        <v>0</v>
      </c>
      <c r="U39" s="94" t="s">
        <v>3</v>
      </c>
      <c r="V39" s="94" t="s">
        <v>0</v>
      </c>
      <c r="W39" s="94" t="s">
        <v>0</v>
      </c>
      <c r="X39" s="94" t="s">
        <v>0</v>
      </c>
      <c r="Y39" s="93"/>
      <c r="Z39" s="93"/>
      <c r="AA39" s="93"/>
      <c r="AB39" s="93"/>
      <c r="AC39" s="93"/>
      <c r="AD39" s="93"/>
      <c r="AE39" s="94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</row>
    <row r="40" spans="1:56" ht="20.25" customHeight="1" thickBot="1" x14ac:dyDescent="0.25">
      <c r="A40" s="92"/>
      <c r="B40" s="91"/>
      <c r="C40" s="90"/>
      <c r="D40" s="90"/>
      <c r="K40" s="95" t="s">
        <v>1</v>
      </c>
      <c r="L40" s="95" t="s">
        <v>2</v>
      </c>
    </row>
    <row r="41" spans="1:56" x14ac:dyDescent="0.2">
      <c r="A41" s="92"/>
      <c r="B41" s="91"/>
      <c r="C41" s="90"/>
      <c r="D41" s="90"/>
      <c r="G41" s="240" t="str">
        <f>B37</f>
        <v>491D-HV</v>
      </c>
      <c r="H41" s="243" t="s">
        <v>9</v>
      </c>
      <c r="I41" s="60" t="s">
        <v>10</v>
      </c>
      <c r="J41" s="60">
        <f t="shared" ref="J41:K42" si="76">K37</f>
        <v>1224</v>
      </c>
      <c r="K41" s="60">
        <f t="shared" si="76"/>
        <v>1304</v>
      </c>
      <c r="L41" s="60">
        <f t="shared" ref="L41:L42" si="77">M37</f>
        <v>0</v>
      </c>
      <c r="M41" s="85" t="b">
        <f>K41=K43</f>
        <v>1</v>
      </c>
      <c r="N41" s="231">
        <f>K42-K44</f>
        <v>0</v>
      </c>
      <c r="O41" s="232"/>
      <c r="P41" s="233"/>
    </row>
    <row r="42" spans="1:56" ht="13.5" thickBot="1" x14ac:dyDescent="0.25">
      <c r="A42" s="92"/>
      <c r="B42" s="91"/>
      <c r="C42" s="90"/>
      <c r="D42" s="90"/>
      <c r="G42" s="241"/>
      <c r="H42" s="244"/>
      <c r="I42" s="24" t="s">
        <v>11</v>
      </c>
      <c r="J42" s="24">
        <f t="shared" si="76"/>
        <v>38328</v>
      </c>
      <c r="K42" s="24">
        <f t="shared" si="76"/>
        <v>39632</v>
      </c>
      <c r="L42" s="24">
        <f t="shared" si="77"/>
        <v>39632</v>
      </c>
      <c r="M42" s="87" t="b">
        <f>K42=K44</f>
        <v>1</v>
      </c>
      <c r="N42" s="234"/>
      <c r="O42" s="249"/>
      <c r="P42" s="236"/>
    </row>
    <row r="43" spans="1:56" x14ac:dyDescent="0.2">
      <c r="A43" s="92"/>
      <c r="B43" s="91"/>
      <c r="C43" s="90"/>
      <c r="D43" s="90"/>
      <c r="G43" s="241"/>
      <c r="H43" s="243" t="s">
        <v>12</v>
      </c>
      <c r="I43" s="86" t="s">
        <v>10</v>
      </c>
      <c r="J43" s="60"/>
      <c r="K43" s="60">
        <v>1304</v>
      </c>
      <c r="L43" s="60"/>
      <c r="M43" s="85"/>
      <c r="N43" s="234"/>
      <c r="O43" s="249"/>
      <c r="P43" s="236"/>
    </row>
    <row r="44" spans="1:56" ht="13.5" thickBot="1" x14ac:dyDescent="0.25">
      <c r="A44" s="92"/>
      <c r="B44" s="91"/>
      <c r="C44" s="90"/>
      <c r="D44" s="90"/>
      <c r="G44" s="242"/>
      <c r="H44" s="244"/>
      <c r="I44" s="84" t="s">
        <v>11</v>
      </c>
      <c r="J44" s="61"/>
      <c r="K44" s="61">
        <v>39632</v>
      </c>
      <c r="L44" s="61"/>
      <c r="M44" s="83"/>
      <c r="N44" s="237"/>
      <c r="O44" s="238"/>
      <c r="P44" s="239"/>
    </row>
    <row r="45" spans="1:56" x14ac:dyDescent="0.2">
      <c r="A45" s="92"/>
      <c r="B45" s="91"/>
      <c r="C45" s="90"/>
      <c r="D45" s="90"/>
      <c r="G45" s="198"/>
      <c r="H45" s="199"/>
      <c r="I45" s="200"/>
      <c r="J45" s="200"/>
      <c r="K45" s="200"/>
      <c r="L45" s="200"/>
      <c r="M45" s="200"/>
      <c r="N45" s="201"/>
      <c r="O45" s="201"/>
      <c r="P45" s="201"/>
    </row>
    <row r="46" spans="1:56" x14ac:dyDescent="0.2">
      <c r="D46" s="215"/>
    </row>
    <row r="47" spans="1:56" x14ac:dyDescent="0.2">
      <c r="D47" s="216"/>
    </row>
  </sheetData>
  <mergeCells count="18">
    <mergeCell ref="N29:P32"/>
    <mergeCell ref="H31:H32"/>
    <mergeCell ref="H41:H42"/>
    <mergeCell ref="G41:G44"/>
    <mergeCell ref="N41:P44"/>
    <mergeCell ref="H43:H44"/>
    <mergeCell ref="G29:G32"/>
    <mergeCell ref="H29:H30"/>
    <mergeCell ref="C2:D2"/>
    <mergeCell ref="C3:D3"/>
    <mergeCell ref="G9:G12"/>
    <mergeCell ref="H9:H10"/>
    <mergeCell ref="H11:H12"/>
    <mergeCell ref="N9:P12"/>
    <mergeCell ref="G19:G22"/>
    <mergeCell ref="H19:H20"/>
    <mergeCell ref="N19:P22"/>
    <mergeCell ref="H21:H22"/>
  </mergeCells>
  <conditionalFormatting sqref="M9:M10">
    <cfRule type="containsText" dxfId="51" priority="11" operator="containsText" text="FALSE">
      <formula>NOT(ISERROR(SEARCH("FALSE",M9)))</formula>
    </cfRule>
    <cfRule type="containsText" dxfId="50" priority="12" operator="containsText" text="TRUE">
      <formula>NOT(ISERROR(SEARCH("TRUE",M9)))</formula>
    </cfRule>
  </conditionalFormatting>
  <conditionalFormatting sqref="M19:M20">
    <cfRule type="containsText" dxfId="49" priority="9" operator="containsText" text="FALSE">
      <formula>NOT(ISERROR(SEARCH("FALSE",M19)))</formula>
    </cfRule>
    <cfRule type="containsText" dxfId="48" priority="10" operator="containsText" text="TRUE">
      <formula>NOT(ISERROR(SEARCH("TRUE",M19)))</formula>
    </cfRule>
  </conditionalFormatting>
  <conditionalFormatting sqref="M29:M30">
    <cfRule type="containsText" dxfId="47" priority="7" operator="containsText" text="FALSE">
      <formula>NOT(ISERROR(SEARCH("FALSE",M29)))</formula>
    </cfRule>
    <cfRule type="containsText" dxfId="46" priority="8" operator="containsText" text="TRUE">
      <formula>NOT(ISERROR(SEARCH("TRUE",M29)))</formula>
    </cfRule>
  </conditionalFormatting>
  <conditionalFormatting sqref="M41:M42">
    <cfRule type="containsText" dxfId="45" priority="1" operator="containsText" text="FALSE">
      <formula>NOT(ISERROR(SEARCH("FALSE",M41)))</formula>
    </cfRule>
    <cfRule type="containsText" dxfId="44" priority="2" operator="containsText" text="TRUE">
      <formula>NOT(ISERROR(SEARCH("TRUE",M41)))</formula>
    </cfRule>
  </conditionalFormatting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D200"/>
  <sheetViews>
    <sheetView topLeftCell="B1" zoomScale="85" zoomScaleNormal="85" workbookViewId="0">
      <pane xSplit="3" ySplit="4" topLeftCell="E5" activePane="bottomRight" state="frozen"/>
      <selection activeCell="B1" sqref="B1"/>
      <selection pane="topRight" activeCell="E1" sqref="E1"/>
      <selection pane="bottomLeft" activeCell="B5" sqref="B5"/>
      <selection pane="bottomRight" activeCell="L38" sqref="L38"/>
    </sheetView>
  </sheetViews>
  <sheetFormatPr defaultColWidth="9.140625" defaultRowHeight="12.75" x14ac:dyDescent="0.2"/>
  <cols>
    <col min="1" max="1" width="3" style="24" customWidth="1"/>
    <col min="2" max="2" width="23.85546875" style="24" customWidth="1"/>
    <col min="3" max="3" width="20" style="24" customWidth="1"/>
    <col min="4" max="4" width="14.140625" style="24" customWidth="1"/>
    <col min="5" max="56" width="10.140625" style="24" customWidth="1"/>
    <col min="57" max="16384" width="9.140625" style="24"/>
  </cols>
  <sheetData>
    <row r="1" spans="1:56" x14ac:dyDescent="0.2">
      <c r="B1" s="250" t="s">
        <v>13</v>
      </c>
      <c r="C1" s="251"/>
      <c r="D1" s="252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</row>
    <row r="2" spans="1:56" x14ac:dyDescent="0.2">
      <c r="B2" s="250" t="s">
        <v>14</v>
      </c>
      <c r="C2" s="251"/>
      <c r="D2" s="252"/>
      <c r="E2" s="110"/>
      <c r="F2" s="110"/>
      <c r="G2" s="110"/>
      <c r="H2" s="110"/>
      <c r="I2" s="110"/>
      <c r="J2" s="110"/>
      <c r="K2" s="110"/>
      <c r="L2" s="110"/>
      <c r="M2" s="110"/>
      <c r="N2" s="110"/>
      <c r="X2" s="44"/>
      <c r="Y2" s="44"/>
      <c r="Z2" s="44"/>
      <c r="AA2" s="44"/>
      <c r="AB2" s="44"/>
    </row>
    <row r="3" spans="1:56" x14ac:dyDescent="0.2">
      <c r="C3" s="25"/>
      <c r="D3" s="26" t="s">
        <v>15</v>
      </c>
      <c r="E3" s="27">
        <f>'Final SR'!J10</f>
        <v>46041</v>
      </c>
      <c r="F3" s="27">
        <f>E3+7</f>
        <v>46048</v>
      </c>
      <c r="G3" s="27">
        <f t="shared" ref="G3:V4" si="0">F3+7</f>
        <v>46055</v>
      </c>
      <c r="H3" s="27">
        <f t="shared" si="0"/>
        <v>46062</v>
      </c>
      <c r="I3" s="27">
        <f t="shared" si="0"/>
        <v>46069</v>
      </c>
      <c r="J3" s="27">
        <f t="shared" si="0"/>
        <v>46076</v>
      </c>
      <c r="K3" s="27">
        <f t="shared" si="0"/>
        <v>46083</v>
      </c>
      <c r="L3" s="27">
        <f t="shared" si="0"/>
        <v>46090</v>
      </c>
      <c r="M3" s="27">
        <f t="shared" si="0"/>
        <v>46097</v>
      </c>
      <c r="N3" s="27">
        <f t="shared" si="0"/>
        <v>46104</v>
      </c>
      <c r="O3" s="27">
        <f t="shared" si="0"/>
        <v>46111</v>
      </c>
      <c r="P3" s="27">
        <f t="shared" si="0"/>
        <v>46118</v>
      </c>
      <c r="Q3" s="27">
        <f t="shared" si="0"/>
        <v>46125</v>
      </c>
      <c r="R3" s="27">
        <f t="shared" si="0"/>
        <v>46132</v>
      </c>
      <c r="S3" s="27">
        <f t="shared" si="0"/>
        <v>46139</v>
      </c>
      <c r="T3" s="27">
        <f t="shared" si="0"/>
        <v>46146</v>
      </c>
      <c r="U3" s="27">
        <f t="shared" si="0"/>
        <v>46153</v>
      </c>
      <c r="V3" s="27">
        <f t="shared" si="0"/>
        <v>46160</v>
      </c>
      <c r="W3" s="27">
        <f t="shared" ref="W3:AH4" si="1">V3+7</f>
        <v>46167</v>
      </c>
      <c r="X3" s="27">
        <f t="shared" si="1"/>
        <v>46174</v>
      </c>
      <c r="Y3" s="27">
        <f t="shared" si="1"/>
        <v>46181</v>
      </c>
      <c r="Z3" s="27">
        <f t="shared" si="1"/>
        <v>46188</v>
      </c>
      <c r="AA3" s="27">
        <f t="shared" si="1"/>
        <v>46195</v>
      </c>
      <c r="AB3" s="27">
        <f t="shared" si="1"/>
        <v>46202</v>
      </c>
      <c r="AC3" s="27">
        <f t="shared" si="1"/>
        <v>46209</v>
      </c>
      <c r="AD3" s="27">
        <f t="shared" si="1"/>
        <v>46216</v>
      </c>
      <c r="AE3" s="27">
        <f t="shared" si="1"/>
        <v>46223</v>
      </c>
      <c r="AF3" s="27">
        <f t="shared" si="1"/>
        <v>46230</v>
      </c>
      <c r="AG3" s="27">
        <f t="shared" si="1"/>
        <v>46237</v>
      </c>
      <c r="AH3" s="27">
        <f t="shared" si="1"/>
        <v>46244</v>
      </c>
      <c r="AI3" s="27">
        <f t="shared" ref="AI3:AI4" si="2">AH3+7</f>
        <v>46251</v>
      </c>
      <c r="AJ3" s="27">
        <f t="shared" ref="AJ3:AJ4" si="3">AI3+7</f>
        <v>46258</v>
      </c>
      <c r="AK3" s="27">
        <f t="shared" ref="AK3:AK4" si="4">AJ3+7</f>
        <v>46265</v>
      </c>
      <c r="AL3" s="27">
        <f t="shared" ref="AL3:AL4" si="5">AK3+7</f>
        <v>46272</v>
      </c>
      <c r="AM3" s="27">
        <f t="shared" ref="AM3:AM4" si="6">AL3+7</f>
        <v>46279</v>
      </c>
      <c r="AN3" s="27">
        <f t="shared" ref="AN3:AN4" si="7">AM3+7</f>
        <v>46286</v>
      </c>
      <c r="AO3" s="27">
        <f t="shared" ref="AO3:AO4" si="8">AN3+7</f>
        <v>46293</v>
      </c>
      <c r="AP3" s="27">
        <f t="shared" ref="AP3:AP4" si="9">AO3+7</f>
        <v>46300</v>
      </c>
      <c r="AQ3" s="27">
        <f t="shared" ref="AQ3:AQ4" si="10">AP3+7</f>
        <v>46307</v>
      </c>
      <c r="AR3" s="27">
        <f t="shared" ref="AR3:AR4" si="11">AQ3+7</f>
        <v>46314</v>
      </c>
      <c r="AS3" s="27">
        <f t="shared" ref="AS3:AS4" si="12">AR3+7</f>
        <v>46321</v>
      </c>
      <c r="AT3" s="27">
        <f t="shared" ref="AT3:AT4" si="13">AS3+7</f>
        <v>46328</v>
      </c>
      <c r="AU3" s="27">
        <f t="shared" ref="AU3:AU4" si="14">AT3+7</f>
        <v>46335</v>
      </c>
      <c r="AV3" s="27">
        <f t="shared" ref="AV3:AV4" si="15">AU3+7</f>
        <v>46342</v>
      </c>
      <c r="AW3" s="27">
        <f t="shared" ref="AW3:AW4" si="16">AV3+7</f>
        <v>46349</v>
      </c>
      <c r="AX3" s="27">
        <f t="shared" ref="AX3:AX4" si="17">AW3+7</f>
        <v>46356</v>
      </c>
      <c r="AY3" s="27">
        <f t="shared" ref="AY3:AY4" si="18">AX3+7</f>
        <v>46363</v>
      </c>
      <c r="AZ3" s="27">
        <f t="shared" ref="AZ3:AZ4" si="19">AY3+7</f>
        <v>46370</v>
      </c>
      <c r="BA3" s="27">
        <f t="shared" ref="BA3:BA4" si="20">AZ3+7</f>
        <v>46377</v>
      </c>
      <c r="BB3" s="27">
        <f t="shared" ref="BB3:BB4" si="21">BA3+7</f>
        <v>46384</v>
      </c>
      <c r="BC3" s="27">
        <f t="shared" ref="BC3:BC4" si="22">BB3+7</f>
        <v>46391</v>
      </c>
      <c r="BD3" s="27">
        <f t="shared" ref="BD3:BD4" si="23">BC3+7</f>
        <v>46398</v>
      </c>
    </row>
    <row r="4" spans="1:56" x14ac:dyDescent="0.2">
      <c r="C4" s="194"/>
      <c r="D4" s="195"/>
      <c r="E4" s="27">
        <f>'Final SR'!$J$11</f>
        <v>46083</v>
      </c>
      <c r="F4" s="27">
        <f>E4+7</f>
        <v>46090</v>
      </c>
      <c r="G4" s="27">
        <f t="shared" si="0"/>
        <v>46097</v>
      </c>
      <c r="H4" s="27">
        <f t="shared" si="0"/>
        <v>46104</v>
      </c>
      <c r="I4" s="27">
        <f t="shared" si="0"/>
        <v>46111</v>
      </c>
      <c r="J4" s="27">
        <f t="shared" si="0"/>
        <v>46118</v>
      </c>
      <c r="K4" s="27">
        <f t="shared" si="0"/>
        <v>46125</v>
      </c>
      <c r="L4" s="27">
        <f t="shared" si="0"/>
        <v>46132</v>
      </c>
      <c r="M4" s="27">
        <f t="shared" si="0"/>
        <v>46139</v>
      </c>
      <c r="N4" s="27">
        <f t="shared" si="0"/>
        <v>46146</v>
      </c>
      <c r="O4" s="27">
        <f t="shared" si="0"/>
        <v>46153</v>
      </c>
      <c r="P4" s="27">
        <f t="shared" si="0"/>
        <v>46160</v>
      </c>
      <c r="Q4" s="27">
        <f t="shared" si="0"/>
        <v>46167</v>
      </c>
      <c r="R4" s="27">
        <f t="shared" si="0"/>
        <v>46174</v>
      </c>
      <c r="S4" s="27">
        <f t="shared" si="0"/>
        <v>46181</v>
      </c>
      <c r="T4" s="27">
        <f t="shared" si="0"/>
        <v>46188</v>
      </c>
      <c r="U4" s="27">
        <f t="shared" si="0"/>
        <v>46195</v>
      </c>
      <c r="V4" s="27">
        <f t="shared" si="0"/>
        <v>46202</v>
      </c>
      <c r="W4" s="27">
        <f t="shared" si="1"/>
        <v>46209</v>
      </c>
      <c r="X4" s="27">
        <f t="shared" si="1"/>
        <v>46216</v>
      </c>
      <c r="Y4" s="27">
        <f t="shared" si="1"/>
        <v>46223</v>
      </c>
      <c r="Z4" s="27">
        <f t="shared" si="1"/>
        <v>46230</v>
      </c>
      <c r="AA4" s="27">
        <f t="shared" si="1"/>
        <v>46237</v>
      </c>
      <c r="AB4" s="27">
        <f t="shared" si="1"/>
        <v>46244</v>
      </c>
      <c r="AC4" s="27">
        <f t="shared" si="1"/>
        <v>46251</v>
      </c>
      <c r="AD4" s="27">
        <f t="shared" si="1"/>
        <v>46258</v>
      </c>
      <c r="AE4" s="27">
        <f t="shared" si="1"/>
        <v>46265</v>
      </c>
      <c r="AF4" s="27">
        <f t="shared" si="1"/>
        <v>46272</v>
      </c>
      <c r="AG4" s="27">
        <f t="shared" si="1"/>
        <v>46279</v>
      </c>
      <c r="AH4" s="27">
        <f t="shared" si="1"/>
        <v>46286</v>
      </c>
      <c r="AI4" s="27">
        <f t="shared" si="2"/>
        <v>46293</v>
      </c>
      <c r="AJ4" s="27">
        <f t="shared" si="3"/>
        <v>46300</v>
      </c>
      <c r="AK4" s="27">
        <f t="shared" si="4"/>
        <v>46307</v>
      </c>
      <c r="AL4" s="27">
        <f t="shared" si="5"/>
        <v>46314</v>
      </c>
      <c r="AM4" s="27">
        <f t="shared" si="6"/>
        <v>46321</v>
      </c>
      <c r="AN4" s="27">
        <f t="shared" si="7"/>
        <v>46328</v>
      </c>
      <c r="AO4" s="27">
        <f t="shared" si="8"/>
        <v>46335</v>
      </c>
      <c r="AP4" s="27">
        <f t="shared" si="9"/>
        <v>46342</v>
      </c>
      <c r="AQ4" s="27">
        <f t="shared" si="10"/>
        <v>46349</v>
      </c>
      <c r="AR4" s="27">
        <f t="shared" si="11"/>
        <v>46356</v>
      </c>
      <c r="AS4" s="27">
        <f t="shared" si="12"/>
        <v>46363</v>
      </c>
      <c r="AT4" s="27">
        <f t="shared" si="13"/>
        <v>46370</v>
      </c>
      <c r="AU4" s="27">
        <f t="shared" si="14"/>
        <v>46377</v>
      </c>
      <c r="AV4" s="27">
        <f t="shared" si="15"/>
        <v>46384</v>
      </c>
      <c r="AW4" s="27">
        <f t="shared" si="16"/>
        <v>46391</v>
      </c>
      <c r="AX4" s="27">
        <f t="shared" si="17"/>
        <v>46398</v>
      </c>
      <c r="AY4" s="27">
        <f t="shared" si="18"/>
        <v>46405</v>
      </c>
      <c r="AZ4" s="27">
        <f t="shared" si="19"/>
        <v>46412</v>
      </c>
      <c r="BA4" s="27">
        <f t="shared" si="20"/>
        <v>46419</v>
      </c>
      <c r="BB4" s="27">
        <f t="shared" si="21"/>
        <v>46426</v>
      </c>
      <c r="BC4" s="27">
        <f t="shared" si="22"/>
        <v>46433</v>
      </c>
      <c r="BD4" s="27">
        <f t="shared" si="23"/>
        <v>46440</v>
      </c>
    </row>
    <row r="5" spans="1:56" x14ac:dyDescent="0.2">
      <c r="A5" s="112"/>
      <c r="B5" s="113"/>
      <c r="C5" s="113"/>
      <c r="D5" s="113"/>
      <c r="E5" s="113" t="s">
        <v>0</v>
      </c>
      <c r="F5" s="113" t="s">
        <v>0</v>
      </c>
      <c r="G5" s="113" t="s">
        <v>0</v>
      </c>
      <c r="H5" s="113" t="s">
        <v>0</v>
      </c>
      <c r="I5" s="113" t="s">
        <v>0</v>
      </c>
      <c r="J5" s="113" t="s">
        <v>0</v>
      </c>
      <c r="K5" s="113" t="s">
        <v>0</v>
      </c>
      <c r="L5" s="114" t="s">
        <v>1</v>
      </c>
      <c r="M5" s="114" t="s">
        <v>2</v>
      </c>
      <c r="N5" s="114" t="s">
        <v>4</v>
      </c>
      <c r="O5" s="114" t="s">
        <v>0</v>
      </c>
      <c r="P5" s="114" t="s">
        <v>0</v>
      </c>
      <c r="Q5" s="114" t="s">
        <v>0</v>
      </c>
      <c r="R5" s="114" t="s">
        <v>0</v>
      </c>
      <c r="S5" s="114" t="s">
        <v>0</v>
      </c>
      <c r="T5" s="114" t="s">
        <v>0</v>
      </c>
      <c r="U5" s="114" t="s">
        <v>3</v>
      </c>
      <c r="V5" s="114" t="s">
        <v>0</v>
      </c>
      <c r="W5" s="114" t="s">
        <v>0</v>
      </c>
      <c r="X5" s="114" t="s">
        <v>0</v>
      </c>
      <c r="Y5" s="113" t="s">
        <v>0</v>
      </c>
      <c r="Z5" s="113" t="s">
        <v>0</v>
      </c>
      <c r="AA5" s="113" t="s">
        <v>0</v>
      </c>
      <c r="AB5" s="113" t="s">
        <v>0</v>
      </c>
      <c r="AC5" s="113" t="s">
        <v>0</v>
      </c>
      <c r="AD5" s="113" t="s">
        <v>0</v>
      </c>
      <c r="AE5" s="113" t="s">
        <v>0</v>
      </c>
      <c r="AF5" s="113" t="s">
        <v>0</v>
      </c>
      <c r="AG5" s="113" t="s">
        <v>0</v>
      </c>
      <c r="AH5" s="113" t="s">
        <v>4</v>
      </c>
      <c r="AI5" s="113" t="s">
        <v>4</v>
      </c>
      <c r="AJ5" s="113" t="s">
        <v>4</v>
      </c>
      <c r="AK5" s="113" t="s">
        <v>4</v>
      </c>
      <c r="AL5" s="113" t="s">
        <v>4</v>
      </c>
      <c r="AM5" s="113" t="s">
        <v>4</v>
      </c>
      <c r="AN5" s="113" t="s">
        <v>4</v>
      </c>
      <c r="AO5" s="113" t="s">
        <v>4</v>
      </c>
      <c r="AP5" s="113" t="s">
        <v>4</v>
      </c>
      <c r="AQ5" s="113" t="s">
        <v>4</v>
      </c>
      <c r="AR5" s="113" t="s">
        <v>4</v>
      </c>
      <c r="AS5" s="113" t="s">
        <v>4</v>
      </c>
      <c r="AT5" s="113" t="s">
        <v>4</v>
      </c>
      <c r="AU5" s="113" t="s">
        <v>4</v>
      </c>
      <c r="AV5" s="113" t="s">
        <v>4</v>
      </c>
      <c r="AW5" s="113" t="s">
        <v>4</v>
      </c>
      <c r="AX5" s="113" t="s">
        <v>4</v>
      </c>
      <c r="AY5" s="113" t="s">
        <v>4</v>
      </c>
      <c r="AZ5" s="113" t="s">
        <v>4</v>
      </c>
      <c r="BA5" s="113" t="s">
        <v>4</v>
      </c>
      <c r="BB5" s="113" t="s">
        <v>4</v>
      </c>
      <c r="BC5" s="113" t="s">
        <v>4</v>
      </c>
      <c r="BD5" s="113" t="s">
        <v>4</v>
      </c>
    </row>
    <row r="6" spans="1:56" x14ac:dyDescent="0.2">
      <c r="A6" s="28"/>
      <c r="B6" s="29" t="s">
        <v>211</v>
      </c>
      <c r="C6" s="115" t="s">
        <v>7</v>
      </c>
      <c r="D6" s="116"/>
      <c r="E6" s="111">
        <f>SUMIFS('Final SR'!J:J,'Final SR'!$E:$E,TOTALss!$B6,'Final SR'!$I:$I,'Final SR'!$I$12)</f>
        <v>6652</v>
      </c>
      <c r="F6" s="111">
        <f>SUMIFS('Final SR'!K:K,'Final SR'!$E:$E,TOTALss!$B6,'Final SR'!$I:$I,'Final SR'!$I$12)</f>
        <v>2784</v>
      </c>
      <c r="G6" s="111">
        <f>SUMIFS('Final SR'!L:L,'Final SR'!$E:$E,TOTALss!$B6,'Final SR'!$I:$I,'Final SR'!$I$12)</f>
        <v>2276</v>
      </c>
      <c r="H6" s="111">
        <f>SUMIFS('Final SR'!M:M,'Final SR'!$E:$E,TOTALss!$B6,'Final SR'!$I:$I,'Final SR'!$I$12)</f>
        <v>2648</v>
      </c>
      <c r="I6" s="111">
        <f>SUMIFS('Final SR'!N:N,'Final SR'!$E:$E,TOTALss!$B6,'Final SR'!$I:$I,'Final SR'!$I$12)</f>
        <v>2928</v>
      </c>
      <c r="J6" s="111">
        <f>SUMIFS('Final SR'!O:O,'Final SR'!$E:$E,TOTALss!$B6,'Final SR'!$I:$I,'Final SR'!$I$12)</f>
        <v>2688</v>
      </c>
      <c r="K6" s="111">
        <f>SUMIFS('Final SR'!P:P,'Final SR'!$E:$E,TOTALss!$B6,'Final SR'!$I:$I,'Final SR'!$I$12)</f>
        <v>3716</v>
      </c>
      <c r="L6" s="111">
        <f>SUMIFS('Final SR'!Q:Q,'Final SR'!$E:$E,TOTALss!$B6,'Final SR'!$I:$I,'Final SR'!$I$12)</f>
        <v>3720</v>
      </c>
      <c r="M6" s="111">
        <f>SUMIFS('Final SR'!R:R,'Final SR'!$E:$E,TOTALss!$B6,'Final SR'!$I:$I,'Final SR'!$I$12)</f>
        <v>0</v>
      </c>
      <c r="N6" s="111">
        <f>SUMIFS('Final SR'!S:S,'Final SR'!$E:$E,TOTALss!$B6,'Final SR'!$I:$I,'Final SR'!$I$12)</f>
        <v>2056</v>
      </c>
      <c r="O6" s="111">
        <f>SUMIFS('Final SR'!T:T,'Final SR'!$E:$E,TOTALss!$B6,'Final SR'!$I:$I,'Final SR'!$I$12)</f>
        <v>2640</v>
      </c>
      <c r="P6" s="111">
        <f>SUMIFS('Final SR'!U:U,'Final SR'!$E:$E,TOTALss!$B6,'Final SR'!$I:$I,'Final SR'!$I$12)</f>
        <v>2348</v>
      </c>
      <c r="Q6" s="111">
        <f>SUMIFS('Final SR'!V:V,'Final SR'!$E:$E,TOTALss!$B6,'Final SR'!$I:$I,'Final SR'!$I$12)</f>
        <v>1944</v>
      </c>
      <c r="R6" s="111">
        <f>SUMIFS('Final SR'!W:W,'Final SR'!$E:$E,TOTALss!$B6,'Final SR'!$I:$I,'Final SR'!$I$12)</f>
        <v>1620</v>
      </c>
      <c r="S6" s="111">
        <f>SUMIFS('Final SR'!X:X,'Final SR'!$E:$E,TOTALss!$B6,'Final SR'!$I:$I,'Final SR'!$I$12)</f>
        <v>1152</v>
      </c>
      <c r="T6" s="111">
        <f>SUMIFS('Final SR'!Y:Y,'Final SR'!$E:$E,TOTALss!$B6,'Final SR'!$I:$I,'Final SR'!$I$12)</f>
        <v>1192</v>
      </c>
      <c r="U6" s="111">
        <f>SUMIFS('Final SR'!Z:Z,'Final SR'!$E:$E,TOTALss!$B6,'Final SR'!$I:$I,'Final SR'!$I$12)</f>
        <v>1740</v>
      </c>
      <c r="V6" s="111">
        <f>SUMIFS('Final SR'!AA:AA,'Final SR'!$E:$E,TOTALss!$B6,'Final SR'!$I:$I,'Final SR'!$I$12)</f>
        <v>2184</v>
      </c>
      <c r="W6" s="111">
        <f>SUMIFS('Final SR'!AB:AB,'Final SR'!$E:$E,TOTALss!$B6,'Final SR'!$I:$I,'Final SR'!$I$12)</f>
        <v>2176</v>
      </c>
      <c r="X6" s="111">
        <f>SUMIFS('Final SR'!AC:AC,'Final SR'!$E:$E,TOTALss!$B6,'Final SR'!$I:$I,'Final SR'!$I$12)</f>
        <v>2180</v>
      </c>
      <c r="Y6" s="111">
        <f>SUMIFS('Final SR'!AD:AD,'Final SR'!$E:$E,TOTALss!$B6,'Final SR'!$I:$I,'Final SR'!$I$12)</f>
        <v>1656</v>
      </c>
      <c r="Z6" s="111">
        <f>SUMIFS('Final SR'!AE:AE,'Final SR'!$E:$E,TOTALss!$B6,'Final SR'!$I:$I,'Final SR'!$I$12)</f>
        <v>1704</v>
      </c>
      <c r="AA6" s="111">
        <f>SUMIFS('Final SR'!AF:AF,'Final SR'!$E:$E,TOTALss!$B6,'Final SR'!$I:$I,'Final SR'!$I$12)</f>
        <v>1804</v>
      </c>
      <c r="AB6" s="111">
        <f>SUMIFS('Final SR'!AG:AG,'Final SR'!$E:$E,TOTALss!$B6,'Final SR'!$I:$I,'Final SR'!$I$12)</f>
        <v>2096</v>
      </c>
      <c r="AC6" s="111">
        <f>SUMIFS('Final SR'!AH:AH,'Final SR'!$E:$E,TOTALss!$B6,'Final SR'!$I:$I,'Final SR'!$I$12)</f>
        <v>1508</v>
      </c>
      <c r="AD6" s="111">
        <f>SUMIFS('Final SR'!AI:AI,'Final SR'!$E:$E,TOTALss!$B6,'Final SR'!$I:$I,'Final SR'!$I$12)</f>
        <v>1908</v>
      </c>
      <c r="AE6" s="111">
        <f>SUMIFS('Final SR'!AJ:AJ,'Final SR'!$E:$E,TOTALss!$B6,'Final SR'!$I:$I,'Final SR'!$I$12)</f>
        <v>2364</v>
      </c>
      <c r="AF6" s="111">
        <f>SUMIFS('Final SR'!AK:AK,'Final SR'!$E:$E,TOTALss!$B6,'Final SR'!$I:$I,'Final SR'!$I$12)</f>
        <v>2360</v>
      </c>
      <c r="AG6" s="111">
        <f>SUMIFS('Final SR'!AL:AL,'Final SR'!$E:$E,TOTALss!$B6,'Final SR'!$I:$I,'Final SR'!$I$12)</f>
        <v>3076</v>
      </c>
      <c r="AH6" s="111">
        <f>SUMIFS('Final SR'!AM:AM,'Final SR'!$E:$E,TOTALss!$B6,'Final SR'!$I:$I,'Final SR'!$I$12)</f>
        <v>3012</v>
      </c>
      <c r="AI6" s="111">
        <f>SUMIFS('Final SR'!AN:AN,'Final SR'!$E:$E,TOTALss!$B6,'Final SR'!$I:$I,'Final SR'!$I$12)</f>
        <v>2904</v>
      </c>
      <c r="AJ6" s="111">
        <f>SUMIFS('Final SR'!AO:AO,'Final SR'!$E:$E,TOTALss!$B6,'Final SR'!$I:$I,'Final SR'!$I$12)</f>
        <v>2904</v>
      </c>
      <c r="AK6" s="111">
        <f>SUMIFS('Final SR'!AP:AP,'Final SR'!$E:$E,TOTALss!$B6,'Final SR'!$I:$I,'Final SR'!$I$12)</f>
        <v>2904</v>
      </c>
      <c r="AL6" s="111">
        <f>SUMIFS('Final SR'!AQ:AQ,'Final SR'!$E:$E,TOTALss!$B6,'Final SR'!$I:$I,'Final SR'!$I$12)</f>
        <v>2904</v>
      </c>
      <c r="AM6" s="111">
        <f>SUMIFS('Final SR'!AR:AR,'Final SR'!$E:$E,TOTALss!$B6,'Final SR'!$I:$I,'Final SR'!$I$12)</f>
        <v>2904</v>
      </c>
      <c r="AN6" s="111">
        <f>SUMIFS('Final SR'!AS:AS,'Final SR'!$E:$E,TOTALss!$B6,'Final SR'!$I:$I,'Final SR'!$I$12)</f>
        <v>2904</v>
      </c>
      <c r="AO6" s="111">
        <f>SUMIFS('Final SR'!AT:AT,'Final SR'!$E:$E,TOTALss!$B6,'Final SR'!$I:$I,'Final SR'!$I$12)</f>
        <v>2904</v>
      </c>
      <c r="AP6" s="111">
        <f>SUMIFS('Final SR'!AU:AU,'Final SR'!$E:$E,TOTALss!$B6,'Final SR'!$I:$I,'Final SR'!$I$12)</f>
        <v>2904</v>
      </c>
      <c r="AQ6" s="111">
        <f>SUMIFS('Final SR'!AV:AV,'Final SR'!$E:$E,TOTALss!$B6,'Final SR'!$I:$I,'Final SR'!$I$12)</f>
        <v>2904</v>
      </c>
      <c r="AR6" s="111">
        <f>SUMIFS('Final SR'!AW:AW,'Final SR'!$E:$E,TOTALss!$B6,'Final SR'!$I:$I,'Final SR'!$I$12)</f>
        <v>2904</v>
      </c>
      <c r="AS6" s="111">
        <f>SUMIFS('Final SR'!AX:AX,'Final SR'!$E:$E,TOTALss!$B6,'Final SR'!$I:$I,'Final SR'!$I$12)</f>
        <v>2904</v>
      </c>
      <c r="AT6" s="111">
        <f>SUMIFS('Final SR'!AY:AY,'Final SR'!$E:$E,TOTALss!$B6,'Final SR'!$I:$I,'Final SR'!$I$12)</f>
        <v>2904</v>
      </c>
      <c r="AU6" s="111">
        <f>SUMIFS('Final SR'!AZ:AZ,'Final SR'!$E:$E,TOTALss!$B6,'Final SR'!$I:$I,'Final SR'!$I$12)</f>
        <v>2904</v>
      </c>
      <c r="AV6" s="111">
        <f>SUMIFS('Final SR'!BA:BA,'Final SR'!$E:$E,TOTALss!$B6,'Final SR'!$I:$I,'Final SR'!$I$12)</f>
        <v>2904</v>
      </c>
      <c r="AW6" s="111">
        <f>SUMIFS('Final SR'!BB:BB,'Final SR'!$E:$E,TOTALss!$B6,'Final SR'!$I:$I,'Final SR'!$I$12)</f>
        <v>2904</v>
      </c>
      <c r="AX6" s="111">
        <f>SUMIFS('Final SR'!BC:BC,'Final SR'!$E:$E,TOTALss!$B6,'Final SR'!$I:$I,'Final SR'!$I$12)</f>
        <v>2904</v>
      </c>
      <c r="AY6" s="111">
        <f>SUMIFS('Final SR'!BD:BD,'Final SR'!$E:$E,TOTALss!$B6,'Final SR'!$I:$I,'Final SR'!$I$12)</f>
        <v>2904</v>
      </c>
      <c r="AZ6" s="111">
        <f>SUMIFS('Final SR'!BE:BE,'Final SR'!$E:$E,TOTALss!$B6,'Final SR'!$I:$I,'Final SR'!$I$12)</f>
        <v>2904</v>
      </c>
      <c r="BA6" s="111">
        <f>SUMIFS('Final SR'!BF:BF,'Final SR'!$E:$E,TOTALss!$B6,'Final SR'!$I:$I,'Final SR'!$I$12)</f>
        <v>2904</v>
      </c>
      <c r="BB6" s="111">
        <f>SUMIFS('Final SR'!BG:BG,'Final SR'!$E:$E,TOTALss!$B6,'Final SR'!$I:$I,'Final SR'!$I$12)</f>
        <v>2904</v>
      </c>
      <c r="BC6" s="111">
        <f>SUMIFS('Final SR'!BH:BH,'Final SR'!$E:$E,TOTALss!$B6,'Final SR'!$I:$I,'Final SR'!$I$12)</f>
        <v>2904</v>
      </c>
      <c r="BD6" s="111">
        <f>SUMIFS('Final SR'!BI:BI,'Final SR'!$E:$E,TOTALss!$B6,'Final SR'!$I:$I,'Final SR'!$I$12)</f>
        <v>2904</v>
      </c>
    </row>
    <row r="7" spans="1:56" x14ac:dyDescent="0.2">
      <c r="A7" s="30"/>
      <c r="B7" s="29"/>
      <c r="C7" s="115" t="s">
        <v>19</v>
      </c>
      <c r="D7" s="31"/>
      <c r="E7" s="111">
        <f>SUMIFS('Final SR'!J:J,'Final SR'!$E:$E,TOTALss!$B6,'Final SR'!$I:$I,'Final SR'!$I$13)</f>
        <v>102932</v>
      </c>
      <c r="F7" s="111">
        <f t="shared" ref="F7" si="24">+F6+E7</f>
        <v>105716</v>
      </c>
      <c r="G7" s="111">
        <f t="shared" ref="G7" si="25">+G6+F7</f>
        <v>107992</v>
      </c>
      <c r="H7" s="111">
        <f t="shared" ref="H7" si="26">+H6+G7</f>
        <v>110640</v>
      </c>
      <c r="I7" s="111">
        <f t="shared" ref="I7" si="27">+I6+H7</f>
        <v>113568</v>
      </c>
      <c r="J7" s="111">
        <f t="shared" ref="J7" si="28">+J6+I7</f>
        <v>116256</v>
      </c>
      <c r="K7" s="111">
        <f t="shared" ref="K7" si="29">+K6+J7</f>
        <v>119972</v>
      </c>
      <c r="L7" s="111">
        <f t="shared" ref="L7" si="30">+L6+K7</f>
        <v>123692</v>
      </c>
      <c r="M7" s="111">
        <f t="shared" ref="M7" si="31">+M6+L7</f>
        <v>123692</v>
      </c>
      <c r="N7" s="111">
        <f t="shared" ref="N7" si="32">+N6+M7</f>
        <v>125748</v>
      </c>
      <c r="O7" s="111">
        <f t="shared" ref="O7" si="33">+O6+N7</f>
        <v>128388</v>
      </c>
      <c r="P7" s="111">
        <f t="shared" ref="P7" si="34">+P6+O7</f>
        <v>130736</v>
      </c>
      <c r="Q7" s="111">
        <f t="shared" ref="Q7" si="35">+Q6+P7</f>
        <v>132680</v>
      </c>
      <c r="R7" s="111">
        <f t="shared" ref="R7" si="36">+R6+Q7</f>
        <v>134300</v>
      </c>
      <c r="S7" s="111">
        <f t="shared" ref="S7" si="37">+S6+R7</f>
        <v>135452</v>
      </c>
      <c r="T7" s="111">
        <f t="shared" ref="T7" si="38">+T6+S7</f>
        <v>136644</v>
      </c>
      <c r="U7" s="111">
        <f t="shared" ref="U7" si="39">+U6+T7</f>
        <v>138384</v>
      </c>
      <c r="V7" s="111">
        <f t="shared" ref="V7" si="40">+V6+U7</f>
        <v>140568</v>
      </c>
      <c r="W7" s="111">
        <f t="shared" ref="W7" si="41">+W6+V7</f>
        <v>142744</v>
      </c>
      <c r="X7" s="111">
        <f t="shared" ref="X7" si="42">+X6+W7</f>
        <v>144924</v>
      </c>
      <c r="Y7" s="111">
        <f t="shared" ref="Y7" si="43">+Y6+X7</f>
        <v>146580</v>
      </c>
      <c r="Z7" s="111">
        <f t="shared" ref="Z7" si="44">+Z6+Y7</f>
        <v>148284</v>
      </c>
      <c r="AA7" s="111">
        <f t="shared" ref="AA7" si="45">+AA6+Z7</f>
        <v>150088</v>
      </c>
      <c r="AB7" s="111">
        <f t="shared" ref="AB7" si="46">+AB6+AA7</f>
        <v>152184</v>
      </c>
      <c r="AC7" s="111">
        <f t="shared" ref="AC7" si="47">+AC6+AB7</f>
        <v>153692</v>
      </c>
      <c r="AD7" s="111">
        <f t="shared" ref="AD7" si="48">+AD6+AC7</f>
        <v>155600</v>
      </c>
      <c r="AE7" s="111">
        <f t="shared" ref="AE7" si="49">+AE6+AD7</f>
        <v>157964</v>
      </c>
      <c r="AF7" s="111">
        <f t="shared" ref="AF7" si="50">+AF6+AE7</f>
        <v>160324</v>
      </c>
      <c r="AG7" s="111">
        <f t="shared" ref="AG7" si="51">+AG6+AF7</f>
        <v>163400</v>
      </c>
      <c r="AH7" s="111">
        <f t="shared" ref="AH7" si="52">+AH6+AG7</f>
        <v>166412</v>
      </c>
      <c r="AI7" s="111">
        <f t="shared" ref="AI7" si="53">+AI6+AH7</f>
        <v>169316</v>
      </c>
      <c r="AJ7" s="111">
        <f t="shared" ref="AJ7" si="54">+AJ6+AI7</f>
        <v>172220</v>
      </c>
      <c r="AK7" s="111">
        <f t="shared" ref="AK7" si="55">+AK6+AJ7</f>
        <v>175124</v>
      </c>
      <c r="AL7" s="111">
        <f t="shared" ref="AL7" si="56">+AL6+AK7</f>
        <v>178028</v>
      </c>
      <c r="AM7" s="111">
        <f t="shared" ref="AM7" si="57">+AM6+AL7</f>
        <v>180932</v>
      </c>
      <c r="AN7" s="111">
        <f t="shared" ref="AN7" si="58">+AN6+AM7</f>
        <v>183836</v>
      </c>
      <c r="AO7" s="111">
        <f t="shared" ref="AO7" si="59">+AO6+AN7</f>
        <v>186740</v>
      </c>
      <c r="AP7" s="111">
        <f t="shared" ref="AP7" si="60">+AP6+AO7</f>
        <v>189644</v>
      </c>
      <c r="AQ7" s="111">
        <f t="shared" ref="AQ7" si="61">+AQ6+AP7</f>
        <v>192548</v>
      </c>
      <c r="AR7" s="111">
        <f t="shared" ref="AR7" si="62">+AR6+AQ7</f>
        <v>195452</v>
      </c>
      <c r="AS7" s="111">
        <f t="shared" ref="AS7" si="63">+AS6+AR7</f>
        <v>198356</v>
      </c>
      <c r="AT7" s="111">
        <f t="shared" ref="AT7" si="64">+AT6+AS7</f>
        <v>201260</v>
      </c>
      <c r="AU7" s="111">
        <f t="shared" ref="AU7" si="65">+AU6+AT7</f>
        <v>204164</v>
      </c>
      <c r="AV7" s="111">
        <f t="shared" ref="AV7" si="66">+AV6+AU7</f>
        <v>207068</v>
      </c>
      <c r="AW7" s="111">
        <f t="shared" ref="AW7" si="67">+AW6+AV7</f>
        <v>209972</v>
      </c>
      <c r="AX7" s="111">
        <f t="shared" ref="AX7" si="68">+AX6+AW7</f>
        <v>212876</v>
      </c>
      <c r="AY7" s="111">
        <f t="shared" ref="AY7" si="69">+AY6+AX7</f>
        <v>215780</v>
      </c>
      <c r="AZ7" s="111">
        <f t="shared" ref="AZ7" si="70">+AZ6+AY7</f>
        <v>218684</v>
      </c>
      <c r="BA7" s="111">
        <f t="shared" ref="BA7" si="71">+BA6+AZ7</f>
        <v>221588</v>
      </c>
      <c r="BB7" s="111">
        <f t="shared" ref="BB7" si="72">+BB6+BA7</f>
        <v>224492</v>
      </c>
      <c r="BC7" s="111">
        <f t="shared" ref="BC7" si="73">+BC6+BB7</f>
        <v>227396</v>
      </c>
      <c r="BD7" s="111">
        <f t="shared" ref="BD7" si="74">+BD6+BC7</f>
        <v>230300</v>
      </c>
    </row>
    <row r="8" spans="1:56" ht="13.5" thickBot="1" x14ac:dyDescent="0.25">
      <c r="A8" s="32"/>
      <c r="B8" s="196" t="s">
        <v>211</v>
      </c>
      <c r="C8" s="34" t="s">
        <v>20</v>
      </c>
      <c r="D8" s="35"/>
      <c r="E8" s="36">
        <v>6652</v>
      </c>
      <c r="F8" s="36">
        <v>2784</v>
      </c>
      <c r="G8" s="36">
        <v>2276</v>
      </c>
      <c r="H8" s="36">
        <v>2648</v>
      </c>
      <c r="I8" s="36">
        <v>2928</v>
      </c>
      <c r="J8" s="36">
        <v>2688</v>
      </c>
      <c r="K8" s="36">
        <v>3716</v>
      </c>
      <c r="L8" s="36">
        <v>3720</v>
      </c>
      <c r="M8" s="36">
        <v>320</v>
      </c>
      <c r="N8" s="36">
        <v>1804</v>
      </c>
      <c r="O8" s="36">
        <v>2308</v>
      </c>
      <c r="P8" s="36">
        <v>2316</v>
      </c>
      <c r="Q8" s="36">
        <v>2240</v>
      </c>
      <c r="R8" s="36">
        <v>1536</v>
      </c>
      <c r="S8" s="36">
        <v>412</v>
      </c>
      <c r="T8" s="36">
        <v>2016</v>
      </c>
      <c r="U8" s="36">
        <v>1740</v>
      </c>
      <c r="V8" s="36">
        <v>2184</v>
      </c>
      <c r="W8" s="36">
        <v>2176</v>
      </c>
      <c r="X8" s="36">
        <v>2180</v>
      </c>
      <c r="Y8" s="36">
        <v>1064</v>
      </c>
      <c r="Z8" s="36">
        <v>2296</v>
      </c>
      <c r="AA8" s="36">
        <v>1804</v>
      </c>
      <c r="AB8" s="36">
        <v>2096</v>
      </c>
      <c r="AC8" s="36">
        <v>1508</v>
      </c>
      <c r="AD8" s="36">
        <v>1908</v>
      </c>
      <c r="AE8" s="36">
        <v>2336</v>
      </c>
      <c r="AF8" s="36">
        <v>2336</v>
      </c>
      <c r="AG8" s="36">
        <v>3128</v>
      </c>
      <c r="AH8" s="36">
        <v>3012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36">
        <v>0</v>
      </c>
      <c r="AW8" s="36">
        <v>0</v>
      </c>
      <c r="AX8" s="36">
        <v>0</v>
      </c>
      <c r="AY8" s="36">
        <v>0</v>
      </c>
      <c r="AZ8" s="36">
        <v>0</v>
      </c>
      <c r="BA8" s="36">
        <v>0</v>
      </c>
      <c r="BB8" s="36">
        <v>0</v>
      </c>
      <c r="BC8" s="36">
        <v>0</v>
      </c>
      <c r="BD8" s="36">
        <v>0</v>
      </c>
    </row>
    <row r="9" spans="1:56" ht="15" customHeight="1" thickBot="1" x14ac:dyDescent="0.25">
      <c r="A9" s="37"/>
      <c r="B9" s="197"/>
      <c r="C9" s="34" t="s">
        <v>21</v>
      </c>
      <c r="D9" s="35"/>
      <c r="E9" s="36">
        <v>102932</v>
      </c>
      <c r="F9" s="36">
        <v>105716</v>
      </c>
      <c r="G9" s="36">
        <v>107992</v>
      </c>
      <c r="H9" s="36">
        <v>110640</v>
      </c>
      <c r="I9" s="36">
        <v>113568</v>
      </c>
      <c r="J9" s="36">
        <v>116256</v>
      </c>
      <c r="K9" s="36">
        <v>119972</v>
      </c>
      <c r="L9" s="36">
        <v>123692</v>
      </c>
      <c r="M9" s="36">
        <v>124012</v>
      </c>
      <c r="N9" s="36">
        <v>125816</v>
      </c>
      <c r="O9" s="36">
        <v>128124</v>
      </c>
      <c r="P9" s="36">
        <v>130440</v>
      </c>
      <c r="Q9" s="36">
        <v>132680</v>
      </c>
      <c r="R9" s="36">
        <v>134216</v>
      </c>
      <c r="S9" s="36">
        <v>134628</v>
      </c>
      <c r="T9" s="36">
        <v>136644</v>
      </c>
      <c r="U9" s="36">
        <v>138384</v>
      </c>
      <c r="V9" s="36">
        <v>140568</v>
      </c>
      <c r="W9" s="36">
        <v>142744</v>
      </c>
      <c r="X9" s="36">
        <v>144924</v>
      </c>
      <c r="Y9" s="36">
        <v>145988</v>
      </c>
      <c r="Z9" s="36">
        <v>148284</v>
      </c>
      <c r="AA9" s="36">
        <v>150088</v>
      </c>
      <c r="AB9" s="36">
        <v>152184</v>
      </c>
      <c r="AC9" s="36">
        <v>153692</v>
      </c>
      <c r="AD9" s="36">
        <v>155600</v>
      </c>
      <c r="AE9" s="36">
        <v>157936</v>
      </c>
      <c r="AF9" s="36">
        <v>160272</v>
      </c>
      <c r="AG9" s="36">
        <v>163400</v>
      </c>
      <c r="AH9" s="36">
        <v>166412</v>
      </c>
      <c r="AI9" s="36">
        <v>166412</v>
      </c>
      <c r="AJ9" s="36">
        <v>166412</v>
      </c>
      <c r="AK9" s="36">
        <v>166412</v>
      </c>
      <c r="AL9" s="36">
        <v>166412</v>
      </c>
      <c r="AM9" s="36">
        <v>166412</v>
      </c>
      <c r="AN9" s="36">
        <v>166412</v>
      </c>
      <c r="AO9" s="36">
        <v>166412</v>
      </c>
      <c r="AP9" s="36">
        <v>166412</v>
      </c>
      <c r="AQ9" s="36">
        <v>166412</v>
      </c>
      <c r="AR9" s="36">
        <v>166412</v>
      </c>
      <c r="AS9" s="36">
        <v>166412</v>
      </c>
      <c r="AT9" s="36">
        <v>166412</v>
      </c>
      <c r="AU9" s="36">
        <v>166412</v>
      </c>
      <c r="AV9" s="36">
        <v>166412</v>
      </c>
      <c r="AW9" s="36">
        <v>166412</v>
      </c>
      <c r="AX9" s="36">
        <v>166412</v>
      </c>
      <c r="AY9" s="36">
        <v>166412</v>
      </c>
      <c r="AZ9" s="36">
        <v>166412</v>
      </c>
      <c r="BA9" s="36">
        <v>166412</v>
      </c>
      <c r="BB9" s="36">
        <v>166412</v>
      </c>
      <c r="BC9" s="36">
        <v>166412</v>
      </c>
      <c r="BD9" s="36">
        <v>166412</v>
      </c>
    </row>
    <row r="10" spans="1:56" x14ac:dyDescent="0.2">
      <c r="A10" s="37"/>
      <c r="B10" s="37"/>
      <c r="C10" s="38"/>
      <c r="D10" s="39"/>
      <c r="E10" s="38"/>
      <c r="F10" s="38"/>
      <c r="G10" s="38"/>
      <c r="H10" s="38"/>
      <c r="I10" s="38"/>
      <c r="J10" s="40" t="s">
        <v>22</v>
      </c>
      <c r="K10" s="41"/>
      <c r="L10" s="40">
        <f>+L6-L8</f>
        <v>0</v>
      </c>
      <c r="M10" s="40">
        <f t="shared" ref="M10:N10" si="75">+M6-M8</f>
        <v>-320</v>
      </c>
      <c r="N10" s="40">
        <f t="shared" si="75"/>
        <v>252</v>
      </c>
      <c r="O10" s="40">
        <f>+O6-O8</f>
        <v>332</v>
      </c>
      <c r="P10" s="40">
        <f t="shared" ref="P10:AH10" si="76">+P6-P8</f>
        <v>32</v>
      </c>
      <c r="Q10" s="40">
        <f t="shared" si="76"/>
        <v>-296</v>
      </c>
      <c r="R10" s="40">
        <f t="shared" si="76"/>
        <v>84</v>
      </c>
      <c r="S10" s="40">
        <f t="shared" si="76"/>
        <v>740</v>
      </c>
      <c r="T10" s="40">
        <f t="shared" si="76"/>
        <v>-824</v>
      </c>
      <c r="U10" s="40">
        <f t="shared" si="76"/>
        <v>0</v>
      </c>
      <c r="V10" s="40">
        <f t="shared" si="76"/>
        <v>0</v>
      </c>
      <c r="W10" s="40">
        <f t="shared" si="76"/>
        <v>0</v>
      </c>
      <c r="X10" s="40">
        <f t="shared" si="76"/>
        <v>0</v>
      </c>
      <c r="Y10" s="40">
        <f t="shared" si="76"/>
        <v>592</v>
      </c>
      <c r="Z10" s="40">
        <f t="shared" si="76"/>
        <v>-592</v>
      </c>
      <c r="AA10" s="40">
        <f t="shared" si="76"/>
        <v>0</v>
      </c>
      <c r="AB10" s="40">
        <f t="shared" si="76"/>
        <v>0</v>
      </c>
      <c r="AC10" s="40">
        <f t="shared" si="76"/>
        <v>0</v>
      </c>
      <c r="AD10" s="40">
        <f t="shared" si="76"/>
        <v>0</v>
      </c>
      <c r="AE10" s="40">
        <f t="shared" si="76"/>
        <v>28</v>
      </c>
      <c r="AF10" s="40">
        <f t="shared" si="76"/>
        <v>24</v>
      </c>
      <c r="AG10" s="40">
        <f t="shared" si="76"/>
        <v>-52</v>
      </c>
      <c r="AH10" s="40">
        <f t="shared" si="76"/>
        <v>0</v>
      </c>
      <c r="AI10" s="40">
        <f t="shared" ref="AI10:BD10" si="77">+AI6-AI8</f>
        <v>2904</v>
      </c>
      <c r="AJ10" s="40">
        <f t="shared" si="77"/>
        <v>2904</v>
      </c>
      <c r="AK10" s="40">
        <f t="shared" si="77"/>
        <v>2904</v>
      </c>
      <c r="AL10" s="40">
        <f t="shared" si="77"/>
        <v>2904</v>
      </c>
      <c r="AM10" s="40">
        <f t="shared" si="77"/>
        <v>2904</v>
      </c>
      <c r="AN10" s="40">
        <f t="shared" si="77"/>
        <v>2904</v>
      </c>
      <c r="AO10" s="40">
        <f t="shared" si="77"/>
        <v>2904</v>
      </c>
      <c r="AP10" s="40">
        <f t="shared" si="77"/>
        <v>2904</v>
      </c>
      <c r="AQ10" s="40">
        <f t="shared" si="77"/>
        <v>2904</v>
      </c>
      <c r="AR10" s="40">
        <f t="shared" si="77"/>
        <v>2904</v>
      </c>
      <c r="AS10" s="40">
        <f t="shared" si="77"/>
        <v>2904</v>
      </c>
      <c r="AT10" s="40">
        <f t="shared" si="77"/>
        <v>2904</v>
      </c>
      <c r="AU10" s="40">
        <f t="shared" si="77"/>
        <v>2904</v>
      </c>
      <c r="AV10" s="40">
        <f t="shared" si="77"/>
        <v>2904</v>
      </c>
      <c r="AW10" s="40">
        <f t="shared" si="77"/>
        <v>2904</v>
      </c>
      <c r="AX10" s="40">
        <f t="shared" si="77"/>
        <v>2904</v>
      </c>
      <c r="AY10" s="40">
        <f t="shared" si="77"/>
        <v>2904</v>
      </c>
      <c r="AZ10" s="40">
        <f t="shared" si="77"/>
        <v>2904</v>
      </c>
      <c r="BA10" s="40">
        <f t="shared" si="77"/>
        <v>2904</v>
      </c>
      <c r="BB10" s="40">
        <f t="shared" si="77"/>
        <v>2904</v>
      </c>
      <c r="BC10" s="40">
        <f t="shared" si="77"/>
        <v>2904</v>
      </c>
      <c r="BD10" s="40">
        <f t="shared" si="77"/>
        <v>2904</v>
      </c>
    </row>
    <row r="11" spans="1:56" x14ac:dyDescent="0.2">
      <c r="A11" s="37"/>
      <c r="B11" s="37"/>
      <c r="C11" s="38"/>
      <c r="D11" s="39"/>
      <c r="E11" s="38"/>
      <c r="F11" s="38"/>
      <c r="G11" s="38"/>
      <c r="H11" s="38"/>
      <c r="I11" s="38"/>
      <c r="J11" s="40" t="s">
        <v>23</v>
      </c>
      <c r="K11" s="41"/>
      <c r="L11" s="40">
        <f>+L10</f>
        <v>0</v>
      </c>
      <c r="M11" s="40">
        <f>+M10+L11</f>
        <v>-320</v>
      </c>
      <c r="N11" s="40">
        <f>+N10+M11</f>
        <v>-68</v>
      </c>
      <c r="O11" s="40">
        <f t="shared" ref="O11" si="78">+O10+N11</f>
        <v>264</v>
      </c>
      <c r="P11" s="40">
        <f t="shared" ref="P11" si="79">+P10+O11</f>
        <v>296</v>
      </c>
      <c r="Q11" s="40">
        <f t="shared" ref="Q11" si="80">+Q10+P11</f>
        <v>0</v>
      </c>
      <c r="R11" s="40">
        <f t="shared" ref="R11" si="81">+R10+Q11</f>
        <v>84</v>
      </c>
      <c r="S11" s="40">
        <f t="shared" ref="S11" si="82">+S10+R11</f>
        <v>824</v>
      </c>
      <c r="T11" s="40">
        <f t="shared" ref="T11" si="83">+T10+S11</f>
        <v>0</v>
      </c>
      <c r="U11" s="40">
        <f t="shared" ref="U11" si="84">+U10+T11</f>
        <v>0</v>
      </c>
      <c r="V11" s="40">
        <f t="shared" ref="V11" si="85">+V10+U11</f>
        <v>0</v>
      </c>
      <c r="W11" s="40">
        <f t="shared" ref="W11" si="86">+W10+V11</f>
        <v>0</v>
      </c>
      <c r="X11" s="40">
        <f t="shared" ref="X11" si="87">+X10+W11</f>
        <v>0</v>
      </c>
      <c r="Y11" s="40">
        <f t="shared" ref="Y11" si="88">+Y10+X11</f>
        <v>592</v>
      </c>
      <c r="Z11" s="40">
        <f t="shared" ref="Z11" si="89">+Z10+Y11</f>
        <v>0</v>
      </c>
      <c r="AA11" s="40">
        <f t="shared" ref="AA11" si="90">+AA10+Z11</f>
        <v>0</v>
      </c>
      <c r="AB11" s="40">
        <f t="shared" ref="AB11" si="91">+AB10+AA11</f>
        <v>0</v>
      </c>
      <c r="AC11" s="40">
        <f t="shared" ref="AC11" si="92">+AC10+AB11</f>
        <v>0</v>
      </c>
      <c r="AD11" s="40">
        <f t="shared" ref="AD11" si="93">+AD10+AC11</f>
        <v>0</v>
      </c>
      <c r="AE11" s="40">
        <f t="shared" ref="AE11" si="94">+AE10+AD11</f>
        <v>28</v>
      </c>
      <c r="AF11" s="40">
        <f t="shared" ref="AF11" si="95">+AF10+AE11</f>
        <v>52</v>
      </c>
      <c r="AG11" s="40">
        <f t="shared" ref="AG11" si="96">+AG10+AF11</f>
        <v>0</v>
      </c>
      <c r="AH11" s="40">
        <f t="shared" ref="AH11" si="97">+AH10+AG11</f>
        <v>0</v>
      </c>
      <c r="AI11" s="40">
        <f t="shared" ref="AI11" si="98">+AI10+AH11</f>
        <v>2904</v>
      </c>
      <c r="AJ11" s="40">
        <f t="shared" ref="AJ11" si="99">+AJ10+AI11</f>
        <v>5808</v>
      </c>
      <c r="AK11" s="40">
        <f t="shared" ref="AK11" si="100">+AK10+AJ11</f>
        <v>8712</v>
      </c>
      <c r="AL11" s="40">
        <f t="shared" ref="AL11" si="101">+AL10+AK11</f>
        <v>11616</v>
      </c>
      <c r="AM11" s="40">
        <f t="shared" ref="AM11" si="102">+AM10+AL11</f>
        <v>14520</v>
      </c>
      <c r="AN11" s="40">
        <f t="shared" ref="AN11" si="103">+AN10+AM11</f>
        <v>17424</v>
      </c>
      <c r="AO11" s="40">
        <f t="shared" ref="AO11" si="104">+AO10+AN11</f>
        <v>20328</v>
      </c>
      <c r="AP11" s="40">
        <f t="shared" ref="AP11" si="105">+AP10+AO11</f>
        <v>23232</v>
      </c>
      <c r="AQ11" s="40">
        <f t="shared" ref="AQ11" si="106">+AQ10+AP11</f>
        <v>26136</v>
      </c>
      <c r="AR11" s="40">
        <f t="shared" ref="AR11" si="107">+AR10+AQ11</f>
        <v>29040</v>
      </c>
      <c r="AS11" s="40">
        <f t="shared" ref="AS11" si="108">+AS10+AR11</f>
        <v>31944</v>
      </c>
      <c r="AT11" s="40">
        <f t="shared" ref="AT11" si="109">+AT10+AS11</f>
        <v>34848</v>
      </c>
      <c r="AU11" s="40">
        <f t="shared" ref="AU11" si="110">+AU10+AT11</f>
        <v>37752</v>
      </c>
      <c r="AV11" s="40">
        <f t="shared" ref="AV11" si="111">+AV10+AU11</f>
        <v>40656</v>
      </c>
      <c r="AW11" s="40">
        <f t="shared" ref="AW11" si="112">+AW10+AV11</f>
        <v>43560</v>
      </c>
      <c r="AX11" s="40">
        <f t="shared" ref="AX11" si="113">+AX10+AW11</f>
        <v>46464</v>
      </c>
      <c r="AY11" s="40">
        <f t="shared" ref="AY11" si="114">+AY10+AX11</f>
        <v>49368</v>
      </c>
      <c r="AZ11" s="40">
        <f t="shared" ref="AZ11" si="115">+AZ10+AY11</f>
        <v>52272</v>
      </c>
      <c r="BA11" s="40">
        <f t="shared" ref="BA11" si="116">+BA10+AZ11</f>
        <v>55176</v>
      </c>
      <c r="BB11" s="40">
        <f t="shared" ref="BB11" si="117">+BB10+BA11</f>
        <v>58080</v>
      </c>
      <c r="BC11" s="40">
        <f t="shared" ref="BC11" si="118">+BC10+BB11</f>
        <v>60984</v>
      </c>
      <c r="BD11" s="40">
        <f t="shared" ref="BD11" si="119">+BD10+BC11</f>
        <v>63888</v>
      </c>
    </row>
    <row r="12" spans="1:56" x14ac:dyDescent="0.2">
      <c r="A12" s="37"/>
      <c r="B12" s="37"/>
      <c r="C12" s="38"/>
      <c r="D12" s="39"/>
      <c r="E12" s="38"/>
      <c r="F12" s="38"/>
      <c r="G12" s="38"/>
      <c r="H12" s="38"/>
      <c r="I12" s="38"/>
      <c r="J12" s="40" t="s">
        <v>24</v>
      </c>
      <c r="K12" s="40">
        <f>AVERAGE(L6:AA6)/5</f>
        <v>376.45</v>
      </c>
      <c r="L12" s="42">
        <f>+L11/$K12</f>
        <v>0</v>
      </c>
      <c r="M12" s="42">
        <f t="shared" ref="M12:BD12" si="120">+M11/$K12</f>
        <v>-0.85004648691725326</v>
      </c>
      <c r="N12" s="42">
        <f t="shared" si="120"/>
        <v>-0.18063487846991633</v>
      </c>
      <c r="O12" s="42">
        <f t="shared" si="120"/>
        <v>0.70128835170673398</v>
      </c>
      <c r="P12" s="42">
        <f t="shared" si="120"/>
        <v>0.78629300039845929</v>
      </c>
      <c r="Q12" s="42">
        <f t="shared" si="120"/>
        <v>0</v>
      </c>
      <c r="R12" s="42">
        <f t="shared" si="120"/>
        <v>0.22313720281577901</v>
      </c>
      <c r="S12" s="42">
        <f t="shared" si="120"/>
        <v>2.1888697038119274</v>
      </c>
      <c r="T12" s="42">
        <f t="shared" si="120"/>
        <v>0</v>
      </c>
      <c r="U12" s="42">
        <f t="shared" si="120"/>
        <v>0</v>
      </c>
      <c r="V12" s="42">
        <f t="shared" si="120"/>
        <v>0</v>
      </c>
      <c r="W12" s="42">
        <f t="shared" si="120"/>
        <v>0</v>
      </c>
      <c r="X12" s="42">
        <f t="shared" si="120"/>
        <v>0</v>
      </c>
      <c r="Y12" s="42">
        <f t="shared" si="120"/>
        <v>1.5725860007969186</v>
      </c>
      <c r="Z12" s="42">
        <f t="shared" si="120"/>
        <v>0</v>
      </c>
      <c r="AA12" s="42">
        <f t="shared" si="120"/>
        <v>0</v>
      </c>
      <c r="AB12" s="42">
        <f t="shared" si="120"/>
        <v>0</v>
      </c>
      <c r="AC12" s="42">
        <f t="shared" si="120"/>
        <v>0</v>
      </c>
      <c r="AD12" s="42">
        <f t="shared" si="120"/>
        <v>0</v>
      </c>
      <c r="AE12" s="42">
        <f t="shared" si="120"/>
        <v>7.4379067605259669E-2</v>
      </c>
      <c r="AF12" s="42">
        <f t="shared" si="120"/>
        <v>0.13813255412405367</v>
      </c>
      <c r="AG12" s="42">
        <f t="shared" si="120"/>
        <v>0</v>
      </c>
      <c r="AH12" s="42">
        <f t="shared" si="120"/>
        <v>0</v>
      </c>
      <c r="AI12" s="42">
        <f t="shared" si="120"/>
        <v>7.7141718687740735</v>
      </c>
      <c r="AJ12" s="42">
        <f t="shared" si="120"/>
        <v>15.428343737548147</v>
      </c>
      <c r="AK12" s="42">
        <f t="shared" si="120"/>
        <v>23.14251560632222</v>
      </c>
      <c r="AL12" s="42">
        <f t="shared" si="120"/>
        <v>30.856687475096294</v>
      </c>
      <c r="AM12" s="42">
        <f t="shared" si="120"/>
        <v>38.570859343870367</v>
      </c>
      <c r="AN12" s="42">
        <f t="shared" si="120"/>
        <v>46.285031212644441</v>
      </c>
      <c r="AO12" s="42">
        <f t="shared" si="120"/>
        <v>53.999203081418514</v>
      </c>
      <c r="AP12" s="42">
        <f t="shared" si="120"/>
        <v>61.713374950192588</v>
      </c>
      <c r="AQ12" s="42">
        <f t="shared" si="120"/>
        <v>69.427546818966661</v>
      </c>
      <c r="AR12" s="42">
        <f t="shared" si="120"/>
        <v>77.141718687740735</v>
      </c>
      <c r="AS12" s="42">
        <f t="shared" si="120"/>
        <v>84.855890556514808</v>
      </c>
      <c r="AT12" s="42">
        <f t="shared" si="120"/>
        <v>92.570062425288882</v>
      </c>
      <c r="AU12" s="42">
        <f t="shared" si="120"/>
        <v>100.28423429406295</v>
      </c>
      <c r="AV12" s="42">
        <f t="shared" si="120"/>
        <v>107.99840616283703</v>
      </c>
      <c r="AW12" s="42">
        <f t="shared" si="120"/>
        <v>115.7125780316111</v>
      </c>
      <c r="AX12" s="42">
        <f t="shared" si="120"/>
        <v>123.42674990038518</v>
      </c>
      <c r="AY12" s="42">
        <f t="shared" si="120"/>
        <v>131.14092176915926</v>
      </c>
      <c r="AZ12" s="42">
        <f t="shared" si="120"/>
        <v>138.85509363793332</v>
      </c>
      <c r="BA12" s="42">
        <f t="shared" si="120"/>
        <v>146.56926550670741</v>
      </c>
      <c r="BB12" s="42">
        <f t="shared" si="120"/>
        <v>154.28343737548147</v>
      </c>
      <c r="BC12" s="42">
        <f t="shared" si="120"/>
        <v>161.99760924425556</v>
      </c>
      <c r="BD12" s="42">
        <f t="shared" si="120"/>
        <v>169.71178111302962</v>
      </c>
    </row>
    <row r="13" spans="1:56" x14ac:dyDescent="0.2">
      <c r="A13" s="37"/>
      <c r="B13" s="37"/>
      <c r="C13" s="38"/>
      <c r="D13" s="39"/>
      <c r="E13" s="38"/>
      <c r="F13" s="38"/>
      <c r="G13" s="38"/>
      <c r="H13" s="38"/>
      <c r="I13" s="38"/>
      <c r="J13" s="40" t="s">
        <v>25</v>
      </c>
      <c r="K13" s="40"/>
      <c r="L13" s="64">
        <f>L11*76</f>
        <v>0</v>
      </c>
      <c r="M13" s="64">
        <f t="shared" ref="M13:AH13" si="121">M11*76</f>
        <v>-24320</v>
      </c>
      <c r="N13" s="64">
        <f t="shared" si="121"/>
        <v>-5168</v>
      </c>
      <c r="O13" s="64">
        <f t="shared" si="121"/>
        <v>20064</v>
      </c>
      <c r="P13" s="64">
        <f t="shared" si="121"/>
        <v>22496</v>
      </c>
      <c r="Q13" s="64">
        <f t="shared" si="121"/>
        <v>0</v>
      </c>
      <c r="R13" s="64">
        <f t="shared" si="121"/>
        <v>6384</v>
      </c>
      <c r="S13" s="64">
        <f t="shared" si="121"/>
        <v>62624</v>
      </c>
      <c r="T13" s="64">
        <f t="shared" si="121"/>
        <v>0</v>
      </c>
      <c r="U13" s="64">
        <f t="shared" si="121"/>
        <v>0</v>
      </c>
      <c r="V13" s="64">
        <f t="shared" si="121"/>
        <v>0</v>
      </c>
      <c r="W13" s="64">
        <f t="shared" si="121"/>
        <v>0</v>
      </c>
      <c r="X13" s="64">
        <f t="shared" si="121"/>
        <v>0</v>
      </c>
      <c r="Y13" s="64">
        <f t="shared" si="121"/>
        <v>44992</v>
      </c>
      <c r="Z13" s="64">
        <f t="shared" si="121"/>
        <v>0</v>
      </c>
      <c r="AA13" s="64">
        <f t="shared" si="121"/>
        <v>0</v>
      </c>
      <c r="AB13" s="64">
        <f t="shared" si="121"/>
        <v>0</v>
      </c>
      <c r="AC13" s="64">
        <f t="shared" si="121"/>
        <v>0</v>
      </c>
      <c r="AD13" s="64">
        <f t="shared" si="121"/>
        <v>0</v>
      </c>
      <c r="AE13" s="64">
        <f t="shared" si="121"/>
        <v>2128</v>
      </c>
      <c r="AF13" s="64">
        <f t="shared" si="121"/>
        <v>3952</v>
      </c>
      <c r="AG13" s="64">
        <f t="shared" si="121"/>
        <v>0</v>
      </c>
      <c r="AH13" s="64">
        <f t="shared" si="121"/>
        <v>0</v>
      </c>
      <c r="AI13" s="64">
        <f t="shared" ref="AI13:BD13" si="122">AI11*76</f>
        <v>220704</v>
      </c>
      <c r="AJ13" s="64">
        <f t="shared" si="122"/>
        <v>441408</v>
      </c>
      <c r="AK13" s="64">
        <f t="shared" si="122"/>
        <v>662112</v>
      </c>
      <c r="AL13" s="64">
        <f t="shared" si="122"/>
        <v>882816</v>
      </c>
      <c r="AM13" s="64">
        <f t="shared" si="122"/>
        <v>1103520</v>
      </c>
      <c r="AN13" s="64">
        <f t="shared" si="122"/>
        <v>1324224</v>
      </c>
      <c r="AO13" s="64">
        <f t="shared" si="122"/>
        <v>1544928</v>
      </c>
      <c r="AP13" s="64">
        <f t="shared" si="122"/>
        <v>1765632</v>
      </c>
      <c r="AQ13" s="64">
        <f t="shared" si="122"/>
        <v>1986336</v>
      </c>
      <c r="AR13" s="64">
        <f t="shared" si="122"/>
        <v>2207040</v>
      </c>
      <c r="AS13" s="64">
        <f t="shared" si="122"/>
        <v>2427744</v>
      </c>
      <c r="AT13" s="64">
        <f t="shared" si="122"/>
        <v>2648448</v>
      </c>
      <c r="AU13" s="64">
        <f t="shared" si="122"/>
        <v>2869152</v>
      </c>
      <c r="AV13" s="64">
        <f t="shared" si="122"/>
        <v>3089856</v>
      </c>
      <c r="AW13" s="64">
        <f t="shared" si="122"/>
        <v>3310560</v>
      </c>
      <c r="AX13" s="64">
        <f t="shared" si="122"/>
        <v>3531264</v>
      </c>
      <c r="AY13" s="64">
        <f t="shared" si="122"/>
        <v>3751968</v>
      </c>
      <c r="AZ13" s="64">
        <f t="shared" si="122"/>
        <v>3972672</v>
      </c>
      <c r="BA13" s="64">
        <f t="shared" si="122"/>
        <v>4193376</v>
      </c>
      <c r="BB13" s="64">
        <f t="shared" si="122"/>
        <v>4414080</v>
      </c>
      <c r="BC13" s="64">
        <f t="shared" si="122"/>
        <v>4634784</v>
      </c>
      <c r="BD13" s="64">
        <f t="shared" si="122"/>
        <v>4855488</v>
      </c>
    </row>
    <row r="14" spans="1:56" x14ac:dyDescent="0.2">
      <c r="B14" s="43"/>
      <c r="C14" s="55"/>
      <c r="D14" s="56" t="s">
        <v>26</v>
      </c>
      <c r="E14" s="57"/>
      <c r="F14" s="58"/>
      <c r="G14" s="58"/>
      <c r="H14" s="58"/>
      <c r="I14" s="58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</row>
    <row r="15" spans="1:56" x14ac:dyDescent="0.2">
      <c r="A15" s="37"/>
      <c r="B15" s="59"/>
      <c r="C15" s="55"/>
      <c r="D15" s="56" t="s">
        <v>212</v>
      </c>
      <c r="E15" s="55"/>
      <c r="F15" s="55"/>
      <c r="G15" s="55"/>
      <c r="H15" s="55"/>
      <c r="I15" s="55"/>
      <c r="J15" s="210"/>
      <c r="K15" s="210">
        <v>456</v>
      </c>
      <c r="L15" s="210">
        <v>456</v>
      </c>
      <c r="M15" s="210">
        <v>456</v>
      </c>
      <c r="N15" s="210">
        <v>472</v>
      </c>
      <c r="O15" s="210">
        <v>472</v>
      </c>
      <c r="P15" s="210">
        <v>472</v>
      </c>
      <c r="Q15" s="210">
        <v>536</v>
      </c>
      <c r="R15" s="210">
        <v>444</v>
      </c>
      <c r="S15" s="210">
        <v>396</v>
      </c>
      <c r="T15" s="210">
        <v>396</v>
      </c>
      <c r="U15" s="210">
        <v>396</v>
      </c>
      <c r="V15" s="210">
        <v>396</v>
      </c>
      <c r="W15" s="210">
        <v>396</v>
      </c>
      <c r="X15" s="210">
        <v>396</v>
      </c>
      <c r="Y15" s="210">
        <v>483</v>
      </c>
      <c r="Z15" s="210">
        <v>483</v>
      </c>
      <c r="AA15" s="210">
        <v>396</v>
      </c>
      <c r="AB15" s="210">
        <v>396</v>
      </c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0"/>
      <c r="AT15" s="210"/>
      <c r="AU15" s="210"/>
      <c r="AV15" s="210"/>
      <c r="AW15" s="210"/>
      <c r="AX15" s="210"/>
      <c r="AY15" s="210"/>
      <c r="AZ15" s="210"/>
      <c r="BA15" s="210"/>
      <c r="BB15" s="210"/>
      <c r="BC15" s="210"/>
      <c r="BD15" s="210"/>
    </row>
    <row r="16" spans="1:56" x14ac:dyDescent="0.2">
      <c r="A16" s="37"/>
      <c r="B16" s="59"/>
      <c r="C16" s="55"/>
      <c r="D16" s="56" t="s">
        <v>26</v>
      </c>
      <c r="E16" s="55"/>
      <c r="F16" s="55"/>
      <c r="G16" s="55"/>
      <c r="H16" s="55"/>
      <c r="I16" s="55"/>
      <c r="J16" s="212"/>
      <c r="K16" s="212">
        <v>5</v>
      </c>
      <c r="L16" s="212">
        <v>5</v>
      </c>
      <c r="M16" s="212">
        <v>3</v>
      </c>
      <c r="N16" s="212">
        <v>2</v>
      </c>
      <c r="O16" s="212">
        <v>4</v>
      </c>
      <c r="P16" s="212">
        <v>5</v>
      </c>
      <c r="Q16" s="212">
        <v>5</v>
      </c>
      <c r="R16" s="212">
        <v>5</v>
      </c>
      <c r="S16" s="212">
        <v>5</v>
      </c>
      <c r="T16" s="212">
        <v>5</v>
      </c>
      <c r="U16" s="212">
        <v>4</v>
      </c>
      <c r="V16" s="212">
        <v>5</v>
      </c>
      <c r="W16" s="212">
        <v>3</v>
      </c>
      <c r="X16" s="212">
        <v>5</v>
      </c>
      <c r="Y16" s="212">
        <v>5</v>
      </c>
      <c r="Z16" s="212">
        <v>3</v>
      </c>
      <c r="AA16" s="212">
        <v>5</v>
      </c>
      <c r="AB16" s="212">
        <v>5</v>
      </c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</row>
    <row r="17" spans="1:56" x14ac:dyDescent="0.2">
      <c r="A17" s="37"/>
      <c r="B17" s="59"/>
      <c r="C17" s="55"/>
      <c r="D17" s="56" t="s">
        <v>27</v>
      </c>
      <c r="E17" s="55"/>
      <c r="F17" s="55"/>
      <c r="G17" s="55"/>
      <c r="H17" s="55"/>
      <c r="I17" s="55"/>
      <c r="J17" s="210"/>
      <c r="K17" s="210">
        <f t="shared" ref="K17:AE17" si="123">K16*K15</f>
        <v>2280</v>
      </c>
      <c r="L17" s="210">
        <f t="shared" si="123"/>
        <v>2280</v>
      </c>
      <c r="M17" s="210">
        <f t="shared" si="123"/>
        <v>1368</v>
      </c>
      <c r="N17" s="210">
        <f t="shared" si="123"/>
        <v>944</v>
      </c>
      <c r="O17" s="210">
        <f t="shared" si="123"/>
        <v>1888</v>
      </c>
      <c r="P17" s="210">
        <f t="shared" si="123"/>
        <v>2360</v>
      </c>
      <c r="Q17" s="210">
        <f t="shared" si="123"/>
        <v>2680</v>
      </c>
      <c r="R17" s="210">
        <f t="shared" si="123"/>
        <v>2220</v>
      </c>
      <c r="S17" s="210">
        <f t="shared" si="123"/>
        <v>1980</v>
      </c>
      <c r="T17" s="210">
        <f t="shared" si="123"/>
        <v>1980</v>
      </c>
      <c r="U17" s="210">
        <f t="shared" si="123"/>
        <v>1584</v>
      </c>
      <c r="V17" s="210">
        <f t="shared" si="123"/>
        <v>1980</v>
      </c>
      <c r="W17" s="210">
        <f t="shared" si="123"/>
        <v>1188</v>
      </c>
      <c r="X17" s="210">
        <f t="shared" si="123"/>
        <v>1980</v>
      </c>
      <c r="Y17" s="210">
        <f t="shared" si="123"/>
        <v>2415</v>
      </c>
      <c r="Z17" s="210">
        <f t="shared" si="123"/>
        <v>1449</v>
      </c>
      <c r="AA17" s="210">
        <f t="shared" si="123"/>
        <v>1980</v>
      </c>
      <c r="AB17" s="210">
        <f t="shared" si="123"/>
        <v>1980</v>
      </c>
      <c r="AC17" s="210">
        <f t="shared" si="123"/>
        <v>0</v>
      </c>
      <c r="AD17" s="210">
        <f t="shared" si="123"/>
        <v>0</v>
      </c>
      <c r="AE17" s="210">
        <f t="shared" si="123"/>
        <v>0</v>
      </c>
      <c r="AF17" s="210">
        <f t="shared" ref="AF17:AH17" si="124">AF16*AF15</f>
        <v>0</v>
      </c>
      <c r="AG17" s="210">
        <f t="shared" si="124"/>
        <v>0</v>
      </c>
      <c r="AH17" s="210">
        <f t="shared" si="124"/>
        <v>0</v>
      </c>
      <c r="AI17" s="210">
        <f t="shared" ref="AI17:BD17" si="125">AI16*AI15</f>
        <v>0</v>
      </c>
      <c r="AJ17" s="210">
        <f t="shared" si="125"/>
        <v>0</v>
      </c>
      <c r="AK17" s="210">
        <f t="shared" si="125"/>
        <v>0</v>
      </c>
      <c r="AL17" s="210">
        <f t="shared" si="125"/>
        <v>0</v>
      </c>
      <c r="AM17" s="210">
        <f t="shared" si="125"/>
        <v>0</v>
      </c>
      <c r="AN17" s="210">
        <f t="shared" si="125"/>
        <v>0</v>
      </c>
      <c r="AO17" s="210">
        <f t="shared" si="125"/>
        <v>0</v>
      </c>
      <c r="AP17" s="210">
        <f t="shared" si="125"/>
        <v>0</v>
      </c>
      <c r="AQ17" s="210">
        <f t="shared" si="125"/>
        <v>0</v>
      </c>
      <c r="AR17" s="210">
        <f t="shared" si="125"/>
        <v>0</v>
      </c>
      <c r="AS17" s="210">
        <f t="shared" si="125"/>
        <v>0</v>
      </c>
      <c r="AT17" s="210">
        <f t="shared" si="125"/>
        <v>0</v>
      </c>
      <c r="AU17" s="210">
        <f t="shared" si="125"/>
        <v>0</v>
      </c>
      <c r="AV17" s="210">
        <f t="shared" si="125"/>
        <v>0</v>
      </c>
      <c r="AW17" s="210">
        <f t="shared" si="125"/>
        <v>0</v>
      </c>
      <c r="AX17" s="210">
        <f t="shared" si="125"/>
        <v>0</v>
      </c>
      <c r="AY17" s="210">
        <f t="shared" si="125"/>
        <v>0</v>
      </c>
      <c r="AZ17" s="210">
        <f t="shared" si="125"/>
        <v>0</v>
      </c>
      <c r="BA17" s="210">
        <f t="shared" si="125"/>
        <v>0</v>
      </c>
      <c r="BB17" s="210">
        <f t="shared" si="125"/>
        <v>0</v>
      </c>
      <c r="BC17" s="210">
        <f t="shared" si="125"/>
        <v>0</v>
      </c>
      <c r="BD17" s="210">
        <f t="shared" si="125"/>
        <v>0</v>
      </c>
    </row>
    <row r="18" spans="1:56" x14ac:dyDescent="0.2">
      <c r="A18" s="37"/>
      <c r="B18" s="59"/>
      <c r="C18" s="55"/>
      <c r="D18" s="56"/>
      <c r="E18" s="55"/>
      <c r="F18" s="55"/>
      <c r="G18" s="55"/>
      <c r="H18" s="55"/>
      <c r="I18" s="55"/>
      <c r="J18" s="211"/>
      <c r="K18" s="211">
        <f t="shared" ref="K18:AH18" si="126">K17</f>
        <v>2280</v>
      </c>
      <c r="L18" s="211">
        <f t="shared" si="126"/>
        <v>2280</v>
      </c>
      <c r="M18" s="211">
        <f t="shared" si="126"/>
        <v>1368</v>
      </c>
      <c r="N18" s="211">
        <f t="shared" si="126"/>
        <v>944</v>
      </c>
      <c r="O18" s="211">
        <f t="shared" si="126"/>
        <v>1888</v>
      </c>
      <c r="P18" s="211">
        <f t="shared" si="126"/>
        <v>2360</v>
      </c>
      <c r="Q18" s="211">
        <f t="shared" si="126"/>
        <v>2680</v>
      </c>
      <c r="R18" s="211">
        <f t="shared" si="126"/>
        <v>2220</v>
      </c>
      <c r="S18" s="211">
        <f t="shared" si="126"/>
        <v>1980</v>
      </c>
      <c r="T18" s="211">
        <f t="shared" si="126"/>
        <v>1980</v>
      </c>
      <c r="U18" s="211">
        <f t="shared" si="126"/>
        <v>1584</v>
      </c>
      <c r="V18" s="211">
        <f t="shared" si="126"/>
        <v>1980</v>
      </c>
      <c r="W18" s="211">
        <f t="shared" si="126"/>
        <v>1188</v>
      </c>
      <c r="X18" s="211">
        <f t="shared" si="126"/>
        <v>1980</v>
      </c>
      <c r="Y18" s="211">
        <f t="shared" si="126"/>
        <v>2415</v>
      </c>
      <c r="Z18" s="211">
        <f t="shared" si="126"/>
        <v>1449</v>
      </c>
      <c r="AA18" s="211">
        <f t="shared" si="126"/>
        <v>1980</v>
      </c>
      <c r="AB18" s="211">
        <f t="shared" si="126"/>
        <v>1980</v>
      </c>
      <c r="AC18" s="211">
        <f t="shared" si="126"/>
        <v>0</v>
      </c>
      <c r="AD18" s="211">
        <f t="shared" si="126"/>
        <v>0</v>
      </c>
      <c r="AE18" s="211">
        <f t="shared" si="126"/>
        <v>0</v>
      </c>
      <c r="AF18" s="211">
        <f t="shared" si="126"/>
        <v>0</v>
      </c>
      <c r="AG18" s="211">
        <f t="shared" si="126"/>
        <v>0</v>
      </c>
      <c r="AH18" s="211">
        <f t="shared" si="126"/>
        <v>0</v>
      </c>
      <c r="AI18" s="211">
        <f t="shared" ref="AI18:BD18" si="127">AI17</f>
        <v>0</v>
      </c>
      <c r="AJ18" s="211">
        <f t="shared" si="127"/>
        <v>0</v>
      </c>
      <c r="AK18" s="211">
        <f t="shared" si="127"/>
        <v>0</v>
      </c>
      <c r="AL18" s="211">
        <f t="shared" si="127"/>
        <v>0</v>
      </c>
      <c r="AM18" s="211">
        <f t="shared" si="127"/>
        <v>0</v>
      </c>
      <c r="AN18" s="211">
        <f t="shared" si="127"/>
        <v>0</v>
      </c>
      <c r="AO18" s="211">
        <f t="shared" si="127"/>
        <v>0</v>
      </c>
      <c r="AP18" s="211">
        <f t="shared" si="127"/>
        <v>0</v>
      </c>
      <c r="AQ18" s="211">
        <f t="shared" si="127"/>
        <v>0</v>
      </c>
      <c r="AR18" s="211">
        <f t="shared" si="127"/>
        <v>0</v>
      </c>
      <c r="AS18" s="211">
        <f t="shared" si="127"/>
        <v>0</v>
      </c>
      <c r="AT18" s="211">
        <f t="shared" si="127"/>
        <v>0</v>
      </c>
      <c r="AU18" s="211">
        <f t="shared" si="127"/>
        <v>0</v>
      </c>
      <c r="AV18" s="211">
        <f t="shared" si="127"/>
        <v>0</v>
      </c>
      <c r="AW18" s="211">
        <f t="shared" si="127"/>
        <v>0</v>
      </c>
      <c r="AX18" s="211">
        <f t="shared" si="127"/>
        <v>0</v>
      </c>
      <c r="AY18" s="211">
        <f t="shared" si="127"/>
        <v>0</v>
      </c>
      <c r="AZ18" s="211">
        <f t="shared" si="127"/>
        <v>0</v>
      </c>
      <c r="BA18" s="211">
        <f t="shared" si="127"/>
        <v>0</v>
      </c>
      <c r="BB18" s="211">
        <f t="shared" si="127"/>
        <v>0</v>
      </c>
      <c r="BC18" s="211">
        <f t="shared" si="127"/>
        <v>0</v>
      </c>
      <c r="BD18" s="211">
        <f t="shared" si="127"/>
        <v>0</v>
      </c>
    </row>
    <row r="19" spans="1:56" x14ac:dyDescent="0.2">
      <c r="B19" s="59"/>
      <c r="C19" s="55"/>
      <c r="D19" s="56" t="s">
        <v>28</v>
      </c>
      <c r="E19" s="55"/>
      <c r="F19" s="55"/>
      <c r="G19" s="55"/>
      <c r="H19" s="55"/>
      <c r="I19" s="55"/>
      <c r="J19" s="62"/>
      <c r="K19" s="62"/>
      <c r="L19" s="210">
        <f>L18-L6</f>
        <v>-1440</v>
      </c>
      <c r="M19" s="210">
        <f t="shared" ref="M19:AH19" si="128">M18-M6</f>
        <v>1368</v>
      </c>
      <c r="N19" s="210">
        <f t="shared" si="128"/>
        <v>-1112</v>
      </c>
      <c r="O19" s="210">
        <f t="shared" si="128"/>
        <v>-752</v>
      </c>
      <c r="P19" s="210">
        <f t="shared" si="128"/>
        <v>12</v>
      </c>
      <c r="Q19" s="210">
        <f t="shared" si="128"/>
        <v>736</v>
      </c>
      <c r="R19" s="210">
        <f t="shared" si="128"/>
        <v>600</v>
      </c>
      <c r="S19" s="210">
        <f t="shared" si="128"/>
        <v>828</v>
      </c>
      <c r="T19" s="210">
        <f t="shared" si="128"/>
        <v>788</v>
      </c>
      <c r="U19" s="210">
        <f t="shared" si="128"/>
        <v>-156</v>
      </c>
      <c r="V19" s="210">
        <f t="shared" si="128"/>
        <v>-204</v>
      </c>
      <c r="W19" s="210">
        <f t="shared" si="128"/>
        <v>-988</v>
      </c>
      <c r="X19" s="210">
        <f t="shared" si="128"/>
        <v>-200</v>
      </c>
      <c r="Y19" s="210">
        <f t="shared" si="128"/>
        <v>759</v>
      </c>
      <c r="Z19" s="210">
        <f t="shared" si="128"/>
        <v>-255</v>
      </c>
      <c r="AA19" s="210">
        <f t="shared" si="128"/>
        <v>176</v>
      </c>
      <c r="AB19" s="210">
        <f t="shared" si="128"/>
        <v>-116</v>
      </c>
      <c r="AC19" s="210">
        <f t="shared" si="128"/>
        <v>-1508</v>
      </c>
      <c r="AD19" s="210">
        <f t="shared" si="128"/>
        <v>-1908</v>
      </c>
      <c r="AE19" s="210">
        <f t="shared" si="128"/>
        <v>-2364</v>
      </c>
      <c r="AF19" s="210">
        <f t="shared" si="128"/>
        <v>-2360</v>
      </c>
      <c r="AG19" s="210">
        <f t="shared" si="128"/>
        <v>-3076</v>
      </c>
      <c r="AH19" s="210">
        <f t="shared" si="128"/>
        <v>-3012</v>
      </c>
      <c r="AI19" s="210">
        <f t="shared" ref="AI19:BD19" si="129">AI18-AI6</f>
        <v>-2904</v>
      </c>
      <c r="AJ19" s="210">
        <f t="shared" si="129"/>
        <v>-2904</v>
      </c>
      <c r="AK19" s="210">
        <f t="shared" si="129"/>
        <v>-2904</v>
      </c>
      <c r="AL19" s="210">
        <f t="shared" si="129"/>
        <v>-2904</v>
      </c>
      <c r="AM19" s="210">
        <f t="shared" si="129"/>
        <v>-2904</v>
      </c>
      <c r="AN19" s="210">
        <f t="shared" si="129"/>
        <v>-2904</v>
      </c>
      <c r="AO19" s="210">
        <f t="shared" si="129"/>
        <v>-2904</v>
      </c>
      <c r="AP19" s="210">
        <f t="shared" si="129"/>
        <v>-2904</v>
      </c>
      <c r="AQ19" s="210">
        <f t="shared" si="129"/>
        <v>-2904</v>
      </c>
      <c r="AR19" s="210">
        <f t="shared" si="129"/>
        <v>-2904</v>
      </c>
      <c r="AS19" s="210">
        <f t="shared" si="129"/>
        <v>-2904</v>
      </c>
      <c r="AT19" s="210">
        <f t="shared" si="129"/>
        <v>-2904</v>
      </c>
      <c r="AU19" s="210">
        <f t="shared" si="129"/>
        <v>-2904</v>
      </c>
      <c r="AV19" s="210">
        <f t="shared" si="129"/>
        <v>-2904</v>
      </c>
      <c r="AW19" s="210">
        <f t="shared" si="129"/>
        <v>-2904</v>
      </c>
      <c r="AX19" s="210">
        <f t="shared" si="129"/>
        <v>-2904</v>
      </c>
      <c r="AY19" s="210">
        <f t="shared" si="129"/>
        <v>-2904</v>
      </c>
      <c r="AZ19" s="210">
        <f t="shared" si="129"/>
        <v>-2904</v>
      </c>
      <c r="BA19" s="210">
        <f t="shared" si="129"/>
        <v>-2904</v>
      </c>
      <c r="BB19" s="210">
        <f t="shared" si="129"/>
        <v>-2904</v>
      </c>
      <c r="BC19" s="210">
        <f t="shared" si="129"/>
        <v>-2904</v>
      </c>
      <c r="BD19" s="210">
        <f t="shared" si="129"/>
        <v>-2904</v>
      </c>
    </row>
    <row r="20" spans="1:56" x14ac:dyDescent="0.2">
      <c r="B20" s="66"/>
      <c r="C20" s="54"/>
      <c r="D20" s="67"/>
      <c r="E20" s="54"/>
      <c r="F20" s="54"/>
      <c r="G20" s="54"/>
      <c r="H20" s="54"/>
      <c r="I20" s="54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</row>
    <row r="21" spans="1:56" ht="15" x14ac:dyDescent="0.2">
      <c r="B21" s="66"/>
      <c r="C21" s="54"/>
      <c r="D21" s="67"/>
      <c r="E21" s="54"/>
      <c r="F21" s="54"/>
      <c r="G21" s="54"/>
      <c r="H21" s="54"/>
      <c r="I21" s="54"/>
      <c r="J21" s="54" t="s">
        <v>29</v>
      </c>
      <c r="K21" s="54"/>
      <c r="L21" s="76">
        <f>L24-L27</f>
        <v>0</v>
      </c>
      <c r="M21" s="76">
        <f t="shared" ref="M21:AH21" si="130">M24-M27</f>
        <v>0</v>
      </c>
      <c r="N21" s="76">
        <f t="shared" si="130"/>
        <v>-1412</v>
      </c>
      <c r="O21" s="76">
        <f t="shared" si="130"/>
        <v>416</v>
      </c>
      <c r="P21" s="76">
        <f t="shared" si="130"/>
        <v>520</v>
      </c>
      <c r="Q21" s="76">
        <f t="shared" si="130"/>
        <v>304</v>
      </c>
      <c r="R21" s="76">
        <f t="shared" si="130"/>
        <v>44</v>
      </c>
      <c r="S21" s="76">
        <f t="shared" si="130"/>
        <v>-492</v>
      </c>
      <c r="T21" s="76">
        <f t="shared" si="130"/>
        <v>-460</v>
      </c>
      <c r="U21" s="76">
        <f t="shared" si="130"/>
        <v>104</v>
      </c>
      <c r="V21" s="76">
        <f t="shared" si="130"/>
        <v>8</v>
      </c>
      <c r="W21" s="76">
        <f t="shared" si="130"/>
        <v>-8</v>
      </c>
      <c r="X21" s="76">
        <f t="shared" si="130"/>
        <v>12</v>
      </c>
      <c r="Y21" s="76">
        <f t="shared" si="130"/>
        <v>600</v>
      </c>
      <c r="Z21" s="76">
        <f t="shared" si="130"/>
        <v>-420</v>
      </c>
      <c r="AA21" s="76">
        <f t="shared" si="130"/>
        <v>-132</v>
      </c>
      <c r="AB21" s="76">
        <f t="shared" si="130"/>
        <v>-8</v>
      </c>
      <c r="AC21" s="76">
        <f t="shared" si="130"/>
        <v>8</v>
      </c>
      <c r="AD21" s="76">
        <f t="shared" si="130"/>
        <v>-144</v>
      </c>
      <c r="AE21" s="76">
        <f t="shared" si="130"/>
        <v>40</v>
      </c>
      <c r="AF21" s="76">
        <f t="shared" si="130"/>
        <v>28</v>
      </c>
      <c r="AG21" s="76">
        <f t="shared" si="130"/>
        <v>444</v>
      </c>
      <c r="AH21" s="76">
        <f t="shared" si="130"/>
        <v>680</v>
      </c>
      <c r="AI21" s="76">
        <f t="shared" ref="AI21:BD21" si="131">AI24-AI27</f>
        <v>572</v>
      </c>
      <c r="AJ21" s="76">
        <f t="shared" si="131"/>
        <v>572</v>
      </c>
      <c r="AK21" s="76">
        <f t="shared" si="131"/>
        <v>572</v>
      </c>
      <c r="AL21" s="76">
        <f t="shared" si="131"/>
        <v>572</v>
      </c>
      <c r="AM21" s="76">
        <f t="shared" si="131"/>
        <v>572</v>
      </c>
      <c r="AN21" s="76">
        <f t="shared" si="131"/>
        <v>572</v>
      </c>
      <c r="AO21" s="76">
        <f t="shared" si="131"/>
        <v>572</v>
      </c>
      <c r="AP21" s="76">
        <f t="shared" si="131"/>
        <v>572</v>
      </c>
      <c r="AQ21" s="76">
        <f t="shared" si="131"/>
        <v>572</v>
      </c>
      <c r="AR21" s="76">
        <f t="shared" si="131"/>
        <v>572</v>
      </c>
      <c r="AS21" s="76">
        <f t="shared" si="131"/>
        <v>572</v>
      </c>
      <c r="AT21" s="76">
        <f t="shared" si="131"/>
        <v>572</v>
      </c>
      <c r="AU21" s="76">
        <f t="shared" si="131"/>
        <v>572</v>
      </c>
      <c r="AV21" s="76">
        <f t="shared" si="131"/>
        <v>572</v>
      </c>
      <c r="AW21" s="76">
        <f t="shared" si="131"/>
        <v>572</v>
      </c>
      <c r="AX21" s="76">
        <f t="shared" si="131"/>
        <v>572</v>
      </c>
      <c r="AY21" s="76">
        <f t="shared" si="131"/>
        <v>572</v>
      </c>
      <c r="AZ21" s="76">
        <f t="shared" si="131"/>
        <v>572</v>
      </c>
      <c r="BA21" s="76">
        <f t="shared" si="131"/>
        <v>572</v>
      </c>
      <c r="BB21" s="76">
        <f t="shared" si="131"/>
        <v>572</v>
      </c>
      <c r="BC21" s="76">
        <f t="shared" si="131"/>
        <v>572</v>
      </c>
      <c r="BD21" s="76">
        <f t="shared" si="131"/>
        <v>2904</v>
      </c>
    </row>
    <row r="22" spans="1:56" ht="15" x14ac:dyDescent="0.25">
      <c r="B22" s="69"/>
      <c r="C22" s="69"/>
      <c r="D22" s="69"/>
      <c r="E22" s="69"/>
      <c r="F22" s="69"/>
      <c r="G22" s="69"/>
      <c r="H22" s="69"/>
      <c r="I22" s="69"/>
      <c r="J22" s="75" t="s">
        <v>30</v>
      </c>
      <c r="K22" s="69"/>
      <c r="L22" s="76">
        <f>L25-L28</f>
        <v>-176</v>
      </c>
      <c r="M22" s="76">
        <f t="shared" ref="M22:AH22" si="132">M25-M28</f>
        <v>-176</v>
      </c>
      <c r="N22" s="76">
        <f t="shared" si="132"/>
        <v>-1588</v>
      </c>
      <c r="O22" s="76">
        <f t="shared" si="132"/>
        <v>-1172</v>
      </c>
      <c r="P22" s="76">
        <f t="shared" si="132"/>
        <v>-652</v>
      </c>
      <c r="Q22" s="76">
        <f t="shared" si="132"/>
        <v>-348</v>
      </c>
      <c r="R22" s="76">
        <f t="shared" si="132"/>
        <v>-304</v>
      </c>
      <c r="S22" s="76">
        <f t="shared" si="132"/>
        <v>-796</v>
      </c>
      <c r="T22" s="76">
        <f t="shared" si="132"/>
        <v>-1256</v>
      </c>
      <c r="U22" s="76">
        <f t="shared" si="132"/>
        <v>-1152</v>
      </c>
      <c r="V22" s="76">
        <f t="shared" si="132"/>
        <v>-1144</v>
      </c>
      <c r="W22" s="76">
        <f t="shared" si="132"/>
        <v>-1152</v>
      </c>
      <c r="X22" s="76">
        <f t="shared" si="132"/>
        <v>-1140</v>
      </c>
      <c r="Y22" s="76">
        <f t="shared" si="132"/>
        <v>-540</v>
      </c>
      <c r="Z22" s="76">
        <f t="shared" si="132"/>
        <v>-960</v>
      </c>
      <c r="AA22" s="76">
        <f t="shared" si="132"/>
        <v>-1092</v>
      </c>
      <c r="AB22" s="76">
        <f t="shared" si="132"/>
        <v>-1100</v>
      </c>
      <c r="AC22" s="76">
        <f t="shared" si="132"/>
        <v>-1092</v>
      </c>
      <c r="AD22" s="76">
        <f t="shared" si="132"/>
        <v>-1236</v>
      </c>
      <c r="AE22" s="76">
        <f t="shared" si="132"/>
        <v>-1196</v>
      </c>
      <c r="AF22" s="76">
        <f t="shared" si="132"/>
        <v>-1168</v>
      </c>
      <c r="AG22" s="76">
        <f t="shared" si="132"/>
        <v>-724</v>
      </c>
      <c r="AH22" s="76">
        <f t="shared" si="132"/>
        <v>-44</v>
      </c>
      <c r="AI22" s="76">
        <f t="shared" ref="AI22:BD22" si="133">AI25-AI28</f>
        <v>528</v>
      </c>
      <c r="AJ22" s="76">
        <f t="shared" si="133"/>
        <v>1100</v>
      </c>
      <c r="AK22" s="76">
        <f t="shared" si="133"/>
        <v>1672</v>
      </c>
      <c r="AL22" s="76">
        <f t="shared" si="133"/>
        <v>2244</v>
      </c>
      <c r="AM22" s="76">
        <f t="shared" si="133"/>
        <v>2816</v>
      </c>
      <c r="AN22" s="76">
        <f t="shared" si="133"/>
        <v>3388</v>
      </c>
      <c r="AO22" s="76">
        <f t="shared" si="133"/>
        <v>3960</v>
      </c>
      <c r="AP22" s="76">
        <f t="shared" si="133"/>
        <v>4532</v>
      </c>
      <c r="AQ22" s="76">
        <f t="shared" si="133"/>
        <v>5104</v>
      </c>
      <c r="AR22" s="76">
        <f t="shared" si="133"/>
        <v>5676</v>
      </c>
      <c r="AS22" s="76">
        <f t="shared" si="133"/>
        <v>6248</v>
      </c>
      <c r="AT22" s="76">
        <f t="shared" si="133"/>
        <v>6820</v>
      </c>
      <c r="AU22" s="76">
        <f t="shared" si="133"/>
        <v>7392</v>
      </c>
      <c r="AV22" s="76">
        <f t="shared" si="133"/>
        <v>7964</v>
      </c>
      <c r="AW22" s="76">
        <f t="shared" si="133"/>
        <v>8536</v>
      </c>
      <c r="AX22" s="76">
        <f t="shared" si="133"/>
        <v>9108</v>
      </c>
      <c r="AY22" s="76">
        <f t="shared" si="133"/>
        <v>9680</v>
      </c>
      <c r="AZ22" s="76">
        <f t="shared" si="133"/>
        <v>10252</v>
      </c>
      <c r="BA22" s="76">
        <f t="shared" si="133"/>
        <v>10824</v>
      </c>
      <c r="BB22" s="76">
        <f t="shared" si="133"/>
        <v>11396</v>
      </c>
      <c r="BC22" s="76">
        <f t="shared" si="133"/>
        <v>11968</v>
      </c>
      <c r="BD22" s="76">
        <f t="shared" si="133"/>
        <v>230300</v>
      </c>
    </row>
    <row r="23" spans="1:56" ht="15" x14ac:dyDescent="0.25">
      <c r="B23" s="69" t="s">
        <v>31</v>
      </c>
      <c r="C23" s="69"/>
      <c r="D23" s="70">
        <v>46083</v>
      </c>
      <c r="E23" s="71" t="s">
        <v>0</v>
      </c>
      <c r="F23" s="71" t="s">
        <v>0</v>
      </c>
      <c r="G23" s="71" t="s">
        <v>0</v>
      </c>
      <c r="H23" s="71" t="s">
        <v>0</v>
      </c>
      <c r="I23" s="72"/>
      <c r="J23" s="72"/>
      <c r="K23" s="72" t="s">
        <v>0</v>
      </c>
      <c r="L23" s="72" t="s">
        <v>1</v>
      </c>
      <c r="M23" s="72" t="s">
        <v>2</v>
      </c>
      <c r="N23" s="72" t="s">
        <v>0</v>
      </c>
      <c r="O23" s="72" t="s">
        <v>0</v>
      </c>
      <c r="P23" s="72" t="s">
        <v>0</v>
      </c>
      <c r="Q23" s="72"/>
      <c r="R23" s="72"/>
      <c r="S23" s="72" t="s">
        <v>0</v>
      </c>
      <c r="T23" s="72" t="s">
        <v>0</v>
      </c>
      <c r="U23" s="72" t="s">
        <v>3</v>
      </c>
      <c r="V23" s="72" t="s">
        <v>0</v>
      </c>
      <c r="W23" s="72" t="s">
        <v>0</v>
      </c>
      <c r="X23" s="72"/>
      <c r="Y23" s="72" t="s">
        <v>0</v>
      </c>
      <c r="Z23" s="72" t="s">
        <v>0</v>
      </c>
      <c r="AA23" s="72" t="s">
        <v>0</v>
      </c>
      <c r="AB23" s="72" t="s">
        <v>0</v>
      </c>
      <c r="AC23" s="72" t="s">
        <v>0</v>
      </c>
      <c r="AD23" s="72" t="s">
        <v>0</v>
      </c>
      <c r="AE23" s="72" t="s">
        <v>0</v>
      </c>
      <c r="AF23" s="72" t="s">
        <v>0</v>
      </c>
      <c r="AG23" s="72" t="s">
        <v>0</v>
      </c>
      <c r="AH23" s="72" t="s">
        <v>4</v>
      </c>
      <c r="AI23" s="72" t="s">
        <v>4</v>
      </c>
      <c r="AJ23" s="72" t="s">
        <v>4</v>
      </c>
      <c r="AK23" s="72" t="s">
        <v>4</v>
      </c>
      <c r="AL23" s="72" t="s">
        <v>4</v>
      </c>
      <c r="AM23" s="72" t="s">
        <v>4</v>
      </c>
      <c r="AN23" s="72" t="s">
        <v>4</v>
      </c>
      <c r="AO23" s="72" t="s">
        <v>4</v>
      </c>
      <c r="AP23" s="72" t="s">
        <v>4</v>
      </c>
      <c r="AQ23" s="72" t="s">
        <v>4</v>
      </c>
      <c r="AR23" s="72" t="s">
        <v>4</v>
      </c>
      <c r="AS23" s="72" t="s">
        <v>4</v>
      </c>
      <c r="AT23" s="72" t="s">
        <v>4</v>
      </c>
      <c r="AU23" s="72" t="s">
        <v>4</v>
      </c>
      <c r="AV23" s="72" t="s">
        <v>4</v>
      </c>
      <c r="AW23" s="72" t="s">
        <v>4</v>
      </c>
      <c r="AX23" s="72" t="s">
        <v>4</v>
      </c>
      <c r="AY23" s="72" t="s">
        <v>4</v>
      </c>
      <c r="AZ23" s="72" t="s">
        <v>4</v>
      </c>
      <c r="BA23" s="72" t="s">
        <v>4</v>
      </c>
      <c r="BB23" s="72" t="s">
        <v>4</v>
      </c>
      <c r="BC23" s="72" t="s">
        <v>4</v>
      </c>
      <c r="BD23" s="72" t="s">
        <v>4</v>
      </c>
    </row>
    <row r="24" spans="1:56" ht="15" x14ac:dyDescent="0.25">
      <c r="B24" s="69" t="s">
        <v>6</v>
      </c>
      <c r="C24" s="69" t="s">
        <v>211</v>
      </c>
      <c r="D24" s="73" t="s">
        <v>32</v>
      </c>
      <c r="E24" s="120">
        <f>E6</f>
        <v>6652</v>
      </c>
      <c r="F24" s="120">
        <f t="shared" ref="F24:AH24" si="134">F6</f>
        <v>2784</v>
      </c>
      <c r="G24" s="120">
        <f t="shared" si="134"/>
        <v>2276</v>
      </c>
      <c r="H24" s="120">
        <f t="shared" si="134"/>
        <v>2648</v>
      </c>
      <c r="I24" s="120">
        <f t="shared" si="134"/>
        <v>2928</v>
      </c>
      <c r="J24" s="120">
        <f t="shared" si="134"/>
        <v>2688</v>
      </c>
      <c r="K24" s="120">
        <f t="shared" si="134"/>
        <v>3716</v>
      </c>
      <c r="L24" s="120">
        <f t="shared" si="134"/>
        <v>3720</v>
      </c>
      <c r="M24" s="120">
        <f t="shared" si="134"/>
        <v>0</v>
      </c>
      <c r="N24" s="120">
        <f t="shared" si="134"/>
        <v>2056</v>
      </c>
      <c r="O24" s="120">
        <f t="shared" si="134"/>
        <v>2640</v>
      </c>
      <c r="P24" s="120">
        <f t="shared" si="134"/>
        <v>2348</v>
      </c>
      <c r="Q24" s="120">
        <f t="shared" si="134"/>
        <v>1944</v>
      </c>
      <c r="R24" s="120">
        <f t="shared" si="134"/>
        <v>1620</v>
      </c>
      <c r="S24" s="120">
        <f t="shared" si="134"/>
        <v>1152</v>
      </c>
      <c r="T24" s="120">
        <f t="shared" si="134"/>
        <v>1192</v>
      </c>
      <c r="U24" s="120">
        <f t="shared" si="134"/>
        <v>1740</v>
      </c>
      <c r="V24" s="120">
        <f t="shared" si="134"/>
        <v>2184</v>
      </c>
      <c r="W24" s="120">
        <f t="shared" si="134"/>
        <v>2176</v>
      </c>
      <c r="X24" s="120">
        <f t="shared" si="134"/>
        <v>2180</v>
      </c>
      <c r="Y24" s="120">
        <f t="shared" si="134"/>
        <v>1656</v>
      </c>
      <c r="Z24" s="120">
        <f t="shared" si="134"/>
        <v>1704</v>
      </c>
      <c r="AA24" s="120">
        <f t="shared" si="134"/>
        <v>1804</v>
      </c>
      <c r="AB24" s="120">
        <f t="shared" si="134"/>
        <v>2096</v>
      </c>
      <c r="AC24" s="120">
        <f t="shared" si="134"/>
        <v>1508</v>
      </c>
      <c r="AD24" s="120">
        <f t="shared" si="134"/>
        <v>1908</v>
      </c>
      <c r="AE24" s="120">
        <f t="shared" si="134"/>
        <v>2364</v>
      </c>
      <c r="AF24" s="120">
        <f t="shared" si="134"/>
        <v>2360</v>
      </c>
      <c r="AG24" s="120">
        <f t="shared" si="134"/>
        <v>3076</v>
      </c>
      <c r="AH24" s="120">
        <f t="shared" si="134"/>
        <v>3012</v>
      </c>
      <c r="AI24" s="120">
        <f t="shared" ref="AI24:BD24" si="135">AI6</f>
        <v>2904</v>
      </c>
      <c r="AJ24" s="120">
        <f t="shared" si="135"/>
        <v>2904</v>
      </c>
      <c r="AK24" s="120">
        <f t="shared" si="135"/>
        <v>2904</v>
      </c>
      <c r="AL24" s="120">
        <f t="shared" si="135"/>
        <v>2904</v>
      </c>
      <c r="AM24" s="120">
        <f t="shared" si="135"/>
        <v>2904</v>
      </c>
      <c r="AN24" s="120">
        <f t="shared" si="135"/>
        <v>2904</v>
      </c>
      <c r="AO24" s="120">
        <f t="shared" si="135"/>
        <v>2904</v>
      </c>
      <c r="AP24" s="120">
        <f t="shared" si="135"/>
        <v>2904</v>
      </c>
      <c r="AQ24" s="120">
        <f t="shared" si="135"/>
        <v>2904</v>
      </c>
      <c r="AR24" s="120">
        <f t="shared" si="135"/>
        <v>2904</v>
      </c>
      <c r="AS24" s="120">
        <f t="shared" si="135"/>
        <v>2904</v>
      </c>
      <c r="AT24" s="120">
        <f t="shared" si="135"/>
        <v>2904</v>
      </c>
      <c r="AU24" s="120">
        <f t="shared" si="135"/>
        <v>2904</v>
      </c>
      <c r="AV24" s="120">
        <f t="shared" si="135"/>
        <v>2904</v>
      </c>
      <c r="AW24" s="120">
        <f t="shared" si="135"/>
        <v>2904</v>
      </c>
      <c r="AX24" s="120">
        <f t="shared" si="135"/>
        <v>2904</v>
      </c>
      <c r="AY24" s="120">
        <f t="shared" si="135"/>
        <v>2904</v>
      </c>
      <c r="AZ24" s="120">
        <f t="shared" si="135"/>
        <v>2904</v>
      </c>
      <c r="BA24" s="120">
        <f t="shared" si="135"/>
        <v>2904</v>
      </c>
      <c r="BB24" s="120">
        <f t="shared" si="135"/>
        <v>2904</v>
      </c>
      <c r="BC24" s="120">
        <f t="shared" si="135"/>
        <v>2904</v>
      </c>
      <c r="BD24" s="120">
        <f t="shared" si="135"/>
        <v>2904</v>
      </c>
    </row>
    <row r="25" spans="1:56" ht="15" x14ac:dyDescent="0.25">
      <c r="B25" s="69"/>
      <c r="C25" s="69"/>
      <c r="D25" s="73" t="s">
        <v>33</v>
      </c>
      <c r="E25" s="120">
        <f>E7</f>
        <v>102932</v>
      </c>
      <c r="F25" s="120">
        <f t="shared" ref="F25:AH25" si="136">F7</f>
        <v>105716</v>
      </c>
      <c r="G25" s="120">
        <f t="shared" si="136"/>
        <v>107992</v>
      </c>
      <c r="H25" s="120">
        <f t="shared" si="136"/>
        <v>110640</v>
      </c>
      <c r="I25" s="120">
        <f t="shared" si="136"/>
        <v>113568</v>
      </c>
      <c r="J25" s="120">
        <f t="shared" si="136"/>
        <v>116256</v>
      </c>
      <c r="K25" s="120">
        <f t="shared" si="136"/>
        <v>119972</v>
      </c>
      <c r="L25" s="120">
        <f t="shared" si="136"/>
        <v>123692</v>
      </c>
      <c r="M25" s="120">
        <f t="shared" si="136"/>
        <v>123692</v>
      </c>
      <c r="N25" s="120">
        <f t="shared" si="136"/>
        <v>125748</v>
      </c>
      <c r="O25" s="120">
        <f t="shared" si="136"/>
        <v>128388</v>
      </c>
      <c r="P25" s="120">
        <f t="shared" si="136"/>
        <v>130736</v>
      </c>
      <c r="Q25" s="120">
        <f t="shared" si="136"/>
        <v>132680</v>
      </c>
      <c r="R25" s="120">
        <f t="shared" si="136"/>
        <v>134300</v>
      </c>
      <c r="S25" s="120">
        <f t="shared" si="136"/>
        <v>135452</v>
      </c>
      <c r="T25" s="120">
        <f t="shared" si="136"/>
        <v>136644</v>
      </c>
      <c r="U25" s="120">
        <f t="shared" si="136"/>
        <v>138384</v>
      </c>
      <c r="V25" s="120">
        <f t="shared" si="136"/>
        <v>140568</v>
      </c>
      <c r="W25" s="120">
        <f t="shared" si="136"/>
        <v>142744</v>
      </c>
      <c r="X25" s="120">
        <f t="shared" si="136"/>
        <v>144924</v>
      </c>
      <c r="Y25" s="120">
        <f t="shared" si="136"/>
        <v>146580</v>
      </c>
      <c r="Z25" s="120">
        <f t="shared" si="136"/>
        <v>148284</v>
      </c>
      <c r="AA25" s="120">
        <f t="shared" si="136"/>
        <v>150088</v>
      </c>
      <c r="AB25" s="120">
        <f t="shared" si="136"/>
        <v>152184</v>
      </c>
      <c r="AC25" s="120">
        <f t="shared" si="136"/>
        <v>153692</v>
      </c>
      <c r="AD25" s="120">
        <f t="shared" si="136"/>
        <v>155600</v>
      </c>
      <c r="AE25" s="120">
        <f t="shared" si="136"/>
        <v>157964</v>
      </c>
      <c r="AF25" s="120">
        <f t="shared" si="136"/>
        <v>160324</v>
      </c>
      <c r="AG25" s="120">
        <f t="shared" si="136"/>
        <v>163400</v>
      </c>
      <c r="AH25" s="120">
        <f t="shared" si="136"/>
        <v>166412</v>
      </c>
      <c r="AI25" s="120">
        <f t="shared" ref="AI25:BD25" si="137">AI7</f>
        <v>169316</v>
      </c>
      <c r="AJ25" s="120">
        <f t="shared" si="137"/>
        <v>172220</v>
      </c>
      <c r="AK25" s="120">
        <f t="shared" si="137"/>
        <v>175124</v>
      </c>
      <c r="AL25" s="120">
        <f t="shared" si="137"/>
        <v>178028</v>
      </c>
      <c r="AM25" s="120">
        <f t="shared" si="137"/>
        <v>180932</v>
      </c>
      <c r="AN25" s="120">
        <f t="shared" si="137"/>
        <v>183836</v>
      </c>
      <c r="AO25" s="120">
        <f t="shared" si="137"/>
        <v>186740</v>
      </c>
      <c r="AP25" s="120">
        <f t="shared" si="137"/>
        <v>189644</v>
      </c>
      <c r="AQ25" s="120">
        <f t="shared" si="137"/>
        <v>192548</v>
      </c>
      <c r="AR25" s="120">
        <f t="shared" si="137"/>
        <v>195452</v>
      </c>
      <c r="AS25" s="120">
        <f t="shared" si="137"/>
        <v>198356</v>
      </c>
      <c r="AT25" s="120">
        <f t="shared" si="137"/>
        <v>201260</v>
      </c>
      <c r="AU25" s="120">
        <f t="shared" si="137"/>
        <v>204164</v>
      </c>
      <c r="AV25" s="120">
        <f t="shared" si="137"/>
        <v>207068</v>
      </c>
      <c r="AW25" s="120">
        <f t="shared" si="137"/>
        <v>209972</v>
      </c>
      <c r="AX25" s="120">
        <f t="shared" si="137"/>
        <v>212876</v>
      </c>
      <c r="AY25" s="120">
        <f t="shared" si="137"/>
        <v>215780</v>
      </c>
      <c r="AZ25" s="120">
        <f t="shared" si="137"/>
        <v>218684</v>
      </c>
      <c r="BA25" s="120">
        <f t="shared" si="137"/>
        <v>221588</v>
      </c>
      <c r="BB25" s="120">
        <f t="shared" si="137"/>
        <v>224492</v>
      </c>
      <c r="BC25" s="120">
        <f t="shared" si="137"/>
        <v>227396</v>
      </c>
      <c r="BD25" s="120">
        <f t="shared" si="137"/>
        <v>230300</v>
      </c>
    </row>
    <row r="26" spans="1:56" ht="15" x14ac:dyDescent="0.25">
      <c r="B26" s="69"/>
      <c r="C26" s="69"/>
      <c r="D26" s="70">
        <v>46076</v>
      </c>
      <c r="E26" s="72" t="s">
        <v>0</v>
      </c>
      <c r="F26" s="72" t="s">
        <v>0</v>
      </c>
      <c r="G26" s="72" t="s">
        <v>0</v>
      </c>
      <c r="H26" s="72"/>
      <c r="I26" s="72"/>
      <c r="J26" s="72" t="s">
        <v>0</v>
      </c>
      <c r="K26" s="72" t="s">
        <v>1</v>
      </c>
      <c r="L26" s="72" t="s">
        <v>2</v>
      </c>
      <c r="M26" s="72" t="s">
        <v>0</v>
      </c>
      <c r="N26" s="72" t="s">
        <v>0</v>
      </c>
      <c r="O26" s="72" t="s">
        <v>0</v>
      </c>
      <c r="P26" s="72"/>
      <c r="Q26" s="72"/>
      <c r="R26" s="72" t="s">
        <v>0</v>
      </c>
      <c r="S26" s="72" t="s">
        <v>0</v>
      </c>
      <c r="T26" s="72" t="s">
        <v>3</v>
      </c>
      <c r="U26" s="72" t="s">
        <v>0</v>
      </c>
      <c r="V26" s="72" t="s">
        <v>0</v>
      </c>
      <c r="W26" s="72"/>
      <c r="X26" s="72" t="s">
        <v>0</v>
      </c>
      <c r="Y26" s="72" t="s">
        <v>0</v>
      </c>
      <c r="Z26" s="72" t="s">
        <v>0</v>
      </c>
      <c r="AA26" s="72" t="s">
        <v>0</v>
      </c>
      <c r="AB26" s="72" t="s">
        <v>0</v>
      </c>
      <c r="AC26" s="72" t="s">
        <v>0</v>
      </c>
      <c r="AD26" s="72" t="s">
        <v>0</v>
      </c>
      <c r="AE26" s="72" t="s">
        <v>0</v>
      </c>
      <c r="AF26" s="72" t="s">
        <v>0</v>
      </c>
      <c r="AG26" s="72" t="s">
        <v>4</v>
      </c>
      <c r="AH26" s="72" t="s">
        <v>4</v>
      </c>
      <c r="AI26" s="72" t="s">
        <v>4</v>
      </c>
      <c r="AJ26" s="72" t="s">
        <v>4</v>
      </c>
      <c r="AK26" s="72" t="s">
        <v>4</v>
      </c>
      <c r="AL26" s="72" t="s">
        <v>4</v>
      </c>
      <c r="AM26" s="72" t="s">
        <v>4</v>
      </c>
      <c r="AN26" s="72" t="s">
        <v>4</v>
      </c>
      <c r="AO26" s="72" t="s">
        <v>4</v>
      </c>
      <c r="AP26" s="72" t="s">
        <v>4</v>
      </c>
      <c r="AQ26" s="72" t="s">
        <v>4</v>
      </c>
      <c r="AR26" s="72" t="s">
        <v>4</v>
      </c>
      <c r="AS26" s="72" t="s">
        <v>4</v>
      </c>
      <c r="AT26" s="72" t="s">
        <v>4</v>
      </c>
      <c r="AU26" s="72" t="s">
        <v>4</v>
      </c>
      <c r="AV26" s="72" t="s">
        <v>4</v>
      </c>
      <c r="AW26" s="72" t="s">
        <v>4</v>
      </c>
      <c r="AX26" s="72" t="s">
        <v>4</v>
      </c>
      <c r="AY26" s="72" t="s">
        <v>4</v>
      </c>
      <c r="AZ26" s="72" t="s">
        <v>4</v>
      </c>
      <c r="BA26" s="72" t="s">
        <v>4</v>
      </c>
      <c r="BB26" s="72" t="s">
        <v>4</v>
      </c>
      <c r="BC26" s="72" t="s">
        <v>4</v>
      </c>
      <c r="BD26" s="72"/>
    </row>
    <row r="27" spans="1:56" ht="15" x14ac:dyDescent="0.25">
      <c r="B27" s="69"/>
      <c r="C27" s="69"/>
      <c r="D27" s="73" t="s">
        <v>32</v>
      </c>
      <c r="E27" s="120">
        <v>2124</v>
      </c>
      <c r="F27" s="120">
        <v>2784</v>
      </c>
      <c r="G27" s="120">
        <v>2276</v>
      </c>
      <c r="H27" s="120">
        <v>2648</v>
      </c>
      <c r="I27" s="120">
        <v>2928</v>
      </c>
      <c r="J27" s="120">
        <v>2688</v>
      </c>
      <c r="K27" s="120">
        <v>3892</v>
      </c>
      <c r="L27" s="120">
        <v>3720</v>
      </c>
      <c r="M27" s="120">
        <v>0</v>
      </c>
      <c r="N27" s="120">
        <v>3468</v>
      </c>
      <c r="O27" s="120">
        <v>2224</v>
      </c>
      <c r="P27" s="120">
        <v>1828</v>
      </c>
      <c r="Q27" s="120">
        <v>1640</v>
      </c>
      <c r="R27" s="120">
        <v>1576</v>
      </c>
      <c r="S27" s="120">
        <v>1644</v>
      </c>
      <c r="T27" s="120">
        <v>1652</v>
      </c>
      <c r="U27" s="120">
        <v>1636</v>
      </c>
      <c r="V27" s="120">
        <v>2176</v>
      </c>
      <c r="W27" s="120">
        <v>2184</v>
      </c>
      <c r="X27" s="120">
        <v>2168</v>
      </c>
      <c r="Y27" s="120">
        <v>1056</v>
      </c>
      <c r="Z27" s="120">
        <v>2124</v>
      </c>
      <c r="AA27" s="120">
        <v>1936</v>
      </c>
      <c r="AB27" s="120">
        <v>2104</v>
      </c>
      <c r="AC27" s="120">
        <v>1500</v>
      </c>
      <c r="AD27" s="120">
        <v>2052</v>
      </c>
      <c r="AE27" s="120">
        <v>2324</v>
      </c>
      <c r="AF27" s="120">
        <v>2332</v>
      </c>
      <c r="AG27" s="120">
        <v>2632</v>
      </c>
      <c r="AH27" s="120">
        <v>2332</v>
      </c>
      <c r="AI27" s="120">
        <v>2332</v>
      </c>
      <c r="AJ27" s="120">
        <v>2332</v>
      </c>
      <c r="AK27" s="120">
        <v>2332</v>
      </c>
      <c r="AL27" s="120">
        <v>2332</v>
      </c>
      <c r="AM27" s="120">
        <v>2332</v>
      </c>
      <c r="AN27" s="120">
        <v>2332</v>
      </c>
      <c r="AO27" s="120">
        <v>2332</v>
      </c>
      <c r="AP27" s="120">
        <v>2332</v>
      </c>
      <c r="AQ27" s="120">
        <v>2332</v>
      </c>
      <c r="AR27" s="120">
        <v>2332</v>
      </c>
      <c r="AS27" s="120">
        <v>2332</v>
      </c>
      <c r="AT27" s="120">
        <v>2332</v>
      </c>
      <c r="AU27" s="120">
        <v>2332</v>
      </c>
      <c r="AV27" s="120">
        <v>2332</v>
      </c>
      <c r="AW27" s="120">
        <v>2332</v>
      </c>
      <c r="AX27" s="120">
        <v>2332</v>
      </c>
      <c r="AY27" s="120">
        <v>2332</v>
      </c>
      <c r="AZ27" s="120">
        <v>2332</v>
      </c>
      <c r="BA27" s="120">
        <v>2332</v>
      </c>
      <c r="BB27" s="120">
        <v>2332</v>
      </c>
      <c r="BC27" s="120">
        <v>2332</v>
      </c>
      <c r="BD27" s="120"/>
    </row>
    <row r="28" spans="1:56" ht="15" x14ac:dyDescent="0.25">
      <c r="B28" s="69"/>
      <c r="C28" s="69"/>
      <c r="D28" s="73" t="s">
        <v>33</v>
      </c>
      <c r="E28" s="120">
        <v>102932</v>
      </c>
      <c r="F28" s="120">
        <v>105716</v>
      </c>
      <c r="G28" s="120">
        <v>107992</v>
      </c>
      <c r="H28" s="120">
        <v>110640</v>
      </c>
      <c r="I28" s="120">
        <v>113568</v>
      </c>
      <c r="J28" s="120">
        <v>116256</v>
      </c>
      <c r="K28" s="120">
        <v>120148</v>
      </c>
      <c r="L28" s="120">
        <v>123868</v>
      </c>
      <c r="M28" s="120">
        <v>123868</v>
      </c>
      <c r="N28" s="120">
        <v>127336</v>
      </c>
      <c r="O28" s="120">
        <v>129560</v>
      </c>
      <c r="P28" s="120">
        <v>131388</v>
      </c>
      <c r="Q28" s="120">
        <v>133028</v>
      </c>
      <c r="R28" s="120">
        <v>134604</v>
      </c>
      <c r="S28" s="120">
        <v>136248</v>
      </c>
      <c r="T28" s="120">
        <v>137900</v>
      </c>
      <c r="U28" s="120">
        <v>139536</v>
      </c>
      <c r="V28" s="120">
        <v>141712</v>
      </c>
      <c r="W28" s="120">
        <v>143896</v>
      </c>
      <c r="X28" s="120">
        <v>146064</v>
      </c>
      <c r="Y28" s="120">
        <v>147120</v>
      </c>
      <c r="Z28" s="120">
        <v>149244</v>
      </c>
      <c r="AA28" s="120">
        <v>151180</v>
      </c>
      <c r="AB28" s="120">
        <v>153284</v>
      </c>
      <c r="AC28" s="120">
        <v>154784</v>
      </c>
      <c r="AD28" s="120">
        <v>156836</v>
      </c>
      <c r="AE28" s="120">
        <v>159160</v>
      </c>
      <c r="AF28" s="120">
        <v>161492</v>
      </c>
      <c r="AG28" s="120">
        <v>164124</v>
      </c>
      <c r="AH28" s="120">
        <v>166456</v>
      </c>
      <c r="AI28" s="120">
        <v>168788</v>
      </c>
      <c r="AJ28" s="120">
        <v>171120</v>
      </c>
      <c r="AK28" s="120">
        <v>173452</v>
      </c>
      <c r="AL28" s="120">
        <v>175784</v>
      </c>
      <c r="AM28" s="120">
        <v>178116</v>
      </c>
      <c r="AN28" s="120">
        <v>180448</v>
      </c>
      <c r="AO28" s="120">
        <v>182780</v>
      </c>
      <c r="AP28" s="120">
        <v>185112</v>
      </c>
      <c r="AQ28" s="120">
        <v>187444</v>
      </c>
      <c r="AR28" s="120">
        <v>189776</v>
      </c>
      <c r="AS28" s="120">
        <v>192108</v>
      </c>
      <c r="AT28" s="120">
        <v>194440</v>
      </c>
      <c r="AU28" s="120">
        <v>196772</v>
      </c>
      <c r="AV28" s="120">
        <v>199104</v>
      </c>
      <c r="AW28" s="120">
        <v>201436</v>
      </c>
      <c r="AX28" s="120">
        <v>203768</v>
      </c>
      <c r="AY28" s="120">
        <v>206100</v>
      </c>
      <c r="AZ28" s="120">
        <v>208432</v>
      </c>
      <c r="BA28" s="120">
        <v>210764</v>
      </c>
      <c r="BB28" s="120">
        <v>213096</v>
      </c>
      <c r="BC28" s="120">
        <v>215428</v>
      </c>
      <c r="BD28" s="120"/>
    </row>
    <row r="29" spans="1:56" ht="15" x14ac:dyDescent="0.25">
      <c r="B29" s="69"/>
      <c r="C29" s="69"/>
      <c r="D29" s="70">
        <v>46069</v>
      </c>
      <c r="E29" s="72" t="s">
        <v>0</v>
      </c>
      <c r="F29" s="72" t="s">
        <v>0</v>
      </c>
      <c r="G29" s="72"/>
      <c r="H29" s="72"/>
      <c r="I29" s="72" t="s">
        <v>0</v>
      </c>
      <c r="J29" s="72" t="s">
        <v>1</v>
      </c>
      <c r="K29" s="72" t="s">
        <v>2</v>
      </c>
      <c r="L29" s="72" t="s">
        <v>0</v>
      </c>
      <c r="M29" s="72" t="s">
        <v>0</v>
      </c>
      <c r="N29" s="72" t="s">
        <v>0</v>
      </c>
      <c r="O29" s="72"/>
      <c r="P29" s="72"/>
      <c r="Q29" s="72" t="s">
        <v>0</v>
      </c>
      <c r="R29" s="72" t="s">
        <v>0</v>
      </c>
      <c r="S29" s="72" t="s">
        <v>3</v>
      </c>
      <c r="T29" s="72" t="s">
        <v>0</v>
      </c>
      <c r="U29" s="72" t="s">
        <v>0</v>
      </c>
      <c r="V29" s="72"/>
      <c r="W29" s="72" t="s">
        <v>0</v>
      </c>
      <c r="X29" s="72" t="s">
        <v>0</v>
      </c>
      <c r="Y29" s="72" t="s">
        <v>0</v>
      </c>
      <c r="Z29" s="72" t="s">
        <v>0</v>
      </c>
      <c r="AA29" s="72" t="s">
        <v>0</v>
      </c>
      <c r="AB29" s="72" t="s">
        <v>0</v>
      </c>
      <c r="AC29" s="72" t="s">
        <v>0</v>
      </c>
      <c r="AD29" s="72" t="s">
        <v>0</v>
      </c>
      <c r="AE29" s="72" t="s">
        <v>0</v>
      </c>
      <c r="AF29" s="72" t="s">
        <v>4</v>
      </c>
      <c r="AG29" s="72" t="s">
        <v>4</v>
      </c>
      <c r="AH29" s="72" t="s">
        <v>4</v>
      </c>
      <c r="AI29" s="72" t="s">
        <v>4</v>
      </c>
      <c r="AJ29" s="72" t="s">
        <v>4</v>
      </c>
      <c r="AK29" s="72" t="s">
        <v>4</v>
      </c>
      <c r="AL29" s="72" t="s">
        <v>4</v>
      </c>
      <c r="AM29" s="72" t="s">
        <v>4</v>
      </c>
      <c r="AN29" s="72" t="s">
        <v>4</v>
      </c>
      <c r="AO29" s="72" t="s">
        <v>4</v>
      </c>
      <c r="AP29" s="72" t="s">
        <v>4</v>
      </c>
      <c r="AQ29" s="72" t="s">
        <v>4</v>
      </c>
      <c r="AR29" s="72" t="s">
        <v>4</v>
      </c>
      <c r="AS29" s="72" t="s">
        <v>4</v>
      </c>
      <c r="AT29" s="72" t="s">
        <v>4</v>
      </c>
      <c r="AU29" s="72" t="s">
        <v>4</v>
      </c>
      <c r="AV29" s="72" t="s">
        <v>4</v>
      </c>
      <c r="AW29" s="72" t="s">
        <v>4</v>
      </c>
      <c r="AX29" s="72" t="s">
        <v>4</v>
      </c>
      <c r="AY29" s="72" t="s">
        <v>4</v>
      </c>
      <c r="AZ29" s="72" t="s">
        <v>4</v>
      </c>
      <c r="BA29" s="72" t="s">
        <v>4</v>
      </c>
      <c r="BB29" s="72" t="s">
        <v>4</v>
      </c>
      <c r="BC29" s="72"/>
      <c r="BD29" s="72"/>
    </row>
    <row r="30" spans="1:56" ht="15" x14ac:dyDescent="0.25">
      <c r="B30" s="69"/>
      <c r="C30" s="69"/>
      <c r="D30" s="73" t="s">
        <v>32</v>
      </c>
      <c r="E30" s="120">
        <v>2124</v>
      </c>
      <c r="F30" s="120">
        <v>2784</v>
      </c>
      <c r="G30" s="120">
        <v>2276</v>
      </c>
      <c r="H30" s="120">
        <v>2648</v>
      </c>
      <c r="I30" s="120">
        <v>2928</v>
      </c>
      <c r="J30" s="120">
        <v>2688</v>
      </c>
      <c r="K30" s="120">
        <v>3892</v>
      </c>
      <c r="L30" s="120">
        <v>3892</v>
      </c>
      <c r="M30" s="120">
        <v>0</v>
      </c>
      <c r="N30" s="120">
        <v>2256</v>
      </c>
      <c r="O30" s="120">
        <v>2260</v>
      </c>
      <c r="P30" s="120">
        <v>2264</v>
      </c>
      <c r="Q30" s="120">
        <v>2272</v>
      </c>
      <c r="R30" s="120">
        <v>1552</v>
      </c>
      <c r="S30" s="120">
        <v>1612</v>
      </c>
      <c r="T30" s="120">
        <v>1628</v>
      </c>
      <c r="U30" s="120">
        <v>1612</v>
      </c>
      <c r="V30" s="120">
        <v>1636</v>
      </c>
      <c r="W30" s="120">
        <v>2180</v>
      </c>
      <c r="X30" s="120">
        <v>2172</v>
      </c>
      <c r="Y30" s="120">
        <v>1616</v>
      </c>
      <c r="Z30" s="120">
        <v>1752</v>
      </c>
      <c r="AA30" s="120">
        <v>1748</v>
      </c>
      <c r="AB30" s="120">
        <v>2112</v>
      </c>
      <c r="AC30" s="120">
        <v>1492</v>
      </c>
      <c r="AD30" s="120">
        <v>2056</v>
      </c>
      <c r="AE30" s="120">
        <v>2336</v>
      </c>
      <c r="AF30" s="120">
        <v>2424</v>
      </c>
      <c r="AG30" s="120">
        <v>1912</v>
      </c>
      <c r="AH30" s="120">
        <v>1912</v>
      </c>
      <c r="AI30" s="120">
        <v>1912</v>
      </c>
      <c r="AJ30" s="120">
        <v>1912</v>
      </c>
      <c r="AK30" s="120">
        <v>1912</v>
      </c>
      <c r="AL30" s="120">
        <v>1912</v>
      </c>
      <c r="AM30" s="120">
        <v>1912</v>
      </c>
      <c r="AN30" s="120">
        <v>1912</v>
      </c>
      <c r="AO30" s="120">
        <v>1912</v>
      </c>
      <c r="AP30" s="120">
        <v>1912</v>
      </c>
      <c r="AQ30" s="120">
        <v>1912</v>
      </c>
      <c r="AR30" s="120">
        <v>1912</v>
      </c>
      <c r="AS30" s="120">
        <v>1912</v>
      </c>
      <c r="AT30" s="120">
        <v>1912</v>
      </c>
      <c r="AU30" s="120">
        <v>1912</v>
      </c>
      <c r="AV30" s="120">
        <v>1912</v>
      </c>
      <c r="AW30" s="120">
        <v>1912</v>
      </c>
      <c r="AX30" s="120">
        <v>1912</v>
      </c>
      <c r="AY30" s="120">
        <v>1912</v>
      </c>
      <c r="AZ30" s="120">
        <v>1912</v>
      </c>
      <c r="BA30" s="120">
        <v>1912</v>
      </c>
      <c r="BB30" s="120">
        <v>1912</v>
      </c>
      <c r="BC30" s="120"/>
      <c r="BD30" s="120"/>
    </row>
    <row r="31" spans="1:56" ht="15" x14ac:dyDescent="0.25">
      <c r="B31" s="69"/>
      <c r="C31" s="69"/>
      <c r="D31" s="73" t="s">
        <v>33</v>
      </c>
      <c r="E31" s="120">
        <v>102932</v>
      </c>
      <c r="F31" s="120">
        <v>105716</v>
      </c>
      <c r="G31" s="120">
        <v>107992</v>
      </c>
      <c r="H31" s="120">
        <v>110640</v>
      </c>
      <c r="I31" s="120">
        <v>113568</v>
      </c>
      <c r="J31" s="120">
        <v>116256</v>
      </c>
      <c r="K31" s="120">
        <v>120148</v>
      </c>
      <c r="L31" s="120">
        <v>124040</v>
      </c>
      <c r="M31" s="120">
        <v>124040</v>
      </c>
      <c r="N31" s="120">
        <v>126296</v>
      </c>
      <c r="O31" s="120">
        <v>128556</v>
      </c>
      <c r="P31" s="120">
        <v>130820</v>
      </c>
      <c r="Q31" s="120">
        <v>133092</v>
      </c>
      <c r="R31" s="120">
        <v>134644</v>
      </c>
      <c r="S31" s="120">
        <v>136256</v>
      </c>
      <c r="T31" s="120">
        <v>137884</v>
      </c>
      <c r="U31" s="120">
        <v>139496</v>
      </c>
      <c r="V31" s="120">
        <v>141132</v>
      </c>
      <c r="W31" s="120">
        <v>143312</v>
      </c>
      <c r="X31" s="120">
        <v>145484</v>
      </c>
      <c r="Y31" s="120">
        <v>147100</v>
      </c>
      <c r="Z31" s="120">
        <v>148852</v>
      </c>
      <c r="AA31" s="120">
        <v>150600</v>
      </c>
      <c r="AB31" s="120">
        <v>152712</v>
      </c>
      <c r="AC31" s="120">
        <v>154204</v>
      </c>
      <c r="AD31" s="120">
        <v>156260</v>
      </c>
      <c r="AE31" s="120">
        <v>158596</v>
      </c>
      <c r="AF31" s="120">
        <v>161020</v>
      </c>
      <c r="AG31" s="120">
        <v>162932</v>
      </c>
      <c r="AH31" s="120">
        <v>164844</v>
      </c>
      <c r="AI31" s="120">
        <v>166756</v>
      </c>
      <c r="AJ31" s="120">
        <v>168668</v>
      </c>
      <c r="AK31" s="120">
        <v>170580</v>
      </c>
      <c r="AL31" s="120">
        <v>172492</v>
      </c>
      <c r="AM31" s="120">
        <v>174404</v>
      </c>
      <c r="AN31" s="120">
        <v>176316</v>
      </c>
      <c r="AO31" s="120">
        <v>178228</v>
      </c>
      <c r="AP31" s="120">
        <v>180140</v>
      </c>
      <c r="AQ31" s="120">
        <v>182052</v>
      </c>
      <c r="AR31" s="120">
        <v>183964</v>
      </c>
      <c r="AS31" s="120">
        <v>185876</v>
      </c>
      <c r="AT31" s="120">
        <v>187788</v>
      </c>
      <c r="AU31" s="120">
        <v>189700</v>
      </c>
      <c r="AV31" s="120">
        <v>191612</v>
      </c>
      <c r="AW31" s="120">
        <v>193524</v>
      </c>
      <c r="AX31" s="120">
        <v>195436</v>
      </c>
      <c r="AY31" s="120">
        <v>197348</v>
      </c>
      <c r="AZ31" s="120">
        <v>199260</v>
      </c>
      <c r="BA31" s="120">
        <v>201172</v>
      </c>
      <c r="BB31" s="120">
        <v>203084</v>
      </c>
      <c r="BC31" s="120"/>
      <c r="BD31" s="120"/>
    </row>
    <row r="32" spans="1:56" ht="15" x14ac:dyDescent="0.25">
      <c r="B32" s="69"/>
      <c r="C32" s="69"/>
      <c r="D32" s="70">
        <v>46062</v>
      </c>
      <c r="E32" s="72" t="s">
        <v>0</v>
      </c>
      <c r="F32" s="72"/>
      <c r="G32" s="72"/>
      <c r="H32" s="72" t="s">
        <v>0</v>
      </c>
      <c r="I32" s="72" t="s">
        <v>1</v>
      </c>
      <c r="J32" s="72" t="s">
        <v>2</v>
      </c>
      <c r="K32" s="72" t="s">
        <v>0</v>
      </c>
      <c r="L32" s="72" t="s">
        <v>0</v>
      </c>
      <c r="M32" s="72" t="s">
        <v>0</v>
      </c>
      <c r="N32" s="72"/>
      <c r="O32" s="72"/>
      <c r="P32" s="72" t="s">
        <v>0</v>
      </c>
      <c r="Q32" s="72" t="s">
        <v>0</v>
      </c>
      <c r="R32" s="72" t="s">
        <v>3</v>
      </c>
      <c r="S32" s="72" t="s">
        <v>0</v>
      </c>
      <c r="T32" s="72" t="s">
        <v>0</v>
      </c>
      <c r="U32" s="72"/>
      <c r="V32" s="72" t="s">
        <v>0</v>
      </c>
      <c r="W32" s="72" t="s">
        <v>0</v>
      </c>
      <c r="X32" s="72" t="s">
        <v>0</v>
      </c>
      <c r="Y32" s="72" t="s">
        <v>0</v>
      </c>
      <c r="Z32" s="72" t="s">
        <v>0</v>
      </c>
      <c r="AA32" s="72" t="s">
        <v>0</v>
      </c>
      <c r="AB32" s="72" t="s">
        <v>0</v>
      </c>
      <c r="AC32" s="72" t="s">
        <v>0</v>
      </c>
      <c r="AD32" s="72" t="s">
        <v>0</v>
      </c>
      <c r="AE32" s="72" t="s">
        <v>4</v>
      </c>
      <c r="AF32" s="72" t="s">
        <v>4</v>
      </c>
      <c r="AG32" s="72" t="s">
        <v>4</v>
      </c>
      <c r="AH32" s="72" t="s">
        <v>4</v>
      </c>
      <c r="AI32" s="72" t="s">
        <v>4</v>
      </c>
      <c r="AJ32" s="72" t="s">
        <v>4</v>
      </c>
      <c r="AK32" s="72" t="s">
        <v>4</v>
      </c>
      <c r="AL32" s="72" t="s">
        <v>4</v>
      </c>
      <c r="AM32" s="72" t="s">
        <v>4</v>
      </c>
      <c r="AN32" s="72" t="s">
        <v>4</v>
      </c>
      <c r="AO32" s="72" t="s">
        <v>4</v>
      </c>
      <c r="AP32" s="72" t="s">
        <v>4</v>
      </c>
      <c r="AQ32" s="72" t="s">
        <v>4</v>
      </c>
      <c r="AR32" s="72" t="s">
        <v>4</v>
      </c>
      <c r="AS32" s="72" t="s">
        <v>4</v>
      </c>
      <c r="AT32" s="72" t="s">
        <v>4</v>
      </c>
      <c r="AU32" s="72" t="s">
        <v>4</v>
      </c>
      <c r="AV32" s="72" t="s">
        <v>4</v>
      </c>
      <c r="AW32" s="72" t="s">
        <v>4</v>
      </c>
      <c r="AX32" s="72" t="s">
        <v>4</v>
      </c>
      <c r="AY32" s="72" t="s">
        <v>4</v>
      </c>
      <c r="AZ32" s="72" t="s">
        <v>4</v>
      </c>
      <c r="BA32" s="72" t="s">
        <v>4</v>
      </c>
      <c r="BB32" s="72"/>
      <c r="BC32" s="72"/>
      <c r="BD32" s="72"/>
    </row>
    <row r="33" spans="2:56" ht="15" x14ac:dyDescent="0.25">
      <c r="B33" s="69"/>
      <c r="C33" s="69"/>
      <c r="D33" s="73" t="s">
        <v>32</v>
      </c>
      <c r="E33" s="120">
        <v>2124</v>
      </c>
      <c r="F33" s="120">
        <v>2784</v>
      </c>
      <c r="G33" s="120">
        <v>2276</v>
      </c>
      <c r="H33" s="120">
        <v>2648</v>
      </c>
      <c r="I33" s="120">
        <v>2928</v>
      </c>
      <c r="J33" s="120">
        <v>2688</v>
      </c>
      <c r="K33" s="120">
        <v>4068</v>
      </c>
      <c r="L33" s="120">
        <v>4084</v>
      </c>
      <c r="M33" s="120">
        <v>0</v>
      </c>
      <c r="N33" s="120">
        <v>2284</v>
      </c>
      <c r="O33" s="120">
        <v>2256</v>
      </c>
      <c r="P33" s="120">
        <v>2148</v>
      </c>
      <c r="Q33" s="120">
        <v>2108</v>
      </c>
      <c r="R33" s="120">
        <v>1548</v>
      </c>
      <c r="S33" s="120">
        <v>1476</v>
      </c>
      <c r="T33" s="120">
        <v>1492</v>
      </c>
      <c r="U33" s="120">
        <v>1740</v>
      </c>
      <c r="V33" s="120">
        <v>2048</v>
      </c>
      <c r="W33" s="120">
        <v>2044</v>
      </c>
      <c r="X33" s="120">
        <v>2048</v>
      </c>
      <c r="Y33" s="120">
        <v>1776</v>
      </c>
      <c r="Z33" s="120">
        <v>1808</v>
      </c>
      <c r="AA33" s="120">
        <v>1800</v>
      </c>
      <c r="AB33" s="120">
        <v>1832</v>
      </c>
      <c r="AC33" s="120">
        <v>1872</v>
      </c>
      <c r="AD33" s="120">
        <v>1936</v>
      </c>
      <c r="AE33" s="120">
        <v>2076</v>
      </c>
      <c r="AF33" s="120">
        <v>1920</v>
      </c>
      <c r="AG33" s="120">
        <v>1920</v>
      </c>
      <c r="AH33" s="120">
        <v>1920</v>
      </c>
      <c r="AI33" s="120">
        <v>1920</v>
      </c>
      <c r="AJ33" s="120">
        <v>1920</v>
      </c>
      <c r="AK33" s="120">
        <v>1920</v>
      </c>
      <c r="AL33" s="120">
        <v>1920</v>
      </c>
      <c r="AM33" s="120">
        <v>1920</v>
      </c>
      <c r="AN33" s="120">
        <v>1920</v>
      </c>
      <c r="AO33" s="120">
        <v>1920</v>
      </c>
      <c r="AP33" s="120">
        <v>1920</v>
      </c>
      <c r="AQ33" s="120">
        <v>1920</v>
      </c>
      <c r="AR33" s="120">
        <v>1920</v>
      </c>
      <c r="AS33" s="120">
        <v>1920</v>
      </c>
      <c r="AT33" s="120">
        <v>1920</v>
      </c>
      <c r="AU33" s="120">
        <v>1920</v>
      </c>
      <c r="AV33" s="120">
        <v>1920</v>
      </c>
      <c r="AW33" s="120">
        <v>1920</v>
      </c>
      <c r="AX33" s="120">
        <v>1920</v>
      </c>
      <c r="AY33" s="120">
        <v>1920</v>
      </c>
      <c r="AZ33" s="120">
        <v>1920</v>
      </c>
      <c r="BA33" s="120">
        <v>1920</v>
      </c>
      <c r="BB33" s="120"/>
      <c r="BC33" s="120"/>
      <c r="BD33" s="120"/>
    </row>
    <row r="34" spans="2:56" ht="15" x14ac:dyDescent="0.25">
      <c r="B34" s="69"/>
      <c r="C34" s="69"/>
      <c r="D34" s="73" t="s">
        <v>33</v>
      </c>
      <c r="E34" s="120">
        <v>102932</v>
      </c>
      <c r="F34" s="120">
        <v>105716</v>
      </c>
      <c r="G34" s="120">
        <v>107992</v>
      </c>
      <c r="H34" s="120">
        <v>110640</v>
      </c>
      <c r="I34" s="120">
        <v>113568</v>
      </c>
      <c r="J34" s="120">
        <v>116256</v>
      </c>
      <c r="K34" s="120">
        <v>120324</v>
      </c>
      <c r="L34" s="120">
        <v>124408</v>
      </c>
      <c r="M34" s="120">
        <v>124408</v>
      </c>
      <c r="N34" s="120">
        <v>126692</v>
      </c>
      <c r="O34" s="120">
        <v>128948</v>
      </c>
      <c r="P34" s="120">
        <v>131096</v>
      </c>
      <c r="Q34" s="120">
        <v>133204</v>
      </c>
      <c r="R34" s="120">
        <v>134752</v>
      </c>
      <c r="S34" s="120">
        <v>136228</v>
      </c>
      <c r="T34" s="120">
        <v>137720</v>
      </c>
      <c r="U34" s="120">
        <v>139460</v>
      </c>
      <c r="V34" s="120">
        <v>141508</v>
      </c>
      <c r="W34" s="120">
        <v>143552</v>
      </c>
      <c r="X34" s="120">
        <v>145600</v>
      </c>
      <c r="Y34" s="120">
        <v>147376</v>
      </c>
      <c r="Z34" s="120">
        <v>149184</v>
      </c>
      <c r="AA34" s="120">
        <v>150984</v>
      </c>
      <c r="AB34" s="120">
        <v>152816</v>
      </c>
      <c r="AC34" s="120">
        <v>154688</v>
      </c>
      <c r="AD34" s="120">
        <v>156624</v>
      </c>
      <c r="AE34" s="120">
        <v>158700</v>
      </c>
      <c r="AF34" s="120">
        <v>160620</v>
      </c>
      <c r="AG34" s="120">
        <v>162540</v>
      </c>
      <c r="AH34" s="120">
        <v>164460</v>
      </c>
      <c r="AI34" s="120">
        <v>166380</v>
      </c>
      <c r="AJ34" s="120">
        <v>168300</v>
      </c>
      <c r="AK34" s="120">
        <v>170220</v>
      </c>
      <c r="AL34" s="120">
        <v>172140</v>
      </c>
      <c r="AM34" s="120">
        <v>174060</v>
      </c>
      <c r="AN34" s="120">
        <v>175980</v>
      </c>
      <c r="AO34" s="120">
        <v>177900</v>
      </c>
      <c r="AP34" s="120">
        <v>179820</v>
      </c>
      <c r="AQ34" s="120">
        <v>181740</v>
      </c>
      <c r="AR34" s="120">
        <v>183660</v>
      </c>
      <c r="AS34" s="120">
        <v>185580</v>
      </c>
      <c r="AT34" s="120">
        <v>187500</v>
      </c>
      <c r="AU34" s="120">
        <v>189420</v>
      </c>
      <c r="AV34" s="120">
        <v>191340</v>
      </c>
      <c r="AW34" s="120">
        <v>193260</v>
      </c>
      <c r="AX34" s="120">
        <v>195180</v>
      </c>
      <c r="AY34" s="120">
        <v>197100</v>
      </c>
      <c r="AZ34" s="120">
        <v>199020</v>
      </c>
      <c r="BA34" s="120">
        <v>200940</v>
      </c>
      <c r="BB34" s="120"/>
      <c r="BC34" s="120"/>
      <c r="BD34" s="120"/>
    </row>
    <row r="35" spans="2:56" ht="15" x14ac:dyDescent="0.25">
      <c r="B35" s="69"/>
      <c r="C35" s="69"/>
      <c r="D35" s="70">
        <v>46055</v>
      </c>
      <c r="E35" s="72"/>
      <c r="F35" s="72"/>
      <c r="G35" s="72" t="s">
        <v>0</v>
      </c>
      <c r="H35" s="72" t="s">
        <v>1</v>
      </c>
      <c r="I35" s="72" t="s">
        <v>2</v>
      </c>
      <c r="J35" s="72" t="s">
        <v>0</v>
      </c>
      <c r="K35" s="72" t="s">
        <v>0</v>
      </c>
      <c r="L35" s="72" t="s">
        <v>0</v>
      </c>
      <c r="M35" s="72"/>
      <c r="N35" s="72"/>
      <c r="O35" s="72" t="s">
        <v>0</v>
      </c>
      <c r="P35" s="72" t="s">
        <v>0</v>
      </c>
      <c r="Q35" s="72" t="s">
        <v>3</v>
      </c>
      <c r="R35" s="72" t="s">
        <v>0</v>
      </c>
      <c r="S35" s="72" t="s">
        <v>0</v>
      </c>
      <c r="T35" s="72"/>
      <c r="U35" s="72" t="s">
        <v>0</v>
      </c>
      <c r="V35" s="72" t="s">
        <v>0</v>
      </c>
      <c r="W35" s="72" t="s">
        <v>0</v>
      </c>
      <c r="X35" s="72" t="s">
        <v>0</v>
      </c>
      <c r="Y35" s="72" t="s">
        <v>0</v>
      </c>
      <c r="Z35" s="72" t="s">
        <v>0</v>
      </c>
      <c r="AA35" s="72" t="s">
        <v>0</v>
      </c>
      <c r="AB35" s="72" t="s">
        <v>0</v>
      </c>
      <c r="AC35" s="72" t="s">
        <v>0</v>
      </c>
      <c r="AD35" s="72" t="s">
        <v>4</v>
      </c>
      <c r="AE35" s="72" t="s">
        <v>4</v>
      </c>
      <c r="AF35" s="72" t="s">
        <v>4</v>
      </c>
      <c r="AG35" s="72" t="s">
        <v>4</v>
      </c>
      <c r="AH35" s="72" t="s">
        <v>4</v>
      </c>
      <c r="AI35" s="72" t="s">
        <v>4</v>
      </c>
      <c r="AJ35" s="72" t="s">
        <v>4</v>
      </c>
      <c r="AK35" s="72" t="s">
        <v>4</v>
      </c>
      <c r="AL35" s="72" t="s">
        <v>4</v>
      </c>
      <c r="AM35" s="72" t="s">
        <v>4</v>
      </c>
      <c r="AN35" s="72" t="s">
        <v>4</v>
      </c>
      <c r="AO35" s="72" t="s">
        <v>4</v>
      </c>
      <c r="AP35" s="72" t="s">
        <v>4</v>
      </c>
      <c r="AQ35" s="72" t="s">
        <v>4</v>
      </c>
      <c r="AR35" s="72" t="s">
        <v>4</v>
      </c>
      <c r="AS35" s="72" t="s">
        <v>4</v>
      </c>
      <c r="AT35" s="72" t="s">
        <v>4</v>
      </c>
      <c r="AU35" s="72" t="s">
        <v>4</v>
      </c>
      <c r="AV35" s="72" t="s">
        <v>4</v>
      </c>
      <c r="AW35" s="72" t="s">
        <v>4</v>
      </c>
      <c r="AX35" s="72" t="s">
        <v>4</v>
      </c>
      <c r="AY35" s="72" t="s">
        <v>4</v>
      </c>
      <c r="AZ35" s="72" t="s">
        <v>4</v>
      </c>
      <c r="BA35" s="72"/>
      <c r="BB35" s="72"/>
      <c r="BC35" s="72"/>
      <c r="BD35" s="72"/>
    </row>
    <row r="36" spans="2:56" ht="15" x14ac:dyDescent="0.25">
      <c r="B36" s="69"/>
      <c r="C36" s="69"/>
      <c r="D36" s="73" t="s">
        <v>32</v>
      </c>
      <c r="E36" s="120">
        <v>2124</v>
      </c>
      <c r="F36" s="120">
        <v>2784</v>
      </c>
      <c r="G36" s="120">
        <v>2276</v>
      </c>
      <c r="H36" s="120">
        <v>2648</v>
      </c>
      <c r="I36" s="120">
        <v>2928</v>
      </c>
      <c r="J36" s="120">
        <v>1640</v>
      </c>
      <c r="K36" s="120">
        <v>3236</v>
      </c>
      <c r="L36" s="120">
        <v>3328</v>
      </c>
      <c r="M36" s="120">
        <v>0</v>
      </c>
      <c r="N36" s="120">
        <v>2280</v>
      </c>
      <c r="O36" s="120">
        <v>2256</v>
      </c>
      <c r="P36" s="120">
        <v>2140</v>
      </c>
      <c r="Q36" s="120">
        <v>2136</v>
      </c>
      <c r="R36" s="120">
        <v>1488</v>
      </c>
      <c r="S36" s="120">
        <v>1408</v>
      </c>
      <c r="T36" s="120">
        <v>1424</v>
      </c>
      <c r="U36" s="120">
        <v>1412</v>
      </c>
      <c r="V36" s="120">
        <v>2132</v>
      </c>
      <c r="W36" s="120">
        <v>2164</v>
      </c>
      <c r="X36" s="120">
        <v>2180</v>
      </c>
      <c r="Y36" s="120">
        <v>1132</v>
      </c>
      <c r="Z36" s="120">
        <v>2100</v>
      </c>
      <c r="AA36" s="120">
        <v>1984</v>
      </c>
      <c r="AB36" s="120">
        <v>2136</v>
      </c>
      <c r="AC36" s="120">
        <v>1436</v>
      </c>
      <c r="AD36" s="120">
        <v>2376</v>
      </c>
      <c r="AE36" s="120">
        <v>2036</v>
      </c>
      <c r="AF36" s="120">
        <v>2036</v>
      </c>
      <c r="AG36" s="120">
        <v>2036</v>
      </c>
      <c r="AH36" s="120">
        <v>2036</v>
      </c>
      <c r="AI36" s="120">
        <v>2036</v>
      </c>
      <c r="AJ36" s="120">
        <v>2036</v>
      </c>
      <c r="AK36" s="120">
        <v>2036</v>
      </c>
      <c r="AL36" s="120">
        <v>2036</v>
      </c>
      <c r="AM36" s="120">
        <v>2036</v>
      </c>
      <c r="AN36" s="120">
        <v>2036</v>
      </c>
      <c r="AO36" s="120">
        <v>2036</v>
      </c>
      <c r="AP36" s="120">
        <v>2036</v>
      </c>
      <c r="AQ36" s="120">
        <v>2036</v>
      </c>
      <c r="AR36" s="120">
        <v>2036</v>
      </c>
      <c r="AS36" s="120">
        <v>2036</v>
      </c>
      <c r="AT36" s="120">
        <v>2036</v>
      </c>
      <c r="AU36" s="120">
        <v>2036</v>
      </c>
      <c r="AV36" s="120">
        <v>2036</v>
      </c>
      <c r="AW36" s="120">
        <v>2036</v>
      </c>
      <c r="AX36" s="120">
        <v>2036</v>
      </c>
      <c r="AY36" s="120">
        <v>2036</v>
      </c>
      <c r="AZ36" s="120">
        <v>2036</v>
      </c>
      <c r="BA36" s="120"/>
      <c r="BB36" s="120"/>
      <c r="BC36" s="120"/>
      <c r="BD36" s="120"/>
    </row>
    <row r="37" spans="2:56" ht="15" x14ac:dyDescent="0.25">
      <c r="B37" s="69"/>
      <c r="C37" s="69"/>
      <c r="D37" s="73" t="s">
        <v>33</v>
      </c>
      <c r="E37" s="120">
        <v>102932</v>
      </c>
      <c r="F37" s="120">
        <v>105716</v>
      </c>
      <c r="G37" s="120">
        <v>107992</v>
      </c>
      <c r="H37" s="120">
        <v>110640</v>
      </c>
      <c r="I37" s="120">
        <v>113568</v>
      </c>
      <c r="J37" s="120">
        <v>115208</v>
      </c>
      <c r="K37" s="120">
        <v>118444</v>
      </c>
      <c r="L37" s="120">
        <v>121772</v>
      </c>
      <c r="M37" s="120">
        <v>121772</v>
      </c>
      <c r="N37" s="120">
        <v>124052</v>
      </c>
      <c r="O37" s="120">
        <v>126308</v>
      </c>
      <c r="P37" s="120">
        <v>128448</v>
      </c>
      <c r="Q37" s="120">
        <v>130584</v>
      </c>
      <c r="R37" s="120">
        <v>132072</v>
      </c>
      <c r="S37" s="120">
        <v>133480</v>
      </c>
      <c r="T37" s="120">
        <v>134904</v>
      </c>
      <c r="U37" s="120">
        <v>136316</v>
      </c>
      <c r="V37" s="120">
        <v>138448</v>
      </c>
      <c r="W37" s="120">
        <v>140612</v>
      </c>
      <c r="X37" s="120">
        <v>142792</v>
      </c>
      <c r="Y37" s="120">
        <v>143924</v>
      </c>
      <c r="Z37" s="120">
        <v>146024</v>
      </c>
      <c r="AA37" s="120">
        <v>148008</v>
      </c>
      <c r="AB37" s="120">
        <v>150144</v>
      </c>
      <c r="AC37" s="120">
        <v>151580</v>
      </c>
      <c r="AD37" s="120">
        <v>153956</v>
      </c>
      <c r="AE37" s="120">
        <v>155992</v>
      </c>
      <c r="AF37" s="120">
        <v>158028</v>
      </c>
      <c r="AG37" s="120">
        <v>160064</v>
      </c>
      <c r="AH37" s="120">
        <v>162100</v>
      </c>
      <c r="AI37" s="120">
        <v>164136</v>
      </c>
      <c r="AJ37" s="120">
        <v>166172</v>
      </c>
      <c r="AK37" s="120">
        <v>168208</v>
      </c>
      <c r="AL37" s="120">
        <v>170244</v>
      </c>
      <c r="AM37" s="120">
        <v>172280</v>
      </c>
      <c r="AN37" s="120">
        <v>174316</v>
      </c>
      <c r="AO37" s="120">
        <v>176352</v>
      </c>
      <c r="AP37" s="120">
        <v>178388</v>
      </c>
      <c r="AQ37" s="120">
        <v>180424</v>
      </c>
      <c r="AR37" s="120">
        <v>182460</v>
      </c>
      <c r="AS37" s="120">
        <v>184496</v>
      </c>
      <c r="AT37" s="120">
        <v>186532</v>
      </c>
      <c r="AU37" s="120">
        <v>188568</v>
      </c>
      <c r="AV37" s="120">
        <v>190604</v>
      </c>
      <c r="AW37" s="120">
        <v>192640</v>
      </c>
      <c r="AX37" s="120">
        <v>194676</v>
      </c>
      <c r="AY37" s="120">
        <v>196712</v>
      </c>
      <c r="AZ37" s="120">
        <v>198748</v>
      </c>
      <c r="BA37" s="120"/>
      <c r="BB37" s="120"/>
      <c r="BC37" s="120"/>
      <c r="BD37" s="120"/>
    </row>
    <row r="38" spans="2:56" ht="15" x14ac:dyDescent="0.25">
      <c r="B38" s="69"/>
      <c r="C38" s="69"/>
      <c r="D38" s="70">
        <v>46048</v>
      </c>
      <c r="E38" s="72"/>
      <c r="F38" s="72" t="s">
        <v>0</v>
      </c>
      <c r="G38" s="72" t="s">
        <v>1</v>
      </c>
      <c r="H38" s="72" t="s">
        <v>2</v>
      </c>
      <c r="I38" s="72" t="s">
        <v>0</v>
      </c>
      <c r="J38" s="72" t="s">
        <v>0</v>
      </c>
      <c r="K38" s="72" t="s">
        <v>0</v>
      </c>
      <c r="L38" s="72"/>
      <c r="M38" s="72"/>
      <c r="N38" s="72" t="s">
        <v>0</v>
      </c>
      <c r="O38" s="72" t="s">
        <v>0</v>
      </c>
      <c r="P38" s="72" t="s">
        <v>3</v>
      </c>
      <c r="Q38" s="72" t="s">
        <v>0</v>
      </c>
      <c r="R38" s="72" t="s">
        <v>0</v>
      </c>
      <c r="S38" s="72"/>
      <c r="T38" s="72" t="s">
        <v>0</v>
      </c>
      <c r="U38" s="72" t="s">
        <v>0</v>
      </c>
      <c r="V38" s="72" t="s">
        <v>0</v>
      </c>
      <c r="W38" s="72" t="s">
        <v>0</v>
      </c>
      <c r="X38" s="72" t="s">
        <v>0</v>
      </c>
      <c r="Y38" s="72" t="s">
        <v>0</v>
      </c>
      <c r="Z38" s="72" t="s">
        <v>0</v>
      </c>
      <c r="AA38" s="72" t="s">
        <v>0</v>
      </c>
      <c r="AB38" s="72" t="s">
        <v>0</v>
      </c>
      <c r="AC38" s="72" t="s">
        <v>4</v>
      </c>
      <c r="AD38" s="72" t="s">
        <v>4</v>
      </c>
      <c r="AE38" s="72" t="s">
        <v>4</v>
      </c>
      <c r="AF38" s="72" t="s">
        <v>4</v>
      </c>
      <c r="AG38" s="72" t="s">
        <v>4</v>
      </c>
      <c r="AH38" s="72" t="s">
        <v>4</v>
      </c>
      <c r="AI38" s="72" t="s">
        <v>4</v>
      </c>
      <c r="AJ38" s="72" t="s">
        <v>4</v>
      </c>
      <c r="AK38" s="72" t="s">
        <v>4</v>
      </c>
      <c r="AL38" s="72" t="s">
        <v>4</v>
      </c>
      <c r="AM38" s="72" t="s">
        <v>4</v>
      </c>
      <c r="AN38" s="72" t="s">
        <v>4</v>
      </c>
      <c r="AO38" s="72" t="s">
        <v>4</v>
      </c>
      <c r="AP38" s="72" t="s">
        <v>4</v>
      </c>
      <c r="AQ38" s="72" t="s">
        <v>4</v>
      </c>
      <c r="AR38" s="72" t="s">
        <v>4</v>
      </c>
      <c r="AS38" s="72" t="s">
        <v>4</v>
      </c>
      <c r="AT38" s="72" t="s">
        <v>4</v>
      </c>
      <c r="AU38" s="72" t="s">
        <v>4</v>
      </c>
      <c r="AV38" s="72" t="s">
        <v>4</v>
      </c>
      <c r="AW38" s="72" t="s">
        <v>4</v>
      </c>
      <c r="AX38" s="72" t="s">
        <v>4</v>
      </c>
      <c r="AY38" s="72" t="s">
        <v>4</v>
      </c>
      <c r="AZ38" s="72"/>
      <c r="BA38" s="72"/>
      <c r="BB38" s="72"/>
      <c r="BC38" s="72"/>
      <c r="BD38" s="72"/>
    </row>
    <row r="39" spans="2:56" ht="15" x14ac:dyDescent="0.25">
      <c r="B39" s="69"/>
      <c r="C39" s="69"/>
      <c r="D39" s="73" t="s">
        <v>32</v>
      </c>
      <c r="E39" s="120">
        <v>2124</v>
      </c>
      <c r="F39" s="120">
        <v>2784</v>
      </c>
      <c r="G39" s="120">
        <v>2276</v>
      </c>
      <c r="H39" s="120">
        <v>2648</v>
      </c>
      <c r="I39" s="120">
        <v>3184</v>
      </c>
      <c r="J39" s="120">
        <v>2280</v>
      </c>
      <c r="K39" s="120">
        <v>3664</v>
      </c>
      <c r="L39" s="120">
        <v>3680</v>
      </c>
      <c r="M39" s="120">
        <v>0</v>
      </c>
      <c r="N39" s="120">
        <v>2268</v>
      </c>
      <c r="O39" s="120">
        <v>2256</v>
      </c>
      <c r="P39" s="120">
        <v>2024</v>
      </c>
      <c r="Q39" s="120">
        <v>1828</v>
      </c>
      <c r="R39" s="120">
        <v>1664</v>
      </c>
      <c r="S39" s="120">
        <v>1460</v>
      </c>
      <c r="T39" s="120">
        <v>1500</v>
      </c>
      <c r="U39" s="120">
        <v>1500</v>
      </c>
      <c r="V39" s="120">
        <v>2176</v>
      </c>
      <c r="W39" s="120">
        <v>2180</v>
      </c>
      <c r="X39" s="120">
        <v>2168</v>
      </c>
      <c r="Y39" s="120">
        <v>2036</v>
      </c>
      <c r="Z39" s="120">
        <v>1996</v>
      </c>
      <c r="AA39" s="120">
        <v>2040</v>
      </c>
      <c r="AB39" s="120">
        <v>2108</v>
      </c>
      <c r="AC39" s="120">
        <v>1812</v>
      </c>
      <c r="AD39" s="120">
        <v>1812</v>
      </c>
      <c r="AE39" s="120">
        <v>1812</v>
      </c>
      <c r="AF39" s="120">
        <v>1812</v>
      </c>
      <c r="AG39" s="120">
        <v>1812</v>
      </c>
      <c r="AH39" s="120">
        <v>1812</v>
      </c>
      <c r="AI39" s="120">
        <v>1812</v>
      </c>
      <c r="AJ39" s="120">
        <v>1812</v>
      </c>
      <c r="AK39" s="120">
        <v>1812</v>
      </c>
      <c r="AL39" s="120">
        <v>1812</v>
      </c>
      <c r="AM39" s="120">
        <v>1812</v>
      </c>
      <c r="AN39" s="120">
        <v>1812</v>
      </c>
      <c r="AO39" s="120">
        <v>1812</v>
      </c>
      <c r="AP39" s="120">
        <v>1812</v>
      </c>
      <c r="AQ39" s="120">
        <v>1812</v>
      </c>
      <c r="AR39" s="120">
        <v>1812</v>
      </c>
      <c r="AS39" s="120">
        <v>1812</v>
      </c>
      <c r="AT39" s="120">
        <v>1812</v>
      </c>
      <c r="AU39" s="120">
        <v>1812</v>
      </c>
      <c r="AV39" s="120">
        <v>1812</v>
      </c>
      <c r="AW39" s="120">
        <v>1812</v>
      </c>
      <c r="AX39" s="120">
        <v>1812</v>
      </c>
      <c r="AY39" s="120">
        <v>1812</v>
      </c>
      <c r="AZ39" s="120"/>
      <c r="BA39" s="120"/>
      <c r="BB39" s="120"/>
      <c r="BC39" s="120"/>
      <c r="BD39" s="120"/>
    </row>
    <row r="40" spans="2:56" ht="15" x14ac:dyDescent="0.25">
      <c r="B40" s="69"/>
      <c r="C40" s="69"/>
      <c r="D40" s="73" t="s">
        <v>33</v>
      </c>
      <c r="E40" s="120">
        <v>102932</v>
      </c>
      <c r="F40" s="120">
        <v>105716</v>
      </c>
      <c r="G40" s="120">
        <v>107992</v>
      </c>
      <c r="H40" s="120">
        <v>110640</v>
      </c>
      <c r="I40" s="120">
        <v>113824</v>
      </c>
      <c r="J40" s="120">
        <v>116104</v>
      </c>
      <c r="K40" s="120">
        <v>119768</v>
      </c>
      <c r="L40" s="120">
        <v>123448</v>
      </c>
      <c r="M40" s="120">
        <v>123448</v>
      </c>
      <c r="N40" s="120">
        <v>125716</v>
      </c>
      <c r="O40" s="120">
        <v>127972</v>
      </c>
      <c r="P40" s="120">
        <v>129996</v>
      </c>
      <c r="Q40" s="120">
        <v>131824</v>
      </c>
      <c r="R40" s="120">
        <v>133488</v>
      </c>
      <c r="S40" s="120">
        <v>134948</v>
      </c>
      <c r="T40" s="120">
        <v>136448</v>
      </c>
      <c r="U40" s="120">
        <v>137948</v>
      </c>
      <c r="V40" s="120">
        <v>140124</v>
      </c>
      <c r="W40" s="120">
        <v>142304</v>
      </c>
      <c r="X40" s="120">
        <v>144472</v>
      </c>
      <c r="Y40" s="120">
        <v>146508</v>
      </c>
      <c r="Z40" s="120">
        <v>148504</v>
      </c>
      <c r="AA40" s="120">
        <v>150544</v>
      </c>
      <c r="AB40" s="120">
        <v>152652</v>
      </c>
      <c r="AC40" s="120">
        <v>154464</v>
      </c>
      <c r="AD40" s="120">
        <v>156276</v>
      </c>
      <c r="AE40" s="120">
        <v>158088</v>
      </c>
      <c r="AF40" s="120">
        <v>159900</v>
      </c>
      <c r="AG40" s="120">
        <v>161712</v>
      </c>
      <c r="AH40" s="120">
        <v>163524</v>
      </c>
      <c r="AI40" s="120">
        <v>165336</v>
      </c>
      <c r="AJ40" s="120">
        <v>167148</v>
      </c>
      <c r="AK40" s="120">
        <v>168960</v>
      </c>
      <c r="AL40" s="120">
        <v>170772</v>
      </c>
      <c r="AM40" s="120">
        <v>172584</v>
      </c>
      <c r="AN40" s="120">
        <v>174396</v>
      </c>
      <c r="AO40" s="120">
        <v>176208</v>
      </c>
      <c r="AP40" s="120">
        <v>178020</v>
      </c>
      <c r="AQ40" s="120">
        <v>179832</v>
      </c>
      <c r="AR40" s="120">
        <v>181644</v>
      </c>
      <c r="AS40" s="120">
        <v>183456</v>
      </c>
      <c r="AT40" s="120">
        <v>185268</v>
      </c>
      <c r="AU40" s="120">
        <v>187080</v>
      </c>
      <c r="AV40" s="120">
        <v>188892</v>
      </c>
      <c r="AW40" s="120">
        <v>190704</v>
      </c>
      <c r="AX40" s="120">
        <v>192516</v>
      </c>
      <c r="AY40" s="120">
        <v>194328</v>
      </c>
      <c r="AZ40" s="120"/>
      <c r="BA40" s="120"/>
      <c r="BB40" s="120"/>
      <c r="BC40" s="120"/>
      <c r="BD40" s="120"/>
    </row>
    <row r="41" spans="2:56" ht="15" x14ac:dyDescent="0.25">
      <c r="B41" s="217"/>
      <c r="C41" s="69"/>
      <c r="D41" s="70">
        <v>46041</v>
      </c>
      <c r="E41" s="72" t="s">
        <v>0</v>
      </c>
      <c r="F41" s="72" t="s">
        <v>1</v>
      </c>
      <c r="G41" s="72" t="s">
        <v>2</v>
      </c>
      <c r="H41" s="72" t="s">
        <v>0</v>
      </c>
      <c r="I41" s="72" t="s">
        <v>0</v>
      </c>
      <c r="J41" s="72" t="s">
        <v>0</v>
      </c>
      <c r="K41" s="72"/>
      <c r="L41" s="72"/>
      <c r="M41" s="72" t="s">
        <v>0</v>
      </c>
      <c r="N41" s="72" t="s">
        <v>0</v>
      </c>
      <c r="O41" s="72" t="s">
        <v>3</v>
      </c>
      <c r="P41" s="72" t="s">
        <v>0</v>
      </c>
      <c r="Q41" s="72" t="s">
        <v>0</v>
      </c>
      <c r="R41" s="72"/>
      <c r="S41" s="72" t="s">
        <v>0</v>
      </c>
      <c r="T41" s="72" t="s">
        <v>0</v>
      </c>
      <c r="U41" s="72" t="s">
        <v>0</v>
      </c>
      <c r="V41" s="72" t="s">
        <v>0</v>
      </c>
      <c r="W41" s="72" t="s">
        <v>0</v>
      </c>
      <c r="X41" s="72" t="s">
        <v>0</v>
      </c>
      <c r="Y41" s="72" t="s">
        <v>0</v>
      </c>
      <c r="Z41" s="72" t="s">
        <v>0</v>
      </c>
      <c r="AA41" s="72" t="s">
        <v>0</v>
      </c>
      <c r="AB41" s="72" t="s">
        <v>4</v>
      </c>
      <c r="AC41" s="72" t="s">
        <v>4</v>
      </c>
      <c r="AD41" s="72" t="s">
        <v>4</v>
      </c>
      <c r="AE41" s="72" t="s">
        <v>4</v>
      </c>
      <c r="AF41" s="72" t="s">
        <v>4</v>
      </c>
      <c r="AG41" s="72" t="s">
        <v>4</v>
      </c>
      <c r="AH41" s="72" t="s">
        <v>4</v>
      </c>
      <c r="AI41" s="72" t="s">
        <v>4</v>
      </c>
      <c r="AJ41" s="72" t="s">
        <v>4</v>
      </c>
      <c r="AK41" s="72" t="s">
        <v>4</v>
      </c>
      <c r="AL41" s="72" t="s">
        <v>4</v>
      </c>
      <c r="AM41" s="72" t="s">
        <v>4</v>
      </c>
      <c r="AN41" s="72" t="s">
        <v>4</v>
      </c>
      <c r="AO41" s="72" t="s">
        <v>4</v>
      </c>
      <c r="AP41" s="72" t="s">
        <v>4</v>
      </c>
      <c r="AQ41" s="72" t="s">
        <v>4</v>
      </c>
      <c r="AR41" s="72" t="s">
        <v>4</v>
      </c>
      <c r="AS41" s="72" t="s">
        <v>4</v>
      </c>
      <c r="AT41" s="72" t="s">
        <v>4</v>
      </c>
      <c r="AU41" s="72" t="s">
        <v>4</v>
      </c>
      <c r="AV41" s="72" t="s">
        <v>4</v>
      </c>
      <c r="AW41" s="72" t="s">
        <v>4</v>
      </c>
      <c r="AX41" s="72" t="s">
        <v>4</v>
      </c>
      <c r="AY41" s="72"/>
      <c r="AZ41" s="72"/>
      <c r="BA41" s="72"/>
      <c r="BB41" s="72"/>
      <c r="BC41" s="72"/>
      <c r="BD41" s="72"/>
    </row>
    <row r="42" spans="2:56" ht="15" x14ac:dyDescent="0.25">
      <c r="B42" s="69"/>
      <c r="C42" s="69"/>
      <c r="D42" s="73" t="s">
        <v>32</v>
      </c>
      <c r="E42" s="120">
        <v>2124</v>
      </c>
      <c r="F42" s="120">
        <v>2608</v>
      </c>
      <c r="G42" s="120">
        <v>2276</v>
      </c>
      <c r="H42" s="120">
        <v>2592</v>
      </c>
      <c r="I42" s="120">
        <v>2472</v>
      </c>
      <c r="J42" s="120">
        <v>2540</v>
      </c>
      <c r="K42" s="120">
        <v>3372</v>
      </c>
      <c r="L42" s="120">
        <v>3388</v>
      </c>
      <c r="M42" s="120">
        <v>0</v>
      </c>
      <c r="N42" s="120">
        <v>2056</v>
      </c>
      <c r="O42" s="120">
        <v>2064</v>
      </c>
      <c r="P42" s="120">
        <v>1864</v>
      </c>
      <c r="Q42" s="120">
        <v>1848</v>
      </c>
      <c r="R42" s="120">
        <v>1640</v>
      </c>
      <c r="S42" s="120">
        <v>1460</v>
      </c>
      <c r="T42" s="120">
        <v>1532</v>
      </c>
      <c r="U42" s="120">
        <v>1552</v>
      </c>
      <c r="V42" s="120">
        <v>2064</v>
      </c>
      <c r="W42" s="120">
        <v>2064</v>
      </c>
      <c r="X42" s="120">
        <v>2064</v>
      </c>
      <c r="Y42" s="120">
        <v>1920</v>
      </c>
      <c r="Z42" s="120">
        <v>1916</v>
      </c>
      <c r="AA42" s="120">
        <v>2000</v>
      </c>
      <c r="AB42" s="120">
        <v>2000</v>
      </c>
      <c r="AC42" s="120">
        <v>2000</v>
      </c>
      <c r="AD42" s="120">
        <v>2000</v>
      </c>
      <c r="AE42" s="120">
        <v>2000</v>
      </c>
      <c r="AF42" s="120">
        <v>2000</v>
      </c>
      <c r="AG42" s="120">
        <v>2000</v>
      </c>
      <c r="AH42" s="120">
        <v>2000</v>
      </c>
      <c r="AI42" s="120">
        <v>2000</v>
      </c>
      <c r="AJ42" s="120">
        <v>2000</v>
      </c>
      <c r="AK42" s="120">
        <v>2000</v>
      </c>
      <c r="AL42" s="120">
        <v>2000</v>
      </c>
      <c r="AM42" s="120">
        <v>2000</v>
      </c>
      <c r="AN42" s="120">
        <v>2000</v>
      </c>
      <c r="AO42" s="120">
        <v>2000</v>
      </c>
      <c r="AP42" s="120">
        <v>2000</v>
      </c>
      <c r="AQ42" s="120">
        <v>2000</v>
      </c>
      <c r="AR42" s="120">
        <v>2000</v>
      </c>
      <c r="AS42" s="120">
        <v>2000</v>
      </c>
      <c r="AT42" s="120">
        <v>2000</v>
      </c>
      <c r="AU42" s="120">
        <v>2000</v>
      </c>
      <c r="AV42" s="120">
        <v>2000</v>
      </c>
      <c r="AW42" s="120">
        <v>2000</v>
      </c>
      <c r="AX42" s="120">
        <v>2000</v>
      </c>
      <c r="AY42" s="120"/>
      <c r="AZ42" s="120"/>
      <c r="BA42" s="120"/>
      <c r="BB42" s="120"/>
      <c r="BC42" s="120"/>
      <c r="BD42" s="120"/>
    </row>
    <row r="43" spans="2:56" ht="15" x14ac:dyDescent="0.25">
      <c r="B43" s="217"/>
      <c r="C43" s="69"/>
      <c r="D43" s="73" t="s">
        <v>33</v>
      </c>
      <c r="E43" s="120">
        <v>102932</v>
      </c>
      <c r="F43" s="120">
        <v>105540</v>
      </c>
      <c r="G43" s="120">
        <v>107816</v>
      </c>
      <c r="H43" s="120">
        <v>110408</v>
      </c>
      <c r="I43" s="120">
        <v>112880</v>
      </c>
      <c r="J43" s="120">
        <v>115420</v>
      </c>
      <c r="K43" s="120">
        <v>118792</v>
      </c>
      <c r="L43" s="120">
        <v>122180</v>
      </c>
      <c r="M43" s="120">
        <v>122180</v>
      </c>
      <c r="N43" s="120">
        <v>124236</v>
      </c>
      <c r="O43" s="120">
        <v>126300</v>
      </c>
      <c r="P43" s="120">
        <v>128164</v>
      </c>
      <c r="Q43" s="120">
        <v>130012</v>
      </c>
      <c r="R43" s="120">
        <v>131652</v>
      </c>
      <c r="S43" s="120">
        <v>133112</v>
      </c>
      <c r="T43" s="120">
        <v>134644</v>
      </c>
      <c r="U43" s="120">
        <v>136196</v>
      </c>
      <c r="V43" s="120">
        <v>138260</v>
      </c>
      <c r="W43" s="120">
        <v>140324</v>
      </c>
      <c r="X43" s="120">
        <v>142388</v>
      </c>
      <c r="Y43" s="120">
        <v>144308</v>
      </c>
      <c r="Z43" s="120">
        <v>146224</v>
      </c>
      <c r="AA43" s="120">
        <v>148224</v>
      </c>
      <c r="AB43" s="120">
        <v>150224</v>
      </c>
      <c r="AC43" s="120">
        <v>152224</v>
      </c>
      <c r="AD43" s="120">
        <v>154224</v>
      </c>
      <c r="AE43" s="120">
        <v>156224</v>
      </c>
      <c r="AF43" s="120">
        <v>158224</v>
      </c>
      <c r="AG43" s="120">
        <v>160224</v>
      </c>
      <c r="AH43" s="120">
        <v>162224</v>
      </c>
      <c r="AI43" s="120">
        <v>164224</v>
      </c>
      <c r="AJ43" s="120">
        <v>166224</v>
      </c>
      <c r="AK43" s="120">
        <v>168224</v>
      </c>
      <c r="AL43" s="120">
        <v>170224</v>
      </c>
      <c r="AM43" s="120">
        <v>172224</v>
      </c>
      <c r="AN43" s="120">
        <v>174224</v>
      </c>
      <c r="AO43" s="120">
        <v>176224</v>
      </c>
      <c r="AP43" s="120">
        <v>178224</v>
      </c>
      <c r="AQ43" s="120">
        <v>180224</v>
      </c>
      <c r="AR43" s="120">
        <v>182224</v>
      </c>
      <c r="AS43" s="120">
        <v>184224</v>
      </c>
      <c r="AT43" s="120">
        <v>186224</v>
      </c>
      <c r="AU43" s="120">
        <v>188224</v>
      </c>
      <c r="AV43" s="120">
        <v>190224</v>
      </c>
      <c r="AW43" s="120">
        <v>192224</v>
      </c>
      <c r="AX43" s="120">
        <v>194224</v>
      </c>
      <c r="AY43" s="120"/>
      <c r="AZ43" s="120"/>
      <c r="BA43" s="120"/>
      <c r="BB43" s="120"/>
      <c r="BC43" s="120"/>
      <c r="BD43" s="120"/>
    </row>
    <row r="44" spans="2:56" ht="15" x14ac:dyDescent="0.25">
      <c r="B44" s="69"/>
      <c r="C44" s="69"/>
      <c r="D44" s="70">
        <v>46034</v>
      </c>
      <c r="E44" s="72" t="s">
        <v>1</v>
      </c>
      <c r="F44" s="72" t="s">
        <v>2</v>
      </c>
      <c r="G44" s="72" t="s">
        <v>0</v>
      </c>
      <c r="H44" s="72" t="s">
        <v>0</v>
      </c>
      <c r="I44" s="72" t="s">
        <v>0</v>
      </c>
      <c r="J44" s="72"/>
      <c r="K44" s="72"/>
      <c r="L44" s="72" t="s">
        <v>0</v>
      </c>
      <c r="M44" s="72" t="s">
        <v>0</v>
      </c>
      <c r="N44" s="72" t="s">
        <v>3</v>
      </c>
      <c r="O44" s="72" t="s">
        <v>0</v>
      </c>
      <c r="P44" s="72" t="s">
        <v>0</v>
      </c>
      <c r="Q44" s="72"/>
      <c r="R44" s="72" t="s">
        <v>0</v>
      </c>
      <c r="S44" s="72" t="s">
        <v>0</v>
      </c>
      <c r="T44" s="72" t="s">
        <v>0</v>
      </c>
      <c r="U44" s="72" t="s">
        <v>0</v>
      </c>
      <c r="V44" s="72" t="s">
        <v>0</v>
      </c>
      <c r="W44" s="72" t="s">
        <v>0</v>
      </c>
      <c r="X44" s="72" t="s">
        <v>0</v>
      </c>
      <c r="Y44" s="72" t="s">
        <v>0</v>
      </c>
      <c r="Z44" s="72" t="s">
        <v>0</v>
      </c>
      <c r="AA44" s="72" t="s">
        <v>4</v>
      </c>
      <c r="AB44" s="72" t="s">
        <v>4</v>
      </c>
      <c r="AC44" s="72" t="s">
        <v>4</v>
      </c>
      <c r="AD44" s="72" t="s">
        <v>4</v>
      </c>
      <c r="AE44" s="72" t="s">
        <v>4</v>
      </c>
      <c r="AF44" s="72" t="s">
        <v>4</v>
      </c>
      <c r="AG44" s="72" t="s">
        <v>4</v>
      </c>
      <c r="AH44" s="72" t="s">
        <v>4</v>
      </c>
      <c r="AI44" s="72" t="s">
        <v>4</v>
      </c>
      <c r="AJ44" s="72" t="s">
        <v>4</v>
      </c>
      <c r="AK44" s="72" t="s">
        <v>4</v>
      </c>
      <c r="AL44" s="72" t="s">
        <v>4</v>
      </c>
      <c r="AM44" s="72" t="s">
        <v>4</v>
      </c>
      <c r="AN44" s="72" t="s">
        <v>4</v>
      </c>
      <c r="AO44" s="72" t="s">
        <v>4</v>
      </c>
      <c r="AP44" s="72" t="s">
        <v>4</v>
      </c>
      <c r="AQ44" s="72" t="s">
        <v>4</v>
      </c>
      <c r="AR44" s="72" t="s">
        <v>4</v>
      </c>
      <c r="AS44" s="72" t="s">
        <v>4</v>
      </c>
      <c r="AT44" s="72" t="s">
        <v>4</v>
      </c>
      <c r="AU44" s="72" t="s">
        <v>4</v>
      </c>
      <c r="AV44" s="72" t="s">
        <v>4</v>
      </c>
      <c r="AW44" s="72" t="s">
        <v>4</v>
      </c>
      <c r="AX44" s="72"/>
      <c r="AY44" s="72"/>
      <c r="AZ44" s="72"/>
      <c r="BA44" s="72"/>
      <c r="BB44" s="72"/>
      <c r="BC44" s="72"/>
      <c r="BD44" s="72"/>
    </row>
    <row r="45" spans="2:56" ht="15" x14ac:dyDescent="0.25">
      <c r="B45" s="69"/>
      <c r="C45" s="69"/>
      <c r="D45" s="73" t="s">
        <v>32</v>
      </c>
      <c r="E45" s="120">
        <v>2124</v>
      </c>
      <c r="F45" s="120">
        <v>2608</v>
      </c>
      <c r="G45" s="120">
        <v>2304</v>
      </c>
      <c r="H45" s="120">
        <v>2496</v>
      </c>
      <c r="I45" s="120">
        <v>2500</v>
      </c>
      <c r="J45" s="120">
        <v>2448</v>
      </c>
      <c r="K45" s="120">
        <v>3000</v>
      </c>
      <c r="L45" s="120">
        <v>2856</v>
      </c>
      <c r="M45" s="120">
        <v>0</v>
      </c>
      <c r="N45" s="120">
        <v>2164</v>
      </c>
      <c r="O45" s="120">
        <v>2732</v>
      </c>
      <c r="P45" s="120">
        <v>2012</v>
      </c>
      <c r="Q45" s="120">
        <v>1912</v>
      </c>
      <c r="R45" s="120">
        <v>1636</v>
      </c>
      <c r="S45" s="120">
        <v>1456</v>
      </c>
      <c r="T45" s="120">
        <v>1548</v>
      </c>
      <c r="U45" s="120">
        <v>1548</v>
      </c>
      <c r="V45" s="120">
        <v>2060</v>
      </c>
      <c r="W45" s="120">
        <v>2064</v>
      </c>
      <c r="X45" s="120">
        <v>2060</v>
      </c>
      <c r="Y45" s="120">
        <v>1928</v>
      </c>
      <c r="Z45" s="120">
        <v>2060</v>
      </c>
      <c r="AA45" s="120">
        <v>2064</v>
      </c>
      <c r="AB45" s="120">
        <v>2064</v>
      </c>
      <c r="AC45" s="120">
        <v>2064</v>
      </c>
      <c r="AD45" s="120">
        <v>2064</v>
      </c>
      <c r="AE45" s="120">
        <v>2064</v>
      </c>
      <c r="AF45" s="120">
        <v>2064</v>
      </c>
      <c r="AG45" s="120">
        <v>2064</v>
      </c>
      <c r="AH45" s="120">
        <v>2064</v>
      </c>
      <c r="AI45" s="120">
        <v>2064</v>
      </c>
      <c r="AJ45" s="120">
        <v>2064</v>
      </c>
      <c r="AK45" s="120">
        <v>2064</v>
      </c>
      <c r="AL45" s="120">
        <v>2064</v>
      </c>
      <c r="AM45" s="120">
        <v>2064</v>
      </c>
      <c r="AN45" s="120">
        <v>2064</v>
      </c>
      <c r="AO45" s="120">
        <v>2064</v>
      </c>
      <c r="AP45" s="120">
        <v>2064</v>
      </c>
      <c r="AQ45" s="120">
        <v>2064</v>
      </c>
      <c r="AR45" s="120">
        <v>2064</v>
      </c>
      <c r="AS45" s="120">
        <v>2064</v>
      </c>
      <c r="AT45" s="120">
        <v>2064</v>
      </c>
      <c r="AU45" s="120">
        <v>2064</v>
      </c>
      <c r="AV45" s="120">
        <v>2064</v>
      </c>
      <c r="AW45" s="120">
        <v>2064</v>
      </c>
      <c r="AX45" s="120"/>
      <c r="AY45" s="120"/>
      <c r="AZ45" s="120"/>
      <c r="BA45" s="120"/>
      <c r="BB45" s="120"/>
      <c r="BC45" s="120"/>
      <c r="BD45" s="120"/>
    </row>
    <row r="46" spans="2:56" ht="15" x14ac:dyDescent="0.25">
      <c r="B46" s="69"/>
      <c r="C46" s="69"/>
      <c r="D46" s="73" t="s">
        <v>33</v>
      </c>
      <c r="E46" s="120">
        <v>102932</v>
      </c>
      <c r="F46" s="120">
        <v>105540</v>
      </c>
      <c r="G46" s="120">
        <v>107844</v>
      </c>
      <c r="H46" s="120">
        <v>110340</v>
      </c>
      <c r="I46" s="120">
        <v>112840</v>
      </c>
      <c r="J46" s="120">
        <v>115288</v>
      </c>
      <c r="K46" s="120">
        <v>118288</v>
      </c>
      <c r="L46" s="120">
        <v>121144</v>
      </c>
      <c r="M46" s="120">
        <v>121144</v>
      </c>
      <c r="N46" s="120">
        <v>123308</v>
      </c>
      <c r="O46" s="120">
        <v>126040</v>
      </c>
      <c r="P46" s="120">
        <v>128052</v>
      </c>
      <c r="Q46" s="120">
        <v>129964</v>
      </c>
      <c r="R46" s="120">
        <v>131600</v>
      </c>
      <c r="S46" s="120">
        <v>133056</v>
      </c>
      <c r="T46" s="120">
        <v>134604</v>
      </c>
      <c r="U46" s="120">
        <v>136152</v>
      </c>
      <c r="V46" s="120">
        <v>138212</v>
      </c>
      <c r="W46" s="120">
        <v>140276</v>
      </c>
      <c r="X46" s="120">
        <v>142336</v>
      </c>
      <c r="Y46" s="120">
        <v>144264</v>
      </c>
      <c r="Z46" s="120">
        <v>146324</v>
      </c>
      <c r="AA46" s="120">
        <v>148388</v>
      </c>
      <c r="AB46" s="120">
        <v>150452</v>
      </c>
      <c r="AC46" s="120">
        <v>152516</v>
      </c>
      <c r="AD46" s="120">
        <v>154580</v>
      </c>
      <c r="AE46" s="120">
        <v>156644</v>
      </c>
      <c r="AF46" s="120">
        <v>158708</v>
      </c>
      <c r="AG46" s="120">
        <v>160772</v>
      </c>
      <c r="AH46" s="120">
        <v>162836</v>
      </c>
      <c r="AI46" s="120">
        <v>164900</v>
      </c>
      <c r="AJ46" s="120">
        <v>166964</v>
      </c>
      <c r="AK46" s="120">
        <v>169028</v>
      </c>
      <c r="AL46" s="120">
        <v>171092</v>
      </c>
      <c r="AM46" s="120">
        <v>173156</v>
      </c>
      <c r="AN46" s="120">
        <v>175220</v>
      </c>
      <c r="AO46" s="120">
        <v>177284</v>
      </c>
      <c r="AP46" s="120">
        <v>179348</v>
      </c>
      <c r="AQ46" s="120">
        <v>181412</v>
      </c>
      <c r="AR46" s="120">
        <v>183476</v>
      </c>
      <c r="AS46" s="120">
        <v>185540</v>
      </c>
      <c r="AT46" s="120">
        <v>187604</v>
      </c>
      <c r="AU46" s="120">
        <v>189668</v>
      </c>
      <c r="AV46" s="120">
        <v>191732</v>
      </c>
      <c r="AW46" s="120">
        <v>193796</v>
      </c>
      <c r="AX46" s="120"/>
      <c r="AY46" s="120"/>
      <c r="AZ46" s="120"/>
      <c r="BA46" s="120"/>
      <c r="BB46" s="120"/>
      <c r="BC46" s="120"/>
      <c r="BD46" s="120"/>
    </row>
    <row r="47" spans="2:56" ht="15" x14ac:dyDescent="0.25">
      <c r="B47" s="69"/>
      <c r="C47" s="69"/>
      <c r="D47" s="70">
        <v>46027</v>
      </c>
      <c r="E47" s="72" t="s">
        <v>2</v>
      </c>
      <c r="F47" s="72" t="s">
        <v>0</v>
      </c>
      <c r="G47" s="72" t="s">
        <v>0</v>
      </c>
      <c r="H47" s="72" t="s">
        <v>0</v>
      </c>
      <c r="I47" s="72"/>
      <c r="J47" s="72"/>
      <c r="K47" s="72" t="s">
        <v>0</v>
      </c>
      <c r="L47" s="72" t="s">
        <v>0</v>
      </c>
      <c r="M47" s="72" t="s">
        <v>3</v>
      </c>
      <c r="N47" s="72" t="s">
        <v>0</v>
      </c>
      <c r="O47" s="72" t="s">
        <v>0</v>
      </c>
      <c r="P47" s="72"/>
      <c r="Q47" s="72" t="s">
        <v>0</v>
      </c>
      <c r="R47" s="72" t="s">
        <v>0</v>
      </c>
      <c r="S47" s="72" t="s">
        <v>0</v>
      </c>
      <c r="T47" s="72" t="s">
        <v>0</v>
      </c>
      <c r="U47" s="72" t="s">
        <v>0</v>
      </c>
      <c r="V47" s="72" t="s">
        <v>0</v>
      </c>
      <c r="W47" s="72" t="s">
        <v>0</v>
      </c>
      <c r="X47" s="72" t="s">
        <v>0</v>
      </c>
      <c r="Y47" s="72" t="s">
        <v>0</v>
      </c>
      <c r="Z47" s="72" t="s">
        <v>4</v>
      </c>
      <c r="AA47" s="72" t="s">
        <v>4</v>
      </c>
      <c r="AB47" s="72" t="s">
        <v>4</v>
      </c>
      <c r="AC47" s="72" t="s">
        <v>4</v>
      </c>
      <c r="AD47" s="72" t="s">
        <v>4</v>
      </c>
      <c r="AE47" s="72" t="s">
        <v>4</v>
      </c>
      <c r="AF47" s="72" t="s">
        <v>4</v>
      </c>
      <c r="AG47" s="72" t="s">
        <v>4</v>
      </c>
      <c r="AH47" s="72" t="s">
        <v>4</v>
      </c>
      <c r="AI47" s="72" t="s">
        <v>4</v>
      </c>
      <c r="AJ47" s="72" t="s">
        <v>4</v>
      </c>
      <c r="AK47" s="72" t="s">
        <v>4</v>
      </c>
      <c r="AL47" s="72" t="s">
        <v>4</v>
      </c>
      <c r="AM47" s="72" t="s">
        <v>4</v>
      </c>
      <c r="AN47" s="72" t="s">
        <v>4</v>
      </c>
      <c r="AO47" s="72" t="s">
        <v>4</v>
      </c>
      <c r="AP47" s="72" t="s">
        <v>4</v>
      </c>
      <c r="AQ47" s="72" t="s">
        <v>4</v>
      </c>
      <c r="AR47" s="72" t="s">
        <v>4</v>
      </c>
      <c r="AS47" s="72" t="s">
        <v>4</v>
      </c>
      <c r="AT47" s="72" t="s">
        <v>4</v>
      </c>
      <c r="AU47" s="72" t="s">
        <v>4</v>
      </c>
      <c r="AV47" s="72" t="s">
        <v>4</v>
      </c>
      <c r="AW47" s="72"/>
      <c r="AX47" s="72"/>
      <c r="AY47" s="72"/>
      <c r="AZ47" s="72"/>
      <c r="BA47" s="72"/>
      <c r="BB47" s="72"/>
      <c r="BC47" s="72"/>
      <c r="BD47" s="72"/>
    </row>
    <row r="48" spans="2:56" ht="15" x14ac:dyDescent="0.25">
      <c r="B48" s="69"/>
      <c r="C48" s="69"/>
      <c r="D48" s="73" t="s">
        <v>32</v>
      </c>
      <c r="E48" s="120">
        <v>2124</v>
      </c>
      <c r="F48" s="120">
        <v>2636</v>
      </c>
      <c r="G48" s="120">
        <v>2476</v>
      </c>
      <c r="H48" s="120">
        <v>2492</v>
      </c>
      <c r="I48" s="120">
        <v>2512</v>
      </c>
      <c r="J48" s="120">
        <v>2996</v>
      </c>
      <c r="K48" s="120">
        <v>3000</v>
      </c>
      <c r="L48" s="120">
        <v>3012</v>
      </c>
      <c r="M48" s="120">
        <v>0</v>
      </c>
      <c r="N48" s="120">
        <v>2068</v>
      </c>
      <c r="O48" s="120">
        <v>2068</v>
      </c>
      <c r="P48" s="120">
        <v>2016</v>
      </c>
      <c r="Q48" s="120">
        <v>1904</v>
      </c>
      <c r="R48" s="120">
        <v>1816</v>
      </c>
      <c r="S48" s="120">
        <v>1300</v>
      </c>
      <c r="T48" s="120">
        <v>2068</v>
      </c>
      <c r="U48" s="120">
        <v>2060</v>
      </c>
      <c r="V48" s="120">
        <v>2064</v>
      </c>
      <c r="W48" s="120">
        <v>2064</v>
      </c>
      <c r="X48" s="120">
        <v>2064</v>
      </c>
      <c r="Y48" s="120">
        <v>1932</v>
      </c>
      <c r="Z48" s="120">
        <v>2068</v>
      </c>
      <c r="AA48" s="120">
        <v>2068</v>
      </c>
      <c r="AB48" s="120">
        <v>2068</v>
      </c>
      <c r="AC48" s="120">
        <v>2068</v>
      </c>
      <c r="AD48" s="120">
        <v>2068</v>
      </c>
      <c r="AE48" s="120">
        <v>2068</v>
      </c>
      <c r="AF48" s="120">
        <v>2068</v>
      </c>
      <c r="AG48" s="120">
        <v>2068</v>
      </c>
      <c r="AH48" s="120">
        <v>2068</v>
      </c>
      <c r="AI48" s="120">
        <v>2068</v>
      </c>
      <c r="AJ48" s="120">
        <v>2068</v>
      </c>
      <c r="AK48" s="120">
        <v>2068</v>
      </c>
      <c r="AL48" s="120">
        <v>2068</v>
      </c>
      <c r="AM48" s="120">
        <v>2068</v>
      </c>
      <c r="AN48" s="120">
        <v>2068</v>
      </c>
      <c r="AO48" s="120">
        <v>2068</v>
      </c>
      <c r="AP48" s="120">
        <v>2068</v>
      </c>
      <c r="AQ48" s="120">
        <v>2068</v>
      </c>
      <c r="AR48" s="120">
        <v>2068</v>
      </c>
      <c r="AS48" s="120">
        <v>2068</v>
      </c>
      <c r="AT48" s="120">
        <v>2068</v>
      </c>
      <c r="AU48" s="120">
        <v>2068</v>
      </c>
      <c r="AV48" s="120">
        <v>2068</v>
      </c>
      <c r="AW48" s="120"/>
      <c r="AX48" s="120"/>
      <c r="AY48" s="120"/>
      <c r="AZ48" s="120"/>
      <c r="BA48" s="120"/>
      <c r="BB48" s="120"/>
      <c r="BC48" s="120"/>
      <c r="BD48" s="120"/>
    </row>
    <row r="49" spans="1:56" ht="15" x14ac:dyDescent="0.25">
      <c r="B49" s="69"/>
      <c r="C49" s="69"/>
      <c r="D49" s="73" t="s">
        <v>33</v>
      </c>
      <c r="E49" s="120">
        <v>102932</v>
      </c>
      <c r="F49" s="120">
        <v>105568</v>
      </c>
      <c r="G49" s="120">
        <v>108044</v>
      </c>
      <c r="H49" s="120">
        <v>110536</v>
      </c>
      <c r="I49" s="120">
        <v>113048</v>
      </c>
      <c r="J49" s="120">
        <v>116044</v>
      </c>
      <c r="K49" s="120">
        <v>119044</v>
      </c>
      <c r="L49" s="120">
        <v>122056</v>
      </c>
      <c r="M49" s="120">
        <v>122056</v>
      </c>
      <c r="N49" s="120">
        <v>124124</v>
      </c>
      <c r="O49" s="120">
        <v>126192</v>
      </c>
      <c r="P49" s="120">
        <v>128208</v>
      </c>
      <c r="Q49" s="120">
        <v>130112</v>
      </c>
      <c r="R49" s="120">
        <v>131928</v>
      </c>
      <c r="S49" s="120">
        <v>133228</v>
      </c>
      <c r="T49" s="120">
        <v>135296</v>
      </c>
      <c r="U49" s="120">
        <v>137356</v>
      </c>
      <c r="V49" s="120">
        <v>139420</v>
      </c>
      <c r="W49" s="120">
        <v>141484</v>
      </c>
      <c r="X49" s="120">
        <v>143548</v>
      </c>
      <c r="Y49" s="120">
        <v>145480</v>
      </c>
      <c r="Z49" s="120">
        <v>147548</v>
      </c>
      <c r="AA49" s="120">
        <v>149616</v>
      </c>
      <c r="AB49" s="120">
        <v>151684</v>
      </c>
      <c r="AC49" s="120">
        <v>153752</v>
      </c>
      <c r="AD49" s="120">
        <v>155820</v>
      </c>
      <c r="AE49" s="120">
        <v>157888</v>
      </c>
      <c r="AF49" s="120">
        <v>159956</v>
      </c>
      <c r="AG49" s="120">
        <v>162024</v>
      </c>
      <c r="AH49" s="120">
        <v>164092</v>
      </c>
      <c r="AI49" s="120">
        <v>166160</v>
      </c>
      <c r="AJ49" s="120">
        <v>168228</v>
      </c>
      <c r="AK49" s="120">
        <v>170296</v>
      </c>
      <c r="AL49" s="120">
        <v>172364</v>
      </c>
      <c r="AM49" s="120">
        <v>174432</v>
      </c>
      <c r="AN49" s="120">
        <v>176500</v>
      </c>
      <c r="AO49" s="120">
        <v>178568</v>
      </c>
      <c r="AP49" s="120">
        <v>180636</v>
      </c>
      <c r="AQ49" s="120">
        <v>182704</v>
      </c>
      <c r="AR49" s="120">
        <v>184772</v>
      </c>
      <c r="AS49" s="120">
        <v>186840</v>
      </c>
      <c r="AT49" s="120">
        <v>188908</v>
      </c>
      <c r="AU49" s="120">
        <v>190976</v>
      </c>
      <c r="AV49" s="120">
        <v>193044</v>
      </c>
      <c r="AW49" s="120"/>
      <c r="AX49" s="120"/>
      <c r="AY49" s="120"/>
      <c r="AZ49" s="120"/>
      <c r="BA49" s="120"/>
      <c r="BB49" s="120"/>
      <c r="BC49" s="120"/>
      <c r="BD49" s="120"/>
    </row>
    <row r="50" spans="1:56" ht="15" x14ac:dyDescent="0.25">
      <c r="B50" s="69"/>
      <c r="C50" s="69"/>
      <c r="D50" s="70">
        <v>46020</v>
      </c>
      <c r="E50" s="72" t="s">
        <v>0</v>
      </c>
      <c r="F50" s="72" t="s">
        <v>0</v>
      </c>
      <c r="G50" s="72" t="s">
        <v>0</v>
      </c>
      <c r="H50" s="72"/>
      <c r="I50" s="72"/>
      <c r="J50" s="72" t="s">
        <v>0</v>
      </c>
      <c r="K50" s="72" t="s">
        <v>0</v>
      </c>
      <c r="L50" s="72" t="s">
        <v>3</v>
      </c>
      <c r="M50" s="72"/>
      <c r="N50" s="72" t="s">
        <v>0</v>
      </c>
      <c r="O50" s="72" t="s">
        <v>0</v>
      </c>
      <c r="P50" s="72" t="s">
        <v>0</v>
      </c>
      <c r="Q50" s="72" t="s">
        <v>0</v>
      </c>
      <c r="R50" s="72" t="s">
        <v>0</v>
      </c>
      <c r="S50" s="72" t="s">
        <v>0</v>
      </c>
      <c r="T50" s="72" t="s">
        <v>0</v>
      </c>
      <c r="U50" s="72" t="s">
        <v>0</v>
      </c>
      <c r="V50" s="72" t="s">
        <v>0</v>
      </c>
      <c r="W50" s="72" t="s">
        <v>4</v>
      </c>
      <c r="X50" s="72" t="s">
        <v>4</v>
      </c>
      <c r="Y50" s="72" t="s">
        <v>4</v>
      </c>
      <c r="Z50" s="72" t="s">
        <v>4</v>
      </c>
      <c r="AA50" s="72" t="s">
        <v>4</v>
      </c>
      <c r="AB50" s="72" t="s">
        <v>4</v>
      </c>
      <c r="AC50" s="72" t="s">
        <v>4</v>
      </c>
      <c r="AD50" s="72" t="s">
        <v>4</v>
      </c>
      <c r="AE50" s="72" t="s">
        <v>4</v>
      </c>
      <c r="AF50" s="72" t="s">
        <v>4</v>
      </c>
      <c r="AG50" s="72" t="s">
        <v>4</v>
      </c>
      <c r="AH50" s="72" t="s">
        <v>4</v>
      </c>
      <c r="AI50" s="72" t="s">
        <v>4</v>
      </c>
      <c r="AJ50" s="72" t="s">
        <v>4</v>
      </c>
      <c r="AK50" s="72" t="s">
        <v>4</v>
      </c>
      <c r="AL50" s="72" t="s">
        <v>4</v>
      </c>
      <c r="AM50" s="72" t="s">
        <v>4</v>
      </c>
      <c r="AN50" s="72" t="s">
        <v>4</v>
      </c>
      <c r="AO50" s="72" t="s">
        <v>4</v>
      </c>
      <c r="AP50" s="72" t="s">
        <v>4</v>
      </c>
      <c r="AQ50" s="72" t="s">
        <v>4</v>
      </c>
      <c r="AR50" s="72" t="s">
        <v>4</v>
      </c>
      <c r="AS50" s="72" t="s">
        <v>4</v>
      </c>
      <c r="AT50" s="72" t="s">
        <v>4</v>
      </c>
      <c r="AU50" s="72" t="s">
        <v>4</v>
      </c>
      <c r="AV50" s="72"/>
      <c r="AW50" s="72"/>
      <c r="AX50" s="72"/>
      <c r="AY50" s="72"/>
      <c r="AZ50" s="72"/>
      <c r="BA50" s="72"/>
      <c r="BB50" s="72"/>
      <c r="BC50" s="72"/>
      <c r="BD50" s="72"/>
    </row>
    <row r="51" spans="1:56" ht="15" x14ac:dyDescent="0.25">
      <c r="B51" s="69"/>
      <c r="C51" s="69"/>
      <c r="D51" s="73" t="s">
        <v>32</v>
      </c>
      <c r="E51" s="120">
        <v>2140</v>
      </c>
      <c r="F51" s="120">
        <v>2556</v>
      </c>
      <c r="G51" s="120">
        <v>2568</v>
      </c>
      <c r="H51" s="120">
        <v>2560</v>
      </c>
      <c r="I51" s="120">
        <v>2544</v>
      </c>
      <c r="J51" s="120">
        <v>3120</v>
      </c>
      <c r="K51" s="120">
        <v>3104</v>
      </c>
      <c r="L51" s="120">
        <v>3092</v>
      </c>
      <c r="M51" s="120">
        <v>0</v>
      </c>
      <c r="N51" s="120">
        <v>2068</v>
      </c>
      <c r="O51" s="120">
        <v>2060</v>
      </c>
      <c r="P51" s="120">
        <v>2068</v>
      </c>
      <c r="Q51" s="120">
        <v>2056</v>
      </c>
      <c r="R51" s="120">
        <v>2068</v>
      </c>
      <c r="S51" s="120">
        <v>2056</v>
      </c>
      <c r="T51" s="120">
        <v>2072</v>
      </c>
      <c r="U51" s="120">
        <v>2056</v>
      </c>
      <c r="V51" s="120">
        <v>2068</v>
      </c>
      <c r="W51" s="120">
        <v>2068</v>
      </c>
      <c r="X51" s="120">
        <v>2068</v>
      </c>
      <c r="Y51" s="120">
        <v>2068</v>
      </c>
      <c r="Z51" s="120">
        <v>2068</v>
      </c>
      <c r="AA51" s="120">
        <v>2068</v>
      </c>
      <c r="AB51" s="120">
        <v>2068</v>
      </c>
      <c r="AC51" s="120">
        <v>2068</v>
      </c>
      <c r="AD51" s="120">
        <v>2068</v>
      </c>
      <c r="AE51" s="120">
        <v>2068</v>
      </c>
      <c r="AF51" s="120">
        <v>2068</v>
      </c>
      <c r="AG51" s="120">
        <v>2068</v>
      </c>
      <c r="AH51" s="120">
        <v>2068</v>
      </c>
      <c r="AI51" s="120">
        <v>2068</v>
      </c>
      <c r="AJ51" s="120">
        <v>2068</v>
      </c>
      <c r="AK51" s="120">
        <v>2068</v>
      </c>
      <c r="AL51" s="120">
        <v>2068</v>
      </c>
      <c r="AM51" s="120">
        <v>2068</v>
      </c>
      <c r="AN51" s="120">
        <v>2068</v>
      </c>
      <c r="AO51" s="120">
        <v>2068</v>
      </c>
      <c r="AP51" s="120">
        <v>2068</v>
      </c>
      <c r="AQ51" s="120">
        <v>2068</v>
      </c>
      <c r="AR51" s="120">
        <v>2068</v>
      </c>
      <c r="AS51" s="120">
        <v>2068</v>
      </c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</row>
    <row r="52" spans="1:56" ht="15" x14ac:dyDescent="0.25">
      <c r="B52" s="74"/>
      <c r="C52" s="74"/>
      <c r="D52" s="73" t="s">
        <v>33</v>
      </c>
      <c r="E52" s="120">
        <v>102948</v>
      </c>
      <c r="F52" s="120">
        <v>105504</v>
      </c>
      <c r="G52" s="120">
        <v>108072</v>
      </c>
      <c r="H52" s="120">
        <v>110632</v>
      </c>
      <c r="I52" s="120">
        <v>113176</v>
      </c>
      <c r="J52" s="120">
        <v>116296</v>
      </c>
      <c r="K52" s="120">
        <v>119400</v>
      </c>
      <c r="L52" s="120">
        <v>122492</v>
      </c>
      <c r="M52" s="120">
        <v>122492</v>
      </c>
      <c r="N52" s="120">
        <v>124560</v>
      </c>
      <c r="O52" s="120">
        <v>126620</v>
      </c>
      <c r="P52" s="120">
        <v>128688</v>
      </c>
      <c r="Q52" s="120">
        <v>130744</v>
      </c>
      <c r="R52" s="120">
        <v>132812</v>
      </c>
      <c r="S52" s="120">
        <v>134868</v>
      </c>
      <c r="T52" s="120">
        <v>136940</v>
      </c>
      <c r="U52" s="120">
        <v>138996</v>
      </c>
      <c r="V52" s="120">
        <v>141064</v>
      </c>
      <c r="W52" s="120">
        <v>143132</v>
      </c>
      <c r="X52" s="120">
        <v>145200</v>
      </c>
      <c r="Y52" s="120">
        <v>147268</v>
      </c>
      <c r="Z52" s="120">
        <v>149336</v>
      </c>
      <c r="AA52" s="120">
        <v>151404</v>
      </c>
      <c r="AB52" s="120">
        <v>153472</v>
      </c>
      <c r="AC52" s="120">
        <v>155540</v>
      </c>
      <c r="AD52" s="120">
        <v>157608</v>
      </c>
      <c r="AE52" s="120">
        <v>159676</v>
      </c>
      <c r="AF52" s="120">
        <v>161744</v>
      </c>
      <c r="AG52" s="120">
        <v>163812</v>
      </c>
      <c r="AH52" s="120">
        <v>165880</v>
      </c>
      <c r="AI52" s="120">
        <v>167948</v>
      </c>
      <c r="AJ52" s="120">
        <v>170016</v>
      </c>
      <c r="AK52" s="120">
        <v>172084</v>
      </c>
      <c r="AL52" s="120">
        <v>174152</v>
      </c>
      <c r="AM52" s="120">
        <v>176220</v>
      </c>
      <c r="AN52" s="120">
        <v>178288</v>
      </c>
      <c r="AO52" s="120">
        <v>180356</v>
      </c>
      <c r="AP52" s="120">
        <v>182424</v>
      </c>
      <c r="AQ52" s="120">
        <v>184492</v>
      </c>
      <c r="AR52" s="120">
        <v>186560</v>
      </c>
      <c r="AS52" s="120">
        <v>188628</v>
      </c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</row>
    <row r="53" spans="1:56" ht="15" x14ac:dyDescent="0.25">
      <c r="B53" s="69"/>
      <c r="C53" s="69"/>
      <c r="D53" s="70">
        <v>46013</v>
      </c>
      <c r="E53" s="72" t="s">
        <v>0</v>
      </c>
      <c r="F53" s="72" t="s">
        <v>0</v>
      </c>
      <c r="G53" s="72"/>
      <c r="H53" s="72"/>
      <c r="I53" s="72" t="s">
        <v>0</v>
      </c>
      <c r="J53" s="72" t="s">
        <v>0</v>
      </c>
      <c r="K53" s="72" t="s">
        <v>3</v>
      </c>
      <c r="L53" s="72" t="s">
        <v>0</v>
      </c>
      <c r="M53" s="72"/>
      <c r="N53" s="72" t="s">
        <v>0</v>
      </c>
      <c r="O53" s="72" t="s">
        <v>0</v>
      </c>
      <c r="P53" s="72" t="s">
        <v>0</v>
      </c>
      <c r="Q53" s="72" t="s">
        <v>0</v>
      </c>
      <c r="R53" s="72" t="s">
        <v>0</v>
      </c>
      <c r="S53" s="72" t="s">
        <v>0</v>
      </c>
      <c r="T53" s="72" t="s">
        <v>0</v>
      </c>
      <c r="U53" s="72" t="s">
        <v>0</v>
      </c>
      <c r="V53" s="72" t="s">
        <v>0</v>
      </c>
      <c r="W53" s="72" t="s">
        <v>4</v>
      </c>
      <c r="X53" s="72" t="s">
        <v>4</v>
      </c>
      <c r="Y53" s="72" t="s">
        <v>4</v>
      </c>
      <c r="Z53" s="72" t="s">
        <v>4</v>
      </c>
      <c r="AA53" s="72" t="s">
        <v>4</v>
      </c>
      <c r="AB53" s="72" t="s">
        <v>4</v>
      </c>
      <c r="AC53" s="72" t="s">
        <v>4</v>
      </c>
      <c r="AD53" s="72" t="s">
        <v>4</v>
      </c>
      <c r="AE53" s="72" t="s">
        <v>4</v>
      </c>
      <c r="AF53" s="72" t="s">
        <v>4</v>
      </c>
      <c r="AG53" s="72" t="s">
        <v>4</v>
      </c>
      <c r="AH53" s="72" t="s">
        <v>4</v>
      </c>
      <c r="AI53" s="72" t="s">
        <v>4</v>
      </c>
      <c r="AJ53" s="72" t="s">
        <v>4</v>
      </c>
      <c r="AK53" s="72" t="s">
        <v>4</v>
      </c>
      <c r="AL53" s="72" t="s">
        <v>4</v>
      </c>
      <c r="AM53" s="72" t="s">
        <v>4</v>
      </c>
      <c r="AN53" s="72" t="s">
        <v>4</v>
      </c>
      <c r="AO53" s="72" t="s">
        <v>4</v>
      </c>
      <c r="AP53" s="72" t="s">
        <v>4</v>
      </c>
      <c r="AQ53" s="72" t="s">
        <v>4</v>
      </c>
      <c r="AR53" s="72" t="s">
        <v>4</v>
      </c>
      <c r="AS53" s="72" t="s">
        <v>4</v>
      </c>
      <c r="AT53" s="72" t="s">
        <v>4</v>
      </c>
      <c r="AU53" s="72"/>
      <c r="AV53" s="72"/>
      <c r="AW53" s="72"/>
      <c r="AX53" s="72"/>
      <c r="AY53" s="72"/>
      <c r="AZ53" s="72"/>
      <c r="BA53" s="72"/>
      <c r="BB53" s="72"/>
      <c r="BC53" s="72"/>
      <c r="BD53" s="72"/>
    </row>
    <row r="54" spans="1:56" ht="15" x14ac:dyDescent="0.25">
      <c r="B54" s="69"/>
      <c r="C54" s="69"/>
      <c r="D54" s="73" t="s">
        <v>32</v>
      </c>
      <c r="E54" s="120">
        <v>2140</v>
      </c>
      <c r="F54" s="120">
        <v>2556</v>
      </c>
      <c r="G54" s="120">
        <v>2568</v>
      </c>
      <c r="H54" s="120">
        <v>2560</v>
      </c>
      <c r="I54" s="120">
        <v>2544</v>
      </c>
      <c r="J54" s="120">
        <v>3120</v>
      </c>
      <c r="K54" s="120">
        <v>3104</v>
      </c>
      <c r="L54" s="120">
        <v>3092</v>
      </c>
      <c r="M54" s="120">
        <v>0</v>
      </c>
      <c r="N54" s="120">
        <v>2068</v>
      </c>
      <c r="O54" s="120">
        <v>2060</v>
      </c>
      <c r="P54" s="120">
        <v>2068</v>
      </c>
      <c r="Q54" s="120">
        <v>2056</v>
      </c>
      <c r="R54" s="120">
        <v>2068</v>
      </c>
      <c r="S54" s="120">
        <v>2056</v>
      </c>
      <c r="T54" s="120">
        <v>2072</v>
      </c>
      <c r="U54" s="120">
        <v>2056</v>
      </c>
      <c r="V54" s="120">
        <v>2068</v>
      </c>
      <c r="W54" s="120">
        <v>2068</v>
      </c>
      <c r="X54" s="120">
        <v>2068</v>
      </c>
      <c r="Y54" s="120">
        <v>2068</v>
      </c>
      <c r="Z54" s="120">
        <v>2068</v>
      </c>
      <c r="AA54" s="120">
        <v>2068</v>
      </c>
      <c r="AB54" s="120">
        <v>2068</v>
      </c>
      <c r="AC54" s="120">
        <v>2068</v>
      </c>
      <c r="AD54" s="120">
        <v>2068</v>
      </c>
      <c r="AE54" s="120">
        <v>2068</v>
      </c>
      <c r="AF54" s="120">
        <v>2068</v>
      </c>
      <c r="AG54" s="120">
        <v>2068</v>
      </c>
      <c r="AH54" s="120">
        <v>2068</v>
      </c>
      <c r="AI54" s="120">
        <v>2068</v>
      </c>
      <c r="AJ54" s="120">
        <v>2068</v>
      </c>
      <c r="AK54" s="120">
        <v>2068</v>
      </c>
      <c r="AL54" s="120">
        <v>2068</v>
      </c>
      <c r="AM54" s="120">
        <v>2068</v>
      </c>
      <c r="AN54" s="120">
        <v>2068</v>
      </c>
      <c r="AO54" s="120">
        <v>2068</v>
      </c>
      <c r="AP54" s="120">
        <v>2068</v>
      </c>
      <c r="AQ54" s="120">
        <v>2068</v>
      </c>
      <c r="AR54" s="120">
        <v>2068</v>
      </c>
      <c r="AS54" s="120">
        <v>2068</v>
      </c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</row>
    <row r="55" spans="1:56" ht="15" x14ac:dyDescent="0.25">
      <c r="B55" s="74"/>
      <c r="C55" s="74"/>
      <c r="D55" s="73" t="s">
        <v>33</v>
      </c>
      <c r="E55" s="120">
        <v>102948</v>
      </c>
      <c r="F55" s="120">
        <v>105504</v>
      </c>
      <c r="G55" s="120">
        <v>108072</v>
      </c>
      <c r="H55" s="120">
        <v>110632</v>
      </c>
      <c r="I55" s="120">
        <v>113176</v>
      </c>
      <c r="J55" s="120">
        <v>116296</v>
      </c>
      <c r="K55" s="120">
        <v>119400</v>
      </c>
      <c r="L55" s="120">
        <v>122492</v>
      </c>
      <c r="M55" s="120">
        <v>122492</v>
      </c>
      <c r="N55" s="120">
        <v>124560</v>
      </c>
      <c r="O55" s="120">
        <v>126620</v>
      </c>
      <c r="P55" s="120">
        <v>128688</v>
      </c>
      <c r="Q55" s="120">
        <v>130744</v>
      </c>
      <c r="R55" s="120">
        <v>132812</v>
      </c>
      <c r="S55" s="120">
        <v>134868</v>
      </c>
      <c r="T55" s="120">
        <v>136940</v>
      </c>
      <c r="U55" s="120">
        <v>138996</v>
      </c>
      <c r="V55" s="120">
        <v>141064</v>
      </c>
      <c r="W55" s="120">
        <v>143132</v>
      </c>
      <c r="X55" s="120">
        <v>145200</v>
      </c>
      <c r="Y55" s="120">
        <v>147268</v>
      </c>
      <c r="Z55" s="120">
        <v>149336</v>
      </c>
      <c r="AA55" s="120">
        <v>151404</v>
      </c>
      <c r="AB55" s="120">
        <v>153472</v>
      </c>
      <c r="AC55" s="120">
        <v>155540</v>
      </c>
      <c r="AD55" s="120">
        <v>157608</v>
      </c>
      <c r="AE55" s="120">
        <v>159676</v>
      </c>
      <c r="AF55" s="120">
        <v>161744</v>
      </c>
      <c r="AG55" s="120">
        <v>163812</v>
      </c>
      <c r="AH55" s="120">
        <v>165880</v>
      </c>
      <c r="AI55" s="120">
        <v>167948</v>
      </c>
      <c r="AJ55" s="120">
        <v>170016</v>
      </c>
      <c r="AK55" s="120">
        <v>172084</v>
      </c>
      <c r="AL55" s="120">
        <v>174152</v>
      </c>
      <c r="AM55" s="120">
        <v>176220</v>
      </c>
      <c r="AN55" s="120">
        <v>178288</v>
      </c>
      <c r="AO55" s="120">
        <v>180356</v>
      </c>
      <c r="AP55" s="120">
        <v>182424</v>
      </c>
      <c r="AQ55" s="120">
        <v>184492</v>
      </c>
      <c r="AR55" s="120">
        <v>186560</v>
      </c>
      <c r="AS55" s="120">
        <v>188628</v>
      </c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</row>
    <row r="56" spans="1:56" ht="15" x14ac:dyDescent="0.25">
      <c r="B56" s="69"/>
      <c r="C56" s="69"/>
      <c r="D56" s="70">
        <v>46006</v>
      </c>
      <c r="E56" s="72" t="s">
        <v>0</v>
      </c>
      <c r="F56" s="72"/>
      <c r="G56" s="72"/>
      <c r="H56" s="72" t="s">
        <v>0</v>
      </c>
      <c r="I56" s="72" t="s">
        <v>0</v>
      </c>
      <c r="J56" s="72" t="s">
        <v>3</v>
      </c>
      <c r="K56" s="72" t="s">
        <v>0</v>
      </c>
      <c r="L56" s="72" t="s">
        <v>0</v>
      </c>
      <c r="M56" s="72"/>
      <c r="N56" s="72" t="s">
        <v>0</v>
      </c>
      <c r="O56" s="72" t="s">
        <v>0</v>
      </c>
      <c r="P56" s="72" t="s">
        <v>0</v>
      </c>
      <c r="Q56" s="72" t="s">
        <v>0</v>
      </c>
      <c r="R56" s="72" t="s">
        <v>0</v>
      </c>
      <c r="S56" s="72" t="s">
        <v>0</v>
      </c>
      <c r="T56" s="72" t="s">
        <v>0</v>
      </c>
      <c r="U56" s="72" t="s">
        <v>0</v>
      </c>
      <c r="V56" s="72" t="s">
        <v>0</v>
      </c>
      <c r="W56" s="72" t="s">
        <v>4</v>
      </c>
      <c r="X56" s="72" t="s">
        <v>4</v>
      </c>
      <c r="Y56" s="72" t="s">
        <v>4</v>
      </c>
      <c r="Z56" s="72" t="s">
        <v>4</v>
      </c>
      <c r="AA56" s="72" t="s">
        <v>4</v>
      </c>
      <c r="AB56" s="72" t="s">
        <v>4</v>
      </c>
      <c r="AC56" s="72" t="s">
        <v>4</v>
      </c>
      <c r="AD56" s="72" t="s">
        <v>4</v>
      </c>
      <c r="AE56" s="72" t="s">
        <v>4</v>
      </c>
      <c r="AF56" s="72" t="s">
        <v>4</v>
      </c>
      <c r="AG56" s="72" t="s">
        <v>4</v>
      </c>
      <c r="AH56" s="72" t="s">
        <v>4</v>
      </c>
      <c r="AI56" s="72" t="s">
        <v>4</v>
      </c>
      <c r="AJ56" s="72" t="s">
        <v>4</v>
      </c>
      <c r="AK56" s="72" t="s">
        <v>4</v>
      </c>
      <c r="AL56" s="72" t="s">
        <v>4</v>
      </c>
      <c r="AM56" s="72" t="s">
        <v>4</v>
      </c>
      <c r="AN56" s="72" t="s">
        <v>4</v>
      </c>
      <c r="AO56" s="72" t="s">
        <v>4</v>
      </c>
      <c r="AP56" s="72" t="s">
        <v>4</v>
      </c>
      <c r="AQ56" s="72" t="s">
        <v>4</v>
      </c>
      <c r="AR56" s="72" t="s">
        <v>4</v>
      </c>
      <c r="AS56" s="72" t="s">
        <v>4</v>
      </c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</row>
    <row r="57" spans="1:56" ht="15" x14ac:dyDescent="0.25">
      <c r="B57" s="69"/>
      <c r="C57" s="69"/>
      <c r="D57" s="73" t="s">
        <v>32</v>
      </c>
      <c r="E57" s="120">
        <v>2140</v>
      </c>
      <c r="F57" s="120">
        <v>2556</v>
      </c>
      <c r="G57" s="120">
        <v>2568</v>
      </c>
      <c r="H57" s="120">
        <v>2560</v>
      </c>
      <c r="I57" s="120">
        <v>2544</v>
      </c>
      <c r="J57" s="120">
        <v>3120</v>
      </c>
      <c r="K57" s="120">
        <v>3104</v>
      </c>
      <c r="L57" s="120">
        <v>3092</v>
      </c>
      <c r="M57" s="120">
        <v>0</v>
      </c>
      <c r="N57" s="120">
        <v>2068</v>
      </c>
      <c r="O57" s="120">
        <v>2060</v>
      </c>
      <c r="P57" s="120">
        <v>2068</v>
      </c>
      <c r="Q57" s="120">
        <v>2056</v>
      </c>
      <c r="R57" s="120">
        <v>2068</v>
      </c>
      <c r="S57" s="120">
        <v>2056</v>
      </c>
      <c r="T57" s="120">
        <v>2072</v>
      </c>
      <c r="U57" s="120">
        <v>2056</v>
      </c>
      <c r="V57" s="120">
        <v>2068</v>
      </c>
      <c r="W57" s="120">
        <v>2068</v>
      </c>
      <c r="X57" s="120">
        <v>2068</v>
      </c>
      <c r="Y57" s="120">
        <v>2068</v>
      </c>
      <c r="Z57" s="120">
        <v>2068</v>
      </c>
      <c r="AA57" s="120">
        <v>2068</v>
      </c>
      <c r="AB57" s="120">
        <v>2068</v>
      </c>
      <c r="AC57" s="120">
        <v>2068</v>
      </c>
      <c r="AD57" s="120">
        <v>2068</v>
      </c>
      <c r="AE57" s="120">
        <v>2068</v>
      </c>
      <c r="AF57" s="120">
        <v>2068</v>
      </c>
      <c r="AG57" s="120">
        <v>2068</v>
      </c>
      <c r="AH57" s="120">
        <v>2068</v>
      </c>
      <c r="AI57" s="120">
        <v>2068</v>
      </c>
      <c r="AJ57" s="120">
        <v>2068</v>
      </c>
      <c r="AK57" s="120">
        <v>2068</v>
      </c>
      <c r="AL57" s="120">
        <v>2068</v>
      </c>
      <c r="AM57" s="120">
        <v>2068</v>
      </c>
      <c r="AN57" s="120">
        <v>2068</v>
      </c>
      <c r="AO57" s="120">
        <v>2068</v>
      </c>
      <c r="AP57" s="120">
        <v>2068</v>
      </c>
      <c r="AQ57" s="120">
        <v>2068</v>
      </c>
      <c r="AR57" s="120">
        <v>2068</v>
      </c>
      <c r="AS57" s="120">
        <v>2068</v>
      </c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</row>
    <row r="58" spans="1:56" ht="12.95" customHeight="1" x14ac:dyDescent="0.25">
      <c r="B58" s="74"/>
      <c r="C58" s="74"/>
      <c r="D58" s="73" t="s">
        <v>33</v>
      </c>
      <c r="E58" s="120">
        <v>102948</v>
      </c>
      <c r="F58" s="120">
        <v>105504</v>
      </c>
      <c r="G58" s="120">
        <v>108072</v>
      </c>
      <c r="H58" s="120">
        <v>110632</v>
      </c>
      <c r="I58" s="120">
        <v>113176</v>
      </c>
      <c r="J58" s="120">
        <v>116296</v>
      </c>
      <c r="K58" s="120">
        <v>119400</v>
      </c>
      <c r="L58" s="120">
        <v>122492</v>
      </c>
      <c r="M58" s="120">
        <v>122492</v>
      </c>
      <c r="N58" s="120">
        <v>124560</v>
      </c>
      <c r="O58" s="120">
        <v>126620</v>
      </c>
      <c r="P58" s="120">
        <v>128688</v>
      </c>
      <c r="Q58" s="120">
        <v>130744</v>
      </c>
      <c r="R58" s="120">
        <v>132812</v>
      </c>
      <c r="S58" s="120">
        <v>134868</v>
      </c>
      <c r="T58" s="120">
        <v>136940</v>
      </c>
      <c r="U58" s="120">
        <v>138996</v>
      </c>
      <c r="V58" s="120">
        <v>141064</v>
      </c>
      <c r="W58" s="120">
        <v>143132</v>
      </c>
      <c r="X58" s="120">
        <v>145200</v>
      </c>
      <c r="Y58" s="120">
        <v>147268</v>
      </c>
      <c r="Z58" s="120">
        <v>149336</v>
      </c>
      <c r="AA58" s="120">
        <v>151404</v>
      </c>
      <c r="AB58" s="120">
        <v>153472</v>
      </c>
      <c r="AC58" s="120">
        <v>155540</v>
      </c>
      <c r="AD58" s="120">
        <v>157608</v>
      </c>
      <c r="AE58" s="120">
        <v>159676</v>
      </c>
      <c r="AF58" s="120">
        <v>161744</v>
      </c>
      <c r="AG58" s="120">
        <v>163812</v>
      </c>
      <c r="AH58" s="120">
        <v>165880</v>
      </c>
      <c r="AI58" s="120">
        <v>167948</v>
      </c>
      <c r="AJ58" s="120">
        <v>170016</v>
      </c>
      <c r="AK58" s="120">
        <v>172084</v>
      </c>
      <c r="AL58" s="120">
        <v>174152</v>
      </c>
      <c r="AM58" s="120">
        <v>176220</v>
      </c>
      <c r="AN58" s="120">
        <v>178288</v>
      </c>
      <c r="AO58" s="120">
        <v>180356</v>
      </c>
      <c r="AP58" s="120">
        <v>182424</v>
      </c>
      <c r="AQ58" s="120">
        <v>184492</v>
      </c>
      <c r="AR58" s="120">
        <v>186560</v>
      </c>
      <c r="AS58" s="120">
        <v>188628</v>
      </c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</row>
    <row r="59" spans="1:56" s="207" customFormat="1" ht="15" x14ac:dyDescent="0.25">
      <c r="A59" s="24"/>
      <c r="B59" s="69"/>
      <c r="C59" s="69"/>
      <c r="D59" s="205"/>
      <c r="E59" s="206" t="s">
        <v>0</v>
      </c>
      <c r="F59" s="206" t="s">
        <v>0</v>
      </c>
      <c r="G59" s="206" t="s">
        <v>0</v>
      </c>
      <c r="H59" s="206" t="s">
        <v>0</v>
      </c>
      <c r="I59" s="206" t="s">
        <v>3</v>
      </c>
      <c r="J59" s="206" t="s">
        <v>4</v>
      </c>
      <c r="K59" s="206" t="s">
        <v>0</v>
      </c>
      <c r="L59" s="206" t="s">
        <v>0</v>
      </c>
      <c r="M59" s="206" t="s">
        <v>0</v>
      </c>
      <c r="N59" s="206" t="s">
        <v>0</v>
      </c>
      <c r="O59" s="206" t="s">
        <v>0</v>
      </c>
      <c r="P59" s="206" t="s">
        <v>0</v>
      </c>
      <c r="Q59" s="206" t="s">
        <v>0</v>
      </c>
      <c r="R59" s="206" t="s">
        <v>0</v>
      </c>
      <c r="S59" s="206" t="s">
        <v>0</v>
      </c>
      <c r="T59" s="206" t="s">
        <v>0</v>
      </c>
      <c r="U59" s="206" t="s">
        <v>0</v>
      </c>
      <c r="V59" s="206" t="s">
        <v>0</v>
      </c>
      <c r="W59" s="206" t="s">
        <v>4</v>
      </c>
      <c r="X59" s="206" t="s">
        <v>0</v>
      </c>
      <c r="Y59" s="206" t="s">
        <v>0</v>
      </c>
      <c r="Z59" s="206" t="s">
        <v>4</v>
      </c>
      <c r="AA59" s="206" t="s">
        <v>4</v>
      </c>
      <c r="AB59" s="206" t="s">
        <v>4</v>
      </c>
      <c r="AC59" s="206" t="s">
        <v>4</v>
      </c>
      <c r="AD59" s="206" t="s">
        <v>4</v>
      </c>
      <c r="AE59" s="206" t="s">
        <v>4</v>
      </c>
      <c r="AF59" s="206" t="s">
        <v>4</v>
      </c>
      <c r="AG59" s="206" t="s">
        <v>4</v>
      </c>
      <c r="AH59" s="206"/>
      <c r="AI59" s="206"/>
      <c r="AJ59" s="206"/>
      <c r="AK59" s="206"/>
      <c r="AL59" s="206"/>
      <c r="AM59" s="206"/>
      <c r="AN59" s="206"/>
      <c r="AO59" s="206"/>
      <c r="AP59" s="206"/>
      <c r="AQ59" s="206"/>
      <c r="AR59" s="206"/>
      <c r="AS59" s="206"/>
      <c r="AT59" s="206"/>
      <c r="AU59" s="206"/>
      <c r="AV59" s="206"/>
      <c r="AW59" s="206"/>
      <c r="AX59" s="206"/>
      <c r="AY59" s="206"/>
      <c r="AZ59" s="206"/>
      <c r="BA59" s="206"/>
      <c r="BB59" s="206"/>
      <c r="BC59" s="206"/>
      <c r="BD59" s="206"/>
    </row>
    <row r="64" spans="1:56" x14ac:dyDescent="0.2">
      <c r="A64" s="112"/>
      <c r="B64" s="113"/>
      <c r="C64" s="113"/>
      <c r="D64" s="113"/>
      <c r="E64" s="113" t="s">
        <v>0</v>
      </c>
      <c r="F64" s="113" t="s">
        <v>0</v>
      </c>
      <c r="G64" s="113" t="s">
        <v>0</v>
      </c>
      <c r="H64" s="113" t="s">
        <v>0</v>
      </c>
      <c r="I64" s="113" t="s">
        <v>0</v>
      </c>
      <c r="J64" s="113" t="s">
        <v>0</v>
      </c>
      <c r="K64" s="113" t="s">
        <v>0</v>
      </c>
      <c r="L64" s="114" t="s">
        <v>1</v>
      </c>
      <c r="M64" s="114" t="s">
        <v>2</v>
      </c>
      <c r="N64" s="114" t="s">
        <v>4</v>
      </c>
      <c r="O64" s="114" t="s">
        <v>0</v>
      </c>
      <c r="P64" s="114" t="s">
        <v>0</v>
      </c>
      <c r="Q64" s="114" t="s">
        <v>0</v>
      </c>
      <c r="R64" s="114" t="s">
        <v>0</v>
      </c>
      <c r="S64" s="114" t="s">
        <v>0</v>
      </c>
      <c r="T64" s="114" t="s">
        <v>0</v>
      </c>
      <c r="U64" s="114" t="s">
        <v>3</v>
      </c>
      <c r="V64" s="114" t="s">
        <v>0</v>
      </c>
      <c r="W64" s="114" t="s">
        <v>0</v>
      </c>
      <c r="X64" s="114" t="s">
        <v>0</v>
      </c>
      <c r="Y64" s="113" t="s">
        <v>0</v>
      </c>
      <c r="Z64" s="113" t="s">
        <v>0</v>
      </c>
      <c r="AA64" s="113" t="s">
        <v>0</v>
      </c>
      <c r="AB64" s="113" t="s">
        <v>0</v>
      </c>
      <c r="AC64" s="113" t="s">
        <v>0</v>
      </c>
      <c r="AD64" s="113" t="s">
        <v>0</v>
      </c>
      <c r="AE64" s="113" t="s">
        <v>0</v>
      </c>
      <c r="AF64" s="113" t="s">
        <v>0</v>
      </c>
      <c r="AG64" s="113" t="s">
        <v>0</v>
      </c>
      <c r="AH64" s="113" t="s">
        <v>4</v>
      </c>
      <c r="AI64" s="113"/>
      <c r="AJ64" s="113"/>
      <c r="AK64" s="113" t="s">
        <v>16</v>
      </c>
      <c r="AL64" s="113" t="s">
        <v>17</v>
      </c>
      <c r="AM64" s="113" t="s">
        <v>18</v>
      </c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</row>
    <row r="65" spans="1:56" x14ac:dyDescent="0.2">
      <c r="A65" s="28"/>
      <c r="B65" s="29" t="s">
        <v>296</v>
      </c>
      <c r="C65" s="115" t="s">
        <v>7</v>
      </c>
      <c r="D65" s="116"/>
      <c r="E65" s="111">
        <f>SUMIFS('Final SR'!J:J,'Final SR'!$E:$E,TOTALss!$B65,'Final SR'!$I:$I,'Final SR'!$I$12)</f>
        <v>3196</v>
      </c>
      <c r="F65" s="111">
        <f>SUMIFS('Final SR'!K:K,'Final SR'!$E:$E,TOTALss!$B65,'Final SR'!$I:$I,'Final SR'!$I$12)</f>
        <v>1112</v>
      </c>
      <c r="G65" s="111">
        <f>SUMIFS('Final SR'!L:L,'Final SR'!$E:$E,TOTALss!$B65,'Final SR'!$I:$I,'Final SR'!$I$12)</f>
        <v>836</v>
      </c>
      <c r="H65" s="111">
        <f>SUMIFS('Final SR'!M:M,'Final SR'!$E:$E,TOTALss!$B65,'Final SR'!$I:$I,'Final SR'!$I$12)</f>
        <v>1168</v>
      </c>
      <c r="I65" s="111">
        <f>SUMIFS('Final SR'!N:N,'Final SR'!$E:$E,TOTALss!$B65,'Final SR'!$I:$I,'Final SR'!$I$12)</f>
        <v>1520</v>
      </c>
      <c r="J65" s="111">
        <f>SUMIFS('Final SR'!O:O,'Final SR'!$E:$E,TOTALss!$B65,'Final SR'!$I:$I,'Final SR'!$I$12)</f>
        <v>1044</v>
      </c>
      <c r="K65" s="111">
        <f>SUMIFS('Final SR'!P:P,'Final SR'!$E:$E,TOTALss!$B65,'Final SR'!$I:$I,'Final SR'!$I$12)</f>
        <v>1224</v>
      </c>
      <c r="L65" s="111">
        <f>SUMIFS('Final SR'!Q:Q,'Final SR'!$E:$E,TOTALss!$B65,'Final SR'!$I:$I,'Final SR'!$I$12)</f>
        <v>1304</v>
      </c>
      <c r="M65" s="111">
        <f>SUMIFS('Final SR'!R:R,'Final SR'!$E:$E,TOTALss!$B65,'Final SR'!$I:$I,'Final SR'!$I$12)</f>
        <v>0</v>
      </c>
      <c r="N65" s="111">
        <f>SUMIFS('Final SR'!S:S,'Final SR'!$E:$E,TOTALss!$B65,'Final SR'!$I:$I,'Final SR'!$I$12)</f>
        <v>1144</v>
      </c>
      <c r="O65" s="111">
        <f>SUMIFS('Final SR'!T:T,'Final SR'!$E:$E,TOTALss!$B65,'Final SR'!$I:$I,'Final SR'!$I$12)</f>
        <v>560</v>
      </c>
      <c r="P65" s="111">
        <f>SUMIFS('Final SR'!U:U,'Final SR'!$E:$E,TOTALss!$B65,'Final SR'!$I:$I,'Final SR'!$I$12)</f>
        <v>848</v>
      </c>
      <c r="Q65" s="111">
        <f>SUMIFS('Final SR'!V:V,'Final SR'!$E:$E,TOTALss!$B65,'Final SR'!$I:$I,'Final SR'!$I$12)</f>
        <v>616</v>
      </c>
      <c r="R65" s="111">
        <f>SUMIFS('Final SR'!W:W,'Final SR'!$E:$E,TOTALss!$B65,'Final SR'!$I:$I,'Final SR'!$I$12)</f>
        <v>804</v>
      </c>
      <c r="S65" s="111">
        <f>SUMIFS('Final SR'!X:X,'Final SR'!$E:$E,TOTALss!$B65,'Final SR'!$I:$I,'Final SR'!$I$12)</f>
        <v>612</v>
      </c>
      <c r="T65" s="111">
        <f>SUMIFS('Final SR'!Y:Y,'Final SR'!$E:$E,TOTALss!$B65,'Final SR'!$I:$I,'Final SR'!$I$12)</f>
        <v>612</v>
      </c>
      <c r="U65" s="111">
        <f>SUMIFS('Final SR'!Z:Z,'Final SR'!$E:$E,TOTALss!$B65,'Final SR'!$I:$I,'Final SR'!$I$12)</f>
        <v>760</v>
      </c>
      <c r="V65" s="111">
        <f>SUMIFS('Final SR'!AA:AA,'Final SR'!$E:$E,TOTALss!$B65,'Final SR'!$I:$I,'Final SR'!$I$12)</f>
        <v>916</v>
      </c>
      <c r="W65" s="111">
        <f>SUMIFS('Final SR'!AB:AB,'Final SR'!$E:$E,TOTALss!$B65,'Final SR'!$I:$I,'Final SR'!$I$12)</f>
        <v>912</v>
      </c>
      <c r="X65" s="111">
        <f>SUMIFS('Final SR'!AC:AC,'Final SR'!$E:$E,TOTALss!$B65,'Final SR'!$I:$I,'Final SR'!$I$12)</f>
        <v>920</v>
      </c>
      <c r="Y65" s="111">
        <f>SUMIFS('Final SR'!AD:AD,'Final SR'!$E:$E,TOTALss!$B65,'Final SR'!$I:$I,'Final SR'!$I$12)</f>
        <v>808</v>
      </c>
      <c r="Z65" s="111">
        <f>SUMIFS('Final SR'!AE:AE,'Final SR'!$E:$E,TOTALss!$B65,'Final SR'!$I:$I,'Final SR'!$I$12)</f>
        <v>840</v>
      </c>
      <c r="AA65" s="111">
        <f>SUMIFS('Final SR'!AF:AF,'Final SR'!$E:$E,TOTALss!$B65,'Final SR'!$I:$I,'Final SR'!$I$12)</f>
        <v>708</v>
      </c>
      <c r="AB65" s="111">
        <f>SUMIFS('Final SR'!AG:AG,'Final SR'!$E:$E,TOTALss!$B65,'Final SR'!$I:$I,'Final SR'!$I$12)</f>
        <v>892</v>
      </c>
      <c r="AC65" s="111">
        <f>SUMIFS('Final SR'!AH:AH,'Final SR'!$E:$E,TOTALss!$B65,'Final SR'!$I:$I,'Final SR'!$I$12)</f>
        <v>612</v>
      </c>
      <c r="AD65" s="111">
        <f>SUMIFS('Final SR'!AI:AI,'Final SR'!$E:$E,TOTALss!$B65,'Final SR'!$I:$I,'Final SR'!$I$12)</f>
        <v>908</v>
      </c>
      <c r="AE65" s="111">
        <f>SUMIFS('Final SR'!AJ:AJ,'Final SR'!$E:$E,TOTALss!$B65,'Final SR'!$I:$I,'Final SR'!$I$12)</f>
        <v>872</v>
      </c>
      <c r="AF65" s="111">
        <f>SUMIFS('Final SR'!AK:AK,'Final SR'!$E:$E,TOTALss!$B65,'Final SR'!$I:$I,'Final SR'!$I$12)</f>
        <v>876</v>
      </c>
      <c r="AG65" s="111">
        <f>SUMIFS('Final SR'!AL:AL,'Final SR'!$E:$E,TOTALss!$B65,'Final SR'!$I:$I,'Final SR'!$I$12)</f>
        <v>1136</v>
      </c>
      <c r="AH65" s="111">
        <f>SUMIFS('Final SR'!AM:AM,'Final SR'!$E:$E,TOTALss!$B65,'Final SR'!$I:$I,'Final SR'!$I$12)</f>
        <v>1096</v>
      </c>
      <c r="AI65" s="111">
        <f>SUMIFS('Final SR'!AN:AN,'Final SR'!$E:$E,TOTALss!$B65,'Final SR'!$I:$I,'Final SR'!$I$12)</f>
        <v>1104</v>
      </c>
      <c r="AJ65" s="111">
        <f>SUMIFS('Final SR'!AO:AO,'Final SR'!$E:$E,TOTALss!$B65,'Final SR'!$I:$I,'Final SR'!$I$12)</f>
        <v>1104</v>
      </c>
      <c r="AK65" s="111">
        <f>SUMIFS('Final SR'!AP:AP,'Final SR'!$E:$E,TOTALss!$B65,'Final SR'!$I:$I,'Final SR'!$I$12)</f>
        <v>1104</v>
      </c>
      <c r="AL65" s="111">
        <f>SUMIFS('Final SR'!AQ:AQ,'Final SR'!$E:$E,TOTALss!$B65,'Final SR'!$I:$I,'Final SR'!$I$12)</f>
        <v>1104</v>
      </c>
      <c r="AM65" s="111">
        <f>SUMIFS('Final SR'!AR:AR,'Final SR'!$E:$E,TOTALss!$B65,'Final SR'!$I:$I,'Final SR'!$I$12)</f>
        <v>1104</v>
      </c>
      <c r="AN65" s="111">
        <f>SUMIFS('Final SR'!AS:AS,'Final SR'!$E:$E,TOTALss!$B65,'Final SR'!$I:$I,'Final SR'!$I$12)</f>
        <v>1104</v>
      </c>
      <c r="AO65" s="111">
        <f>SUMIFS('Final SR'!AT:AT,'Final SR'!$E:$E,TOTALss!$B65,'Final SR'!$I:$I,'Final SR'!$I$12)</f>
        <v>1104</v>
      </c>
      <c r="AP65" s="111">
        <f>SUMIFS('Final SR'!AU:AU,'Final SR'!$E:$E,TOTALss!$B65,'Final SR'!$I:$I,'Final SR'!$I$12)</f>
        <v>1104</v>
      </c>
      <c r="AQ65" s="111">
        <f>SUMIFS('Final SR'!AV:AV,'Final SR'!$E:$E,TOTALss!$B65,'Final SR'!$I:$I,'Final SR'!$I$12)</f>
        <v>1104</v>
      </c>
      <c r="AR65" s="111">
        <f>SUMIFS('Final SR'!AW:AW,'Final SR'!$E:$E,TOTALss!$B65,'Final SR'!$I:$I,'Final SR'!$I$12)</f>
        <v>1104</v>
      </c>
      <c r="AS65" s="111">
        <f>SUMIFS('Final SR'!AX:AX,'Final SR'!$E:$E,TOTALss!$B65,'Final SR'!$I:$I,'Final SR'!$I$12)</f>
        <v>1104</v>
      </c>
      <c r="AT65" s="111">
        <f>SUMIFS('Final SR'!AY:AY,'Final SR'!$E:$E,TOTALss!$B65,'Final SR'!$I:$I,'Final SR'!$I$12)</f>
        <v>1104</v>
      </c>
      <c r="AU65" s="111">
        <f>SUMIFS('Final SR'!AZ:AZ,'Final SR'!$E:$E,TOTALss!$B65,'Final SR'!$I:$I,'Final SR'!$I$12)</f>
        <v>1104</v>
      </c>
      <c r="AV65" s="111">
        <f>SUMIFS('Final SR'!BA:BA,'Final SR'!$E:$E,TOTALss!$B65,'Final SR'!$I:$I,'Final SR'!$I$12)</f>
        <v>1104</v>
      </c>
      <c r="AW65" s="111">
        <f>SUMIFS('Final SR'!BB:BB,'Final SR'!$E:$E,TOTALss!$B65,'Final SR'!$I:$I,'Final SR'!$I$12)</f>
        <v>1104</v>
      </c>
      <c r="AX65" s="111">
        <f>SUMIFS('Final SR'!BC:BC,'Final SR'!$E:$E,TOTALss!$B65,'Final SR'!$I:$I,'Final SR'!$I$12)</f>
        <v>1104</v>
      </c>
      <c r="AY65" s="111">
        <f>SUMIFS('Final SR'!BD:BD,'Final SR'!$E:$E,TOTALss!$B65,'Final SR'!$I:$I,'Final SR'!$I$12)</f>
        <v>1104</v>
      </c>
      <c r="AZ65" s="111">
        <f>SUMIFS('Final SR'!BE:BE,'Final SR'!$E:$E,TOTALss!$B65,'Final SR'!$I:$I,'Final SR'!$I$12)</f>
        <v>1104</v>
      </c>
      <c r="BA65" s="111">
        <f>SUMIFS('Final SR'!BF:BF,'Final SR'!$E:$E,TOTALss!$B65,'Final SR'!$I:$I,'Final SR'!$I$12)</f>
        <v>1104</v>
      </c>
      <c r="BB65" s="111">
        <f>SUMIFS('Final SR'!BG:BG,'Final SR'!$E:$E,TOTALss!$B65,'Final SR'!$I:$I,'Final SR'!$I$12)</f>
        <v>1104</v>
      </c>
      <c r="BC65" s="111">
        <f>SUMIFS('Final SR'!BH:BH,'Final SR'!$E:$E,TOTALss!$B65,'Final SR'!$I:$I,'Final SR'!$I$12)</f>
        <v>1104</v>
      </c>
      <c r="BD65" s="111">
        <f>SUMIFS('Final SR'!BI:BI,'Final SR'!$E:$E,TOTALss!$B65,'Final SR'!$I:$I,'Final SR'!$I$12)</f>
        <v>1104</v>
      </c>
    </row>
    <row r="66" spans="1:56" x14ac:dyDescent="0.2">
      <c r="A66" s="30"/>
      <c r="B66" s="29"/>
      <c r="C66" s="115" t="s">
        <v>19</v>
      </c>
      <c r="D66" s="31"/>
      <c r="E66" s="111">
        <f>SUMIFS('Final SR'!J:J,'Final SR'!$E:$E,TOTALss!$B65,'Final SR'!$I:$I,'Final SR'!$I$13)</f>
        <v>31424</v>
      </c>
      <c r="F66" s="111">
        <f t="shared" ref="F66" si="138">+F65+E66</f>
        <v>32536</v>
      </c>
      <c r="G66" s="111">
        <f t="shared" ref="G66" si="139">+G65+F66</f>
        <v>33372</v>
      </c>
      <c r="H66" s="111">
        <f t="shared" ref="H66" si="140">+H65+G66</f>
        <v>34540</v>
      </c>
      <c r="I66" s="111">
        <f t="shared" ref="I66" si="141">+I65+H66</f>
        <v>36060</v>
      </c>
      <c r="J66" s="111">
        <f t="shared" ref="J66" si="142">+J65+I66</f>
        <v>37104</v>
      </c>
      <c r="K66" s="111">
        <f t="shared" ref="K66" si="143">+K65+J66</f>
        <v>38328</v>
      </c>
      <c r="L66" s="111">
        <f t="shared" ref="L66" si="144">+L65+K66</f>
        <v>39632</v>
      </c>
      <c r="M66" s="111">
        <f t="shared" ref="M66" si="145">+M65+L66</f>
        <v>39632</v>
      </c>
      <c r="N66" s="111">
        <f t="shared" ref="N66" si="146">+N65+M66</f>
        <v>40776</v>
      </c>
      <c r="O66" s="111">
        <f t="shared" ref="O66" si="147">+O65+N66</f>
        <v>41336</v>
      </c>
      <c r="P66" s="111">
        <f t="shared" ref="P66" si="148">+P65+O66</f>
        <v>42184</v>
      </c>
      <c r="Q66" s="111">
        <f t="shared" ref="Q66" si="149">+Q65+P66</f>
        <v>42800</v>
      </c>
      <c r="R66" s="111">
        <f t="shared" ref="R66" si="150">+R65+Q66</f>
        <v>43604</v>
      </c>
      <c r="S66" s="111">
        <f t="shared" ref="S66" si="151">+S65+R66</f>
        <v>44216</v>
      </c>
      <c r="T66" s="111">
        <f t="shared" ref="T66" si="152">+T65+S66</f>
        <v>44828</v>
      </c>
      <c r="U66" s="111">
        <f t="shared" ref="U66" si="153">+U65+T66</f>
        <v>45588</v>
      </c>
      <c r="V66" s="111">
        <f t="shared" ref="V66" si="154">+V65+U66</f>
        <v>46504</v>
      </c>
      <c r="W66" s="111">
        <f t="shared" ref="W66" si="155">+W65+V66</f>
        <v>47416</v>
      </c>
      <c r="X66" s="111">
        <f t="shared" ref="X66" si="156">+X65+W66</f>
        <v>48336</v>
      </c>
      <c r="Y66" s="111">
        <f t="shared" ref="Y66" si="157">+Y65+X66</f>
        <v>49144</v>
      </c>
      <c r="Z66" s="111">
        <f t="shared" ref="Z66" si="158">+Z65+Y66</f>
        <v>49984</v>
      </c>
      <c r="AA66" s="111">
        <f t="shared" ref="AA66" si="159">+AA65+Z66</f>
        <v>50692</v>
      </c>
      <c r="AB66" s="111">
        <f t="shared" ref="AB66" si="160">+AB65+AA66</f>
        <v>51584</v>
      </c>
      <c r="AC66" s="111">
        <f t="shared" ref="AC66" si="161">+AC65+AB66</f>
        <v>52196</v>
      </c>
      <c r="AD66" s="111">
        <f t="shared" ref="AD66" si="162">+AD65+AC66</f>
        <v>53104</v>
      </c>
      <c r="AE66" s="111">
        <f t="shared" ref="AE66" si="163">+AE65+AD66</f>
        <v>53976</v>
      </c>
      <c r="AF66" s="111">
        <f t="shared" ref="AF66" si="164">+AF65+AE66</f>
        <v>54852</v>
      </c>
      <c r="AG66" s="111">
        <f t="shared" ref="AG66" si="165">+AG65+AF66</f>
        <v>55988</v>
      </c>
      <c r="AH66" s="111">
        <f t="shared" ref="AH66" si="166">+AH65+AG66</f>
        <v>57084</v>
      </c>
      <c r="AI66" s="111">
        <f t="shared" ref="AI66" si="167">+AI65+AH66</f>
        <v>58188</v>
      </c>
      <c r="AJ66" s="111">
        <f t="shared" ref="AJ66" si="168">+AJ65+AI66</f>
        <v>59292</v>
      </c>
      <c r="AK66" s="111">
        <f t="shared" ref="AK66" si="169">+AK65+AJ66</f>
        <v>60396</v>
      </c>
      <c r="AL66" s="111">
        <f t="shared" ref="AL66" si="170">+AL65+AK66</f>
        <v>61500</v>
      </c>
      <c r="AM66" s="111">
        <f t="shared" ref="AM66" si="171">+AM65+AL66</f>
        <v>62604</v>
      </c>
      <c r="AN66" s="111">
        <f t="shared" ref="AN66" si="172">+AN65+AM66</f>
        <v>63708</v>
      </c>
      <c r="AO66" s="111">
        <f t="shared" ref="AO66" si="173">+AO65+AN66</f>
        <v>64812</v>
      </c>
      <c r="AP66" s="111">
        <f t="shared" ref="AP66" si="174">+AP65+AO66</f>
        <v>65916</v>
      </c>
      <c r="AQ66" s="111">
        <f t="shared" ref="AQ66" si="175">+AQ65+AP66</f>
        <v>67020</v>
      </c>
      <c r="AR66" s="111">
        <f t="shared" ref="AR66" si="176">+AR65+AQ66</f>
        <v>68124</v>
      </c>
      <c r="AS66" s="111">
        <f t="shared" ref="AS66" si="177">+AS65+AR66</f>
        <v>69228</v>
      </c>
      <c r="AT66" s="111">
        <f t="shared" ref="AT66" si="178">+AT65+AS66</f>
        <v>70332</v>
      </c>
      <c r="AU66" s="111">
        <f t="shared" ref="AU66" si="179">+AU65+AT66</f>
        <v>71436</v>
      </c>
      <c r="AV66" s="111">
        <f t="shared" ref="AV66" si="180">+AV65+AU66</f>
        <v>72540</v>
      </c>
      <c r="AW66" s="111">
        <f t="shared" ref="AW66" si="181">+AW65+AV66</f>
        <v>73644</v>
      </c>
      <c r="AX66" s="111">
        <f t="shared" ref="AX66" si="182">+AX65+AW66</f>
        <v>74748</v>
      </c>
      <c r="AY66" s="111">
        <f t="shared" ref="AY66" si="183">+AY65+AX66</f>
        <v>75852</v>
      </c>
      <c r="AZ66" s="111">
        <f t="shared" ref="AZ66" si="184">+AZ65+AY66</f>
        <v>76956</v>
      </c>
      <c r="BA66" s="111">
        <f t="shared" ref="BA66" si="185">+BA65+AZ66</f>
        <v>78060</v>
      </c>
      <c r="BB66" s="111">
        <f t="shared" ref="BB66" si="186">+BB65+BA66</f>
        <v>79164</v>
      </c>
      <c r="BC66" s="111">
        <f t="shared" ref="BC66" si="187">+BC65+BB66</f>
        <v>80268</v>
      </c>
      <c r="BD66" s="111">
        <f t="shared" ref="BD66" si="188">+BD65+BC66</f>
        <v>81372</v>
      </c>
    </row>
    <row r="67" spans="1:56" ht="13.5" thickBot="1" x14ac:dyDescent="0.25">
      <c r="A67" s="32"/>
      <c r="B67" s="33" t="s">
        <v>296</v>
      </c>
      <c r="C67" s="34" t="s">
        <v>20</v>
      </c>
      <c r="D67" s="35"/>
      <c r="E67" s="36">
        <v>3196</v>
      </c>
      <c r="F67" s="36">
        <v>1112</v>
      </c>
      <c r="G67" s="36">
        <v>836</v>
      </c>
      <c r="H67" s="36">
        <v>1168</v>
      </c>
      <c r="I67" s="36">
        <v>1520</v>
      </c>
      <c r="J67" s="36">
        <v>1044</v>
      </c>
      <c r="K67" s="36">
        <v>1224</v>
      </c>
      <c r="L67" s="36">
        <v>1304</v>
      </c>
      <c r="M67" s="36">
        <v>844</v>
      </c>
      <c r="N67" s="36">
        <v>300</v>
      </c>
      <c r="O67" s="36">
        <v>424</v>
      </c>
      <c r="P67" s="36">
        <v>788</v>
      </c>
      <c r="Q67" s="36">
        <v>812</v>
      </c>
      <c r="R67" s="36">
        <v>756</v>
      </c>
      <c r="S67" s="36">
        <v>380</v>
      </c>
      <c r="T67" s="36">
        <v>892</v>
      </c>
      <c r="U67" s="36">
        <v>760</v>
      </c>
      <c r="V67" s="36">
        <v>916</v>
      </c>
      <c r="W67" s="36">
        <v>912</v>
      </c>
      <c r="X67" s="36">
        <v>920</v>
      </c>
      <c r="Y67" s="36">
        <v>672</v>
      </c>
      <c r="Z67" s="36">
        <v>976</v>
      </c>
      <c r="AA67" s="36">
        <v>708</v>
      </c>
      <c r="AB67" s="36">
        <v>892</v>
      </c>
      <c r="AC67" s="36">
        <v>612</v>
      </c>
      <c r="AD67" s="36">
        <v>908</v>
      </c>
      <c r="AE67" s="36">
        <v>872</v>
      </c>
      <c r="AF67" s="36">
        <v>876</v>
      </c>
      <c r="AG67" s="36">
        <v>1136</v>
      </c>
      <c r="AH67" s="36">
        <v>1096</v>
      </c>
      <c r="AI67" s="36">
        <v>248</v>
      </c>
      <c r="AJ67" s="36">
        <v>0</v>
      </c>
      <c r="AK67" s="36">
        <v>0</v>
      </c>
      <c r="AL67" s="36">
        <v>0</v>
      </c>
      <c r="AM67" s="36">
        <v>0</v>
      </c>
      <c r="AN67" s="36">
        <v>0</v>
      </c>
      <c r="AO67" s="36">
        <v>0</v>
      </c>
      <c r="AP67" s="36">
        <v>0</v>
      </c>
      <c r="AQ67" s="36">
        <v>0</v>
      </c>
      <c r="AR67" s="36">
        <v>0</v>
      </c>
      <c r="AS67" s="36">
        <v>0</v>
      </c>
      <c r="AT67" s="36">
        <v>0</v>
      </c>
      <c r="AU67" s="36">
        <v>0</v>
      </c>
      <c r="AV67" s="36">
        <v>0</v>
      </c>
      <c r="AW67" s="36">
        <v>0</v>
      </c>
      <c r="AX67" s="36">
        <v>0</v>
      </c>
      <c r="AY67" s="36">
        <v>0</v>
      </c>
      <c r="AZ67" s="36">
        <v>0</v>
      </c>
      <c r="BA67" s="36">
        <v>0</v>
      </c>
      <c r="BB67" s="36">
        <v>0</v>
      </c>
      <c r="BC67" s="36">
        <v>0</v>
      </c>
      <c r="BD67" s="36">
        <v>0</v>
      </c>
    </row>
    <row r="68" spans="1:56" ht="13.5" thickBot="1" x14ac:dyDescent="0.25">
      <c r="A68" s="37"/>
      <c r="B68" s="33"/>
      <c r="C68" s="34" t="s">
        <v>21</v>
      </c>
      <c r="D68" s="35"/>
      <c r="E68" s="36">
        <v>31424</v>
      </c>
      <c r="F68" s="36">
        <v>32536</v>
      </c>
      <c r="G68" s="36">
        <v>33372</v>
      </c>
      <c r="H68" s="36">
        <v>34540</v>
      </c>
      <c r="I68" s="36">
        <v>36060</v>
      </c>
      <c r="J68" s="36">
        <v>37104</v>
      </c>
      <c r="K68" s="36">
        <v>38328</v>
      </c>
      <c r="L68" s="36">
        <v>39632</v>
      </c>
      <c r="M68" s="36">
        <v>40476</v>
      </c>
      <c r="N68" s="36">
        <v>40776</v>
      </c>
      <c r="O68" s="36">
        <v>41200</v>
      </c>
      <c r="P68" s="36">
        <v>41988</v>
      </c>
      <c r="Q68" s="36">
        <v>42800</v>
      </c>
      <c r="R68" s="36">
        <v>43556</v>
      </c>
      <c r="S68" s="36">
        <v>43936</v>
      </c>
      <c r="T68" s="36">
        <v>44828</v>
      </c>
      <c r="U68" s="36">
        <v>45588</v>
      </c>
      <c r="V68" s="36">
        <v>46504</v>
      </c>
      <c r="W68" s="36">
        <v>47416</v>
      </c>
      <c r="X68" s="36">
        <v>48336</v>
      </c>
      <c r="Y68" s="36">
        <v>49008</v>
      </c>
      <c r="Z68" s="36">
        <v>49984</v>
      </c>
      <c r="AA68" s="36">
        <v>50692</v>
      </c>
      <c r="AB68" s="36">
        <v>51584</v>
      </c>
      <c r="AC68" s="36">
        <v>52196</v>
      </c>
      <c r="AD68" s="36">
        <v>53104</v>
      </c>
      <c r="AE68" s="36">
        <v>53976</v>
      </c>
      <c r="AF68" s="36">
        <v>54852</v>
      </c>
      <c r="AG68" s="36">
        <v>55988</v>
      </c>
      <c r="AH68" s="36">
        <v>57084</v>
      </c>
      <c r="AI68" s="36">
        <v>57332</v>
      </c>
      <c r="AJ68" s="36">
        <v>57332</v>
      </c>
      <c r="AK68" s="36">
        <v>57332</v>
      </c>
      <c r="AL68" s="36">
        <v>57332</v>
      </c>
      <c r="AM68" s="36">
        <v>57332</v>
      </c>
      <c r="AN68" s="36">
        <v>57332</v>
      </c>
      <c r="AO68" s="36">
        <v>57332</v>
      </c>
      <c r="AP68" s="36">
        <v>57332</v>
      </c>
      <c r="AQ68" s="36">
        <v>57332</v>
      </c>
      <c r="AR68" s="36">
        <v>57332</v>
      </c>
      <c r="AS68" s="36">
        <v>57332</v>
      </c>
      <c r="AT68" s="36">
        <v>57332</v>
      </c>
      <c r="AU68" s="36">
        <v>57332</v>
      </c>
      <c r="AV68" s="36">
        <v>57332</v>
      </c>
      <c r="AW68" s="36">
        <v>57332</v>
      </c>
      <c r="AX68" s="36">
        <v>57332</v>
      </c>
      <c r="AY68" s="36">
        <v>57332</v>
      </c>
      <c r="AZ68" s="36">
        <v>57332</v>
      </c>
      <c r="BA68" s="36">
        <v>57332</v>
      </c>
      <c r="BB68" s="36">
        <v>57332</v>
      </c>
      <c r="BC68" s="36">
        <v>57332</v>
      </c>
      <c r="BD68" s="36">
        <v>57332</v>
      </c>
    </row>
    <row r="69" spans="1:56" x14ac:dyDescent="0.2">
      <c r="A69" s="37"/>
      <c r="B69" s="37"/>
      <c r="C69" s="38"/>
      <c r="D69" s="39"/>
      <c r="E69" s="38"/>
      <c r="F69" s="38"/>
      <c r="G69" s="38"/>
      <c r="H69" s="38"/>
      <c r="I69" s="38"/>
      <c r="J69" s="40" t="s">
        <v>22</v>
      </c>
      <c r="K69" s="41"/>
      <c r="L69" s="40">
        <f>+L65-L67</f>
        <v>0</v>
      </c>
      <c r="M69" s="40">
        <f t="shared" ref="M69:N69" si="189">+M65-M67</f>
        <v>-844</v>
      </c>
      <c r="N69" s="40">
        <f t="shared" si="189"/>
        <v>844</v>
      </c>
      <c r="O69" s="40">
        <f>+O65-O67</f>
        <v>136</v>
      </c>
      <c r="P69" s="40">
        <f t="shared" ref="P69:AH69" si="190">+P65-P67</f>
        <v>60</v>
      </c>
      <c r="Q69" s="40">
        <f t="shared" si="190"/>
        <v>-196</v>
      </c>
      <c r="R69" s="40">
        <f t="shared" si="190"/>
        <v>48</v>
      </c>
      <c r="S69" s="40">
        <f t="shared" si="190"/>
        <v>232</v>
      </c>
      <c r="T69" s="40">
        <f t="shared" si="190"/>
        <v>-280</v>
      </c>
      <c r="U69" s="40">
        <f t="shared" si="190"/>
        <v>0</v>
      </c>
      <c r="V69" s="40">
        <f t="shared" si="190"/>
        <v>0</v>
      </c>
      <c r="W69" s="40">
        <f t="shared" si="190"/>
        <v>0</v>
      </c>
      <c r="X69" s="40">
        <f t="shared" si="190"/>
        <v>0</v>
      </c>
      <c r="Y69" s="40">
        <f t="shared" si="190"/>
        <v>136</v>
      </c>
      <c r="Z69" s="40">
        <f t="shared" si="190"/>
        <v>-136</v>
      </c>
      <c r="AA69" s="40">
        <f t="shared" si="190"/>
        <v>0</v>
      </c>
      <c r="AB69" s="40">
        <f t="shared" si="190"/>
        <v>0</v>
      </c>
      <c r="AC69" s="40">
        <f t="shared" si="190"/>
        <v>0</v>
      </c>
      <c r="AD69" s="40">
        <f t="shared" si="190"/>
        <v>0</v>
      </c>
      <c r="AE69" s="40">
        <f t="shared" si="190"/>
        <v>0</v>
      </c>
      <c r="AF69" s="40">
        <f t="shared" si="190"/>
        <v>0</v>
      </c>
      <c r="AG69" s="40">
        <f t="shared" si="190"/>
        <v>0</v>
      </c>
      <c r="AH69" s="40">
        <f t="shared" si="190"/>
        <v>0</v>
      </c>
      <c r="AI69" s="40">
        <f t="shared" ref="AI69:BD69" si="191">+AI65-AI67</f>
        <v>856</v>
      </c>
      <c r="AJ69" s="40">
        <f t="shared" si="191"/>
        <v>1104</v>
      </c>
      <c r="AK69" s="40">
        <f t="shared" si="191"/>
        <v>1104</v>
      </c>
      <c r="AL69" s="40">
        <f t="shared" si="191"/>
        <v>1104</v>
      </c>
      <c r="AM69" s="40">
        <f t="shared" si="191"/>
        <v>1104</v>
      </c>
      <c r="AN69" s="40">
        <f t="shared" si="191"/>
        <v>1104</v>
      </c>
      <c r="AO69" s="40">
        <f t="shared" si="191"/>
        <v>1104</v>
      </c>
      <c r="AP69" s="40">
        <f t="shared" si="191"/>
        <v>1104</v>
      </c>
      <c r="AQ69" s="40">
        <f t="shared" si="191"/>
        <v>1104</v>
      </c>
      <c r="AR69" s="40">
        <f t="shared" si="191"/>
        <v>1104</v>
      </c>
      <c r="AS69" s="40">
        <f t="shared" si="191"/>
        <v>1104</v>
      </c>
      <c r="AT69" s="40">
        <f t="shared" si="191"/>
        <v>1104</v>
      </c>
      <c r="AU69" s="40">
        <f t="shared" si="191"/>
        <v>1104</v>
      </c>
      <c r="AV69" s="40">
        <f t="shared" si="191"/>
        <v>1104</v>
      </c>
      <c r="AW69" s="40">
        <f t="shared" si="191"/>
        <v>1104</v>
      </c>
      <c r="AX69" s="40">
        <f t="shared" si="191"/>
        <v>1104</v>
      </c>
      <c r="AY69" s="40">
        <f t="shared" si="191"/>
        <v>1104</v>
      </c>
      <c r="AZ69" s="40">
        <f t="shared" si="191"/>
        <v>1104</v>
      </c>
      <c r="BA69" s="40">
        <f t="shared" si="191"/>
        <v>1104</v>
      </c>
      <c r="BB69" s="40">
        <f t="shared" si="191"/>
        <v>1104</v>
      </c>
      <c r="BC69" s="40">
        <f t="shared" si="191"/>
        <v>1104</v>
      </c>
      <c r="BD69" s="40">
        <f t="shared" si="191"/>
        <v>1104</v>
      </c>
    </row>
    <row r="70" spans="1:56" x14ac:dyDescent="0.2">
      <c r="A70" s="37"/>
      <c r="B70" s="37"/>
      <c r="C70" s="38"/>
      <c r="D70" s="39"/>
      <c r="E70" s="38"/>
      <c r="F70" s="38"/>
      <c r="G70" s="38"/>
      <c r="H70" s="38"/>
      <c r="I70" s="38"/>
      <c r="J70" s="40" t="s">
        <v>23</v>
      </c>
      <c r="K70" s="41"/>
      <c r="L70" s="40">
        <f>+L69</f>
        <v>0</v>
      </c>
      <c r="M70" s="40">
        <f>+M69+L70</f>
        <v>-844</v>
      </c>
      <c r="N70" s="40">
        <f>+N69+M70</f>
        <v>0</v>
      </c>
      <c r="O70" s="40">
        <f t="shared" ref="O70" si="192">+O69+N70</f>
        <v>136</v>
      </c>
      <c r="P70" s="40">
        <f t="shared" ref="P70" si="193">+P69+O70</f>
        <v>196</v>
      </c>
      <c r="Q70" s="40">
        <f t="shared" ref="Q70" si="194">+Q69+P70</f>
        <v>0</v>
      </c>
      <c r="R70" s="40">
        <f t="shared" ref="R70" si="195">+R69+Q70</f>
        <v>48</v>
      </c>
      <c r="S70" s="40">
        <f t="shared" ref="S70" si="196">+S69+R70</f>
        <v>280</v>
      </c>
      <c r="T70" s="40">
        <f t="shared" ref="T70" si="197">+T69+S70</f>
        <v>0</v>
      </c>
      <c r="U70" s="40">
        <f t="shared" ref="U70" si="198">+U69+T70</f>
        <v>0</v>
      </c>
      <c r="V70" s="40">
        <f t="shared" ref="V70" si="199">+V69+U70</f>
        <v>0</v>
      </c>
      <c r="W70" s="40">
        <f t="shared" ref="W70" si="200">+W69+V70</f>
        <v>0</v>
      </c>
      <c r="X70" s="40">
        <f t="shared" ref="X70" si="201">+X69+W70</f>
        <v>0</v>
      </c>
      <c r="Y70" s="40">
        <f t="shared" ref="Y70" si="202">+Y69+X70</f>
        <v>136</v>
      </c>
      <c r="Z70" s="40">
        <f t="shared" ref="Z70" si="203">+Z69+Y70</f>
        <v>0</v>
      </c>
      <c r="AA70" s="40">
        <f t="shared" ref="AA70" si="204">+AA69+Z70</f>
        <v>0</v>
      </c>
      <c r="AB70" s="40">
        <f t="shared" ref="AB70" si="205">+AB69+AA70</f>
        <v>0</v>
      </c>
      <c r="AC70" s="40">
        <f t="shared" ref="AC70" si="206">+AC69+AB70</f>
        <v>0</v>
      </c>
      <c r="AD70" s="40">
        <f t="shared" ref="AD70" si="207">+AD69+AC70</f>
        <v>0</v>
      </c>
      <c r="AE70" s="40">
        <f t="shared" ref="AE70" si="208">+AE69+AD70</f>
        <v>0</v>
      </c>
      <c r="AF70" s="40">
        <f t="shared" ref="AF70" si="209">+AF69+AE70</f>
        <v>0</v>
      </c>
      <c r="AG70" s="40">
        <f t="shared" ref="AG70" si="210">+AG69+AF70</f>
        <v>0</v>
      </c>
      <c r="AH70" s="40">
        <f t="shared" ref="AH70" si="211">+AH69+AG70</f>
        <v>0</v>
      </c>
      <c r="AI70" s="40">
        <f t="shared" ref="AI70" si="212">+AI69+AH70</f>
        <v>856</v>
      </c>
      <c r="AJ70" s="40">
        <f t="shared" ref="AJ70" si="213">+AJ69+AI70</f>
        <v>1960</v>
      </c>
      <c r="AK70" s="40">
        <f t="shared" ref="AK70" si="214">+AK69+AJ70</f>
        <v>3064</v>
      </c>
      <c r="AL70" s="40">
        <f t="shared" ref="AL70" si="215">+AL69+AK70</f>
        <v>4168</v>
      </c>
      <c r="AM70" s="40">
        <f t="shared" ref="AM70" si="216">+AM69+AL70</f>
        <v>5272</v>
      </c>
      <c r="AN70" s="40">
        <f t="shared" ref="AN70" si="217">+AN69+AM70</f>
        <v>6376</v>
      </c>
      <c r="AO70" s="40">
        <f t="shared" ref="AO70" si="218">+AO69+AN70</f>
        <v>7480</v>
      </c>
      <c r="AP70" s="40">
        <f t="shared" ref="AP70" si="219">+AP69+AO70</f>
        <v>8584</v>
      </c>
      <c r="AQ70" s="40">
        <f t="shared" ref="AQ70" si="220">+AQ69+AP70</f>
        <v>9688</v>
      </c>
      <c r="AR70" s="40">
        <f t="shared" ref="AR70" si="221">+AR69+AQ70</f>
        <v>10792</v>
      </c>
      <c r="AS70" s="40">
        <f t="shared" ref="AS70" si="222">+AS69+AR70</f>
        <v>11896</v>
      </c>
      <c r="AT70" s="40">
        <f t="shared" ref="AT70" si="223">+AT69+AS70</f>
        <v>13000</v>
      </c>
      <c r="AU70" s="40">
        <f t="shared" ref="AU70" si="224">+AU69+AT70</f>
        <v>14104</v>
      </c>
      <c r="AV70" s="40">
        <f t="shared" ref="AV70" si="225">+AV69+AU70</f>
        <v>15208</v>
      </c>
      <c r="AW70" s="40">
        <f t="shared" ref="AW70" si="226">+AW69+AV70</f>
        <v>16312</v>
      </c>
      <c r="AX70" s="40">
        <f t="shared" ref="AX70" si="227">+AX69+AW70</f>
        <v>17416</v>
      </c>
      <c r="AY70" s="40">
        <f t="shared" ref="AY70" si="228">+AY69+AX70</f>
        <v>18520</v>
      </c>
      <c r="AZ70" s="40">
        <f t="shared" ref="AZ70" si="229">+AZ69+AY70</f>
        <v>19624</v>
      </c>
      <c r="BA70" s="40">
        <f t="shared" ref="BA70" si="230">+BA69+AZ70</f>
        <v>20728</v>
      </c>
      <c r="BB70" s="40">
        <f t="shared" ref="BB70" si="231">+BB69+BA70</f>
        <v>21832</v>
      </c>
      <c r="BC70" s="40">
        <f t="shared" ref="BC70" si="232">+BC69+BB70</f>
        <v>22936</v>
      </c>
      <c r="BD70" s="40">
        <f t="shared" ref="BD70" si="233">+BD69+BC70</f>
        <v>24040</v>
      </c>
    </row>
    <row r="71" spans="1:56" x14ac:dyDescent="0.2">
      <c r="A71" s="37"/>
      <c r="B71" s="37"/>
      <c r="C71" s="38"/>
      <c r="D71" s="39"/>
      <c r="E71" s="38"/>
      <c r="F71" s="38"/>
      <c r="G71" s="38"/>
      <c r="H71" s="38"/>
      <c r="I71" s="38"/>
      <c r="J71" s="40" t="s">
        <v>24</v>
      </c>
      <c r="K71" s="40">
        <f>AVERAGE(L65:AA65)/5</f>
        <v>154.55000000000001</v>
      </c>
      <c r="L71" s="42">
        <f>+L70/$K71</f>
        <v>0</v>
      </c>
      <c r="M71" s="42">
        <f t="shared" ref="M71:BD71" si="234">+M70/$K71</f>
        <v>-5.4610158524749268</v>
      </c>
      <c r="N71" s="42">
        <f t="shared" si="234"/>
        <v>0</v>
      </c>
      <c r="O71" s="42">
        <f t="shared" si="234"/>
        <v>0.87997411840828199</v>
      </c>
      <c r="P71" s="42">
        <f t="shared" si="234"/>
        <v>1.2681979941766417</v>
      </c>
      <c r="Q71" s="42">
        <f t="shared" si="234"/>
        <v>0</v>
      </c>
      <c r="R71" s="42">
        <f t="shared" si="234"/>
        <v>0.3105791006146878</v>
      </c>
      <c r="S71" s="42">
        <f t="shared" si="234"/>
        <v>1.8117114202523454</v>
      </c>
      <c r="T71" s="42">
        <f t="shared" si="234"/>
        <v>0</v>
      </c>
      <c r="U71" s="42">
        <f t="shared" si="234"/>
        <v>0</v>
      </c>
      <c r="V71" s="42">
        <f t="shared" si="234"/>
        <v>0</v>
      </c>
      <c r="W71" s="42">
        <f t="shared" si="234"/>
        <v>0</v>
      </c>
      <c r="X71" s="42">
        <f t="shared" si="234"/>
        <v>0</v>
      </c>
      <c r="Y71" s="42">
        <f t="shared" si="234"/>
        <v>0.87997411840828199</v>
      </c>
      <c r="Z71" s="42">
        <f t="shared" si="234"/>
        <v>0</v>
      </c>
      <c r="AA71" s="42">
        <f t="shared" si="234"/>
        <v>0</v>
      </c>
      <c r="AB71" s="42">
        <f t="shared" si="234"/>
        <v>0</v>
      </c>
      <c r="AC71" s="42">
        <f t="shared" si="234"/>
        <v>0</v>
      </c>
      <c r="AD71" s="42">
        <f t="shared" si="234"/>
        <v>0</v>
      </c>
      <c r="AE71" s="42">
        <f t="shared" si="234"/>
        <v>0</v>
      </c>
      <c r="AF71" s="42">
        <f t="shared" si="234"/>
        <v>0</v>
      </c>
      <c r="AG71" s="42">
        <f t="shared" si="234"/>
        <v>0</v>
      </c>
      <c r="AH71" s="42">
        <f t="shared" si="234"/>
        <v>0</v>
      </c>
      <c r="AI71" s="42">
        <f t="shared" si="234"/>
        <v>5.538660627628599</v>
      </c>
      <c r="AJ71" s="42">
        <f t="shared" si="234"/>
        <v>12.681979941766418</v>
      </c>
      <c r="AK71" s="42">
        <f t="shared" si="234"/>
        <v>19.825299255904238</v>
      </c>
      <c r="AL71" s="42">
        <f t="shared" si="234"/>
        <v>26.968618570042057</v>
      </c>
      <c r="AM71" s="42">
        <f t="shared" si="234"/>
        <v>34.111937884179873</v>
      </c>
      <c r="AN71" s="42">
        <f t="shared" si="234"/>
        <v>41.255257198317693</v>
      </c>
      <c r="AO71" s="42">
        <f t="shared" si="234"/>
        <v>48.398576512455513</v>
      </c>
      <c r="AP71" s="42">
        <f t="shared" si="234"/>
        <v>55.541895826593333</v>
      </c>
      <c r="AQ71" s="42">
        <f t="shared" si="234"/>
        <v>62.685215140731152</v>
      </c>
      <c r="AR71" s="42">
        <f t="shared" si="234"/>
        <v>69.828534454868972</v>
      </c>
      <c r="AS71" s="42">
        <f t="shared" si="234"/>
        <v>76.971853769006785</v>
      </c>
      <c r="AT71" s="42">
        <f t="shared" si="234"/>
        <v>84.115173083144612</v>
      </c>
      <c r="AU71" s="42">
        <f t="shared" si="234"/>
        <v>91.258492397282424</v>
      </c>
      <c r="AV71" s="42">
        <f t="shared" si="234"/>
        <v>98.401811711420251</v>
      </c>
      <c r="AW71" s="42">
        <f t="shared" si="234"/>
        <v>105.54513102555806</v>
      </c>
      <c r="AX71" s="42">
        <f t="shared" si="234"/>
        <v>112.68845033969588</v>
      </c>
      <c r="AY71" s="42">
        <f t="shared" si="234"/>
        <v>119.8317696538337</v>
      </c>
      <c r="AZ71" s="42">
        <f t="shared" si="234"/>
        <v>126.97508896797152</v>
      </c>
      <c r="BA71" s="42">
        <f t="shared" si="234"/>
        <v>134.11840828210933</v>
      </c>
      <c r="BB71" s="42">
        <f t="shared" si="234"/>
        <v>141.26172759624717</v>
      </c>
      <c r="BC71" s="42">
        <f t="shared" si="234"/>
        <v>148.40504691038498</v>
      </c>
      <c r="BD71" s="42">
        <f t="shared" si="234"/>
        <v>155.54836622452279</v>
      </c>
    </row>
    <row r="72" spans="1:56" x14ac:dyDescent="0.2">
      <c r="A72" s="37"/>
      <c r="B72" s="37"/>
      <c r="C72" s="38"/>
      <c r="D72" s="39"/>
      <c r="E72" s="38"/>
      <c r="F72" s="38"/>
      <c r="G72" s="38"/>
      <c r="H72" s="38"/>
      <c r="I72" s="38"/>
      <c r="J72" s="40" t="s">
        <v>25</v>
      </c>
      <c r="K72" s="40"/>
      <c r="L72" s="64">
        <f>L70*76</f>
        <v>0</v>
      </c>
      <c r="M72" s="64">
        <f t="shared" ref="M72:AH72" si="235">M70*76</f>
        <v>-64144</v>
      </c>
      <c r="N72" s="64">
        <f t="shared" si="235"/>
        <v>0</v>
      </c>
      <c r="O72" s="64">
        <f t="shared" si="235"/>
        <v>10336</v>
      </c>
      <c r="P72" s="64">
        <f t="shared" si="235"/>
        <v>14896</v>
      </c>
      <c r="Q72" s="64">
        <f t="shared" si="235"/>
        <v>0</v>
      </c>
      <c r="R72" s="64">
        <f t="shared" si="235"/>
        <v>3648</v>
      </c>
      <c r="S72" s="64">
        <f t="shared" si="235"/>
        <v>21280</v>
      </c>
      <c r="T72" s="64">
        <f t="shared" si="235"/>
        <v>0</v>
      </c>
      <c r="U72" s="64">
        <f t="shared" si="235"/>
        <v>0</v>
      </c>
      <c r="V72" s="64">
        <f t="shared" si="235"/>
        <v>0</v>
      </c>
      <c r="W72" s="64">
        <f t="shared" si="235"/>
        <v>0</v>
      </c>
      <c r="X72" s="64">
        <f t="shared" si="235"/>
        <v>0</v>
      </c>
      <c r="Y72" s="64">
        <f t="shared" si="235"/>
        <v>10336</v>
      </c>
      <c r="Z72" s="64">
        <f t="shared" si="235"/>
        <v>0</v>
      </c>
      <c r="AA72" s="64">
        <f t="shared" si="235"/>
        <v>0</v>
      </c>
      <c r="AB72" s="64">
        <f t="shared" si="235"/>
        <v>0</v>
      </c>
      <c r="AC72" s="64">
        <f t="shared" si="235"/>
        <v>0</v>
      </c>
      <c r="AD72" s="64">
        <f t="shared" si="235"/>
        <v>0</v>
      </c>
      <c r="AE72" s="64">
        <f t="shared" si="235"/>
        <v>0</v>
      </c>
      <c r="AF72" s="64">
        <f t="shared" si="235"/>
        <v>0</v>
      </c>
      <c r="AG72" s="64">
        <f t="shared" si="235"/>
        <v>0</v>
      </c>
      <c r="AH72" s="64">
        <f t="shared" si="235"/>
        <v>0</v>
      </c>
      <c r="AI72" s="64">
        <f t="shared" ref="AI72:BD72" si="236">AI70*76</f>
        <v>65056</v>
      </c>
      <c r="AJ72" s="64">
        <f t="shared" si="236"/>
        <v>148960</v>
      </c>
      <c r="AK72" s="64">
        <f t="shared" si="236"/>
        <v>232864</v>
      </c>
      <c r="AL72" s="64">
        <f t="shared" si="236"/>
        <v>316768</v>
      </c>
      <c r="AM72" s="64">
        <f t="shared" si="236"/>
        <v>400672</v>
      </c>
      <c r="AN72" s="64">
        <f t="shared" si="236"/>
        <v>484576</v>
      </c>
      <c r="AO72" s="64">
        <f t="shared" si="236"/>
        <v>568480</v>
      </c>
      <c r="AP72" s="64">
        <f t="shared" si="236"/>
        <v>652384</v>
      </c>
      <c r="AQ72" s="64">
        <f t="shared" si="236"/>
        <v>736288</v>
      </c>
      <c r="AR72" s="64">
        <f t="shared" si="236"/>
        <v>820192</v>
      </c>
      <c r="AS72" s="64">
        <f t="shared" si="236"/>
        <v>904096</v>
      </c>
      <c r="AT72" s="64">
        <f t="shared" si="236"/>
        <v>988000</v>
      </c>
      <c r="AU72" s="64">
        <f t="shared" si="236"/>
        <v>1071904</v>
      </c>
      <c r="AV72" s="64">
        <f t="shared" si="236"/>
        <v>1155808</v>
      </c>
      <c r="AW72" s="64">
        <f t="shared" si="236"/>
        <v>1239712</v>
      </c>
      <c r="AX72" s="64">
        <f t="shared" si="236"/>
        <v>1323616</v>
      </c>
      <c r="AY72" s="64">
        <f t="shared" si="236"/>
        <v>1407520</v>
      </c>
      <c r="AZ72" s="64">
        <f t="shared" si="236"/>
        <v>1491424</v>
      </c>
      <c r="BA72" s="64">
        <f t="shared" si="236"/>
        <v>1575328</v>
      </c>
      <c r="BB72" s="64">
        <f t="shared" si="236"/>
        <v>1659232</v>
      </c>
      <c r="BC72" s="64">
        <f t="shared" si="236"/>
        <v>1743136</v>
      </c>
      <c r="BD72" s="64">
        <f t="shared" si="236"/>
        <v>1827040</v>
      </c>
    </row>
    <row r="73" spans="1:56" x14ac:dyDescent="0.2">
      <c r="B73" s="43"/>
      <c r="C73" s="55"/>
      <c r="D73" s="56" t="s">
        <v>26</v>
      </c>
      <c r="E73" s="57"/>
      <c r="F73" s="58"/>
      <c r="G73" s="58"/>
      <c r="H73" s="58"/>
      <c r="I73" s="58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</row>
    <row r="74" spans="1:56" x14ac:dyDescent="0.2">
      <c r="A74" s="37"/>
      <c r="B74" s="59"/>
      <c r="C74" s="55"/>
      <c r="D74" s="56" t="s">
        <v>212</v>
      </c>
      <c r="E74" s="55"/>
      <c r="F74" s="55"/>
      <c r="G74" s="55"/>
      <c r="H74" s="55"/>
      <c r="I74" s="55"/>
      <c r="J74" s="210"/>
      <c r="K74" s="210">
        <v>256</v>
      </c>
      <c r="L74" s="210">
        <v>256</v>
      </c>
      <c r="M74" s="210">
        <v>256</v>
      </c>
      <c r="N74" s="210">
        <v>260</v>
      </c>
      <c r="O74" s="210">
        <v>268</v>
      </c>
      <c r="P74" s="210">
        <v>268</v>
      </c>
      <c r="Q74" s="210">
        <v>216</v>
      </c>
      <c r="R74" s="210">
        <v>204</v>
      </c>
      <c r="S74" s="210">
        <v>220</v>
      </c>
      <c r="T74" s="210">
        <v>220</v>
      </c>
      <c r="U74" s="210">
        <v>220</v>
      </c>
      <c r="V74" s="210">
        <v>220</v>
      </c>
      <c r="W74" s="210">
        <v>220</v>
      </c>
      <c r="X74" s="210">
        <v>220</v>
      </c>
      <c r="Y74" s="210">
        <v>268</v>
      </c>
      <c r="Z74" s="210">
        <v>268</v>
      </c>
      <c r="AA74" s="210">
        <v>220</v>
      </c>
      <c r="AB74" s="210">
        <v>220</v>
      </c>
      <c r="AC74" s="210"/>
      <c r="AD74" s="210"/>
      <c r="AE74" s="210"/>
      <c r="AF74" s="210"/>
      <c r="AG74" s="210"/>
      <c r="AH74" s="210"/>
      <c r="AI74" s="210"/>
      <c r="AJ74" s="210"/>
      <c r="AK74" s="210"/>
      <c r="AL74" s="210"/>
      <c r="AM74" s="210"/>
      <c r="AN74" s="210"/>
      <c r="AO74" s="210"/>
      <c r="AP74" s="210"/>
      <c r="AQ74" s="210"/>
      <c r="AR74" s="210"/>
      <c r="AS74" s="210"/>
      <c r="AT74" s="210"/>
      <c r="AU74" s="210"/>
      <c r="AV74" s="210"/>
      <c r="AW74" s="210"/>
      <c r="AX74" s="210"/>
      <c r="AY74" s="210"/>
      <c r="AZ74" s="210"/>
      <c r="BA74" s="210"/>
      <c r="BB74" s="210"/>
      <c r="BC74" s="210"/>
      <c r="BD74" s="210"/>
    </row>
    <row r="75" spans="1:56" x14ac:dyDescent="0.2">
      <c r="A75" s="37"/>
      <c r="B75" s="59"/>
      <c r="C75" s="55"/>
      <c r="D75" s="56" t="s">
        <v>26</v>
      </c>
      <c r="E75" s="55"/>
      <c r="F75" s="55"/>
      <c r="G75" s="55"/>
      <c r="H75" s="55"/>
      <c r="I75" s="55"/>
      <c r="J75" s="212"/>
      <c r="K75" s="212">
        <v>5</v>
      </c>
      <c r="L75" s="212">
        <v>5</v>
      </c>
      <c r="M75" s="212">
        <v>3</v>
      </c>
      <c r="N75" s="212">
        <v>2</v>
      </c>
      <c r="O75" s="212">
        <v>4</v>
      </c>
      <c r="P75" s="212">
        <v>5</v>
      </c>
      <c r="Q75" s="212">
        <v>5</v>
      </c>
      <c r="R75" s="212">
        <v>5</v>
      </c>
      <c r="S75" s="212">
        <v>5</v>
      </c>
      <c r="T75" s="212">
        <v>5</v>
      </c>
      <c r="U75" s="212">
        <v>4</v>
      </c>
      <c r="V75" s="212">
        <v>5</v>
      </c>
      <c r="W75" s="212">
        <v>3</v>
      </c>
      <c r="X75" s="212">
        <v>5</v>
      </c>
      <c r="Y75" s="212">
        <v>5</v>
      </c>
      <c r="Z75" s="212">
        <v>3</v>
      </c>
      <c r="AA75" s="212">
        <v>5</v>
      </c>
      <c r="AB75" s="212">
        <v>5</v>
      </c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  <c r="AM75" s="212"/>
      <c r="AN75" s="212"/>
      <c r="AO75" s="212"/>
      <c r="AP75" s="212"/>
      <c r="AQ75" s="212"/>
      <c r="AR75" s="212"/>
      <c r="AS75" s="212"/>
      <c r="AT75" s="212"/>
      <c r="AU75" s="212"/>
      <c r="AV75" s="212"/>
      <c r="AW75" s="212"/>
      <c r="AX75" s="212"/>
      <c r="AY75" s="212"/>
      <c r="AZ75" s="212"/>
      <c r="BA75" s="212"/>
      <c r="BB75" s="212"/>
      <c r="BC75" s="212"/>
      <c r="BD75" s="210"/>
    </row>
    <row r="76" spans="1:56" x14ac:dyDescent="0.2">
      <c r="A76" s="37"/>
      <c r="B76" s="59"/>
      <c r="C76" s="55"/>
      <c r="D76" s="56" t="s">
        <v>27</v>
      </c>
      <c r="E76" s="55"/>
      <c r="F76" s="55"/>
      <c r="G76" s="55"/>
      <c r="H76" s="55"/>
      <c r="I76" s="55"/>
      <c r="J76" s="210"/>
      <c r="K76" s="210">
        <f t="shared" ref="K76:AG76" si="237">K75*K74</f>
        <v>1280</v>
      </c>
      <c r="L76" s="210">
        <f t="shared" si="237"/>
        <v>1280</v>
      </c>
      <c r="M76" s="210">
        <f t="shared" si="237"/>
        <v>768</v>
      </c>
      <c r="N76" s="210">
        <f t="shared" si="237"/>
        <v>520</v>
      </c>
      <c r="O76" s="210">
        <f t="shared" si="237"/>
        <v>1072</v>
      </c>
      <c r="P76" s="210">
        <f t="shared" si="237"/>
        <v>1340</v>
      </c>
      <c r="Q76" s="210">
        <f t="shared" si="237"/>
        <v>1080</v>
      </c>
      <c r="R76" s="210">
        <f t="shared" si="237"/>
        <v>1020</v>
      </c>
      <c r="S76" s="210">
        <f t="shared" si="237"/>
        <v>1100</v>
      </c>
      <c r="T76" s="210">
        <f t="shared" si="237"/>
        <v>1100</v>
      </c>
      <c r="U76" s="210">
        <f t="shared" si="237"/>
        <v>880</v>
      </c>
      <c r="V76" s="210">
        <f t="shared" si="237"/>
        <v>1100</v>
      </c>
      <c r="W76" s="210">
        <f t="shared" si="237"/>
        <v>660</v>
      </c>
      <c r="X76" s="210">
        <f t="shared" si="237"/>
        <v>1100</v>
      </c>
      <c r="Y76" s="210">
        <f t="shared" si="237"/>
        <v>1340</v>
      </c>
      <c r="Z76" s="210">
        <f t="shared" si="237"/>
        <v>804</v>
      </c>
      <c r="AA76" s="210">
        <f t="shared" si="237"/>
        <v>1100</v>
      </c>
      <c r="AB76" s="210">
        <f t="shared" si="237"/>
        <v>1100</v>
      </c>
      <c r="AC76" s="210">
        <f t="shared" si="237"/>
        <v>0</v>
      </c>
      <c r="AD76" s="210">
        <f t="shared" si="237"/>
        <v>0</v>
      </c>
      <c r="AE76" s="210">
        <f t="shared" si="237"/>
        <v>0</v>
      </c>
      <c r="AF76" s="210">
        <f t="shared" si="237"/>
        <v>0</v>
      </c>
      <c r="AG76" s="210">
        <f t="shared" si="237"/>
        <v>0</v>
      </c>
      <c r="AH76" s="210">
        <f t="shared" ref="AH76:BD76" si="238">AH75*AH74</f>
        <v>0</v>
      </c>
      <c r="AI76" s="210">
        <f t="shared" si="238"/>
        <v>0</v>
      </c>
      <c r="AJ76" s="210">
        <f t="shared" si="238"/>
        <v>0</v>
      </c>
      <c r="AK76" s="210">
        <f t="shared" si="238"/>
        <v>0</v>
      </c>
      <c r="AL76" s="210">
        <f t="shared" si="238"/>
        <v>0</v>
      </c>
      <c r="AM76" s="210">
        <f t="shared" si="238"/>
        <v>0</v>
      </c>
      <c r="AN76" s="210">
        <f t="shared" si="238"/>
        <v>0</v>
      </c>
      <c r="AO76" s="210">
        <f t="shared" si="238"/>
        <v>0</v>
      </c>
      <c r="AP76" s="210">
        <f t="shared" si="238"/>
        <v>0</v>
      </c>
      <c r="AQ76" s="210">
        <f t="shared" si="238"/>
        <v>0</v>
      </c>
      <c r="AR76" s="210">
        <f t="shared" si="238"/>
        <v>0</v>
      </c>
      <c r="AS76" s="210">
        <f t="shared" si="238"/>
        <v>0</v>
      </c>
      <c r="AT76" s="210">
        <f t="shared" si="238"/>
        <v>0</v>
      </c>
      <c r="AU76" s="210">
        <f t="shared" si="238"/>
        <v>0</v>
      </c>
      <c r="AV76" s="210">
        <f t="shared" si="238"/>
        <v>0</v>
      </c>
      <c r="AW76" s="210">
        <f t="shared" si="238"/>
        <v>0</v>
      </c>
      <c r="AX76" s="210">
        <f t="shared" si="238"/>
        <v>0</v>
      </c>
      <c r="AY76" s="210">
        <f t="shared" si="238"/>
        <v>0</v>
      </c>
      <c r="AZ76" s="210">
        <f t="shared" si="238"/>
        <v>0</v>
      </c>
      <c r="BA76" s="210">
        <f t="shared" si="238"/>
        <v>0</v>
      </c>
      <c r="BB76" s="210">
        <f t="shared" si="238"/>
        <v>0</v>
      </c>
      <c r="BC76" s="210">
        <f t="shared" si="238"/>
        <v>0</v>
      </c>
      <c r="BD76" s="210">
        <f t="shared" si="238"/>
        <v>0</v>
      </c>
    </row>
    <row r="77" spans="1:56" x14ac:dyDescent="0.2">
      <c r="A77" s="37"/>
      <c r="B77" s="59"/>
      <c r="C77" s="55"/>
      <c r="D77" s="56"/>
      <c r="E77" s="55"/>
      <c r="F77" s="55"/>
      <c r="G77" s="55"/>
      <c r="H77" s="55"/>
      <c r="I77" s="55"/>
      <c r="J77" s="211"/>
      <c r="K77" s="211">
        <f t="shared" ref="K77" si="239">K76</f>
        <v>1280</v>
      </c>
      <c r="L77" s="211">
        <f t="shared" ref="L77" si="240">L76</f>
        <v>1280</v>
      </c>
      <c r="M77" s="211">
        <f t="shared" ref="M77" si="241">M76</f>
        <v>768</v>
      </c>
      <c r="N77" s="211">
        <f t="shared" ref="N77" si="242">N76</f>
        <v>520</v>
      </c>
      <c r="O77" s="211">
        <f t="shared" ref="O77" si="243">O76</f>
        <v>1072</v>
      </c>
      <c r="P77" s="211">
        <f t="shared" ref="P77" si="244">P76</f>
        <v>1340</v>
      </c>
      <c r="Q77" s="211">
        <f t="shared" ref="Q77" si="245">Q76</f>
        <v>1080</v>
      </c>
      <c r="R77" s="211">
        <f t="shared" ref="R77" si="246">R76</f>
        <v>1020</v>
      </c>
      <c r="S77" s="211">
        <f t="shared" ref="S77" si="247">S76</f>
        <v>1100</v>
      </c>
      <c r="T77" s="211">
        <f t="shared" ref="T77" si="248">T76</f>
        <v>1100</v>
      </c>
      <c r="U77" s="211">
        <f t="shared" ref="U77" si="249">U76</f>
        <v>880</v>
      </c>
      <c r="V77" s="211">
        <f t="shared" ref="V77" si="250">V76</f>
        <v>1100</v>
      </c>
      <c r="W77" s="211">
        <f t="shared" ref="W77" si="251">W76</f>
        <v>660</v>
      </c>
      <c r="X77" s="211">
        <f t="shared" ref="X77" si="252">X76</f>
        <v>1100</v>
      </c>
      <c r="Y77" s="211">
        <f t="shared" ref="Y77" si="253">Y76</f>
        <v>1340</v>
      </c>
      <c r="Z77" s="211">
        <f t="shared" ref="Z77" si="254">Z76</f>
        <v>804</v>
      </c>
      <c r="AA77" s="211">
        <f t="shared" ref="AA77" si="255">AA76</f>
        <v>1100</v>
      </c>
      <c r="AB77" s="211">
        <f t="shared" ref="AB77" si="256">AB76</f>
        <v>1100</v>
      </c>
      <c r="AC77" s="211">
        <f t="shared" ref="AC77" si="257">AC76</f>
        <v>0</v>
      </c>
      <c r="AD77" s="211">
        <f t="shared" ref="AD77" si="258">AD76</f>
        <v>0</v>
      </c>
      <c r="AE77" s="211">
        <f t="shared" ref="AE77" si="259">AE76</f>
        <v>0</v>
      </c>
      <c r="AF77" s="211">
        <f t="shared" ref="AF77" si="260">AF76</f>
        <v>0</v>
      </c>
      <c r="AG77" s="211">
        <f t="shared" ref="AG77" si="261">AG76</f>
        <v>0</v>
      </c>
      <c r="AH77" s="211">
        <f t="shared" ref="AH77:BD77" si="262">AH76</f>
        <v>0</v>
      </c>
      <c r="AI77" s="211">
        <f t="shared" si="262"/>
        <v>0</v>
      </c>
      <c r="AJ77" s="211">
        <f t="shared" si="262"/>
        <v>0</v>
      </c>
      <c r="AK77" s="211">
        <f t="shared" si="262"/>
        <v>0</v>
      </c>
      <c r="AL77" s="211">
        <f t="shared" si="262"/>
        <v>0</v>
      </c>
      <c r="AM77" s="211">
        <f t="shared" si="262"/>
        <v>0</v>
      </c>
      <c r="AN77" s="211">
        <f t="shared" si="262"/>
        <v>0</v>
      </c>
      <c r="AO77" s="211">
        <f t="shared" si="262"/>
        <v>0</v>
      </c>
      <c r="AP77" s="211">
        <f t="shared" si="262"/>
        <v>0</v>
      </c>
      <c r="AQ77" s="211">
        <f t="shared" si="262"/>
        <v>0</v>
      </c>
      <c r="AR77" s="211">
        <f t="shared" si="262"/>
        <v>0</v>
      </c>
      <c r="AS77" s="211">
        <f t="shared" si="262"/>
        <v>0</v>
      </c>
      <c r="AT77" s="211">
        <f t="shared" si="262"/>
        <v>0</v>
      </c>
      <c r="AU77" s="211">
        <f t="shared" si="262"/>
        <v>0</v>
      </c>
      <c r="AV77" s="211">
        <f t="shared" si="262"/>
        <v>0</v>
      </c>
      <c r="AW77" s="211">
        <f t="shared" si="262"/>
        <v>0</v>
      </c>
      <c r="AX77" s="211">
        <f t="shared" si="262"/>
        <v>0</v>
      </c>
      <c r="AY77" s="211">
        <f t="shared" si="262"/>
        <v>0</v>
      </c>
      <c r="AZ77" s="211">
        <f t="shared" si="262"/>
        <v>0</v>
      </c>
      <c r="BA77" s="211">
        <f t="shared" si="262"/>
        <v>0</v>
      </c>
      <c r="BB77" s="211">
        <f t="shared" si="262"/>
        <v>0</v>
      </c>
      <c r="BC77" s="211">
        <f t="shared" si="262"/>
        <v>0</v>
      </c>
      <c r="BD77" s="211">
        <f t="shared" si="262"/>
        <v>0</v>
      </c>
    </row>
    <row r="78" spans="1:56" x14ac:dyDescent="0.2">
      <c r="B78" s="59"/>
      <c r="C78" s="55"/>
      <c r="D78" s="56" t="s">
        <v>28</v>
      </c>
      <c r="E78" s="55"/>
      <c r="F78" s="55"/>
      <c r="G78" s="55"/>
      <c r="H78" s="55"/>
      <c r="I78" s="55"/>
      <c r="J78" s="62"/>
      <c r="K78" s="62"/>
      <c r="L78" s="210">
        <f>L77-L65</f>
        <v>-24</v>
      </c>
      <c r="M78" s="210">
        <f t="shared" ref="M78" si="263">M77-M65</f>
        <v>768</v>
      </c>
      <c r="N78" s="210">
        <f t="shared" ref="N78" si="264">N77-N65</f>
        <v>-624</v>
      </c>
      <c r="O78" s="210">
        <f t="shared" ref="O78" si="265">O77-O65</f>
        <v>512</v>
      </c>
      <c r="P78" s="210">
        <f t="shared" ref="P78" si="266">P77-P65</f>
        <v>492</v>
      </c>
      <c r="Q78" s="210">
        <f t="shared" ref="Q78" si="267">Q77-Q65</f>
        <v>464</v>
      </c>
      <c r="R78" s="210">
        <f t="shared" ref="R78" si="268">R77-R65</f>
        <v>216</v>
      </c>
      <c r="S78" s="210">
        <f t="shared" ref="S78" si="269">S77-S65</f>
        <v>488</v>
      </c>
      <c r="T78" s="210">
        <f t="shared" ref="T78" si="270">T77-T65</f>
        <v>488</v>
      </c>
      <c r="U78" s="210">
        <f t="shared" ref="U78" si="271">U77-U65</f>
        <v>120</v>
      </c>
      <c r="V78" s="210">
        <f t="shared" ref="V78" si="272">V77-V65</f>
        <v>184</v>
      </c>
      <c r="W78" s="210">
        <f t="shared" ref="W78" si="273">W77-W65</f>
        <v>-252</v>
      </c>
      <c r="X78" s="210">
        <f t="shared" ref="X78" si="274">X77-X65</f>
        <v>180</v>
      </c>
      <c r="Y78" s="210">
        <f t="shared" ref="Y78" si="275">Y77-Y65</f>
        <v>532</v>
      </c>
      <c r="Z78" s="210">
        <f t="shared" ref="Z78" si="276">Z77-Z65</f>
        <v>-36</v>
      </c>
      <c r="AA78" s="210">
        <f t="shared" ref="AA78" si="277">AA77-AA65</f>
        <v>392</v>
      </c>
      <c r="AB78" s="210">
        <f t="shared" ref="AB78" si="278">AB77-AB65</f>
        <v>208</v>
      </c>
      <c r="AC78" s="210">
        <f t="shared" ref="AC78" si="279">AC77-AC65</f>
        <v>-612</v>
      </c>
      <c r="AD78" s="210">
        <f t="shared" ref="AD78" si="280">AD77-AD65</f>
        <v>-908</v>
      </c>
      <c r="AE78" s="210">
        <f t="shared" ref="AE78" si="281">AE77-AE65</f>
        <v>-872</v>
      </c>
      <c r="AF78" s="210">
        <f t="shared" ref="AF78" si="282">AF77-AF65</f>
        <v>-876</v>
      </c>
      <c r="AG78" s="210">
        <f t="shared" ref="AG78" si="283">AG77-AG65</f>
        <v>-1136</v>
      </c>
      <c r="AH78" s="210">
        <f t="shared" ref="AH78:BD78" si="284">AH77-AH65</f>
        <v>-1096</v>
      </c>
      <c r="AI78" s="210">
        <f t="shared" si="284"/>
        <v>-1104</v>
      </c>
      <c r="AJ78" s="210">
        <f t="shared" si="284"/>
        <v>-1104</v>
      </c>
      <c r="AK78" s="210">
        <f t="shared" si="284"/>
        <v>-1104</v>
      </c>
      <c r="AL78" s="210">
        <f t="shared" si="284"/>
        <v>-1104</v>
      </c>
      <c r="AM78" s="210">
        <f t="shared" si="284"/>
        <v>-1104</v>
      </c>
      <c r="AN78" s="210">
        <f t="shared" si="284"/>
        <v>-1104</v>
      </c>
      <c r="AO78" s="210">
        <f t="shared" si="284"/>
        <v>-1104</v>
      </c>
      <c r="AP78" s="210">
        <f t="shared" si="284"/>
        <v>-1104</v>
      </c>
      <c r="AQ78" s="210">
        <f t="shared" si="284"/>
        <v>-1104</v>
      </c>
      <c r="AR78" s="210">
        <f t="shared" si="284"/>
        <v>-1104</v>
      </c>
      <c r="AS78" s="210">
        <f t="shared" si="284"/>
        <v>-1104</v>
      </c>
      <c r="AT78" s="210">
        <f t="shared" si="284"/>
        <v>-1104</v>
      </c>
      <c r="AU78" s="210">
        <f t="shared" si="284"/>
        <v>-1104</v>
      </c>
      <c r="AV78" s="210">
        <f t="shared" si="284"/>
        <v>-1104</v>
      </c>
      <c r="AW78" s="210">
        <f t="shared" si="284"/>
        <v>-1104</v>
      </c>
      <c r="AX78" s="210">
        <f t="shared" si="284"/>
        <v>-1104</v>
      </c>
      <c r="AY78" s="210">
        <f t="shared" si="284"/>
        <v>-1104</v>
      </c>
      <c r="AZ78" s="210">
        <f t="shared" si="284"/>
        <v>-1104</v>
      </c>
      <c r="BA78" s="210">
        <f t="shared" si="284"/>
        <v>-1104</v>
      </c>
      <c r="BB78" s="210">
        <f t="shared" si="284"/>
        <v>-1104</v>
      </c>
      <c r="BC78" s="210">
        <f t="shared" si="284"/>
        <v>-1104</v>
      </c>
      <c r="BD78" s="210">
        <f t="shared" si="284"/>
        <v>-1104</v>
      </c>
    </row>
    <row r="79" spans="1:56" x14ac:dyDescent="0.2">
      <c r="B79" s="66"/>
      <c r="C79" s="54"/>
      <c r="D79" s="67"/>
      <c r="E79" s="54"/>
      <c r="F79" s="54"/>
      <c r="G79" s="54"/>
      <c r="H79" s="54"/>
      <c r="I79" s="54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</row>
    <row r="80" spans="1:56" ht="15" x14ac:dyDescent="0.2">
      <c r="B80" s="66"/>
      <c r="C80" s="54"/>
      <c r="D80" s="67"/>
      <c r="E80" s="54"/>
      <c r="F80" s="54"/>
      <c r="G80" s="54"/>
      <c r="H80" s="54"/>
      <c r="I80" s="54"/>
      <c r="J80" s="54" t="s">
        <v>29</v>
      </c>
      <c r="K80" s="54"/>
      <c r="L80" s="76">
        <f t="shared" ref="L80:AH80" si="285">L83-L86</f>
        <v>0</v>
      </c>
      <c r="M80" s="76">
        <f t="shared" si="285"/>
        <v>0</v>
      </c>
      <c r="N80" s="76">
        <f t="shared" si="285"/>
        <v>172</v>
      </c>
      <c r="O80" s="76">
        <f t="shared" si="285"/>
        <v>-328</v>
      </c>
      <c r="P80" s="76">
        <f t="shared" si="285"/>
        <v>128</v>
      </c>
      <c r="Q80" s="76">
        <f t="shared" si="285"/>
        <v>-292</v>
      </c>
      <c r="R80" s="76">
        <f t="shared" si="285"/>
        <v>-20</v>
      </c>
      <c r="S80" s="76">
        <f t="shared" si="285"/>
        <v>-272</v>
      </c>
      <c r="T80" s="76">
        <f t="shared" si="285"/>
        <v>-292</v>
      </c>
      <c r="U80" s="76">
        <f t="shared" si="285"/>
        <v>-124</v>
      </c>
      <c r="V80" s="76">
        <f t="shared" si="285"/>
        <v>-112</v>
      </c>
      <c r="W80" s="76">
        <f t="shared" si="285"/>
        <v>-4</v>
      </c>
      <c r="X80" s="76">
        <f t="shared" si="285"/>
        <v>-108</v>
      </c>
      <c r="Y80" s="76">
        <f t="shared" si="285"/>
        <v>32</v>
      </c>
      <c r="Z80" s="76">
        <f t="shared" si="285"/>
        <v>-152</v>
      </c>
      <c r="AA80" s="76">
        <f t="shared" si="285"/>
        <v>-192</v>
      </c>
      <c r="AB80" s="76">
        <f t="shared" si="285"/>
        <v>-112</v>
      </c>
      <c r="AC80" s="76">
        <f t="shared" si="285"/>
        <v>-116</v>
      </c>
      <c r="AD80" s="76">
        <f t="shared" si="285"/>
        <v>-96</v>
      </c>
      <c r="AE80" s="76">
        <f t="shared" si="285"/>
        <v>-104</v>
      </c>
      <c r="AF80" s="76">
        <f t="shared" si="285"/>
        <v>-108</v>
      </c>
      <c r="AG80" s="76">
        <f t="shared" si="285"/>
        <v>28</v>
      </c>
      <c r="AH80" s="76">
        <f t="shared" si="285"/>
        <v>112</v>
      </c>
      <c r="AI80" s="76">
        <f t="shared" ref="AI80:BD80" si="286">AI83-AI86</f>
        <v>120</v>
      </c>
      <c r="AJ80" s="76">
        <f t="shared" si="286"/>
        <v>120</v>
      </c>
      <c r="AK80" s="76">
        <f t="shared" si="286"/>
        <v>120</v>
      </c>
      <c r="AL80" s="76">
        <f t="shared" si="286"/>
        <v>120</v>
      </c>
      <c r="AM80" s="76">
        <f t="shared" si="286"/>
        <v>120</v>
      </c>
      <c r="AN80" s="76">
        <f t="shared" si="286"/>
        <v>120</v>
      </c>
      <c r="AO80" s="76">
        <f t="shared" si="286"/>
        <v>120</v>
      </c>
      <c r="AP80" s="76">
        <f t="shared" si="286"/>
        <v>120</v>
      </c>
      <c r="AQ80" s="76">
        <f t="shared" si="286"/>
        <v>120</v>
      </c>
      <c r="AR80" s="76">
        <f t="shared" si="286"/>
        <v>120</v>
      </c>
      <c r="AS80" s="76">
        <f t="shared" si="286"/>
        <v>120</v>
      </c>
      <c r="AT80" s="76">
        <f t="shared" si="286"/>
        <v>120</v>
      </c>
      <c r="AU80" s="76">
        <f t="shared" si="286"/>
        <v>120</v>
      </c>
      <c r="AV80" s="76">
        <f t="shared" si="286"/>
        <v>120</v>
      </c>
      <c r="AW80" s="76">
        <f t="shared" si="286"/>
        <v>120</v>
      </c>
      <c r="AX80" s="76">
        <f t="shared" si="286"/>
        <v>120</v>
      </c>
      <c r="AY80" s="76">
        <f t="shared" si="286"/>
        <v>120</v>
      </c>
      <c r="AZ80" s="76">
        <f t="shared" si="286"/>
        <v>120</v>
      </c>
      <c r="BA80" s="76">
        <f t="shared" si="286"/>
        <v>120</v>
      </c>
      <c r="BB80" s="76">
        <f t="shared" si="286"/>
        <v>120</v>
      </c>
      <c r="BC80" s="76">
        <f t="shared" si="286"/>
        <v>120</v>
      </c>
      <c r="BD80" s="76">
        <f t="shared" si="286"/>
        <v>1104</v>
      </c>
    </row>
    <row r="81" spans="2:56" ht="15" x14ac:dyDescent="0.25">
      <c r="B81" s="69"/>
      <c r="C81" s="69"/>
      <c r="D81" s="69"/>
      <c r="E81" s="69"/>
      <c r="F81" s="69"/>
      <c r="G81" s="69"/>
      <c r="H81" s="69"/>
      <c r="I81" s="69"/>
      <c r="J81" s="75" t="s">
        <v>30</v>
      </c>
      <c r="K81" s="69"/>
      <c r="L81" s="76">
        <f t="shared" ref="L81:AH81" si="287">L84-L87</f>
        <v>0</v>
      </c>
      <c r="M81" s="76">
        <f t="shared" si="287"/>
        <v>0</v>
      </c>
      <c r="N81" s="76">
        <f t="shared" si="287"/>
        <v>172</v>
      </c>
      <c r="O81" s="76">
        <f t="shared" si="287"/>
        <v>-156</v>
      </c>
      <c r="P81" s="76">
        <f t="shared" si="287"/>
        <v>-28</v>
      </c>
      <c r="Q81" s="76">
        <f t="shared" si="287"/>
        <v>-320</v>
      </c>
      <c r="R81" s="76">
        <f t="shared" si="287"/>
        <v>-340</v>
      </c>
      <c r="S81" s="76">
        <f t="shared" si="287"/>
        <v>-612</v>
      </c>
      <c r="T81" s="76">
        <f t="shared" si="287"/>
        <v>-904</v>
      </c>
      <c r="U81" s="76">
        <f t="shared" si="287"/>
        <v>-1028</v>
      </c>
      <c r="V81" s="76">
        <f t="shared" si="287"/>
        <v>-1140</v>
      </c>
      <c r="W81" s="76">
        <f t="shared" si="287"/>
        <v>-1144</v>
      </c>
      <c r="X81" s="76">
        <f t="shared" si="287"/>
        <v>-1252</v>
      </c>
      <c r="Y81" s="76">
        <f t="shared" si="287"/>
        <v>-1220</v>
      </c>
      <c r="Z81" s="76">
        <f t="shared" si="287"/>
        <v>-1372</v>
      </c>
      <c r="AA81" s="76">
        <f t="shared" si="287"/>
        <v>-1564</v>
      </c>
      <c r="AB81" s="76">
        <f t="shared" si="287"/>
        <v>-1676</v>
      </c>
      <c r="AC81" s="76">
        <f t="shared" si="287"/>
        <v>-1792</v>
      </c>
      <c r="AD81" s="76">
        <f t="shared" si="287"/>
        <v>-1888</v>
      </c>
      <c r="AE81" s="76">
        <f t="shared" si="287"/>
        <v>-1992</v>
      </c>
      <c r="AF81" s="76">
        <f t="shared" si="287"/>
        <v>-2100</v>
      </c>
      <c r="AG81" s="76">
        <f t="shared" si="287"/>
        <v>-2072</v>
      </c>
      <c r="AH81" s="76">
        <f t="shared" si="287"/>
        <v>-1960</v>
      </c>
      <c r="AI81" s="76">
        <f t="shared" ref="AI81:BD81" si="288">AI84-AI87</f>
        <v>-1840</v>
      </c>
      <c r="AJ81" s="76">
        <f t="shared" si="288"/>
        <v>-1720</v>
      </c>
      <c r="AK81" s="76">
        <f t="shared" si="288"/>
        <v>-1600</v>
      </c>
      <c r="AL81" s="76">
        <f t="shared" si="288"/>
        <v>-1480</v>
      </c>
      <c r="AM81" s="76">
        <f t="shared" si="288"/>
        <v>-1360</v>
      </c>
      <c r="AN81" s="76">
        <f t="shared" si="288"/>
        <v>-1240</v>
      </c>
      <c r="AO81" s="76">
        <f t="shared" si="288"/>
        <v>-1120</v>
      </c>
      <c r="AP81" s="76">
        <f t="shared" si="288"/>
        <v>-1000</v>
      </c>
      <c r="AQ81" s="76">
        <f t="shared" si="288"/>
        <v>-880</v>
      </c>
      <c r="AR81" s="76">
        <f t="shared" si="288"/>
        <v>-760</v>
      </c>
      <c r="AS81" s="76">
        <f t="shared" si="288"/>
        <v>-640</v>
      </c>
      <c r="AT81" s="76">
        <f t="shared" si="288"/>
        <v>-520</v>
      </c>
      <c r="AU81" s="76">
        <f t="shared" si="288"/>
        <v>-400</v>
      </c>
      <c r="AV81" s="76">
        <f t="shared" si="288"/>
        <v>-280</v>
      </c>
      <c r="AW81" s="76">
        <f t="shared" si="288"/>
        <v>-160</v>
      </c>
      <c r="AX81" s="76">
        <f t="shared" si="288"/>
        <v>-40</v>
      </c>
      <c r="AY81" s="76">
        <f t="shared" si="288"/>
        <v>80</v>
      </c>
      <c r="AZ81" s="76">
        <f t="shared" si="288"/>
        <v>200</v>
      </c>
      <c r="BA81" s="76">
        <f t="shared" si="288"/>
        <v>320</v>
      </c>
      <c r="BB81" s="76">
        <f t="shared" si="288"/>
        <v>440</v>
      </c>
      <c r="BC81" s="76">
        <f t="shared" si="288"/>
        <v>560</v>
      </c>
      <c r="BD81" s="76">
        <f t="shared" si="288"/>
        <v>81372</v>
      </c>
    </row>
    <row r="82" spans="2:56" ht="15" x14ac:dyDescent="0.25">
      <c r="B82" s="69" t="s">
        <v>31</v>
      </c>
      <c r="C82" s="69"/>
      <c r="D82" s="70">
        <v>46083</v>
      </c>
      <c r="E82" s="71" t="s">
        <v>0</v>
      </c>
      <c r="F82" s="71" t="s">
        <v>0</v>
      </c>
      <c r="G82" s="71" t="s">
        <v>0</v>
      </c>
      <c r="H82" s="71" t="s">
        <v>0</v>
      </c>
      <c r="I82" s="71" t="s">
        <v>0</v>
      </c>
      <c r="J82" s="71" t="s">
        <v>0</v>
      </c>
      <c r="K82" s="72" t="s">
        <v>0</v>
      </c>
      <c r="L82" s="72" t="s">
        <v>170</v>
      </c>
      <c r="M82" s="72" t="s">
        <v>2</v>
      </c>
      <c r="N82" s="72"/>
      <c r="O82" s="72"/>
      <c r="P82" s="72" t="s">
        <v>0</v>
      </c>
      <c r="Q82" s="72" t="s">
        <v>0</v>
      </c>
      <c r="R82" s="72" t="s">
        <v>0</v>
      </c>
      <c r="S82" s="72" t="s">
        <v>0</v>
      </c>
      <c r="T82" s="72" t="s">
        <v>0</v>
      </c>
      <c r="U82" s="72" t="s">
        <v>3</v>
      </c>
      <c r="V82" s="72"/>
      <c r="W82" s="72" t="s">
        <v>4</v>
      </c>
      <c r="X82" s="72" t="s">
        <v>0</v>
      </c>
      <c r="Y82" s="72" t="s">
        <v>0</v>
      </c>
      <c r="Z82" s="72" t="s">
        <v>0</v>
      </c>
      <c r="AA82" s="72" t="s">
        <v>0</v>
      </c>
      <c r="AB82" s="72" t="s">
        <v>0</v>
      </c>
      <c r="AC82" s="72" t="s">
        <v>0</v>
      </c>
      <c r="AD82" s="72" t="s">
        <v>0</v>
      </c>
      <c r="AE82" s="72" t="s">
        <v>0</v>
      </c>
      <c r="AF82" s="72" t="s">
        <v>0</v>
      </c>
      <c r="AG82" s="72" t="s">
        <v>0</v>
      </c>
      <c r="AH82" s="72" t="s">
        <v>4</v>
      </c>
      <c r="AI82" s="72" t="s">
        <v>4</v>
      </c>
      <c r="AJ82" s="72" t="s">
        <v>4</v>
      </c>
      <c r="AK82" s="72" t="s">
        <v>4</v>
      </c>
      <c r="AL82" s="72" t="s">
        <v>4</v>
      </c>
      <c r="AM82" s="72" t="s">
        <v>4</v>
      </c>
      <c r="AN82" s="72" t="s">
        <v>4</v>
      </c>
      <c r="AO82" s="72" t="s">
        <v>4</v>
      </c>
      <c r="AP82" s="72" t="s">
        <v>4</v>
      </c>
      <c r="AQ82" s="72" t="s">
        <v>4</v>
      </c>
      <c r="AR82" s="72" t="s">
        <v>4</v>
      </c>
      <c r="AS82" s="72" t="s">
        <v>4</v>
      </c>
      <c r="AT82" s="72" t="s">
        <v>4</v>
      </c>
      <c r="AU82" s="72" t="s">
        <v>4</v>
      </c>
      <c r="AV82" s="72" t="s">
        <v>4</v>
      </c>
      <c r="AW82" s="72" t="s">
        <v>4</v>
      </c>
      <c r="AX82" s="72" t="s">
        <v>4</v>
      </c>
      <c r="AY82" s="72" t="s">
        <v>4</v>
      </c>
      <c r="AZ82" s="72" t="s">
        <v>4</v>
      </c>
      <c r="BA82" s="72" t="s">
        <v>4</v>
      </c>
      <c r="BB82" s="72" t="s">
        <v>4</v>
      </c>
      <c r="BC82" s="72" t="s">
        <v>4</v>
      </c>
      <c r="BD82" s="72" t="s">
        <v>4</v>
      </c>
    </row>
    <row r="83" spans="2:56" ht="15" x14ac:dyDescent="0.25">
      <c r="B83" s="69" t="s">
        <v>6</v>
      </c>
      <c r="C83" s="69" t="s">
        <v>296</v>
      </c>
      <c r="D83" s="73" t="s">
        <v>32</v>
      </c>
      <c r="E83" s="120">
        <f t="shared" ref="E83:AH83" si="289">E65</f>
        <v>3196</v>
      </c>
      <c r="F83" s="120">
        <f t="shared" si="289"/>
        <v>1112</v>
      </c>
      <c r="G83" s="120">
        <f t="shared" si="289"/>
        <v>836</v>
      </c>
      <c r="H83" s="120">
        <f t="shared" si="289"/>
        <v>1168</v>
      </c>
      <c r="I83" s="120">
        <f t="shared" si="289"/>
        <v>1520</v>
      </c>
      <c r="J83" s="120">
        <f t="shared" si="289"/>
        <v>1044</v>
      </c>
      <c r="K83" s="120">
        <f t="shared" si="289"/>
        <v>1224</v>
      </c>
      <c r="L83" s="120">
        <f t="shared" si="289"/>
        <v>1304</v>
      </c>
      <c r="M83" s="120">
        <f t="shared" si="289"/>
        <v>0</v>
      </c>
      <c r="N83" s="120">
        <f t="shared" si="289"/>
        <v>1144</v>
      </c>
      <c r="O83" s="120">
        <f t="shared" si="289"/>
        <v>560</v>
      </c>
      <c r="P83" s="120">
        <f t="shared" si="289"/>
        <v>848</v>
      </c>
      <c r="Q83" s="120">
        <f t="shared" si="289"/>
        <v>616</v>
      </c>
      <c r="R83" s="120">
        <f t="shared" si="289"/>
        <v>804</v>
      </c>
      <c r="S83" s="120">
        <f t="shared" si="289"/>
        <v>612</v>
      </c>
      <c r="T83" s="120">
        <f t="shared" si="289"/>
        <v>612</v>
      </c>
      <c r="U83" s="120">
        <f t="shared" si="289"/>
        <v>760</v>
      </c>
      <c r="V83" s="120">
        <f t="shared" si="289"/>
        <v>916</v>
      </c>
      <c r="W83" s="120">
        <f t="shared" si="289"/>
        <v>912</v>
      </c>
      <c r="X83" s="120">
        <f t="shared" si="289"/>
        <v>920</v>
      </c>
      <c r="Y83" s="120">
        <f t="shared" si="289"/>
        <v>808</v>
      </c>
      <c r="Z83" s="120">
        <f t="shared" si="289"/>
        <v>840</v>
      </c>
      <c r="AA83" s="120">
        <f t="shared" si="289"/>
        <v>708</v>
      </c>
      <c r="AB83" s="120">
        <f t="shared" si="289"/>
        <v>892</v>
      </c>
      <c r="AC83" s="120">
        <f t="shared" si="289"/>
        <v>612</v>
      </c>
      <c r="AD83" s="120">
        <f t="shared" si="289"/>
        <v>908</v>
      </c>
      <c r="AE83" s="120">
        <f t="shared" si="289"/>
        <v>872</v>
      </c>
      <c r="AF83" s="120">
        <f t="shared" si="289"/>
        <v>876</v>
      </c>
      <c r="AG83" s="120">
        <f t="shared" si="289"/>
        <v>1136</v>
      </c>
      <c r="AH83" s="120">
        <f t="shared" si="289"/>
        <v>1096</v>
      </c>
      <c r="AI83" s="120">
        <f t="shared" ref="AI83:BD83" si="290">AI65</f>
        <v>1104</v>
      </c>
      <c r="AJ83" s="120">
        <f t="shared" si="290"/>
        <v>1104</v>
      </c>
      <c r="AK83" s="120">
        <f t="shared" si="290"/>
        <v>1104</v>
      </c>
      <c r="AL83" s="120">
        <f t="shared" si="290"/>
        <v>1104</v>
      </c>
      <c r="AM83" s="120">
        <f t="shared" si="290"/>
        <v>1104</v>
      </c>
      <c r="AN83" s="120">
        <f t="shared" si="290"/>
        <v>1104</v>
      </c>
      <c r="AO83" s="120">
        <f t="shared" si="290"/>
        <v>1104</v>
      </c>
      <c r="AP83" s="120">
        <f t="shared" si="290"/>
        <v>1104</v>
      </c>
      <c r="AQ83" s="120">
        <f t="shared" si="290"/>
        <v>1104</v>
      </c>
      <c r="AR83" s="120">
        <f t="shared" si="290"/>
        <v>1104</v>
      </c>
      <c r="AS83" s="120">
        <f t="shared" si="290"/>
        <v>1104</v>
      </c>
      <c r="AT83" s="120">
        <f t="shared" si="290"/>
        <v>1104</v>
      </c>
      <c r="AU83" s="120">
        <f t="shared" si="290"/>
        <v>1104</v>
      </c>
      <c r="AV83" s="120">
        <f t="shared" si="290"/>
        <v>1104</v>
      </c>
      <c r="AW83" s="120">
        <f t="shared" si="290"/>
        <v>1104</v>
      </c>
      <c r="AX83" s="120">
        <f t="shared" si="290"/>
        <v>1104</v>
      </c>
      <c r="AY83" s="120">
        <f t="shared" si="290"/>
        <v>1104</v>
      </c>
      <c r="AZ83" s="120">
        <f t="shared" si="290"/>
        <v>1104</v>
      </c>
      <c r="BA83" s="120">
        <f t="shared" si="290"/>
        <v>1104</v>
      </c>
      <c r="BB83" s="120">
        <f t="shared" si="290"/>
        <v>1104</v>
      </c>
      <c r="BC83" s="120">
        <f t="shared" si="290"/>
        <v>1104</v>
      </c>
      <c r="BD83" s="120">
        <f t="shared" si="290"/>
        <v>1104</v>
      </c>
    </row>
    <row r="84" spans="2:56" ht="15" x14ac:dyDescent="0.25">
      <c r="B84" s="69"/>
      <c r="C84" s="69"/>
      <c r="D84" s="73" t="s">
        <v>33</v>
      </c>
      <c r="E84" s="120">
        <f t="shared" ref="E84:AH84" si="291">E66</f>
        <v>31424</v>
      </c>
      <c r="F84" s="120">
        <f t="shared" si="291"/>
        <v>32536</v>
      </c>
      <c r="G84" s="120">
        <f t="shared" si="291"/>
        <v>33372</v>
      </c>
      <c r="H84" s="120">
        <f t="shared" si="291"/>
        <v>34540</v>
      </c>
      <c r="I84" s="120">
        <f t="shared" si="291"/>
        <v>36060</v>
      </c>
      <c r="J84" s="120">
        <f t="shared" si="291"/>
        <v>37104</v>
      </c>
      <c r="K84" s="120">
        <f t="shared" si="291"/>
        <v>38328</v>
      </c>
      <c r="L84" s="120">
        <f t="shared" si="291"/>
        <v>39632</v>
      </c>
      <c r="M84" s="120">
        <f t="shared" si="291"/>
        <v>39632</v>
      </c>
      <c r="N84" s="120">
        <f t="shared" si="291"/>
        <v>40776</v>
      </c>
      <c r="O84" s="120">
        <f t="shared" si="291"/>
        <v>41336</v>
      </c>
      <c r="P84" s="120">
        <f t="shared" si="291"/>
        <v>42184</v>
      </c>
      <c r="Q84" s="120">
        <f t="shared" si="291"/>
        <v>42800</v>
      </c>
      <c r="R84" s="120">
        <f t="shared" si="291"/>
        <v>43604</v>
      </c>
      <c r="S84" s="120">
        <f t="shared" si="291"/>
        <v>44216</v>
      </c>
      <c r="T84" s="120">
        <f t="shared" si="291"/>
        <v>44828</v>
      </c>
      <c r="U84" s="120">
        <f t="shared" si="291"/>
        <v>45588</v>
      </c>
      <c r="V84" s="120">
        <f t="shared" si="291"/>
        <v>46504</v>
      </c>
      <c r="W84" s="120">
        <f t="shared" si="291"/>
        <v>47416</v>
      </c>
      <c r="X84" s="120">
        <f t="shared" si="291"/>
        <v>48336</v>
      </c>
      <c r="Y84" s="120">
        <f t="shared" si="291"/>
        <v>49144</v>
      </c>
      <c r="Z84" s="120">
        <f t="shared" si="291"/>
        <v>49984</v>
      </c>
      <c r="AA84" s="120">
        <f t="shared" si="291"/>
        <v>50692</v>
      </c>
      <c r="AB84" s="120">
        <f t="shared" si="291"/>
        <v>51584</v>
      </c>
      <c r="AC84" s="120">
        <f t="shared" si="291"/>
        <v>52196</v>
      </c>
      <c r="AD84" s="120">
        <f t="shared" si="291"/>
        <v>53104</v>
      </c>
      <c r="AE84" s="120">
        <f t="shared" si="291"/>
        <v>53976</v>
      </c>
      <c r="AF84" s="120">
        <f t="shared" si="291"/>
        <v>54852</v>
      </c>
      <c r="AG84" s="120">
        <f t="shared" si="291"/>
        <v>55988</v>
      </c>
      <c r="AH84" s="120">
        <f t="shared" si="291"/>
        <v>57084</v>
      </c>
      <c r="AI84" s="120">
        <f t="shared" ref="AI84:BD84" si="292">AI66</f>
        <v>58188</v>
      </c>
      <c r="AJ84" s="120">
        <f t="shared" si="292"/>
        <v>59292</v>
      </c>
      <c r="AK84" s="120">
        <f t="shared" si="292"/>
        <v>60396</v>
      </c>
      <c r="AL84" s="120">
        <f t="shared" si="292"/>
        <v>61500</v>
      </c>
      <c r="AM84" s="120">
        <f t="shared" si="292"/>
        <v>62604</v>
      </c>
      <c r="AN84" s="120">
        <f t="shared" si="292"/>
        <v>63708</v>
      </c>
      <c r="AO84" s="120">
        <f t="shared" si="292"/>
        <v>64812</v>
      </c>
      <c r="AP84" s="120">
        <f t="shared" si="292"/>
        <v>65916</v>
      </c>
      <c r="AQ84" s="120">
        <f t="shared" si="292"/>
        <v>67020</v>
      </c>
      <c r="AR84" s="120">
        <f t="shared" si="292"/>
        <v>68124</v>
      </c>
      <c r="AS84" s="120">
        <f t="shared" si="292"/>
        <v>69228</v>
      </c>
      <c r="AT84" s="120">
        <f t="shared" si="292"/>
        <v>70332</v>
      </c>
      <c r="AU84" s="120">
        <f t="shared" si="292"/>
        <v>71436</v>
      </c>
      <c r="AV84" s="120">
        <f t="shared" si="292"/>
        <v>72540</v>
      </c>
      <c r="AW84" s="120">
        <f t="shared" si="292"/>
        <v>73644</v>
      </c>
      <c r="AX84" s="120">
        <f t="shared" si="292"/>
        <v>74748</v>
      </c>
      <c r="AY84" s="120">
        <f t="shared" si="292"/>
        <v>75852</v>
      </c>
      <c r="AZ84" s="120">
        <f t="shared" si="292"/>
        <v>76956</v>
      </c>
      <c r="BA84" s="120">
        <f t="shared" si="292"/>
        <v>78060</v>
      </c>
      <c r="BB84" s="120">
        <f t="shared" si="292"/>
        <v>79164</v>
      </c>
      <c r="BC84" s="120">
        <f t="shared" si="292"/>
        <v>80268</v>
      </c>
      <c r="BD84" s="120">
        <f t="shared" si="292"/>
        <v>81372</v>
      </c>
    </row>
    <row r="85" spans="2:56" ht="15" x14ac:dyDescent="0.25">
      <c r="B85" s="69"/>
      <c r="C85" s="69"/>
      <c r="D85" s="70">
        <v>46076</v>
      </c>
      <c r="E85" s="72" t="s">
        <v>0</v>
      </c>
      <c r="F85" s="72" t="s">
        <v>0</v>
      </c>
      <c r="G85" s="72" t="s">
        <v>0</v>
      </c>
      <c r="H85" s="72" t="s">
        <v>0</v>
      </c>
      <c r="I85" s="72" t="s">
        <v>0</v>
      </c>
      <c r="J85" s="72" t="s">
        <v>0</v>
      </c>
      <c r="K85" s="72" t="s">
        <v>170</v>
      </c>
      <c r="L85" s="72" t="s">
        <v>2</v>
      </c>
      <c r="M85" s="72"/>
      <c r="N85" s="72"/>
      <c r="O85" s="72" t="s">
        <v>0</v>
      </c>
      <c r="P85" s="72" t="s">
        <v>0</v>
      </c>
      <c r="Q85" s="72" t="s">
        <v>0</v>
      </c>
      <c r="R85" s="72" t="s">
        <v>0</v>
      </c>
      <c r="S85" s="72" t="s">
        <v>0</v>
      </c>
      <c r="T85" s="72" t="s">
        <v>3</v>
      </c>
      <c r="U85" s="72"/>
      <c r="V85" s="72" t="s">
        <v>4</v>
      </c>
      <c r="W85" s="72" t="s">
        <v>0</v>
      </c>
      <c r="X85" s="72" t="s">
        <v>0</v>
      </c>
      <c r="Y85" s="72" t="s">
        <v>0</v>
      </c>
      <c r="Z85" s="72" t="s">
        <v>0</v>
      </c>
      <c r="AA85" s="72" t="s">
        <v>0</v>
      </c>
      <c r="AB85" s="72" t="s">
        <v>0</v>
      </c>
      <c r="AC85" s="72" t="s">
        <v>0</v>
      </c>
      <c r="AD85" s="72" t="s">
        <v>0</v>
      </c>
      <c r="AE85" s="72" t="s">
        <v>0</v>
      </c>
      <c r="AF85" s="72" t="s">
        <v>0</v>
      </c>
      <c r="AG85" s="72" t="s">
        <v>4</v>
      </c>
      <c r="AH85" s="72" t="s">
        <v>4</v>
      </c>
      <c r="AI85" s="72" t="s">
        <v>4</v>
      </c>
      <c r="AJ85" s="72" t="s">
        <v>4</v>
      </c>
      <c r="AK85" s="72" t="s">
        <v>4</v>
      </c>
      <c r="AL85" s="72" t="s">
        <v>4</v>
      </c>
      <c r="AM85" s="72" t="s">
        <v>4</v>
      </c>
      <c r="AN85" s="72" t="s">
        <v>4</v>
      </c>
      <c r="AO85" s="72" t="s">
        <v>4</v>
      </c>
      <c r="AP85" s="72" t="s">
        <v>4</v>
      </c>
      <c r="AQ85" s="72" t="s">
        <v>4</v>
      </c>
      <c r="AR85" s="72" t="s">
        <v>4</v>
      </c>
      <c r="AS85" s="72" t="s">
        <v>4</v>
      </c>
      <c r="AT85" s="72" t="s">
        <v>4</v>
      </c>
      <c r="AU85" s="72" t="s">
        <v>4</v>
      </c>
      <c r="AV85" s="72" t="s">
        <v>4</v>
      </c>
      <c r="AW85" s="72" t="s">
        <v>4</v>
      </c>
      <c r="AX85" s="72" t="s">
        <v>4</v>
      </c>
      <c r="AY85" s="72" t="s">
        <v>4</v>
      </c>
      <c r="AZ85" s="72" t="s">
        <v>4</v>
      </c>
      <c r="BA85" s="72" t="s">
        <v>4</v>
      </c>
      <c r="BB85" s="72" t="s">
        <v>4</v>
      </c>
      <c r="BC85" s="72" t="s">
        <v>4</v>
      </c>
      <c r="BD85" s="72"/>
    </row>
    <row r="86" spans="2:56" ht="15" x14ac:dyDescent="0.25">
      <c r="B86" s="69"/>
      <c r="C86" s="69"/>
      <c r="D86" s="73" t="s">
        <v>32</v>
      </c>
      <c r="E86" s="120">
        <v>1076</v>
      </c>
      <c r="F86" s="120">
        <v>1112</v>
      </c>
      <c r="G86" s="120">
        <v>836</v>
      </c>
      <c r="H86" s="120">
        <v>1168</v>
      </c>
      <c r="I86" s="120">
        <v>1520</v>
      </c>
      <c r="J86" s="120">
        <v>1044</v>
      </c>
      <c r="K86" s="120">
        <v>1224</v>
      </c>
      <c r="L86" s="120">
        <v>1304</v>
      </c>
      <c r="M86" s="120">
        <v>0</v>
      </c>
      <c r="N86" s="120">
        <v>972</v>
      </c>
      <c r="O86" s="120">
        <v>888</v>
      </c>
      <c r="P86" s="120">
        <v>720</v>
      </c>
      <c r="Q86" s="120">
        <v>908</v>
      </c>
      <c r="R86" s="120">
        <v>824</v>
      </c>
      <c r="S86" s="120">
        <v>884</v>
      </c>
      <c r="T86" s="120">
        <v>904</v>
      </c>
      <c r="U86" s="120">
        <v>884</v>
      </c>
      <c r="V86" s="120">
        <v>1028</v>
      </c>
      <c r="W86" s="120">
        <v>916</v>
      </c>
      <c r="X86" s="120">
        <v>1028</v>
      </c>
      <c r="Y86" s="120">
        <v>776</v>
      </c>
      <c r="Z86" s="120">
        <v>992</v>
      </c>
      <c r="AA86" s="120">
        <v>900</v>
      </c>
      <c r="AB86" s="120">
        <v>1004</v>
      </c>
      <c r="AC86" s="120">
        <v>728</v>
      </c>
      <c r="AD86" s="120">
        <v>1004</v>
      </c>
      <c r="AE86" s="120">
        <v>976</v>
      </c>
      <c r="AF86" s="120">
        <v>984</v>
      </c>
      <c r="AG86" s="120">
        <v>1108</v>
      </c>
      <c r="AH86" s="120">
        <v>984</v>
      </c>
      <c r="AI86" s="120">
        <v>984</v>
      </c>
      <c r="AJ86" s="120">
        <v>984</v>
      </c>
      <c r="AK86" s="120">
        <v>984</v>
      </c>
      <c r="AL86" s="120">
        <v>984</v>
      </c>
      <c r="AM86" s="120">
        <v>984</v>
      </c>
      <c r="AN86" s="120">
        <v>984</v>
      </c>
      <c r="AO86" s="120">
        <v>984</v>
      </c>
      <c r="AP86" s="120">
        <v>984</v>
      </c>
      <c r="AQ86" s="120">
        <v>984</v>
      </c>
      <c r="AR86" s="120">
        <v>984</v>
      </c>
      <c r="AS86" s="120">
        <v>984</v>
      </c>
      <c r="AT86" s="120">
        <v>984</v>
      </c>
      <c r="AU86" s="120">
        <v>984</v>
      </c>
      <c r="AV86" s="120">
        <v>984</v>
      </c>
      <c r="AW86" s="120">
        <v>984</v>
      </c>
      <c r="AX86" s="120">
        <v>984</v>
      </c>
      <c r="AY86" s="120">
        <v>984</v>
      </c>
      <c r="AZ86" s="120">
        <v>984</v>
      </c>
      <c r="BA86" s="120">
        <v>984</v>
      </c>
      <c r="BB86" s="120">
        <v>984</v>
      </c>
      <c r="BC86" s="120">
        <v>984</v>
      </c>
      <c r="BD86" s="120"/>
    </row>
    <row r="87" spans="2:56" ht="15" x14ac:dyDescent="0.25">
      <c r="B87" s="69"/>
      <c r="C87" s="69"/>
      <c r="D87" s="73" t="s">
        <v>33</v>
      </c>
      <c r="E87" s="120">
        <v>31424</v>
      </c>
      <c r="F87" s="120">
        <v>32536</v>
      </c>
      <c r="G87" s="120">
        <v>33372</v>
      </c>
      <c r="H87" s="120">
        <v>34540</v>
      </c>
      <c r="I87" s="120">
        <v>36060</v>
      </c>
      <c r="J87" s="120">
        <v>37104</v>
      </c>
      <c r="K87" s="120">
        <v>38328</v>
      </c>
      <c r="L87" s="120">
        <v>39632</v>
      </c>
      <c r="M87" s="120">
        <v>39632</v>
      </c>
      <c r="N87" s="120">
        <v>40604</v>
      </c>
      <c r="O87" s="120">
        <v>41492</v>
      </c>
      <c r="P87" s="120">
        <v>42212</v>
      </c>
      <c r="Q87" s="120">
        <v>43120</v>
      </c>
      <c r="R87" s="120">
        <v>43944</v>
      </c>
      <c r="S87" s="120">
        <v>44828</v>
      </c>
      <c r="T87" s="120">
        <v>45732</v>
      </c>
      <c r="U87" s="120">
        <v>46616</v>
      </c>
      <c r="V87" s="120">
        <v>47644</v>
      </c>
      <c r="W87" s="120">
        <v>48560</v>
      </c>
      <c r="X87" s="120">
        <v>49588</v>
      </c>
      <c r="Y87" s="120">
        <v>50364</v>
      </c>
      <c r="Z87" s="120">
        <v>51356</v>
      </c>
      <c r="AA87" s="120">
        <v>52256</v>
      </c>
      <c r="AB87" s="120">
        <v>53260</v>
      </c>
      <c r="AC87" s="120">
        <v>53988</v>
      </c>
      <c r="AD87" s="120">
        <v>54992</v>
      </c>
      <c r="AE87" s="120">
        <v>55968</v>
      </c>
      <c r="AF87" s="120">
        <v>56952</v>
      </c>
      <c r="AG87" s="120">
        <v>58060</v>
      </c>
      <c r="AH87" s="120">
        <v>59044</v>
      </c>
      <c r="AI87" s="120">
        <v>60028</v>
      </c>
      <c r="AJ87" s="120">
        <v>61012</v>
      </c>
      <c r="AK87" s="120">
        <v>61996</v>
      </c>
      <c r="AL87" s="120">
        <v>62980</v>
      </c>
      <c r="AM87" s="120">
        <v>63964</v>
      </c>
      <c r="AN87" s="120">
        <v>64948</v>
      </c>
      <c r="AO87" s="120">
        <v>65932</v>
      </c>
      <c r="AP87" s="120">
        <v>66916</v>
      </c>
      <c r="AQ87" s="120">
        <v>67900</v>
      </c>
      <c r="AR87" s="120">
        <v>68884</v>
      </c>
      <c r="AS87" s="120">
        <v>69868</v>
      </c>
      <c r="AT87" s="120">
        <v>70852</v>
      </c>
      <c r="AU87" s="120">
        <v>71836</v>
      </c>
      <c r="AV87" s="120">
        <v>72820</v>
      </c>
      <c r="AW87" s="120">
        <v>73804</v>
      </c>
      <c r="AX87" s="120">
        <v>74788</v>
      </c>
      <c r="AY87" s="120">
        <v>75772</v>
      </c>
      <c r="AZ87" s="120">
        <v>76756</v>
      </c>
      <c r="BA87" s="120">
        <v>77740</v>
      </c>
      <c r="BB87" s="120">
        <v>78724</v>
      </c>
      <c r="BC87" s="120">
        <v>79708</v>
      </c>
      <c r="BD87" s="120"/>
    </row>
    <row r="88" spans="2:56" ht="15" x14ac:dyDescent="0.25">
      <c r="B88" s="69"/>
      <c r="C88" s="69"/>
      <c r="D88" s="70">
        <v>46069</v>
      </c>
      <c r="E88" s="72" t="s">
        <v>0</v>
      </c>
      <c r="F88" s="72" t="s">
        <v>0</v>
      </c>
      <c r="G88" s="72" t="s">
        <v>0</v>
      </c>
      <c r="H88" s="72" t="s">
        <v>0</v>
      </c>
      <c r="I88" s="72" t="s">
        <v>0</v>
      </c>
      <c r="J88" s="72" t="s">
        <v>170</v>
      </c>
      <c r="K88" s="72" t="s">
        <v>2</v>
      </c>
      <c r="L88" s="72"/>
      <c r="M88" s="72"/>
      <c r="N88" s="72" t="s">
        <v>0</v>
      </c>
      <c r="O88" s="72" t="s">
        <v>0</v>
      </c>
      <c r="P88" s="72" t="s">
        <v>0</v>
      </c>
      <c r="Q88" s="72" t="s">
        <v>0</v>
      </c>
      <c r="R88" s="72" t="s">
        <v>0</v>
      </c>
      <c r="S88" s="72" t="s">
        <v>3</v>
      </c>
      <c r="T88" s="72"/>
      <c r="U88" s="72" t="s">
        <v>4</v>
      </c>
      <c r="V88" s="72" t="s">
        <v>0</v>
      </c>
      <c r="W88" s="72" t="s">
        <v>0</v>
      </c>
      <c r="X88" s="72" t="s">
        <v>0</v>
      </c>
      <c r="Y88" s="72" t="s">
        <v>0</v>
      </c>
      <c r="Z88" s="72" t="s">
        <v>0</v>
      </c>
      <c r="AA88" s="72" t="s">
        <v>0</v>
      </c>
      <c r="AB88" s="72" t="s">
        <v>0</v>
      </c>
      <c r="AC88" s="72" t="s">
        <v>0</v>
      </c>
      <c r="AD88" s="72" t="s">
        <v>0</v>
      </c>
      <c r="AE88" s="72" t="s">
        <v>0</v>
      </c>
      <c r="AF88" s="72" t="s">
        <v>4</v>
      </c>
      <c r="AG88" s="72" t="s">
        <v>4</v>
      </c>
      <c r="AH88" s="72" t="s">
        <v>4</v>
      </c>
      <c r="AI88" s="72" t="s">
        <v>4</v>
      </c>
      <c r="AJ88" s="72" t="s">
        <v>4</v>
      </c>
      <c r="AK88" s="72" t="s">
        <v>4</v>
      </c>
      <c r="AL88" s="72" t="s">
        <v>4</v>
      </c>
      <c r="AM88" s="72" t="s">
        <v>4</v>
      </c>
      <c r="AN88" s="72" t="s">
        <v>4</v>
      </c>
      <c r="AO88" s="72" t="s">
        <v>4</v>
      </c>
      <c r="AP88" s="72" t="s">
        <v>4</v>
      </c>
      <c r="AQ88" s="72" t="s">
        <v>4</v>
      </c>
      <c r="AR88" s="72" t="s">
        <v>4</v>
      </c>
      <c r="AS88" s="72" t="s">
        <v>4</v>
      </c>
      <c r="AT88" s="72" t="s">
        <v>4</v>
      </c>
      <c r="AU88" s="72" t="s">
        <v>4</v>
      </c>
      <c r="AV88" s="72" t="s">
        <v>4</v>
      </c>
      <c r="AW88" s="72" t="s">
        <v>4</v>
      </c>
      <c r="AX88" s="72" t="s">
        <v>4</v>
      </c>
      <c r="AY88" s="72" t="s">
        <v>4</v>
      </c>
      <c r="AZ88" s="72" t="s">
        <v>4</v>
      </c>
      <c r="BA88" s="72" t="s">
        <v>4</v>
      </c>
      <c r="BB88" s="72" t="s">
        <v>4</v>
      </c>
      <c r="BC88" s="72"/>
      <c r="BD88" s="72"/>
    </row>
    <row r="89" spans="2:56" ht="15" x14ac:dyDescent="0.25">
      <c r="B89" s="69"/>
      <c r="C89" s="69"/>
      <c r="D89" s="73" t="s">
        <v>32</v>
      </c>
      <c r="E89" s="120">
        <v>1076</v>
      </c>
      <c r="F89" s="120">
        <v>1112</v>
      </c>
      <c r="G89" s="120">
        <v>836</v>
      </c>
      <c r="H89" s="120">
        <v>1168</v>
      </c>
      <c r="I89" s="120">
        <v>1520</v>
      </c>
      <c r="J89" s="120">
        <v>1044</v>
      </c>
      <c r="K89" s="120">
        <v>1224</v>
      </c>
      <c r="L89" s="120">
        <v>1228</v>
      </c>
      <c r="M89" s="120">
        <v>0</v>
      </c>
      <c r="N89" s="120">
        <v>924</v>
      </c>
      <c r="O89" s="120">
        <v>924</v>
      </c>
      <c r="P89" s="120">
        <v>924</v>
      </c>
      <c r="Q89" s="120">
        <v>928</v>
      </c>
      <c r="R89" s="120">
        <v>852</v>
      </c>
      <c r="S89" s="120">
        <v>860</v>
      </c>
      <c r="T89" s="120">
        <v>860</v>
      </c>
      <c r="U89" s="120">
        <v>860</v>
      </c>
      <c r="V89" s="120">
        <v>860</v>
      </c>
      <c r="W89" s="120">
        <v>1036</v>
      </c>
      <c r="X89" s="120">
        <v>1036</v>
      </c>
      <c r="Y89" s="120">
        <v>888</v>
      </c>
      <c r="Z89" s="120">
        <v>908</v>
      </c>
      <c r="AA89" s="120">
        <v>900</v>
      </c>
      <c r="AB89" s="120">
        <v>1004</v>
      </c>
      <c r="AC89" s="120">
        <v>716</v>
      </c>
      <c r="AD89" s="120">
        <v>1008</v>
      </c>
      <c r="AE89" s="120">
        <v>992</v>
      </c>
      <c r="AF89" s="120">
        <v>1116</v>
      </c>
      <c r="AG89" s="120">
        <v>992</v>
      </c>
      <c r="AH89" s="120">
        <v>992</v>
      </c>
      <c r="AI89" s="120">
        <v>992</v>
      </c>
      <c r="AJ89" s="120">
        <v>992</v>
      </c>
      <c r="AK89" s="120">
        <v>992</v>
      </c>
      <c r="AL89" s="120">
        <v>992</v>
      </c>
      <c r="AM89" s="120">
        <v>992</v>
      </c>
      <c r="AN89" s="120">
        <v>992</v>
      </c>
      <c r="AO89" s="120">
        <v>992</v>
      </c>
      <c r="AP89" s="120">
        <v>992</v>
      </c>
      <c r="AQ89" s="120">
        <v>992</v>
      </c>
      <c r="AR89" s="120">
        <v>992</v>
      </c>
      <c r="AS89" s="120">
        <v>992</v>
      </c>
      <c r="AT89" s="120">
        <v>992</v>
      </c>
      <c r="AU89" s="120">
        <v>992</v>
      </c>
      <c r="AV89" s="120">
        <v>992</v>
      </c>
      <c r="AW89" s="120">
        <v>992</v>
      </c>
      <c r="AX89" s="120">
        <v>992</v>
      </c>
      <c r="AY89" s="120">
        <v>992</v>
      </c>
      <c r="AZ89" s="120">
        <v>992</v>
      </c>
      <c r="BA89" s="120">
        <v>992</v>
      </c>
      <c r="BB89" s="120">
        <v>992</v>
      </c>
      <c r="BC89" s="120"/>
      <c r="BD89" s="120"/>
    </row>
    <row r="90" spans="2:56" ht="15" x14ac:dyDescent="0.25">
      <c r="B90" s="69"/>
      <c r="C90" s="69"/>
      <c r="D90" s="73" t="s">
        <v>33</v>
      </c>
      <c r="E90" s="120">
        <v>31424</v>
      </c>
      <c r="F90" s="120">
        <v>32536</v>
      </c>
      <c r="G90" s="120">
        <v>33372</v>
      </c>
      <c r="H90" s="120">
        <v>34540</v>
      </c>
      <c r="I90" s="120">
        <v>36060</v>
      </c>
      <c r="J90" s="120">
        <v>37104</v>
      </c>
      <c r="K90" s="120">
        <v>38328</v>
      </c>
      <c r="L90" s="120">
        <v>39556</v>
      </c>
      <c r="M90" s="120">
        <v>39556</v>
      </c>
      <c r="N90" s="120">
        <v>40480</v>
      </c>
      <c r="O90" s="120">
        <v>41404</v>
      </c>
      <c r="P90" s="120">
        <v>42328</v>
      </c>
      <c r="Q90" s="120">
        <v>43256</v>
      </c>
      <c r="R90" s="120">
        <v>44108</v>
      </c>
      <c r="S90" s="120">
        <v>44968</v>
      </c>
      <c r="T90" s="120">
        <v>45828</v>
      </c>
      <c r="U90" s="120">
        <v>46688</v>
      </c>
      <c r="V90" s="120">
        <v>47548</v>
      </c>
      <c r="W90" s="120">
        <v>48584</v>
      </c>
      <c r="X90" s="120">
        <v>49620</v>
      </c>
      <c r="Y90" s="120">
        <v>50508</v>
      </c>
      <c r="Z90" s="120">
        <v>51416</v>
      </c>
      <c r="AA90" s="120">
        <v>52316</v>
      </c>
      <c r="AB90" s="120">
        <v>53320</v>
      </c>
      <c r="AC90" s="120">
        <v>54036</v>
      </c>
      <c r="AD90" s="120">
        <v>55044</v>
      </c>
      <c r="AE90" s="120">
        <v>56036</v>
      </c>
      <c r="AF90" s="120">
        <v>57152</v>
      </c>
      <c r="AG90" s="120">
        <v>58144</v>
      </c>
      <c r="AH90" s="120">
        <v>59136</v>
      </c>
      <c r="AI90" s="120">
        <v>60128</v>
      </c>
      <c r="AJ90" s="120">
        <v>61120</v>
      </c>
      <c r="AK90" s="120">
        <v>62112</v>
      </c>
      <c r="AL90" s="120">
        <v>63104</v>
      </c>
      <c r="AM90" s="120">
        <v>64096</v>
      </c>
      <c r="AN90" s="120">
        <v>65088</v>
      </c>
      <c r="AO90" s="120">
        <v>66080</v>
      </c>
      <c r="AP90" s="120">
        <v>67072</v>
      </c>
      <c r="AQ90" s="120">
        <v>68064</v>
      </c>
      <c r="AR90" s="120">
        <v>69056</v>
      </c>
      <c r="AS90" s="120">
        <v>70048</v>
      </c>
      <c r="AT90" s="120">
        <v>71040</v>
      </c>
      <c r="AU90" s="120">
        <v>72032</v>
      </c>
      <c r="AV90" s="120">
        <v>73024</v>
      </c>
      <c r="AW90" s="120">
        <v>74016</v>
      </c>
      <c r="AX90" s="120">
        <v>75008</v>
      </c>
      <c r="AY90" s="120">
        <v>76000</v>
      </c>
      <c r="AZ90" s="120">
        <v>76992</v>
      </c>
      <c r="BA90" s="120">
        <v>77984</v>
      </c>
      <c r="BB90" s="120">
        <v>78976</v>
      </c>
      <c r="BC90" s="120"/>
      <c r="BD90" s="120"/>
    </row>
    <row r="91" spans="2:56" ht="15" x14ac:dyDescent="0.25">
      <c r="B91" s="69"/>
      <c r="C91" s="69"/>
      <c r="D91" s="70">
        <v>46062</v>
      </c>
      <c r="E91" s="72" t="s">
        <v>0</v>
      </c>
      <c r="F91" s="72" t="s">
        <v>0</v>
      </c>
      <c r="G91" s="72" t="s">
        <v>0</v>
      </c>
      <c r="H91" s="72" t="s">
        <v>0</v>
      </c>
      <c r="I91" s="72" t="s">
        <v>170</v>
      </c>
      <c r="J91" s="72" t="s">
        <v>2</v>
      </c>
      <c r="K91" s="72"/>
      <c r="L91" s="72"/>
      <c r="M91" s="72" t="s">
        <v>0</v>
      </c>
      <c r="N91" s="72" t="s">
        <v>0</v>
      </c>
      <c r="O91" s="72" t="s">
        <v>0</v>
      </c>
      <c r="P91" s="72" t="s">
        <v>0</v>
      </c>
      <c r="Q91" s="72" t="s">
        <v>0</v>
      </c>
      <c r="R91" s="72" t="s">
        <v>3</v>
      </c>
      <c r="S91" s="72"/>
      <c r="T91" s="72" t="s">
        <v>4</v>
      </c>
      <c r="U91" s="72" t="s">
        <v>0</v>
      </c>
      <c r="V91" s="72" t="s">
        <v>0</v>
      </c>
      <c r="W91" s="72" t="s">
        <v>0</v>
      </c>
      <c r="X91" s="72" t="s">
        <v>0</v>
      </c>
      <c r="Y91" s="72" t="s">
        <v>0</v>
      </c>
      <c r="Z91" s="72" t="s">
        <v>0</v>
      </c>
      <c r="AA91" s="72" t="s">
        <v>0</v>
      </c>
      <c r="AB91" s="72" t="s">
        <v>0</v>
      </c>
      <c r="AC91" s="72" t="s">
        <v>0</v>
      </c>
      <c r="AD91" s="72" t="s">
        <v>0</v>
      </c>
      <c r="AE91" s="72" t="s">
        <v>4</v>
      </c>
      <c r="AF91" s="72" t="s">
        <v>4</v>
      </c>
      <c r="AG91" s="72" t="s">
        <v>4</v>
      </c>
      <c r="AH91" s="72" t="s">
        <v>4</v>
      </c>
      <c r="AI91" s="72" t="s">
        <v>4</v>
      </c>
      <c r="AJ91" s="72" t="s">
        <v>4</v>
      </c>
      <c r="AK91" s="72" t="s">
        <v>4</v>
      </c>
      <c r="AL91" s="72" t="s">
        <v>4</v>
      </c>
      <c r="AM91" s="72" t="s">
        <v>4</v>
      </c>
      <c r="AN91" s="72" t="s">
        <v>4</v>
      </c>
      <c r="AO91" s="72" t="s">
        <v>4</v>
      </c>
      <c r="AP91" s="72" t="s">
        <v>4</v>
      </c>
      <c r="AQ91" s="72" t="s">
        <v>4</v>
      </c>
      <c r="AR91" s="72" t="s">
        <v>4</v>
      </c>
      <c r="AS91" s="72" t="s">
        <v>4</v>
      </c>
      <c r="AT91" s="72" t="s">
        <v>4</v>
      </c>
      <c r="AU91" s="72" t="s">
        <v>4</v>
      </c>
      <c r="AV91" s="72" t="s">
        <v>4</v>
      </c>
      <c r="AW91" s="72" t="s">
        <v>4</v>
      </c>
      <c r="AX91" s="72" t="s">
        <v>4</v>
      </c>
      <c r="AY91" s="72" t="s">
        <v>4</v>
      </c>
      <c r="AZ91" s="72" t="s">
        <v>4</v>
      </c>
      <c r="BA91" s="72" t="s">
        <v>4</v>
      </c>
      <c r="BB91" s="72"/>
      <c r="BC91" s="72"/>
      <c r="BD91" s="72"/>
    </row>
    <row r="92" spans="2:56" ht="15" x14ac:dyDescent="0.25">
      <c r="B92" s="69"/>
      <c r="C92" s="69"/>
      <c r="D92" s="73" t="s">
        <v>32</v>
      </c>
      <c r="E92" s="120">
        <v>1076</v>
      </c>
      <c r="F92" s="120">
        <v>1112</v>
      </c>
      <c r="G92" s="120">
        <v>836</v>
      </c>
      <c r="H92" s="120">
        <v>1168</v>
      </c>
      <c r="I92" s="120">
        <v>1520</v>
      </c>
      <c r="J92" s="120">
        <v>1044</v>
      </c>
      <c r="K92" s="120">
        <v>1472</v>
      </c>
      <c r="L92" s="120">
        <v>1480</v>
      </c>
      <c r="M92" s="120">
        <v>0</v>
      </c>
      <c r="N92" s="120">
        <v>896</v>
      </c>
      <c r="O92" s="120">
        <v>900</v>
      </c>
      <c r="P92" s="120">
        <v>924</v>
      </c>
      <c r="Q92" s="120">
        <v>968</v>
      </c>
      <c r="R92" s="120">
        <v>908</v>
      </c>
      <c r="S92" s="120">
        <v>828</v>
      </c>
      <c r="T92" s="120">
        <v>828</v>
      </c>
      <c r="U92" s="120">
        <v>948</v>
      </c>
      <c r="V92" s="120">
        <v>984</v>
      </c>
      <c r="W92" s="120">
        <v>988</v>
      </c>
      <c r="X92" s="120">
        <v>988</v>
      </c>
      <c r="Y92" s="120">
        <v>928</v>
      </c>
      <c r="Z92" s="120">
        <v>940</v>
      </c>
      <c r="AA92" s="120">
        <v>940</v>
      </c>
      <c r="AB92" s="120">
        <v>952</v>
      </c>
      <c r="AC92" s="120">
        <v>896</v>
      </c>
      <c r="AD92" s="120">
        <v>992</v>
      </c>
      <c r="AE92" s="120">
        <v>956</v>
      </c>
      <c r="AF92" s="120">
        <v>956</v>
      </c>
      <c r="AG92" s="120">
        <v>956</v>
      </c>
      <c r="AH92" s="120">
        <v>956</v>
      </c>
      <c r="AI92" s="120">
        <v>956</v>
      </c>
      <c r="AJ92" s="120">
        <v>956</v>
      </c>
      <c r="AK92" s="120">
        <v>956</v>
      </c>
      <c r="AL92" s="120">
        <v>956</v>
      </c>
      <c r="AM92" s="120">
        <v>956</v>
      </c>
      <c r="AN92" s="120">
        <v>956</v>
      </c>
      <c r="AO92" s="120">
        <v>956</v>
      </c>
      <c r="AP92" s="120">
        <v>956</v>
      </c>
      <c r="AQ92" s="120">
        <v>956</v>
      </c>
      <c r="AR92" s="120">
        <v>956</v>
      </c>
      <c r="AS92" s="120">
        <v>956</v>
      </c>
      <c r="AT92" s="120">
        <v>956</v>
      </c>
      <c r="AU92" s="120">
        <v>956</v>
      </c>
      <c r="AV92" s="120">
        <v>956</v>
      </c>
      <c r="AW92" s="120">
        <v>956</v>
      </c>
      <c r="AX92" s="120">
        <v>956</v>
      </c>
      <c r="AY92" s="120">
        <v>956</v>
      </c>
      <c r="AZ92" s="120">
        <v>956</v>
      </c>
      <c r="BA92" s="120">
        <v>956</v>
      </c>
      <c r="BB92" s="120"/>
      <c r="BC92" s="120"/>
      <c r="BD92" s="120"/>
    </row>
    <row r="93" spans="2:56" ht="15" x14ac:dyDescent="0.25">
      <c r="B93" s="69"/>
      <c r="C93" s="69"/>
      <c r="D93" s="73" t="s">
        <v>33</v>
      </c>
      <c r="E93" s="120">
        <v>31424</v>
      </c>
      <c r="F93" s="120">
        <v>32536</v>
      </c>
      <c r="G93" s="120">
        <v>33372</v>
      </c>
      <c r="H93" s="120">
        <v>34540</v>
      </c>
      <c r="I93" s="120">
        <v>36060</v>
      </c>
      <c r="J93" s="120">
        <v>37104</v>
      </c>
      <c r="K93" s="120">
        <v>38576</v>
      </c>
      <c r="L93" s="120">
        <v>40056</v>
      </c>
      <c r="M93" s="120">
        <v>40056</v>
      </c>
      <c r="N93" s="120">
        <v>40952</v>
      </c>
      <c r="O93" s="120">
        <v>41852</v>
      </c>
      <c r="P93" s="120">
        <v>42776</v>
      </c>
      <c r="Q93" s="120">
        <v>43744</v>
      </c>
      <c r="R93" s="120">
        <v>44652</v>
      </c>
      <c r="S93" s="120">
        <v>45480</v>
      </c>
      <c r="T93" s="120">
        <v>46308</v>
      </c>
      <c r="U93" s="120">
        <v>47256</v>
      </c>
      <c r="V93" s="120">
        <v>48240</v>
      </c>
      <c r="W93" s="120">
        <v>49228</v>
      </c>
      <c r="X93" s="120">
        <v>50216</v>
      </c>
      <c r="Y93" s="120">
        <v>51144</v>
      </c>
      <c r="Z93" s="120">
        <v>52084</v>
      </c>
      <c r="AA93" s="120">
        <v>53024</v>
      </c>
      <c r="AB93" s="120">
        <v>53976</v>
      </c>
      <c r="AC93" s="120">
        <v>54872</v>
      </c>
      <c r="AD93" s="120">
        <v>55864</v>
      </c>
      <c r="AE93" s="120">
        <v>56820</v>
      </c>
      <c r="AF93" s="120">
        <v>57776</v>
      </c>
      <c r="AG93" s="120">
        <v>58732</v>
      </c>
      <c r="AH93" s="120">
        <v>59688</v>
      </c>
      <c r="AI93" s="120">
        <v>60644</v>
      </c>
      <c r="AJ93" s="120">
        <v>61600</v>
      </c>
      <c r="AK93" s="120">
        <v>62556</v>
      </c>
      <c r="AL93" s="120">
        <v>63512</v>
      </c>
      <c r="AM93" s="120">
        <v>64468</v>
      </c>
      <c r="AN93" s="120">
        <v>65424</v>
      </c>
      <c r="AO93" s="120">
        <v>66380</v>
      </c>
      <c r="AP93" s="120">
        <v>67336</v>
      </c>
      <c r="AQ93" s="120">
        <v>68292</v>
      </c>
      <c r="AR93" s="120">
        <v>69248</v>
      </c>
      <c r="AS93" s="120">
        <v>70204</v>
      </c>
      <c r="AT93" s="120">
        <v>71160</v>
      </c>
      <c r="AU93" s="120">
        <v>72116</v>
      </c>
      <c r="AV93" s="120">
        <v>73072</v>
      </c>
      <c r="AW93" s="120">
        <v>74028</v>
      </c>
      <c r="AX93" s="120">
        <v>74984</v>
      </c>
      <c r="AY93" s="120">
        <v>75940</v>
      </c>
      <c r="AZ93" s="120">
        <v>76896</v>
      </c>
      <c r="BA93" s="120">
        <v>77852</v>
      </c>
      <c r="BB93" s="120"/>
      <c r="BC93" s="120"/>
      <c r="BD93" s="120"/>
    </row>
    <row r="94" spans="2:56" ht="15" x14ac:dyDescent="0.25">
      <c r="B94" s="69"/>
      <c r="C94" s="69"/>
      <c r="D94" s="70">
        <v>46055</v>
      </c>
      <c r="E94" s="72" t="s">
        <v>0</v>
      </c>
      <c r="F94" s="72" t="s">
        <v>0</v>
      </c>
      <c r="G94" s="72" t="s">
        <v>0</v>
      </c>
      <c r="H94" s="72" t="s">
        <v>170</v>
      </c>
      <c r="I94" s="72" t="s">
        <v>2</v>
      </c>
      <c r="J94" s="72"/>
      <c r="K94" s="72"/>
      <c r="L94" s="72" t="s">
        <v>0</v>
      </c>
      <c r="M94" s="72" t="s">
        <v>0</v>
      </c>
      <c r="N94" s="72" t="s">
        <v>0</v>
      </c>
      <c r="O94" s="72" t="s">
        <v>0</v>
      </c>
      <c r="P94" s="72" t="s">
        <v>0</v>
      </c>
      <c r="Q94" s="72" t="s">
        <v>3</v>
      </c>
      <c r="R94" s="72"/>
      <c r="S94" s="72" t="s">
        <v>4</v>
      </c>
      <c r="T94" s="72" t="s">
        <v>0</v>
      </c>
      <c r="U94" s="72" t="s">
        <v>0</v>
      </c>
      <c r="V94" s="72" t="s">
        <v>0</v>
      </c>
      <c r="W94" s="72" t="s">
        <v>0</v>
      </c>
      <c r="X94" s="72" t="s">
        <v>0</v>
      </c>
      <c r="Y94" s="72" t="s">
        <v>0</v>
      </c>
      <c r="Z94" s="72" t="s">
        <v>0</v>
      </c>
      <c r="AA94" s="72" t="s">
        <v>0</v>
      </c>
      <c r="AB94" s="72" t="s">
        <v>0</v>
      </c>
      <c r="AC94" s="72" t="s">
        <v>0</v>
      </c>
      <c r="AD94" s="72" t="s">
        <v>4</v>
      </c>
      <c r="AE94" s="72" t="s">
        <v>4</v>
      </c>
      <c r="AF94" s="72" t="s">
        <v>4</v>
      </c>
      <c r="AG94" s="72" t="s">
        <v>4</v>
      </c>
      <c r="AH94" s="72" t="s">
        <v>4</v>
      </c>
      <c r="AI94" s="72" t="s">
        <v>4</v>
      </c>
      <c r="AJ94" s="72" t="s">
        <v>4</v>
      </c>
      <c r="AK94" s="72" t="s">
        <v>4</v>
      </c>
      <c r="AL94" s="72" t="s">
        <v>4</v>
      </c>
      <c r="AM94" s="72" t="s">
        <v>4</v>
      </c>
      <c r="AN94" s="72" t="s">
        <v>4</v>
      </c>
      <c r="AO94" s="72" t="s">
        <v>4</v>
      </c>
      <c r="AP94" s="72" t="s">
        <v>4</v>
      </c>
      <c r="AQ94" s="72" t="s">
        <v>4</v>
      </c>
      <c r="AR94" s="72" t="s">
        <v>4</v>
      </c>
      <c r="AS94" s="72" t="s">
        <v>4</v>
      </c>
      <c r="AT94" s="72" t="s">
        <v>4</v>
      </c>
      <c r="AU94" s="72" t="s">
        <v>4</v>
      </c>
      <c r="AV94" s="72" t="s">
        <v>4</v>
      </c>
      <c r="AW94" s="72" t="s">
        <v>4</v>
      </c>
      <c r="AX94" s="72" t="s">
        <v>4</v>
      </c>
      <c r="AY94" s="72" t="s">
        <v>4</v>
      </c>
      <c r="AZ94" s="72" t="s">
        <v>4</v>
      </c>
      <c r="BA94" s="72"/>
      <c r="BB94" s="72"/>
      <c r="BC94" s="72"/>
      <c r="BD94" s="72"/>
    </row>
    <row r="95" spans="2:56" ht="15" x14ac:dyDescent="0.25">
      <c r="B95" s="69"/>
      <c r="C95" s="69"/>
      <c r="D95" s="73" t="s">
        <v>32</v>
      </c>
      <c r="E95" s="120">
        <v>1076</v>
      </c>
      <c r="F95" s="120">
        <v>1112</v>
      </c>
      <c r="G95" s="120">
        <v>836</v>
      </c>
      <c r="H95" s="120">
        <v>1168</v>
      </c>
      <c r="I95" s="120">
        <v>1520</v>
      </c>
      <c r="J95" s="120">
        <v>860</v>
      </c>
      <c r="K95" s="120">
        <v>1164</v>
      </c>
      <c r="L95" s="120">
        <v>1072</v>
      </c>
      <c r="M95" s="120">
        <v>0</v>
      </c>
      <c r="N95" s="120">
        <v>896</v>
      </c>
      <c r="O95" s="120">
        <v>900</v>
      </c>
      <c r="P95" s="120">
        <v>936</v>
      </c>
      <c r="Q95" s="120">
        <v>956</v>
      </c>
      <c r="R95" s="120">
        <v>824</v>
      </c>
      <c r="S95" s="120">
        <v>828</v>
      </c>
      <c r="T95" s="120">
        <v>828</v>
      </c>
      <c r="U95" s="120">
        <v>832</v>
      </c>
      <c r="V95" s="120">
        <v>1052</v>
      </c>
      <c r="W95" s="120">
        <v>1056</v>
      </c>
      <c r="X95" s="120">
        <v>1052</v>
      </c>
      <c r="Y95" s="120">
        <v>796</v>
      </c>
      <c r="Z95" s="120">
        <v>1016</v>
      </c>
      <c r="AA95" s="120">
        <v>924</v>
      </c>
      <c r="AB95" s="120">
        <v>1024</v>
      </c>
      <c r="AC95" s="120">
        <v>732</v>
      </c>
      <c r="AD95" s="120">
        <v>1156</v>
      </c>
      <c r="AE95" s="120">
        <v>1024</v>
      </c>
      <c r="AF95" s="120">
        <v>1024</v>
      </c>
      <c r="AG95" s="120">
        <v>1024</v>
      </c>
      <c r="AH95" s="120">
        <v>1024</v>
      </c>
      <c r="AI95" s="120">
        <v>1024</v>
      </c>
      <c r="AJ95" s="120">
        <v>1024</v>
      </c>
      <c r="AK95" s="120">
        <v>1024</v>
      </c>
      <c r="AL95" s="120">
        <v>1024</v>
      </c>
      <c r="AM95" s="120">
        <v>1024</v>
      </c>
      <c r="AN95" s="120">
        <v>1024</v>
      </c>
      <c r="AO95" s="120">
        <v>1024</v>
      </c>
      <c r="AP95" s="120">
        <v>1024</v>
      </c>
      <c r="AQ95" s="120">
        <v>1024</v>
      </c>
      <c r="AR95" s="120">
        <v>1024</v>
      </c>
      <c r="AS95" s="120">
        <v>1024</v>
      </c>
      <c r="AT95" s="120">
        <v>1024</v>
      </c>
      <c r="AU95" s="120">
        <v>1024</v>
      </c>
      <c r="AV95" s="120">
        <v>1024</v>
      </c>
      <c r="AW95" s="120">
        <v>1024</v>
      </c>
      <c r="AX95" s="120">
        <v>1024</v>
      </c>
      <c r="AY95" s="120">
        <v>1024</v>
      </c>
      <c r="AZ95" s="120">
        <v>1024</v>
      </c>
      <c r="BA95" s="120"/>
      <c r="BB95" s="120"/>
      <c r="BC95" s="120"/>
      <c r="BD95" s="120"/>
    </row>
    <row r="96" spans="2:56" ht="15" x14ac:dyDescent="0.25">
      <c r="B96" s="69"/>
      <c r="C96" s="69"/>
      <c r="D96" s="73" t="s">
        <v>33</v>
      </c>
      <c r="E96" s="120">
        <v>31424</v>
      </c>
      <c r="F96" s="120">
        <v>32536</v>
      </c>
      <c r="G96" s="120">
        <v>33372</v>
      </c>
      <c r="H96" s="120">
        <v>34540</v>
      </c>
      <c r="I96" s="120">
        <v>36060</v>
      </c>
      <c r="J96" s="120">
        <v>36920</v>
      </c>
      <c r="K96" s="120">
        <v>38084</v>
      </c>
      <c r="L96" s="120">
        <v>39156</v>
      </c>
      <c r="M96" s="120">
        <v>39156</v>
      </c>
      <c r="N96" s="120">
        <v>40052</v>
      </c>
      <c r="O96" s="120">
        <v>40952</v>
      </c>
      <c r="P96" s="120">
        <v>41888</v>
      </c>
      <c r="Q96" s="120">
        <v>42844</v>
      </c>
      <c r="R96" s="120">
        <v>43668</v>
      </c>
      <c r="S96" s="120">
        <v>44496</v>
      </c>
      <c r="T96" s="120">
        <v>45324</v>
      </c>
      <c r="U96" s="120">
        <v>46156</v>
      </c>
      <c r="V96" s="120">
        <v>47208</v>
      </c>
      <c r="W96" s="120">
        <v>48264</v>
      </c>
      <c r="X96" s="120">
        <v>49316</v>
      </c>
      <c r="Y96" s="120">
        <v>50112</v>
      </c>
      <c r="Z96" s="120">
        <v>51128</v>
      </c>
      <c r="AA96" s="120">
        <v>52052</v>
      </c>
      <c r="AB96" s="120">
        <v>53076</v>
      </c>
      <c r="AC96" s="120">
        <v>53808</v>
      </c>
      <c r="AD96" s="120">
        <v>54964</v>
      </c>
      <c r="AE96" s="120">
        <v>55988</v>
      </c>
      <c r="AF96" s="120">
        <v>57012</v>
      </c>
      <c r="AG96" s="120">
        <v>58036</v>
      </c>
      <c r="AH96" s="120">
        <v>59060</v>
      </c>
      <c r="AI96" s="120">
        <v>60084</v>
      </c>
      <c r="AJ96" s="120">
        <v>61108</v>
      </c>
      <c r="AK96" s="120">
        <v>62132</v>
      </c>
      <c r="AL96" s="120">
        <v>63156</v>
      </c>
      <c r="AM96" s="120">
        <v>64180</v>
      </c>
      <c r="AN96" s="120">
        <v>65204</v>
      </c>
      <c r="AO96" s="120">
        <v>66228</v>
      </c>
      <c r="AP96" s="120">
        <v>67252</v>
      </c>
      <c r="AQ96" s="120">
        <v>68276</v>
      </c>
      <c r="AR96" s="120">
        <v>69300</v>
      </c>
      <c r="AS96" s="120">
        <v>70324</v>
      </c>
      <c r="AT96" s="120">
        <v>71348</v>
      </c>
      <c r="AU96" s="120">
        <v>72372</v>
      </c>
      <c r="AV96" s="120">
        <v>73396</v>
      </c>
      <c r="AW96" s="120">
        <v>74420</v>
      </c>
      <c r="AX96" s="120">
        <v>75444</v>
      </c>
      <c r="AY96" s="120">
        <v>76468</v>
      </c>
      <c r="AZ96" s="120">
        <v>77492</v>
      </c>
      <c r="BA96" s="120"/>
      <c r="BB96" s="120"/>
      <c r="BC96" s="120"/>
      <c r="BD96" s="120"/>
    </row>
    <row r="97" spans="2:56" ht="15" x14ac:dyDescent="0.25">
      <c r="B97" s="69"/>
      <c r="C97" s="69"/>
      <c r="D97" s="70">
        <v>46048</v>
      </c>
      <c r="E97" s="72" t="s">
        <v>0</v>
      </c>
      <c r="F97" s="72" t="s">
        <v>0</v>
      </c>
      <c r="G97" s="72" t="s">
        <v>170</v>
      </c>
      <c r="H97" s="72" t="s">
        <v>2</v>
      </c>
      <c r="I97" s="72"/>
      <c r="J97" s="72"/>
      <c r="K97" s="72" t="s">
        <v>0</v>
      </c>
      <c r="L97" s="72" t="s">
        <v>0</v>
      </c>
      <c r="M97" s="72" t="s">
        <v>0</v>
      </c>
      <c r="N97" s="72" t="s">
        <v>0</v>
      </c>
      <c r="O97" s="72" t="s">
        <v>0</v>
      </c>
      <c r="P97" s="72" t="s">
        <v>3</v>
      </c>
      <c r="Q97" s="72"/>
      <c r="R97" s="72" t="s">
        <v>4</v>
      </c>
      <c r="S97" s="72" t="s">
        <v>0</v>
      </c>
      <c r="T97" s="72" t="s">
        <v>0</v>
      </c>
      <c r="U97" s="72" t="s">
        <v>0</v>
      </c>
      <c r="V97" s="72" t="s">
        <v>0</v>
      </c>
      <c r="W97" s="72" t="s">
        <v>0</v>
      </c>
      <c r="X97" s="72" t="s">
        <v>0</v>
      </c>
      <c r="Y97" s="72" t="s">
        <v>0</v>
      </c>
      <c r="Z97" s="72" t="s">
        <v>0</v>
      </c>
      <c r="AA97" s="72" t="s">
        <v>0</v>
      </c>
      <c r="AB97" s="72" t="s">
        <v>0</v>
      </c>
      <c r="AC97" s="72" t="s">
        <v>4</v>
      </c>
      <c r="AD97" s="72" t="s">
        <v>4</v>
      </c>
      <c r="AE97" s="72" t="s">
        <v>4</v>
      </c>
      <c r="AF97" s="72" t="s">
        <v>4</v>
      </c>
      <c r="AG97" s="72" t="s">
        <v>4</v>
      </c>
      <c r="AH97" s="72" t="s">
        <v>4</v>
      </c>
      <c r="AI97" s="72" t="s">
        <v>4</v>
      </c>
      <c r="AJ97" s="72" t="s">
        <v>4</v>
      </c>
      <c r="AK97" s="72" t="s">
        <v>4</v>
      </c>
      <c r="AL97" s="72" t="s">
        <v>4</v>
      </c>
      <c r="AM97" s="72" t="s">
        <v>4</v>
      </c>
      <c r="AN97" s="72" t="s">
        <v>4</v>
      </c>
      <c r="AO97" s="72" t="s">
        <v>4</v>
      </c>
      <c r="AP97" s="72" t="s">
        <v>4</v>
      </c>
      <c r="AQ97" s="72" t="s">
        <v>4</v>
      </c>
      <c r="AR97" s="72" t="s">
        <v>4</v>
      </c>
      <c r="AS97" s="72" t="s">
        <v>4</v>
      </c>
      <c r="AT97" s="72" t="s">
        <v>4</v>
      </c>
      <c r="AU97" s="72" t="s">
        <v>4</v>
      </c>
      <c r="AV97" s="72" t="s">
        <v>4</v>
      </c>
      <c r="AW97" s="72" t="s">
        <v>4</v>
      </c>
      <c r="AX97" s="72" t="s">
        <v>4</v>
      </c>
      <c r="AY97" s="72" t="s">
        <v>4</v>
      </c>
      <c r="AZ97" s="72"/>
      <c r="BA97" s="72"/>
      <c r="BB97" s="72"/>
      <c r="BC97" s="72"/>
      <c r="BD97" s="72"/>
    </row>
    <row r="98" spans="2:56" ht="15" x14ac:dyDescent="0.25">
      <c r="B98" s="69"/>
      <c r="C98" s="69"/>
      <c r="D98" s="73" t="s">
        <v>32</v>
      </c>
      <c r="E98" s="120">
        <v>1076</v>
      </c>
      <c r="F98" s="120">
        <v>1112</v>
      </c>
      <c r="G98" s="120">
        <v>836</v>
      </c>
      <c r="H98" s="120">
        <v>1168</v>
      </c>
      <c r="I98" s="120">
        <v>1296</v>
      </c>
      <c r="J98" s="120">
        <v>896</v>
      </c>
      <c r="K98" s="120">
        <v>1412</v>
      </c>
      <c r="L98" s="120">
        <v>1420</v>
      </c>
      <c r="M98" s="120">
        <v>0</v>
      </c>
      <c r="N98" s="120">
        <v>900</v>
      </c>
      <c r="O98" s="120">
        <v>904</v>
      </c>
      <c r="P98" s="120">
        <v>816</v>
      </c>
      <c r="Q98" s="120">
        <v>976</v>
      </c>
      <c r="R98" s="120">
        <v>508</v>
      </c>
      <c r="S98" s="120">
        <v>876</v>
      </c>
      <c r="T98" s="120">
        <v>1036</v>
      </c>
      <c r="U98" s="120">
        <v>1060</v>
      </c>
      <c r="V98" s="120">
        <v>1060</v>
      </c>
      <c r="W98" s="120">
        <v>1064</v>
      </c>
      <c r="X98" s="120">
        <v>1060</v>
      </c>
      <c r="Y98" s="120">
        <v>1064</v>
      </c>
      <c r="Z98" s="120">
        <v>932</v>
      </c>
      <c r="AA98" s="120">
        <v>1000</v>
      </c>
      <c r="AB98" s="120">
        <v>1036</v>
      </c>
      <c r="AC98" s="120">
        <v>1036</v>
      </c>
      <c r="AD98" s="120">
        <v>1036</v>
      </c>
      <c r="AE98" s="120">
        <v>1036</v>
      </c>
      <c r="AF98" s="120">
        <v>1036</v>
      </c>
      <c r="AG98" s="120">
        <v>1036</v>
      </c>
      <c r="AH98" s="120">
        <v>1036</v>
      </c>
      <c r="AI98" s="120">
        <v>1036</v>
      </c>
      <c r="AJ98" s="120">
        <v>1036</v>
      </c>
      <c r="AK98" s="120">
        <v>1036</v>
      </c>
      <c r="AL98" s="120">
        <v>1036</v>
      </c>
      <c r="AM98" s="120">
        <v>1036</v>
      </c>
      <c r="AN98" s="120">
        <v>1036</v>
      </c>
      <c r="AO98" s="120">
        <v>1036</v>
      </c>
      <c r="AP98" s="120">
        <v>1036</v>
      </c>
      <c r="AQ98" s="120">
        <v>1036</v>
      </c>
      <c r="AR98" s="120">
        <v>1036</v>
      </c>
      <c r="AS98" s="120">
        <v>1036</v>
      </c>
      <c r="AT98" s="120">
        <v>1036</v>
      </c>
      <c r="AU98" s="120">
        <v>1036</v>
      </c>
      <c r="AV98" s="120">
        <v>1036</v>
      </c>
      <c r="AW98" s="120">
        <v>1036</v>
      </c>
      <c r="AX98" s="120">
        <v>1036</v>
      </c>
      <c r="AY98" s="120">
        <v>1036</v>
      </c>
      <c r="AZ98" s="120"/>
      <c r="BA98" s="120"/>
      <c r="BB98" s="120"/>
      <c r="BC98" s="120"/>
      <c r="BD98" s="120"/>
    </row>
    <row r="99" spans="2:56" ht="15" x14ac:dyDescent="0.25">
      <c r="B99" s="69"/>
      <c r="C99" s="69"/>
      <c r="D99" s="73" t="s">
        <v>33</v>
      </c>
      <c r="E99" s="120">
        <v>31424</v>
      </c>
      <c r="F99" s="120">
        <v>32536</v>
      </c>
      <c r="G99" s="120">
        <v>33372</v>
      </c>
      <c r="H99" s="120">
        <v>34540</v>
      </c>
      <c r="I99" s="120">
        <v>35836</v>
      </c>
      <c r="J99" s="120">
        <v>36732</v>
      </c>
      <c r="K99" s="120">
        <v>38144</v>
      </c>
      <c r="L99" s="120">
        <v>39564</v>
      </c>
      <c r="M99" s="120">
        <v>39564</v>
      </c>
      <c r="N99" s="120">
        <v>40464</v>
      </c>
      <c r="O99" s="120">
        <v>41368</v>
      </c>
      <c r="P99" s="120">
        <v>42184</v>
      </c>
      <c r="Q99" s="120">
        <v>43160</v>
      </c>
      <c r="R99" s="120">
        <v>43668</v>
      </c>
      <c r="S99" s="120">
        <v>44544</v>
      </c>
      <c r="T99" s="120">
        <v>45580</v>
      </c>
      <c r="U99" s="120">
        <v>46640</v>
      </c>
      <c r="V99" s="120">
        <v>47700</v>
      </c>
      <c r="W99" s="120">
        <v>48764</v>
      </c>
      <c r="X99" s="120">
        <v>49824</v>
      </c>
      <c r="Y99" s="120">
        <v>50888</v>
      </c>
      <c r="Z99" s="120">
        <v>51820</v>
      </c>
      <c r="AA99" s="120">
        <v>52820</v>
      </c>
      <c r="AB99" s="120">
        <v>53856</v>
      </c>
      <c r="AC99" s="120">
        <v>54892</v>
      </c>
      <c r="AD99" s="120">
        <v>55928</v>
      </c>
      <c r="AE99" s="120">
        <v>56964</v>
      </c>
      <c r="AF99" s="120">
        <v>58000</v>
      </c>
      <c r="AG99" s="120">
        <v>59036</v>
      </c>
      <c r="AH99" s="120">
        <v>60072</v>
      </c>
      <c r="AI99" s="120">
        <v>61108</v>
      </c>
      <c r="AJ99" s="120">
        <v>62144</v>
      </c>
      <c r="AK99" s="120">
        <v>63180</v>
      </c>
      <c r="AL99" s="120">
        <v>64216</v>
      </c>
      <c r="AM99" s="120">
        <v>65252</v>
      </c>
      <c r="AN99" s="120">
        <v>66288</v>
      </c>
      <c r="AO99" s="120">
        <v>67324</v>
      </c>
      <c r="AP99" s="120">
        <v>68360</v>
      </c>
      <c r="AQ99" s="120">
        <v>69396</v>
      </c>
      <c r="AR99" s="120">
        <v>70432</v>
      </c>
      <c r="AS99" s="120">
        <v>71468</v>
      </c>
      <c r="AT99" s="120">
        <v>72504</v>
      </c>
      <c r="AU99" s="120">
        <v>73540</v>
      </c>
      <c r="AV99" s="120">
        <v>74576</v>
      </c>
      <c r="AW99" s="120">
        <v>75612</v>
      </c>
      <c r="AX99" s="120">
        <v>76648</v>
      </c>
      <c r="AY99" s="120">
        <v>77684</v>
      </c>
      <c r="AZ99" s="120"/>
      <c r="BA99" s="120"/>
      <c r="BB99" s="120"/>
      <c r="BC99" s="120"/>
      <c r="BD99" s="120"/>
    </row>
    <row r="100" spans="2:56" ht="15" x14ac:dyDescent="0.25">
      <c r="B100" s="69"/>
      <c r="C100" s="69"/>
      <c r="D100" s="70">
        <v>46041</v>
      </c>
      <c r="E100" s="71" t="s">
        <v>0</v>
      </c>
      <c r="F100" s="72" t="s">
        <v>170</v>
      </c>
      <c r="G100" s="72" t="s">
        <v>2</v>
      </c>
      <c r="H100" s="71"/>
      <c r="I100" s="72"/>
      <c r="J100" s="72" t="s">
        <v>0</v>
      </c>
      <c r="K100" s="72" t="s">
        <v>0</v>
      </c>
      <c r="L100" s="72" t="s">
        <v>0</v>
      </c>
      <c r="M100" s="72" t="s">
        <v>0</v>
      </c>
      <c r="N100" s="72" t="s">
        <v>0</v>
      </c>
      <c r="O100" s="72" t="s">
        <v>3</v>
      </c>
      <c r="P100" s="72"/>
      <c r="Q100" s="72" t="s">
        <v>4</v>
      </c>
      <c r="R100" s="72" t="s">
        <v>0</v>
      </c>
      <c r="S100" s="72" t="s">
        <v>0</v>
      </c>
      <c r="T100" s="72" t="s">
        <v>0</v>
      </c>
      <c r="U100" s="72" t="s">
        <v>0</v>
      </c>
      <c r="V100" s="72" t="s">
        <v>0</v>
      </c>
      <c r="W100" s="72" t="s">
        <v>0</v>
      </c>
      <c r="X100" s="72" t="s">
        <v>0</v>
      </c>
      <c r="Y100" s="72" t="s">
        <v>0</v>
      </c>
      <c r="Z100" s="72" t="s">
        <v>0</v>
      </c>
      <c r="AA100" s="72" t="s">
        <v>0</v>
      </c>
      <c r="AB100" s="72" t="s">
        <v>4</v>
      </c>
      <c r="AC100" s="72" t="s">
        <v>4</v>
      </c>
      <c r="AD100" s="72" t="s">
        <v>4</v>
      </c>
      <c r="AE100" s="72" t="s">
        <v>4</v>
      </c>
      <c r="AF100" s="72" t="s">
        <v>4</v>
      </c>
      <c r="AG100" s="72" t="s">
        <v>4</v>
      </c>
      <c r="AH100" s="72" t="s">
        <v>4</v>
      </c>
      <c r="AI100" s="72" t="s">
        <v>4</v>
      </c>
      <c r="AJ100" s="72" t="s">
        <v>4</v>
      </c>
      <c r="AK100" s="72" t="s">
        <v>4</v>
      </c>
      <c r="AL100" s="72" t="s">
        <v>4</v>
      </c>
      <c r="AM100" s="72" t="s">
        <v>4</v>
      </c>
      <c r="AN100" s="72" t="s">
        <v>4</v>
      </c>
      <c r="AO100" s="72" t="s">
        <v>4</v>
      </c>
      <c r="AP100" s="72" t="s">
        <v>4</v>
      </c>
      <c r="AQ100" s="72" t="s">
        <v>4</v>
      </c>
      <c r="AR100" s="72" t="s">
        <v>4</v>
      </c>
      <c r="AS100" s="72" t="s">
        <v>4</v>
      </c>
      <c r="AT100" s="72" t="s">
        <v>4</v>
      </c>
      <c r="AU100" s="72" t="s">
        <v>4</v>
      </c>
      <c r="AV100" s="72" t="s">
        <v>4</v>
      </c>
      <c r="AW100" s="72" t="s">
        <v>4</v>
      </c>
      <c r="AX100" s="72" t="s">
        <v>4</v>
      </c>
      <c r="AY100" s="72"/>
      <c r="AZ100" s="72"/>
      <c r="BA100" s="72"/>
      <c r="BB100" s="72"/>
      <c r="BC100" s="72"/>
      <c r="BD100" s="72"/>
    </row>
    <row r="101" spans="2:56" ht="15" x14ac:dyDescent="0.25">
      <c r="B101" s="69"/>
      <c r="C101" s="69"/>
      <c r="D101" s="73" t="s">
        <v>32</v>
      </c>
      <c r="E101" s="190">
        <v>1076</v>
      </c>
      <c r="F101" s="190">
        <v>1112</v>
      </c>
      <c r="G101" s="190">
        <v>836</v>
      </c>
      <c r="H101" s="190">
        <v>1168</v>
      </c>
      <c r="I101" s="190">
        <v>1348</v>
      </c>
      <c r="J101" s="190">
        <v>1136</v>
      </c>
      <c r="K101" s="190">
        <v>1664</v>
      </c>
      <c r="L101" s="190">
        <v>1672</v>
      </c>
      <c r="M101" s="190">
        <v>0</v>
      </c>
      <c r="N101" s="190">
        <v>1064</v>
      </c>
      <c r="O101" s="190">
        <v>1056</v>
      </c>
      <c r="P101" s="190">
        <v>956</v>
      </c>
      <c r="Q101" s="190">
        <v>1024</v>
      </c>
      <c r="R101" s="190">
        <v>824</v>
      </c>
      <c r="S101" s="190">
        <v>860</v>
      </c>
      <c r="T101" s="190">
        <v>924</v>
      </c>
      <c r="U101" s="190">
        <v>920</v>
      </c>
      <c r="V101" s="190">
        <v>1060</v>
      </c>
      <c r="W101" s="190">
        <v>1060</v>
      </c>
      <c r="X101" s="190">
        <v>1060</v>
      </c>
      <c r="Y101" s="190">
        <v>1060</v>
      </c>
      <c r="Z101" s="190">
        <v>952</v>
      </c>
      <c r="AA101" s="190">
        <v>1028</v>
      </c>
      <c r="AB101" s="190">
        <v>1028</v>
      </c>
      <c r="AC101" s="190">
        <v>1028</v>
      </c>
      <c r="AD101" s="190">
        <v>1028</v>
      </c>
      <c r="AE101" s="190">
        <v>1028</v>
      </c>
      <c r="AF101" s="190">
        <v>1028</v>
      </c>
      <c r="AG101" s="190">
        <v>1028</v>
      </c>
      <c r="AH101" s="190">
        <v>1028</v>
      </c>
      <c r="AI101" s="190">
        <v>1028</v>
      </c>
      <c r="AJ101" s="190">
        <v>1028</v>
      </c>
      <c r="AK101" s="190">
        <v>1028</v>
      </c>
      <c r="AL101" s="190">
        <v>1028</v>
      </c>
      <c r="AM101" s="190">
        <v>1028</v>
      </c>
      <c r="AN101" s="190">
        <v>1028</v>
      </c>
      <c r="AO101" s="190">
        <v>1028</v>
      </c>
      <c r="AP101" s="190">
        <v>1028</v>
      </c>
      <c r="AQ101" s="190">
        <v>1028</v>
      </c>
      <c r="AR101" s="190">
        <v>1028</v>
      </c>
      <c r="AS101" s="190">
        <v>1028</v>
      </c>
      <c r="AT101" s="190">
        <v>1028</v>
      </c>
      <c r="AU101" s="190">
        <v>1028</v>
      </c>
      <c r="AV101" s="190">
        <v>1028</v>
      </c>
      <c r="AW101" s="190">
        <v>1028</v>
      </c>
      <c r="AX101" s="190">
        <v>1028</v>
      </c>
      <c r="AY101" s="190"/>
      <c r="AZ101" s="190"/>
      <c r="BA101" s="190"/>
      <c r="BB101" s="190"/>
      <c r="BC101" s="190"/>
      <c r="BD101" s="190"/>
    </row>
    <row r="102" spans="2:56" ht="15" x14ac:dyDescent="0.25">
      <c r="B102" s="69"/>
      <c r="C102" s="69"/>
      <c r="D102" s="73" t="s">
        <v>33</v>
      </c>
      <c r="E102" s="190">
        <v>31424</v>
      </c>
      <c r="F102" s="190">
        <v>32536</v>
      </c>
      <c r="G102" s="190">
        <v>33372</v>
      </c>
      <c r="H102" s="190">
        <v>34540</v>
      </c>
      <c r="I102" s="190">
        <v>35888</v>
      </c>
      <c r="J102" s="190">
        <v>37024</v>
      </c>
      <c r="K102" s="190">
        <v>38688</v>
      </c>
      <c r="L102" s="190">
        <v>40360</v>
      </c>
      <c r="M102" s="190">
        <v>40360</v>
      </c>
      <c r="N102" s="190">
        <v>41424</v>
      </c>
      <c r="O102" s="190">
        <v>42480</v>
      </c>
      <c r="P102" s="190">
        <v>43436</v>
      </c>
      <c r="Q102" s="190">
        <v>44460</v>
      </c>
      <c r="R102" s="190">
        <v>45284</v>
      </c>
      <c r="S102" s="190">
        <v>46144</v>
      </c>
      <c r="T102" s="190">
        <v>47068</v>
      </c>
      <c r="U102" s="190">
        <v>47988</v>
      </c>
      <c r="V102" s="190">
        <v>49048</v>
      </c>
      <c r="W102" s="190">
        <v>50108</v>
      </c>
      <c r="X102" s="190">
        <v>51168</v>
      </c>
      <c r="Y102" s="190">
        <v>52228</v>
      </c>
      <c r="Z102" s="190">
        <v>53180</v>
      </c>
      <c r="AA102" s="190">
        <v>54208</v>
      </c>
      <c r="AB102" s="190">
        <v>55236</v>
      </c>
      <c r="AC102" s="190">
        <v>56264</v>
      </c>
      <c r="AD102" s="190">
        <v>57292</v>
      </c>
      <c r="AE102" s="190">
        <v>58320</v>
      </c>
      <c r="AF102" s="190">
        <v>59348</v>
      </c>
      <c r="AG102" s="190">
        <v>60376</v>
      </c>
      <c r="AH102" s="190">
        <v>61404</v>
      </c>
      <c r="AI102" s="190">
        <v>62432</v>
      </c>
      <c r="AJ102" s="190">
        <v>63460</v>
      </c>
      <c r="AK102" s="190">
        <v>64488</v>
      </c>
      <c r="AL102" s="190">
        <v>65516</v>
      </c>
      <c r="AM102" s="190">
        <v>66544</v>
      </c>
      <c r="AN102" s="190">
        <v>67572</v>
      </c>
      <c r="AO102" s="190">
        <v>68600</v>
      </c>
      <c r="AP102" s="190">
        <v>69628</v>
      </c>
      <c r="AQ102" s="190">
        <v>70656</v>
      </c>
      <c r="AR102" s="190">
        <v>71684</v>
      </c>
      <c r="AS102" s="190">
        <v>72712</v>
      </c>
      <c r="AT102" s="190">
        <v>73740</v>
      </c>
      <c r="AU102" s="190">
        <v>74768</v>
      </c>
      <c r="AV102" s="190">
        <v>75796</v>
      </c>
      <c r="AW102" s="190">
        <v>76824</v>
      </c>
      <c r="AX102" s="190">
        <v>77852</v>
      </c>
      <c r="AY102" s="190"/>
      <c r="AZ102" s="190"/>
      <c r="BA102" s="190"/>
      <c r="BB102" s="190"/>
      <c r="BC102" s="190"/>
      <c r="BD102" s="190"/>
    </row>
    <row r="103" spans="2:56" ht="15" x14ac:dyDescent="0.25">
      <c r="B103" s="69"/>
      <c r="C103" s="69"/>
      <c r="D103" s="70">
        <v>46034</v>
      </c>
      <c r="E103" s="72" t="s">
        <v>170</v>
      </c>
      <c r="F103" s="72" t="s">
        <v>2</v>
      </c>
      <c r="G103" s="72"/>
      <c r="H103" s="72"/>
      <c r="I103" s="72" t="s">
        <v>0</v>
      </c>
      <c r="J103" s="72" t="s">
        <v>0</v>
      </c>
      <c r="K103" s="72" t="s">
        <v>0</v>
      </c>
      <c r="L103" s="72" t="s">
        <v>0</v>
      </c>
      <c r="M103" s="72" t="s">
        <v>0</v>
      </c>
      <c r="N103" s="72" t="s">
        <v>3</v>
      </c>
      <c r="O103" s="72"/>
      <c r="P103" s="72" t="s">
        <v>4</v>
      </c>
      <c r="Q103" s="72" t="s">
        <v>0</v>
      </c>
      <c r="R103" s="72" t="s">
        <v>0</v>
      </c>
      <c r="S103" s="72" t="s">
        <v>0</v>
      </c>
      <c r="T103" s="72" t="s">
        <v>0</v>
      </c>
      <c r="U103" s="72" t="s">
        <v>0</v>
      </c>
      <c r="V103" s="72" t="s">
        <v>0</v>
      </c>
      <c r="W103" s="72" t="s">
        <v>0</v>
      </c>
      <c r="X103" s="72" t="s">
        <v>0</v>
      </c>
      <c r="Y103" s="72" t="s">
        <v>0</v>
      </c>
      <c r="Z103" s="72" t="s">
        <v>0</v>
      </c>
      <c r="AA103" s="72" t="s">
        <v>4</v>
      </c>
      <c r="AB103" s="72" t="s">
        <v>4</v>
      </c>
      <c r="AC103" s="72" t="s">
        <v>4</v>
      </c>
      <c r="AD103" s="72" t="s">
        <v>4</v>
      </c>
      <c r="AE103" s="72" t="s">
        <v>4</v>
      </c>
      <c r="AF103" s="72" t="s">
        <v>4</v>
      </c>
      <c r="AG103" s="72" t="s">
        <v>4</v>
      </c>
      <c r="AH103" s="72" t="s">
        <v>4</v>
      </c>
      <c r="AI103" s="72" t="s">
        <v>4</v>
      </c>
      <c r="AJ103" s="72" t="s">
        <v>4</v>
      </c>
      <c r="AK103" s="72" t="s">
        <v>4</v>
      </c>
      <c r="AL103" s="72" t="s">
        <v>4</v>
      </c>
      <c r="AM103" s="72" t="s">
        <v>4</v>
      </c>
      <c r="AN103" s="72" t="s">
        <v>4</v>
      </c>
      <c r="AO103" s="72" t="s">
        <v>4</v>
      </c>
      <c r="AP103" s="72" t="s">
        <v>4</v>
      </c>
      <c r="AQ103" s="72" t="s">
        <v>4</v>
      </c>
      <c r="AR103" s="72" t="s">
        <v>4</v>
      </c>
      <c r="AS103" s="72" t="s">
        <v>4</v>
      </c>
      <c r="AT103" s="72" t="s">
        <v>4</v>
      </c>
      <c r="AU103" s="72" t="s">
        <v>4</v>
      </c>
      <c r="AV103" s="72" t="s">
        <v>4</v>
      </c>
      <c r="AW103" s="72" t="s">
        <v>4</v>
      </c>
      <c r="AX103" s="72"/>
      <c r="AY103" s="72"/>
      <c r="AZ103" s="72"/>
      <c r="BA103" s="72"/>
      <c r="BB103" s="72"/>
      <c r="BC103" s="72"/>
      <c r="BD103" s="72"/>
    </row>
    <row r="104" spans="2:56" ht="15" x14ac:dyDescent="0.25">
      <c r="B104" s="69"/>
      <c r="C104" s="69"/>
      <c r="D104" s="73" t="s">
        <v>32</v>
      </c>
      <c r="E104" s="120">
        <v>1076</v>
      </c>
      <c r="F104" s="120">
        <v>1112</v>
      </c>
      <c r="G104" s="120">
        <v>836</v>
      </c>
      <c r="H104" s="120">
        <v>1244</v>
      </c>
      <c r="I104" s="120">
        <v>1276</v>
      </c>
      <c r="J104" s="120">
        <v>1388</v>
      </c>
      <c r="K104" s="120">
        <v>1456</v>
      </c>
      <c r="L104" s="120">
        <v>1500</v>
      </c>
      <c r="M104" s="120">
        <v>0</v>
      </c>
      <c r="N104" s="120">
        <v>1032</v>
      </c>
      <c r="O104" s="120">
        <v>1332</v>
      </c>
      <c r="P104" s="120">
        <v>1072</v>
      </c>
      <c r="Q104" s="120">
        <v>1068</v>
      </c>
      <c r="R104" s="120">
        <v>840</v>
      </c>
      <c r="S104" s="120">
        <v>872</v>
      </c>
      <c r="T104" s="120">
        <v>924</v>
      </c>
      <c r="U104" s="120">
        <v>928</v>
      </c>
      <c r="V104" s="120">
        <v>1068</v>
      </c>
      <c r="W104" s="120">
        <v>1072</v>
      </c>
      <c r="X104" s="120">
        <v>1072</v>
      </c>
      <c r="Y104" s="120">
        <v>1072</v>
      </c>
      <c r="Z104" s="120">
        <v>1068</v>
      </c>
      <c r="AA104" s="120">
        <v>1068</v>
      </c>
      <c r="AB104" s="120">
        <v>1068</v>
      </c>
      <c r="AC104" s="120">
        <v>1068</v>
      </c>
      <c r="AD104" s="120">
        <v>1068</v>
      </c>
      <c r="AE104" s="120">
        <v>1068</v>
      </c>
      <c r="AF104" s="120">
        <v>1068</v>
      </c>
      <c r="AG104" s="120">
        <v>1068</v>
      </c>
      <c r="AH104" s="120">
        <v>1068</v>
      </c>
      <c r="AI104" s="120">
        <v>1068</v>
      </c>
      <c r="AJ104" s="120">
        <v>1068</v>
      </c>
      <c r="AK104" s="120">
        <v>1068</v>
      </c>
      <c r="AL104" s="120">
        <v>1068</v>
      </c>
      <c r="AM104" s="120">
        <v>1068</v>
      </c>
      <c r="AN104" s="120">
        <v>1068</v>
      </c>
      <c r="AO104" s="120">
        <v>1068</v>
      </c>
      <c r="AP104" s="120">
        <v>1068</v>
      </c>
      <c r="AQ104" s="120">
        <v>1068</v>
      </c>
      <c r="AR104" s="120">
        <v>1068</v>
      </c>
      <c r="AS104" s="120">
        <v>1068</v>
      </c>
      <c r="AT104" s="120">
        <v>1068</v>
      </c>
      <c r="AU104" s="120">
        <v>1068</v>
      </c>
      <c r="AV104" s="120">
        <v>1068</v>
      </c>
      <c r="AW104" s="120">
        <v>1068</v>
      </c>
      <c r="AX104" s="120"/>
      <c r="AY104" s="120"/>
      <c r="AZ104" s="120"/>
      <c r="BA104" s="120"/>
      <c r="BB104" s="120"/>
      <c r="BC104" s="120"/>
      <c r="BD104" s="120"/>
    </row>
    <row r="105" spans="2:56" ht="15" x14ac:dyDescent="0.25">
      <c r="B105" s="69"/>
      <c r="C105" s="69"/>
      <c r="D105" s="73" t="s">
        <v>33</v>
      </c>
      <c r="E105" s="120">
        <v>31424</v>
      </c>
      <c r="F105" s="120">
        <v>32536</v>
      </c>
      <c r="G105" s="120">
        <v>33372</v>
      </c>
      <c r="H105" s="120">
        <v>34616</v>
      </c>
      <c r="I105" s="120">
        <v>35892</v>
      </c>
      <c r="J105" s="120">
        <v>37280</v>
      </c>
      <c r="K105" s="120">
        <v>38736</v>
      </c>
      <c r="L105" s="120">
        <v>40236</v>
      </c>
      <c r="M105" s="120">
        <v>40236</v>
      </c>
      <c r="N105" s="120">
        <v>41268</v>
      </c>
      <c r="O105" s="120">
        <v>42600</v>
      </c>
      <c r="P105" s="120">
        <v>43672</v>
      </c>
      <c r="Q105" s="120">
        <v>44740</v>
      </c>
      <c r="R105" s="120">
        <v>45580</v>
      </c>
      <c r="S105" s="120">
        <v>46452</v>
      </c>
      <c r="T105" s="120">
        <v>47376</v>
      </c>
      <c r="U105" s="120">
        <v>48304</v>
      </c>
      <c r="V105" s="120">
        <v>49372</v>
      </c>
      <c r="W105" s="120">
        <v>50444</v>
      </c>
      <c r="X105" s="120">
        <v>51516</v>
      </c>
      <c r="Y105" s="120">
        <v>52588</v>
      </c>
      <c r="Z105" s="120">
        <v>53656</v>
      </c>
      <c r="AA105" s="120">
        <v>54724</v>
      </c>
      <c r="AB105" s="120">
        <v>55792</v>
      </c>
      <c r="AC105" s="120">
        <v>56860</v>
      </c>
      <c r="AD105" s="120">
        <v>57928</v>
      </c>
      <c r="AE105" s="120">
        <v>58996</v>
      </c>
      <c r="AF105" s="120">
        <v>60064</v>
      </c>
      <c r="AG105" s="120">
        <v>61132</v>
      </c>
      <c r="AH105" s="120">
        <v>62200</v>
      </c>
      <c r="AI105" s="120">
        <v>63268</v>
      </c>
      <c r="AJ105" s="120">
        <v>64336</v>
      </c>
      <c r="AK105" s="120">
        <v>65404</v>
      </c>
      <c r="AL105" s="120">
        <v>66472</v>
      </c>
      <c r="AM105" s="120">
        <v>67540</v>
      </c>
      <c r="AN105" s="120">
        <v>68608</v>
      </c>
      <c r="AO105" s="120">
        <v>69676</v>
      </c>
      <c r="AP105" s="120">
        <v>70744</v>
      </c>
      <c r="AQ105" s="120">
        <v>71812</v>
      </c>
      <c r="AR105" s="120">
        <v>72880</v>
      </c>
      <c r="AS105" s="120">
        <v>73948</v>
      </c>
      <c r="AT105" s="120">
        <v>75016</v>
      </c>
      <c r="AU105" s="120">
        <v>76084</v>
      </c>
      <c r="AV105" s="120">
        <v>77152</v>
      </c>
      <c r="AW105" s="120">
        <v>78220</v>
      </c>
      <c r="AX105" s="120"/>
      <c r="AY105" s="120"/>
      <c r="AZ105" s="120"/>
      <c r="BA105" s="120"/>
      <c r="BB105" s="120"/>
      <c r="BC105" s="120"/>
      <c r="BD105" s="120"/>
    </row>
    <row r="106" spans="2:56" ht="15" x14ac:dyDescent="0.25">
      <c r="B106" s="69"/>
      <c r="C106" s="69"/>
      <c r="D106" s="70">
        <v>46027</v>
      </c>
      <c r="E106" s="72" t="s">
        <v>2</v>
      </c>
      <c r="F106" s="72"/>
      <c r="G106" s="72"/>
      <c r="H106" s="72" t="s">
        <v>0</v>
      </c>
      <c r="I106" s="72" t="s">
        <v>0</v>
      </c>
      <c r="J106" s="72" t="s">
        <v>0</v>
      </c>
      <c r="K106" s="72" t="s">
        <v>0</v>
      </c>
      <c r="L106" s="72" t="s">
        <v>0</v>
      </c>
      <c r="M106" s="72" t="s">
        <v>3</v>
      </c>
      <c r="N106" s="72"/>
      <c r="O106" s="72" t="s">
        <v>4</v>
      </c>
      <c r="P106" s="72" t="s">
        <v>0</v>
      </c>
      <c r="Q106" s="72" t="s">
        <v>0</v>
      </c>
      <c r="R106" s="72" t="s">
        <v>0</v>
      </c>
      <c r="S106" s="72" t="s">
        <v>0</v>
      </c>
      <c r="T106" s="72" t="s">
        <v>0</v>
      </c>
      <c r="U106" s="72" t="s">
        <v>0</v>
      </c>
      <c r="V106" s="72" t="s">
        <v>0</v>
      </c>
      <c r="W106" s="72" t="s">
        <v>0</v>
      </c>
      <c r="X106" s="72" t="s">
        <v>0</v>
      </c>
      <c r="Y106" s="72" t="s">
        <v>0</v>
      </c>
      <c r="Z106" s="72" t="s">
        <v>4</v>
      </c>
      <c r="AA106" s="72" t="s">
        <v>4</v>
      </c>
      <c r="AB106" s="72" t="s">
        <v>4</v>
      </c>
      <c r="AC106" s="72" t="s">
        <v>4</v>
      </c>
      <c r="AD106" s="72" t="s">
        <v>4</v>
      </c>
      <c r="AE106" s="72" t="s">
        <v>4</v>
      </c>
      <c r="AF106" s="72" t="s">
        <v>4</v>
      </c>
      <c r="AG106" s="72" t="s">
        <v>4</v>
      </c>
      <c r="AH106" s="72" t="s">
        <v>4</v>
      </c>
      <c r="AI106" s="72" t="s">
        <v>4</v>
      </c>
      <c r="AJ106" s="72" t="s">
        <v>4</v>
      </c>
      <c r="AK106" s="72" t="s">
        <v>4</v>
      </c>
      <c r="AL106" s="72" t="s">
        <v>4</v>
      </c>
      <c r="AM106" s="72" t="s">
        <v>4</v>
      </c>
      <c r="AN106" s="72" t="s">
        <v>4</v>
      </c>
      <c r="AO106" s="72" t="s">
        <v>4</v>
      </c>
      <c r="AP106" s="72" t="s">
        <v>4</v>
      </c>
      <c r="AQ106" s="72" t="s">
        <v>4</v>
      </c>
      <c r="AR106" s="72" t="s">
        <v>4</v>
      </c>
      <c r="AS106" s="72" t="s">
        <v>4</v>
      </c>
      <c r="AT106" s="72" t="s">
        <v>4</v>
      </c>
      <c r="AU106" s="72" t="s">
        <v>4</v>
      </c>
      <c r="AV106" s="72" t="s">
        <v>4</v>
      </c>
      <c r="AW106" s="72"/>
      <c r="AX106" s="72"/>
      <c r="AY106" s="72"/>
      <c r="AZ106" s="72"/>
      <c r="BA106" s="72"/>
      <c r="BB106" s="72"/>
      <c r="BC106" s="72"/>
      <c r="BD106" s="72"/>
    </row>
    <row r="107" spans="2:56" ht="15" x14ac:dyDescent="0.25">
      <c r="B107" s="69"/>
      <c r="C107" s="69"/>
      <c r="D107" s="73" t="s">
        <v>32</v>
      </c>
      <c r="E107" s="120">
        <v>1076</v>
      </c>
      <c r="F107" s="120">
        <v>1112</v>
      </c>
      <c r="G107" s="120">
        <v>1172</v>
      </c>
      <c r="H107" s="120">
        <v>1232</v>
      </c>
      <c r="I107" s="120">
        <v>1228</v>
      </c>
      <c r="J107" s="120">
        <v>1484</v>
      </c>
      <c r="K107" s="120">
        <v>1468</v>
      </c>
      <c r="L107" s="120">
        <v>1464</v>
      </c>
      <c r="M107" s="120">
        <v>0</v>
      </c>
      <c r="N107" s="120">
        <v>1236</v>
      </c>
      <c r="O107" s="120">
        <v>1076</v>
      </c>
      <c r="P107" s="120">
        <v>1076</v>
      </c>
      <c r="Q107" s="120">
        <v>1076</v>
      </c>
      <c r="R107" s="120">
        <v>1076</v>
      </c>
      <c r="S107" s="120">
        <v>1076</v>
      </c>
      <c r="T107" s="120">
        <v>1076</v>
      </c>
      <c r="U107" s="120">
        <v>1076</v>
      </c>
      <c r="V107" s="120">
        <v>1076</v>
      </c>
      <c r="W107" s="120">
        <v>1076</v>
      </c>
      <c r="X107" s="120">
        <v>1076</v>
      </c>
      <c r="Y107" s="120">
        <v>1076</v>
      </c>
      <c r="Z107" s="120">
        <v>1076</v>
      </c>
      <c r="AA107" s="120">
        <v>1076</v>
      </c>
      <c r="AB107" s="120">
        <v>1076</v>
      </c>
      <c r="AC107" s="120">
        <v>1076</v>
      </c>
      <c r="AD107" s="120">
        <v>1076</v>
      </c>
      <c r="AE107" s="120">
        <v>1076</v>
      </c>
      <c r="AF107" s="120">
        <v>1076</v>
      </c>
      <c r="AG107" s="120">
        <v>1076</v>
      </c>
      <c r="AH107" s="120">
        <v>1076</v>
      </c>
      <c r="AI107" s="120">
        <v>1076</v>
      </c>
      <c r="AJ107" s="120">
        <v>1076</v>
      </c>
      <c r="AK107" s="120">
        <v>1076</v>
      </c>
      <c r="AL107" s="120">
        <v>1076</v>
      </c>
      <c r="AM107" s="120">
        <v>1076</v>
      </c>
      <c r="AN107" s="120">
        <v>1076</v>
      </c>
      <c r="AO107" s="120">
        <v>1076</v>
      </c>
      <c r="AP107" s="120">
        <v>1076</v>
      </c>
      <c r="AQ107" s="120">
        <v>1076</v>
      </c>
      <c r="AR107" s="120">
        <v>1076</v>
      </c>
      <c r="AS107" s="120">
        <v>1076</v>
      </c>
      <c r="AT107" s="120">
        <v>1076</v>
      </c>
      <c r="AU107" s="120">
        <v>1076</v>
      </c>
      <c r="AV107" s="120">
        <v>1076</v>
      </c>
      <c r="AW107" s="120"/>
      <c r="AX107" s="120"/>
      <c r="AY107" s="120"/>
      <c r="AZ107" s="120"/>
      <c r="BA107" s="120"/>
      <c r="BB107" s="120"/>
      <c r="BC107" s="120"/>
      <c r="BD107" s="120"/>
    </row>
    <row r="108" spans="2:56" ht="15" x14ac:dyDescent="0.25">
      <c r="B108" s="69"/>
      <c r="C108" s="69"/>
      <c r="D108" s="73" t="s">
        <v>33</v>
      </c>
      <c r="E108" s="120">
        <v>31424</v>
      </c>
      <c r="F108" s="120">
        <v>32536</v>
      </c>
      <c r="G108" s="120">
        <v>33708</v>
      </c>
      <c r="H108" s="120">
        <v>34940</v>
      </c>
      <c r="I108" s="120">
        <v>36168</v>
      </c>
      <c r="J108" s="120">
        <v>37652</v>
      </c>
      <c r="K108" s="120">
        <v>39120</v>
      </c>
      <c r="L108" s="120">
        <v>40584</v>
      </c>
      <c r="M108" s="120">
        <v>40584</v>
      </c>
      <c r="N108" s="120">
        <v>41820</v>
      </c>
      <c r="O108" s="120">
        <v>42896</v>
      </c>
      <c r="P108" s="120">
        <v>43972</v>
      </c>
      <c r="Q108" s="120">
        <v>45048</v>
      </c>
      <c r="R108" s="120">
        <v>46124</v>
      </c>
      <c r="S108" s="120">
        <v>47200</v>
      </c>
      <c r="T108" s="120">
        <v>48276</v>
      </c>
      <c r="U108" s="120">
        <v>49352</v>
      </c>
      <c r="V108" s="120">
        <v>50428</v>
      </c>
      <c r="W108" s="120">
        <v>51504</v>
      </c>
      <c r="X108" s="120">
        <v>52580</v>
      </c>
      <c r="Y108" s="120">
        <v>53656</v>
      </c>
      <c r="Z108" s="120">
        <v>54732</v>
      </c>
      <c r="AA108" s="120">
        <v>55808</v>
      </c>
      <c r="AB108" s="120">
        <v>56884</v>
      </c>
      <c r="AC108" s="120">
        <v>57960</v>
      </c>
      <c r="AD108" s="120">
        <v>59036</v>
      </c>
      <c r="AE108" s="120">
        <v>60112</v>
      </c>
      <c r="AF108" s="120">
        <v>61188</v>
      </c>
      <c r="AG108" s="120">
        <v>62264</v>
      </c>
      <c r="AH108" s="120">
        <v>63340</v>
      </c>
      <c r="AI108" s="120">
        <v>64416</v>
      </c>
      <c r="AJ108" s="120">
        <v>65492</v>
      </c>
      <c r="AK108" s="120">
        <v>66568</v>
      </c>
      <c r="AL108" s="120">
        <v>67644</v>
      </c>
      <c r="AM108" s="120">
        <v>68720</v>
      </c>
      <c r="AN108" s="120">
        <v>69796</v>
      </c>
      <c r="AO108" s="120">
        <v>70872</v>
      </c>
      <c r="AP108" s="120">
        <v>71948</v>
      </c>
      <c r="AQ108" s="120">
        <v>73024</v>
      </c>
      <c r="AR108" s="120">
        <v>74100</v>
      </c>
      <c r="AS108" s="120">
        <v>75176</v>
      </c>
      <c r="AT108" s="120">
        <v>76252</v>
      </c>
      <c r="AU108" s="120">
        <v>77328</v>
      </c>
      <c r="AV108" s="120">
        <v>78404</v>
      </c>
      <c r="AW108" s="120"/>
      <c r="AX108" s="120"/>
      <c r="AY108" s="120"/>
      <c r="AZ108" s="120"/>
      <c r="BA108" s="120"/>
      <c r="BB108" s="120"/>
      <c r="BC108" s="120"/>
      <c r="BD108" s="120"/>
    </row>
    <row r="109" spans="2:56" ht="15" x14ac:dyDescent="0.25">
      <c r="B109" s="69"/>
      <c r="C109" s="69"/>
      <c r="D109" s="70">
        <v>46385</v>
      </c>
      <c r="E109" s="72"/>
      <c r="F109" s="72"/>
      <c r="G109" s="72" t="s">
        <v>0</v>
      </c>
      <c r="H109" s="72" t="s">
        <v>0</v>
      </c>
      <c r="I109" s="72" t="s">
        <v>0</v>
      </c>
      <c r="J109" s="72" t="s">
        <v>0</v>
      </c>
      <c r="K109" s="72" t="s">
        <v>0</v>
      </c>
      <c r="L109" s="72" t="s">
        <v>3</v>
      </c>
      <c r="M109" s="72"/>
      <c r="N109" s="72" t="s">
        <v>4</v>
      </c>
      <c r="O109" s="72" t="s">
        <v>0</v>
      </c>
      <c r="P109" s="72" t="s">
        <v>0</v>
      </c>
      <c r="Q109" s="72" t="s">
        <v>0</v>
      </c>
      <c r="R109" s="72" t="s">
        <v>0</v>
      </c>
      <c r="S109" s="72" t="s">
        <v>0</v>
      </c>
      <c r="T109" s="72" t="s">
        <v>0</v>
      </c>
      <c r="U109" s="72" t="s">
        <v>0</v>
      </c>
      <c r="V109" s="72" t="s">
        <v>0</v>
      </c>
      <c r="W109" s="72" t="s">
        <v>4</v>
      </c>
      <c r="X109" s="72" t="s">
        <v>4</v>
      </c>
      <c r="Y109" s="72" t="s">
        <v>4</v>
      </c>
      <c r="Z109" s="72" t="s">
        <v>4</v>
      </c>
      <c r="AA109" s="72" t="s">
        <v>4</v>
      </c>
      <c r="AB109" s="72" t="s">
        <v>4</v>
      </c>
      <c r="AC109" s="72" t="s">
        <v>4</v>
      </c>
      <c r="AD109" s="72" t="s">
        <v>4</v>
      </c>
      <c r="AE109" s="72" t="s">
        <v>4</v>
      </c>
      <c r="AF109" s="72" t="s">
        <v>4</v>
      </c>
      <c r="AG109" s="72" t="s">
        <v>4</v>
      </c>
      <c r="AH109" s="72" t="s">
        <v>4</v>
      </c>
      <c r="AI109" s="72" t="s">
        <v>4</v>
      </c>
      <c r="AJ109" s="72" t="s">
        <v>4</v>
      </c>
      <c r="AK109" s="72" t="s">
        <v>4</v>
      </c>
      <c r="AL109" s="72" t="s">
        <v>4</v>
      </c>
      <c r="AM109" s="72" t="s">
        <v>4</v>
      </c>
      <c r="AN109" s="72" t="s">
        <v>4</v>
      </c>
      <c r="AO109" s="72" t="s">
        <v>4</v>
      </c>
      <c r="AP109" s="72" t="s">
        <v>4</v>
      </c>
      <c r="AQ109" s="72" t="s">
        <v>4</v>
      </c>
      <c r="AR109" s="72" t="s">
        <v>4</v>
      </c>
      <c r="AS109" s="72" t="s">
        <v>4</v>
      </c>
      <c r="AT109" s="72" t="s">
        <v>4</v>
      </c>
      <c r="AU109" s="72" t="s">
        <v>4</v>
      </c>
      <c r="AV109" s="72"/>
      <c r="AW109" s="72"/>
      <c r="AX109" s="72"/>
      <c r="AY109" s="72"/>
      <c r="AZ109" s="72"/>
      <c r="BA109" s="72"/>
      <c r="BB109" s="72"/>
      <c r="BC109" s="72"/>
      <c r="BD109" s="72"/>
    </row>
    <row r="110" spans="2:56" ht="15" x14ac:dyDescent="0.25">
      <c r="B110" s="69"/>
      <c r="C110" s="69"/>
      <c r="D110" s="73" t="s">
        <v>32</v>
      </c>
      <c r="E110" s="120">
        <v>1056</v>
      </c>
      <c r="F110" s="120">
        <v>1144</v>
      </c>
      <c r="G110" s="120">
        <v>1148</v>
      </c>
      <c r="H110" s="120">
        <v>1144</v>
      </c>
      <c r="I110" s="120">
        <v>1220</v>
      </c>
      <c r="J110" s="120">
        <v>1360</v>
      </c>
      <c r="K110" s="120">
        <v>1364</v>
      </c>
      <c r="L110" s="120">
        <v>2020</v>
      </c>
      <c r="M110" s="120">
        <v>0</v>
      </c>
      <c r="N110" s="120">
        <v>1096</v>
      </c>
      <c r="O110" s="120">
        <v>1096</v>
      </c>
      <c r="P110" s="120">
        <v>1092</v>
      </c>
      <c r="Q110" s="120">
        <v>1096</v>
      </c>
      <c r="R110" s="120">
        <v>1096</v>
      </c>
      <c r="S110" s="120">
        <v>1096</v>
      </c>
      <c r="T110" s="120">
        <v>1092</v>
      </c>
      <c r="U110" s="120">
        <v>1096</v>
      </c>
      <c r="V110" s="120">
        <v>1096</v>
      </c>
      <c r="W110" s="120">
        <v>1096</v>
      </c>
      <c r="X110" s="120">
        <v>1096</v>
      </c>
      <c r="Y110" s="120">
        <v>1096</v>
      </c>
      <c r="Z110" s="120">
        <v>1096</v>
      </c>
      <c r="AA110" s="120">
        <v>1096</v>
      </c>
      <c r="AB110" s="120">
        <v>1096</v>
      </c>
      <c r="AC110" s="120">
        <v>1096</v>
      </c>
      <c r="AD110" s="120">
        <v>1096</v>
      </c>
      <c r="AE110" s="120">
        <v>1096</v>
      </c>
      <c r="AF110" s="120">
        <v>1096</v>
      </c>
      <c r="AG110" s="120">
        <v>1096</v>
      </c>
      <c r="AH110" s="120">
        <v>1096</v>
      </c>
      <c r="AI110" s="120">
        <v>1096</v>
      </c>
      <c r="AJ110" s="120">
        <v>1096</v>
      </c>
      <c r="AK110" s="120">
        <v>1096</v>
      </c>
      <c r="AL110" s="120">
        <v>1096</v>
      </c>
      <c r="AM110" s="120">
        <v>1096</v>
      </c>
      <c r="AN110" s="120">
        <v>1096</v>
      </c>
      <c r="AO110" s="120">
        <v>1096</v>
      </c>
      <c r="AP110" s="120">
        <v>1096</v>
      </c>
      <c r="AQ110" s="120">
        <v>1096</v>
      </c>
      <c r="AR110" s="120">
        <v>1096</v>
      </c>
      <c r="AS110" s="120">
        <v>1096</v>
      </c>
      <c r="AT110" s="120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</row>
    <row r="111" spans="2:56" ht="15" x14ac:dyDescent="0.25">
      <c r="B111" s="74"/>
      <c r="C111" s="74"/>
      <c r="D111" s="73" t="s">
        <v>33</v>
      </c>
      <c r="E111" s="120">
        <v>31404</v>
      </c>
      <c r="F111" s="120">
        <v>32548</v>
      </c>
      <c r="G111" s="120">
        <v>33696</v>
      </c>
      <c r="H111" s="120">
        <v>34840</v>
      </c>
      <c r="I111" s="120">
        <v>36060</v>
      </c>
      <c r="J111" s="120">
        <v>37420</v>
      </c>
      <c r="K111" s="120">
        <v>38784</v>
      </c>
      <c r="L111" s="120">
        <v>40804</v>
      </c>
      <c r="M111" s="120">
        <v>40804</v>
      </c>
      <c r="N111" s="120">
        <v>41900</v>
      </c>
      <c r="O111" s="120">
        <v>42996</v>
      </c>
      <c r="P111" s="120">
        <v>44088</v>
      </c>
      <c r="Q111" s="120">
        <v>45184</v>
      </c>
      <c r="R111" s="120">
        <v>46280</v>
      </c>
      <c r="S111" s="120">
        <v>47376</v>
      </c>
      <c r="T111" s="120">
        <v>48468</v>
      </c>
      <c r="U111" s="120">
        <v>49564</v>
      </c>
      <c r="V111" s="120">
        <v>50660</v>
      </c>
      <c r="W111" s="120">
        <v>51756</v>
      </c>
      <c r="X111" s="120">
        <v>52852</v>
      </c>
      <c r="Y111" s="120">
        <v>53948</v>
      </c>
      <c r="Z111" s="120">
        <v>55044</v>
      </c>
      <c r="AA111" s="120">
        <v>56140</v>
      </c>
      <c r="AB111" s="120">
        <v>57236</v>
      </c>
      <c r="AC111" s="120">
        <v>58332</v>
      </c>
      <c r="AD111" s="120">
        <v>59428</v>
      </c>
      <c r="AE111" s="120">
        <v>60524</v>
      </c>
      <c r="AF111" s="120">
        <v>61620</v>
      </c>
      <c r="AG111" s="120">
        <v>62716</v>
      </c>
      <c r="AH111" s="120">
        <v>63812</v>
      </c>
      <c r="AI111" s="120">
        <v>64908</v>
      </c>
      <c r="AJ111" s="120">
        <v>66004</v>
      </c>
      <c r="AK111" s="120">
        <v>67100</v>
      </c>
      <c r="AL111" s="120">
        <v>68196</v>
      </c>
      <c r="AM111" s="120">
        <v>69292</v>
      </c>
      <c r="AN111" s="120">
        <v>70388</v>
      </c>
      <c r="AO111" s="120">
        <v>71484</v>
      </c>
      <c r="AP111" s="120">
        <v>72580</v>
      </c>
      <c r="AQ111" s="120">
        <v>73676</v>
      </c>
      <c r="AR111" s="120">
        <v>74772</v>
      </c>
      <c r="AS111" s="120">
        <v>75868</v>
      </c>
      <c r="AT111" s="120"/>
      <c r="AU111" s="120"/>
      <c r="AV111" s="120"/>
      <c r="AW111" s="120"/>
      <c r="AX111" s="120"/>
      <c r="AY111" s="120"/>
      <c r="AZ111" s="120"/>
      <c r="BA111" s="120"/>
      <c r="BB111" s="120"/>
      <c r="BC111" s="120"/>
      <c r="BD111" s="120"/>
    </row>
    <row r="112" spans="2:56" ht="15" x14ac:dyDescent="0.25">
      <c r="B112" s="69"/>
      <c r="C112" s="69"/>
      <c r="D112" s="70">
        <v>46378</v>
      </c>
      <c r="E112" s="72"/>
      <c r="F112" s="72" t="s">
        <v>0</v>
      </c>
      <c r="G112" s="72" t="s">
        <v>0</v>
      </c>
      <c r="H112" s="72" t="s">
        <v>0</v>
      </c>
      <c r="I112" s="72" t="s">
        <v>0</v>
      </c>
      <c r="J112" s="72" t="s">
        <v>0</v>
      </c>
      <c r="K112" s="72" t="s">
        <v>3</v>
      </c>
      <c r="L112" s="72"/>
      <c r="M112" s="72" t="s">
        <v>0</v>
      </c>
      <c r="N112" s="72" t="s">
        <v>0</v>
      </c>
      <c r="O112" s="72" t="s">
        <v>0</v>
      </c>
      <c r="P112" s="72" t="s">
        <v>0</v>
      </c>
      <c r="Q112" s="72" t="s">
        <v>0</v>
      </c>
      <c r="R112" s="72" t="s">
        <v>0</v>
      </c>
      <c r="S112" s="72" t="s">
        <v>0</v>
      </c>
      <c r="T112" s="72" t="s">
        <v>0</v>
      </c>
      <c r="U112" s="72" t="s">
        <v>0</v>
      </c>
      <c r="V112" s="72" t="s">
        <v>0</v>
      </c>
      <c r="W112" s="72" t="s">
        <v>4</v>
      </c>
      <c r="X112" s="72" t="s">
        <v>4</v>
      </c>
      <c r="Y112" s="72" t="s">
        <v>4</v>
      </c>
      <c r="Z112" s="72" t="s">
        <v>4</v>
      </c>
      <c r="AA112" s="72" t="s">
        <v>4</v>
      </c>
      <c r="AB112" s="72" t="s">
        <v>4</v>
      </c>
      <c r="AC112" s="72" t="s">
        <v>4</v>
      </c>
      <c r="AD112" s="72" t="s">
        <v>4</v>
      </c>
      <c r="AE112" s="72" t="s">
        <v>4</v>
      </c>
      <c r="AF112" s="72" t="s">
        <v>4</v>
      </c>
      <c r="AG112" s="72" t="s">
        <v>4</v>
      </c>
      <c r="AH112" s="72" t="s">
        <v>4</v>
      </c>
      <c r="AI112" s="72" t="s">
        <v>4</v>
      </c>
      <c r="AJ112" s="72" t="s">
        <v>4</v>
      </c>
      <c r="AK112" s="72" t="s">
        <v>4</v>
      </c>
      <c r="AL112" s="72" t="s">
        <v>4</v>
      </c>
      <c r="AM112" s="72" t="s">
        <v>4</v>
      </c>
      <c r="AN112" s="72" t="s">
        <v>4</v>
      </c>
      <c r="AO112" s="72" t="s">
        <v>4</v>
      </c>
      <c r="AP112" s="72" t="s">
        <v>4</v>
      </c>
      <c r="AQ112" s="72" t="s">
        <v>4</v>
      </c>
      <c r="AR112" s="72" t="s">
        <v>4</v>
      </c>
      <c r="AS112" s="72" t="s">
        <v>4</v>
      </c>
      <c r="AT112" s="72" t="s">
        <v>4</v>
      </c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</row>
    <row r="113" spans="2:56" ht="15" x14ac:dyDescent="0.25">
      <c r="B113" s="69"/>
      <c r="C113" s="69"/>
      <c r="D113" s="73" t="s">
        <v>32</v>
      </c>
      <c r="E113" s="120">
        <v>1056</v>
      </c>
      <c r="F113" s="120">
        <v>1144</v>
      </c>
      <c r="G113" s="120">
        <v>1148</v>
      </c>
      <c r="H113" s="120">
        <v>1144</v>
      </c>
      <c r="I113" s="120">
        <v>1220</v>
      </c>
      <c r="J113" s="120">
        <v>1360</v>
      </c>
      <c r="K113" s="120">
        <v>1364</v>
      </c>
      <c r="L113" s="120">
        <v>2020</v>
      </c>
      <c r="M113" s="120">
        <v>0</v>
      </c>
      <c r="N113" s="120">
        <v>1096</v>
      </c>
      <c r="O113" s="120">
        <v>1096</v>
      </c>
      <c r="P113" s="120">
        <v>1092</v>
      </c>
      <c r="Q113" s="120">
        <v>1096</v>
      </c>
      <c r="R113" s="120">
        <v>1096</v>
      </c>
      <c r="S113" s="120">
        <v>1096</v>
      </c>
      <c r="T113" s="120">
        <v>1092</v>
      </c>
      <c r="U113" s="120">
        <v>1096</v>
      </c>
      <c r="V113" s="120">
        <v>1096</v>
      </c>
      <c r="W113" s="120">
        <v>1096</v>
      </c>
      <c r="X113" s="120">
        <v>1096</v>
      </c>
      <c r="Y113" s="120">
        <v>1096</v>
      </c>
      <c r="Z113" s="120">
        <v>1096</v>
      </c>
      <c r="AA113" s="120">
        <v>1096</v>
      </c>
      <c r="AB113" s="120">
        <v>1096</v>
      </c>
      <c r="AC113" s="120">
        <v>1096</v>
      </c>
      <c r="AD113" s="120">
        <v>1096</v>
      </c>
      <c r="AE113" s="120">
        <v>1096</v>
      </c>
      <c r="AF113" s="120">
        <v>1096</v>
      </c>
      <c r="AG113" s="120">
        <v>1096</v>
      </c>
      <c r="AH113" s="120">
        <v>1096</v>
      </c>
      <c r="AI113" s="120">
        <v>1096</v>
      </c>
      <c r="AJ113" s="120">
        <v>1096</v>
      </c>
      <c r="AK113" s="120">
        <v>1096</v>
      </c>
      <c r="AL113" s="120">
        <v>1096</v>
      </c>
      <c r="AM113" s="120">
        <v>1096</v>
      </c>
      <c r="AN113" s="120">
        <v>1096</v>
      </c>
      <c r="AO113" s="120">
        <v>1096</v>
      </c>
      <c r="AP113" s="120">
        <v>1096</v>
      </c>
      <c r="AQ113" s="120">
        <v>1096</v>
      </c>
      <c r="AR113" s="120">
        <v>1096</v>
      </c>
      <c r="AS113" s="120">
        <v>1096</v>
      </c>
      <c r="AT113" s="120"/>
      <c r="AU113" s="120"/>
      <c r="AV113" s="120"/>
      <c r="AW113" s="120"/>
      <c r="AX113" s="120"/>
      <c r="AY113" s="120"/>
      <c r="AZ113" s="120"/>
      <c r="BA113" s="120"/>
      <c r="BB113" s="120"/>
      <c r="BC113" s="120"/>
      <c r="BD113" s="120"/>
    </row>
    <row r="114" spans="2:56" ht="15" x14ac:dyDescent="0.25">
      <c r="B114" s="74"/>
      <c r="C114" s="74"/>
      <c r="D114" s="73" t="s">
        <v>33</v>
      </c>
      <c r="E114" s="120">
        <v>31404</v>
      </c>
      <c r="F114" s="120">
        <v>32548</v>
      </c>
      <c r="G114" s="120">
        <v>33696</v>
      </c>
      <c r="H114" s="120">
        <v>34840</v>
      </c>
      <c r="I114" s="120">
        <v>36060</v>
      </c>
      <c r="J114" s="120">
        <v>37420</v>
      </c>
      <c r="K114" s="120">
        <v>38784</v>
      </c>
      <c r="L114" s="120">
        <v>40804</v>
      </c>
      <c r="M114" s="120">
        <v>40804</v>
      </c>
      <c r="N114" s="120">
        <v>41900</v>
      </c>
      <c r="O114" s="120">
        <v>42996</v>
      </c>
      <c r="P114" s="120">
        <v>44088</v>
      </c>
      <c r="Q114" s="120">
        <v>45184</v>
      </c>
      <c r="R114" s="120">
        <v>46280</v>
      </c>
      <c r="S114" s="120">
        <v>47376</v>
      </c>
      <c r="T114" s="120">
        <v>48468</v>
      </c>
      <c r="U114" s="120">
        <v>49564</v>
      </c>
      <c r="V114" s="120">
        <v>50660</v>
      </c>
      <c r="W114" s="120">
        <v>51756</v>
      </c>
      <c r="X114" s="120">
        <v>52852</v>
      </c>
      <c r="Y114" s="120">
        <v>53948</v>
      </c>
      <c r="Z114" s="120">
        <v>55044</v>
      </c>
      <c r="AA114" s="120">
        <v>56140</v>
      </c>
      <c r="AB114" s="120">
        <v>57236</v>
      </c>
      <c r="AC114" s="120">
        <v>58332</v>
      </c>
      <c r="AD114" s="120">
        <v>59428</v>
      </c>
      <c r="AE114" s="120">
        <v>60524</v>
      </c>
      <c r="AF114" s="120">
        <v>61620</v>
      </c>
      <c r="AG114" s="120">
        <v>62716</v>
      </c>
      <c r="AH114" s="120">
        <v>63812</v>
      </c>
      <c r="AI114" s="120">
        <v>64908</v>
      </c>
      <c r="AJ114" s="120">
        <v>66004</v>
      </c>
      <c r="AK114" s="120">
        <v>67100</v>
      </c>
      <c r="AL114" s="120">
        <v>68196</v>
      </c>
      <c r="AM114" s="120">
        <v>69292</v>
      </c>
      <c r="AN114" s="120">
        <v>70388</v>
      </c>
      <c r="AO114" s="120">
        <v>71484</v>
      </c>
      <c r="AP114" s="120">
        <v>72580</v>
      </c>
      <c r="AQ114" s="120">
        <v>73676</v>
      </c>
      <c r="AR114" s="120">
        <v>74772</v>
      </c>
      <c r="AS114" s="120">
        <v>75868</v>
      </c>
      <c r="AT114" s="120"/>
      <c r="AU114" s="120"/>
      <c r="AV114" s="120"/>
      <c r="AW114" s="120"/>
      <c r="AX114" s="120"/>
      <c r="AY114" s="120"/>
      <c r="AZ114" s="120"/>
      <c r="BA114" s="120"/>
      <c r="BB114" s="120"/>
      <c r="BC114" s="120"/>
      <c r="BD114" s="120"/>
    </row>
    <row r="115" spans="2:56" ht="15" x14ac:dyDescent="0.25">
      <c r="B115" s="69"/>
      <c r="C115" s="69"/>
      <c r="D115" s="70">
        <v>46006</v>
      </c>
      <c r="E115" s="72" t="s">
        <v>0</v>
      </c>
      <c r="F115" s="72" t="s">
        <v>0</v>
      </c>
      <c r="G115" s="72" t="s">
        <v>0</v>
      </c>
      <c r="H115" s="72" t="s">
        <v>0</v>
      </c>
      <c r="I115" s="72" t="s">
        <v>0</v>
      </c>
      <c r="J115" s="72" t="s">
        <v>3</v>
      </c>
      <c r="K115" s="72"/>
      <c r="L115" s="72" t="s">
        <v>4</v>
      </c>
      <c r="M115" s="72" t="s">
        <v>0</v>
      </c>
      <c r="N115" s="72" t="s">
        <v>0</v>
      </c>
      <c r="O115" s="72" t="s">
        <v>0</v>
      </c>
      <c r="P115" s="72" t="s">
        <v>0</v>
      </c>
      <c r="Q115" s="72" t="s">
        <v>0</v>
      </c>
      <c r="R115" s="72" t="s">
        <v>0</v>
      </c>
      <c r="S115" s="72" t="s">
        <v>0</v>
      </c>
      <c r="T115" s="72" t="s">
        <v>0</v>
      </c>
      <c r="U115" s="72" t="s">
        <v>0</v>
      </c>
      <c r="V115" s="72" t="s">
        <v>0</v>
      </c>
      <c r="W115" s="72" t="s">
        <v>4</v>
      </c>
      <c r="X115" s="72" t="s">
        <v>4</v>
      </c>
      <c r="Y115" s="72" t="s">
        <v>4</v>
      </c>
      <c r="Z115" s="72" t="s">
        <v>4</v>
      </c>
      <c r="AA115" s="72" t="s">
        <v>4</v>
      </c>
      <c r="AB115" s="72" t="s">
        <v>4</v>
      </c>
      <c r="AC115" s="72" t="s">
        <v>4</v>
      </c>
      <c r="AD115" s="72" t="s">
        <v>4</v>
      </c>
      <c r="AE115" s="72" t="s">
        <v>4</v>
      </c>
      <c r="AF115" s="72" t="s">
        <v>4</v>
      </c>
      <c r="AG115" s="72" t="s">
        <v>4</v>
      </c>
      <c r="AH115" s="72" t="s">
        <v>4</v>
      </c>
      <c r="AI115" s="72" t="s">
        <v>4</v>
      </c>
      <c r="AJ115" s="72" t="s">
        <v>4</v>
      </c>
      <c r="AK115" s="72" t="s">
        <v>4</v>
      </c>
      <c r="AL115" s="72" t="s">
        <v>4</v>
      </c>
      <c r="AM115" s="72" t="s">
        <v>4</v>
      </c>
      <c r="AN115" s="72" t="s">
        <v>4</v>
      </c>
      <c r="AO115" s="72" t="s">
        <v>4</v>
      </c>
      <c r="AP115" s="72" t="s">
        <v>4</v>
      </c>
      <c r="AQ115" s="72" t="s">
        <v>4</v>
      </c>
      <c r="AR115" s="72" t="s">
        <v>4</v>
      </c>
      <c r="AS115" s="72" t="s">
        <v>4</v>
      </c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</row>
    <row r="116" spans="2:56" ht="15" x14ac:dyDescent="0.25">
      <c r="B116" s="69"/>
      <c r="C116" s="69"/>
      <c r="D116" s="73" t="s">
        <v>32</v>
      </c>
      <c r="E116" s="120">
        <v>1056</v>
      </c>
      <c r="F116" s="120">
        <v>1144</v>
      </c>
      <c r="G116" s="120">
        <v>1148</v>
      </c>
      <c r="H116" s="120">
        <v>1144</v>
      </c>
      <c r="I116" s="120">
        <v>1220</v>
      </c>
      <c r="J116" s="120">
        <v>1360</v>
      </c>
      <c r="K116" s="120">
        <v>1364</v>
      </c>
      <c r="L116" s="120">
        <v>2020</v>
      </c>
      <c r="M116" s="120">
        <v>0</v>
      </c>
      <c r="N116" s="120">
        <v>1096</v>
      </c>
      <c r="O116" s="120">
        <v>1096</v>
      </c>
      <c r="P116" s="120">
        <v>1092</v>
      </c>
      <c r="Q116" s="120">
        <v>1096</v>
      </c>
      <c r="R116" s="120">
        <v>1096</v>
      </c>
      <c r="S116" s="120">
        <v>1096</v>
      </c>
      <c r="T116" s="120">
        <v>1092</v>
      </c>
      <c r="U116" s="120">
        <v>1096</v>
      </c>
      <c r="V116" s="120">
        <v>1096</v>
      </c>
      <c r="W116" s="120">
        <v>1096</v>
      </c>
      <c r="X116" s="120">
        <v>1096</v>
      </c>
      <c r="Y116" s="120">
        <v>1096</v>
      </c>
      <c r="Z116" s="120">
        <v>1096</v>
      </c>
      <c r="AA116" s="120">
        <v>1096</v>
      </c>
      <c r="AB116" s="120">
        <v>1096</v>
      </c>
      <c r="AC116" s="120">
        <v>1096</v>
      </c>
      <c r="AD116" s="120">
        <v>1096</v>
      </c>
      <c r="AE116" s="120">
        <v>1096</v>
      </c>
      <c r="AF116" s="120">
        <v>1096</v>
      </c>
      <c r="AG116" s="120">
        <v>1096</v>
      </c>
      <c r="AH116" s="120">
        <v>1096</v>
      </c>
      <c r="AI116" s="120">
        <v>1096</v>
      </c>
      <c r="AJ116" s="120">
        <v>1096</v>
      </c>
      <c r="AK116" s="120">
        <v>1096</v>
      </c>
      <c r="AL116" s="120">
        <v>1096</v>
      </c>
      <c r="AM116" s="120">
        <v>1096</v>
      </c>
      <c r="AN116" s="120">
        <v>1096</v>
      </c>
      <c r="AO116" s="120">
        <v>1096</v>
      </c>
      <c r="AP116" s="120">
        <v>1096</v>
      </c>
      <c r="AQ116" s="120">
        <v>1096</v>
      </c>
      <c r="AR116" s="120">
        <v>1096</v>
      </c>
      <c r="AS116" s="120">
        <v>1096</v>
      </c>
      <c r="AT116" s="120"/>
      <c r="AU116" s="120"/>
      <c r="AV116" s="120"/>
      <c r="AW116" s="120"/>
      <c r="AX116" s="120"/>
      <c r="AY116" s="120"/>
      <c r="AZ116" s="120"/>
      <c r="BA116" s="120"/>
      <c r="BB116" s="120"/>
      <c r="BC116" s="120"/>
      <c r="BD116" s="120"/>
    </row>
    <row r="117" spans="2:56" ht="15" x14ac:dyDescent="0.25">
      <c r="B117" s="74"/>
      <c r="C117" s="74"/>
      <c r="D117" s="73" t="s">
        <v>33</v>
      </c>
      <c r="E117" s="120">
        <v>31404</v>
      </c>
      <c r="F117" s="120">
        <v>32548</v>
      </c>
      <c r="G117" s="120">
        <v>33696</v>
      </c>
      <c r="H117" s="120">
        <v>34840</v>
      </c>
      <c r="I117" s="120">
        <v>36060</v>
      </c>
      <c r="J117" s="120">
        <v>37420</v>
      </c>
      <c r="K117" s="120">
        <v>38784</v>
      </c>
      <c r="L117" s="120">
        <v>40804</v>
      </c>
      <c r="M117" s="120">
        <v>40804</v>
      </c>
      <c r="N117" s="120">
        <v>41900</v>
      </c>
      <c r="O117" s="120">
        <v>42996</v>
      </c>
      <c r="P117" s="120">
        <v>44088</v>
      </c>
      <c r="Q117" s="120">
        <v>45184</v>
      </c>
      <c r="R117" s="120">
        <v>46280</v>
      </c>
      <c r="S117" s="120">
        <v>47376</v>
      </c>
      <c r="T117" s="120">
        <v>48468</v>
      </c>
      <c r="U117" s="120">
        <v>49564</v>
      </c>
      <c r="V117" s="120">
        <v>50660</v>
      </c>
      <c r="W117" s="120">
        <v>51756</v>
      </c>
      <c r="X117" s="120">
        <v>52852</v>
      </c>
      <c r="Y117" s="120">
        <v>53948</v>
      </c>
      <c r="Z117" s="120">
        <v>55044</v>
      </c>
      <c r="AA117" s="120">
        <v>56140</v>
      </c>
      <c r="AB117" s="120">
        <v>57236</v>
      </c>
      <c r="AC117" s="120">
        <v>58332</v>
      </c>
      <c r="AD117" s="120">
        <v>59428</v>
      </c>
      <c r="AE117" s="120">
        <v>60524</v>
      </c>
      <c r="AF117" s="120">
        <v>61620</v>
      </c>
      <c r="AG117" s="120">
        <v>62716</v>
      </c>
      <c r="AH117" s="120">
        <v>63812</v>
      </c>
      <c r="AI117" s="120">
        <v>64908</v>
      </c>
      <c r="AJ117" s="120">
        <v>66004</v>
      </c>
      <c r="AK117" s="120">
        <v>67100</v>
      </c>
      <c r="AL117" s="120">
        <v>68196</v>
      </c>
      <c r="AM117" s="120">
        <v>69292</v>
      </c>
      <c r="AN117" s="120">
        <v>70388</v>
      </c>
      <c r="AO117" s="120">
        <v>71484</v>
      </c>
      <c r="AP117" s="120">
        <v>72580</v>
      </c>
      <c r="AQ117" s="120">
        <v>73676</v>
      </c>
      <c r="AR117" s="120">
        <v>74772</v>
      </c>
      <c r="AS117" s="120">
        <v>75868</v>
      </c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</row>
    <row r="118" spans="2:56" s="207" customFormat="1" ht="15" x14ac:dyDescent="0.25">
      <c r="B118" s="208"/>
      <c r="C118" s="208"/>
      <c r="D118" s="205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  <c r="AA118" s="206"/>
      <c r="AB118" s="206"/>
      <c r="AC118" s="206"/>
      <c r="AD118" s="206"/>
      <c r="AE118" s="206"/>
      <c r="AF118" s="206"/>
      <c r="AG118" s="206"/>
      <c r="AH118" s="206"/>
      <c r="AI118" s="206"/>
      <c r="AJ118" s="206"/>
      <c r="AK118" s="206"/>
      <c r="AL118" s="206"/>
      <c r="AM118" s="206"/>
      <c r="AN118" s="206"/>
      <c r="AO118" s="206"/>
      <c r="AP118" s="206"/>
      <c r="AQ118" s="206"/>
      <c r="AR118" s="206"/>
      <c r="AS118" s="206"/>
      <c r="AT118" s="206"/>
      <c r="AU118" s="206"/>
      <c r="AV118" s="206"/>
      <c r="AW118" s="206"/>
      <c r="AX118" s="206"/>
      <c r="AY118" s="206"/>
      <c r="AZ118" s="206"/>
      <c r="BA118" s="206"/>
      <c r="BB118" s="206"/>
      <c r="BC118" s="206"/>
      <c r="BD118" s="206"/>
    </row>
    <row r="130" spans="1:56" x14ac:dyDescent="0.2">
      <c r="H130" s="223"/>
    </row>
    <row r="131" spans="1:56" hidden="1" x14ac:dyDescent="0.2"/>
    <row r="132" spans="1:56" hidden="1" x14ac:dyDescent="0.2"/>
    <row r="133" spans="1:56" hidden="1" x14ac:dyDescent="0.2">
      <c r="A133" s="112"/>
      <c r="B133" s="113"/>
      <c r="C133" s="113"/>
      <c r="D133" s="113"/>
      <c r="E133" s="113" t="s">
        <v>0</v>
      </c>
      <c r="F133" s="113" t="s">
        <v>0</v>
      </c>
      <c r="G133" s="113" t="s">
        <v>0</v>
      </c>
      <c r="H133" s="113"/>
      <c r="I133" s="113" t="s">
        <v>0</v>
      </c>
      <c r="J133" s="113" t="s">
        <v>0</v>
      </c>
      <c r="K133" s="113" t="s">
        <v>0</v>
      </c>
      <c r="L133" s="114" t="s">
        <v>1</v>
      </c>
      <c r="M133" s="114" t="s">
        <v>2</v>
      </c>
      <c r="N133" s="114" t="s">
        <v>4</v>
      </c>
      <c r="O133" s="114" t="s">
        <v>0</v>
      </c>
      <c r="P133" s="114" t="s">
        <v>0</v>
      </c>
      <c r="Q133" s="114" t="s">
        <v>0</v>
      </c>
      <c r="R133" s="114" t="s">
        <v>0</v>
      </c>
      <c r="S133" s="114" t="s">
        <v>0</v>
      </c>
      <c r="T133" s="114" t="s">
        <v>0</v>
      </c>
      <c r="U133" s="114" t="s">
        <v>3</v>
      </c>
      <c r="V133" s="114" t="s">
        <v>0</v>
      </c>
      <c r="W133" s="114" t="s">
        <v>0</v>
      </c>
      <c r="X133" s="114" t="s">
        <v>0</v>
      </c>
      <c r="Y133" s="113" t="s">
        <v>0</v>
      </c>
      <c r="Z133" s="113" t="s">
        <v>0</v>
      </c>
      <c r="AA133" s="113" t="s">
        <v>0</v>
      </c>
      <c r="AB133" s="113" t="s">
        <v>0</v>
      </c>
      <c r="AC133" s="113" t="s">
        <v>0</v>
      </c>
      <c r="AD133" s="113" t="s">
        <v>0</v>
      </c>
      <c r="AE133" s="113" t="s">
        <v>0</v>
      </c>
      <c r="AF133" s="113" t="s">
        <v>0</v>
      </c>
      <c r="AG133" s="113" t="s">
        <v>0</v>
      </c>
      <c r="AH133" s="113" t="s">
        <v>4</v>
      </c>
      <c r="AI133" s="113"/>
      <c r="AJ133" s="113"/>
      <c r="AK133" s="113" t="s">
        <v>16</v>
      </c>
      <c r="AL133" s="113" t="s">
        <v>17</v>
      </c>
      <c r="AM133" s="113" t="s">
        <v>18</v>
      </c>
      <c r="AN133" s="113"/>
      <c r="AO133" s="113"/>
      <c r="AP133" s="113"/>
      <c r="AQ133" s="113"/>
      <c r="AR133" s="113"/>
      <c r="AS133" s="113"/>
      <c r="AT133" s="113"/>
      <c r="AU133" s="113"/>
      <c r="AV133" s="113"/>
      <c r="AW133" s="113"/>
      <c r="AX133" s="113"/>
      <c r="AY133" s="113"/>
      <c r="AZ133" s="113"/>
      <c r="BA133" s="113"/>
      <c r="BB133" s="113"/>
      <c r="BC133" s="113"/>
      <c r="BD133" s="113"/>
    </row>
    <row r="134" spans="1:56" hidden="1" x14ac:dyDescent="0.2">
      <c r="A134" s="28"/>
      <c r="B134" s="29" t="s">
        <v>112</v>
      </c>
      <c r="C134" s="115" t="s">
        <v>7</v>
      </c>
      <c r="D134" s="116"/>
      <c r="E134" s="111">
        <f>SUMIFS('Final SR'!J:J,'Final SR'!$E:$E,TOTALss!$B134,'Final SR'!$I:$I,'Final SR'!$I$12)</f>
        <v>0</v>
      </c>
      <c r="F134" s="111">
        <f>SUMIFS('Final SR'!K:K,'Final SR'!$E:$E,TOTALss!$B134,'Final SR'!$I:$I,'Final SR'!$I$12)</f>
        <v>0</v>
      </c>
      <c r="G134" s="111">
        <f>SUMIFS('Final SR'!L:L,'Final SR'!$E:$E,TOTALss!$B134,'Final SR'!$I:$I,'Final SR'!$I$12)</f>
        <v>0</v>
      </c>
      <c r="H134" s="111"/>
      <c r="I134" s="111">
        <f>SUMIFS('Final SR'!N:N,'Final SR'!$E:$E,TOTALss!$B134,'Final SR'!$I:$I,'Final SR'!$I$12)</f>
        <v>0</v>
      </c>
      <c r="J134" s="111">
        <f>SUMIFS('Final SR'!O:O,'Final SR'!$E:$E,TOTALss!$B134,'Final SR'!$I:$I,'Final SR'!$I$12)</f>
        <v>0</v>
      </c>
      <c r="K134" s="111">
        <f>SUMIFS('Final SR'!P:P,'Final SR'!$E:$E,TOTALss!$B134,'Final SR'!$I:$I,'Final SR'!$I$12)</f>
        <v>0</v>
      </c>
      <c r="L134" s="111">
        <f>SUMIFS('Final SR'!Q:Q,'Final SR'!$E:$E,TOTALss!$B134,'Final SR'!$I:$I,'Final SR'!$I$12)</f>
        <v>0</v>
      </c>
      <c r="M134" s="111">
        <f>SUMIFS('Final SR'!R:R,'Final SR'!$E:$E,TOTALss!$B134,'Final SR'!$I:$I,'Final SR'!$I$12)</f>
        <v>0</v>
      </c>
      <c r="N134" s="111">
        <f>SUMIFS('Final SR'!S:S,'Final SR'!$E:$E,TOTALss!$B134,'Final SR'!$I:$I,'Final SR'!$I$12)</f>
        <v>0</v>
      </c>
      <c r="O134" s="111">
        <f>SUMIFS('Final SR'!T:T,'Final SR'!$E:$E,TOTALss!$B134,'Final SR'!$I:$I,'Final SR'!$I$12)</f>
        <v>0</v>
      </c>
      <c r="P134" s="111">
        <f>SUMIFS('Final SR'!U:U,'Final SR'!$E:$E,TOTALss!$B134,'Final SR'!$I:$I,'Final SR'!$I$12)</f>
        <v>0</v>
      </c>
      <c r="Q134" s="111">
        <f>SUMIFS('Final SR'!V:V,'Final SR'!$E:$E,TOTALss!$B134,'Final SR'!$I:$I,'Final SR'!$I$12)</f>
        <v>0</v>
      </c>
      <c r="R134" s="111">
        <f>SUMIFS('Final SR'!W:W,'Final SR'!$E:$E,TOTALss!$B134,'Final SR'!$I:$I,'Final SR'!$I$12)</f>
        <v>0</v>
      </c>
      <c r="S134" s="111">
        <f>SUMIFS('Final SR'!X:X,'Final SR'!$E:$E,TOTALss!$B134,'Final SR'!$I:$I,'Final SR'!$I$12)</f>
        <v>0</v>
      </c>
      <c r="T134" s="111">
        <f>SUMIFS('Final SR'!Y:Y,'Final SR'!$E:$E,TOTALss!$B134,'Final SR'!$I:$I,'Final SR'!$I$12)</f>
        <v>0</v>
      </c>
      <c r="U134" s="111">
        <f>SUMIFS('Final SR'!Z:Z,'Final SR'!$E:$E,TOTALss!$B134,'Final SR'!$I:$I,'Final SR'!$I$12)</f>
        <v>0</v>
      </c>
      <c r="V134" s="111">
        <f>SUMIFS('Final SR'!AA:AA,'Final SR'!$E:$E,TOTALss!$B134,'Final SR'!$I:$I,'Final SR'!$I$12)</f>
        <v>0</v>
      </c>
      <c r="W134" s="111">
        <f>SUMIFS('Final SR'!AB:AB,'Final SR'!$E:$E,TOTALss!$B134,'Final SR'!$I:$I,'Final SR'!$I$12)</f>
        <v>0</v>
      </c>
      <c r="X134" s="111">
        <f>SUMIFS('Final SR'!AC:AC,'Final SR'!$E:$E,TOTALss!$B134,'Final SR'!$I:$I,'Final SR'!$I$12)</f>
        <v>0</v>
      </c>
      <c r="Y134" s="111">
        <f>SUMIFS('Final SR'!AD:AD,'Final SR'!$E:$E,TOTALss!$B134,'Final SR'!$I:$I,'Final SR'!$I$12)</f>
        <v>0</v>
      </c>
      <c r="Z134" s="111">
        <f>SUMIFS('Final SR'!AE:AE,'Final SR'!$E:$E,TOTALss!$B134,'Final SR'!$I:$I,'Final SR'!$I$12)</f>
        <v>0</v>
      </c>
      <c r="AA134" s="111">
        <f>SUMIFS('Final SR'!AF:AF,'Final SR'!$E:$E,TOTALss!$B134,'Final SR'!$I:$I,'Final SR'!$I$12)</f>
        <v>0</v>
      </c>
      <c r="AB134" s="111">
        <f>SUMIFS('Final SR'!AG:AG,'Final SR'!$E:$E,TOTALss!$B134,'Final SR'!$I:$I,'Final SR'!$I$12)</f>
        <v>0</v>
      </c>
      <c r="AC134" s="111">
        <f>SUMIFS('Final SR'!AH:AH,'Final SR'!$E:$E,TOTALss!$B134,'Final SR'!$I:$I,'Final SR'!$I$12)</f>
        <v>0</v>
      </c>
      <c r="AD134" s="111">
        <f>SUMIFS('Final SR'!AI:AI,'Final SR'!$E:$E,TOTALss!$B134,'Final SR'!$I:$I,'Final SR'!$I$12)</f>
        <v>0</v>
      </c>
      <c r="AE134" s="111">
        <f>SUMIFS('Final SR'!AJ:AJ,'Final SR'!$E:$E,TOTALss!$B134,'Final SR'!$I:$I,'Final SR'!$I$12)</f>
        <v>0</v>
      </c>
      <c r="AF134" s="111">
        <f>SUMIFS('Final SR'!AK:AK,'Final SR'!$E:$E,TOTALss!$B134,'Final SR'!$I:$I,'Final SR'!$I$12)</f>
        <v>0</v>
      </c>
      <c r="AG134" s="111">
        <f>SUMIFS('Final SR'!AL:AL,'Final SR'!$E:$E,TOTALss!$B134,'Final SR'!$I:$I,'Final SR'!$I$12)</f>
        <v>0</v>
      </c>
      <c r="AH134" s="111">
        <f>SUMIFS('Final SR'!AM:AM,'Final SR'!$E:$E,TOTALss!$B134,'Final SR'!$I:$I,'Final SR'!$I$12)</f>
        <v>0</v>
      </c>
      <c r="AI134" s="111"/>
      <c r="AJ134" s="111">
        <f>SUM(M134:AH134)</f>
        <v>0</v>
      </c>
      <c r="AK134" s="111">
        <v>1300</v>
      </c>
      <c r="AL134" s="111">
        <v>1300</v>
      </c>
      <c r="AM134" s="111">
        <v>1600</v>
      </c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</row>
    <row r="135" spans="1:56" hidden="1" x14ac:dyDescent="0.2">
      <c r="A135" s="30"/>
      <c r="B135" s="29"/>
      <c r="C135" s="115" t="s">
        <v>19</v>
      </c>
      <c r="D135" s="31"/>
      <c r="E135" s="111">
        <f>SUMIFS('Final SR'!J:J,'Final SR'!$E:$E,TOTALss!$B134,'Final SR'!$I:$I,'Final SR'!$I$13)</f>
        <v>0</v>
      </c>
      <c r="F135" s="111">
        <f t="shared" ref="F135" si="293">+F134+E135</f>
        <v>0</v>
      </c>
      <c r="G135" s="111">
        <f t="shared" ref="G135" si="294">+G134+F135</f>
        <v>0</v>
      </c>
      <c r="H135" s="111"/>
      <c r="I135" s="111">
        <f t="shared" ref="I135" si="295">+I134+H135</f>
        <v>0</v>
      </c>
      <c r="J135" s="111">
        <f t="shared" ref="J135" si="296">+J134+I135</f>
        <v>0</v>
      </c>
      <c r="K135" s="111">
        <f t="shared" ref="K135" si="297">+K134+J135</f>
        <v>0</v>
      </c>
      <c r="L135" s="111">
        <f t="shared" ref="L135" si="298">+L134+K135</f>
        <v>0</v>
      </c>
      <c r="M135" s="111">
        <f t="shared" ref="M135" si="299">+M134+L135</f>
        <v>0</v>
      </c>
      <c r="N135" s="111">
        <f t="shared" ref="N135" si="300">+N134+M135</f>
        <v>0</v>
      </c>
      <c r="O135" s="111">
        <f t="shared" ref="O135" si="301">+O134+N135</f>
        <v>0</v>
      </c>
      <c r="P135" s="111">
        <f t="shared" ref="P135" si="302">+P134+O135</f>
        <v>0</v>
      </c>
      <c r="Q135" s="111">
        <f t="shared" ref="Q135" si="303">+Q134+P135</f>
        <v>0</v>
      </c>
      <c r="R135" s="111">
        <f t="shared" ref="R135" si="304">+R134+Q135</f>
        <v>0</v>
      </c>
      <c r="S135" s="111">
        <f t="shared" ref="S135" si="305">+S134+R135</f>
        <v>0</v>
      </c>
      <c r="T135" s="111">
        <f t="shared" ref="T135" si="306">+T134+S135</f>
        <v>0</v>
      </c>
      <c r="U135" s="111">
        <f t="shared" ref="U135" si="307">+U134+T135</f>
        <v>0</v>
      </c>
      <c r="V135" s="111">
        <f t="shared" ref="V135" si="308">+V134+U135</f>
        <v>0</v>
      </c>
      <c r="W135" s="111">
        <f t="shared" ref="W135" si="309">+W134+V135</f>
        <v>0</v>
      </c>
      <c r="X135" s="111">
        <f t="shared" ref="X135" si="310">+X134+W135</f>
        <v>0</v>
      </c>
      <c r="Y135" s="111">
        <f t="shared" ref="Y135" si="311">+Y134+X135</f>
        <v>0</v>
      </c>
      <c r="Z135" s="111">
        <f t="shared" ref="Z135" si="312">+Z134+Y135</f>
        <v>0</v>
      </c>
      <c r="AA135" s="111">
        <f t="shared" ref="AA135" si="313">+AA134+Z135</f>
        <v>0</v>
      </c>
      <c r="AB135" s="111">
        <f t="shared" ref="AB135" si="314">+AB134+AA135</f>
        <v>0</v>
      </c>
      <c r="AC135" s="111">
        <f t="shared" ref="AC135" si="315">+AC134+AB135</f>
        <v>0</v>
      </c>
      <c r="AD135" s="111">
        <f t="shared" ref="AD135" si="316">+AD134+AC135</f>
        <v>0</v>
      </c>
      <c r="AE135" s="111">
        <f t="shared" ref="AE135" si="317">+AE134+AD135</f>
        <v>0</v>
      </c>
      <c r="AF135" s="111">
        <f t="shared" ref="AF135" si="318">+AF134+AE135</f>
        <v>0</v>
      </c>
      <c r="AG135" s="111">
        <f t="shared" ref="AG135" si="319">+AG134+AF135</f>
        <v>0</v>
      </c>
      <c r="AH135" s="111">
        <f t="shared" ref="AH135" si="320">+AH134+AG135</f>
        <v>0</v>
      </c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</row>
    <row r="136" spans="1:56" ht="13.5" hidden="1" thickBot="1" x14ac:dyDescent="0.25">
      <c r="A136" s="32"/>
      <c r="B136" s="33"/>
      <c r="C136" s="34" t="s">
        <v>20</v>
      </c>
      <c r="D136" s="35"/>
      <c r="E136" s="36">
        <v>0</v>
      </c>
      <c r="F136" s="36">
        <v>0</v>
      </c>
      <c r="G136" s="36">
        <v>0</v>
      </c>
      <c r="H136" s="36"/>
      <c r="I136" s="36">
        <v>0</v>
      </c>
      <c r="J136" s="36">
        <v>0</v>
      </c>
      <c r="K136" s="36">
        <v>0</v>
      </c>
      <c r="L136" s="36">
        <v>0</v>
      </c>
      <c r="M136" s="36">
        <v>0</v>
      </c>
      <c r="N136" s="36">
        <v>0</v>
      </c>
      <c r="O136" s="36">
        <v>0</v>
      </c>
      <c r="P136" s="36">
        <v>0</v>
      </c>
      <c r="Q136" s="36">
        <v>0</v>
      </c>
      <c r="R136" s="36">
        <v>0</v>
      </c>
      <c r="S136" s="36">
        <v>0</v>
      </c>
      <c r="T136" s="36">
        <v>0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  <c r="AB136" s="36">
        <v>0</v>
      </c>
      <c r="AC136" s="36">
        <v>0</v>
      </c>
      <c r="AD136" s="36">
        <v>0</v>
      </c>
      <c r="AE136" s="36">
        <v>0</v>
      </c>
      <c r="AF136" s="36">
        <v>0</v>
      </c>
      <c r="AG136" s="36">
        <v>0</v>
      </c>
      <c r="AH136" s="36">
        <v>0</v>
      </c>
      <c r="AI136" s="36"/>
      <c r="AJ136" s="36">
        <f>SUM(M136:AH136)</f>
        <v>0</v>
      </c>
      <c r="AK136" s="36" t="b">
        <f>AJ134=AJ136</f>
        <v>1</v>
      </c>
      <c r="AL136" s="36">
        <v>7557</v>
      </c>
      <c r="AM136" s="36">
        <v>9204</v>
      </c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</row>
    <row r="137" spans="1:56" ht="13.5" hidden="1" thickBot="1" x14ac:dyDescent="0.25">
      <c r="A137" s="37"/>
      <c r="B137" s="33"/>
      <c r="C137" s="34" t="s">
        <v>21</v>
      </c>
      <c r="D137" s="35"/>
      <c r="E137" s="36">
        <v>0</v>
      </c>
      <c r="F137" s="36">
        <v>0</v>
      </c>
      <c r="G137" s="36">
        <v>0</v>
      </c>
      <c r="H137" s="36"/>
      <c r="I137" s="36">
        <v>0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6">
        <v>0</v>
      </c>
      <c r="R137" s="36">
        <v>0</v>
      </c>
      <c r="S137" s="36">
        <v>0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  <c r="AB137" s="36">
        <v>0</v>
      </c>
      <c r="AC137" s="36">
        <v>0</v>
      </c>
      <c r="AD137" s="36">
        <v>0</v>
      </c>
      <c r="AE137" s="36">
        <v>0</v>
      </c>
      <c r="AF137" s="36">
        <v>0</v>
      </c>
      <c r="AG137" s="36">
        <v>0</v>
      </c>
      <c r="AH137" s="36">
        <v>0</v>
      </c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</row>
    <row r="138" spans="1:56" hidden="1" x14ac:dyDescent="0.2">
      <c r="A138" s="37"/>
      <c r="B138" s="37"/>
      <c r="C138" s="38"/>
      <c r="D138" s="39"/>
      <c r="E138" s="38"/>
      <c r="F138" s="38"/>
      <c r="G138" s="38"/>
      <c r="H138" s="38"/>
      <c r="I138" s="38"/>
      <c r="J138" s="40" t="s">
        <v>22</v>
      </c>
      <c r="K138" s="41"/>
      <c r="L138" s="40">
        <f>+L134-L136</f>
        <v>0</v>
      </c>
      <c r="M138" s="40">
        <f t="shared" ref="M138:N138" si="321">+M134-M136</f>
        <v>0</v>
      </c>
      <c r="N138" s="40">
        <f t="shared" si="321"/>
        <v>0</v>
      </c>
      <c r="O138" s="40">
        <f>+O134-O136</f>
        <v>0</v>
      </c>
      <c r="P138" s="40">
        <f t="shared" ref="P138:AH138" si="322">+P134-P136</f>
        <v>0</v>
      </c>
      <c r="Q138" s="40">
        <f t="shared" si="322"/>
        <v>0</v>
      </c>
      <c r="R138" s="40">
        <f t="shared" si="322"/>
        <v>0</v>
      </c>
      <c r="S138" s="40">
        <f t="shared" si="322"/>
        <v>0</v>
      </c>
      <c r="T138" s="40">
        <f t="shared" si="322"/>
        <v>0</v>
      </c>
      <c r="U138" s="40">
        <f t="shared" si="322"/>
        <v>0</v>
      </c>
      <c r="V138" s="40">
        <f t="shared" si="322"/>
        <v>0</v>
      </c>
      <c r="W138" s="40">
        <f t="shared" si="322"/>
        <v>0</v>
      </c>
      <c r="X138" s="40">
        <f t="shared" si="322"/>
        <v>0</v>
      </c>
      <c r="Y138" s="40">
        <f t="shared" si="322"/>
        <v>0</v>
      </c>
      <c r="Z138" s="40">
        <f t="shared" si="322"/>
        <v>0</v>
      </c>
      <c r="AA138" s="40">
        <f t="shared" si="322"/>
        <v>0</v>
      </c>
      <c r="AB138" s="40">
        <f t="shared" si="322"/>
        <v>0</v>
      </c>
      <c r="AC138" s="40">
        <f t="shared" si="322"/>
        <v>0</v>
      </c>
      <c r="AD138" s="40">
        <f t="shared" si="322"/>
        <v>0</v>
      </c>
      <c r="AE138" s="40">
        <f t="shared" si="322"/>
        <v>0</v>
      </c>
      <c r="AF138" s="40">
        <f t="shared" si="322"/>
        <v>0</v>
      </c>
      <c r="AG138" s="40">
        <f t="shared" si="322"/>
        <v>0</v>
      </c>
      <c r="AH138" s="40">
        <f t="shared" si="322"/>
        <v>0</v>
      </c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</row>
    <row r="139" spans="1:56" hidden="1" x14ac:dyDescent="0.2">
      <c r="A139" s="37"/>
      <c r="B139" s="37"/>
      <c r="C139" s="38"/>
      <c r="D139" s="39"/>
      <c r="E139" s="38"/>
      <c r="F139" s="38"/>
      <c r="G139" s="38"/>
      <c r="H139" s="38"/>
      <c r="I139" s="38"/>
      <c r="J139" s="40" t="s">
        <v>23</v>
      </c>
      <c r="K139" s="41"/>
      <c r="L139" s="40">
        <f>+L138</f>
        <v>0</v>
      </c>
      <c r="M139" s="40">
        <f>+M138+L139</f>
        <v>0</v>
      </c>
      <c r="N139" s="40">
        <f>+N138+M139</f>
        <v>0</v>
      </c>
      <c r="O139" s="40">
        <f t="shared" ref="O139" si="323">+O138+N139</f>
        <v>0</v>
      </c>
      <c r="P139" s="40">
        <f t="shared" ref="P139" si="324">+P138+O139</f>
        <v>0</v>
      </c>
      <c r="Q139" s="40">
        <f t="shared" ref="Q139" si="325">+Q138+P139</f>
        <v>0</v>
      </c>
      <c r="R139" s="40">
        <f t="shared" ref="R139" si="326">+R138+Q139</f>
        <v>0</v>
      </c>
      <c r="S139" s="40">
        <f t="shared" ref="S139" si="327">+S138+R139</f>
        <v>0</v>
      </c>
      <c r="T139" s="40">
        <f t="shared" ref="T139" si="328">+T138+S139</f>
        <v>0</v>
      </c>
      <c r="U139" s="40">
        <f t="shared" ref="U139" si="329">+U138+T139</f>
        <v>0</v>
      </c>
      <c r="V139" s="40">
        <f t="shared" ref="V139" si="330">+V138+U139</f>
        <v>0</v>
      </c>
      <c r="W139" s="40">
        <f t="shared" ref="W139" si="331">+W138+V139</f>
        <v>0</v>
      </c>
      <c r="X139" s="40">
        <f t="shared" ref="X139" si="332">+X138+W139</f>
        <v>0</v>
      </c>
      <c r="Y139" s="40">
        <f t="shared" ref="Y139" si="333">+Y138+X139</f>
        <v>0</v>
      </c>
      <c r="Z139" s="40">
        <f t="shared" ref="Z139" si="334">+Z138+Y139</f>
        <v>0</v>
      </c>
      <c r="AA139" s="40">
        <f t="shared" ref="AA139" si="335">+AA138+Z139</f>
        <v>0</v>
      </c>
      <c r="AB139" s="40">
        <f t="shared" ref="AB139" si="336">+AB138+AA139</f>
        <v>0</v>
      </c>
      <c r="AC139" s="40">
        <f t="shared" ref="AC139" si="337">+AC138+AB139</f>
        <v>0</v>
      </c>
      <c r="AD139" s="40">
        <f t="shared" ref="AD139" si="338">+AD138+AC139</f>
        <v>0</v>
      </c>
      <c r="AE139" s="40">
        <f t="shared" ref="AE139" si="339">+AE138+AD139</f>
        <v>0</v>
      </c>
      <c r="AF139" s="40">
        <f t="shared" ref="AF139" si="340">+AF138+AE139</f>
        <v>0</v>
      </c>
      <c r="AG139" s="40">
        <f t="shared" ref="AG139" si="341">+AG138+AF139</f>
        <v>0</v>
      </c>
      <c r="AH139" s="40">
        <f t="shared" ref="AH139" si="342">+AH138+AG139</f>
        <v>0</v>
      </c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</row>
    <row r="140" spans="1:56" hidden="1" x14ac:dyDescent="0.2">
      <c r="A140" s="37"/>
      <c r="B140" s="37"/>
      <c r="C140" s="38"/>
      <c r="D140" s="39"/>
      <c r="E140" s="38"/>
      <c r="F140" s="38"/>
      <c r="G140" s="38"/>
      <c r="H140" s="38"/>
      <c r="I140" s="38"/>
      <c r="J140" s="40" t="s">
        <v>24</v>
      </c>
      <c r="K140" s="40">
        <v>665</v>
      </c>
      <c r="L140" s="42" t="e">
        <f>+L139/#REF!</f>
        <v>#REF!</v>
      </c>
      <c r="M140" s="42" t="e">
        <f>+M139/#REF!</f>
        <v>#REF!</v>
      </c>
      <c r="N140" s="42" t="e">
        <f>+N139/#REF!</f>
        <v>#REF!</v>
      </c>
      <c r="O140" s="42" t="e">
        <f>+O139/#REF!</f>
        <v>#REF!</v>
      </c>
      <c r="P140" s="42" t="e">
        <f>+P139/#REF!</f>
        <v>#REF!</v>
      </c>
      <c r="Q140" s="42" t="e">
        <f>+Q139/#REF!</f>
        <v>#REF!</v>
      </c>
      <c r="R140" s="42" t="e">
        <f>+R139/#REF!</f>
        <v>#REF!</v>
      </c>
      <c r="S140" s="42" t="e">
        <f>+S139/#REF!</f>
        <v>#REF!</v>
      </c>
      <c r="T140" s="42" t="e">
        <f>+T139/#REF!</f>
        <v>#REF!</v>
      </c>
      <c r="U140" s="42" t="e">
        <f>+U139/#REF!</f>
        <v>#REF!</v>
      </c>
      <c r="V140" s="42" t="e">
        <f>+V139/#REF!</f>
        <v>#REF!</v>
      </c>
      <c r="W140" s="42" t="e">
        <f>+W139/#REF!</f>
        <v>#REF!</v>
      </c>
      <c r="X140" s="42" t="e">
        <f>+X139/#REF!</f>
        <v>#REF!</v>
      </c>
      <c r="Y140" s="42" t="e">
        <f>+Y139/#REF!</f>
        <v>#REF!</v>
      </c>
      <c r="Z140" s="42" t="e">
        <f>+Z139/#REF!</f>
        <v>#REF!</v>
      </c>
      <c r="AA140" s="42" t="e">
        <f>+AA139/#REF!</f>
        <v>#REF!</v>
      </c>
      <c r="AB140" s="42" t="e">
        <f>+AB139/#REF!</f>
        <v>#REF!</v>
      </c>
      <c r="AC140" s="42" t="e">
        <f>+AC139/#REF!</f>
        <v>#REF!</v>
      </c>
      <c r="AD140" s="42" t="e">
        <f>+AD139/#REF!</f>
        <v>#REF!</v>
      </c>
      <c r="AE140" s="42" t="e">
        <f>+AE139/#REF!</f>
        <v>#REF!</v>
      </c>
      <c r="AF140" s="42" t="e">
        <f>+AF139/#REF!</f>
        <v>#REF!</v>
      </c>
      <c r="AG140" s="42" t="e">
        <f>+AG139/#REF!</f>
        <v>#REF!</v>
      </c>
      <c r="AH140" s="42" t="e">
        <f>+AH139/#REF!</f>
        <v>#REF!</v>
      </c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</row>
    <row r="141" spans="1:56" hidden="1" x14ac:dyDescent="0.2">
      <c r="A141" s="37"/>
      <c r="B141" s="37"/>
      <c r="C141" s="38"/>
      <c r="D141" s="39"/>
      <c r="E141" s="38"/>
      <c r="F141" s="38"/>
      <c r="G141" s="38"/>
      <c r="H141" s="38"/>
      <c r="I141" s="38"/>
      <c r="J141" s="40" t="s">
        <v>25</v>
      </c>
      <c r="K141" s="40"/>
      <c r="L141" s="64">
        <f>L139*76</f>
        <v>0</v>
      </c>
      <c r="M141" s="64">
        <f t="shared" ref="M141:AH141" si="343">M139*76</f>
        <v>0</v>
      </c>
      <c r="N141" s="64">
        <f t="shared" si="343"/>
        <v>0</v>
      </c>
      <c r="O141" s="64">
        <f t="shared" si="343"/>
        <v>0</v>
      </c>
      <c r="P141" s="64">
        <f t="shared" si="343"/>
        <v>0</v>
      </c>
      <c r="Q141" s="64">
        <f t="shared" si="343"/>
        <v>0</v>
      </c>
      <c r="R141" s="64">
        <f t="shared" si="343"/>
        <v>0</v>
      </c>
      <c r="S141" s="64">
        <f t="shared" si="343"/>
        <v>0</v>
      </c>
      <c r="T141" s="64">
        <f t="shared" si="343"/>
        <v>0</v>
      </c>
      <c r="U141" s="64">
        <f t="shared" si="343"/>
        <v>0</v>
      </c>
      <c r="V141" s="64">
        <f t="shared" si="343"/>
        <v>0</v>
      </c>
      <c r="W141" s="64">
        <f t="shared" si="343"/>
        <v>0</v>
      </c>
      <c r="X141" s="64">
        <f t="shared" si="343"/>
        <v>0</v>
      </c>
      <c r="Y141" s="64">
        <f t="shared" si="343"/>
        <v>0</v>
      </c>
      <c r="Z141" s="64">
        <f t="shared" si="343"/>
        <v>0</v>
      </c>
      <c r="AA141" s="64">
        <f t="shared" si="343"/>
        <v>0</v>
      </c>
      <c r="AB141" s="64">
        <f t="shared" si="343"/>
        <v>0</v>
      </c>
      <c r="AC141" s="64">
        <f t="shared" si="343"/>
        <v>0</v>
      </c>
      <c r="AD141" s="64">
        <f t="shared" si="343"/>
        <v>0</v>
      </c>
      <c r="AE141" s="64">
        <f t="shared" si="343"/>
        <v>0</v>
      </c>
      <c r="AF141" s="64">
        <f t="shared" si="343"/>
        <v>0</v>
      </c>
      <c r="AG141" s="64">
        <f t="shared" si="343"/>
        <v>0</v>
      </c>
      <c r="AH141" s="64">
        <f t="shared" si="343"/>
        <v>0</v>
      </c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</row>
    <row r="142" spans="1:56" hidden="1" x14ac:dyDescent="0.2">
      <c r="B142" s="43"/>
      <c r="C142" s="55"/>
      <c r="D142" s="56" t="s">
        <v>26</v>
      </c>
      <c r="E142" s="57"/>
      <c r="F142" s="58"/>
      <c r="G142" s="58"/>
      <c r="H142" s="58"/>
      <c r="I142" s="58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</row>
    <row r="143" spans="1:56" hidden="1" x14ac:dyDescent="0.2">
      <c r="A143" s="37"/>
      <c r="B143" s="59"/>
      <c r="C143" s="55"/>
      <c r="D143" s="56" t="s">
        <v>27</v>
      </c>
      <c r="E143" s="55"/>
      <c r="F143" s="55"/>
      <c r="G143" s="55"/>
      <c r="H143" s="55"/>
      <c r="I143" s="55"/>
      <c r="J143" s="62">
        <v>650</v>
      </c>
      <c r="K143" s="62">
        <v>650</v>
      </c>
      <c r="L143" s="62">
        <v>650</v>
      </c>
      <c r="M143" s="62">
        <v>650</v>
      </c>
      <c r="N143" s="62">
        <v>650</v>
      </c>
      <c r="O143" s="62">
        <v>650</v>
      </c>
      <c r="P143" s="62">
        <v>650</v>
      </c>
      <c r="Q143" s="62">
        <v>650</v>
      </c>
      <c r="R143" s="62">
        <v>650</v>
      </c>
      <c r="S143" s="62">
        <v>650</v>
      </c>
      <c r="T143" s="62">
        <v>650</v>
      </c>
      <c r="U143" s="62">
        <v>650</v>
      </c>
      <c r="V143" s="62">
        <v>650</v>
      </c>
      <c r="W143" s="62">
        <v>650</v>
      </c>
      <c r="X143" s="62">
        <v>650</v>
      </c>
      <c r="Y143" s="62">
        <v>650</v>
      </c>
      <c r="Z143" s="62">
        <v>650</v>
      </c>
      <c r="AA143" s="62">
        <v>650</v>
      </c>
      <c r="AB143" s="62">
        <v>650</v>
      </c>
      <c r="AC143" s="62">
        <v>650</v>
      </c>
      <c r="AD143" s="62">
        <v>650</v>
      </c>
      <c r="AE143" s="62">
        <v>650</v>
      </c>
      <c r="AF143" s="62">
        <v>650</v>
      </c>
      <c r="AG143" s="62">
        <v>650</v>
      </c>
      <c r="AH143" s="62">
        <v>650</v>
      </c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</row>
    <row r="144" spans="1:56" hidden="1" x14ac:dyDescent="0.2">
      <c r="A144" s="37"/>
      <c r="B144" s="59"/>
      <c r="C144" s="55"/>
      <c r="D144" s="56" t="s">
        <v>26</v>
      </c>
      <c r="E144" s="55"/>
      <c r="F144" s="55"/>
      <c r="G144" s="55"/>
      <c r="H144" s="55"/>
      <c r="I144" s="55"/>
      <c r="J144" s="62">
        <f>IFERROR(HLOOKUP(#REF!,[2]EMI!$D$5:$AA$19,13,FALSE),0)</f>
        <v>0</v>
      </c>
      <c r="K144" s="62">
        <f>IFERROR(HLOOKUP(#REF!,[2]EMI!$D$5:$AA$19,13,FALSE),0)</f>
        <v>0</v>
      </c>
      <c r="L144" s="62">
        <f>IFERROR(HLOOKUP(#REF!,[2]EMI!$D$5:$AA$19,13,FALSE),0)</f>
        <v>0</v>
      </c>
      <c r="M144" s="62">
        <f>IFERROR(HLOOKUP(#REF!,[2]EMI!$D$5:$AA$19,13,FALSE),0)</f>
        <v>0</v>
      </c>
      <c r="N144" s="62">
        <f>IFERROR(HLOOKUP(#REF!,[2]EMI!$D$5:$AA$19,13,FALSE),0)</f>
        <v>0</v>
      </c>
      <c r="O144" s="62">
        <f>IFERROR(HLOOKUP(#REF!,[2]EMI!$D$5:$AA$19,13,FALSE),0)</f>
        <v>0</v>
      </c>
      <c r="P144" s="62">
        <f>IFERROR(HLOOKUP(#REF!,[2]EMI!$D$5:$AA$19,13,FALSE),0)</f>
        <v>0</v>
      </c>
      <c r="Q144" s="62">
        <f>IFERROR(HLOOKUP(#REF!,[2]EMI!$D$5:$AA$19,13,FALSE),0)</f>
        <v>0</v>
      </c>
      <c r="R144" s="62">
        <f>IFERROR(HLOOKUP(#REF!,[2]EMI!$D$5:$AA$19,13,FALSE),0)</f>
        <v>0</v>
      </c>
      <c r="S144" s="62">
        <f>IFERROR(HLOOKUP(#REF!,[2]EMI!$D$5:$AA$19,13,FALSE),0)</f>
        <v>0</v>
      </c>
      <c r="T144" s="62">
        <f>IFERROR(HLOOKUP(#REF!,[2]EMI!$D$5:$AA$19,13,FALSE),0)</f>
        <v>0</v>
      </c>
      <c r="U144" s="62">
        <f>IFERROR(HLOOKUP(#REF!,[2]EMI!$D$5:$AA$19,13,FALSE),0)</f>
        <v>0</v>
      </c>
      <c r="V144" s="62">
        <f>IFERROR(HLOOKUP(#REF!,[2]EMI!$D$5:$AA$19,13,FALSE),0)</f>
        <v>0</v>
      </c>
      <c r="W144" s="62">
        <f>IFERROR(HLOOKUP(#REF!,[2]EMI!$D$5:$AA$19,13,FALSE),0)</f>
        <v>0</v>
      </c>
      <c r="X144" s="62">
        <f>IFERROR(HLOOKUP(#REF!,[2]EMI!$D$5:$AA$19,13,FALSE),0)</f>
        <v>0</v>
      </c>
      <c r="Y144" s="62">
        <f>IFERROR(HLOOKUP(#REF!,[2]EMI!$D$5:$AA$19,13,FALSE),0)</f>
        <v>0</v>
      </c>
      <c r="Z144" s="62">
        <f>IFERROR(HLOOKUP(#REF!,[2]EMI!$D$5:$AA$19,13,FALSE),0)</f>
        <v>0</v>
      </c>
      <c r="AA144" s="62">
        <f>IFERROR(HLOOKUP(#REF!,[2]EMI!$D$5:$AA$19,13,FALSE),0)</f>
        <v>0</v>
      </c>
      <c r="AB144" s="62">
        <f>IFERROR(HLOOKUP(#REF!,[2]EMI!$D$5:$AA$19,13,FALSE),0)</f>
        <v>0</v>
      </c>
      <c r="AC144" s="62">
        <f>IFERROR(HLOOKUP(#REF!,[2]EMI!$D$5:$AA$19,13,FALSE),0)</f>
        <v>0</v>
      </c>
      <c r="AD144" s="62">
        <f>IFERROR(HLOOKUP(#REF!,[2]EMI!$D$5:$AA$19,13,FALSE),0)</f>
        <v>0</v>
      </c>
      <c r="AE144" s="62">
        <f>IFERROR(HLOOKUP(#REF!,[2]EMI!$D$5:$AA$19,13,FALSE),0)</f>
        <v>0</v>
      </c>
      <c r="AF144" s="62">
        <f>IFERROR(HLOOKUP(#REF!,[2]EMI!$D$5:$AA$19,13,FALSE),0)</f>
        <v>0</v>
      </c>
      <c r="AG144" s="62">
        <f>IFERROR(HLOOKUP(#REF!,[2]EMI!$D$5:$AA$19,13,FALSE),0)</f>
        <v>0</v>
      </c>
      <c r="AH144" s="62">
        <f>IFERROR(HLOOKUP(#REF!,[2]EMI!$D$5:$AA$19,13,FALSE),0)</f>
        <v>0</v>
      </c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</row>
    <row r="145" spans="1:56" hidden="1" x14ac:dyDescent="0.2">
      <c r="A145" s="37"/>
      <c r="B145" s="59"/>
      <c r="C145" s="55"/>
      <c r="D145" s="56" t="s">
        <v>27</v>
      </c>
      <c r="E145" s="55"/>
      <c r="F145" s="55"/>
      <c r="G145" s="55"/>
      <c r="H145" s="55"/>
      <c r="I145" s="55"/>
      <c r="J145" s="62">
        <f>IFERROR(HLOOKUP(#REF!,[2]EMI!$D$5:$AA$19,14,FALSE),0)</f>
        <v>0</v>
      </c>
      <c r="K145" s="62">
        <f>IFERROR(HLOOKUP(#REF!,[2]EMI!$D$5:$AA$19,14,FALSE),0)</f>
        <v>0</v>
      </c>
      <c r="L145" s="62">
        <f>IFERROR(HLOOKUP(#REF!,[2]EMI!$D$5:$AA$19,14,FALSE),0)</f>
        <v>0</v>
      </c>
      <c r="M145" s="62">
        <f>IFERROR(HLOOKUP(#REF!,[2]EMI!$D$5:$AA$19,14,FALSE),0)</f>
        <v>0</v>
      </c>
      <c r="N145" s="62">
        <f>IFERROR(HLOOKUP(#REF!,[2]EMI!$D$5:$AA$19,14,FALSE),0)</f>
        <v>0</v>
      </c>
      <c r="O145" s="62">
        <f>IFERROR(HLOOKUP(#REF!,[2]EMI!$D$5:$AA$19,14,FALSE),0)</f>
        <v>0</v>
      </c>
      <c r="P145" s="62">
        <f>IFERROR(HLOOKUP(#REF!,[2]EMI!$D$5:$AA$19,14,FALSE),0)</f>
        <v>0</v>
      </c>
      <c r="Q145" s="62">
        <f>IFERROR(HLOOKUP(#REF!,[2]EMI!$D$5:$AA$19,14,FALSE),0)</f>
        <v>0</v>
      </c>
      <c r="R145" s="62">
        <f>IFERROR(HLOOKUP(#REF!,[2]EMI!$D$5:$AA$19,14,FALSE),0)</f>
        <v>0</v>
      </c>
      <c r="S145" s="62">
        <f>IFERROR(HLOOKUP(#REF!,[2]EMI!$D$5:$AA$19,14,FALSE),0)</f>
        <v>0</v>
      </c>
      <c r="T145" s="62">
        <f>IFERROR(HLOOKUP(#REF!,[2]EMI!$D$5:$AA$19,14,FALSE),0)</f>
        <v>0</v>
      </c>
      <c r="U145" s="62">
        <f>IFERROR(HLOOKUP(#REF!,[2]EMI!$D$5:$AA$19,14,FALSE),0)</f>
        <v>0</v>
      </c>
      <c r="V145" s="62">
        <f>IFERROR(HLOOKUP(#REF!,[2]EMI!$D$5:$AA$19,14,FALSE),0)</f>
        <v>0</v>
      </c>
      <c r="W145" s="62">
        <f>IFERROR(HLOOKUP(#REF!,[2]EMI!$D$5:$AA$19,14,FALSE),0)</f>
        <v>0</v>
      </c>
      <c r="X145" s="62">
        <f>IFERROR(HLOOKUP(#REF!,[2]EMI!$D$5:$AA$19,14,FALSE),0)</f>
        <v>0</v>
      </c>
      <c r="Y145" s="62">
        <f>IFERROR(HLOOKUP(#REF!,[2]EMI!$D$5:$AA$19,14,FALSE),0)</f>
        <v>0</v>
      </c>
      <c r="Z145" s="62">
        <f>IFERROR(HLOOKUP(#REF!,[2]EMI!$D$5:$AA$19,14,FALSE),0)</f>
        <v>0</v>
      </c>
      <c r="AA145" s="62">
        <f>IFERROR(HLOOKUP(#REF!,[2]EMI!$D$5:$AA$19,14,FALSE),0)</f>
        <v>0</v>
      </c>
      <c r="AB145" s="62">
        <f>IFERROR(HLOOKUP(#REF!,[2]EMI!$D$5:$AA$19,14,FALSE),0)</f>
        <v>0</v>
      </c>
      <c r="AC145" s="62">
        <f>IFERROR(HLOOKUP(#REF!,[2]EMI!$D$5:$AA$19,14,FALSE),0)</f>
        <v>0</v>
      </c>
      <c r="AD145" s="62">
        <f>IFERROR(HLOOKUP(#REF!,[2]EMI!$D$5:$AA$19,14,FALSE),0)</f>
        <v>0</v>
      </c>
      <c r="AE145" s="62">
        <f>IFERROR(HLOOKUP(#REF!,[2]EMI!$D$5:$AA$19,14,FALSE),0)</f>
        <v>0</v>
      </c>
      <c r="AF145" s="62">
        <f>IFERROR(HLOOKUP(#REF!,[2]EMI!$D$5:$AA$19,14,FALSE),0)</f>
        <v>0</v>
      </c>
      <c r="AG145" s="62">
        <f>IFERROR(HLOOKUP(#REF!,[2]EMI!$D$5:$AA$19,14,FALSE),0)</f>
        <v>0</v>
      </c>
      <c r="AH145" s="62">
        <f>IFERROR(HLOOKUP(#REF!,[2]EMI!$D$5:$AA$19,14,FALSE),0)</f>
        <v>0</v>
      </c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</row>
    <row r="146" spans="1:56" hidden="1" x14ac:dyDescent="0.2">
      <c r="A146" s="37"/>
      <c r="B146" s="59"/>
      <c r="C146" s="55"/>
      <c r="D146" s="56"/>
      <c r="E146" s="55"/>
      <c r="F146" s="55"/>
      <c r="G146" s="55"/>
      <c r="H146" s="55"/>
      <c r="I146" s="55"/>
      <c r="J146" s="63">
        <f t="shared" ref="J146:K146" si="344">J143+J145</f>
        <v>650</v>
      </c>
      <c r="K146" s="63">
        <f t="shared" si="344"/>
        <v>650</v>
      </c>
      <c r="L146" s="63">
        <f>L143+L145</f>
        <v>650</v>
      </c>
      <c r="M146" s="63">
        <f t="shared" ref="M146:AE146" si="345">M143+M145</f>
        <v>650</v>
      </c>
      <c r="N146" s="63">
        <f t="shared" si="345"/>
        <v>650</v>
      </c>
      <c r="O146" s="63">
        <f t="shared" si="345"/>
        <v>650</v>
      </c>
      <c r="P146" s="63">
        <f t="shared" si="345"/>
        <v>650</v>
      </c>
      <c r="Q146" s="63">
        <f t="shared" si="345"/>
        <v>650</v>
      </c>
      <c r="R146" s="63">
        <f t="shared" si="345"/>
        <v>650</v>
      </c>
      <c r="S146" s="63">
        <f t="shared" si="345"/>
        <v>650</v>
      </c>
      <c r="T146" s="63">
        <f t="shared" si="345"/>
        <v>650</v>
      </c>
      <c r="U146" s="63">
        <f t="shared" si="345"/>
        <v>650</v>
      </c>
      <c r="V146" s="63">
        <f t="shared" si="345"/>
        <v>650</v>
      </c>
      <c r="W146" s="63">
        <f t="shared" si="345"/>
        <v>650</v>
      </c>
      <c r="X146" s="63">
        <f t="shared" si="345"/>
        <v>650</v>
      </c>
      <c r="Y146" s="63">
        <f t="shared" si="345"/>
        <v>650</v>
      </c>
      <c r="Z146" s="63">
        <f t="shared" si="345"/>
        <v>650</v>
      </c>
      <c r="AA146" s="63">
        <f t="shared" si="345"/>
        <v>650</v>
      </c>
      <c r="AB146" s="63">
        <f t="shared" si="345"/>
        <v>650</v>
      </c>
      <c r="AC146" s="63">
        <f t="shared" si="345"/>
        <v>650</v>
      </c>
      <c r="AD146" s="63">
        <f t="shared" si="345"/>
        <v>650</v>
      </c>
      <c r="AE146" s="63">
        <f t="shared" si="345"/>
        <v>650</v>
      </c>
      <c r="AF146" s="63">
        <f>AF143+AF145</f>
        <v>650</v>
      </c>
      <c r="AG146" s="63">
        <f t="shared" ref="AG146:AH146" si="346">AG143+AG145</f>
        <v>650</v>
      </c>
      <c r="AH146" s="63">
        <f t="shared" si="346"/>
        <v>650</v>
      </c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</row>
    <row r="147" spans="1:56" hidden="1" x14ac:dyDescent="0.2">
      <c r="B147" s="59"/>
      <c r="C147" s="55"/>
      <c r="D147" s="56" t="s">
        <v>28</v>
      </c>
      <c r="E147" s="55"/>
      <c r="F147" s="55"/>
      <c r="G147" s="55"/>
      <c r="H147" s="55"/>
      <c r="I147" s="55"/>
      <c r="J147" s="62"/>
      <c r="K147" s="62"/>
      <c r="L147" s="62">
        <f>L134-L146</f>
        <v>-650</v>
      </c>
      <c r="M147" s="62">
        <f t="shared" ref="M147:AE147" si="347">M134-M146</f>
        <v>-650</v>
      </c>
      <c r="N147" s="62">
        <f t="shared" si="347"/>
        <v>-650</v>
      </c>
      <c r="O147" s="62">
        <f t="shared" si="347"/>
        <v>-650</v>
      </c>
      <c r="P147" s="62">
        <f t="shared" si="347"/>
        <v>-650</v>
      </c>
      <c r="Q147" s="62">
        <f t="shared" si="347"/>
        <v>-650</v>
      </c>
      <c r="R147" s="62">
        <f t="shared" si="347"/>
        <v>-650</v>
      </c>
      <c r="S147" s="62">
        <f t="shared" si="347"/>
        <v>-650</v>
      </c>
      <c r="T147" s="62">
        <f t="shared" si="347"/>
        <v>-650</v>
      </c>
      <c r="U147" s="62">
        <f t="shared" si="347"/>
        <v>-650</v>
      </c>
      <c r="V147" s="62">
        <f t="shared" si="347"/>
        <v>-650</v>
      </c>
      <c r="W147" s="62">
        <f t="shared" si="347"/>
        <v>-650</v>
      </c>
      <c r="X147" s="62">
        <f t="shared" si="347"/>
        <v>-650</v>
      </c>
      <c r="Y147" s="62">
        <f t="shared" si="347"/>
        <v>-650</v>
      </c>
      <c r="Z147" s="62">
        <f t="shared" si="347"/>
        <v>-650</v>
      </c>
      <c r="AA147" s="62">
        <f t="shared" si="347"/>
        <v>-650</v>
      </c>
      <c r="AB147" s="62">
        <f t="shared" si="347"/>
        <v>-650</v>
      </c>
      <c r="AC147" s="62">
        <f t="shared" si="347"/>
        <v>-650</v>
      </c>
      <c r="AD147" s="62">
        <f t="shared" si="347"/>
        <v>-650</v>
      </c>
      <c r="AE147" s="62">
        <f t="shared" si="347"/>
        <v>-650</v>
      </c>
      <c r="AF147" s="62">
        <f>AF134-AF146</f>
        <v>-650</v>
      </c>
      <c r="AG147" s="62">
        <f t="shared" ref="AG147:AH147" si="348">AG134-AG146</f>
        <v>-650</v>
      </c>
      <c r="AH147" s="62">
        <f t="shared" si="348"/>
        <v>-650</v>
      </c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</row>
    <row r="148" spans="1:56" hidden="1" x14ac:dyDescent="0.2">
      <c r="B148" s="66"/>
      <c r="C148" s="54"/>
      <c r="D148" s="67"/>
      <c r="E148" s="54"/>
      <c r="F148" s="54"/>
      <c r="G148" s="54"/>
      <c r="H148" s="54"/>
      <c r="I148" s="54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</row>
    <row r="149" spans="1:56" ht="15" hidden="1" x14ac:dyDescent="0.2">
      <c r="B149" s="66"/>
      <c r="C149" s="54"/>
      <c r="D149" s="67"/>
      <c r="E149" s="54"/>
      <c r="F149" s="54"/>
      <c r="G149" s="54"/>
      <c r="H149" s="54"/>
      <c r="I149" s="54"/>
      <c r="J149" s="54" t="s">
        <v>29</v>
      </c>
      <c r="K149" s="54"/>
      <c r="L149" s="76">
        <f>L152-L155</f>
        <v>-1136</v>
      </c>
      <c r="M149" s="76">
        <f t="shared" ref="M149:Q149" si="349">M152-M155</f>
        <v>-300</v>
      </c>
      <c r="N149" s="76">
        <f t="shared" si="349"/>
        <v>-1164</v>
      </c>
      <c r="O149" s="76">
        <f t="shared" si="349"/>
        <v>-1160</v>
      </c>
      <c r="P149" s="76">
        <f t="shared" si="349"/>
        <v>-940</v>
      </c>
      <c r="Q149" s="76">
        <f t="shared" si="349"/>
        <v>-936</v>
      </c>
      <c r="R149" s="76">
        <f>R152-R155</f>
        <v>-936</v>
      </c>
      <c r="S149" s="76">
        <f t="shared" ref="S149:AH149" si="350">S152-S155</f>
        <v>-748</v>
      </c>
      <c r="T149" s="76">
        <f t="shared" si="350"/>
        <v>-668</v>
      </c>
      <c r="U149" s="76">
        <f t="shared" si="350"/>
        <v>-672</v>
      </c>
      <c r="V149" s="76">
        <f t="shared" si="350"/>
        <v>0</v>
      </c>
      <c r="W149" s="76">
        <f t="shared" si="350"/>
        <v>-668</v>
      </c>
      <c r="X149" s="76">
        <f t="shared" si="350"/>
        <v>-536</v>
      </c>
      <c r="Y149" s="76">
        <f t="shared" si="350"/>
        <v>-664</v>
      </c>
      <c r="Z149" s="76">
        <f t="shared" si="350"/>
        <v>-672</v>
      </c>
      <c r="AA149" s="76">
        <f t="shared" si="350"/>
        <v>-656</v>
      </c>
      <c r="AB149" s="76">
        <f t="shared" si="350"/>
        <v>-664</v>
      </c>
      <c r="AC149" s="76">
        <f t="shared" si="350"/>
        <v>-928</v>
      </c>
      <c r="AD149" s="76">
        <f t="shared" si="350"/>
        <v>-932</v>
      </c>
      <c r="AE149" s="76">
        <f t="shared" si="350"/>
        <v>-936</v>
      </c>
      <c r="AF149" s="76">
        <f t="shared" si="350"/>
        <v>-948</v>
      </c>
      <c r="AG149" s="76">
        <f t="shared" si="350"/>
        <v>-964</v>
      </c>
      <c r="AH149" s="76">
        <f t="shared" si="350"/>
        <v>-676</v>
      </c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</row>
    <row r="150" spans="1:56" ht="15" hidden="1" x14ac:dyDescent="0.25">
      <c r="B150" s="69"/>
      <c r="C150" s="69"/>
      <c r="D150" s="69"/>
      <c r="E150" s="69"/>
      <c r="F150" s="69"/>
      <c r="G150" s="69"/>
      <c r="H150" s="69"/>
      <c r="I150" s="69"/>
      <c r="J150" s="75" t="s">
        <v>30</v>
      </c>
      <c r="K150" s="69"/>
      <c r="L150" s="76">
        <f>L153-L156</f>
        <v>-15976</v>
      </c>
      <c r="M150" s="76">
        <f t="shared" ref="M150:AH150" si="351">M153-M156</f>
        <v>-16276</v>
      </c>
      <c r="N150" s="76">
        <f t="shared" si="351"/>
        <v>-17440</v>
      </c>
      <c r="O150" s="76">
        <f t="shared" si="351"/>
        <v>-18600</v>
      </c>
      <c r="P150" s="76">
        <f t="shared" si="351"/>
        <v>-19540</v>
      </c>
      <c r="Q150" s="76">
        <f t="shared" si="351"/>
        <v>-20476</v>
      </c>
      <c r="R150" s="76">
        <f t="shared" si="351"/>
        <v>-21412</v>
      </c>
      <c r="S150" s="76">
        <f t="shared" si="351"/>
        <v>-22160</v>
      </c>
      <c r="T150" s="76">
        <f t="shared" si="351"/>
        <v>-22828</v>
      </c>
      <c r="U150" s="76">
        <f t="shared" si="351"/>
        <v>-23500</v>
      </c>
      <c r="V150" s="76">
        <f t="shared" si="351"/>
        <v>-23500</v>
      </c>
      <c r="W150" s="76">
        <f t="shared" si="351"/>
        <v>-24168</v>
      </c>
      <c r="X150" s="76">
        <f t="shared" si="351"/>
        <v>-24704</v>
      </c>
      <c r="Y150" s="76">
        <f t="shared" si="351"/>
        <v>-25368</v>
      </c>
      <c r="Z150" s="76">
        <f t="shared" si="351"/>
        <v>-26040</v>
      </c>
      <c r="AA150" s="76">
        <f t="shared" si="351"/>
        <v>-26696</v>
      </c>
      <c r="AB150" s="76">
        <f t="shared" si="351"/>
        <v>-27360</v>
      </c>
      <c r="AC150" s="76">
        <f t="shared" si="351"/>
        <v>-28288</v>
      </c>
      <c r="AD150" s="76">
        <f t="shared" si="351"/>
        <v>-29220</v>
      </c>
      <c r="AE150" s="76">
        <f t="shared" si="351"/>
        <v>-30156</v>
      </c>
      <c r="AF150" s="76">
        <f t="shared" si="351"/>
        <v>-31104</v>
      </c>
      <c r="AG150" s="76">
        <f t="shared" si="351"/>
        <v>-32068</v>
      </c>
      <c r="AH150" s="76">
        <f t="shared" si="351"/>
        <v>-29072</v>
      </c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</row>
    <row r="151" spans="1:56" ht="15" hidden="1" x14ac:dyDescent="0.25">
      <c r="B151" s="69" t="s">
        <v>31</v>
      </c>
      <c r="C151" s="69"/>
      <c r="D151" s="70">
        <v>45670</v>
      </c>
      <c r="E151" s="71"/>
      <c r="F151" s="71"/>
      <c r="G151" s="71"/>
      <c r="H151" s="71"/>
      <c r="I151" s="71"/>
      <c r="J151" s="71"/>
      <c r="K151" s="72"/>
      <c r="L151" s="72" t="s">
        <v>170</v>
      </c>
      <c r="M151" s="72" t="s">
        <v>2</v>
      </c>
      <c r="N151" s="72"/>
      <c r="O151" s="72"/>
      <c r="P151" s="72"/>
      <c r="Q151" s="72"/>
      <c r="R151" s="72"/>
      <c r="S151" s="72"/>
      <c r="T151" s="72"/>
      <c r="U151" s="72" t="s">
        <v>3</v>
      </c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</row>
    <row r="152" spans="1:56" ht="15" hidden="1" x14ac:dyDescent="0.25">
      <c r="B152" s="69" t="s">
        <v>6</v>
      </c>
      <c r="C152" s="69" t="s">
        <v>112</v>
      </c>
      <c r="D152" s="73" t="s">
        <v>32</v>
      </c>
      <c r="E152" s="120">
        <f>E134</f>
        <v>0</v>
      </c>
      <c r="F152" s="120">
        <f t="shared" ref="F152:AH152" si="352">F134</f>
        <v>0</v>
      </c>
      <c r="G152" s="120">
        <f t="shared" si="352"/>
        <v>0</v>
      </c>
      <c r="H152" s="120"/>
      <c r="I152" s="120">
        <f t="shared" si="352"/>
        <v>0</v>
      </c>
      <c r="J152" s="120">
        <f t="shared" si="352"/>
        <v>0</v>
      </c>
      <c r="K152" s="120">
        <f t="shared" si="352"/>
        <v>0</v>
      </c>
      <c r="L152" s="120">
        <f t="shared" si="352"/>
        <v>0</v>
      </c>
      <c r="M152" s="120">
        <f t="shared" si="352"/>
        <v>0</v>
      </c>
      <c r="N152" s="120">
        <f t="shared" si="352"/>
        <v>0</v>
      </c>
      <c r="O152" s="120">
        <f t="shared" si="352"/>
        <v>0</v>
      </c>
      <c r="P152" s="120">
        <f t="shared" si="352"/>
        <v>0</v>
      </c>
      <c r="Q152" s="120">
        <f t="shared" si="352"/>
        <v>0</v>
      </c>
      <c r="R152" s="120">
        <f t="shared" si="352"/>
        <v>0</v>
      </c>
      <c r="S152" s="120">
        <f t="shared" si="352"/>
        <v>0</v>
      </c>
      <c r="T152" s="120">
        <f t="shared" si="352"/>
        <v>0</v>
      </c>
      <c r="U152" s="120">
        <f t="shared" si="352"/>
        <v>0</v>
      </c>
      <c r="V152" s="120">
        <f t="shared" si="352"/>
        <v>0</v>
      </c>
      <c r="W152" s="120">
        <f t="shared" si="352"/>
        <v>0</v>
      </c>
      <c r="X152" s="120">
        <f t="shared" si="352"/>
        <v>0</v>
      </c>
      <c r="Y152" s="120">
        <f t="shared" si="352"/>
        <v>0</v>
      </c>
      <c r="Z152" s="120">
        <f t="shared" si="352"/>
        <v>0</v>
      </c>
      <c r="AA152" s="120">
        <f t="shared" si="352"/>
        <v>0</v>
      </c>
      <c r="AB152" s="120">
        <f t="shared" si="352"/>
        <v>0</v>
      </c>
      <c r="AC152" s="120">
        <f t="shared" si="352"/>
        <v>0</v>
      </c>
      <c r="AD152" s="120">
        <f t="shared" si="352"/>
        <v>0</v>
      </c>
      <c r="AE152" s="120">
        <f t="shared" si="352"/>
        <v>0</v>
      </c>
      <c r="AF152" s="120">
        <f t="shared" si="352"/>
        <v>0</v>
      </c>
      <c r="AG152" s="120">
        <f t="shared" si="352"/>
        <v>0</v>
      </c>
      <c r="AH152" s="120">
        <f t="shared" si="352"/>
        <v>0</v>
      </c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120"/>
      <c r="BC152" s="120"/>
      <c r="BD152" s="120"/>
    </row>
    <row r="153" spans="1:56" ht="15" hidden="1" x14ac:dyDescent="0.25">
      <c r="B153" s="69"/>
      <c r="C153" s="69"/>
      <c r="D153" s="73" t="s">
        <v>33</v>
      </c>
      <c r="E153" s="120">
        <f>E135</f>
        <v>0</v>
      </c>
      <c r="F153" s="120">
        <f t="shared" ref="F153:AH153" si="353">F135</f>
        <v>0</v>
      </c>
      <c r="G153" s="120">
        <f t="shared" si="353"/>
        <v>0</v>
      </c>
      <c r="H153" s="120"/>
      <c r="I153" s="120">
        <f t="shared" si="353"/>
        <v>0</v>
      </c>
      <c r="J153" s="120">
        <f t="shared" si="353"/>
        <v>0</v>
      </c>
      <c r="K153" s="120">
        <f t="shared" si="353"/>
        <v>0</v>
      </c>
      <c r="L153" s="120">
        <f t="shared" si="353"/>
        <v>0</v>
      </c>
      <c r="M153" s="120">
        <f t="shared" si="353"/>
        <v>0</v>
      </c>
      <c r="N153" s="120">
        <f t="shared" si="353"/>
        <v>0</v>
      </c>
      <c r="O153" s="120">
        <f t="shared" si="353"/>
        <v>0</v>
      </c>
      <c r="P153" s="120">
        <f t="shared" si="353"/>
        <v>0</v>
      </c>
      <c r="Q153" s="120">
        <f t="shared" si="353"/>
        <v>0</v>
      </c>
      <c r="R153" s="120">
        <f t="shared" si="353"/>
        <v>0</v>
      </c>
      <c r="S153" s="120">
        <f t="shared" si="353"/>
        <v>0</v>
      </c>
      <c r="T153" s="120">
        <f t="shared" si="353"/>
        <v>0</v>
      </c>
      <c r="U153" s="120">
        <f t="shared" si="353"/>
        <v>0</v>
      </c>
      <c r="V153" s="120">
        <f t="shared" si="353"/>
        <v>0</v>
      </c>
      <c r="W153" s="120">
        <f t="shared" si="353"/>
        <v>0</v>
      </c>
      <c r="X153" s="120">
        <f t="shared" si="353"/>
        <v>0</v>
      </c>
      <c r="Y153" s="120">
        <f t="shared" si="353"/>
        <v>0</v>
      </c>
      <c r="Z153" s="120">
        <f t="shared" si="353"/>
        <v>0</v>
      </c>
      <c r="AA153" s="120">
        <f t="shared" si="353"/>
        <v>0</v>
      </c>
      <c r="AB153" s="120">
        <f t="shared" si="353"/>
        <v>0</v>
      </c>
      <c r="AC153" s="120">
        <f t="shared" si="353"/>
        <v>0</v>
      </c>
      <c r="AD153" s="120">
        <f t="shared" si="353"/>
        <v>0</v>
      </c>
      <c r="AE153" s="120">
        <f t="shared" si="353"/>
        <v>0</v>
      </c>
      <c r="AF153" s="120">
        <f t="shared" si="353"/>
        <v>0</v>
      </c>
      <c r="AG153" s="120">
        <f t="shared" si="353"/>
        <v>0</v>
      </c>
      <c r="AH153" s="120">
        <f t="shared" si="353"/>
        <v>0</v>
      </c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0"/>
      <c r="AU153" s="120"/>
      <c r="AV153" s="120"/>
      <c r="AW153" s="120"/>
      <c r="AX153" s="120"/>
      <c r="AY153" s="120"/>
      <c r="AZ153" s="120"/>
      <c r="BA153" s="120"/>
      <c r="BB153" s="120"/>
      <c r="BC153" s="120"/>
      <c r="BD153" s="120"/>
    </row>
    <row r="154" spans="1:56" ht="15" hidden="1" x14ac:dyDescent="0.25">
      <c r="B154" s="69"/>
      <c r="C154" s="69"/>
      <c r="D154" s="70">
        <v>45663</v>
      </c>
      <c r="E154" s="71"/>
      <c r="F154" s="71"/>
      <c r="G154" s="71"/>
      <c r="H154" s="71"/>
      <c r="I154" s="71"/>
      <c r="J154" s="71"/>
      <c r="K154" s="72" t="s">
        <v>170</v>
      </c>
      <c r="L154" s="72" t="s">
        <v>2</v>
      </c>
      <c r="M154" s="72"/>
      <c r="N154" s="72"/>
      <c r="O154" s="72"/>
      <c r="P154" s="72"/>
      <c r="Q154" s="72"/>
      <c r="R154" s="72"/>
      <c r="S154" s="72"/>
      <c r="T154" s="72" t="s">
        <v>3</v>
      </c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 t="s">
        <v>4</v>
      </c>
      <c r="AI154" s="72"/>
      <c r="AJ154" s="72" t="s">
        <v>0</v>
      </c>
      <c r="AK154" s="72" t="s">
        <v>0</v>
      </c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</row>
    <row r="155" spans="1:56" ht="15" hidden="1" x14ac:dyDescent="0.25">
      <c r="B155" s="69"/>
      <c r="C155" s="69"/>
      <c r="D155" s="73" t="s">
        <v>32</v>
      </c>
      <c r="E155" s="120">
        <v>1124</v>
      </c>
      <c r="F155" s="120">
        <v>440</v>
      </c>
      <c r="G155" s="120">
        <v>564</v>
      </c>
      <c r="H155" s="120"/>
      <c r="I155" s="120">
        <v>132</v>
      </c>
      <c r="J155" s="120">
        <v>1164</v>
      </c>
      <c r="K155" s="120">
        <v>1152</v>
      </c>
      <c r="L155" s="120">
        <v>1136</v>
      </c>
      <c r="M155" s="120">
        <v>300</v>
      </c>
      <c r="N155" s="120">
        <v>1164</v>
      </c>
      <c r="O155" s="120">
        <v>1160</v>
      </c>
      <c r="P155" s="120">
        <v>940</v>
      </c>
      <c r="Q155" s="120">
        <v>936</v>
      </c>
      <c r="R155" s="120">
        <v>936</v>
      </c>
      <c r="S155" s="120">
        <v>748</v>
      </c>
      <c r="T155" s="120">
        <v>668</v>
      </c>
      <c r="U155" s="120">
        <v>672</v>
      </c>
      <c r="V155" s="120">
        <v>0</v>
      </c>
      <c r="W155" s="120">
        <v>668</v>
      </c>
      <c r="X155" s="120">
        <v>536</v>
      </c>
      <c r="Y155" s="120">
        <v>664</v>
      </c>
      <c r="Z155" s="120">
        <v>672</v>
      </c>
      <c r="AA155" s="120">
        <v>656</v>
      </c>
      <c r="AB155" s="120">
        <v>664</v>
      </c>
      <c r="AC155" s="120">
        <v>928</v>
      </c>
      <c r="AD155" s="120">
        <v>932</v>
      </c>
      <c r="AE155" s="120">
        <v>936</v>
      </c>
      <c r="AF155" s="120">
        <v>948</v>
      </c>
      <c r="AG155" s="120">
        <v>964</v>
      </c>
      <c r="AH155" s="120">
        <v>676</v>
      </c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0"/>
      <c r="AU155" s="120"/>
      <c r="AV155" s="120"/>
      <c r="AW155" s="120"/>
      <c r="AX155" s="120"/>
      <c r="AY155" s="120"/>
      <c r="AZ155" s="120"/>
      <c r="BA155" s="120"/>
      <c r="BB155" s="120"/>
      <c r="BC155" s="120"/>
      <c r="BD155" s="120"/>
    </row>
    <row r="156" spans="1:56" ht="15" hidden="1" x14ac:dyDescent="0.25">
      <c r="B156" s="69"/>
      <c r="C156" s="69"/>
      <c r="D156" s="73" t="s">
        <v>33</v>
      </c>
      <c r="E156" s="120">
        <v>10200</v>
      </c>
      <c r="F156" s="120">
        <v>10640</v>
      </c>
      <c r="G156" s="120">
        <v>11204</v>
      </c>
      <c r="H156" s="120"/>
      <c r="I156" s="120">
        <v>12524</v>
      </c>
      <c r="J156" s="120">
        <v>13688</v>
      </c>
      <c r="K156" s="120">
        <v>14840</v>
      </c>
      <c r="L156" s="120">
        <v>15976</v>
      </c>
      <c r="M156" s="120">
        <v>16276</v>
      </c>
      <c r="N156" s="120">
        <v>17440</v>
      </c>
      <c r="O156" s="120">
        <v>18600</v>
      </c>
      <c r="P156" s="120">
        <v>19540</v>
      </c>
      <c r="Q156" s="120">
        <v>20476</v>
      </c>
      <c r="R156" s="120">
        <v>21412</v>
      </c>
      <c r="S156" s="120">
        <v>22160</v>
      </c>
      <c r="T156" s="120">
        <v>22828</v>
      </c>
      <c r="U156" s="120">
        <v>23500</v>
      </c>
      <c r="V156" s="120">
        <v>23500</v>
      </c>
      <c r="W156" s="120">
        <v>24168</v>
      </c>
      <c r="X156" s="120">
        <v>24704</v>
      </c>
      <c r="Y156" s="120">
        <v>25368</v>
      </c>
      <c r="Z156" s="120">
        <v>26040</v>
      </c>
      <c r="AA156" s="120">
        <v>26696</v>
      </c>
      <c r="AB156" s="120">
        <v>27360</v>
      </c>
      <c r="AC156" s="120">
        <v>28288</v>
      </c>
      <c r="AD156" s="120">
        <v>29220</v>
      </c>
      <c r="AE156" s="120">
        <v>30156</v>
      </c>
      <c r="AF156" s="120">
        <v>31104</v>
      </c>
      <c r="AG156" s="120">
        <v>32068</v>
      </c>
      <c r="AH156" s="120">
        <v>29072</v>
      </c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20"/>
      <c r="AU156" s="120"/>
      <c r="AV156" s="120"/>
      <c r="AW156" s="120"/>
      <c r="AX156" s="120"/>
      <c r="AY156" s="120"/>
      <c r="AZ156" s="120"/>
      <c r="BA156" s="120"/>
      <c r="BB156" s="120"/>
      <c r="BC156" s="120"/>
      <c r="BD156" s="120"/>
    </row>
    <row r="157" spans="1:56" ht="15" hidden="1" x14ac:dyDescent="0.25">
      <c r="B157" s="69"/>
      <c r="C157" s="69"/>
      <c r="D157" s="70">
        <v>45656</v>
      </c>
      <c r="E157" s="72" t="s">
        <v>0</v>
      </c>
      <c r="F157" s="72" t="s">
        <v>0</v>
      </c>
      <c r="G157" s="72" t="s">
        <v>0</v>
      </c>
      <c r="H157" s="72"/>
      <c r="I157" s="72" t="s">
        <v>0</v>
      </c>
      <c r="J157" s="72" t="s">
        <v>170</v>
      </c>
      <c r="K157" s="72" t="s">
        <v>2</v>
      </c>
      <c r="L157" s="72"/>
      <c r="M157" s="72"/>
      <c r="N157" s="72"/>
      <c r="O157" s="72" t="s">
        <v>0</v>
      </c>
      <c r="P157" s="72" t="s">
        <v>0</v>
      </c>
      <c r="Q157" s="72" t="s">
        <v>0</v>
      </c>
      <c r="R157" s="72" t="s">
        <v>0</v>
      </c>
      <c r="S157" s="72" t="s">
        <v>3</v>
      </c>
      <c r="T157" s="72"/>
      <c r="U157" s="72"/>
      <c r="V157" s="72" t="s">
        <v>4</v>
      </c>
      <c r="W157" s="72" t="s">
        <v>0</v>
      </c>
      <c r="X157" s="72" t="s">
        <v>0</v>
      </c>
      <c r="Y157" s="72" t="s">
        <v>0</v>
      </c>
      <c r="Z157" s="72" t="s">
        <v>0</v>
      </c>
      <c r="AA157" s="72" t="s">
        <v>0</v>
      </c>
      <c r="AB157" s="72" t="s">
        <v>0</v>
      </c>
      <c r="AC157" s="72" t="s">
        <v>0</v>
      </c>
      <c r="AD157" s="72" t="s">
        <v>0</v>
      </c>
      <c r="AE157" s="72" t="s">
        <v>0</v>
      </c>
      <c r="AF157" s="72" t="s">
        <v>0</v>
      </c>
      <c r="AG157" s="72" t="s">
        <v>4</v>
      </c>
      <c r="AH157" s="72" t="s">
        <v>0</v>
      </c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</row>
    <row r="158" spans="1:56" ht="15" hidden="1" x14ac:dyDescent="0.25">
      <c r="B158" s="69"/>
      <c r="C158" s="69"/>
      <c r="D158" s="73" t="s">
        <v>32</v>
      </c>
      <c r="E158" s="120">
        <v>0</v>
      </c>
      <c r="F158" s="120">
        <v>1136</v>
      </c>
      <c r="G158" s="120">
        <v>1080</v>
      </c>
      <c r="H158" s="120"/>
      <c r="I158" s="120">
        <v>440</v>
      </c>
      <c r="J158" s="120">
        <v>564</v>
      </c>
      <c r="K158" s="120">
        <v>1188</v>
      </c>
      <c r="L158" s="120">
        <v>132</v>
      </c>
      <c r="M158" s="120">
        <v>1164</v>
      </c>
      <c r="N158" s="120">
        <v>1152</v>
      </c>
      <c r="O158" s="120">
        <v>1136</v>
      </c>
      <c r="P158" s="120">
        <v>300</v>
      </c>
      <c r="Q158" s="120">
        <v>1160</v>
      </c>
      <c r="R158" s="120">
        <v>1164</v>
      </c>
      <c r="S158" s="120">
        <v>936</v>
      </c>
      <c r="T158" s="120">
        <v>940</v>
      </c>
      <c r="U158" s="120">
        <v>940</v>
      </c>
      <c r="V158" s="120">
        <v>936</v>
      </c>
      <c r="W158" s="120">
        <v>668</v>
      </c>
      <c r="X158" s="120">
        <v>676</v>
      </c>
      <c r="Y158" s="120">
        <v>0</v>
      </c>
      <c r="Z158" s="120">
        <v>672</v>
      </c>
      <c r="AA158" s="120">
        <v>668</v>
      </c>
      <c r="AB158" s="120">
        <v>676</v>
      </c>
      <c r="AC158" s="120">
        <v>672</v>
      </c>
      <c r="AD158" s="120">
        <v>672</v>
      </c>
      <c r="AE158" s="120">
        <v>672</v>
      </c>
      <c r="AF158" s="120">
        <v>668</v>
      </c>
      <c r="AG158" s="120">
        <v>676</v>
      </c>
      <c r="AH158" s="120">
        <v>676</v>
      </c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  <c r="AS158" s="120"/>
      <c r="AT158" s="120"/>
      <c r="AU158" s="120"/>
      <c r="AV158" s="120"/>
      <c r="AW158" s="120"/>
      <c r="AX158" s="120"/>
      <c r="AY158" s="120"/>
      <c r="AZ158" s="120"/>
      <c r="BA158" s="120"/>
      <c r="BB158" s="120"/>
      <c r="BC158" s="120"/>
      <c r="BD158" s="120"/>
    </row>
    <row r="159" spans="1:56" ht="15" hidden="1" x14ac:dyDescent="0.25">
      <c r="B159" s="69"/>
      <c r="C159" s="69"/>
      <c r="D159" s="73" t="s">
        <v>33</v>
      </c>
      <c r="E159" s="120">
        <v>6860</v>
      </c>
      <c r="F159" s="120">
        <v>7996</v>
      </c>
      <c r="G159" s="120">
        <v>9076</v>
      </c>
      <c r="H159" s="120"/>
      <c r="I159" s="120">
        <v>10640</v>
      </c>
      <c r="J159" s="120">
        <v>11204</v>
      </c>
      <c r="K159" s="120">
        <v>12392</v>
      </c>
      <c r="L159" s="120">
        <v>12524</v>
      </c>
      <c r="M159" s="120">
        <v>13688</v>
      </c>
      <c r="N159" s="120">
        <v>14840</v>
      </c>
      <c r="O159" s="120">
        <v>15976</v>
      </c>
      <c r="P159" s="120">
        <v>16276</v>
      </c>
      <c r="Q159" s="120">
        <v>17436</v>
      </c>
      <c r="R159" s="120">
        <v>18600</v>
      </c>
      <c r="S159" s="120">
        <v>19536</v>
      </c>
      <c r="T159" s="120">
        <v>20476</v>
      </c>
      <c r="U159" s="120">
        <v>21416</v>
      </c>
      <c r="V159" s="120">
        <v>22352</v>
      </c>
      <c r="W159" s="120">
        <v>23020</v>
      </c>
      <c r="X159" s="120">
        <v>23696</v>
      </c>
      <c r="Y159" s="120">
        <v>23696</v>
      </c>
      <c r="Z159" s="120">
        <v>24368</v>
      </c>
      <c r="AA159" s="120">
        <v>25036</v>
      </c>
      <c r="AB159" s="120">
        <v>25712</v>
      </c>
      <c r="AC159" s="120">
        <v>26384</v>
      </c>
      <c r="AD159" s="120">
        <v>27056</v>
      </c>
      <c r="AE159" s="120">
        <v>27728</v>
      </c>
      <c r="AF159" s="120">
        <v>28396</v>
      </c>
      <c r="AG159" s="120">
        <v>29072</v>
      </c>
      <c r="AH159" s="120">
        <v>29072</v>
      </c>
      <c r="AI159" s="120"/>
      <c r="AJ159" s="120"/>
      <c r="AK159" s="120"/>
      <c r="AL159" s="120"/>
      <c r="AM159" s="120"/>
      <c r="AN159" s="120"/>
      <c r="AO159" s="120"/>
      <c r="AP159" s="120"/>
      <c r="AQ159" s="120"/>
      <c r="AR159" s="120"/>
      <c r="AS159" s="120"/>
      <c r="AT159" s="120"/>
      <c r="AU159" s="120"/>
      <c r="AV159" s="120"/>
      <c r="AW159" s="120"/>
      <c r="AX159" s="120"/>
      <c r="AY159" s="120"/>
      <c r="AZ159" s="120"/>
      <c r="BA159" s="120"/>
      <c r="BB159" s="120"/>
      <c r="BC159" s="120"/>
      <c r="BD159" s="120"/>
    </row>
    <row r="160" spans="1:56" ht="15" hidden="1" x14ac:dyDescent="0.25">
      <c r="B160" s="69"/>
      <c r="C160" s="69"/>
      <c r="D160" s="70">
        <v>45649</v>
      </c>
      <c r="E160" s="72" t="s">
        <v>0</v>
      </c>
      <c r="F160" s="72" t="s">
        <v>0</v>
      </c>
      <c r="G160" s="72" t="s">
        <v>2</v>
      </c>
      <c r="H160" s="72"/>
      <c r="I160" s="72" t="s">
        <v>2</v>
      </c>
      <c r="J160" s="72" t="s">
        <v>0</v>
      </c>
      <c r="K160" s="72" t="s">
        <v>0</v>
      </c>
      <c r="L160" s="72" t="s">
        <v>0</v>
      </c>
      <c r="M160" s="72" t="s">
        <v>0</v>
      </c>
      <c r="N160" s="72" t="s">
        <v>0</v>
      </c>
      <c r="O160" s="72" t="s">
        <v>0</v>
      </c>
      <c r="P160" s="72" t="s">
        <v>3</v>
      </c>
      <c r="Q160" s="72" t="s">
        <v>4</v>
      </c>
      <c r="R160" s="72" t="s">
        <v>0</v>
      </c>
      <c r="S160" s="72" t="s">
        <v>0</v>
      </c>
      <c r="T160" s="72" t="s">
        <v>0</v>
      </c>
      <c r="U160" s="72" t="s">
        <v>0</v>
      </c>
      <c r="V160" s="72" t="s">
        <v>0</v>
      </c>
      <c r="W160" s="72" t="s">
        <v>0</v>
      </c>
      <c r="X160" s="72" t="s">
        <v>0</v>
      </c>
      <c r="Y160" s="72" t="s">
        <v>0</v>
      </c>
      <c r="Z160" s="72" t="s">
        <v>0</v>
      </c>
      <c r="AA160" s="72" t="s">
        <v>0</v>
      </c>
      <c r="AB160" s="72" t="s">
        <v>0</v>
      </c>
      <c r="AC160" s="72" t="s">
        <v>0</v>
      </c>
      <c r="AD160" s="72" t="s">
        <v>4</v>
      </c>
      <c r="AE160" s="72" t="s">
        <v>0</v>
      </c>
      <c r="AF160" s="72" t="s">
        <v>0</v>
      </c>
      <c r="AG160" s="72" t="s">
        <v>0</v>
      </c>
      <c r="AH160" s="72" t="s">
        <v>0</v>
      </c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</row>
    <row r="161" spans="2:56" ht="15" hidden="1" x14ac:dyDescent="0.25">
      <c r="B161" s="69"/>
      <c r="C161" s="69"/>
      <c r="D161" s="73" t="s">
        <v>32</v>
      </c>
      <c r="E161" s="120">
        <v>0</v>
      </c>
      <c r="F161" s="120">
        <v>1136</v>
      </c>
      <c r="G161" s="120">
        <v>1080</v>
      </c>
      <c r="H161" s="120"/>
      <c r="I161" s="120">
        <v>440</v>
      </c>
      <c r="J161" s="120">
        <v>564</v>
      </c>
      <c r="K161" s="120">
        <v>1188</v>
      </c>
      <c r="L161" s="120">
        <v>132</v>
      </c>
      <c r="M161" s="120">
        <v>1164</v>
      </c>
      <c r="N161" s="120">
        <v>1152</v>
      </c>
      <c r="O161" s="120">
        <v>1136</v>
      </c>
      <c r="P161" s="120">
        <v>300</v>
      </c>
      <c r="Q161" s="120">
        <v>1160</v>
      </c>
      <c r="R161" s="120">
        <v>1164</v>
      </c>
      <c r="S161" s="120">
        <v>936</v>
      </c>
      <c r="T161" s="120">
        <v>940</v>
      </c>
      <c r="U161" s="120">
        <v>940</v>
      </c>
      <c r="V161" s="120">
        <v>936</v>
      </c>
      <c r="W161" s="120">
        <v>668</v>
      </c>
      <c r="X161" s="120">
        <v>676</v>
      </c>
      <c r="Y161" s="120">
        <v>0</v>
      </c>
      <c r="Z161" s="120">
        <v>672</v>
      </c>
      <c r="AA161" s="120">
        <v>668</v>
      </c>
      <c r="AB161" s="120">
        <v>676</v>
      </c>
      <c r="AC161" s="120">
        <v>672</v>
      </c>
      <c r="AD161" s="120">
        <v>672</v>
      </c>
      <c r="AE161" s="120">
        <v>672</v>
      </c>
      <c r="AF161" s="120">
        <v>668</v>
      </c>
      <c r="AG161" s="120">
        <v>676</v>
      </c>
      <c r="AH161" s="120">
        <v>676</v>
      </c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  <c r="AS161" s="120"/>
      <c r="AT161" s="120"/>
      <c r="AU161" s="120"/>
      <c r="AV161" s="120"/>
      <c r="AW161" s="120"/>
      <c r="AX161" s="120"/>
      <c r="AY161" s="120"/>
      <c r="AZ161" s="120"/>
      <c r="BA161" s="120"/>
      <c r="BB161" s="120"/>
      <c r="BC161" s="120"/>
      <c r="BD161" s="120"/>
    </row>
    <row r="162" spans="2:56" ht="15" hidden="1" x14ac:dyDescent="0.25">
      <c r="B162" s="69"/>
      <c r="C162" s="69"/>
      <c r="D162" s="73" t="s">
        <v>33</v>
      </c>
      <c r="E162" s="120">
        <v>6860</v>
      </c>
      <c r="F162" s="120">
        <v>7996</v>
      </c>
      <c r="G162" s="120">
        <v>9076</v>
      </c>
      <c r="H162" s="120"/>
      <c r="I162" s="120">
        <v>10640</v>
      </c>
      <c r="J162" s="120">
        <v>11204</v>
      </c>
      <c r="K162" s="120">
        <v>12392</v>
      </c>
      <c r="L162" s="120">
        <v>12524</v>
      </c>
      <c r="M162" s="120">
        <v>13688</v>
      </c>
      <c r="N162" s="120">
        <v>14840</v>
      </c>
      <c r="O162" s="120">
        <v>15976</v>
      </c>
      <c r="P162" s="120">
        <v>16276</v>
      </c>
      <c r="Q162" s="120">
        <v>17436</v>
      </c>
      <c r="R162" s="120">
        <v>18600</v>
      </c>
      <c r="S162" s="120">
        <v>19536</v>
      </c>
      <c r="T162" s="120">
        <v>20476</v>
      </c>
      <c r="U162" s="120">
        <v>21416</v>
      </c>
      <c r="V162" s="120">
        <v>22352</v>
      </c>
      <c r="W162" s="120">
        <v>23020</v>
      </c>
      <c r="X162" s="120">
        <v>23696</v>
      </c>
      <c r="Y162" s="120">
        <v>23696</v>
      </c>
      <c r="Z162" s="120">
        <v>24368</v>
      </c>
      <c r="AA162" s="120">
        <v>25036</v>
      </c>
      <c r="AB162" s="120">
        <v>25712</v>
      </c>
      <c r="AC162" s="120">
        <v>26384</v>
      </c>
      <c r="AD162" s="120">
        <v>27056</v>
      </c>
      <c r="AE162" s="120">
        <v>27728</v>
      </c>
      <c r="AF162" s="120">
        <v>28396</v>
      </c>
      <c r="AG162" s="120">
        <v>29072</v>
      </c>
      <c r="AH162" s="120">
        <v>29072</v>
      </c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20"/>
      <c r="AU162" s="120"/>
      <c r="AV162" s="120"/>
      <c r="AW162" s="120"/>
      <c r="AX162" s="120"/>
      <c r="AY162" s="120"/>
      <c r="AZ162" s="120"/>
      <c r="BA162" s="120"/>
      <c r="BB162" s="120"/>
      <c r="BC162" s="120"/>
      <c r="BD162" s="120"/>
    </row>
    <row r="163" spans="2:56" ht="15" hidden="1" x14ac:dyDescent="0.25">
      <c r="B163" s="69"/>
      <c r="C163" s="69"/>
      <c r="D163" s="70">
        <v>45642</v>
      </c>
      <c r="E163" s="72" t="s">
        <v>0</v>
      </c>
      <c r="F163" s="72" t="s">
        <v>0</v>
      </c>
      <c r="G163" s="72" t="s">
        <v>1</v>
      </c>
      <c r="H163" s="72"/>
      <c r="I163" s="72" t="s">
        <v>4</v>
      </c>
      <c r="J163" s="72" t="s">
        <v>0</v>
      </c>
      <c r="K163" s="72" t="s">
        <v>0</v>
      </c>
      <c r="L163" s="72" t="s">
        <v>0</v>
      </c>
      <c r="M163" s="72" t="s">
        <v>0</v>
      </c>
      <c r="N163" s="72" t="s">
        <v>0</v>
      </c>
      <c r="O163" s="72" t="s">
        <v>0</v>
      </c>
      <c r="P163" s="72" t="s">
        <v>2</v>
      </c>
      <c r="Q163" s="72"/>
      <c r="R163" s="72"/>
      <c r="S163" s="72" t="s">
        <v>0</v>
      </c>
      <c r="T163" s="72" t="s">
        <v>0</v>
      </c>
      <c r="U163" s="72" t="s">
        <v>0</v>
      </c>
      <c r="V163" s="72" t="s">
        <v>0</v>
      </c>
      <c r="W163" s="72" t="s">
        <v>0</v>
      </c>
      <c r="X163" s="72" t="s">
        <v>0</v>
      </c>
      <c r="Y163" s="72" t="s">
        <v>3</v>
      </c>
      <c r="Z163" s="72" t="s">
        <v>4</v>
      </c>
      <c r="AA163" s="72" t="s">
        <v>0</v>
      </c>
      <c r="AB163" s="72" t="s">
        <v>0</v>
      </c>
      <c r="AC163" s="72" t="s">
        <v>0</v>
      </c>
      <c r="AD163" s="72" t="s">
        <v>0</v>
      </c>
      <c r="AE163" s="72" t="s">
        <v>0</v>
      </c>
      <c r="AF163" s="72" t="s">
        <v>0</v>
      </c>
      <c r="AG163" s="72" t="s">
        <v>0</v>
      </c>
      <c r="AH163" s="72" t="s">
        <v>4</v>
      </c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</row>
    <row r="164" spans="2:56" ht="15" hidden="1" x14ac:dyDescent="0.25">
      <c r="B164" s="69"/>
      <c r="C164" s="69"/>
      <c r="D164" s="73" t="s">
        <v>32</v>
      </c>
      <c r="E164" s="120">
        <v>0</v>
      </c>
      <c r="F164" s="120">
        <v>1136</v>
      </c>
      <c r="G164" s="120">
        <v>1080</v>
      </c>
      <c r="H164" s="120"/>
      <c r="I164" s="120">
        <v>440</v>
      </c>
      <c r="J164" s="120">
        <v>564</v>
      </c>
      <c r="K164" s="120">
        <v>1188</v>
      </c>
      <c r="L164" s="120">
        <v>132</v>
      </c>
      <c r="M164" s="120">
        <v>1164</v>
      </c>
      <c r="N164" s="120">
        <v>1152</v>
      </c>
      <c r="O164" s="120">
        <v>1136</v>
      </c>
      <c r="P164" s="120">
        <v>300</v>
      </c>
      <c r="Q164" s="120">
        <v>1160</v>
      </c>
      <c r="R164" s="120">
        <v>1164</v>
      </c>
      <c r="S164" s="120">
        <v>936</v>
      </c>
      <c r="T164" s="120">
        <v>940</v>
      </c>
      <c r="U164" s="120">
        <v>940</v>
      </c>
      <c r="V164" s="120">
        <v>936</v>
      </c>
      <c r="W164" s="120">
        <v>668</v>
      </c>
      <c r="X164" s="120">
        <v>676</v>
      </c>
      <c r="Y164" s="120">
        <v>0</v>
      </c>
      <c r="Z164" s="120">
        <v>672</v>
      </c>
      <c r="AA164" s="120">
        <v>668</v>
      </c>
      <c r="AB164" s="120">
        <v>676</v>
      </c>
      <c r="AC164" s="120">
        <v>672</v>
      </c>
      <c r="AD164" s="120">
        <v>672</v>
      </c>
      <c r="AE164" s="120">
        <v>672</v>
      </c>
      <c r="AF164" s="120">
        <v>668</v>
      </c>
      <c r="AG164" s="120">
        <v>676</v>
      </c>
      <c r="AH164" s="120">
        <v>676</v>
      </c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/>
      <c r="AS164" s="120"/>
      <c r="AT164" s="120"/>
      <c r="AU164" s="120"/>
      <c r="AV164" s="120"/>
      <c r="AW164" s="120"/>
      <c r="AX164" s="120"/>
      <c r="AY164" s="120"/>
      <c r="AZ164" s="120"/>
      <c r="BA164" s="120"/>
      <c r="BB164" s="120"/>
      <c r="BC164" s="120"/>
      <c r="BD164" s="120"/>
    </row>
    <row r="165" spans="2:56" ht="15" hidden="1" x14ac:dyDescent="0.25">
      <c r="B165" s="69"/>
      <c r="C165" s="69"/>
      <c r="D165" s="73" t="s">
        <v>33</v>
      </c>
      <c r="E165" s="120">
        <v>6860</v>
      </c>
      <c r="F165" s="120">
        <v>7996</v>
      </c>
      <c r="G165" s="120">
        <v>9076</v>
      </c>
      <c r="H165" s="120"/>
      <c r="I165" s="120">
        <v>10640</v>
      </c>
      <c r="J165" s="120">
        <v>11204</v>
      </c>
      <c r="K165" s="120">
        <v>12392</v>
      </c>
      <c r="L165" s="120">
        <v>12524</v>
      </c>
      <c r="M165" s="120">
        <v>13688</v>
      </c>
      <c r="N165" s="120">
        <v>14840</v>
      </c>
      <c r="O165" s="120">
        <v>15976</v>
      </c>
      <c r="P165" s="120">
        <v>16276</v>
      </c>
      <c r="Q165" s="120">
        <v>17436</v>
      </c>
      <c r="R165" s="120">
        <v>18600</v>
      </c>
      <c r="S165" s="120">
        <v>19536</v>
      </c>
      <c r="T165" s="120">
        <v>20476</v>
      </c>
      <c r="U165" s="120">
        <v>21416</v>
      </c>
      <c r="V165" s="120">
        <v>22352</v>
      </c>
      <c r="W165" s="120">
        <v>23020</v>
      </c>
      <c r="X165" s="120">
        <v>23696</v>
      </c>
      <c r="Y165" s="120">
        <v>23696</v>
      </c>
      <c r="Z165" s="120">
        <v>24368</v>
      </c>
      <c r="AA165" s="120">
        <v>25036</v>
      </c>
      <c r="AB165" s="120">
        <v>25712</v>
      </c>
      <c r="AC165" s="120">
        <v>26384</v>
      </c>
      <c r="AD165" s="120">
        <v>27056</v>
      </c>
      <c r="AE165" s="120">
        <v>27728</v>
      </c>
      <c r="AF165" s="120">
        <v>28396</v>
      </c>
      <c r="AG165" s="120">
        <v>29072</v>
      </c>
      <c r="AH165" s="120">
        <v>27888</v>
      </c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/>
      <c r="AS165" s="120"/>
      <c r="AT165" s="120"/>
      <c r="AU165" s="120"/>
      <c r="AV165" s="120"/>
      <c r="AW165" s="120"/>
      <c r="AX165" s="120"/>
      <c r="AY165" s="120"/>
      <c r="AZ165" s="120"/>
      <c r="BA165" s="120"/>
      <c r="BB165" s="120"/>
      <c r="BC165" s="120"/>
      <c r="BD165" s="120"/>
    </row>
    <row r="166" spans="2:56" ht="15" hidden="1" x14ac:dyDescent="0.25">
      <c r="B166" s="69"/>
      <c r="C166" s="69"/>
      <c r="D166" s="70">
        <v>45635</v>
      </c>
      <c r="E166" s="72" t="s">
        <v>0</v>
      </c>
      <c r="F166" s="72" t="s">
        <v>0</v>
      </c>
      <c r="G166" s="72" t="s">
        <v>0</v>
      </c>
      <c r="H166" s="72"/>
      <c r="I166" s="72" t="s">
        <v>0</v>
      </c>
      <c r="J166" s="72" t="s">
        <v>170</v>
      </c>
      <c r="K166" s="72" t="s">
        <v>2</v>
      </c>
      <c r="L166" s="72"/>
      <c r="M166" s="72"/>
      <c r="N166" s="72"/>
      <c r="O166" s="72" t="s">
        <v>0</v>
      </c>
      <c r="P166" s="72" t="s">
        <v>0</v>
      </c>
      <c r="Q166" s="72" t="s">
        <v>0</v>
      </c>
      <c r="R166" s="72" t="s">
        <v>0</v>
      </c>
      <c r="S166" s="72" t="s">
        <v>3</v>
      </c>
      <c r="T166" s="72"/>
      <c r="U166" s="72"/>
      <c r="V166" s="72" t="s">
        <v>4</v>
      </c>
      <c r="W166" s="72" t="s">
        <v>0</v>
      </c>
      <c r="X166" s="72" t="s">
        <v>0</v>
      </c>
      <c r="Y166" s="72" t="s">
        <v>0</v>
      </c>
      <c r="Z166" s="72" t="s">
        <v>0</v>
      </c>
      <c r="AA166" s="72" t="s">
        <v>0</v>
      </c>
      <c r="AB166" s="72" t="s">
        <v>0</v>
      </c>
      <c r="AC166" s="72" t="s">
        <v>0</v>
      </c>
      <c r="AD166" s="72" t="s">
        <v>0</v>
      </c>
      <c r="AE166" s="72" t="s">
        <v>0</v>
      </c>
      <c r="AF166" s="72" t="s">
        <v>0</v>
      </c>
      <c r="AG166" s="72" t="s">
        <v>4</v>
      </c>
      <c r="AH166" s="72" t="s">
        <v>0</v>
      </c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</row>
    <row r="167" spans="2:56" ht="15" hidden="1" x14ac:dyDescent="0.25">
      <c r="B167" s="69"/>
      <c r="C167" s="69"/>
      <c r="D167" s="73" t="s">
        <v>32</v>
      </c>
      <c r="E167" s="120">
        <v>476</v>
      </c>
      <c r="F167" s="120">
        <v>0</v>
      </c>
      <c r="G167" s="120">
        <v>1136</v>
      </c>
      <c r="H167" s="120"/>
      <c r="I167" s="120">
        <v>1124</v>
      </c>
      <c r="J167" s="120">
        <v>440</v>
      </c>
      <c r="K167" s="120">
        <v>564</v>
      </c>
      <c r="L167" s="120">
        <v>1192</v>
      </c>
      <c r="M167" s="120">
        <v>128</v>
      </c>
      <c r="N167" s="120">
        <v>1288</v>
      </c>
      <c r="O167" s="120">
        <v>1148</v>
      </c>
      <c r="P167" s="120">
        <v>1172</v>
      </c>
      <c r="Q167" s="120">
        <v>296</v>
      </c>
      <c r="R167" s="120">
        <v>1168</v>
      </c>
      <c r="S167" s="120">
        <v>1160</v>
      </c>
      <c r="T167" s="120">
        <v>940</v>
      </c>
      <c r="U167" s="120">
        <v>940</v>
      </c>
      <c r="V167" s="120">
        <v>936</v>
      </c>
      <c r="W167" s="120">
        <v>936</v>
      </c>
      <c r="X167" s="120">
        <v>676</v>
      </c>
      <c r="Y167" s="120">
        <v>672</v>
      </c>
      <c r="Z167" s="120">
        <v>0</v>
      </c>
      <c r="AA167" s="120">
        <v>668</v>
      </c>
      <c r="AB167" s="120">
        <v>676</v>
      </c>
      <c r="AC167" s="120">
        <v>672</v>
      </c>
      <c r="AD167" s="120">
        <v>0</v>
      </c>
      <c r="AE167" s="120">
        <v>672</v>
      </c>
      <c r="AF167" s="120">
        <v>668</v>
      </c>
      <c r="AG167" s="120">
        <v>676</v>
      </c>
      <c r="AH167" s="120">
        <v>676</v>
      </c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/>
      <c r="AS167" s="120"/>
      <c r="AT167" s="120"/>
      <c r="AU167" s="120"/>
      <c r="AV167" s="120"/>
      <c r="AW167" s="120"/>
      <c r="AX167" s="120"/>
      <c r="AY167" s="120"/>
      <c r="AZ167" s="120"/>
      <c r="BA167" s="120"/>
      <c r="BB167" s="120"/>
      <c r="BC167" s="120"/>
      <c r="BD167" s="120"/>
    </row>
    <row r="168" spans="2:56" ht="15" hidden="1" x14ac:dyDescent="0.25">
      <c r="B168" s="69"/>
      <c r="C168" s="69"/>
      <c r="D168" s="73" t="s">
        <v>33</v>
      </c>
      <c r="E168" s="120">
        <v>6860</v>
      </c>
      <c r="F168" s="120">
        <v>6860</v>
      </c>
      <c r="G168" s="120">
        <v>7996</v>
      </c>
      <c r="H168" s="120"/>
      <c r="I168" s="120">
        <v>10200</v>
      </c>
      <c r="J168" s="120">
        <v>10640</v>
      </c>
      <c r="K168" s="120">
        <v>11204</v>
      </c>
      <c r="L168" s="120">
        <v>12396</v>
      </c>
      <c r="M168" s="120">
        <v>12524</v>
      </c>
      <c r="N168" s="120">
        <v>13812</v>
      </c>
      <c r="O168" s="120">
        <v>14960</v>
      </c>
      <c r="P168" s="120">
        <v>16132</v>
      </c>
      <c r="Q168" s="120">
        <v>16428</v>
      </c>
      <c r="R168" s="120">
        <v>17596</v>
      </c>
      <c r="S168" s="120">
        <v>18756</v>
      </c>
      <c r="T168" s="120">
        <v>19696</v>
      </c>
      <c r="U168" s="120">
        <v>20636</v>
      </c>
      <c r="V168" s="120">
        <v>21572</v>
      </c>
      <c r="W168" s="120">
        <v>22508</v>
      </c>
      <c r="X168" s="120">
        <v>23184</v>
      </c>
      <c r="Y168" s="120">
        <v>23856</v>
      </c>
      <c r="Z168" s="120">
        <v>23856</v>
      </c>
      <c r="AA168" s="120">
        <v>24524</v>
      </c>
      <c r="AB168" s="120">
        <v>25200</v>
      </c>
      <c r="AC168" s="120">
        <v>25872</v>
      </c>
      <c r="AD168" s="120">
        <v>25872</v>
      </c>
      <c r="AE168" s="120">
        <v>26544</v>
      </c>
      <c r="AF168" s="120">
        <v>27212</v>
      </c>
      <c r="AG168" s="120">
        <v>27888</v>
      </c>
      <c r="AH168" s="120">
        <v>25920</v>
      </c>
      <c r="AI168" s="120"/>
      <c r="AJ168" s="120"/>
      <c r="AK168" s="120"/>
      <c r="AL168" s="120"/>
      <c r="AM168" s="120"/>
      <c r="AN168" s="120"/>
      <c r="AO168" s="120"/>
      <c r="AP168" s="120"/>
      <c r="AQ168" s="120"/>
      <c r="AR168" s="120"/>
      <c r="AS168" s="120"/>
      <c r="AT168" s="120"/>
      <c r="AU168" s="120"/>
      <c r="AV168" s="120"/>
      <c r="AW168" s="120"/>
      <c r="AX168" s="120"/>
      <c r="AY168" s="120"/>
      <c r="AZ168" s="120"/>
      <c r="BA168" s="120"/>
      <c r="BB168" s="120"/>
      <c r="BC168" s="120"/>
      <c r="BD168" s="120"/>
    </row>
    <row r="169" spans="2:56" ht="15" hidden="1" x14ac:dyDescent="0.25">
      <c r="B169" s="69"/>
      <c r="C169" s="69"/>
      <c r="D169" s="70">
        <v>45614</v>
      </c>
      <c r="E169" s="71" t="s">
        <v>0</v>
      </c>
      <c r="F169" s="71" t="s">
        <v>0</v>
      </c>
      <c r="G169" s="71" t="s">
        <v>2</v>
      </c>
      <c r="H169" s="71"/>
      <c r="I169" s="72" t="s">
        <v>2</v>
      </c>
      <c r="J169" s="72" t="s">
        <v>0</v>
      </c>
      <c r="K169" s="72" t="s">
        <v>0</v>
      </c>
      <c r="L169" s="72" t="s">
        <v>0</v>
      </c>
      <c r="M169" s="72" t="s">
        <v>0</v>
      </c>
      <c r="N169" s="72" t="s">
        <v>0</v>
      </c>
      <c r="O169" s="72" t="s">
        <v>0</v>
      </c>
      <c r="P169" s="72" t="s">
        <v>3</v>
      </c>
      <c r="Q169" s="72" t="s">
        <v>4</v>
      </c>
      <c r="R169" s="72" t="s">
        <v>0</v>
      </c>
      <c r="S169" s="72" t="s">
        <v>0</v>
      </c>
      <c r="T169" s="72" t="s">
        <v>0</v>
      </c>
      <c r="U169" s="72" t="s">
        <v>0</v>
      </c>
      <c r="V169" s="72" t="s">
        <v>0</v>
      </c>
      <c r="W169" s="72" t="s">
        <v>0</v>
      </c>
      <c r="X169" s="72" t="s">
        <v>0</v>
      </c>
      <c r="Y169" s="72" t="s">
        <v>0</v>
      </c>
      <c r="Z169" s="72" t="s">
        <v>0</v>
      </c>
      <c r="AA169" s="72" t="s">
        <v>0</v>
      </c>
      <c r="AB169" s="72" t="s">
        <v>0</v>
      </c>
      <c r="AC169" s="72" t="s">
        <v>0</v>
      </c>
      <c r="AD169" s="72" t="s">
        <v>4</v>
      </c>
      <c r="AE169" s="72" t="s">
        <v>0</v>
      </c>
      <c r="AF169" s="72" t="s">
        <v>0</v>
      </c>
      <c r="AG169" s="72" t="s">
        <v>0</v>
      </c>
      <c r="AH169" s="72" t="s">
        <v>0</v>
      </c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</row>
    <row r="170" spans="2:56" ht="15" hidden="1" x14ac:dyDescent="0.25">
      <c r="B170" s="69"/>
      <c r="C170" s="69"/>
      <c r="D170" s="73" t="s">
        <v>32</v>
      </c>
      <c r="E170" s="190">
        <v>476</v>
      </c>
      <c r="F170" s="190">
        <v>0</v>
      </c>
      <c r="G170" s="190">
        <v>1136</v>
      </c>
      <c r="H170" s="190"/>
      <c r="I170" s="190">
        <v>1124</v>
      </c>
      <c r="J170" s="190">
        <v>440</v>
      </c>
      <c r="K170" s="190">
        <v>564</v>
      </c>
      <c r="L170" s="190">
        <v>1188</v>
      </c>
      <c r="M170" s="190">
        <v>128</v>
      </c>
      <c r="N170" s="190">
        <v>1184</v>
      </c>
      <c r="O170" s="190">
        <v>1188</v>
      </c>
      <c r="P170" s="190">
        <v>1164</v>
      </c>
      <c r="Q170" s="190">
        <v>296</v>
      </c>
      <c r="R170" s="190">
        <v>1164</v>
      </c>
      <c r="S170" s="190">
        <v>1172</v>
      </c>
      <c r="T170" s="190">
        <v>936</v>
      </c>
      <c r="U170" s="190">
        <v>940</v>
      </c>
      <c r="V170" s="190">
        <v>940</v>
      </c>
      <c r="W170" s="190">
        <v>944</v>
      </c>
      <c r="X170" s="190">
        <v>672</v>
      </c>
      <c r="Y170" s="190">
        <v>676</v>
      </c>
      <c r="Z170" s="190">
        <v>0</v>
      </c>
      <c r="AA170" s="190">
        <v>676</v>
      </c>
      <c r="AB170" s="190">
        <v>672</v>
      </c>
      <c r="AC170" s="190">
        <v>676</v>
      </c>
      <c r="AD170" s="190">
        <v>672</v>
      </c>
      <c r="AE170" s="190">
        <v>676</v>
      </c>
      <c r="AF170" s="190">
        <v>672</v>
      </c>
      <c r="AG170" s="190">
        <v>676</v>
      </c>
      <c r="AH170" s="190">
        <v>730</v>
      </c>
      <c r="AI170" s="190"/>
      <c r="AJ170" s="190"/>
      <c r="AK170" s="190"/>
      <c r="AL170" s="190"/>
      <c r="AM170" s="190"/>
      <c r="AN170" s="190"/>
      <c r="AO170" s="190"/>
      <c r="AP170" s="190"/>
      <c r="AQ170" s="190"/>
      <c r="AR170" s="190"/>
      <c r="AS170" s="190"/>
      <c r="AT170" s="190"/>
      <c r="AU170" s="190"/>
      <c r="AV170" s="190"/>
      <c r="AW170" s="190"/>
      <c r="AX170" s="190"/>
      <c r="AY170" s="190"/>
      <c r="AZ170" s="190"/>
      <c r="BA170" s="190"/>
      <c r="BB170" s="190"/>
      <c r="BC170" s="190"/>
      <c r="BD170" s="190"/>
    </row>
    <row r="171" spans="2:56" ht="15" hidden="1" x14ac:dyDescent="0.25">
      <c r="B171" s="69"/>
      <c r="C171" s="69"/>
      <c r="D171" s="73" t="s">
        <v>33</v>
      </c>
      <c r="E171" s="190">
        <v>6860</v>
      </c>
      <c r="F171" s="190">
        <v>6860</v>
      </c>
      <c r="G171" s="190">
        <v>7996</v>
      </c>
      <c r="H171" s="190"/>
      <c r="I171" s="190">
        <v>10200</v>
      </c>
      <c r="J171" s="190">
        <v>10640</v>
      </c>
      <c r="K171" s="190">
        <v>11204</v>
      </c>
      <c r="L171" s="190">
        <v>12392</v>
      </c>
      <c r="M171" s="190">
        <v>12520</v>
      </c>
      <c r="N171" s="190">
        <v>13704</v>
      </c>
      <c r="O171" s="190">
        <v>14892</v>
      </c>
      <c r="P171" s="190">
        <v>16056</v>
      </c>
      <c r="Q171" s="190">
        <v>16352</v>
      </c>
      <c r="R171" s="190">
        <v>17516</v>
      </c>
      <c r="S171" s="190">
        <v>18688</v>
      </c>
      <c r="T171" s="190">
        <v>19624</v>
      </c>
      <c r="U171" s="190">
        <v>20564</v>
      </c>
      <c r="V171" s="190">
        <v>21504</v>
      </c>
      <c r="W171" s="190">
        <v>22448</v>
      </c>
      <c r="X171" s="190">
        <v>23120</v>
      </c>
      <c r="Y171" s="190">
        <v>23796</v>
      </c>
      <c r="Z171" s="190">
        <v>23796</v>
      </c>
      <c r="AA171" s="190">
        <v>24472</v>
      </c>
      <c r="AB171" s="190">
        <v>25144</v>
      </c>
      <c r="AC171" s="190">
        <v>25820</v>
      </c>
      <c r="AD171" s="190">
        <v>26492</v>
      </c>
      <c r="AE171" s="190">
        <v>24572</v>
      </c>
      <c r="AF171" s="190">
        <v>25244</v>
      </c>
      <c r="AG171" s="190">
        <v>25920</v>
      </c>
      <c r="AH171" s="190">
        <v>26120</v>
      </c>
      <c r="AI171" s="190"/>
      <c r="AJ171" s="190"/>
      <c r="AK171" s="190"/>
      <c r="AL171" s="190"/>
      <c r="AM171" s="190"/>
      <c r="AN171" s="190"/>
      <c r="AO171" s="190"/>
      <c r="AP171" s="190"/>
      <c r="AQ171" s="190"/>
      <c r="AR171" s="190"/>
      <c r="AS171" s="190"/>
      <c r="AT171" s="190"/>
      <c r="AU171" s="190"/>
      <c r="AV171" s="190"/>
      <c r="AW171" s="190"/>
      <c r="AX171" s="190"/>
      <c r="AY171" s="190"/>
      <c r="AZ171" s="190"/>
      <c r="BA171" s="190"/>
      <c r="BB171" s="190"/>
      <c r="BC171" s="190"/>
      <c r="BD171" s="190"/>
    </row>
    <row r="172" spans="2:56" ht="15" hidden="1" x14ac:dyDescent="0.25">
      <c r="B172" s="69"/>
      <c r="C172" s="69"/>
      <c r="D172" s="70">
        <v>45607</v>
      </c>
      <c r="E172" s="72" t="s">
        <v>0</v>
      </c>
      <c r="F172" s="72" t="s">
        <v>0</v>
      </c>
      <c r="G172" s="72" t="s">
        <v>1</v>
      </c>
      <c r="H172" s="72"/>
      <c r="I172" s="72" t="s">
        <v>4</v>
      </c>
      <c r="J172" s="72" t="s">
        <v>0</v>
      </c>
      <c r="K172" s="72" t="s">
        <v>0</v>
      </c>
      <c r="L172" s="72" t="s">
        <v>0</v>
      </c>
      <c r="M172" s="72" t="s">
        <v>0</v>
      </c>
      <c r="N172" s="72" t="s">
        <v>0</v>
      </c>
      <c r="O172" s="72" t="s">
        <v>0</v>
      </c>
      <c r="P172" s="72" t="s">
        <v>2</v>
      </c>
      <c r="Q172" s="72"/>
      <c r="R172" s="72"/>
      <c r="S172" s="72" t="s">
        <v>0</v>
      </c>
      <c r="T172" s="72" t="s">
        <v>0</v>
      </c>
      <c r="U172" s="72" t="s">
        <v>0</v>
      </c>
      <c r="V172" s="72" t="s">
        <v>0</v>
      </c>
      <c r="W172" s="72" t="s">
        <v>0</v>
      </c>
      <c r="X172" s="72" t="s">
        <v>0</v>
      </c>
      <c r="Y172" s="72" t="s">
        <v>3</v>
      </c>
      <c r="Z172" s="72" t="s">
        <v>4</v>
      </c>
      <c r="AA172" s="72" t="s">
        <v>0</v>
      </c>
      <c r="AB172" s="72" t="s">
        <v>0</v>
      </c>
      <c r="AC172" s="72" t="s">
        <v>0</v>
      </c>
      <c r="AD172" s="72" t="s">
        <v>0</v>
      </c>
      <c r="AE172" s="72" t="s">
        <v>0</v>
      </c>
      <c r="AF172" s="72" t="s">
        <v>0</v>
      </c>
      <c r="AG172" s="72" t="s">
        <v>0</v>
      </c>
      <c r="AH172" s="72" t="s">
        <v>0</v>
      </c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</row>
    <row r="173" spans="2:56" ht="15" hidden="1" x14ac:dyDescent="0.25">
      <c r="B173" s="69"/>
      <c r="C173" s="69"/>
      <c r="D173" s="73" t="s">
        <v>32</v>
      </c>
      <c r="E173" s="120">
        <v>116</v>
      </c>
      <c r="F173" s="120">
        <v>476</v>
      </c>
      <c r="G173" s="120">
        <v>0</v>
      </c>
      <c r="H173" s="120"/>
      <c r="I173" s="120">
        <v>1076</v>
      </c>
      <c r="J173" s="120">
        <v>1124</v>
      </c>
      <c r="K173" s="120">
        <v>208</v>
      </c>
      <c r="L173" s="120">
        <v>892</v>
      </c>
      <c r="M173" s="120">
        <v>1188</v>
      </c>
      <c r="N173" s="120">
        <v>128</v>
      </c>
      <c r="O173" s="120">
        <v>1184</v>
      </c>
      <c r="P173" s="120">
        <v>1192</v>
      </c>
      <c r="Q173" s="120">
        <v>1168</v>
      </c>
      <c r="R173" s="120">
        <v>296</v>
      </c>
      <c r="S173" s="120">
        <v>1164</v>
      </c>
      <c r="T173" s="120">
        <v>1172</v>
      </c>
      <c r="U173" s="120">
        <v>940</v>
      </c>
      <c r="V173" s="120">
        <v>940</v>
      </c>
      <c r="W173" s="120">
        <v>940</v>
      </c>
      <c r="X173" s="120">
        <v>940</v>
      </c>
      <c r="Y173" s="120">
        <v>672</v>
      </c>
      <c r="Z173" s="120">
        <v>676</v>
      </c>
      <c r="AA173" s="120">
        <v>0</v>
      </c>
      <c r="AB173" s="120">
        <v>676</v>
      </c>
      <c r="AC173" s="120">
        <v>672</v>
      </c>
      <c r="AD173" s="120">
        <v>676</v>
      </c>
      <c r="AE173" s="120">
        <v>0</v>
      </c>
      <c r="AF173" s="120">
        <v>730</v>
      </c>
      <c r="AG173" s="120">
        <v>730</v>
      </c>
      <c r="AH173" s="120">
        <v>676</v>
      </c>
      <c r="AI173" s="120"/>
      <c r="AJ173" s="120"/>
      <c r="AK173" s="120"/>
      <c r="AL173" s="120"/>
      <c r="AM173" s="120"/>
      <c r="AN173" s="120"/>
      <c r="AO173" s="120"/>
      <c r="AP173" s="120"/>
      <c r="AQ173" s="120"/>
      <c r="AR173" s="120"/>
      <c r="AS173" s="120"/>
      <c r="AT173" s="120"/>
      <c r="AU173" s="120"/>
      <c r="AV173" s="120"/>
      <c r="AW173" s="120"/>
      <c r="AX173" s="120"/>
      <c r="AY173" s="120"/>
      <c r="AZ173" s="120"/>
      <c r="BA173" s="120"/>
      <c r="BB173" s="120"/>
      <c r="BC173" s="120"/>
      <c r="BD173" s="120"/>
    </row>
    <row r="174" spans="2:56" ht="15" hidden="1" x14ac:dyDescent="0.25">
      <c r="B174" s="69"/>
      <c r="C174" s="69"/>
      <c r="D174" s="73" t="s">
        <v>33</v>
      </c>
      <c r="E174" s="120">
        <v>6384</v>
      </c>
      <c r="F174" s="120">
        <v>6860</v>
      </c>
      <c r="G174" s="120">
        <v>6860</v>
      </c>
      <c r="H174" s="120"/>
      <c r="I174" s="120">
        <v>9072</v>
      </c>
      <c r="J174" s="120">
        <v>10196</v>
      </c>
      <c r="K174" s="120">
        <v>10404</v>
      </c>
      <c r="L174" s="120">
        <v>11296</v>
      </c>
      <c r="M174" s="120">
        <v>12484</v>
      </c>
      <c r="N174" s="120">
        <v>12612</v>
      </c>
      <c r="O174" s="120">
        <v>13796</v>
      </c>
      <c r="P174" s="120">
        <v>14988</v>
      </c>
      <c r="Q174" s="120">
        <v>16156</v>
      </c>
      <c r="R174" s="120">
        <v>16452</v>
      </c>
      <c r="S174" s="120">
        <v>17616</v>
      </c>
      <c r="T174" s="120">
        <v>18788</v>
      </c>
      <c r="U174" s="120">
        <v>19728</v>
      </c>
      <c r="V174" s="120">
        <v>20668</v>
      </c>
      <c r="W174" s="120">
        <v>21608</v>
      </c>
      <c r="X174" s="120">
        <v>22548</v>
      </c>
      <c r="Y174" s="120">
        <v>23220</v>
      </c>
      <c r="Z174" s="120">
        <v>23896</v>
      </c>
      <c r="AA174" s="120">
        <v>23896</v>
      </c>
      <c r="AB174" s="120">
        <v>24572</v>
      </c>
      <c r="AC174" s="120">
        <v>25244</v>
      </c>
      <c r="AD174" s="120">
        <v>25920</v>
      </c>
      <c r="AE174" s="120">
        <v>24660</v>
      </c>
      <c r="AF174" s="120">
        <v>25390</v>
      </c>
      <c r="AG174" s="120">
        <v>26120</v>
      </c>
      <c r="AH174" s="120">
        <v>25916</v>
      </c>
      <c r="AI174" s="120"/>
      <c r="AJ174" s="120"/>
      <c r="AK174" s="120"/>
      <c r="AL174" s="120"/>
      <c r="AM174" s="120"/>
      <c r="AN174" s="120"/>
      <c r="AO174" s="120"/>
      <c r="AP174" s="120"/>
      <c r="AQ174" s="120"/>
      <c r="AR174" s="120"/>
      <c r="AS174" s="120"/>
      <c r="AT174" s="120"/>
      <c r="AU174" s="120"/>
      <c r="AV174" s="120"/>
      <c r="AW174" s="120"/>
      <c r="AX174" s="120"/>
      <c r="AY174" s="120"/>
      <c r="AZ174" s="120"/>
      <c r="BA174" s="120"/>
      <c r="BB174" s="120"/>
      <c r="BC174" s="120"/>
      <c r="BD174" s="120"/>
    </row>
    <row r="175" spans="2:56" ht="15" hidden="1" x14ac:dyDescent="0.25">
      <c r="B175" s="69"/>
      <c r="C175" s="69"/>
      <c r="D175" s="70">
        <v>45600</v>
      </c>
      <c r="E175" s="72" t="s">
        <v>0</v>
      </c>
      <c r="F175" s="72" t="s">
        <v>0</v>
      </c>
      <c r="G175" s="72" t="s">
        <v>1</v>
      </c>
      <c r="H175" s="72"/>
      <c r="I175" s="72" t="s">
        <v>4</v>
      </c>
      <c r="J175" s="72" t="s">
        <v>0</v>
      </c>
      <c r="K175" s="72" t="s">
        <v>0</v>
      </c>
      <c r="L175" s="72" t="s">
        <v>0</v>
      </c>
      <c r="M175" s="72" t="s">
        <v>0</v>
      </c>
      <c r="N175" s="72" t="s">
        <v>0</v>
      </c>
      <c r="O175" s="72" t="s">
        <v>0</v>
      </c>
      <c r="P175" s="72" t="s">
        <v>2</v>
      </c>
      <c r="Q175" s="72"/>
      <c r="R175" s="72"/>
      <c r="S175" s="72" t="s">
        <v>0</v>
      </c>
      <c r="T175" s="72" t="s">
        <v>0</v>
      </c>
      <c r="U175" s="72" t="s">
        <v>0</v>
      </c>
      <c r="V175" s="72" t="s">
        <v>0</v>
      </c>
      <c r="W175" s="72" t="s">
        <v>0</v>
      </c>
      <c r="X175" s="72" t="s">
        <v>0</v>
      </c>
      <c r="Y175" s="72" t="s">
        <v>3</v>
      </c>
      <c r="Z175" s="72" t="s">
        <v>4</v>
      </c>
      <c r="AA175" s="72" t="s">
        <v>0</v>
      </c>
      <c r="AB175" s="72" t="s">
        <v>0</v>
      </c>
      <c r="AC175" s="72" t="s">
        <v>0</v>
      </c>
      <c r="AD175" s="72" t="s">
        <v>0</v>
      </c>
      <c r="AE175" s="72" t="s">
        <v>0</v>
      </c>
      <c r="AF175" s="72" t="s">
        <v>0</v>
      </c>
      <c r="AG175" s="72" t="s">
        <v>0</v>
      </c>
      <c r="AH175" s="72" t="s">
        <v>0</v>
      </c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</row>
    <row r="176" spans="2:56" ht="15" hidden="1" x14ac:dyDescent="0.25">
      <c r="B176" s="69"/>
      <c r="C176" s="69"/>
      <c r="D176" s="73" t="s">
        <v>32</v>
      </c>
      <c r="E176" s="120">
        <v>0</v>
      </c>
      <c r="F176" s="120">
        <v>116</v>
      </c>
      <c r="G176" s="120">
        <v>476</v>
      </c>
      <c r="H176" s="120"/>
      <c r="I176" s="120">
        <v>1136</v>
      </c>
      <c r="J176" s="120">
        <v>1076</v>
      </c>
      <c r="K176" s="120">
        <v>1124</v>
      </c>
      <c r="L176" s="120">
        <v>1188</v>
      </c>
      <c r="M176" s="120">
        <v>1188</v>
      </c>
      <c r="N176" s="120">
        <v>1184</v>
      </c>
      <c r="O176" s="120">
        <v>128</v>
      </c>
      <c r="P176" s="120">
        <v>1188</v>
      </c>
      <c r="Q176" s="120">
        <v>1168</v>
      </c>
      <c r="R176" s="120">
        <v>1172</v>
      </c>
      <c r="S176" s="120">
        <v>296</v>
      </c>
      <c r="T176" s="120">
        <v>1172</v>
      </c>
      <c r="U176" s="120">
        <v>940</v>
      </c>
      <c r="V176" s="120">
        <v>936</v>
      </c>
      <c r="W176" s="120">
        <v>948</v>
      </c>
      <c r="X176" s="120">
        <v>936</v>
      </c>
      <c r="Y176" s="120">
        <v>672</v>
      </c>
      <c r="Z176" s="120">
        <v>680</v>
      </c>
      <c r="AA176" s="120">
        <v>668</v>
      </c>
      <c r="AB176" s="120">
        <v>0</v>
      </c>
      <c r="AC176" s="120">
        <v>730</v>
      </c>
      <c r="AD176" s="120">
        <v>730</v>
      </c>
      <c r="AE176" s="120">
        <v>668</v>
      </c>
      <c r="AF176" s="120">
        <v>676</v>
      </c>
      <c r="AG176" s="120">
        <v>676</v>
      </c>
      <c r="AH176" s="120">
        <v>940</v>
      </c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0"/>
      <c r="AU176" s="120"/>
      <c r="AV176" s="120"/>
      <c r="AW176" s="120"/>
      <c r="AX176" s="120"/>
      <c r="AY176" s="120"/>
      <c r="AZ176" s="120"/>
      <c r="BA176" s="120"/>
      <c r="BB176" s="120"/>
      <c r="BC176" s="120"/>
      <c r="BD176" s="120"/>
    </row>
    <row r="177" spans="2:56" ht="15" hidden="1" x14ac:dyDescent="0.25">
      <c r="B177" s="69"/>
      <c r="C177" s="69"/>
      <c r="D177" s="73" t="s">
        <v>33</v>
      </c>
      <c r="E177" s="120">
        <v>6268</v>
      </c>
      <c r="F177" s="120">
        <v>6384</v>
      </c>
      <c r="G177" s="120">
        <v>6860</v>
      </c>
      <c r="H177" s="120"/>
      <c r="I177" s="120">
        <v>7996</v>
      </c>
      <c r="J177" s="120">
        <v>9072</v>
      </c>
      <c r="K177" s="120">
        <v>10196</v>
      </c>
      <c r="L177" s="120">
        <v>11384</v>
      </c>
      <c r="M177" s="120">
        <v>12572</v>
      </c>
      <c r="N177" s="120">
        <v>13756</v>
      </c>
      <c r="O177" s="120">
        <v>13884</v>
      </c>
      <c r="P177" s="120">
        <v>15072</v>
      </c>
      <c r="Q177" s="120">
        <v>16240</v>
      </c>
      <c r="R177" s="120">
        <v>17412</v>
      </c>
      <c r="S177" s="120">
        <v>17708</v>
      </c>
      <c r="T177" s="120">
        <v>18880</v>
      </c>
      <c r="U177" s="120">
        <v>19820</v>
      </c>
      <c r="V177" s="120">
        <v>20756</v>
      </c>
      <c r="W177" s="120">
        <v>21704</v>
      </c>
      <c r="X177" s="120">
        <v>22640</v>
      </c>
      <c r="Y177" s="120">
        <v>23312</v>
      </c>
      <c r="Z177" s="120">
        <v>23992</v>
      </c>
      <c r="AA177" s="120">
        <v>24660</v>
      </c>
      <c r="AB177" s="120">
        <v>24660</v>
      </c>
      <c r="AC177" s="120">
        <v>25390</v>
      </c>
      <c r="AD177" s="120">
        <v>26120</v>
      </c>
      <c r="AE177" s="120">
        <v>24564</v>
      </c>
      <c r="AF177" s="120">
        <v>25240</v>
      </c>
      <c r="AG177" s="120">
        <v>25916</v>
      </c>
      <c r="AH177" s="120">
        <v>26780</v>
      </c>
      <c r="AI177" s="120"/>
      <c r="AJ177" s="120"/>
      <c r="AK177" s="120"/>
      <c r="AL177" s="120"/>
      <c r="AM177" s="120"/>
      <c r="AN177" s="120"/>
      <c r="AO177" s="120"/>
      <c r="AP177" s="120"/>
      <c r="AQ177" s="120"/>
      <c r="AR177" s="120"/>
      <c r="AS177" s="120"/>
      <c r="AT177" s="120"/>
      <c r="AU177" s="120"/>
      <c r="AV177" s="120"/>
      <c r="AW177" s="120"/>
      <c r="AX177" s="120"/>
      <c r="AY177" s="120"/>
      <c r="AZ177" s="120"/>
      <c r="BA177" s="120"/>
      <c r="BB177" s="120"/>
      <c r="BC177" s="120"/>
      <c r="BD177" s="120"/>
    </row>
    <row r="178" spans="2:56" ht="15" hidden="1" x14ac:dyDescent="0.25">
      <c r="B178" s="69"/>
      <c r="C178" s="69"/>
      <c r="D178" s="70">
        <v>45593</v>
      </c>
      <c r="E178" s="72" t="s">
        <v>0</v>
      </c>
      <c r="F178" s="72" t="s">
        <v>0</v>
      </c>
      <c r="G178" s="72" t="s">
        <v>1</v>
      </c>
      <c r="H178" s="72"/>
      <c r="I178" s="72" t="s">
        <v>4</v>
      </c>
      <c r="J178" s="72" t="s">
        <v>0</v>
      </c>
      <c r="K178" s="72" t="s">
        <v>0</v>
      </c>
      <c r="L178" s="72" t="s">
        <v>0</v>
      </c>
      <c r="M178" s="72" t="s">
        <v>0</v>
      </c>
      <c r="N178" s="72" t="s">
        <v>0</v>
      </c>
      <c r="O178" s="72" t="s">
        <v>0</v>
      </c>
      <c r="P178" s="72" t="s">
        <v>2</v>
      </c>
      <c r="Q178" s="72"/>
      <c r="R178" s="72"/>
      <c r="S178" s="72" t="s">
        <v>0</v>
      </c>
      <c r="T178" s="72" t="s">
        <v>0</v>
      </c>
      <c r="U178" s="72" t="s">
        <v>0</v>
      </c>
      <c r="V178" s="72" t="s">
        <v>0</v>
      </c>
      <c r="W178" s="72" t="s">
        <v>0</v>
      </c>
      <c r="X178" s="72" t="s">
        <v>0</v>
      </c>
      <c r="Y178" s="72" t="s">
        <v>3</v>
      </c>
      <c r="Z178" s="72" t="s">
        <v>4</v>
      </c>
      <c r="AA178" s="72" t="s">
        <v>0</v>
      </c>
      <c r="AB178" s="72" t="s">
        <v>0</v>
      </c>
      <c r="AC178" s="72" t="s">
        <v>0</v>
      </c>
      <c r="AD178" s="72" t="s">
        <v>0</v>
      </c>
      <c r="AE178" s="72" t="s">
        <v>0</v>
      </c>
      <c r="AF178" s="72" t="s">
        <v>0</v>
      </c>
      <c r="AG178" s="72" t="s">
        <v>0</v>
      </c>
      <c r="AH178" s="72" t="s">
        <v>0</v>
      </c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</row>
    <row r="179" spans="2:56" ht="15" hidden="1" x14ac:dyDescent="0.25">
      <c r="B179" s="69"/>
      <c r="C179" s="69"/>
      <c r="D179" s="73" t="s">
        <v>32</v>
      </c>
      <c r="E179" s="120">
        <v>0</v>
      </c>
      <c r="F179" s="120">
        <v>0</v>
      </c>
      <c r="G179" s="120">
        <v>116</v>
      </c>
      <c r="H179" s="120"/>
      <c r="I179" s="120">
        <v>0</v>
      </c>
      <c r="J179" s="120">
        <v>1136</v>
      </c>
      <c r="K179" s="120">
        <v>1008</v>
      </c>
      <c r="L179" s="120">
        <v>1104</v>
      </c>
      <c r="M179" s="120">
        <v>1180</v>
      </c>
      <c r="N179" s="120">
        <v>1188</v>
      </c>
      <c r="O179" s="120">
        <v>1184</v>
      </c>
      <c r="P179" s="120">
        <v>128</v>
      </c>
      <c r="Q179" s="120">
        <v>1192</v>
      </c>
      <c r="R179" s="120">
        <v>1168</v>
      </c>
      <c r="S179" s="120">
        <v>1172</v>
      </c>
      <c r="T179" s="120">
        <v>296</v>
      </c>
      <c r="U179" s="120">
        <v>1168</v>
      </c>
      <c r="V179" s="120">
        <v>940</v>
      </c>
      <c r="W179" s="120">
        <v>936</v>
      </c>
      <c r="X179" s="120">
        <v>944</v>
      </c>
      <c r="Y179" s="120">
        <v>940</v>
      </c>
      <c r="Z179" s="120">
        <v>676</v>
      </c>
      <c r="AA179" s="120">
        <v>676</v>
      </c>
      <c r="AB179" s="120">
        <v>668</v>
      </c>
      <c r="AC179" s="120">
        <v>676</v>
      </c>
      <c r="AD179" s="120">
        <v>676</v>
      </c>
      <c r="AE179" s="120">
        <v>936</v>
      </c>
      <c r="AF179" s="120">
        <v>940</v>
      </c>
      <c r="AG179" s="120">
        <v>940</v>
      </c>
      <c r="AH179" s="120">
        <v>940</v>
      </c>
      <c r="AI179" s="120"/>
      <c r="AJ179" s="120"/>
      <c r="AK179" s="120"/>
      <c r="AL179" s="120"/>
      <c r="AM179" s="120"/>
      <c r="AN179" s="120"/>
      <c r="AO179" s="120"/>
      <c r="AP179" s="120"/>
      <c r="AQ179" s="120"/>
      <c r="AR179" s="120"/>
      <c r="AS179" s="120"/>
      <c r="AT179" s="120"/>
      <c r="AU179" s="120"/>
      <c r="AV179" s="120"/>
      <c r="AW179" s="120"/>
      <c r="AX179" s="120"/>
      <c r="AY179" s="120"/>
      <c r="AZ179" s="120"/>
      <c r="BA179" s="120"/>
      <c r="BB179" s="120"/>
      <c r="BC179" s="120"/>
      <c r="BD179" s="120"/>
    </row>
    <row r="180" spans="2:56" ht="15" hidden="1" x14ac:dyDescent="0.25">
      <c r="B180" s="74"/>
      <c r="C180" s="74"/>
      <c r="D180" s="73" t="s">
        <v>33</v>
      </c>
      <c r="E180" s="120">
        <v>6268</v>
      </c>
      <c r="F180" s="120">
        <v>6268</v>
      </c>
      <c r="G180" s="120">
        <v>6384</v>
      </c>
      <c r="H180" s="120"/>
      <c r="I180" s="120">
        <v>6860</v>
      </c>
      <c r="J180" s="120">
        <v>7996</v>
      </c>
      <c r="K180" s="120">
        <v>9004</v>
      </c>
      <c r="L180" s="120">
        <v>10108</v>
      </c>
      <c r="M180" s="120">
        <v>11288</v>
      </c>
      <c r="N180" s="120">
        <v>12476</v>
      </c>
      <c r="O180" s="120">
        <v>13660</v>
      </c>
      <c r="P180" s="120">
        <v>13788</v>
      </c>
      <c r="Q180" s="120">
        <v>14980</v>
      </c>
      <c r="R180" s="120">
        <v>16148</v>
      </c>
      <c r="S180" s="120">
        <v>17320</v>
      </c>
      <c r="T180" s="120">
        <v>17616</v>
      </c>
      <c r="U180" s="120">
        <v>18784</v>
      </c>
      <c r="V180" s="120">
        <v>19724</v>
      </c>
      <c r="W180" s="120">
        <v>20660</v>
      </c>
      <c r="X180" s="120">
        <v>21604</v>
      </c>
      <c r="Y180" s="120">
        <v>22544</v>
      </c>
      <c r="Z180" s="120">
        <v>23220</v>
      </c>
      <c r="AA180" s="120">
        <v>23896</v>
      </c>
      <c r="AB180" s="120">
        <v>24564</v>
      </c>
      <c r="AC180" s="120">
        <v>25240</v>
      </c>
      <c r="AD180" s="120">
        <v>25916</v>
      </c>
      <c r="AE180" s="120">
        <v>24900</v>
      </c>
      <c r="AF180" s="120">
        <v>25840</v>
      </c>
      <c r="AG180" s="120">
        <v>26780</v>
      </c>
      <c r="AH180" s="120">
        <v>25880</v>
      </c>
      <c r="AI180" s="120"/>
      <c r="AJ180" s="120"/>
      <c r="AK180" s="120"/>
      <c r="AL180" s="120"/>
      <c r="AM180" s="120"/>
      <c r="AN180" s="120"/>
      <c r="AO180" s="120"/>
      <c r="AP180" s="120"/>
      <c r="AQ180" s="120"/>
      <c r="AR180" s="120"/>
      <c r="AS180" s="120"/>
      <c r="AT180" s="120"/>
      <c r="AU180" s="120"/>
      <c r="AV180" s="120"/>
      <c r="AW180" s="120"/>
      <c r="AX180" s="120"/>
      <c r="AY180" s="120"/>
      <c r="AZ180" s="120"/>
      <c r="BA180" s="120"/>
      <c r="BB180" s="120"/>
      <c r="BC180" s="120"/>
      <c r="BD180" s="120"/>
    </row>
    <row r="181" spans="2:56" ht="15" hidden="1" x14ac:dyDescent="0.25">
      <c r="B181" s="69"/>
      <c r="C181" s="69"/>
      <c r="D181" s="70">
        <v>45586</v>
      </c>
      <c r="E181" s="72" t="s">
        <v>0</v>
      </c>
      <c r="F181" s="72" t="s">
        <v>0</v>
      </c>
      <c r="G181" s="72" t="s">
        <v>1</v>
      </c>
      <c r="H181" s="72"/>
      <c r="I181" s="72" t="s">
        <v>4</v>
      </c>
      <c r="J181" s="72" t="s">
        <v>0</v>
      </c>
      <c r="K181" s="72" t="s">
        <v>0</v>
      </c>
      <c r="L181" s="72" t="s">
        <v>0</v>
      </c>
      <c r="M181" s="72" t="s">
        <v>0</v>
      </c>
      <c r="N181" s="72" t="s">
        <v>0</v>
      </c>
      <c r="O181" s="72" t="s">
        <v>0</v>
      </c>
      <c r="P181" s="72" t="s">
        <v>2</v>
      </c>
      <c r="Q181" s="72"/>
      <c r="R181" s="72"/>
      <c r="S181" s="72" t="s">
        <v>0</v>
      </c>
      <c r="T181" s="72" t="s">
        <v>0</v>
      </c>
      <c r="U181" s="72" t="s">
        <v>0</v>
      </c>
      <c r="V181" s="72" t="s">
        <v>0</v>
      </c>
      <c r="W181" s="72" t="s">
        <v>0</v>
      </c>
      <c r="X181" s="72" t="s">
        <v>0</v>
      </c>
      <c r="Y181" s="72" t="s">
        <v>3</v>
      </c>
      <c r="Z181" s="72" t="s">
        <v>4</v>
      </c>
      <c r="AA181" s="72" t="s">
        <v>0</v>
      </c>
      <c r="AB181" s="72" t="s">
        <v>0</v>
      </c>
      <c r="AC181" s="72" t="s">
        <v>0</v>
      </c>
      <c r="AD181" s="72" t="s">
        <v>0</v>
      </c>
      <c r="AE181" s="72" t="s">
        <v>0</v>
      </c>
      <c r="AF181" s="72" t="s">
        <v>0</v>
      </c>
      <c r="AG181" s="72" t="s">
        <v>0</v>
      </c>
      <c r="AH181" s="72" t="s">
        <v>0</v>
      </c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</row>
    <row r="182" spans="2:56" ht="15" hidden="1" x14ac:dyDescent="0.25">
      <c r="B182" s="69"/>
      <c r="C182" s="69"/>
      <c r="D182" s="73" t="s">
        <v>32</v>
      </c>
      <c r="E182" s="120">
        <v>0</v>
      </c>
      <c r="F182" s="120">
        <v>0</v>
      </c>
      <c r="G182" s="120">
        <v>0</v>
      </c>
      <c r="H182" s="120"/>
      <c r="I182" s="120">
        <v>476</v>
      </c>
      <c r="J182" s="120">
        <v>0</v>
      </c>
      <c r="K182" s="120">
        <v>896</v>
      </c>
      <c r="L182" s="120">
        <v>940</v>
      </c>
      <c r="M182" s="120">
        <v>1056</v>
      </c>
      <c r="N182" s="120">
        <v>1168</v>
      </c>
      <c r="O182" s="120">
        <v>1184</v>
      </c>
      <c r="P182" s="120">
        <v>1188</v>
      </c>
      <c r="Q182" s="120">
        <v>128</v>
      </c>
      <c r="R182" s="120">
        <v>1184</v>
      </c>
      <c r="S182" s="120">
        <v>1164</v>
      </c>
      <c r="T182" s="120">
        <v>1168</v>
      </c>
      <c r="U182" s="120">
        <v>1164</v>
      </c>
      <c r="V182" s="120">
        <v>1168</v>
      </c>
      <c r="W182" s="120">
        <v>940</v>
      </c>
      <c r="X182" s="120">
        <v>936</v>
      </c>
      <c r="Y182" s="120">
        <v>940</v>
      </c>
      <c r="Z182" s="120">
        <v>940</v>
      </c>
      <c r="AA182" s="120">
        <v>940</v>
      </c>
      <c r="AB182" s="120">
        <v>936</v>
      </c>
      <c r="AC182" s="120">
        <v>940</v>
      </c>
      <c r="AD182" s="120">
        <v>940</v>
      </c>
      <c r="AE182" s="120">
        <v>940</v>
      </c>
      <c r="AF182" s="120">
        <v>940</v>
      </c>
      <c r="AG182" s="120">
        <v>940</v>
      </c>
      <c r="AH182" s="120">
        <v>956</v>
      </c>
      <c r="AI182" s="120"/>
      <c r="AJ182" s="120"/>
      <c r="AK182" s="120"/>
      <c r="AL182" s="120"/>
      <c r="AM182" s="120"/>
      <c r="AN182" s="120"/>
      <c r="AO182" s="120"/>
      <c r="AP182" s="120"/>
      <c r="AQ182" s="120"/>
      <c r="AR182" s="120"/>
      <c r="AS182" s="120"/>
      <c r="AT182" s="120"/>
      <c r="AU182" s="120"/>
      <c r="AV182" s="120"/>
      <c r="AW182" s="120"/>
      <c r="AX182" s="120"/>
      <c r="AY182" s="120"/>
      <c r="AZ182" s="120"/>
      <c r="BA182" s="120"/>
      <c r="BB182" s="120"/>
      <c r="BC182" s="120"/>
      <c r="BD182" s="120"/>
    </row>
    <row r="183" spans="2:56" ht="15" hidden="1" x14ac:dyDescent="0.25">
      <c r="B183" s="74"/>
      <c r="C183" s="74"/>
      <c r="D183" s="73" t="s">
        <v>33</v>
      </c>
      <c r="E183" s="120">
        <v>6268</v>
      </c>
      <c r="F183" s="120">
        <v>6268</v>
      </c>
      <c r="G183" s="120">
        <v>6268</v>
      </c>
      <c r="H183" s="120"/>
      <c r="I183" s="120">
        <v>6860</v>
      </c>
      <c r="J183" s="120">
        <v>6860</v>
      </c>
      <c r="K183" s="120">
        <v>7756</v>
      </c>
      <c r="L183" s="120">
        <v>8696</v>
      </c>
      <c r="M183" s="120">
        <v>9752</v>
      </c>
      <c r="N183" s="120">
        <v>10920</v>
      </c>
      <c r="O183" s="120">
        <v>12104</v>
      </c>
      <c r="P183" s="120">
        <v>13292</v>
      </c>
      <c r="Q183" s="120">
        <v>13420</v>
      </c>
      <c r="R183" s="120">
        <v>14604</v>
      </c>
      <c r="S183" s="120">
        <v>15768</v>
      </c>
      <c r="T183" s="120">
        <v>16936</v>
      </c>
      <c r="U183" s="120">
        <v>18100</v>
      </c>
      <c r="V183" s="120">
        <v>19268</v>
      </c>
      <c r="W183" s="120">
        <v>20208</v>
      </c>
      <c r="X183" s="120">
        <v>21144</v>
      </c>
      <c r="Y183" s="120">
        <v>22084</v>
      </c>
      <c r="Z183" s="120">
        <v>23024</v>
      </c>
      <c r="AA183" s="120">
        <v>23964</v>
      </c>
      <c r="AB183" s="120">
        <v>24900</v>
      </c>
      <c r="AC183" s="120">
        <v>25840</v>
      </c>
      <c r="AD183" s="120">
        <v>26780</v>
      </c>
      <c r="AE183" s="120">
        <v>24000</v>
      </c>
      <c r="AF183" s="120">
        <v>24940</v>
      </c>
      <c r="AG183" s="120">
        <v>25880</v>
      </c>
      <c r="AH183" s="120">
        <v>23584</v>
      </c>
      <c r="AI183" s="120"/>
      <c r="AJ183" s="120"/>
      <c r="AK183" s="120"/>
      <c r="AL183" s="120"/>
      <c r="AM183" s="120"/>
      <c r="AN183" s="120"/>
      <c r="AO183" s="120"/>
      <c r="AP183" s="120"/>
      <c r="AQ183" s="120"/>
      <c r="AR183" s="120"/>
      <c r="AS183" s="120"/>
      <c r="AT183" s="120"/>
      <c r="AU183" s="120"/>
      <c r="AV183" s="120"/>
      <c r="AW183" s="120"/>
      <c r="AX183" s="120"/>
      <c r="AY183" s="120"/>
      <c r="AZ183" s="120"/>
      <c r="BA183" s="120"/>
      <c r="BB183" s="120"/>
      <c r="BC183" s="120"/>
      <c r="BD183" s="120"/>
    </row>
    <row r="184" spans="2:56" ht="15" hidden="1" x14ac:dyDescent="0.25">
      <c r="B184" s="69"/>
      <c r="C184" s="69"/>
      <c r="D184" s="70">
        <v>45579</v>
      </c>
      <c r="E184" s="72" t="s">
        <v>0</v>
      </c>
      <c r="F184" s="72" t="s">
        <v>0</v>
      </c>
      <c r="G184" s="72" t="s">
        <v>1</v>
      </c>
      <c r="H184" s="72"/>
      <c r="I184" s="72" t="s">
        <v>4</v>
      </c>
      <c r="J184" s="72" t="s">
        <v>0</v>
      </c>
      <c r="K184" s="72" t="s">
        <v>0</v>
      </c>
      <c r="L184" s="72" t="s">
        <v>0</v>
      </c>
      <c r="M184" s="72" t="s">
        <v>0</v>
      </c>
      <c r="N184" s="72" t="s">
        <v>0</v>
      </c>
      <c r="O184" s="72" t="s">
        <v>0</v>
      </c>
      <c r="P184" s="72" t="s">
        <v>2</v>
      </c>
      <c r="Q184" s="72"/>
      <c r="R184" s="72"/>
      <c r="S184" s="72" t="s">
        <v>0</v>
      </c>
      <c r="T184" s="72" t="s">
        <v>0</v>
      </c>
      <c r="U184" s="72" t="s">
        <v>0</v>
      </c>
      <c r="V184" s="72" t="s">
        <v>0</v>
      </c>
      <c r="W184" s="72" t="s">
        <v>0</v>
      </c>
      <c r="X184" s="72" t="s">
        <v>0</v>
      </c>
      <c r="Y184" s="72" t="s">
        <v>3</v>
      </c>
      <c r="Z184" s="72" t="s">
        <v>4</v>
      </c>
      <c r="AA184" s="72" t="s">
        <v>0</v>
      </c>
      <c r="AB184" s="72" t="s">
        <v>0</v>
      </c>
      <c r="AC184" s="72" t="s">
        <v>0</v>
      </c>
      <c r="AD184" s="72" t="s">
        <v>0</v>
      </c>
      <c r="AE184" s="72" t="s">
        <v>0</v>
      </c>
      <c r="AF184" s="72" t="s">
        <v>0</v>
      </c>
      <c r="AG184" s="72" t="s">
        <v>0</v>
      </c>
      <c r="AH184" s="72" t="s">
        <v>0</v>
      </c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</row>
    <row r="185" spans="2:56" ht="15" hidden="1" x14ac:dyDescent="0.25">
      <c r="B185" s="69"/>
      <c r="C185" s="69"/>
      <c r="D185" s="73" t="s">
        <v>32</v>
      </c>
      <c r="E185" s="120">
        <v>532</v>
      </c>
      <c r="F185" s="120">
        <v>0</v>
      </c>
      <c r="G185" s="120">
        <v>0</v>
      </c>
      <c r="H185" s="120"/>
      <c r="I185" s="120">
        <v>116</v>
      </c>
      <c r="J185" s="120">
        <v>508</v>
      </c>
      <c r="K185" s="120">
        <v>0</v>
      </c>
      <c r="L185" s="120">
        <v>896</v>
      </c>
      <c r="M185" s="120">
        <v>940</v>
      </c>
      <c r="N185" s="120">
        <v>1060</v>
      </c>
      <c r="O185" s="120">
        <v>1168</v>
      </c>
      <c r="P185" s="120">
        <v>1192</v>
      </c>
      <c r="Q185" s="120">
        <v>1180</v>
      </c>
      <c r="R185" s="120">
        <v>128</v>
      </c>
      <c r="S185" s="120">
        <v>1184</v>
      </c>
      <c r="T185" s="120">
        <v>1168</v>
      </c>
      <c r="U185" s="120">
        <v>1164</v>
      </c>
      <c r="V185" s="120">
        <v>1164</v>
      </c>
      <c r="W185" s="120">
        <v>1168</v>
      </c>
      <c r="X185" s="120">
        <v>940</v>
      </c>
      <c r="Y185" s="120">
        <v>940</v>
      </c>
      <c r="Z185" s="120">
        <v>940</v>
      </c>
      <c r="AA185" s="120">
        <v>936</v>
      </c>
      <c r="AB185" s="120">
        <v>940</v>
      </c>
      <c r="AC185" s="120">
        <v>940</v>
      </c>
      <c r="AD185" s="120">
        <v>940</v>
      </c>
      <c r="AE185" s="120">
        <v>956</v>
      </c>
      <c r="AF185" s="120">
        <v>956</v>
      </c>
      <c r="AG185" s="120">
        <v>956</v>
      </c>
      <c r="AH185" s="120">
        <v>1196</v>
      </c>
      <c r="AI185" s="120"/>
      <c r="AJ185" s="120"/>
      <c r="AK185" s="120"/>
      <c r="AL185" s="120"/>
      <c r="AM185" s="120"/>
      <c r="AN185" s="120"/>
      <c r="AO185" s="120"/>
      <c r="AP185" s="120"/>
      <c r="AQ185" s="120"/>
      <c r="AR185" s="120"/>
      <c r="AS185" s="120"/>
      <c r="AT185" s="120"/>
      <c r="AU185" s="120"/>
      <c r="AV185" s="120"/>
      <c r="AW185" s="120"/>
      <c r="AX185" s="120"/>
      <c r="AY185" s="120"/>
      <c r="AZ185" s="120"/>
      <c r="BA185" s="120"/>
      <c r="BB185" s="120"/>
      <c r="BC185" s="120"/>
      <c r="BD185" s="120"/>
    </row>
    <row r="186" spans="2:56" ht="15" hidden="1" x14ac:dyDescent="0.25">
      <c r="B186" s="74"/>
      <c r="C186" s="74"/>
      <c r="D186" s="73" t="s">
        <v>33</v>
      </c>
      <c r="E186" s="120">
        <v>6268</v>
      </c>
      <c r="F186" s="120">
        <v>6268</v>
      </c>
      <c r="G186" s="120">
        <v>6268</v>
      </c>
      <c r="H186" s="120"/>
      <c r="I186" s="120">
        <v>6384</v>
      </c>
      <c r="J186" s="120">
        <v>6892</v>
      </c>
      <c r="K186" s="120">
        <v>6892</v>
      </c>
      <c r="L186" s="120">
        <v>7788</v>
      </c>
      <c r="M186" s="120">
        <v>8728</v>
      </c>
      <c r="N186" s="120">
        <v>9788</v>
      </c>
      <c r="O186" s="120">
        <v>10956</v>
      </c>
      <c r="P186" s="120">
        <v>12148</v>
      </c>
      <c r="Q186" s="120">
        <v>13328</v>
      </c>
      <c r="R186" s="120">
        <v>13456</v>
      </c>
      <c r="S186" s="120">
        <v>14640</v>
      </c>
      <c r="T186" s="120">
        <v>15808</v>
      </c>
      <c r="U186" s="120">
        <v>16972</v>
      </c>
      <c r="V186" s="120">
        <v>18136</v>
      </c>
      <c r="W186" s="120">
        <v>19304</v>
      </c>
      <c r="X186" s="120">
        <v>20244</v>
      </c>
      <c r="Y186" s="120">
        <v>21184</v>
      </c>
      <c r="Z186" s="120">
        <v>22124</v>
      </c>
      <c r="AA186" s="120">
        <v>23060</v>
      </c>
      <c r="AB186" s="120">
        <v>24000</v>
      </c>
      <c r="AC186" s="120">
        <v>24940</v>
      </c>
      <c r="AD186" s="120">
        <v>25880</v>
      </c>
      <c r="AE186" s="120">
        <v>22628</v>
      </c>
      <c r="AF186" s="120">
        <v>23584</v>
      </c>
      <c r="AG186" s="120">
        <v>23584</v>
      </c>
      <c r="AH186" s="120">
        <v>23160</v>
      </c>
      <c r="AI186" s="120"/>
      <c r="AJ186" s="120"/>
      <c r="AK186" s="120"/>
      <c r="AL186" s="120"/>
      <c r="AM186" s="120"/>
      <c r="AN186" s="120"/>
      <c r="AO186" s="120"/>
      <c r="AP186" s="120"/>
      <c r="AQ186" s="120"/>
      <c r="AR186" s="120"/>
      <c r="AS186" s="120"/>
      <c r="AT186" s="120"/>
      <c r="AU186" s="120"/>
      <c r="AV186" s="120"/>
      <c r="AW186" s="120"/>
      <c r="AX186" s="120"/>
      <c r="AY186" s="120"/>
      <c r="AZ186" s="120"/>
      <c r="BA186" s="120"/>
      <c r="BB186" s="120"/>
      <c r="BC186" s="120"/>
      <c r="BD186" s="120"/>
    </row>
    <row r="187" spans="2:56" ht="15" hidden="1" x14ac:dyDescent="0.25">
      <c r="B187" s="69"/>
      <c r="C187" s="69"/>
      <c r="D187" s="70">
        <v>45565</v>
      </c>
      <c r="E187" s="72" t="s">
        <v>0</v>
      </c>
      <c r="F187" s="72" t="s">
        <v>0</v>
      </c>
      <c r="G187" s="72" t="s">
        <v>1</v>
      </c>
      <c r="H187" s="72"/>
      <c r="I187" s="72" t="s">
        <v>4</v>
      </c>
      <c r="J187" s="72" t="s">
        <v>0</v>
      </c>
      <c r="K187" s="72" t="s">
        <v>0</v>
      </c>
      <c r="L187" s="72" t="s">
        <v>0</v>
      </c>
      <c r="M187" s="72" t="s">
        <v>0</v>
      </c>
      <c r="N187" s="72" t="s">
        <v>0</v>
      </c>
      <c r="O187" s="72" t="s">
        <v>0</v>
      </c>
      <c r="P187" s="72" t="s">
        <v>2</v>
      </c>
      <c r="Q187" s="72"/>
      <c r="R187" s="72"/>
      <c r="S187" s="72" t="s">
        <v>0</v>
      </c>
      <c r="T187" s="72" t="s">
        <v>0</v>
      </c>
      <c r="U187" s="72" t="s">
        <v>0</v>
      </c>
      <c r="V187" s="72" t="s">
        <v>0</v>
      </c>
      <c r="W187" s="72" t="s">
        <v>0</v>
      </c>
      <c r="X187" s="72" t="s">
        <v>0</v>
      </c>
      <c r="Y187" s="72" t="s">
        <v>3</v>
      </c>
      <c r="Z187" s="72" t="s">
        <v>4</v>
      </c>
      <c r="AA187" s="72" t="s">
        <v>0</v>
      </c>
      <c r="AB187" s="72" t="s">
        <v>0</v>
      </c>
      <c r="AC187" s="72" t="s">
        <v>0</v>
      </c>
      <c r="AD187" s="72" t="s">
        <v>0</v>
      </c>
      <c r="AE187" s="72" t="s">
        <v>0</v>
      </c>
      <c r="AF187" s="72" t="s">
        <v>0</v>
      </c>
      <c r="AG187" s="72" t="s">
        <v>0</v>
      </c>
      <c r="AH187" s="72" t="s">
        <v>0</v>
      </c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</row>
    <row r="188" spans="2:56" ht="15" hidden="1" x14ac:dyDescent="0.25">
      <c r="B188" s="69"/>
      <c r="C188" s="69"/>
      <c r="D188" s="73" t="s">
        <v>32</v>
      </c>
      <c r="E188" s="120">
        <v>0</v>
      </c>
      <c r="F188" s="120">
        <v>532</v>
      </c>
      <c r="G188" s="120">
        <v>0</v>
      </c>
      <c r="H188" s="120"/>
      <c r="I188" s="120">
        <v>0</v>
      </c>
      <c r="J188" s="120">
        <v>0</v>
      </c>
      <c r="K188" s="120">
        <v>124</v>
      </c>
      <c r="L188" s="120">
        <v>0</v>
      </c>
      <c r="M188" s="120">
        <v>572</v>
      </c>
      <c r="N188" s="120">
        <v>1084</v>
      </c>
      <c r="O188" s="120">
        <v>1076</v>
      </c>
      <c r="P188" s="120">
        <v>1204</v>
      </c>
      <c r="Q188" s="120">
        <v>1200</v>
      </c>
      <c r="R188" s="120">
        <v>1200</v>
      </c>
      <c r="S188" s="120">
        <v>128</v>
      </c>
      <c r="T188" s="120">
        <v>1208</v>
      </c>
      <c r="U188" s="120">
        <v>1192</v>
      </c>
      <c r="V188" s="120">
        <v>1176</v>
      </c>
      <c r="W188" s="120">
        <v>1188</v>
      </c>
      <c r="X188" s="120">
        <v>1184</v>
      </c>
      <c r="Y188" s="120">
        <v>956</v>
      </c>
      <c r="Z188" s="120">
        <v>960</v>
      </c>
      <c r="AA188" s="120">
        <v>952</v>
      </c>
      <c r="AB188" s="120">
        <v>956</v>
      </c>
      <c r="AC188" s="120">
        <v>956</v>
      </c>
      <c r="AD188" s="120">
        <v>956</v>
      </c>
      <c r="AE188" s="120">
        <v>1196</v>
      </c>
      <c r="AF188" s="120">
        <v>1196</v>
      </c>
      <c r="AG188" s="120">
        <v>1196</v>
      </c>
      <c r="AH188" s="120">
        <v>1192</v>
      </c>
      <c r="AI188" s="120"/>
      <c r="AJ188" s="120"/>
      <c r="AK188" s="120"/>
      <c r="AL188" s="120"/>
      <c r="AM188" s="120"/>
      <c r="AN188" s="120"/>
      <c r="AO188" s="120"/>
      <c r="AP188" s="120"/>
      <c r="AQ188" s="120"/>
      <c r="AR188" s="120"/>
      <c r="AS188" s="120"/>
      <c r="AT188" s="120"/>
      <c r="AU188" s="120"/>
      <c r="AV188" s="120"/>
      <c r="AW188" s="120"/>
      <c r="AX188" s="120"/>
      <c r="AY188" s="120"/>
      <c r="AZ188" s="120"/>
      <c r="BA188" s="120"/>
      <c r="BB188" s="120"/>
      <c r="BC188" s="120"/>
      <c r="BD188" s="120"/>
    </row>
    <row r="189" spans="2:56" ht="15" hidden="1" x14ac:dyDescent="0.25">
      <c r="B189" s="74"/>
      <c r="C189" s="74"/>
      <c r="D189" s="73" t="s">
        <v>33</v>
      </c>
      <c r="E189" s="120">
        <v>5736</v>
      </c>
      <c r="F189" s="120">
        <v>6268</v>
      </c>
      <c r="G189" s="120">
        <v>6268</v>
      </c>
      <c r="H189" s="120"/>
      <c r="I189" s="120">
        <v>6268</v>
      </c>
      <c r="J189" s="120">
        <v>6268</v>
      </c>
      <c r="K189" s="120">
        <v>6392</v>
      </c>
      <c r="L189" s="120">
        <v>6392</v>
      </c>
      <c r="M189" s="120">
        <v>6964</v>
      </c>
      <c r="N189" s="120">
        <v>8048</v>
      </c>
      <c r="O189" s="120">
        <v>9124</v>
      </c>
      <c r="P189" s="120">
        <v>10328</v>
      </c>
      <c r="Q189" s="120">
        <v>11528</v>
      </c>
      <c r="R189" s="120">
        <v>12728</v>
      </c>
      <c r="S189" s="120">
        <v>12856</v>
      </c>
      <c r="T189" s="120">
        <v>14064</v>
      </c>
      <c r="U189" s="120">
        <v>15256</v>
      </c>
      <c r="V189" s="120">
        <v>16432</v>
      </c>
      <c r="W189" s="120">
        <v>17620</v>
      </c>
      <c r="X189" s="120">
        <v>18804</v>
      </c>
      <c r="Y189" s="120">
        <v>19760</v>
      </c>
      <c r="Z189" s="120">
        <v>20720</v>
      </c>
      <c r="AA189" s="120">
        <v>21672</v>
      </c>
      <c r="AB189" s="120">
        <v>22628</v>
      </c>
      <c r="AC189" s="120">
        <v>23584</v>
      </c>
      <c r="AD189" s="120">
        <v>23584</v>
      </c>
      <c r="AE189" s="120">
        <v>20768</v>
      </c>
      <c r="AF189" s="120">
        <v>21964</v>
      </c>
      <c r="AG189" s="120">
        <v>23160</v>
      </c>
      <c r="AH189" s="120">
        <v>23144</v>
      </c>
      <c r="AI189" s="120"/>
      <c r="AJ189" s="120"/>
      <c r="AK189" s="120"/>
      <c r="AL189" s="120"/>
      <c r="AM189" s="120"/>
      <c r="AN189" s="120"/>
      <c r="AO189" s="120"/>
      <c r="AP189" s="120"/>
      <c r="AQ189" s="120"/>
      <c r="AR189" s="120"/>
      <c r="AS189" s="120"/>
      <c r="AT189" s="120"/>
      <c r="AU189" s="120"/>
      <c r="AV189" s="120"/>
      <c r="AW189" s="120"/>
      <c r="AX189" s="120"/>
      <c r="AY189" s="120"/>
      <c r="AZ189" s="120"/>
      <c r="BA189" s="120"/>
      <c r="BB189" s="120"/>
      <c r="BC189" s="120"/>
      <c r="BD189" s="120"/>
    </row>
    <row r="190" spans="2:56" ht="15" hidden="1" x14ac:dyDescent="0.25">
      <c r="B190" s="69"/>
      <c r="C190" s="69"/>
      <c r="D190" s="70">
        <v>45558</v>
      </c>
      <c r="E190" s="72" t="s">
        <v>0</v>
      </c>
      <c r="F190" s="72" t="s">
        <v>0</v>
      </c>
      <c r="G190" s="72" t="s">
        <v>1</v>
      </c>
      <c r="H190" s="72"/>
      <c r="I190" s="72" t="s">
        <v>4</v>
      </c>
      <c r="J190" s="72" t="s">
        <v>0</v>
      </c>
      <c r="K190" s="72" t="s">
        <v>0</v>
      </c>
      <c r="L190" s="72" t="s">
        <v>0</v>
      </c>
      <c r="M190" s="72" t="s">
        <v>0</v>
      </c>
      <c r="N190" s="72" t="s">
        <v>0</v>
      </c>
      <c r="O190" s="72" t="s">
        <v>0</v>
      </c>
      <c r="P190" s="72" t="s">
        <v>2</v>
      </c>
      <c r="Q190" s="72"/>
      <c r="R190" s="72"/>
      <c r="S190" s="72" t="s">
        <v>0</v>
      </c>
      <c r="T190" s="72" t="s">
        <v>0</v>
      </c>
      <c r="U190" s="72" t="s">
        <v>0</v>
      </c>
      <c r="V190" s="72" t="s">
        <v>0</v>
      </c>
      <c r="W190" s="72" t="s">
        <v>0</v>
      </c>
      <c r="X190" s="72" t="s">
        <v>0</v>
      </c>
      <c r="Y190" s="72" t="s">
        <v>3</v>
      </c>
      <c r="Z190" s="72" t="s">
        <v>4</v>
      </c>
      <c r="AA190" s="72" t="s">
        <v>0</v>
      </c>
      <c r="AB190" s="72" t="s">
        <v>0</v>
      </c>
      <c r="AC190" s="72" t="s">
        <v>0</v>
      </c>
      <c r="AD190" s="72" t="s">
        <v>0</v>
      </c>
      <c r="AE190" s="72" t="s">
        <v>0</v>
      </c>
      <c r="AF190" s="72" t="s">
        <v>0</v>
      </c>
      <c r="AG190" s="72" t="s">
        <v>0</v>
      </c>
      <c r="AH190" s="72" t="s">
        <v>0</v>
      </c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</row>
    <row r="191" spans="2:56" ht="15" hidden="1" x14ac:dyDescent="0.25">
      <c r="B191" s="69"/>
      <c r="C191" s="69"/>
      <c r="D191" s="73" t="s">
        <v>32</v>
      </c>
      <c r="E191" s="120">
        <v>0</v>
      </c>
      <c r="F191" s="120">
        <v>0</v>
      </c>
      <c r="G191" s="120">
        <v>0</v>
      </c>
      <c r="H191" s="120"/>
      <c r="I191" s="120">
        <v>0</v>
      </c>
      <c r="J191" s="120">
        <v>0</v>
      </c>
      <c r="K191" s="120">
        <v>0</v>
      </c>
      <c r="L191" s="120">
        <v>0</v>
      </c>
      <c r="M191" s="120">
        <v>184</v>
      </c>
      <c r="N191" s="120">
        <v>0</v>
      </c>
      <c r="O191" s="120">
        <v>404</v>
      </c>
      <c r="P191" s="120">
        <v>744</v>
      </c>
      <c r="Q191" s="120">
        <v>1092</v>
      </c>
      <c r="R191" s="120">
        <v>1192</v>
      </c>
      <c r="S191" s="120">
        <v>1196</v>
      </c>
      <c r="T191" s="120">
        <v>1196</v>
      </c>
      <c r="U191" s="120">
        <v>128</v>
      </c>
      <c r="V191" s="120">
        <v>1192</v>
      </c>
      <c r="W191" s="120">
        <v>1196</v>
      </c>
      <c r="X191" s="120">
        <v>1196</v>
      </c>
      <c r="Y191" s="120">
        <v>1196</v>
      </c>
      <c r="Z191" s="120">
        <v>1192</v>
      </c>
      <c r="AA191" s="120">
        <v>1196</v>
      </c>
      <c r="AB191" s="120">
        <v>1196</v>
      </c>
      <c r="AC191" s="120">
        <v>1196</v>
      </c>
      <c r="AD191" s="120">
        <v>1196</v>
      </c>
      <c r="AE191" s="120">
        <v>1192</v>
      </c>
      <c r="AF191" s="120">
        <v>1192</v>
      </c>
      <c r="AG191" s="120">
        <v>1192</v>
      </c>
      <c r="AH191" s="120">
        <v>1200</v>
      </c>
      <c r="AI191" s="120"/>
      <c r="AJ191" s="120"/>
      <c r="AK191" s="120"/>
      <c r="AL191" s="120"/>
      <c r="AM191" s="120"/>
      <c r="AN191" s="120"/>
      <c r="AO191" s="120"/>
      <c r="AP191" s="120"/>
      <c r="AQ191" s="120"/>
      <c r="AR191" s="120"/>
      <c r="AS191" s="120"/>
      <c r="AT191" s="120"/>
      <c r="AU191" s="120"/>
      <c r="AV191" s="120"/>
      <c r="AW191" s="120"/>
      <c r="AX191" s="120"/>
      <c r="AY191" s="120"/>
      <c r="AZ191" s="120"/>
      <c r="BA191" s="120"/>
      <c r="BB191" s="120"/>
      <c r="BC191" s="120"/>
      <c r="BD191" s="120"/>
    </row>
    <row r="192" spans="2:56" ht="15" hidden="1" x14ac:dyDescent="0.25">
      <c r="B192" s="74"/>
      <c r="C192" s="74"/>
      <c r="D192" s="73" t="s">
        <v>33</v>
      </c>
      <c r="E192" s="120">
        <v>5736</v>
      </c>
      <c r="F192" s="120">
        <v>5736</v>
      </c>
      <c r="G192" s="120">
        <v>5736</v>
      </c>
      <c r="H192" s="120"/>
      <c r="I192" s="120">
        <v>6268</v>
      </c>
      <c r="J192" s="120">
        <v>6268</v>
      </c>
      <c r="K192" s="120">
        <v>6268</v>
      </c>
      <c r="L192" s="120">
        <v>6268</v>
      </c>
      <c r="M192" s="120">
        <v>6452</v>
      </c>
      <c r="N192" s="120">
        <v>6452</v>
      </c>
      <c r="O192" s="120">
        <v>6856</v>
      </c>
      <c r="P192" s="120">
        <v>7600</v>
      </c>
      <c r="Q192" s="120">
        <v>8692</v>
      </c>
      <c r="R192" s="120">
        <v>9884</v>
      </c>
      <c r="S192" s="120">
        <v>11080</v>
      </c>
      <c r="T192" s="120">
        <v>12276</v>
      </c>
      <c r="U192" s="120">
        <v>12404</v>
      </c>
      <c r="V192" s="120">
        <v>13596</v>
      </c>
      <c r="W192" s="120">
        <v>14792</v>
      </c>
      <c r="X192" s="120">
        <v>15988</v>
      </c>
      <c r="Y192" s="120">
        <v>17184</v>
      </c>
      <c r="Z192" s="120">
        <v>18376</v>
      </c>
      <c r="AA192" s="120">
        <v>19572</v>
      </c>
      <c r="AB192" s="120">
        <v>20768</v>
      </c>
      <c r="AC192" s="120">
        <v>21964</v>
      </c>
      <c r="AD192" s="120">
        <v>23160</v>
      </c>
      <c r="AE192" s="120">
        <v>20760</v>
      </c>
      <c r="AF192" s="120">
        <v>21952</v>
      </c>
      <c r="AG192" s="120">
        <v>23144</v>
      </c>
      <c r="AH192" s="120">
        <v>22832</v>
      </c>
      <c r="AI192" s="120"/>
      <c r="AJ192" s="120"/>
      <c r="AK192" s="120"/>
      <c r="AL192" s="120"/>
      <c r="AM192" s="120"/>
      <c r="AN192" s="120"/>
      <c r="AO192" s="120"/>
      <c r="AP192" s="120"/>
      <c r="AQ192" s="120"/>
      <c r="AR192" s="120"/>
      <c r="AS192" s="120"/>
      <c r="AT192" s="120"/>
      <c r="AU192" s="120"/>
      <c r="AV192" s="120"/>
      <c r="AW192" s="120"/>
      <c r="AX192" s="120"/>
      <c r="AY192" s="120"/>
      <c r="AZ192" s="120"/>
      <c r="BA192" s="120"/>
      <c r="BB192" s="120"/>
      <c r="BC192" s="120"/>
      <c r="BD192" s="120"/>
    </row>
    <row r="193" spans="2:56" ht="15" hidden="1" x14ac:dyDescent="0.25">
      <c r="B193" s="69"/>
      <c r="C193" s="69"/>
      <c r="D193" s="70">
        <v>45551</v>
      </c>
      <c r="E193" s="72" t="s">
        <v>0</v>
      </c>
      <c r="F193" s="72" t="s">
        <v>0</v>
      </c>
      <c r="G193" s="72" t="s">
        <v>1</v>
      </c>
      <c r="H193" s="72"/>
      <c r="I193" s="72" t="s">
        <v>4</v>
      </c>
      <c r="J193" s="72" t="s">
        <v>0</v>
      </c>
      <c r="K193" s="72" t="s">
        <v>0</v>
      </c>
      <c r="L193" s="72" t="s">
        <v>0</v>
      </c>
      <c r="M193" s="72" t="s">
        <v>0</v>
      </c>
      <c r="N193" s="72" t="s">
        <v>0</v>
      </c>
      <c r="O193" s="72" t="s">
        <v>0</v>
      </c>
      <c r="P193" s="72" t="s">
        <v>2</v>
      </c>
      <c r="Q193" s="72"/>
      <c r="R193" s="72"/>
      <c r="S193" s="72" t="s">
        <v>0</v>
      </c>
      <c r="T193" s="72" t="s">
        <v>0</v>
      </c>
      <c r="U193" s="72" t="s">
        <v>0</v>
      </c>
      <c r="V193" s="72" t="s">
        <v>0</v>
      </c>
      <c r="W193" s="72" t="s">
        <v>0</v>
      </c>
      <c r="X193" s="72" t="s">
        <v>0</v>
      </c>
      <c r="Y193" s="72" t="s">
        <v>3</v>
      </c>
      <c r="Z193" s="72" t="s">
        <v>4</v>
      </c>
      <c r="AA193" s="72" t="s">
        <v>0</v>
      </c>
      <c r="AB193" s="72" t="s">
        <v>0</v>
      </c>
      <c r="AC193" s="72" t="s">
        <v>0</v>
      </c>
      <c r="AD193" s="72" t="s">
        <v>0</v>
      </c>
      <c r="AE193" s="72" t="s">
        <v>0</v>
      </c>
      <c r="AF193" s="72" t="s">
        <v>0</v>
      </c>
      <c r="AG193" s="72" t="s">
        <v>0</v>
      </c>
      <c r="AH193" s="72" t="s">
        <v>0</v>
      </c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</row>
    <row r="194" spans="2:56" ht="15" hidden="1" x14ac:dyDescent="0.25">
      <c r="B194" s="69"/>
      <c r="C194" s="69"/>
      <c r="D194" s="73" t="s">
        <v>32</v>
      </c>
      <c r="E194" s="120">
        <v>0</v>
      </c>
      <c r="F194" s="120">
        <v>0</v>
      </c>
      <c r="G194" s="120">
        <v>0</v>
      </c>
      <c r="H194" s="120"/>
      <c r="I194" s="120">
        <v>532</v>
      </c>
      <c r="J194" s="120">
        <v>0</v>
      </c>
      <c r="K194" s="120">
        <v>0</v>
      </c>
      <c r="L194" s="120">
        <v>16</v>
      </c>
      <c r="M194" s="120">
        <v>224</v>
      </c>
      <c r="N194" s="120">
        <v>408</v>
      </c>
      <c r="O194" s="120">
        <v>0</v>
      </c>
      <c r="P194" s="120">
        <v>788</v>
      </c>
      <c r="Q194" s="120">
        <v>1084</v>
      </c>
      <c r="R194" s="120">
        <v>1088</v>
      </c>
      <c r="S194" s="120">
        <v>1200</v>
      </c>
      <c r="T194" s="120">
        <v>1192</v>
      </c>
      <c r="U194" s="120">
        <v>1192</v>
      </c>
      <c r="V194" s="120">
        <v>128</v>
      </c>
      <c r="W194" s="120">
        <v>1200</v>
      </c>
      <c r="X194" s="120">
        <v>1192</v>
      </c>
      <c r="Y194" s="120">
        <v>1192</v>
      </c>
      <c r="Z194" s="120">
        <v>1196</v>
      </c>
      <c r="AA194" s="120">
        <v>1200</v>
      </c>
      <c r="AB194" s="120">
        <v>1192</v>
      </c>
      <c r="AC194" s="120">
        <v>1192</v>
      </c>
      <c r="AD194" s="120">
        <v>1192</v>
      </c>
      <c r="AE194" s="120">
        <v>1196</v>
      </c>
      <c r="AF194" s="120">
        <v>1200</v>
      </c>
      <c r="AG194" s="120">
        <v>1200</v>
      </c>
      <c r="AH194" s="120">
        <v>1188</v>
      </c>
      <c r="AI194" s="120"/>
      <c r="AJ194" s="120"/>
      <c r="AK194" s="120"/>
      <c r="AL194" s="120"/>
      <c r="AM194" s="120"/>
      <c r="AN194" s="120"/>
      <c r="AO194" s="120"/>
      <c r="AP194" s="120"/>
      <c r="AQ194" s="120"/>
      <c r="AR194" s="120"/>
      <c r="AS194" s="120"/>
      <c r="AT194" s="120"/>
      <c r="AU194" s="120"/>
      <c r="AV194" s="120"/>
      <c r="AW194" s="120"/>
      <c r="AX194" s="120"/>
      <c r="AY194" s="120"/>
      <c r="AZ194" s="120"/>
      <c r="BA194" s="120"/>
      <c r="BB194" s="120"/>
      <c r="BC194" s="120"/>
      <c r="BD194" s="120"/>
    </row>
    <row r="195" spans="2:56" ht="15" hidden="1" x14ac:dyDescent="0.25">
      <c r="B195" s="74"/>
      <c r="C195" s="74"/>
      <c r="D195" s="73" t="s">
        <v>33</v>
      </c>
      <c r="E195" s="120">
        <v>5736</v>
      </c>
      <c r="F195" s="120">
        <v>5736</v>
      </c>
      <c r="G195" s="120">
        <v>5736</v>
      </c>
      <c r="H195" s="120"/>
      <c r="I195" s="120">
        <v>6268</v>
      </c>
      <c r="J195" s="120">
        <v>6268</v>
      </c>
      <c r="K195" s="120">
        <v>6268</v>
      </c>
      <c r="L195" s="120">
        <v>6284</v>
      </c>
      <c r="M195" s="120">
        <v>6508</v>
      </c>
      <c r="N195" s="120">
        <v>6916</v>
      </c>
      <c r="O195" s="120">
        <v>6916</v>
      </c>
      <c r="P195" s="120">
        <v>7704</v>
      </c>
      <c r="Q195" s="120">
        <v>8788</v>
      </c>
      <c r="R195" s="120">
        <v>9876</v>
      </c>
      <c r="S195" s="120">
        <v>11076</v>
      </c>
      <c r="T195" s="120">
        <v>12268</v>
      </c>
      <c r="U195" s="120">
        <v>13460</v>
      </c>
      <c r="V195" s="120">
        <v>13588</v>
      </c>
      <c r="W195" s="120">
        <v>14788</v>
      </c>
      <c r="X195" s="120">
        <v>15980</v>
      </c>
      <c r="Y195" s="120">
        <v>17172</v>
      </c>
      <c r="Z195" s="120">
        <v>18368</v>
      </c>
      <c r="AA195" s="120">
        <v>19568</v>
      </c>
      <c r="AB195" s="120">
        <v>20760</v>
      </c>
      <c r="AC195" s="120">
        <v>21952</v>
      </c>
      <c r="AD195" s="120">
        <v>23144</v>
      </c>
      <c r="AE195" s="120">
        <v>20432</v>
      </c>
      <c r="AF195" s="120">
        <v>21632</v>
      </c>
      <c r="AG195" s="120">
        <v>22832</v>
      </c>
      <c r="AH195" s="120">
        <v>23352</v>
      </c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s="120"/>
      <c r="AV195" s="120"/>
      <c r="AW195" s="120"/>
      <c r="AX195" s="120"/>
      <c r="AY195" s="120"/>
      <c r="AZ195" s="120"/>
      <c r="BA195" s="120"/>
      <c r="BB195" s="120"/>
      <c r="BC195" s="120"/>
      <c r="BD195" s="120"/>
    </row>
    <row r="196" spans="2:56" ht="15" hidden="1" x14ac:dyDescent="0.25">
      <c r="B196" s="69"/>
      <c r="C196" s="69"/>
      <c r="D196" s="70">
        <v>45544</v>
      </c>
      <c r="E196" s="72" t="s">
        <v>0</v>
      </c>
      <c r="F196" s="72" t="s">
        <v>0</v>
      </c>
      <c r="G196" s="72" t="s">
        <v>1</v>
      </c>
      <c r="H196" s="72"/>
      <c r="I196" s="72" t="s">
        <v>4</v>
      </c>
      <c r="J196" s="72" t="s">
        <v>0</v>
      </c>
      <c r="K196" s="72" t="s">
        <v>0</v>
      </c>
      <c r="L196" s="72" t="s">
        <v>0</v>
      </c>
      <c r="M196" s="72" t="s">
        <v>0</v>
      </c>
      <c r="N196" s="72" t="s">
        <v>0</v>
      </c>
      <c r="O196" s="72" t="s">
        <v>0</v>
      </c>
      <c r="P196" s="72" t="s">
        <v>2</v>
      </c>
      <c r="Q196" s="72"/>
      <c r="R196" s="72"/>
      <c r="S196" s="72" t="s">
        <v>0</v>
      </c>
      <c r="T196" s="72" t="s">
        <v>0</v>
      </c>
      <c r="U196" s="72" t="s">
        <v>0</v>
      </c>
      <c r="V196" s="72" t="s">
        <v>0</v>
      </c>
      <c r="W196" s="72" t="s">
        <v>0</v>
      </c>
      <c r="X196" s="72" t="s">
        <v>0</v>
      </c>
      <c r="Y196" s="72" t="s">
        <v>3</v>
      </c>
      <c r="Z196" s="72" t="s">
        <v>4</v>
      </c>
      <c r="AA196" s="72" t="s">
        <v>0</v>
      </c>
      <c r="AB196" s="72" t="s">
        <v>0</v>
      </c>
      <c r="AC196" s="72" t="s">
        <v>0</v>
      </c>
      <c r="AD196" s="72" t="s">
        <v>0</v>
      </c>
      <c r="AE196" s="72" t="s">
        <v>0</v>
      </c>
      <c r="AF196" s="72" t="s">
        <v>0</v>
      </c>
      <c r="AG196" s="72" t="s">
        <v>0</v>
      </c>
      <c r="AH196" s="72" t="s">
        <v>0</v>
      </c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</row>
    <row r="197" spans="2:56" ht="15" hidden="1" x14ac:dyDescent="0.25">
      <c r="B197" s="69"/>
      <c r="C197" s="69"/>
      <c r="D197" s="73" t="s">
        <v>32</v>
      </c>
      <c r="E197" s="120">
        <v>0</v>
      </c>
      <c r="F197" s="120">
        <v>0</v>
      </c>
      <c r="G197" s="120">
        <v>0</v>
      </c>
      <c r="H197" s="120"/>
      <c r="I197" s="120">
        <v>0</v>
      </c>
      <c r="J197" s="120">
        <v>532</v>
      </c>
      <c r="K197" s="120">
        <v>0</v>
      </c>
      <c r="L197" s="120">
        <v>20</v>
      </c>
      <c r="M197" s="120">
        <v>228</v>
      </c>
      <c r="N197" s="120">
        <v>312</v>
      </c>
      <c r="O197" s="120">
        <v>668</v>
      </c>
      <c r="P197" s="120">
        <v>0</v>
      </c>
      <c r="Q197" s="120">
        <v>1080</v>
      </c>
      <c r="R197" s="120">
        <v>1084</v>
      </c>
      <c r="S197" s="120">
        <v>1080</v>
      </c>
      <c r="T197" s="120">
        <v>1196</v>
      </c>
      <c r="U197" s="120">
        <v>1200</v>
      </c>
      <c r="V197" s="120">
        <v>1192</v>
      </c>
      <c r="W197" s="120">
        <v>128</v>
      </c>
      <c r="X197" s="120">
        <v>1196</v>
      </c>
      <c r="Y197" s="120">
        <v>1200</v>
      </c>
      <c r="Z197" s="120">
        <v>1192</v>
      </c>
      <c r="AA197" s="120">
        <v>1192</v>
      </c>
      <c r="AB197" s="120">
        <v>1196</v>
      </c>
      <c r="AC197" s="120">
        <v>1200</v>
      </c>
      <c r="AD197" s="120">
        <v>1200</v>
      </c>
      <c r="AE197" s="120">
        <v>1196</v>
      </c>
      <c r="AF197" s="120">
        <v>1188</v>
      </c>
      <c r="AG197" s="120">
        <v>1188</v>
      </c>
      <c r="AH197" s="120">
        <v>1152</v>
      </c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120"/>
      <c r="AS197" s="120"/>
      <c r="AT197" s="120"/>
      <c r="AU197" s="120"/>
      <c r="AV197" s="120"/>
      <c r="AW197" s="120"/>
      <c r="AX197" s="120"/>
      <c r="AY197" s="120"/>
      <c r="AZ197" s="120"/>
      <c r="BA197" s="120"/>
      <c r="BB197" s="120"/>
      <c r="BC197" s="120"/>
      <c r="BD197" s="120"/>
    </row>
    <row r="198" spans="2:56" ht="15" hidden="1" x14ac:dyDescent="0.25">
      <c r="B198" s="74"/>
      <c r="C198" s="74"/>
      <c r="D198" s="73" t="s">
        <v>33</v>
      </c>
      <c r="E198" s="120">
        <v>5736</v>
      </c>
      <c r="F198" s="120">
        <v>5736</v>
      </c>
      <c r="G198" s="120">
        <v>5736</v>
      </c>
      <c r="H198" s="120"/>
      <c r="I198" s="120">
        <v>5736</v>
      </c>
      <c r="J198" s="120">
        <v>6268</v>
      </c>
      <c r="K198" s="120">
        <v>6268</v>
      </c>
      <c r="L198" s="120">
        <v>6288</v>
      </c>
      <c r="M198" s="120">
        <v>6516</v>
      </c>
      <c r="N198" s="120">
        <v>6828</v>
      </c>
      <c r="O198" s="120">
        <v>7496</v>
      </c>
      <c r="P198" s="120">
        <v>7496</v>
      </c>
      <c r="Q198" s="120">
        <v>8576</v>
      </c>
      <c r="R198" s="120">
        <v>9660</v>
      </c>
      <c r="S198" s="120">
        <v>10740</v>
      </c>
      <c r="T198" s="120">
        <v>11936</v>
      </c>
      <c r="U198" s="120">
        <v>13136</v>
      </c>
      <c r="V198" s="120">
        <v>14328</v>
      </c>
      <c r="W198" s="120">
        <v>14456</v>
      </c>
      <c r="X198" s="120">
        <v>15652</v>
      </c>
      <c r="Y198" s="120">
        <v>16852</v>
      </c>
      <c r="Z198" s="120">
        <v>18044</v>
      </c>
      <c r="AA198" s="120">
        <v>19236</v>
      </c>
      <c r="AB198" s="120">
        <v>20432</v>
      </c>
      <c r="AC198" s="120">
        <v>21632</v>
      </c>
      <c r="AD198" s="120">
        <v>22832</v>
      </c>
      <c r="AE198" s="120">
        <v>20976</v>
      </c>
      <c r="AF198" s="120">
        <v>22164</v>
      </c>
      <c r="AG198" s="120">
        <v>23352</v>
      </c>
      <c r="AH198" s="120">
        <v>22000</v>
      </c>
      <c r="AI198" s="120"/>
      <c r="AJ198" s="120"/>
      <c r="AK198" s="120"/>
      <c r="AL198" s="120"/>
      <c r="AM198" s="120"/>
      <c r="AN198" s="120"/>
      <c r="AO198" s="120"/>
      <c r="AP198" s="120"/>
      <c r="AQ198" s="120"/>
      <c r="AR198" s="120"/>
      <c r="AS198" s="120"/>
      <c r="AT198" s="120"/>
      <c r="AU198" s="120"/>
      <c r="AV198" s="120"/>
      <c r="AW198" s="120"/>
      <c r="AX198" s="120"/>
      <c r="AY198" s="120"/>
      <c r="AZ198" s="120"/>
      <c r="BA198" s="120"/>
      <c r="BB198" s="120"/>
      <c r="BC198" s="120"/>
      <c r="BD198" s="120"/>
    </row>
    <row r="199" spans="2:56" s="207" customFormat="1" ht="15" x14ac:dyDescent="0.25">
      <c r="B199" s="208"/>
      <c r="C199" s="208"/>
      <c r="D199" s="205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  <c r="AA199" s="206"/>
      <c r="AB199" s="206"/>
      <c r="AC199" s="206"/>
      <c r="AD199" s="206"/>
      <c r="AE199" s="206"/>
      <c r="AF199" s="206"/>
      <c r="AG199" s="206"/>
      <c r="AH199" s="206"/>
      <c r="AI199" s="206"/>
      <c r="AJ199" s="206"/>
      <c r="AK199" s="206"/>
      <c r="AL199" s="206"/>
      <c r="AM199" s="206"/>
      <c r="AN199" s="206"/>
      <c r="AO199" s="206"/>
      <c r="AP199" s="206"/>
      <c r="AQ199" s="206"/>
      <c r="AR199" s="206"/>
      <c r="AS199" s="206"/>
      <c r="AT199" s="206"/>
      <c r="AU199" s="206"/>
      <c r="AV199" s="206"/>
      <c r="AW199" s="206"/>
      <c r="AX199" s="206"/>
      <c r="AY199" s="206"/>
      <c r="AZ199" s="206"/>
      <c r="BA199" s="206"/>
      <c r="BB199" s="206"/>
      <c r="BC199" s="206"/>
      <c r="BD199" s="206"/>
    </row>
    <row r="200" spans="2:56" x14ac:dyDescent="0.2">
      <c r="H200" s="223"/>
    </row>
  </sheetData>
  <mergeCells count="2">
    <mergeCell ref="B1:D1"/>
    <mergeCell ref="B2:D2"/>
  </mergeCells>
  <conditionalFormatting sqref="A21:XFD22">
    <cfRule type="cellIs" dxfId="43" priority="593" operator="lessThan">
      <formula>0</formula>
    </cfRule>
  </conditionalFormatting>
  <conditionalFormatting sqref="A80:XFD81">
    <cfRule type="cellIs" dxfId="42" priority="530" operator="lessThan">
      <formula>0</formula>
    </cfRule>
  </conditionalFormatting>
  <conditionalFormatting sqref="A149:XFD150">
    <cfRule type="cellIs" dxfId="41" priority="91" operator="lessThan">
      <formula>0</formula>
    </cfRule>
  </conditionalFormatting>
  <conditionalFormatting sqref="E32:BC32">
    <cfRule type="cellIs" dxfId="40" priority="181" operator="lessThan">
      <formula>0</formula>
    </cfRule>
  </conditionalFormatting>
  <conditionalFormatting sqref="E35:BC35">
    <cfRule type="cellIs" dxfId="39" priority="185" operator="lessThan">
      <formula>0</formula>
    </cfRule>
  </conditionalFormatting>
  <conditionalFormatting sqref="F38:G38">
    <cfRule type="cellIs" dxfId="38" priority="325" operator="lessThan">
      <formula>0</formula>
    </cfRule>
  </conditionalFormatting>
  <conditionalFormatting sqref="H32:AF35">
    <cfRule type="cellIs" dxfId="37" priority="182" operator="lessThan">
      <formula>0</formula>
    </cfRule>
  </conditionalFormatting>
  <conditionalFormatting sqref="I29:BC29">
    <cfRule type="cellIs" dxfId="36" priority="328" operator="lessThan">
      <formula>0</formula>
    </cfRule>
  </conditionalFormatting>
  <conditionalFormatting sqref="I33:BC38">
    <cfRule type="cellIs" dxfId="35" priority="4" operator="lessThan">
      <formula>0</formula>
    </cfRule>
  </conditionalFormatting>
  <conditionalFormatting sqref="I86:BC87">
    <cfRule type="cellIs" dxfId="34" priority="521" operator="lessThan">
      <formula>0</formula>
    </cfRule>
  </conditionalFormatting>
  <conditionalFormatting sqref="I89:BC96">
    <cfRule type="cellIs" dxfId="33" priority="143" operator="lessThan">
      <formula>0</formula>
    </cfRule>
  </conditionalFormatting>
  <conditionalFormatting sqref="I103:BC105">
    <cfRule type="cellIs" dxfId="32" priority="3" operator="lessThan">
      <formula>0</formula>
    </cfRule>
  </conditionalFormatting>
  <conditionalFormatting sqref="I158:BC165">
    <cfRule type="cellIs" dxfId="31" priority="56" operator="lessThan">
      <formula>0</formula>
    </cfRule>
  </conditionalFormatting>
  <conditionalFormatting sqref="I172:BC174">
    <cfRule type="cellIs" dxfId="30" priority="2" operator="lessThan">
      <formula>0</formula>
    </cfRule>
  </conditionalFormatting>
  <conditionalFormatting sqref="I155:BD156">
    <cfRule type="cellIs" dxfId="29" priority="15" operator="lessThan">
      <formula>0</formula>
    </cfRule>
  </conditionalFormatting>
  <conditionalFormatting sqref="J19:K19">
    <cfRule type="cellIs" dxfId="28" priority="594" operator="greaterThan">
      <formula>0</formula>
    </cfRule>
  </conditionalFormatting>
  <conditionalFormatting sqref="J78:K78">
    <cfRule type="cellIs" dxfId="27" priority="35" operator="greaterThan">
      <formula>0</formula>
    </cfRule>
  </conditionalFormatting>
  <conditionalFormatting sqref="J26:BC28">
    <cfRule type="cellIs" dxfId="26" priority="584" operator="lessThan">
      <formula>0</formula>
    </cfRule>
  </conditionalFormatting>
  <conditionalFormatting sqref="J30:BC34">
    <cfRule type="cellIs" dxfId="25" priority="324" operator="lessThan">
      <formula>0</formula>
    </cfRule>
  </conditionalFormatting>
  <conditionalFormatting sqref="J36:BC59 J106:BC118">
    <cfRule type="cellIs" dxfId="24" priority="732" operator="lessThan">
      <formula>0</formula>
    </cfRule>
  </conditionalFormatting>
  <conditionalFormatting sqref="J85:BC85">
    <cfRule type="cellIs" dxfId="23" priority="528" operator="lessThan">
      <formula>0</formula>
    </cfRule>
  </conditionalFormatting>
  <conditionalFormatting sqref="J88:BC88">
    <cfRule type="cellIs" dxfId="22" priority="527" operator="lessThan">
      <formula>0</formula>
    </cfRule>
  </conditionalFormatting>
  <conditionalFormatting sqref="J97:BC99">
    <cfRule type="cellIs" dxfId="21" priority="503" operator="lessThan">
      <formula>0</formula>
    </cfRule>
  </conditionalFormatting>
  <conditionalFormatting sqref="J157:BC157">
    <cfRule type="cellIs" dxfId="20" priority="66" operator="lessThan">
      <formula>0</formula>
    </cfRule>
  </conditionalFormatting>
  <conditionalFormatting sqref="J166:BC168">
    <cfRule type="cellIs" dxfId="19" priority="82" operator="lessThan">
      <formula>0</formula>
    </cfRule>
  </conditionalFormatting>
  <conditionalFormatting sqref="J175:BC199">
    <cfRule type="cellIs" dxfId="18" priority="59" operator="lessThan">
      <formula>0</formula>
    </cfRule>
  </conditionalFormatting>
  <conditionalFormatting sqref="J147:BD147">
    <cfRule type="cellIs" dxfId="17" priority="16" operator="greaterThan">
      <formula>0</formula>
    </cfRule>
  </conditionalFormatting>
  <conditionalFormatting sqref="L134:BC134">
    <cfRule type="cellIs" dxfId="16" priority="85" operator="between">
      <formula>#REF!</formula>
      <formula>#REF!</formula>
    </cfRule>
  </conditionalFormatting>
  <conditionalFormatting sqref="L6:BD6">
    <cfRule type="cellIs" dxfId="15" priority="539" operator="greaterThanOrEqual">
      <formula>$AM$6</formula>
    </cfRule>
    <cfRule type="cellIs" dxfId="14" priority="540" operator="lessThan">
      <formula>$AK$6</formula>
    </cfRule>
    <cfRule type="cellIs" dxfId="13" priority="541" operator="between">
      <formula>$AL$6</formula>
      <formula>$AM$6</formula>
    </cfRule>
  </conditionalFormatting>
  <conditionalFormatting sqref="L12:BD12">
    <cfRule type="cellIs" dxfId="12" priority="596" operator="greaterThan">
      <formula>5</formula>
    </cfRule>
  </conditionalFormatting>
  <conditionalFormatting sqref="L19:BD19">
    <cfRule type="cellIs" dxfId="11" priority="36" operator="lessThan">
      <formula>0</formula>
    </cfRule>
  </conditionalFormatting>
  <conditionalFormatting sqref="L71:BD71">
    <cfRule type="cellIs" dxfId="10" priority="1" operator="greaterThan">
      <formula>5</formula>
    </cfRule>
  </conditionalFormatting>
  <conditionalFormatting sqref="L78:BD78">
    <cfRule type="cellIs" dxfId="9" priority="34" operator="lessThan">
      <formula>0</formula>
    </cfRule>
  </conditionalFormatting>
  <conditionalFormatting sqref="L134:BD134">
    <cfRule type="cellIs" dxfId="8" priority="13" operator="lessThan">
      <formula>#REF!</formula>
    </cfRule>
    <cfRule type="cellIs" dxfId="7" priority="12" operator="greaterThanOrEqual">
      <formula>#REF!</formula>
    </cfRule>
  </conditionalFormatting>
  <conditionalFormatting sqref="L140:BD140">
    <cfRule type="cellIs" dxfId="6" priority="17" operator="greaterThan">
      <formula>5</formula>
    </cfRule>
  </conditionalFormatting>
  <conditionalFormatting sqref="BD26:BD59">
    <cfRule type="cellIs" dxfId="5" priority="20" operator="lessThan">
      <formula>0</formula>
    </cfRule>
  </conditionalFormatting>
  <conditionalFormatting sqref="BD85:BD99">
    <cfRule type="cellIs" dxfId="4" priority="19" operator="lessThan">
      <formula>0</formula>
    </cfRule>
  </conditionalFormatting>
  <conditionalFormatting sqref="BD104:BD118">
    <cfRule type="cellIs" dxfId="3" priority="18" operator="lessThan">
      <formula>0</formula>
    </cfRule>
  </conditionalFormatting>
  <conditionalFormatting sqref="BD134">
    <cfRule type="cellIs" dxfId="2" priority="14" operator="between">
      <formula>#REF!</formula>
      <formula>#REF!</formula>
    </cfRule>
  </conditionalFormatting>
  <conditionalFormatting sqref="BD157:BD168">
    <cfRule type="cellIs" dxfId="1" priority="7" operator="lessThan">
      <formula>0</formula>
    </cfRule>
  </conditionalFormatting>
  <conditionalFormatting sqref="BD173:BD199">
    <cfRule type="cellIs" dxfId="0" priority="8" operator="lessThan">
      <formula>0</formula>
    </cfRule>
  </conditionalFormatting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P381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N32" sqref="N32"/>
    </sheetView>
  </sheetViews>
  <sheetFormatPr defaultColWidth="8.85546875" defaultRowHeight="15" x14ac:dyDescent="0.25"/>
  <cols>
    <col min="1" max="1" width="24.42578125" style="52" bestFit="1" customWidth="1"/>
    <col min="2" max="2" width="13.5703125" style="52" bestFit="1" customWidth="1"/>
    <col min="3" max="3" width="10.140625" style="52" bestFit="1" customWidth="1"/>
    <col min="4" max="4" width="15.5703125" style="52" customWidth="1"/>
    <col min="5" max="6" width="17.7109375" style="52" customWidth="1"/>
    <col min="7" max="7" width="10" style="52" customWidth="1"/>
    <col min="8" max="8" width="13.140625" style="52" customWidth="1"/>
    <col min="9" max="9" width="26.42578125" style="52" customWidth="1"/>
    <col min="10" max="10" width="16.42578125" style="52" customWidth="1"/>
    <col min="11" max="11" width="16" style="52" customWidth="1"/>
    <col min="12" max="14" width="17" style="52" customWidth="1"/>
    <col min="15" max="15" width="18.85546875" style="52" bestFit="1" customWidth="1"/>
    <col min="16" max="16" width="18.85546875" style="52" customWidth="1"/>
    <col min="17" max="17" width="21.140625" style="203" bestFit="1" customWidth="1"/>
    <col min="18" max="18" width="21" style="203" customWidth="1"/>
    <col min="19" max="19" width="21.140625" style="52" bestFit="1" customWidth="1"/>
    <col min="20" max="20" width="13.28515625" bestFit="1" customWidth="1"/>
    <col min="21" max="21" width="12.28515625" bestFit="1" customWidth="1"/>
    <col min="22" max="46" width="9.7109375" bestFit="1" customWidth="1"/>
    <col min="47" max="47" width="10.85546875" bestFit="1" customWidth="1"/>
    <col min="48" max="49" width="9.7109375" bestFit="1" customWidth="1"/>
  </cols>
  <sheetData>
    <row r="1" spans="1:47" ht="31.5" x14ac:dyDescent="0.25">
      <c r="A1" s="77" t="s">
        <v>34</v>
      </c>
      <c r="B1" s="77" t="s">
        <v>35</v>
      </c>
      <c r="C1" s="51" t="s">
        <v>36</v>
      </c>
      <c r="D1" s="77" t="s">
        <v>37</v>
      </c>
      <c r="E1" s="51" t="s">
        <v>232</v>
      </c>
      <c r="F1" s="51" t="s">
        <v>233</v>
      </c>
      <c r="G1" s="51" t="s">
        <v>38</v>
      </c>
      <c r="H1" s="51" t="s">
        <v>39</v>
      </c>
      <c r="I1" s="77" t="s">
        <v>40</v>
      </c>
      <c r="J1" s="51" t="s">
        <v>41</v>
      </c>
      <c r="K1" s="53" t="s">
        <v>42</v>
      </c>
      <c r="L1" s="53" t="s">
        <v>43</v>
      </c>
      <c r="M1" s="53" t="s">
        <v>262</v>
      </c>
      <c r="N1" s="53" t="s">
        <v>46</v>
      </c>
      <c r="O1" s="51" t="s">
        <v>44</v>
      </c>
      <c r="P1" s="51" t="s">
        <v>230</v>
      </c>
      <c r="Q1" s="53" t="s">
        <v>229</v>
      </c>
      <c r="R1" s="53" t="s">
        <v>231</v>
      </c>
      <c r="S1" s="53" t="s">
        <v>47</v>
      </c>
    </row>
    <row r="2" spans="1:47" s="204" customFormat="1" x14ac:dyDescent="0.25">
      <c r="A2" s="203" t="s">
        <v>122</v>
      </c>
      <c r="B2" s="203" t="s">
        <v>131</v>
      </c>
      <c r="C2" s="203" t="s">
        <v>80</v>
      </c>
      <c r="D2" s="204" t="s">
        <v>239</v>
      </c>
      <c r="E2" s="203" t="s">
        <v>235</v>
      </c>
      <c r="F2" s="203" t="s">
        <v>236</v>
      </c>
      <c r="G2" s="203">
        <v>2025</v>
      </c>
      <c r="H2" s="203" t="s">
        <v>211</v>
      </c>
      <c r="I2" s="230">
        <v>46034</v>
      </c>
      <c r="J2" s="203" t="s">
        <v>45</v>
      </c>
      <c r="K2" s="203"/>
      <c r="L2" s="203"/>
      <c r="M2" s="203" t="s">
        <v>241</v>
      </c>
      <c r="N2" s="203"/>
      <c r="O2" s="203">
        <v>5500990628</v>
      </c>
      <c r="P2" s="203" t="s">
        <v>266</v>
      </c>
      <c r="Q2" s="203" t="s">
        <v>269</v>
      </c>
      <c r="R2" s="203">
        <v>1090</v>
      </c>
      <c r="S2" s="203">
        <v>6000224</v>
      </c>
    </row>
    <row r="3" spans="1:47" s="204" customFormat="1" x14ac:dyDescent="0.25">
      <c r="A3" s="203" t="s">
        <v>122</v>
      </c>
      <c r="B3" s="203" t="s">
        <v>264</v>
      </c>
      <c r="C3" s="203" t="s">
        <v>80</v>
      </c>
      <c r="D3" s="204" t="s">
        <v>239</v>
      </c>
      <c r="E3" s="203" t="s">
        <v>235</v>
      </c>
      <c r="F3" s="203" t="s">
        <v>236</v>
      </c>
      <c r="G3" s="203">
        <v>2025</v>
      </c>
      <c r="H3" s="203" t="s">
        <v>211</v>
      </c>
      <c r="I3" s="230">
        <v>46041</v>
      </c>
      <c r="J3" s="203" t="s">
        <v>45</v>
      </c>
      <c r="K3" s="203"/>
      <c r="L3" s="203"/>
      <c r="M3" s="203" t="s">
        <v>241</v>
      </c>
      <c r="N3" s="203"/>
      <c r="O3" s="203">
        <v>5501060672</v>
      </c>
      <c r="P3" s="203" t="s">
        <v>266</v>
      </c>
      <c r="Q3" s="203" t="s">
        <v>269</v>
      </c>
      <c r="R3" s="203">
        <v>1090</v>
      </c>
      <c r="S3" s="203">
        <v>6000224</v>
      </c>
    </row>
    <row r="4" spans="1:47" s="204" customFormat="1" x14ac:dyDescent="0.25">
      <c r="A4" s="203" t="s">
        <v>89</v>
      </c>
      <c r="B4" s="203" t="s">
        <v>172</v>
      </c>
      <c r="C4" s="203" t="s">
        <v>80</v>
      </c>
      <c r="D4" s="204" t="s">
        <v>238</v>
      </c>
      <c r="E4" s="203" t="s">
        <v>289</v>
      </c>
      <c r="F4" s="203" t="s">
        <v>237</v>
      </c>
      <c r="G4" s="203">
        <v>2025</v>
      </c>
      <c r="H4" s="203" t="s">
        <v>211</v>
      </c>
      <c r="I4" s="230">
        <v>46034</v>
      </c>
      <c r="J4" s="203" t="s">
        <v>45</v>
      </c>
      <c r="K4" s="203"/>
      <c r="L4" s="203"/>
      <c r="M4" s="203" t="s">
        <v>240</v>
      </c>
      <c r="N4" s="203"/>
      <c r="O4" s="203">
        <v>5501017954</v>
      </c>
      <c r="P4" s="203" t="s">
        <v>267</v>
      </c>
      <c r="Q4" s="203" t="s">
        <v>268</v>
      </c>
      <c r="R4" s="203">
        <v>1090</v>
      </c>
      <c r="S4" s="203">
        <v>6000224</v>
      </c>
      <c r="AU4" s="218"/>
    </row>
    <row r="5" spans="1:47" s="204" customFormat="1" x14ac:dyDescent="0.25">
      <c r="A5" s="203" t="s">
        <v>89</v>
      </c>
      <c r="B5" s="203" t="s">
        <v>285</v>
      </c>
      <c r="C5" s="203" t="s">
        <v>80</v>
      </c>
      <c r="D5" s="204" t="s">
        <v>238</v>
      </c>
      <c r="E5" s="203" t="s">
        <v>289</v>
      </c>
      <c r="F5" s="203" t="s">
        <v>237</v>
      </c>
      <c r="G5" s="203">
        <v>2025</v>
      </c>
      <c r="H5" s="203" t="s">
        <v>211</v>
      </c>
      <c r="I5" s="230">
        <v>46041</v>
      </c>
      <c r="J5" s="203" t="s">
        <v>45</v>
      </c>
      <c r="K5" s="203"/>
      <c r="L5" s="203"/>
      <c r="M5" s="203" t="s">
        <v>240</v>
      </c>
      <c r="N5" s="203"/>
      <c r="O5" s="203">
        <v>5501065659</v>
      </c>
      <c r="P5" s="203" t="s">
        <v>267</v>
      </c>
      <c r="Q5" s="203" t="s">
        <v>268</v>
      </c>
      <c r="R5" s="203">
        <v>1090</v>
      </c>
      <c r="S5" s="203">
        <v>6000224</v>
      </c>
      <c r="AU5" s="218"/>
    </row>
    <row r="6" spans="1:47" s="133" customFormat="1" x14ac:dyDescent="0.25">
      <c r="A6" s="227" t="s">
        <v>89</v>
      </c>
      <c r="B6" s="227" t="s">
        <v>270</v>
      </c>
      <c r="C6" s="227" t="s">
        <v>80</v>
      </c>
      <c r="D6" s="133" t="s">
        <v>238</v>
      </c>
      <c r="E6" s="227" t="s">
        <v>289</v>
      </c>
      <c r="F6" s="227" t="s">
        <v>237</v>
      </c>
      <c r="G6" s="227">
        <v>2025</v>
      </c>
      <c r="H6" s="227" t="s">
        <v>211</v>
      </c>
      <c r="I6" s="229" t="s">
        <v>300</v>
      </c>
      <c r="J6" s="227" t="s">
        <v>45</v>
      </c>
      <c r="K6" s="227"/>
      <c r="L6" s="227"/>
      <c r="M6" s="227" t="s">
        <v>240</v>
      </c>
      <c r="N6" s="227"/>
      <c r="O6" s="227">
        <v>5501060667</v>
      </c>
      <c r="P6" s="227" t="s">
        <v>267</v>
      </c>
      <c r="Q6" s="227" t="s">
        <v>268</v>
      </c>
      <c r="R6" s="227">
        <v>1090</v>
      </c>
      <c r="S6" s="227">
        <v>6000224</v>
      </c>
      <c r="AU6" s="228"/>
    </row>
    <row r="7" spans="1:47" s="204" customFormat="1" x14ac:dyDescent="0.25">
      <c r="A7" s="203" t="s">
        <v>92</v>
      </c>
      <c r="B7" s="203" t="s">
        <v>173</v>
      </c>
      <c r="C7" s="203" t="s">
        <v>80</v>
      </c>
      <c r="D7" s="204" t="s">
        <v>238</v>
      </c>
      <c r="E7" s="203" t="s">
        <v>289</v>
      </c>
      <c r="F7" s="203" t="s">
        <v>237</v>
      </c>
      <c r="G7" s="203">
        <v>2025</v>
      </c>
      <c r="H7" s="203" t="s">
        <v>211</v>
      </c>
      <c r="I7" s="230">
        <v>46034</v>
      </c>
      <c r="J7" s="203" t="s">
        <v>45</v>
      </c>
      <c r="K7" s="203"/>
      <c r="L7" s="203"/>
      <c r="M7" s="203" t="s">
        <v>241</v>
      </c>
      <c r="N7" s="203"/>
      <c r="O7" s="203">
        <v>5501017955</v>
      </c>
      <c r="P7" s="203" t="s">
        <v>267</v>
      </c>
      <c r="Q7" s="203" t="s">
        <v>268</v>
      </c>
      <c r="R7" s="203">
        <v>1090</v>
      </c>
      <c r="S7" s="203">
        <v>6000224</v>
      </c>
    </row>
    <row r="8" spans="1:47" s="204" customFormat="1" x14ac:dyDescent="0.25">
      <c r="A8" s="203" t="s">
        <v>92</v>
      </c>
      <c r="B8" s="203" t="s">
        <v>286</v>
      </c>
      <c r="C8" s="203" t="s">
        <v>80</v>
      </c>
      <c r="D8" s="204" t="s">
        <v>238</v>
      </c>
      <c r="E8" s="203" t="s">
        <v>289</v>
      </c>
      <c r="F8" s="203" t="s">
        <v>237</v>
      </c>
      <c r="G8" s="203">
        <v>2025</v>
      </c>
      <c r="H8" s="203" t="s">
        <v>211</v>
      </c>
      <c r="I8" s="230">
        <v>46041</v>
      </c>
      <c r="J8" s="203" t="s">
        <v>45</v>
      </c>
      <c r="K8" s="203"/>
      <c r="L8" s="203"/>
      <c r="M8" s="203" t="s">
        <v>241</v>
      </c>
      <c r="N8" s="203"/>
      <c r="O8" s="203">
        <v>5501065660</v>
      </c>
      <c r="P8" s="203" t="s">
        <v>267</v>
      </c>
      <c r="Q8" s="203" t="s">
        <v>268</v>
      </c>
      <c r="R8" s="203">
        <v>1090</v>
      </c>
      <c r="S8" s="203">
        <v>6000224</v>
      </c>
      <c r="AU8" s="218"/>
    </row>
    <row r="9" spans="1:47" s="133" customFormat="1" x14ac:dyDescent="0.25">
      <c r="A9" s="227" t="s">
        <v>92</v>
      </c>
      <c r="B9" s="227" t="s">
        <v>271</v>
      </c>
      <c r="C9" s="227" t="s">
        <v>80</v>
      </c>
      <c r="D9" s="133" t="s">
        <v>238</v>
      </c>
      <c r="E9" s="227" t="s">
        <v>289</v>
      </c>
      <c r="F9" s="227" t="s">
        <v>237</v>
      </c>
      <c r="G9" s="227">
        <v>2025</v>
      </c>
      <c r="H9" s="227" t="s">
        <v>211</v>
      </c>
      <c r="I9" s="229" t="s">
        <v>300</v>
      </c>
      <c r="J9" s="227" t="s">
        <v>45</v>
      </c>
      <c r="K9" s="227"/>
      <c r="L9" s="227"/>
      <c r="M9" s="227" t="s">
        <v>241</v>
      </c>
      <c r="N9" s="227"/>
      <c r="O9" s="227">
        <v>5501060668</v>
      </c>
      <c r="P9" s="227" t="s">
        <v>267</v>
      </c>
      <c r="Q9" s="227" t="s">
        <v>268</v>
      </c>
      <c r="R9" s="227">
        <v>1090</v>
      </c>
      <c r="S9" s="227">
        <v>6000224</v>
      </c>
      <c r="AU9" s="228"/>
    </row>
    <row r="10" spans="1:47" s="204" customFormat="1" x14ac:dyDescent="0.25">
      <c r="A10" s="203" t="s">
        <v>90</v>
      </c>
      <c r="B10" s="203" t="s">
        <v>174</v>
      </c>
      <c r="C10" s="203" t="s">
        <v>80</v>
      </c>
      <c r="D10" s="204" t="s">
        <v>238</v>
      </c>
      <c r="E10" s="203" t="s">
        <v>289</v>
      </c>
      <c r="F10" s="203" t="s">
        <v>237</v>
      </c>
      <c r="G10" s="203">
        <v>2025</v>
      </c>
      <c r="H10" s="203" t="s">
        <v>211</v>
      </c>
      <c r="I10" s="230">
        <v>46034</v>
      </c>
      <c r="J10" s="203" t="s">
        <v>45</v>
      </c>
      <c r="K10" s="203"/>
      <c r="L10" s="203"/>
      <c r="M10" s="203" t="s">
        <v>240</v>
      </c>
      <c r="N10" s="203"/>
      <c r="O10" s="203">
        <v>5501017956</v>
      </c>
      <c r="P10" s="203" t="s">
        <v>267</v>
      </c>
      <c r="Q10" s="203" t="s">
        <v>268</v>
      </c>
      <c r="R10" s="203">
        <v>1090</v>
      </c>
      <c r="S10" s="203">
        <v>6000224</v>
      </c>
    </row>
    <row r="11" spans="1:47" s="204" customFormat="1" x14ac:dyDescent="0.25">
      <c r="A11" s="203" t="s">
        <v>90</v>
      </c>
      <c r="B11" s="203" t="s">
        <v>287</v>
      </c>
      <c r="C11" s="203" t="s">
        <v>80</v>
      </c>
      <c r="D11" s="204" t="s">
        <v>238</v>
      </c>
      <c r="E11" s="203" t="s">
        <v>289</v>
      </c>
      <c r="F11" s="203" t="s">
        <v>237</v>
      </c>
      <c r="G11" s="203">
        <v>2025</v>
      </c>
      <c r="H11" s="203" t="s">
        <v>211</v>
      </c>
      <c r="I11" s="230">
        <v>46041</v>
      </c>
      <c r="J11" s="203" t="s">
        <v>45</v>
      </c>
      <c r="K11" s="203"/>
      <c r="L11" s="203"/>
      <c r="M11" s="203" t="s">
        <v>240</v>
      </c>
      <c r="N11" s="203"/>
      <c r="O11" s="203">
        <v>5501065661</v>
      </c>
      <c r="P11" s="203" t="s">
        <v>267</v>
      </c>
      <c r="Q11" s="203" t="s">
        <v>268</v>
      </c>
      <c r="R11" s="203">
        <v>1090</v>
      </c>
      <c r="S11" s="203">
        <v>6000224</v>
      </c>
      <c r="AU11" s="218"/>
    </row>
    <row r="12" spans="1:47" s="133" customFormat="1" x14ac:dyDescent="0.25">
      <c r="A12" s="227" t="s">
        <v>90</v>
      </c>
      <c r="B12" s="227" t="s">
        <v>272</v>
      </c>
      <c r="C12" s="227" t="s">
        <v>80</v>
      </c>
      <c r="D12" s="133" t="s">
        <v>238</v>
      </c>
      <c r="E12" s="227" t="s">
        <v>289</v>
      </c>
      <c r="F12" s="227" t="s">
        <v>237</v>
      </c>
      <c r="G12" s="227">
        <v>2025</v>
      </c>
      <c r="H12" s="227" t="s">
        <v>211</v>
      </c>
      <c r="I12" s="229" t="s">
        <v>300</v>
      </c>
      <c r="J12" s="227" t="s">
        <v>45</v>
      </c>
      <c r="K12" s="227"/>
      <c r="L12" s="227"/>
      <c r="M12" s="227" t="s">
        <v>240</v>
      </c>
      <c r="N12" s="227"/>
      <c r="O12" s="227">
        <v>5501060669</v>
      </c>
      <c r="P12" s="227" t="s">
        <v>267</v>
      </c>
      <c r="Q12" s="227" t="s">
        <v>268</v>
      </c>
      <c r="R12" s="227">
        <v>1090</v>
      </c>
      <c r="S12" s="227">
        <v>6000224</v>
      </c>
      <c r="AU12" s="228"/>
    </row>
    <row r="13" spans="1:47" s="204" customFormat="1" x14ac:dyDescent="0.25">
      <c r="A13" s="203" t="s">
        <v>86</v>
      </c>
      <c r="B13" s="203" t="s">
        <v>242</v>
      </c>
      <c r="C13" s="203" t="s">
        <v>80</v>
      </c>
      <c r="D13" s="204" t="s">
        <v>238</v>
      </c>
      <c r="E13" s="203" t="s">
        <v>289</v>
      </c>
      <c r="F13" s="203" t="s">
        <v>237</v>
      </c>
      <c r="G13" s="203">
        <v>2025</v>
      </c>
      <c r="H13" s="203" t="s">
        <v>296</v>
      </c>
      <c r="I13" s="203"/>
      <c r="J13" s="203" t="s">
        <v>45</v>
      </c>
      <c r="K13" s="203"/>
      <c r="L13" s="203"/>
      <c r="M13" s="203"/>
      <c r="N13" s="203"/>
      <c r="O13" s="203">
        <v>5501044286</v>
      </c>
      <c r="P13" s="203"/>
      <c r="Q13" s="203"/>
      <c r="R13" s="203">
        <v>1090</v>
      </c>
      <c r="S13" s="203">
        <v>6000224</v>
      </c>
    </row>
    <row r="14" spans="1:47" s="204" customFormat="1" x14ac:dyDescent="0.25">
      <c r="A14" s="203" t="s">
        <v>87</v>
      </c>
      <c r="B14" s="203" t="s">
        <v>176</v>
      </c>
      <c r="C14" s="203" t="s">
        <v>80</v>
      </c>
      <c r="D14" s="204" t="s">
        <v>238</v>
      </c>
      <c r="E14" s="203" t="s">
        <v>289</v>
      </c>
      <c r="F14" s="203" t="s">
        <v>237</v>
      </c>
      <c r="G14" s="203">
        <v>2025</v>
      </c>
      <c r="H14" s="203" t="s">
        <v>296</v>
      </c>
      <c r="I14" s="230">
        <v>46034</v>
      </c>
      <c r="J14" s="203" t="s">
        <v>45</v>
      </c>
      <c r="K14" s="203"/>
      <c r="L14" s="203"/>
      <c r="M14" s="203" t="s">
        <v>241</v>
      </c>
      <c r="N14" s="203"/>
      <c r="O14" s="203">
        <v>5501017963</v>
      </c>
      <c r="P14" s="203" t="s">
        <v>267</v>
      </c>
      <c r="Q14" s="203" t="s">
        <v>268</v>
      </c>
      <c r="R14" s="203">
        <v>1090</v>
      </c>
      <c r="S14" s="203">
        <v>6000224</v>
      </c>
    </row>
    <row r="15" spans="1:47" s="204" customFormat="1" x14ac:dyDescent="0.25">
      <c r="A15" s="203" t="s">
        <v>87</v>
      </c>
      <c r="B15" s="203" t="s">
        <v>274</v>
      </c>
      <c r="C15" s="203" t="s">
        <v>80</v>
      </c>
      <c r="D15" s="204" t="s">
        <v>238</v>
      </c>
      <c r="E15" s="203" t="s">
        <v>289</v>
      </c>
      <c r="F15" s="203" t="s">
        <v>237</v>
      </c>
      <c r="G15" s="203">
        <v>2025</v>
      </c>
      <c r="H15" s="203" t="s">
        <v>296</v>
      </c>
      <c r="I15" s="230">
        <v>46041</v>
      </c>
      <c r="J15" s="203" t="s">
        <v>45</v>
      </c>
      <c r="K15" s="203"/>
      <c r="L15" s="203"/>
      <c r="M15" s="203" t="s">
        <v>241</v>
      </c>
      <c r="N15" s="203"/>
      <c r="O15" s="203">
        <v>5501060670</v>
      </c>
      <c r="P15" s="203" t="s">
        <v>267</v>
      </c>
      <c r="Q15" s="203" t="s">
        <v>268</v>
      </c>
      <c r="R15" s="203">
        <v>1090</v>
      </c>
      <c r="S15" s="203">
        <v>6000224</v>
      </c>
    </row>
    <row r="16" spans="1:47" s="204" customFormat="1" x14ac:dyDescent="0.25">
      <c r="A16" s="203" t="s">
        <v>111</v>
      </c>
      <c r="B16" s="203" t="s">
        <v>147</v>
      </c>
      <c r="C16" s="203" t="s">
        <v>80</v>
      </c>
      <c r="D16" s="204" t="s">
        <v>239</v>
      </c>
      <c r="E16" s="203" t="s">
        <v>235</v>
      </c>
      <c r="F16" s="203" t="s">
        <v>236</v>
      </c>
      <c r="G16" s="203">
        <v>2025</v>
      </c>
      <c r="H16" s="203" t="s">
        <v>211</v>
      </c>
      <c r="I16" s="203"/>
      <c r="J16" s="203" t="s">
        <v>45</v>
      </c>
      <c r="K16" s="203"/>
      <c r="L16" s="203"/>
      <c r="M16" s="203" t="s">
        <v>241</v>
      </c>
      <c r="N16" s="203"/>
      <c r="O16" s="203">
        <v>5500990629</v>
      </c>
      <c r="P16" s="203" t="s">
        <v>266</v>
      </c>
      <c r="Q16" s="203" t="s">
        <v>269</v>
      </c>
      <c r="R16" s="203">
        <v>1090</v>
      </c>
      <c r="S16" s="203">
        <v>6000224</v>
      </c>
    </row>
    <row r="17" spans="1:47" s="204" customFormat="1" x14ac:dyDescent="0.25">
      <c r="A17" s="203" t="s">
        <v>111</v>
      </c>
      <c r="B17" s="203" t="s">
        <v>178</v>
      </c>
      <c r="C17" s="203" t="s">
        <v>80</v>
      </c>
      <c r="D17" s="204" t="s">
        <v>239</v>
      </c>
      <c r="E17" s="203" t="s">
        <v>235</v>
      </c>
      <c r="F17" s="203" t="s">
        <v>236</v>
      </c>
      <c r="G17" s="203">
        <v>2025</v>
      </c>
      <c r="H17" s="203" t="s">
        <v>211</v>
      </c>
      <c r="I17" s="203"/>
      <c r="J17" s="203" t="s">
        <v>45</v>
      </c>
      <c r="K17" s="203"/>
      <c r="L17" s="203"/>
      <c r="M17" s="203" t="s">
        <v>241</v>
      </c>
      <c r="N17" s="203"/>
      <c r="O17" s="203">
        <v>5501017965</v>
      </c>
      <c r="P17" s="203" t="s">
        <v>266</v>
      </c>
      <c r="Q17" s="203" t="s">
        <v>269</v>
      </c>
      <c r="R17" s="203">
        <v>1090</v>
      </c>
      <c r="S17" s="203">
        <v>6000224</v>
      </c>
    </row>
    <row r="18" spans="1:47" s="204" customFormat="1" x14ac:dyDescent="0.25">
      <c r="A18" s="203" t="s">
        <v>114</v>
      </c>
      <c r="B18" s="203" t="s">
        <v>179</v>
      </c>
      <c r="C18" s="203" t="s">
        <v>80</v>
      </c>
      <c r="D18" s="204" t="s">
        <v>239</v>
      </c>
      <c r="E18" s="203" t="s">
        <v>235</v>
      </c>
      <c r="F18" s="203" t="s">
        <v>236</v>
      </c>
      <c r="G18" s="203">
        <v>2025</v>
      </c>
      <c r="H18" s="203" t="s">
        <v>211</v>
      </c>
      <c r="I18" s="203"/>
      <c r="J18" s="203" t="s">
        <v>45</v>
      </c>
      <c r="K18" s="203"/>
      <c r="L18" s="203"/>
      <c r="M18" s="203" t="s">
        <v>241</v>
      </c>
      <c r="N18" s="203"/>
      <c r="O18" s="203">
        <v>5501017966</v>
      </c>
      <c r="P18" s="203" t="s">
        <v>266</v>
      </c>
      <c r="Q18" s="203" t="s">
        <v>269</v>
      </c>
      <c r="R18" s="203">
        <v>1090</v>
      </c>
      <c r="S18" s="203">
        <v>6000224</v>
      </c>
    </row>
    <row r="19" spans="1:47" s="204" customFormat="1" x14ac:dyDescent="0.25">
      <c r="A19" s="203" t="s">
        <v>115</v>
      </c>
      <c r="B19" s="203" t="s">
        <v>180</v>
      </c>
      <c r="C19" s="203" t="s">
        <v>80</v>
      </c>
      <c r="D19" s="204" t="s">
        <v>239</v>
      </c>
      <c r="E19" s="203" t="s">
        <v>235</v>
      </c>
      <c r="F19" s="203" t="s">
        <v>236</v>
      </c>
      <c r="G19" s="203">
        <v>2025</v>
      </c>
      <c r="H19" s="203" t="s">
        <v>211</v>
      </c>
      <c r="I19" s="203"/>
      <c r="J19" s="203" t="s">
        <v>45</v>
      </c>
      <c r="K19" s="203"/>
      <c r="L19" s="203"/>
      <c r="M19" s="203" t="s">
        <v>241</v>
      </c>
      <c r="N19" s="203"/>
      <c r="O19" s="203">
        <v>5501017967</v>
      </c>
      <c r="P19" s="203" t="s">
        <v>266</v>
      </c>
      <c r="Q19" s="203" t="s">
        <v>269</v>
      </c>
      <c r="R19" s="203">
        <v>1090</v>
      </c>
      <c r="S19" s="203">
        <v>6000224</v>
      </c>
    </row>
    <row r="20" spans="1:47" s="204" customFormat="1" x14ac:dyDescent="0.25">
      <c r="A20" s="203" t="s">
        <v>116</v>
      </c>
      <c r="B20" s="203" t="s">
        <v>181</v>
      </c>
      <c r="C20" s="203" t="s">
        <v>80</v>
      </c>
      <c r="D20" s="204" t="s">
        <v>239</v>
      </c>
      <c r="E20" s="203" t="s">
        <v>235</v>
      </c>
      <c r="F20" s="203" t="s">
        <v>236</v>
      </c>
      <c r="G20" s="203">
        <v>2025</v>
      </c>
      <c r="H20" s="203" t="s">
        <v>211</v>
      </c>
      <c r="I20" s="203"/>
      <c r="J20" s="203" t="s">
        <v>45</v>
      </c>
      <c r="K20" s="203"/>
      <c r="L20" s="203"/>
      <c r="M20" s="203" t="s">
        <v>260</v>
      </c>
      <c r="N20" s="203"/>
      <c r="O20" s="203">
        <v>5501017968</v>
      </c>
      <c r="P20" s="203" t="s">
        <v>266</v>
      </c>
      <c r="Q20" s="203" t="s">
        <v>269</v>
      </c>
      <c r="R20" s="203">
        <v>1090</v>
      </c>
      <c r="S20" s="203">
        <v>6000224</v>
      </c>
    </row>
    <row r="21" spans="1:47" s="204" customFormat="1" x14ac:dyDescent="0.25">
      <c r="A21" s="203" t="s">
        <v>117</v>
      </c>
      <c r="B21" s="203" t="s">
        <v>145</v>
      </c>
      <c r="C21" s="203" t="s">
        <v>80</v>
      </c>
      <c r="D21" s="204" t="s">
        <v>239</v>
      </c>
      <c r="E21" s="203" t="s">
        <v>235</v>
      </c>
      <c r="F21" s="203" t="s">
        <v>236</v>
      </c>
      <c r="G21" s="203">
        <v>2025</v>
      </c>
      <c r="H21" s="203" t="s">
        <v>211</v>
      </c>
      <c r="I21" s="203"/>
      <c r="J21" s="203" t="s">
        <v>45</v>
      </c>
      <c r="K21" s="203"/>
      <c r="L21" s="203"/>
      <c r="M21" s="203" t="s">
        <v>241</v>
      </c>
      <c r="N21" s="203"/>
      <c r="O21" s="203">
        <v>5500990633</v>
      </c>
      <c r="P21" s="203" t="s">
        <v>266</v>
      </c>
      <c r="Q21" s="203" t="s">
        <v>269</v>
      </c>
      <c r="R21" s="203">
        <v>1090</v>
      </c>
      <c r="S21" s="203">
        <v>6000224</v>
      </c>
    </row>
    <row r="22" spans="1:47" s="204" customFormat="1" x14ac:dyDescent="0.25">
      <c r="A22" s="203" t="s">
        <v>117</v>
      </c>
      <c r="B22" s="203" t="s">
        <v>182</v>
      </c>
      <c r="C22" s="203" t="s">
        <v>80</v>
      </c>
      <c r="D22" s="204" t="s">
        <v>239</v>
      </c>
      <c r="E22" s="203" t="s">
        <v>235</v>
      </c>
      <c r="F22" s="203" t="s">
        <v>236</v>
      </c>
      <c r="G22" s="203">
        <v>2025</v>
      </c>
      <c r="H22" s="203" t="s">
        <v>211</v>
      </c>
      <c r="I22" s="203"/>
      <c r="J22" s="203" t="s">
        <v>45</v>
      </c>
      <c r="K22" s="203"/>
      <c r="L22" s="203"/>
      <c r="M22" s="203" t="s">
        <v>241</v>
      </c>
      <c r="N22" s="203"/>
      <c r="O22" s="203">
        <v>5501017969</v>
      </c>
      <c r="P22" s="203" t="s">
        <v>266</v>
      </c>
      <c r="Q22" s="203" t="s">
        <v>269</v>
      </c>
      <c r="R22" s="203">
        <v>1090</v>
      </c>
      <c r="S22" s="203">
        <v>6000224</v>
      </c>
    </row>
    <row r="23" spans="1:47" s="204" customFormat="1" x14ac:dyDescent="0.25">
      <c r="A23" s="203" t="s">
        <v>118</v>
      </c>
      <c r="B23" s="203" t="s">
        <v>149</v>
      </c>
      <c r="C23" s="203" t="s">
        <v>80</v>
      </c>
      <c r="D23" s="204" t="s">
        <v>239</v>
      </c>
      <c r="E23" s="203" t="s">
        <v>235</v>
      </c>
      <c r="F23" s="203" t="s">
        <v>236</v>
      </c>
      <c r="G23" s="203">
        <v>2025</v>
      </c>
      <c r="H23" s="203" t="s">
        <v>211</v>
      </c>
      <c r="I23" s="203"/>
      <c r="J23" s="203" t="s">
        <v>45</v>
      </c>
      <c r="K23" s="203"/>
      <c r="L23" s="203"/>
      <c r="M23" s="203" t="s">
        <v>241</v>
      </c>
      <c r="N23" s="203"/>
      <c r="O23" s="203">
        <v>5500990634</v>
      </c>
      <c r="P23" s="203" t="s">
        <v>266</v>
      </c>
      <c r="Q23" s="203" t="s">
        <v>269</v>
      </c>
      <c r="R23" s="203">
        <v>1090</v>
      </c>
      <c r="S23" s="203">
        <v>6000224</v>
      </c>
    </row>
    <row r="24" spans="1:47" s="204" customFormat="1" x14ac:dyDescent="0.25">
      <c r="A24" s="203" t="s">
        <v>118</v>
      </c>
      <c r="B24" s="203" t="s">
        <v>183</v>
      </c>
      <c r="C24" s="203" t="s">
        <v>80</v>
      </c>
      <c r="D24" s="204" t="s">
        <v>239</v>
      </c>
      <c r="E24" s="203" t="s">
        <v>235</v>
      </c>
      <c r="F24" s="203" t="s">
        <v>236</v>
      </c>
      <c r="G24" s="203">
        <v>2025</v>
      </c>
      <c r="H24" s="203" t="s">
        <v>211</v>
      </c>
      <c r="I24" s="203"/>
      <c r="J24" s="203" t="s">
        <v>45</v>
      </c>
      <c r="K24" s="203"/>
      <c r="L24" s="203"/>
      <c r="M24" s="203" t="s">
        <v>241</v>
      </c>
      <c r="N24" s="203"/>
      <c r="O24" s="203">
        <v>5501017970</v>
      </c>
      <c r="P24" s="203" t="s">
        <v>266</v>
      </c>
      <c r="Q24" s="203" t="s">
        <v>269</v>
      </c>
      <c r="R24" s="203">
        <v>1090</v>
      </c>
      <c r="S24" s="203">
        <v>6000224</v>
      </c>
    </row>
    <row r="25" spans="1:47" s="204" customFormat="1" x14ac:dyDescent="0.25">
      <c r="A25" s="203" t="s">
        <v>119</v>
      </c>
      <c r="B25" s="203" t="s">
        <v>184</v>
      </c>
      <c r="C25" s="203" t="s">
        <v>80</v>
      </c>
      <c r="D25" s="204" t="s">
        <v>239</v>
      </c>
      <c r="E25" s="203" t="s">
        <v>235</v>
      </c>
      <c r="F25" s="203" t="s">
        <v>236</v>
      </c>
      <c r="G25" s="203">
        <v>2025</v>
      </c>
      <c r="H25" s="203" t="s">
        <v>211</v>
      </c>
      <c r="I25" s="203"/>
      <c r="J25" s="203" t="s">
        <v>45</v>
      </c>
      <c r="K25" s="203"/>
      <c r="L25" s="203"/>
      <c r="M25" s="203" t="s">
        <v>240</v>
      </c>
      <c r="N25" s="203"/>
      <c r="O25" s="203">
        <v>5501017971</v>
      </c>
      <c r="P25" s="203" t="s">
        <v>266</v>
      </c>
      <c r="Q25" s="203" t="s">
        <v>269</v>
      </c>
      <c r="R25" s="203">
        <v>1090</v>
      </c>
      <c r="S25" s="203">
        <v>6000224</v>
      </c>
    </row>
    <row r="26" spans="1:47" s="204" customFormat="1" x14ac:dyDescent="0.25">
      <c r="A26" s="203" t="s">
        <v>88</v>
      </c>
      <c r="B26" s="203" t="s">
        <v>175</v>
      </c>
      <c r="C26" s="203" t="s">
        <v>80</v>
      </c>
      <c r="D26" s="204" t="s">
        <v>238</v>
      </c>
      <c r="E26" s="203" t="s">
        <v>289</v>
      </c>
      <c r="F26" s="203" t="s">
        <v>237</v>
      </c>
      <c r="G26" s="203">
        <v>2025</v>
      </c>
      <c r="H26" s="203" t="s">
        <v>211</v>
      </c>
      <c r="I26" s="230">
        <v>46034</v>
      </c>
      <c r="J26" s="203" t="s">
        <v>45</v>
      </c>
      <c r="K26" s="203"/>
      <c r="L26" s="203"/>
      <c r="M26" s="203" t="s">
        <v>240</v>
      </c>
      <c r="N26" s="203"/>
      <c r="O26" s="203">
        <v>5501017957</v>
      </c>
      <c r="P26" s="203" t="s">
        <v>267</v>
      </c>
      <c r="Q26" s="203" t="s">
        <v>268</v>
      </c>
      <c r="R26" s="203">
        <v>1090</v>
      </c>
      <c r="S26" s="203">
        <v>6000224</v>
      </c>
    </row>
    <row r="27" spans="1:47" s="204" customFormat="1" x14ac:dyDescent="0.25">
      <c r="A27" s="203" t="s">
        <v>88</v>
      </c>
      <c r="B27" s="203" t="s">
        <v>288</v>
      </c>
      <c r="C27" s="203" t="s">
        <v>80</v>
      </c>
      <c r="D27" s="204" t="s">
        <v>238</v>
      </c>
      <c r="E27" s="203" t="s">
        <v>289</v>
      </c>
      <c r="F27" s="203" t="s">
        <v>237</v>
      </c>
      <c r="G27" s="203">
        <v>2025</v>
      </c>
      <c r="H27" s="203" t="s">
        <v>211</v>
      </c>
      <c r="I27" s="230">
        <v>46041</v>
      </c>
      <c r="J27" s="203" t="s">
        <v>45</v>
      </c>
      <c r="K27" s="203"/>
      <c r="L27" s="203"/>
      <c r="M27" s="203" t="s">
        <v>240</v>
      </c>
      <c r="N27" s="203"/>
      <c r="O27" s="203">
        <v>5501065658</v>
      </c>
      <c r="P27" s="203" t="s">
        <v>267</v>
      </c>
      <c r="Q27" s="203" t="s">
        <v>268</v>
      </c>
      <c r="R27" s="203">
        <v>1090</v>
      </c>
      <c r="S27" s="203">
        <v>6000224</v>
      </c>
      <c r="AU27" s="218"/>
    </row>
    <row r="28" spans="1:47" s="133" customFormat="1" x14ac:dyDescent="0.25">
      <c r="A28" s="227" t="s">
        <v>88</v>
      </c>
      <c r="B28" s="227" t="s">
        <v>265</v>
      </c>
      <c r="C28" s="227" t="s">
        <v>80</v>
      </c>
      <c r="D28" s="133" t="s">
        <v>238</v>
      </c>
      <c r="E28" s="227" t="s">
        <v>289</v>
      </c>
      <c r="F28" s="227" t="s">
        <v>237</v>
      </c>
      <c r="G28" s="227">
        <v>2025</v>
      </c>
      <c r="H28" s="227" t="s">
        <v>211</v>
      </c>
      <c r="I28" s="229" t="s">
        <v>300</v>
      </c>
      <c r="J28" s="227" t="s">
        <v>45</v>
      </c>
      <c r="K28" s="227"/>
      <c r="L28" s="227"/>
      <c r="M28" s="227" t="s">
        <v>240</v>
      </c>
      <c r="N28" s="227"/>
      <c r="O28" s="227">
        <v>5501060666</v>
      </c>
      <c r="P28" s="227" t="s">
        <v>267</v>
      </c>
      <c r="Q28" s="227" t="s">
        <v>268</v>
      </c>
      <c r="R28" s="227">
        <v>1090</v>
      </c>
      <c r="S28" s="227">
        <v>6000224</v>
      </c>
      <c r="AU28" s="228"/>
    </row>
    <row r="29" spans="1:47" s="204" customFormat="1" x14ac:dyDescent="0.25">
      <c r="A29" s="203" t="s">
        <v>84</v>
      </c>
      <c r="B29" s="203" t="s">
        <v>177</v>
      </c>
      <c r="C29" s="203" t="s">
        <v>80</v>
      </c>
      <c r="D29" s="204" t="s">
        <v>238</v>
      </c>
      <c r="E29" s="203" t="s">
        <v>289</v>
      </c>
      <c r="F29" s="203" t="s">
        <v>237</v>
      </c>
      <c r="G29" s="203">
        <v>2025</v>
      </c>
      <c r="H29" s="203" t="s">
        <v>296</v>
      </c>
      <c r="I29" s="230">
        <v>46034</v>
      </c>
      <c r="J29" s="203" t="s">
        <v>45</v>
      </c>
      <c r="K29" s="203"/>
      <c r="L29" s="203"/>
      <c r="M29" s="203" t="s">
        <v>240</v>
      </c>
      <c r="N29" s="203"/>
      <c r="O29" s="203">
        <v>5501017964</v>
      </c>
      <c r="P29" s="203" t="s">
        <v>267</v>
      </c>
      <c r="Q29" s="203" t="s">
        <v>268</v>
      </c>
      <c r="R29" s="203">
        <v>1090</v>
      </c>
      <c r="S29" s="203">
        <v>6000224</v>
      </c>
    </row>
    <row r="30" spans="1:47" s="204" customFormat="1" x14ac:dyDescent="0.25">
      <c r="A30" s="203" t="s">
        <v>84</v>
      </c>
      <c r="B30" s="203" t="s">
        <v>273</v>
      </c>
      <c r="C30" s="203" t="s">
        <v>80</v>
      </c>
      <c r="D30" s="204" t="s">
        <v>238</v>
      </c>
      <c r="E30" s="203" t="s">
        <v>289</v>
      </c>
      <c r="F30" s="203" t="s">
        <v>237</v>
      </c>
      <c r="G30" s="203">
        <v>2025</v>
      </c>
      <c r="H30" s="203" t="s">
        <v>296</v>
      </c>
      <c r="I30" s="230">
        <v>46041</v>
      </c>
      <c r="J30" s="203" t="s">
        <v>45</v>
      </c>
      <c r="K30" s="203"/>
      <c r="L30" s="203"/>
      <c r="M30" s="203" t="s">
        <v>240</v>
      </c>
      <c r="N30" s="203"/>
      <c r="O30" s="203">
        <v>5501060671</v>
      </c>
      <c r="P30" s="203" t="s">
        <v>267</v>
      </c>
      <c r="Q30" s="203" t="s">
        <v>268</v>
      </c>
      <c r="R30" s="203">
        <v>1090</v>
      </c>
      <c r="S30" s="203">
        <v>6000224</v>
      </c>
    </row>
    <row r="31" spans="1:47" s="204" customFormat="1" x14ac:dyDescent="0.25">
      <c r="A31" s="203" t="s">
        <v>120</v>
      </c>
      <c r="B31" s="203" t="s">
        <v>148</v>
      </c>
      <c r="C31" s="203" t="s">
        <v>80</v>
      </c>
      <c r="D31" s="204" t="s">
        <v>239</v>
      </c>
      <c r="E31" s="203" t="s">
        <v>289</v>
      </c>
      <c r="F31" s="203" t="s">
        <v>237</v>
      </c>
      <c r="G31" s="203">
        <v>2025</v>
      </c>
      <c r="H31" s="203" t="s">
        <v>211</v>
      </c>
      <c r="I31" s="203"/>
      <c r="J31" s="203" t="s">
        <v>45</v>
      </c>
      <c r="K31" s="203"/>
      <c r="L31" s="203"/>
      <c r="M31" s="203" t="s">
        <v>241</v>
      </c>
      <c r="N31" s="203"/>
      <c r="O31" s="203">
        <v>5500990636</v>
      </c>
      <c r="P31" s="203" t="s">
        <v>266</v>
      </c>
      <c r="Q31" s="203" t="s">
        <v>269</v>
      </c>
      <c r="R31" s="203">
        <v>1090</v>
      </c>
      <c r="S31" s="203">
        <v>6000224</v>
      </c>
    </row>
    <row r="32" spans="1:47" s="204" customFormat="1" x14ac:dyDescent="0.25">
      <c r="A32" s="203" t="s">
        <v>120</v>
      </c>
      <c r="B32" s="203" t="s">
        <v>185</v>
      </c>
      <c r="C32" s="203" t="s">
        <v>80</v>
      </c>
      <c r="D32" s="204" t="s">
        <v>239</v>
      </c>
      <c r="E32" s="203" t="s">
        <v>235</v>
      </c>
      <c r="F32" s="203" t="s">
        <v>236</v>
      </c>
      <c r="G32" s="203">
        <v>2025</v>
      </c>
      <c r="H32" s="203" t="s">
        <v>211</v>
      </c>
      <c r="I32" s="203"/>
      <c r="J32" s="203" t="s">
        <v>45</v>
      </c>
      <c r="K32" s="203"/>
      <c r="L32" s="203"/>
      <c r="M32" s="203" t="s">
        <v>241</v>
      </c>
      <c r="N32" s="203"/>
      <c r="O32" s="203">
        <v>5501017972</v>
      </c>
      <c r="P32" s="203" t="s">
        <v>266</v>
      </c>
      <c r="Q32" s="203" t="s">
        <v>269</v>
      </c>
      <c r="R32" s="203">
        <v>1090</v>
      </c>
      <c r="S32" s="203">
        <v>6000224</v>
      </c>
    </row>
    <row r="33" spans="1:19" s="204" customFormat="1" x14ac:dyDescent="0.25">
      <c r="A33" s="203" t="s">
        <v>121</v>
      </c>
      <c r="B33" s="203" t="s">
        <v>150</v>
      </c>
      <c r="C33" s="203" t="s">
        <v>80</v>
      </c>
      <c r="D33" s="204" t="s">
        <v>239</v>
      </c>
      <c r="E33" s="203" t="s">
        <v>235</v>
      </c>
      <c r="F33" s="203" t="s">
        <v>236</v>
      </c>
      <c r="G33" s="203">
        <v>2025</v>
      </c>
      <c r="H33" s="203" t="s">
        <v>211</v>
      </c>
      <c r="I33" s="203"/>
      <c r="J33" s="203" t="s">
        <v>45</v>
      </c>
      <c r="K33" s="203"/>
      <c r="L33" s="203"/>
      <c r="M33" s="203" t="s">
        <v>241</v>
      </c>
      <c r="N33" s="203"/>
      <c r="O33" s="203">
        <v>5500990620</v>
      </c>
      <c r="P33" s="203" t="s">
        <v>266</v>
      </c>
      <c r="Q33" s="203" t="s">
        <v>269</v>
      </c>
      <c r="R33" s="203">
        <v>1090</v>
      </c>
      <c r="S33" s="203">
        <v>6000224</v>
      </c>
    </row>
    <row r="34" spans="1:19" s="204" customFormat="1" x14ac:dyDescent="0.25">
      <c r="A34" s="203" t="s">
        <v>121</v>
      </c>
      <c r="B34" s="203" t="s">
        <v>186</v>
      </c>
      <c r="C34" s="203" t="s">
        <v>80</v>
      </c>
      <c r="D34" s="204" t="s">
        <v>239</v>
      </c>
      <c r="E34" s="203" t="s">
        <v>235</v>
      </c>
      <c r="F34" s="203" t="s">
        <v>236</v>
      </c>
      <c r="G34" s="203">
        <v>2025</v>
      </c>
      <c r="H34" s="203" t="s">
        <v>211</v>
      </c>
      <c r="I34" s="203"/>
      <c r="J34" s="203" t="s">
        <v>45</v>
      </c>
      <c r="K34" s="203"/>
      <c r="L34" s="203"/>
      <c r="M34" s="203" t="s">
        <v>241</v>
      </c>
      <c r="N34" s="203"/>
      <c r="O34" s="203">
        <v>5501017973</v>
      </c>
      <c r="P34" s="203" t="s">
        <v>266</v>
      </c>
      <c r="Q34" s="203" t="s">
        <v>269</v>
      </c>
      <c r="R34" s="203">
        <v>1090</v>
      </c>
      <c r="S34" s="203">
        <v>6000224</v>
      </c>
    </row>
    <row r="35" spans="1:19" s="204" customFormat="1" x14ac:dyDescent="0.25">
      <c r="A35" s="203" t="s">
        <v>123</v>
      </c>
      <c r="B35" s="203" t="s">
        <v>136</v>
      </c>
      <c r="C35" s="203" t="s">
        <v>80</v>
      </c>
      <c r="D35" s="204" t="s">
        <v>239</v>
      </c>
      <c r="E35" s="203" t="s">
        <v>235</v>
      </c>
      <c r="F35" s="203" t="s">
        <v>236</v>
      </c>
      <c r="G35" s="203">
        <v>2025</v>
      </c>
      <c r="H35" s="203" t="s">
        <v>211</v>
      </c>
      <c r="I35" s="203"/>
      <c r="J35" s="203" t="s">
        <v>45</v>
      </c>
      <c r="K35" s="203"/>
      <c r="L35" s="203"/>
      <c r="M35" s="203" t="s">
        <v>241</v>
      </c>
      <c r="N35" s="203"/>
      <c r="O35" s="203">
        <v>5500990621</v>
      </c>
      <c r="P35" s="203" t="s">
        <v>266</v>
      </c>
      <c r="Q35" s="203" t="s">
        <v>269</v>
      </c>
      <c r="R35" s="203">
        <v>1090</v>
      </c>
      <c r="S35" s="203">
        <v>6000224</v>
      </c>
    </row>
    <row r="36" spans="1:19" s="204" customFormat="1" x14ac:dyDescent="0.25">
      <c r="A36" s="203" t="s">
        <v>123</v>
      </c>
      <c r="B36" s="203" t="s">
        <v>187</v>
      </c>
      <c r="C36" s="203" t="s">
        <v>80</v>
      </c>
      <c r="D36" s="204" t="s">
        <v>239</v>
      </c>
      <c r="E36" s="203" t="s">
        <v>235</v>
      </c>
      <c r="F36" s="203" t="s">
        <v>236</v>
      </c>
      <c r="G36" s="203">
        <v>2025</v>
      </c>
      <c r="H36" s="203" t="s">
        <v>211</v>
      </c>
      <c r="I36" s="203"/>
      <c r="J36" s="203" t="s">
        <v>45</v>
      </c>
      <c r="K36" s="203"/>
      <c r="L36" s="203"/>
      <c r="M36" s="203" t="s">
        <v>241</v>
      </c>
      <c r="N36" s="203"/>
      <c r="O36" s="203">
        <v>5501017974</v>
      </c>
      <c r="P36" s="203" t="s">
        <v>266</v>
      </c>
      <c r="Q36" s="203" t="s">
        <v>269</v>
      </c>
      <c r="R36" s="203">
        <v>1090</v>
      </c>
      <c r="S36" s="203">
        <v>6000224</v>
      </c>
    </row>
    <row r="37" spans="1:19" s="204" customFormat="1" x14ac:dyDescent="0.25">
      <c r="A37" s="203" t="s">
        <v>124</v>
      </c>
      <c r="B37" s="203" t="s">
        <v>188</v>
      </c>
      <c r="C37" s="203" t="s">
        <v>80</v>
      </c>
      <c r="D37" s="204" t="s">
        <v>239</v>
      </c>
      <c r="E37" s="203" t="s">
        <v>235</v>
      </c>
      <c r="F37" s="203" t="s">
        <v>236</v>
      </c>
      <c r="G37" s="203">
        <v>2025</v>
      </c>
      <c r="H37" s="203" t="s">
        <v>211</v>
      </c>
      <c r="I37" s="203"/>
      <c r="J37" s="203" t="s">
        <v>45</v>
      </c>
      <c r="K37" s="203"/>
      <c r="L37" s="203"/>
      <c r="M37" s="203" t="s">
        <v>241</v>
      </c>
      <c r="N37" s="203"/>
      <c r="O37" s="203">
        <v>5501017975</v>
      </c>
      <c r="P37" s="203" t="s">
        <v>266</v>
      </c>
      <c r="Q37" s="203" t="s">
        <v>269</v>
      </c>
      <c r="R37" s="203">
        <v>1090</v>
      </c>
      <c r="S37" s="203">
        <v>6000224</v>
      </c>
    </row>
    <row r="38" spans="1:19" s="204" customFormat="1" x14ac:dyDescent="0.25">
      <c r="A38" s="203" t="s">
        <v>125</v>
      </c>
      <c r="B38" s="203" t="s">
        <v>189</v>
      </c>
      <c r="C38" s="203" t="s">
        <v>80</v>
      </c>
      <c r="D38" s="204" t="s">
        <v>239</v>
      </c>
      <c r="E38" s="203" t="s">
        <v>235</v>
      </c>
      <c r="F38" s="203" t="s">
        <v>236</v>
      </c>
      <c r="G38" s="203">
        <v>2025</v>
      </c>
      <c r="H38" s="203" t="s">
        <v>211</v>
      </c>
      <c r="I38" s="203"/>
      <c r="J38" s="203" t="s">
        <v>45</v>
      </c>
      <c r="K38" s="203"/>
      <c r="L38" s="203"/>
      <c r="M38" s="203" t="s">
        <v>241</v>
      </c>
      <c r="N38" s="203"/>
      <c r="O38" s="203">
        <v>5501017976</v>
      </c>
      <c r="P38" s="203" t="s">
        <v>266</v>
      </c>
      <c r="Q38" s="203" t="s">
        <v>269</v>
      </c>
      <c r="R38" s="203">
        <v>1090</v>
      </c>
      <c r="S38" s="203">
        <v>6000224</v>
      </c>
    </row>
    <row r="39" spans="1:19" s="204" customFormat="1" x14ac:dyDescent="0.25">
      <c r="A39" s="203" t="s">
        <v>126</v>
      </c>
      <c r="B39" s="203" t="s">
        <v>190</v>
      </c>
      <c r="C39" s="203" t="s">
        <v>80</v>
      </c>
      <c r="D39" s="204" t="s">
        <v>239</v>
      </c>
      <c r="E39" s="203" t="s">
        <v>235</v>
      </c>
      <c r="F39" s="203" t="s">
        <v>236</v>
      </c>
      <c r="G39" s="203">
        <v>2025</v>
      </c>
      <c r="H39" s="203" t="s">
        <v>211</v>
      </c>
      <c r="I39" s="203"/>
      <c r="J39" s="203" t="s">
        <v>45</v>
      </c>
      <c r="K39" s="203"/>
      <c r="L39" s="203"/>
      <c r="M39" s="203" t="s">
        <v>241</v>
      </c>
      <c r="N39" s="203"/>
      <c r="O39" s="203">
        <v>5501017977</v>
      </c>
      <c r="P39" s="203" t="s">
        <v>266</v>
      </c>
      <c r="Q39" s="203" t="s">
        <v>269</v>
      </c>
      <c r="R39" s="203">
        <v>1090</v>
      </c>
      <c r="S39" s="203">
        <v>6000224</v>
      </c>
    </row>
    <row r="40" spans="1:19" s="204" customFormat="1" x14ac:dyDescent="0.25">
      <c r="A40" s="203" t="s">
        <v>127</v>
      </c>
      <c r="B40" s="203" t="s">
        <v>141</v>
      </c>
      <c r="C40" s="203" t="s">
        <v>80</v>
      </c>
      <c r="D40" s="204" t="s">
        <v>239</v>
      </c>
      <c r="E40" s="203" t="s">
        <v>235</v>
      </c>
      <c r="F40" s="203" t="s">
        <v>236</v>
      </c>
      <c r="G40" s="203">
        <v>2025</v>
      </c>
      <c r="H40" s="203" t="s">
        <v>211</v>
      </c>
      <c r="I40" s="203"/>
      <c r="J40" s="203" t="s">
        <v>45</v>
      </c>
      <c r="K40" s="203"/>
      <c r="L40" s="203"/>
      <c r="M40" s="203" t="s">
        <v>241</v>
      </c>
      <c r="N40" s="203"/>
      <c r="O40" s="203">
        <v>5500990625</v>
      </c>
      <c r="P40" s="203" t="s">
        <v>266</v>
      </c>
      <c r="Q40" s="203" t="s">
        <v>269</v>
      </c>
      <c r="R40" s="203">
        <v>1090</v>
      </c>
      <c r="S40" s="203">
        <v>6000224</v>
      </c>
    </row>
    <row r="41" spans="1:19" s="204" customFormat="1" x14ac:dyDescent="0.25">
      <c r="A41" s="203" t="s">
        <v>127</v>
      </c>
      <c r="B41" s="203" t="s">
        <v>191</v>
      </c>
      <c r="C41" s="203" t="s">
        <v>80</v>
      </c>
      <c r="D41" s="204" t="s">
        <v>239</v>
      </c>
      <c r="E41" s="203" t="s">
        <v>235</v>
      </c>
      <c r="F41" s="203" t="s">
        <v>236</v>
      </c>
      <c r="G41" s="203">
        <v>2025</v>
      </c>
      <c r="H41" s="203" t="s">
        <v>211</v>
      </c>
      <c r="I41" s="203"/>
      <c r="J41" s="203" t="s">
        <v>45</v>
      </c>
      <c r="K41" s="203"/>
      <c r="L41" s="203"/>
      <c r="M41" s="203" t="s">
        <v>241</v>
      </c>
      <c r="N41" s="203"/>
      <c r="O41" s="203">
        <v>5501017978</v>
      </c>
      <c r="P41" s="203" t="s">
        <v>266</v>
      </c>
      <c r="Q41" s="203" t="s">
        <v>269</v>
      </c>
      <c r="R41" s="203">
        <v>1090</v>
      </c>
      <c r="S41" s="203">
        <v>6000224</v>
      </c>
    </row>
    <row r="42" spans="1:19" s="204" customFormat="1" x14ac:dyDescent="0.25">
      <c r="A42" s="203" t="s">
        <v>128</v>
      </c>
      <c r="B42" s="203" t="s">
        <v>134</v>
      </c>
      <c r="C42" s="203" t="s">
        <v>80</v>
      </c>
      <c r="D42" s="204" t="s">
        <v>239</v>
      </c>
      <c r="E42" s="203" t="s">
        <v>235</v>
      </c>
      <c r="F42" s="203" t="s">
        <v>236</v>
      </c>
      <c r="G42" s="203">
        <v>2025</v>
      </c>
      <c r="H42" s="203" t="s">
        <v>211</v>
      </c>
      <c r="I42" s="203"/>
      <c r="J42" s="203" t="s">
        <v>45</v>
      </c>
      <c r="K42" s="203"/>
      <c r="L42" s="203"/>
      <c r="M42" s="203" t="s">
        <v>241</v>
      </c>
      <c r="N42" s="203"/>
      <c r="O42" s="203">
        <v>5500990626</v>
      </c>
      <c r="P42" s="203" t="s">
        <v>266</v>
      </c>
      <c r="Q42" s="203" t="s">
        <v>269</v>
      </c>
      <c r="R42" s="203">
        <v>1090</v>
      </c>
      <c r="S42" s="203">
        <v>6000224</v>
      </c>
    </row>
    <row r="43" spans="1:19" s="204" customFormat="1" x14ac:dyDescent="0.25">
      <c r="A43" s="203" t="s">
        <v>128</v>
      </c>
      <c r="B43" s="203" t="s">
        <v>192</v>
      </c>
      <c r="C43" s="203" t="s">
        <v>80</v>
      </c>
      <c r="D43" s="204" t="s">
        <v>239</v>
      </c>
      <c r="E43" s="203" t="s">
        <v>235</v>
      </c>
      <c r="F43" s="203" t="s">
        <v>236</v>
      </c>
      <c r="G43" s="203">
        <v>2025</v>
      </c>
      <c r="H43" s="203" t="s">
        <v>211</v>
      </c>
      <c r="I43" s="203"/>
      <c r="J43" s="203" t="s">
        <v>45</v>
      </c>
      <c r="K43" s="203"/>
      <c r="L43" s="203"/>
      <c r="M43" s="203" t="s">
        <v>241</v>
      </c>
      <c r="N43" s="203"/>
      <c r="O43" s="203">
        <v>5501017979</v>
      </c>
      <c r="P43" s="203" t="s">
        <v>266</v>
      </c>
      <c r="Q43" s="203" t="s">
        <v>269</v>
      </c>
      <c r="R43" s="203">
        <v>1090</v>
      </c>
      <c r="S43" s="203">
        <v>6000224</v>
      </c>
    </row>
    <row r="44" spans="1:19" s="204" customFormat="1" x14ac:dyDescent="0.25">
      <c r="A44" s="203" t="s">
        <v>129</v>
      </c>
      <c r="B44" s="203" t="s">
        <v>193</v>
      </c>
      <c r="C44" s="203" t="s">
        <v>80</v>
      </c>
      <c r="D44" s="204" t="s">
        <v>239</v>
      </c>
      <c r="E44" s="203" t="s">
        <v>235</v>
      </c>
      <c r="F44" s="203" t="s">
        <v>236</v>
      </c>
      <c r="G44" s="203">
        <v>2025</v>
      </c>
      <c r="H44" s="203" t="s">
        <v>211</v>
      </c>
      <c r="I44" s="203"/>
      <c r="J44" s="203" t="s">
        <v>45</v>
      </c>
      <c r="K44" s="203"/>
      <c r="L44" s="203"/>
      <c r="M44" s="203" t="s">
        <v>241</v>
      </c>
      <c r="N44" s="203"/>
      <c r="O44" s="203">
        <v>5501017980</v>
      </c>
      <c r="P44" s="203" t="s">
        <v>266</v>
      </c>
      <c r="Q44" s="203" t="s">
        <v>269</v>
      </c>
      <c r="R44" s="203">
        <v>1090</v>
      </c>
      <c r="S44" s="203">
        <v>6000224</v>
      </c>
    </row>
    <row r="46" spans="1:19" x14ac:dyDescent="0.25">
      <c r="I46" s="221" t="s">
        <v>244</v>
      </c>
    </row>
    <row r="47" spans="1:19" s="220" customFormat="1" x14ac:dyDescent="0.25">
      <c r="A47" s="219" t="s">
        <v>84</v>
      </c>
      <c r="B47" s="219" t="s">
        <v>155</v>
      </c>
      <c r="C47" s="219" t="s">
        <v>80</v>
      </c>
      <c r="D47" s="220" t="s">
        <v>238</v>
      </c>
      <c r="E47" s="219" t="s">
        <v>234</v>
      </c>
      <c r="F47" s="219" t="s">
        <v>237</v>
      </c>
      <c r="G47" s="219">
        <v>2025</v>
      </c>
      <c r="H47" s="219" t="s">
        <v>171</v>
      </c>
      <c r="I47" s="222">
        <v>1908</v>
      </c>
      <c r="J47" s="219" t="s">
        <v>45</v>
      </c>
      <c r="K47" s="219"/>
      <c r="L47" s="219"/>
      <c r="M47" s="219"/>
      <c r="N47" s="219"/>
      <c r="O47" s="219">
        <v>5500991056</v>
      </c>
      <c r="P47" s="219"/>
      <c r="Q47" s="219"/>
      <c r="R47" s="219"/>
      <c r="S47" s="219"/>
    </row>
    <row r="48" spans="1:19" s="220" customFormat="1" x14ac:dyDescent="0.25">
      <c r="A48" s="219" t="s">
        <v>84</v>
      </c>
      <c r="B48" s="219" t="s">
        <v>168</v>
      </c>
      <c r="C48" s="219" t="s">
        <v>80</v>
      </c>
      <c r="D48" s="220" t="s">
        <v>238</v>
      </c>
      <c r="E48" s="219" t="s">
        <v>234</v>
      </c>
      <c r="F48" s="219" t="s">
        <v>237</v>
      </c>
      <c r="G48" s="219">
        <v>2025</v>
      </c>
      <c r="H48" s="219" t="s">
        <v>171</v>
      </c>
      <c r="I48" s="222">
        <v>1388</v>
      </c>
      <c r="J48" s="219" t="s">
        <v>45</v>
      </c>
      <c r="K48" s="219"/>
      <c r="L48" s="219"/>
      <c r="M48" s="219"/>
      <c r="N48" s="219"/>
      <c r="O48" s="219">
        <v>5501015413</v>
      </c>
      <c r="P48" s="219"/>
      <c r="Q48" s="219"/>
      <c r="R48" s="219"/>
      <c r="S48" s="219"/>
    </row>
    <row r="49" spans="1:19" s="220" customFormat="1" x14ac:dyDescent="0.25">
      <c r="A49" s="219" t="s">
        <v>87</v>
      </c>
      <c r="B49" s="219" t="s">
        <v>154</v>
      </c>
      <c r="C49" s="219" t="s">
        <v>80</v>
      </c>
      <c r="D49" s="220" t="s">
        <v>238</v>
      </c>
      <c r="E49" s="219" t="s">
        <v>234</v>
      </c>
      <c r="F49" s="219" t="s">
        <v>237</v>
      </c>
      <c r="G49" s="219">
        <v>2025</v>
      </c>
      <c r="H49" s="219" t="s">
        <v>171</v>
      </c>
      <c r="I49" s="222">
        <v>588</v>
      </c>
      <c r="J49" s="219" t="s">
        <v>45</v>
      </c>
      <c r="K49" s="219"/>
      <c r="L49" s="219"/>
      <c r="M49" s="219"/>
      <c r="N49" s="219"/>
      <c r="O49" s="219">
        <v>5500991055</v>
      </c>
      <c r="P49" s="219"/>
      <c r="Q49" s="219"/>
      <c r="R49" s="219"/>
      <c r="S49" s="219"/>
    </row>
    <row r="50" spans="1:19" s="220" customFormat="1" x14ac:dyDescent="0.25">
      <c r="A50" s="219" t="s">
        <v>87</v>
      </c>
      <c r="B50" s="219" t="s">
        <v>169</v>
      </c>
      <c r="C50" s="219" t="s">
        <v>80</v>
      </c>
      <c r="D50" s="220" t="s">
        <v>238</v>
      </c>
      <c r="E50" s="219" t="s">
        <v>234</v>
      </c>
      <c r="F50" s="219" t="s">
        <v>237</v>
      </c>
      <c r="G50" s="219">
        <v>2025</v>
      </c>
      <c r="H50" s="219" t="s">
        <v>171</v>
      </c>
      <c r="I50" s="222">
        <v>424</v>
      </c>
      <c r="J50" s="219" t="s">
        <v>45</v>
      </c>
      <c r="K50" s="219"/>
      <c r="L50" s="219"/>
      <c r="M50" s="219"/>
      <c r="N50" s="219"/>
      <c r="O50" s="219">
        <v>5501015415</v>
      </c>
      <c r="P50" s="219"/>
      <c r="Q50" s="219"/>
      <c r="R50" s="219"/>
      <c r="S50" s="219"/>
    </row>
    <row r="51" spans="1:19" s="220" customFormat="1" x14ac:dyDescent="0.25">
      <c r="A51" s="219" t="s">
        <v>88</v>
      </c>
      <c r="B51" s="219" t="s">
        <v>159</v>
      </c>
      <c r="C51" s="219" t="s">
        <v>80</v>
      </c>
      <c r="D51" s="220" t="s">
        <v>238</v>
      </c>
      <c r="E51" s="219" t="s">
        <v>234</v>
      </c>
      <c r="F51" s="219" t="s">
        <v>237</v>
      </c>
      <c r="G51" s="219">
        <v>2025</v>
      </c>
      <c r="H51" s="219" t="s">
        <v>211</v>
      </c>
      <c r="I51" s="222">
        <v>3996</v>
      </c>
      <c r="J51" s="219" t="s">
        <v>45</v>
      </c>
      <c r="K51" s="219"/>
      <c r="L51" s="219"/>
      <c r="M51" s="219"/>
      <c r="N51" s="219"/>
      <c r="O51" s="219">
        <v>5500991060</v>
      </c>
      <c r="P51" s="219"/>
      <c r="Q51" s="219"/>
      <c r="R51" s="219"/>
      <c r="S51" s="219"/>
    </row>
    <row r="52" spans="1:19" s="220" customFormat="1" x14ac:dyDescent="0.25">
      <c r="A52" s="219" t="s">
        <v>88</v>
      </c>
      <c r="B52" s="219" t="s">
        <v>164</v>
      </c>
      <c r="C52" s="219" t="s">
        <v>80</v>
      </c>
      <c r="D52" s="220" t="s">
        <v>238</v>
      </c>
      <c r="E52" s="219" t="s">
        <v>234</v>
      </c>
      <c r="F52" s="219" t="s">
        <v>237</v>
      </c>
      <c r="G52" s="219">
        <v>2025</v>
      </c>
      <c r="H52" s="219" t="s">
        <v>211</v>
      </c>
      <c r="I52" s="222">
        <v>524</v>
      </c>
      <c r="J52" s="219" t="s">
        <v>45</v>
      </c>
      <c r="K52" s="219"/>
      <c r="L52" s="219"/>
      <c r="M52" s="219"/>
      <c r="N52" s="219"/>
      <c r="O52" s="219">
        <v>5501015409</v>
      </c>
      <c r="P52" s="219"/>
      <c r="Q52" s="219"/>
      <c r="R52" s="219"/>
      <c r="S52" s="219"/>
    </row>
    <row r="53" spans="1:19" s="220" customFormat="1" x14ac:dyDescent="0.25">
      <c r="A53" s="219" t="s">
        <v>89</v>
      </c>
      <c r="B53" s="219" t="s">
        <v>156</v>
      </c>
      <c r="C53" s="219" t="s">
        <v>80</v>
      </c>
      <c r="D53" s="220" t="s">
        <v>238</v>
      </c>
      <c r="E53" s="219" t="s">
        <v>234</v>
      </c>
      <c r="F53" s="219" t="s">
        <v>237</v>
      </c>
      <c r="G53" s="219">
        <v>2025</v>
      </c>
      <c r="H53" s="219" t="s">
        <v>211</v>
      </c>
      <c r="I53" s="222">
        <v>4040</v>
      </c>
      <c r="J53" s="219" t="s">
        <v>45</v>
      </c>
      <c r="K53" s="219"/>
      <c r="L53" s="219"/>
      <c r="M53" s="219"/>
      <c r="N53" s="219"/>
      <c r="O53" s="219">
        <v>5500991057</v>
      </c>
      <c r="P53" s="219"/>
      <c r="Q53" s="219"/>
      <c r="R53" s="219"/>
      <c r="S53" s="219"/>
    </row>
    <row r="54" spans="1:19" s="220" customFormat="1" x14ac:dyDescent="0.25">
      <c r="A54" s="219" t="s">
        <v>89</v>
      </c>
      <c r="B54" s="219" t="s">
        <v>165</v>
      </c>
      <c r="C54" s="219" t="s">
        <v>80</v>
      </c>
      <c r="D54" s="220" t="s">
        <v>238</v>
      </c>
      <c r="E54" s="219" t="s">
        <v>234</v>
      </c>
      <c r="F54" s="219" t="s">
        <v>237</v>
      </c>
      <c r="G54" s="219">
        <v>2025</v>
      </c>
      <c r="H54" s="219" t="s">
        <v>211</v>
      </c>
      <c r="I54" s="222">
        <v>728</v>
      </c>
      <c r="J54" s="219" t="s">
        <v>45</v>
      </c>
      <c r="K54" s="219"/>
      <c r="L54" s="219"/>
      <c r="M54" s="219"/>
      <c r="N54" s="219"/>
      <c r="O54" s="219">
        <v>5501015410</v>
      </c>
      <c r="P54" s="219"/>
      <c r="Q54" s="219"/>
      <c r="R54" s="219"/>
      <c r="S54" s="219"/>
    </row>
    <row r="55" spans="1:19" s="220" customFormat="1" x14ac:dyDescent="0.25">
      <c r="A55" s="219" t="s">
        <v>90</v>
      </c>
      <c r="B55" s="219" t="s">
        <v>158</v>
      </c>
      <c r="C55" s="219" t="s">
        <v>80</v>
      </c>
      <c r="D55" s="220" t="s">
        <v>238</v>
      </c>
      <c r="E55" s="219" t="s">
        <v>234</v>
      </c>
      <c r="F55" s="219" t="s">
        <v>237</v>
      </c>
      <c r="G55" s="219">
        <v>2025</v>
      </c>
      <c r="H55" s="219" t="s">
        <v>211</v>
      </c>
      <c r="I55" s="222">
        <v>4792</v>
      </c>
      <c r="J55" s="219" t="s">
        <v>45</v>
      </c>
      <c r="K55" s="219"/>
      <c r="L55" s="219"/>
      <c r="M55" s="219"/>
      <c r="N55" s="219"/>
      <c r="O55" s="219">
        <v>5500991059</v>
      </c>
      <c r="P55" s="219"/>
      <c r="Q55" s="219"/>
      <c r="R55" s="219"/>
      <c r="S55" s="219"/>
    </row>
    <row r="56" spans="1:19" s="220" customFormat="1" x14ac:dyDescent="0.25">
      <c r="A56" s="219" t="s">
        <v>90</v>
      </c>
      <c r="B56" s="219" t="s">
        <v>166</v>
      </c>
      <c r="C56" s="219" t="s">
        <v>80</v>
      </c>
      <c r="D56" s="220" t="s">
        <v>238</v>
      </c>
      <c r="E56" s="219" t="s">
        <v>234</v>
      </c>
      <c r="F56" s="219" t="s">
        <v>237</v>
      </c>
      <c r="G56" s="219">
        <v>2025</v>
      </c>
      <c r="H56" s="219" t="s">
        <v>211</v>
      </c>
      <c r="I56" s="222">
        <v>1000</v>
      </c>
      <c r="J56" s="219" t="s">
        <v>45</v>
      </c>
      <c r="K56" s="219"/>
      <c r="L56" s="219"/>
      <c r="M56" s="219"/>
      <c r="N56" s="219"/>
      <c r="O56" s="219">
        <v>5501015411</v>
      </c>
      <c r="P56" s="219"/>
      <c r="Q56" s="219"/>
      <c r="R56" s="219"/>
      <c r="S56" s="219"/>
    </row>
    <row r="57" spans="1:19" s="220" customFormat="1" x14ac:dyDescent="0.25">
      <c r="A57" s="219" t="s">
        <v>92</v>
      </c>
      <c r="B57" s="219" t="s">
        <v>157</v>
      </c>
      <c r="C57" s="219" t="s">
        <v>80</v>
      </c>
      <c r="D57" s="220" t="s">
        <v>238</v>
      </c>
      <c r="E57" s="219" t="s">
        <v>234</v>
      </c>
      <c r="F57" s="219" t="s">
        <v>237</v>
      </c>
      <c r="G57" s="219">
        <v>2025</v>
      </c>
      <c r="H57" s="219" t="s">
        <v>211</v>
      </c>
      <c r="I57" s="222">
        <v>1428</v>
      </c>
      <c r="J57" s="219" t="s">
        <v>45</v>
      </c>
      <c r="K57" s="219"/>
      <c r="L57" s="219"/>
      <c r="M57" s="219"/>
      <c r="N57" s="219"/>
      <c r="O57" s="219">
        <v>5500991058</v>
      </c>
      <c r="P57" s="219"/>
      <c r="Q57" s="219"/>
      <c r="R57" s="219"/>
      <c r="S57" s="219"/>
    </row>
    <row r="58" spans="1:19" s="220" customFormat="1" x14ac:dyDescent="0.25">
      <c r="A58" s="219" t="s">
        <v>92</v>
      </c>
      <c r="B58" s="219" t="s">
        <v>167</v>
      </c>
      <c r="C58" s="219" t="s">
        <v>80</v>
      </c>
      <c r="D58" s="220" t="s">
        <v>238</v>
      </c>
      <c r="E58" s="219" t="s">
        <v>234</v>
      </c>
      <c r="F58" s="219" t="s">
        <v>237</v>
      </c>
      <c r="G58" s="219">
        <v>2025</v>
      </c>
      <c r="H58" s="219" t="s">
        <v>211</v>
      </c>
      <c r="I58" s="222">
        <v>1920</v>
      </c>
      <c r="J58" s="219" t="s">
        <v>45</v>
      </c>
      <c r="K58" s="219"/>
      <c r="L58" s="219"/>
      <c r="M58" s="219"/>
      <c r="N58" s="219"/>
      <c r="O58" s="219">
        <v>5501015412</v>
      </c>
      <c r="P58" s="219"/>
      <c r="Q58" s="219"/>
      <c r="R58" s="219"/>
      <c r="S58" s="219"/>
    </row>
    <row r="59" spans="1:19" s="220" customFormat="1" x14ac:dyDescent="0.25">
      <c r="A59" s="219" t="s">
        <v>126</v>
      </c>
      <c r="B59" s="219" t="s">
        <v>138</v>
      </c>
      <c r="C59" s="219" t="s">
        <v>80</v>
      </c>
      <c r="D59" s="220" t="s">
        <v>239</v>
      </c>
      <c r="E59" s="219" t="s">
        <v>235</v>
      </c>
      <c r="F59" s="219" t="s">
        <v>236</v>
      </c>
      <c r="G59" s="219">
        <v>2025</v>
      </c>
      <c r="H59" s="219" t="s">
        <v>211</v>
      </c>
      <c r="I59" s="222">
        <v>4</v>
      </c>
      <c r="J59" s="219" t="s">
        <v>113</v>
      </c>
      <c r="K59" s="219"/>
      <c r="L59" s="219"/>
      <c r="M59" s="219"/>
      <c r="N59" s="219"/>
      <c r="O59" s="219">
        <v>5500990624</v>
      </c>
      <c r="P59" s="219"/>
      <c r="Q59" s="219"/>
      <c r="R59" s="219"/>
      <c r="S59" s="219"/>
    </row>
    <row r="60" spans="1:19" s="220" customFormat="1" x14ac:dyDescent="0.25">
      <c r="A60" s="219" t="s">
        <v>129</v>
      </c>
      <c r="B60" s="219" t="s">
        <v>140</v>
      </c>
      <c r="C60" s="219" t="s">
        <v>80</v>
      </c>
      <c r="D60" s="220" t="s">
        <v>239</v>
      </c>
      <c r="E60" s="219" t="s">
        <v>235</v>
      </c>
      <c r="F60" s="219" t="s">
        <v>236</v>
      </c>
      <c r="G60" s="219">
        <v>2025</v>
      </c>
      <c r="H60" s="219" t="s">
        <v>211</v>
      </c>
      <c r="I60" s="222">
        <v>1384</v>
      </c>
      <c r="J60" s="219" t="s">
        <v>113</v>
      </c>
      <c r="K60" s="219"/>
      <c r="L60" s="219"/>
      <c r="M60" s="219"/>
      <c r="N60" s="219"/>
      <c r="O60" s="219">
        <v>5500990627</v>
      </c>
      <c r="P60" s="219"/>
      <c r="Q60" s="219"/>
      <c r="R60" s="219"/>
      <c r="S60" s="219"/>
    </row>
    <row r="61" spans="1:19" s="220" customFormat="1" x14ac:dyDescent="0.25">
      <c r="A61" s="219" t="s">
        <v>119</v>
      </c>
      <c r="B61" s="219" t="s">
        <v>144</v>
      </c>
      <c r="C61" s="219" t="s">
        <v>80</v>
      </c>
      <c r="D61" s="220" t="s">
        <v>239</v>
      </c>
      <c r="E61" s="219" t="s">
        <v>235</v>
      </c>
      <c r="F61" s="219" t="s">
        <v>236</v>
      </c>
      <c r="G61" s="219">
        <v>2025</v>
      </c>
      <c r="H61" s="219" t="s">
        <v>211</v>
      </c>
      <c r="I61" s="222">
        <v>5164</v>
      </c>
      <c r="J61" s="219" t="s">
        <v>113</v>
      </c>
      <c r="K61" s="219"/>
      <c r="L61" s="219"/>
      <c r="M61" s="219"/>
      <c r="N61" s="219"/>
      <c r="O61" s="219">
        <v>5500990635</v>
      </c>
      <c r="P61" s="219"/>
      <c r="Q61" s="219"/>
      <c r="R61" s="219"/>
      <c r="S61" s="219"/>
    </row>
    <row r="62" spans="1:19" s="220" customFormat="1" x14ac:dyDescent="0.25">
      <c r="A62" s="219" t="s">
        <v>115</v>
      </c>
      <c r="B62" s="219" t="s">
        <v>146</v>
      </c>
      <c r="C62" s="219" t="s">
        <v>80</v>
      </c>
      <c r="D62" s="220" t="s">
        <v>239</v>
      </c>
      <c r="E62" s="219" t="s">
        <v>235</v>
      </c>
      <c r="F62" s="219" t="s">
        <v>236</v>
      </c>
      <c r="G62" s="219">
        <v>2025</v>
      </c>
      <c r="H62" s="219" t="s">
        <v>211</v>
      </c>
      <c r="I62" s="222">
        <v>1412</v>
      </c>
      <c r="J62" s="219" t="s">
        <v>113</v>
      </c>
      <c r="K62" s="219"/>
      <c r="L62" s="219"/>
      <c r="M62" s="219"/>
      <c r="N62" s="219"/>
      <c r="O62" s="219">
        <v>5500990631</v>
      </c>
      <c r="P62" s="219"/>
      <c r="Q62" s="219"/>
      <c r="R62" s="219"/>
      <c r="S62" s="219"/>
    </row>
    <row r="63" spans="1:19" s="220" customFormat="1" x14ac:dyDescent="0.25">
      <c r="A63" s="219" t="s">
        <v>116</v>
      </c>
      <c r="B63" s="219" t="s">
        <v>151</v>
      </c>
      <c r="C63" s="219" t="s">
        <v>80</v>
      </c>
      <c r="D63" s="220" t="s">
        <v>239</v>
      </c>
      <c r="E63" s="219" t="s">
        <v>235</v>
      </c>
      <c r="F63" s="219" t="s">
        <v>236</v>
      </c>
      <c r="G63" s="219">
        <v>2025</v>
      </c>
      <c r="H63" s="219" t="s">
        <v>211</v>
      </c>
      <c r="I63" s="222">
        <v>18940</v>
      </c>
      <c r="J63" s="219" t="s">
        <v>113</v>
      </c>
      <c r="K63" s="219"/>
      <c r="L63" s="219"/>
      <c r="M63" s="219"/>
      <c r="N63" s="219"/>
      <c r="O63" s="219">
        <v>5500990632</v>
      </c>
      <c r="P63" s="219"/>
      <c r="Q63" s="219"/>
      <c r="R63" s="219"/>
      <c r="S63" s="219"/>
    </row>
    <row r="64" spans="1:19" s="220" customFormat="1" x14ac:dyDescent="0.25">
      <c r="A64" s="219" t="s">
        <v>114</v>
      </c>
      <c r="B64" s="219" t="s">
        <v>152</v>
      </c>
      <c r="C64" s="219" t="s">
        <v>80</v>
      </c>
      <c r="D64" s="220" t="s">
        <v>239</v>
      </c>
      <c r="E64" s="219" t="s">
        <v>235</v>
      </c>
      <c r="F64" s="219" t="s">
        <v>236</v>
      </c>
      <c r="G64" s="219">
        <v>2025</v>
      </c>
      <c r="H64" s="219" t="s">
        <v>211</v>
      </c>
      <c r="I64" s="222">
        <v>512</v>
      </c>
      <c r="J64" s="219" t="s">
        <v>113</v>
      </c>
      <c r="K64" s="219"/>
      <c r="L64" s="219"/>
      <c r="M64" s="219"/>
      <c r="N64" s="219"/>
      <c r="O64" s="219">
        <v>5500990630</v>
      </c>
      <c r="P64" s="219"/>
      <c r="Q64" s="219"/>
      <c r="R64" s="219"/>
      <c r="S64" s="219"/>
    </row>
    <row r="65" spans="1:19" s="225" customFormat="1" x14ac:dyDescent="0.25">
      <c r="A65" s="224" t="s">
        <v>124</v>
      </c>
      <c r="B65" s="224" t="s">
        <v>139</v>
      </c>
      <c r="C65" s="224" t="s">
        <v>80</v>
      </c>
      <c r="D65" s="225" t="s">
        <v>239</v>
      </c>
      <c r="E65" s="224" t="s">
        <v>235</v>
      </c>
      <c r="F65" s="224" t="s">
        <v>236</v>
      </c>
      <c r="G65" s="224">
        <v>2025</v>
      </c>
      <c r="H65" s="224" t="s">
        <v>211</v>
      </c>
      <c r="I65" s="226">
        <v>16</v>
      </c>
      <c r="J65" s="224" t="s">
        <v>113</v>
      </c>
      <c r="K65" s="224"/>
      <c r="L65" s="224"/>
      <c r="M65" s="224"/>
      <c r="N65" s="224"/>
      <c r="O65" s="224">
        <v>5500990622</v>
      </c>
      <c r="P65" s="224"/>
      <c r="Q65" s="224"/>
      <c r="R65" s="224"/>
      <c r="S65" s="224"/>
    </row>
    <row r="66" spans="1:19" s="225" customFormat="1" x14ac:dyDescent="0.25">
      <c r="A66" s="224" t="s">
        <v>125</v>
      </c>
      <c r="B66" s="224" t="s">
        <v>143</v>
      </c>
      <c r="C66" s="224" t="s">
        <v>80</v>
      </c>
      <c r="D66" s="225" t="s">
        <v>239</v>
      </c>
      <c r="E66" s="224" t="s">
        <v>235</v>
      </c>
      <c r="F66" s="224" t="s">
        <v>236</v>
      </c>
      <c r="G66" s="224">
        <v>2025</v>
      </c>
      <c r="H66" s="224" t="s">
        <v>211</v>
      </c>
      <c r="I66" s="226">
        <v>16</v>
      </c>
      <c r="J66" s="224" t="s">
        <v>113</v>
      </c>
      <c r="K66" s="224"/>
      <c r="L66" s="224"/>
      <c r="M66" s="224"/>
      <c r="N66" s="224"/>
      <c r="O66" s="224">
        <v>5500990623</v>
      </c>
      <c r="P66" s="224"/>
      <c r="Q66" s="224"/>
      <c r="R66" s="224"/>
      <c r="S66" s="224"/>
    </row>
    <row r="70" spans="1:19" s="52" customFormat="1" x14ac:dyDescent="0.25"/>
    <row r="71" spans="1:19" s="52" customFormat="1" x14ac:dyDescent="0.25"/>
    <row r="72" spans="1:19" s="52" customFormat="1" x14ac:dyDescent="0.25"/>
    <row r="73" spans="1:19" s="52" customFormat="1" x14ac:dyDescent="0.25"/>
    <row r="74" spans="1:19" s="52" customFormat="1" x14ac:dyDescent="0.25"/>
    <row r="75" spans="1:19" s="52" customFormat="1" x14ac:dyDescent="0.25"/>
    <row r="76" spans="1:19" s="52" customFormat="1" x14ac:dyDescent="0.25"/>
    <row r="77" spans="1:19" s="52" customFormat="1" x14ac:dyDescent="0.25"/>
    <row r="78" spans="1:19" s="52" customFormat="1" x14ac:dyDescent="0.25"/>
    <row r="79" spans="1:19" s="52" customFormat="1" x14ac:dyDescent="0.25"/>
    <row r="80" spans="1:19" s="52" customFormat="1" x14ac:dyDescent="0.25"/>
    <row r="81" spans="11:11" s="52" customFormat="1" x14ac:dyDescent="0.25"/>
    <row r="82" spans="11:11" s="52" customFormat="1" x14ac:dyDescent="0.25"/>
    <row r="83" spans="11:11" s="52" customFormat="1" x14ac:dyDescent="0.25"/>
    <row r="84" spans="11:11" s="52" customFormat="1" x14ac:dyDescent="0.25"/>
    <row r="85" spans="11:11" s="52" customFormat="1" x14ac:dyDescent="0.25"/>
    <row r="86" spans="11:11" s="52" customFormat="1" x14ac:dyDescent="0.25"/>
    <row r="87" spans="11:11" s="52" customFormat="1" x14ac:dyDescent="0.25"/>
    <row r="88" spans="11:11" s="52" customFormat="1" x14ac:dyDescent="0.25"/>
    <row r="89" spans="11:11" s="52" customFormat="1" x14ac:dyDescent="0.25"/>
    <row r="90" spans="11:11" s="52" customFormat="1" x14ac:dyDescent="0.25"/>
    <row r="91" spans="11:11" s="52" customFormat="1" x14ac:dyDescent="0.25"/>
    <row r="92" spans="11:11" s="52" customFormat="1" x14ac:dyDescent="0.25"/>
    <row r="93" spans="11:11" s="52" customFormat="1" x14ac:dyDescent="0.25">
      <c r="K93" s="52">
        <v>1090</v>
      </c>
    </row>
    <row r="94" spans="11:11" s="52" customFormat="1" x14ac:dyDescent="0.25">
      <c r="K94" s="52">
        <v>1090</v>
      </c>
    </row>
    <row r="95" spans="11:11" s="52" customFormat="1" x14ac:dyDescent="0.25">
      <c r="K95" s="52">
        <v>1090</v>
      </c>
    </row>
    <row r="96" spans="11:11" s="52" customFormat="1" x14ac:dyDescent="0.25">
      <c r="K96" s="52">
        <v>1090</v>
      </c>
    </row>
    <row r="97" s="52" customFormat="1" x14ac:dyDescent="0.25"/>
    <row r="98" s="52" customFormat="1" x14ac:dyDescent="0.25"/>
    <row r="99" s="52" customFormat="1" x14ac:dyDescent="0.25"/>
    <row r="100" s="52" customFormat="1" x14ac:dyDescent="0.25"/>
    <row r="101" s="52" customFormat="1" x14ac:dyDescent="0.25"/>
    <row r="102" s="52" customFormat="1" x14ac:dyDescent="0.25"/>
    <row r="103" s="52" customFormat="1" x14ac:dyDescent="0.25"/>
    <row r="104" s="52" customFormat="1" x14ac:dyDescent="0.25"/>
    <row r="105" s="52" customFormat="1" x14ac:dyDescent="0.25"/>
    <row r="106" s="52" customFormat="1" x14ac:dyDescent="0.25"/>
    <row r="107" s="52" customFormat="1" x14ac:dyDescent="0.25"/>
    <row r="108" s="52" customFormat="1" x14ac:dyDescent="0.25"/>
    <row r="109" s="52" customFormat="1" x14ac:dyDescent="0.25"/>
    <row r="110" s="52" customFormat="1" x14ac:dyDescent="0.25"/>
    <row r="111" s="52" customFormat="1" x14ac:dyDescent="0.25"/>
    <row r="112" s="52" customFormat="1" x14ac:dyDescent="0.25"/>
    <row r="113" spans="17:68" s="52" customFormat="1" x14ac:dyDescent="0.25"/>
    <row r="114" spans="17:68" s="52" customFormat="1" x14ac:dyDescent="0.25"/>
    <row r="115" spans="17:68" s="52" customFormat="1" x14ac:dyDescent="0.25"/>
    <row r="116" spans="17:68" s="52" customFormat="1" x14ac:dyDescent="0.25"/>
    <row r="117" spans="17:68" s="52" customFormat="1" x14ac:dyDescent="0.25"/>
    <row r="118" spans="17:68" s="52" customFormat="1" x14ac:dyDescent="0.25"/>
    <row r="119" spans="17:68" s="52" customFormat="1" x14ac:dyDescent="0.25"/>
    <row r="120" spans="17:68" s="52" customFormat="1" x14ac:dyDescent="0.25"/>
    <row r="121" spans="17:68" s="52" customFormat="1" x14ac:dyDescent="0.25"/>
    <row r="122" spans="17:68" s="52" customFormat="1" x14ac:dyDescent="0.25"/>
    <row r="123" spans="17:68" s="52" customFormat="1" x14ac:dyDescent="0.25"/>
    <row r="124" spans="17:68" s="52" customFormat="1" x14ac:dyDescent="0.25"/>
    <row r="125" spans="17:68" s="52" customFormat="1" x14ac:dyDescent="0.25"/>
    <row r="126" spans="17:68" s="52" customFormat="1" x14ac:dyDescent="0.25"/>
    <row r="127" spans="17:68" s="52" customFormat="1" x14ac:dyDescent="0.25"/>
    <row r="128" spans="17:68" x14ac:dyDescent="0.25">
      <c r="Q128" s="52"/>
      <c r="R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</row>
    <row r="129" spans="17:68" x14ac:dyDescent="0.25">
      <c r="Q129" s="52"/>
      <c r="R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</row>
    <row r="130" spans="17:68" x14ac:dyDescent="0.25">
      <c r="Q130" s="52"/>
      <c r="R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</row>
    <row r="131" spans="17:68" x14ac:dyDescent="0.25">
      <c r="Q131" s="52"/>
      <c r="R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</row>
    <row r="132" spans="17:68" x14ac:dyDescent="0.25">
      <c r="Q132" s="52"/>
      <c r="R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</row>
    <row r="133" spans="17:68" x14ac:dyDescent="0.25">
      <c r="Q133" s="52"/>
      <c r="R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</row>
    <row r="134" spans="17:68" x14ac:dyDescent="0.25">
      <c r="Q134" s="52"/>
      <c r="R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</row>
    <row r="135" spans="17:68" x14ac:dyDescent="0.25">
      <c r="Q135" s="52"/>
      <c r="R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</row>
    <row r="136" spans="17:68" x14ac:dyDescent="0.25">
      <c r="Q136" s="52"/>
      <c r="R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</row>
    <row r="137" spans="17:68" x14ac:dyDescent="0.25">
      <c r="Q137" s="52"/>
      <c r="R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</row>
    <row r="138" spans="17:68" x14ac:dyDescent="0.25">
      <c r="Q138" s="52"/>
      <c r="R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</row>
    <row r="139" spans="17:68" x14ac:dyDescent="0.25">
      <c r="Q139" s="52"/>
      <c r="R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</row>
    <row r="140" spans="17:68" x14ac:dyDescent="0.25">
      <c r="Q140" s="52"/>
      <c r="R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</row>
    <row r="141" spans="17:68" x14ac:dyDescent="0.25">
      <c r="Q141" s="52"/>
      <c r="R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</row>
    <row r="142" spans="17:68" x14ac:dyDescent="0.25">
      <c r="Q142" s="52"/>
      <c r="R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</row>
    <row r="143" spans="17:68" x14ac:dyDescent="0.25">
      <c r="Q143" s="52"/>
      <c r="R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</row>
    <row r="144" spans="17:68" x14ac:dyDescent="0.25">
      <c r="Q144" s="52"/>
      <c r="R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</row>
    <row r="145" spans="17:55" x14ac:dyDescent="0.25">
      <c r="Q145" s="52"/>
      <c r="R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</row>
    <row r="146" spans="17:55" x14ac:dyDescent="0.25">
      <c r="Q146" s="52"/>
      <c r="R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</row>
    <row r="147" spans="17:55" x14ac:dyDescent="0.25">
      <c r="Q147" s="52"/>
      <c r="R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</row>
    <row r="148" spans="17:55" x14ac:dyDescent="0.25">
      <c r="Q148" s="52"/>
      <c r="R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</row>
    <row r="149" spans="17:55" x14ac:dyDescent="0.25">
      <c r="Q149" s="52"/>
      <c r="R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</row>
    <row r="150" spans="17:55" x14ac:dyDescent="0.25">
      <c r="Q150" s="52"/>
      <c r="R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</row>
    <row r="151" spans="17:55" x14ac:dyDescent="0.25">
      <c r="Q151" s="52"/>
      <c r="R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</row>
    <row r="152" spans="17:55" x14ac:dyDescent="0.25">
      <c r="Q152" s="52"/>
      <c r="R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</row>
    <row r="153" spans="17:55" x14ac:dyDescent="0.25">
      <c r="Q153" s="52"/>
      <c r="R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</row>
    <row r="154" spans="17:55" x14ac:dyDescent="0.25">
      <c r="Q154" s="52"/>
      <c r="R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</row>
    <row r="155" spans="17:55" x14ac:dyDescent="0.25">
      <c r="Q155" s="52"/>
      <c r="R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</row>
    <row r="156" spans="17:55" x14ac:dyDescent="0.25">
      <c r="Q156" s="52"/>
      <c r="R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</row>
    <row r="157" spans="17:55" x14ac:dyDescent="0.25">
      <c r="Q157" s="52"/>
      <c r="R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</row>
    <row r="158" spans="17:55" x14ac:dyDescent="0.25">
      <c r="Q158" s="52"/>
      <c r="R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</row>
    <row r="159" spans="17:55" x14ac:dyDescent="0.25">
      <c r="Q159" s="52"/>
      <c r="R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</row>
    <row r="160" spans="17:55" x14ac:dyDescent="0.25">
      <c r="Q160" s="52"/>
      <c r="R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</row>
    <row r="161" spans="17:55" x14ac:dyDescent="0.25">
      <c r="Q161" s="52"/>
      <c r="R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</row>
    <row r="162" spans="17:55" x14ac:dyDescent="0.25">
      <c r="Q162" s="52"/>
      <c r="R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</row>
    <row r="163" spans="17:55" x14ac:dyDescent="0.25">
      <c r="Q163" s="52"/>
      <c r="R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</row>
    <row r="164" spans="17:55" x14ac:dyDescent="0.25">
      <c r="Q164" s="52"/>
      <c r="R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</row>
    <row r="165" spans="17:55" x14ac:dyDescent="0.25">
      <c r="Q165" s="52"/>
      <c r="R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</row>
    <row r="166" spans="17:55" x14ac:dyDescent="0.25">
      <c r="Q166" s="52"/>
      <c r="R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</row>
    <row r="167" spans="17:55" x14ac:dyDescent="0.25">
      <c r="Q167" s="52"/>
      <c r="R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</row>
    <row r="168" spans="17:55" x14ac:dyDescent="0.25">
      <c r="Q168" s="52"/>
      <c r="R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</row>
    <row r="169" spans="17:55" x14ac:dyDescent="0.25">
      <c r="Q169" s="52"/>
      <c r="R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</row>
    <row r="170" spans="17:55" x14ac:dyDescent="0.25">
      <c r="Q170" s="52"/>
      <c r="R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</row>
    <row r="171" spans="17:55" x14ac:dyDescent="0.25">
      <c r="Q171" s="52"/>
      <c r="R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</row>
    <row r="172" spans="17:55" x14ac:dyDescent="0.25">
      <c r="Q172" s="52"/>
      <c r="R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</row>
    <row r="173" spans="17:55" x14ac:dyDescent="0.25">
      <c r="Q173" s="52"/>
      <c r="R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</row>
    <row r="174" spans="17:55" x14ac:dyDescent="0.25">
      <c r="Q174" s="52"/>
      <c r="R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</row>
    <row r="175" spans="17:55" x14ac:dyDescent="0.25">
      <c r="Q175" s="52"/>
      <c r="R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</row>
    <row r="176" spans="17:55" x14ac:dyDescent="0.25">
      <c r="Q176" s="52"/>
      <c r="R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</row>
    <row r="177" spans="17:55" x14ac:dyDescent="0.25">
      <c r="Q177" s="52"/>
      <c r="R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</row>
    <row r="178" spans="17:55" x14ac:dyDescent="0.25">
      <c r="Q178" s="52"/>
      <c r="R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</row>
    <row r="179" spans="17:55" x14ac:dyDescent="0.25">
      <c r="Q179" s="52"/>
      <c r="R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</row>
    <row r="180" spans="17:55" x14ac:dyDescent="0.25">
      <c r="Q180" s="52"/>
      <c r="R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</row>
    <row r="181" spans="17:55" x14ac:dyDescent="0.25">
      <c r="Q181" s="52"/>
      <c r="R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</row>
    <row r="182" spans="17:55" x14ac:dyDescent="0.25">
      <c r="Q182" s="52"/>
      <c r="R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</row>
    <row r="183" spans="17:55" x14ac:dyDescent="0.25">
      <c r="Q183" s="52"/>
      <c r="R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</row>
    <row r="184" spans="17:55" x14ac:dyDescent="0.25">
      <c r="Q184" s="52"/>
      <c r="R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</row>
    <row r="185" spans="17:55" x14ac:dyDescent="0.25">
      <c r="Q185" s="52"/>
      <c r="R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</row>
    <row r="186" spans="17:55" x14ac:dyDescent="0.25">
      <c r="Q186" s="52"/>
      <c r="R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</row>
    <row r="187" spans="17:55" x14ac:dyDescent="0.25">
      <c r="Q187" s="52"/>
      <c r="R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</row>
    <row r="188" spans="17:55" x14ac:dyDescent="0.25">
      <c r="Q188" s="52"/>
      <c r="R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</row>
    <row r="189" spans="17:55" x14ac:dyDescent="0.25">
      <c r="Q189" s="52"/>
      <c r="R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</row>
    <row r="190" spans="17:55" x14ac:dyDescent="0.25">
      <c r="Q190" s="52"/>
      <c r="R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</row>
    <row r="191" spans="17:55" x14ac:dyDescent="0.25">
      <c r="Q191" s="52"/>
      <c r="R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</row>
    <row r="192" spans="17:55" x14ac:dyDescent="0.25">
      <c r="Q192" s="52"/>
      <c r="R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</row>
    <row r="193" spans="17:55" x14ac:dyDescent="0.25">
      <c r="Q193" s="52"/>
      <c r="R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</row>
    <row r="194" spans="17:55" x14ac:dyDescent="0.25">
      <c r="Q194" s="52"/>
      <c r="R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</row>
    <row r="195" spans="17:55" x14ac:dyDescent="0.25">
      <c r="Q195" s="52"/>
      <c r="R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</row>
    <row r="196" spans="17:55" x14ac:dyDescent="0.25">
      <c r="Q196" s="52"/>
      <c r="R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</row>
    <row r="197" spans="17:55" x14ac:dyDescent="0.25">
      <c r="Q197" s="52"/>
      <c r="R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</row>
    <row r="198" spans="17:55" x14ac:dyDescent="0.25">
      <c r="Q198" s="52"/>
      <c r="R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</row>
    <row r="199" spans="17:55" x14ac:dyDescent="0.25">
      <c r="Q199" s="52"/>
      <c r="R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</row>
    <row r="200" spans="17:55" x14ac:dyDescent="0.25">
      <c r="Q200" s="52"/>
      <c r="R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</row>
    <row r="201" spans="17:55" x14ac:dyDescent="0.25">
      <c r="Q201" s="52"/>
      <c r="R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</row>
    <row r="202" spans="17:55" x14ac:dyDescent="0.25">
      <c r="Q202" s="52"/>
      <c r="R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</row>
    <row r="203" spans="17:55" x14ac:dyDescent="0.25">
      <c r="Q203" s="52"/>
      <c r="R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</row>
    <row r="204" spans="17:55" x14ac:dyDescent="0.25">
      <c r="Q204" s="52"/>
      <c r="R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</row>
    <row r="205" spans="17:55" x14ac:dyDescent="0.25">
      <c r="Q205" s="52"/>
      <c r="R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</row>
    <row r="206" spans="17:55" x14ac:dyDescent="0.25">
      <c r="Q206" s="52"/>
      <c r="R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</row>
    <row r="207" spans="17:55" x14ac:dyDescent="0.25">
      <c r="Q207" s="52"/>
      <c r="R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</row>
    <row r="208" spans="17:55" x14ac:dyDescent="0.25">
      <c r="Q208" s="52"/>
      <c r="R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</row>
    <row r="209" spans="17:55" x14ac:dyDescent="0.25">
      <c r="Q209" s="52"/>
      <c r="R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</row>
    <row r="210" spans="17:55" x14ac:dyDescent="0.25">
      <c r="Q210" s="52"/>
      <c r="R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</row>
    <row r="211" spans="17:55" x14ac:dyDescent="0.25">
      <c r="Q211" s="52"/>
      <c r="R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</row>
    <row r="212" spans="17:55" x14ac:dyDescent="0.25">
      <c r="Q212" s="52"/>
      <c r="R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</row>
    <row r="213" spans="17:55" x14ac:dyDescent="0.25">
      <c r="Q213" s="52"/>
      <c r="R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</row>
    <row r="214" spans="17:55" x14ac:dyDescent="0.25">
      <c r="Q214" s="52"/>
      <c r="R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</row>
    <row r="215" spans="17:55" x14ac:dyDescent="0.25">
      <c r="Q215" s="52"/>
      <c r="R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</row>
    <row r="216" spans="17:55" x14ac:dyDescent="0.25">
      <c r="Q216" s="52"/>
      <c r="R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</row>
    <row r="217" spans="17:55" x14ac:dyDescent="0.25">
      <c r="Q217" s="52"/>
      <c r="R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</row>
    <row r="218" spans="17:55" x14ac:dyDescent="0.25">
      <c r="Q218" s="52"/>
      <c r="R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</row>
    <row r="219" spans="17:55" x14ac:dyDescent="0.25">
      <c r="Q219" s="52"/>
      <c r="R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</row>
    <row r="220" spans="17:55" x14ac:dyDescent="0.25">
      <c r="Q220" s="52"/>
      <c r="R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</row>
    <row r="221" spans="17:55" x14ac:dyDescent="0.25">
      <c r="Q221" s="52"/>
      <c r="R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</row>
    <row r="222" spans="17:55" x14ac:dyDescent="0.25">
      <c r="Q222" s="52"/>
      <c r="R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</row>
    <row r="223" spans="17:55" x14ac:dyDescent="0.25">
      <c r="Q223" s="52"/>
      <c r="R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</row>
    <row r="224" spans="17:55" x14ac:dyDescent="0.25">
      <c r="Q224" s="52"/>
      <c r="R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</row>
    <row r="225" spans="17:55" x14ac:dyDescent="0.25">
      <c r="Q225" s="52"/>
      <c r="R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</row>
    <row r="226" spans="17:55" x14ac:dyDescent="0.25">
      <c r="Q226" s="52"/>
      <c r="R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</row>
    <row r="227" spans="17:55" x14ac:dyDescent="0.25">
      <c r="Q227" s="52"/>
      <c r="R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</row>
    <row r="228" spans="17:55" x14ac:dyDescent="0.25">
      <c r="Q228" s="52"/>
      <c r="R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</row>
    <row r="229" spans="17:55" x14ac:dyDescent="0.25">
      <c r="Q229" s="52"/>
      <c r="R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</row>
    <row r="230" spans="17:55" x14ac:dyDescent="0.25">
      <c r="Q230" s="52"/>
      <c r="R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</row>
    <row r="231" spans="17:55" x14ac:dyDescent="0.25">
      <c r="Q231" s="52"/>
      <c r="R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</row>
    <row r="232" spans="17:55" x14ac:dyDescent="0.25">
      <c r="Q232" s="52"/>
      <c r="R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</row>
    <row r="233" spans="17:55" x14ac:dyDescent="0.25">
      <c r="Q233" s="52"/>
      <c r="R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</row>
    <row r="234" spans="17:55" x14ac:dyDescent="0.25">
      <c r="Q234" s="52"/>
      <c r="R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</row>
    <row r="235" spans="17:55" x14ac:dyDescent="0.25">
      <c r="Q235" s="52"/>
      <c r="R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</row>
    <row r="236" spans="17:55" x14ac:dyDescent="0.25">
      <c r="Q236" s="52"/>
      <c r="R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</row>
    <row r="237" spans="17:55" x14ac:dyDescent="0.25">
      <c r="Q237" s="52"/>
      <c r="R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</row>
    <row r="238" spans="17:55" x14ac:dyDescent="0.25">
      <c r="Q238" s="52"/>
      <c r="R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</row>
    <row r="239" spans="17:55" x14ac:dyDescent="0.25">
      <c r="Q239" s="52"/>
      <c r="R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</row>
    <row r="240" spans="17:55" x14ac:dyDescent="0.25">
      <c r="Q240" s="52"/>
      <c r="R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</row>
    <row r="241" spans="17:55" x14ac:dyDescent="0.25">
      <c r="Q241" s="52"/>
      <c r="R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</row>
    <row r="242" spans="17:55" x14ac:dyDescent="0.25">
      <c r="Q242" s="52"/>
      <c r="R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</row>
    <row r="243" spans="17:55" x14ac:dyDescent="0.25">
      <c r="Q243" s="52"/>
      <c r="R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</row>
    <row r="244" spans="17:55" x14ac:dyDescent="0.25">
      <c r="Q244" s="52"/>
      <c r="R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</row>
    <row r="245" spans="17:55" x14ac:dyDescent="0.25">
      <c r="Q245" s="52"/>
      <c r="R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</row>
    <row r="246" spans="17:55" x14ac:dyDescent="0.25">
      <c r="Q246" s="52"/>
      <c r="R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</row>
    <row r="247" spans="17:55" x14ac:dyDescent="0.25">
      <c r="Q247" s="52"/>
      <c r="R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</row>
    <row r="248" spans="17:55" x14ac:dyDescent="0.25">
      <c r="Q248" s="52"/>
      <c r="R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</row>
    <row r="249" spans="17:55" x14ac:dyDescent="0.25">
      <c r="Q249" s="52"/>
      <c r="R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</row>
    <row r="250" spans="17:55" x14ac:dyDescent="0.25">
      <c r="Q250" s="52"/>
      <c r="R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</row>
    <row r="251" spans="17:55" x14ac:dyDescent="0.25">
      <c r="Q251" s="52"/>
      <c r="R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</row>
    <row r="252" spans="17:55" x14ac:dyDescent="0.25">
      <c r="Q252" s="52"/>
      <c r="R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</row>
    <row r="253" spans="17:55" x14ac:dyDescent="0.25">
      <c r="Q253" s="52"/>
      <c r="R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</row>
    <row r="254" spans="17:55" x14ac:dyDescent="0.25">
      <c r="Q254" s="52"/>
      <c r="R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</row>
    <row r="255" spans="17:55" x14ac:dyDescent="0.25">
      <c r="Q255" s="52"/>
      <c r="R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</row>
    <row r="256" spans="17:55" x14ac:dyDescent="0.25">
      <c r="Q256" s="52"/>
      <c r="R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</row>
    <row r="257" spans="17:55" x14ac:dyDescent="0.25">
      <c r="Q257" s="52"/>
      <c r="R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</row>
    <row r="258" spans="17:55" x14ac:dyDescent="0.25">
      <c r="Q258" s="52"/>
      <c r="R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</row>
    <row r="259" spans="17:55" x14ac:dyDescent="0.25">
      <c r="Q259" s="52"/>
      <c r="R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</row>
    <row r="260" spans="17:55" x14ac:dyDescent="0.25">
      <c r="Q260" s="52"/>
      <c r="R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</row>
    <row r="261" spans="17:55" x14ac:dyDescent="0.25">
      <c r="Q261" s="52"/>
      <c r="R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</row>
    <row r="262" spans="17:55" x14ac:dyDescent="0.25">
      <c r="Q262" s="52"/>
      <c r="R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</row>
    <row r="263" spans="17:55" x14ac:dyDescent="0.25">
      <c r="Q263" s="52"/>
      <c r="R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</row>
    <row r="264" spans="17:55" x14ac:dyDescent="0.25">
      <c r="Q264" s="52"/>
      <c r="R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</row>
    <row r="265" spans="17:55" x14ac:dyDescent="0.25">
      <c r="Q265" s="52"/>
      <c r="R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</row>
    <row r="266" spans="17:55" x14ac:dyDescent="0.25">
      <c r="Q266" s="52"/>
      <c r="R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</row>
    <row r="267" spans="17:55" x14ac:dyDescent="0.25">
      <c r="Q267" s="52"/>
      <c r="R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</row>
    <row r="268" spans="17:55" x14ac:dyDescent="0.25">
      <c r="Q268" s="52"/>
      <c r="R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</row>
    <row r="269" spans="17:55" x14ac:dyDescent="0.25">
      <c r="Q269" s="52"/>
      <c r="R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</row>
    <row r="270" spans="17:55" x14ac:dyDescent="0.25">
      <c r="Q270" s="52"/>
      <c r="R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</row>
    <row r="271" spans="17:55" x14ac:dyDescent="0.25">
      <c r="Q271" s="52"/>
      <c r="R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</row>
    <row r="272" spans="17:55" x14ac:dyDescent="0.25">
      <c r="Q272" s="52"/>
      <c r="R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</row>
    <row r="273" spans="17:55" x14ac:dyDescent="0.25">
      <c r="Q273" s="52"/>
      <c r="R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</row>
    <row r="274" spans="17:55" x14ac:dyDescent="0.25">
      <c r="Q274" s="52"/>
      <c r="R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</row>
    <row r="275" spans="17:55" x14ac:dyDescent="0.25">
      <c r="Q275" s="52"/>
      <c r="R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</row>
    <row r="276" spans="17:55" x14ac:dyDescent="0.25">
      <c r="Q276" s="52"/>
      <c r="R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</row>
    <row r="277" spans="17:55" x14ac:dyDescent="0.25">
      <c r="Q277" s="52"/>
      <c r="R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</row>
    <row r="278" spans="17:55" x14ac:dyDescent="0.25">
      <c r="Q278" s="52"/>
      <c r="R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</row>
    <row r="279" spans="17:55" x14ac:dyDescent="0.25">
      <c r="Q279" s="52"/>
      <c r="R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</row>
    <row r="280" spans="17:55" x14ac:dyDescent="0.25">
      <c r="Q280" s="52"/>
      <c r="R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</row>
    <row r="281" spans="17:55" x14ac:dyDescent="0.25">
      <c r="Q281" s="52"/>
      <c r="R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</row>
    <row r="282" spans="17:55" x14ac:dyDescent="0.25">
      <c r="Q282" s="52"/>
      <c r="R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</row>
    <row r="283" spans="17:55" x14ac:dyDescent="0.25">
      <c r="Q283" s="52"/>
      <c r="R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</row>
    <row r="284" spans="17:55" x14ac:dyDescent="0.25">
      <c r="Q284" s="52"/>
      <c r="R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</row>
    <row r="285" spans="17:55" x14ac:dyDescent="0.25">
      <c r="Q285" s="52"/>
      <c r="R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</row>
    <row r="286" spans="17:55" x14ac:dyDescent="0.25">
      <c r="Q286" s="52"/>
      <c r="R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</row>
    <row r="287" spans="17:55" x14ac:dyDescent="0.25">
      <c r="Q287" s="52"/>
      <c r="R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</row>
    <row r="288" spans="17:55" x14ac:dyDescent="0.25">
      <c r="Q288" s="52"/>
      <c r="R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</row>
    <row r="289" spans="17:55" x14ac:dyDescent="0.25">
      <c r="Q289" s="52"/>
      <c r="R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</row>
    <row r="290" spans="17:55" x14ac:dyDescent="0.25">
      <c r="Q290" s="52"/>
      <c r="R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</row>
    <row r="291" spans="17:55" x14ac:dyDescent="0.25">
      <c r="Q291" s="52"/>
      <c r="R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</row>
    <row r="292" spans="17:55" x14ac:dyDescent="0.25">
      <c r="Q292" s="52"/>
      <c r="R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</row>
    <row r="293" spans="17:55" x14ac:dyDescent="0.25">
      <c r="Q293" s="52"/>
      <c r="R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</row>
    <row r="294" spans="17:55" x14ac:dyDescent="0.25">
      <c r="Q294" s="52"/>
      <c r="R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</row>
    <row r="295" spans="17:55" x14ac:dyDescent="0.25">
      <c r="Q295" s="52"/>
      <c r="R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</row>
    <row r="296" spans="17:55" x14ac:dyDescent="0.25">
      <c r="Q296" s="52"/>
      <c r="R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</row>
    <row r="297" spans="17:55" x14ac:dyDescent="0.25">
      <c r="Q297" s="52"/>
      <c r="R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</row>
    <row r="298" spans="17:55" x14ac:dyDescent="0.25">
      <c r="Q298" s="52"/>
      <c r="R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</row>
    <row r="299" spans="17:55" x14ac:dyDescent="0.25">
      <c r="Q299" s="52"/>
      <c r="R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</row>
    <row r="300" spans="17:55" x14ac:dyDescent="0.25">
      <c r="Q300" s="52"/>
      <c r="R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</row>
    <row r="301" spans="17:55" x14ac:dyDescent="0.25">
      <c r="Q301" s="52"/>
      <c r="R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</row>
    <row r="302" spans="17:55" x14ac:dyDescent="0.25">
      <c r="Q302" s="52"/>
      <c r="R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</row>
    <row r="303" spans="17:55" x14ac:dyDescent="0.25">
      <c r="Q303" s="52"/>
      <c r="R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</row>
    <row r="304" spans="17:55" x14ac:dyDescent="0.25">
      <c r="Q304" s="52"/>
      <c r="R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</row>
    <row r="305" spans="17:55" x14ac:dyDescent="0.25">
      <c r="Q305" s="52"/>
      <c r="R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</row>
    <row r="306" spans="17:55" x14ac:dyDescent="0.25">
      <c r="Q306" s="52"/>
      <c r="R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</row>
    <row r="307" spans="17:55" x14ac:dyDescent="0.25">
      <c r="Q307" s="52"/>
      <c r="R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</row>
    <row r="308" spans="17:55" x14ac:dyDescent="0.25">
      <c r="Q308" s="52"/>
      <c r="R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</row>
    <row r="309" spans="17:55" x14ac:dyDescent="0.25">
      <c r="Q309" s="52"/>
      <c r="R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</row>
    <row r="310" spans="17:55" x14ac:dyDescent="0.25">
      <c r="Q310" s="52"/>
      <c r="R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</row>
    <row r="311" spans="17:55" x14ac:dyDescent="0.25">
      <c r="Q311" s="52"/>
      <c r="R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</row>
    <row r="312" spans="17:55" x14ac:dyDescent="0.25">
      <c r="Q312" s="52"/>
      <c r="R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</row>
    <row r="313" spans="17:55" x14ac:dyDescent="0.25">
      <c r="Q313" s="52"/>
      <c r="R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</row>
    <row r="314" spans="17:55" x14ac:dyDescent="0.25">
      <c r="Q314" s="52"/>
      <c r="R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</row>
    <row r="315" spans="17:55" x14ac:dyDescent="0.25">
      <c r="Q315" s="52"/>
      <c r="R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</row>
    <row r="316" spans="17:55" x14ac:dyDescent="0.25">
      <c r="Q316" s="52"/>
      <c r="R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</row>
    <row r="317" spans="17:55" x14ac:dyDescent="0.25">
      <c r="Q317" s="52"/>
      <c r="R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</row>
    <row r="318" spans="17:55" x14ac:dyDescent="0.25">
      <c r="Q318" s="52"/>
      <c r="R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</row>
    <row r="319" spans="17:55" x14ac:dyDescent="0.25">
      <c r="Q319" s="52"/>
      <c r="R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</row>
    <row r="320" spans="17:55" x14ac:dyDescent="0.25">
      <c r="Q320" s="52"/>
      <c r="R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</row>
    <row r="321" spans="17:55" x14ac:dyDescent="0.25">
      <c r="Q321" s="52"/>
      <c r="R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</row>
    <row r="322" spans="17:55" x14ac:dyDescent="0.25">
      <c r="Q322" s="52"/>
      <c r="R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</row>
    <row r="323" spans="17:55" x14ac:dyDescent="0.25">
      <c r="Q323" s="52"/>
      <c r="R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</row>
    <row r="324" spans="17:55" x14ac:dyDescent="0.25">
      <c r="Q324" s="52"/>
      <c r="R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</row>
    <row r="325" spans="17:55" x14ac:dyDescent="0.25">
      <c r="Q325" s="52"/>
      <c r="R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</row>
    <row r="326" spans="17:55" x14ac:dyDescent="0.25">
      <c r="Q326" s="52"/>
      <c r="R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</row>
    <row r="327" spans="17:55" x14ac:dyDescent="0.25">
      <c r="Q327" s="52"/>
      <c r="R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</row>
    <row r="328" spans="17:55" x14ac:dyDescent="0.25">
      <c r="Q328" s="52"/>
      <c r="R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</row>
    <row r="329" spans="17:55" x14ac:dyDescent="0.25">
      <c r="Q329" s="52"/>
      <c r="R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</row>
    <row r="330" spans="17:55" x14ac:dyDescent="0.25">
      <c r="Q330" s="52"/>
      <c r="R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</row>
    <row r="331" spans="17:55" x14ac:dyDescent="0.25">
      <c r="Q331" s="52"/>
      <c r="R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</row>
    <row r="332" spans="17:55" x14ac:dyDescent="0.25">
      <c r="Q332" s="52"/>
      <c r="R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</row>
    <row r="333" spans="17:55" x14ac:dyDescent="0.25">
      <c r="Q333" s="52"/>
      <c r="R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</row>
    <row r="334" spans="17:55" x14ac:dyDescent="0.25">
      <c r="Q334" s="52"/>
      <c r="R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</row>
    <row r="335" spans="17:55" x14ac:dyDescent="0.25">
      <c r="Q335" s="52"/>
      <c r="R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</row>
    <row r="336" spans="17:55" x14ac:dyDescent="0.25">
      <c r="Q336" s="52"/>
      <c r="R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</row>
    <row r="337" spans="17:55" x14ac:dyDescent="0.25">
      <c r="Q337" s="52"/>
      <c r="R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</row>
    <row r="338" spans="17:55" x14ac:dyDescent="0.25">
      <c r="Q338" s="52"/>
      <c r="R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</row>
    <row r="339" spans="17:55" x14ac:dyDescent="0.25">
      <c r="Q339" s="52"/>
      <c r="R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</row>
    <row r="340" spans="17:55" x14ac:dyDescent="0.25">
      <c r="Q340" s="52"/>
      <c r="R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</row>
    <row r="341" spans="17:55" x14ac:dyDescent="0.25">
      <c r="Q341" s="52"/>
      <c r="R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</row>
    <row r="342" spans="17:55" x14ac:dyDescent="0.25">
      <c r="Q342" s="52"/>
      <c r="R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</row>
    <row r="343" spans="17:55" x14ac:dyDescent="0.25">
      <c r="Q343" s="52"/>
      <c r="R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</row>
    <row r="344" spans="17:55" x14ac:dyDescent="0.25">
      <c r="Q344" s="52"/>
      <c r="R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</row>
    <row r="345" spans="17:55" x14ac:dyDescent="0.25">
      <c r="Q345" s="52"/>
      <c r="R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</row>
    <row r="346" spans="17:55" x14ac:dyDescent="0.25">
      <c r="Q346" s="52"/>
      <c r="R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</row>
    <row r="347" spans="17:55" x14ac:dyDescent="0.25">
      <c r="Q347" s="52"/>
      <c r="R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</row>
    <row r="348" spans="17:55" x14ac:dyDescent="0.25">
      <c r="Q348" s="52"/>
      <c r="R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</row>
    <row r="349" spans="17:55" x14ac:dyDescent="0.25">
      <c r="Q349" s="52"/>
      <c r="R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</row>
    <row r="350" spans="17:55" x14ac:dyDescent="0.25">
      <c r="Q350" s="52"/>
      <c r="R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</row>
    <row r="351" spans="17:55" x14ac:dyDescent="0.25">
      <c r="Q351" s="52"/>
      <c r="R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</row>
    <row r="352" spans="17:55" x14ac:dyDescent="0.25">
      <c r="Q352" s="52"/>
      <c r="R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</row>
    <row r="353" spans="17:55" x14ac:dyDescent="0.25">
      <c r="Q353" s="52"/>
      <c r="R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</row>
    <row r="354" spans="17:55" x14ac:dyDescent="0.25">
      <c r="Q354" s="52"/>
      <c r="R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</row>
    <row r="355" spans="17:55" x14ac:dyDescent="0.25">
      <c r="Q355" s="52"/>
      <c r="R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</row>
    <row r="356" spans="17:55" x14ac:dyDescent="0.25">
      <c r="Q356" s="52"/>
      <c r="R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</row>
    <row r="357" spans="17:55" x14ac:dyDescent="0.25">
      <c r="Q357" s="52"/>
      <c r="R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</row>
    <row r="358" spans="17:55" x14ac:dyDescent="0.25">
      <c r="Q358" s="52"/>
      <c r="R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</row>
    <row r="359" spans="17:55" x14ac:dyDescent="0.25">
      <c r="Q359" s="52"/>
      <c r="R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</row>
    <row r="360" spans="17:55" x14ac:dyDescent="0.25">
      <c r="Q360" s="52"/>
      <c r="R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</row>
    <row r="361" spans="17:55" x14ac:dyDescent="0.25">
      <c r="Q361" s="52"/>
      <c r="R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</row>
    <row r="362" spans="17:55" x14ac:dyDescent="0.25">
      <c r="Q362" s="52"/>
      <c r="R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</row>
    <row r="363" spans="17:55" x14ac:dyDescent="0.25">
      <c r="Q363" s="52"/>
      <c r="R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</row>
    <row r="364" spans="17:55" x14ac:dyDescent="0.25">
      <c r="Q364" s="52"/>
      <c r="R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</row>
    <row r="365" spans="17:55" x14ac:dyDescent="0.25">
      <c r="Q365" s="52"/>
      <c r="R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</row>
    <row r="366" spans="17:55" x14ac:dyDescent="0.25">
      <c r="Q366" s="52"/>
      <c r="R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</row>
    <row r="367" spans="17:55" x14ac:dyDescent="0.25">
      <c r="Q367" s="52"/>
      <c r="R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</row>
    <row r="368" spans="17:55" x14ac:dyDescent="0.25">
      <c r="Q368" s="52"/>
      <c r="R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</row>
    <row r="369" spans="17:55" x14ac:dyDescent="0.25">
      <c r="Q369" s="52"/>
      <c r="R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</row>
    <row r="370" spans="17:55" x14ac:dyDescent="0.25">
      <c r="Q370" s="52"/>
      <c r="R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</row>
    <row r="371" spans="17:55" x14ac:dyDescent="0.25">
      <c r="Q371" s="52"/>
      <c r="R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</row>
    <row r="372" spans="17:55" x14ac:dyDescent="0.25">
      <c r="Q372" s="52"/>
      <c r="R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</row>
    <row r="373" spans="17:55" x14ac:dyDescent="0.25">
      <c r="Q373" s="52"/>
      <c r="R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</row>
    <row r="374" spans="17:55" x14ac:dyDescent="0.25">
      <c r="Q374" s="52"/>
      <c r="R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</row>
    <row r="375" spans="17:55" x14ac:dyDescent="0.25">
      <c r="Q375" s="52"/>
      <c r="R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</row>
    <row r="376" spans="17:55" x14ac:dyDescent="0.25">
      <c r="Q376" s="52"/>
      <c r="R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</row>
    <row r="377" spans="17:55" x14ac:dyDescent="0.25">
      <c r="Q377" s="52"/>
      <c r="R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</row>
    <row r="378" spans="17:55" x14ac:dyDescent="0.25">
      <c r="Q378" s="52"/>
      <c r="R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</row>
    <row r="379" spans="17:55" x14ac:dyDescent="0.25">
      <c r="Q379" s="52"/>
      <c r="R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</row>
    <row r="380" spans="17:55" x14ac:dyDescent="0.25">
      <c r="Q380" s="52"/>
      <c r="R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</row>
    <row r="381" spans="17:55" x14ac:dyDescent="0.25">
      <c r="Q381" s="52"/>
      <c r="R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</row>
  </sheetData>
  <autoFilter ref="A1:Q44">
    <sortState ref="A2:Q44">
      <sortCondition ref="A1:A44"/>
    </sortState>
  </autoFilter>
  <pageMargins left="0.7" right="0.7" top="0.75" bottom="0.75" header="0.3" footer="0.3"/>
  <customProperties>
    <customPr name="EpmWorksheetKeyString_GUID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N30" sqref="N30"/>
    </sheetView>
  </sheetViews>
  <sheetFormatPr defaultColWidth="9.140625" defaultRowHeight="12.75" x14ac:dyDescent="0.2"/>
  <cols>
    <col min="1" max="16384" width="9.140625" style="24"/>
  </cols>
  <sheetData/>
  <pageMargins left="0.7" right="0.7" top="0.75" bottom="0.75" header="0.3" footer="0.3"/>
  <customProperties>
    <customPr name="EpmWorksheetKeyString_GUID" r:id="rId1"/>
  </customProperties>
</worksheet>
</file>

<file path=docMetadata/LabelInfo.xml><?xml version="1.0" encoding="utf-8"?>
<clbl:labelList xmlns:clbl="http://schemas.microsoft.com/office/2020/mipLabelMetadata">
  <clbl:label id="{7ecb0f97-ad14-4987-8c2b-cd2bb4e8208a}" enabled="0" method="" siteId="{7ecb0f97-ad14-4987-8c2b-cd2bb4e820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Final SR</vt:lpstr>
      <vt:lpstr>JAI TOTALs</vt:lpstr>
      <vt:lpstr>TOTALss</vt:lpstr>
      <vt:lpstr>Timing Table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Wood</dc:creator>
  <cp:keywords>CONFIDENTIAL</cp:keywords>
  <dc:description/>
  <cp:lastModifiedBy>Meyta A. R.</cp:lastModifiedBy>
  <cp:revision/>
  <dcterms:created xsi:type="dcterms:W3CDTF">2019-02-14T16:52:30Z</dcterms:created>
  <dcterms:modified xsi:type="dcterms:W3CDTF">2026-03-06T07:21:51Z</dcterms:modified>
  <cp:category/>
  <cp:contentStatus/>
</cp:coreProperties>
</file>