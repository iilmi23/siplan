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Ppc01\ppc\PPC Department\TOYOTA  718W (350B)\SR\SOP\2026\4. APR\"/>
    </mc:Choice>
  </mc:AlternateContent>
  <bookViews>
    <workbookView xWindow="0" yWindow="0" windowWidth="21600" windowHeight="9510" tabRatio="513" firstSheet="1" activeTab="1"/>
  </bookViews>
  <sheets>
    <sheet name="JAI 原檔" sheetId="17" state="hidden" r:id="rId1"/>
    <sheet name="JAI (加新件號)" sheetId="20" r:id="rId2"/>
    <sheet name="比較" sheetId="21" r:id="rId3"/>
    <sheet name="Sheet1" sheetId="18" state="hidden" r:id="rId4"/>
  </sheets>
  <definedNames>
    <definedName name="_xlnm._FilterDatabase" localSheetId="1" hidden="1">'JAI (加新件號)'!$A$19:$JV$57</definedName>
    <definedName name="_xlnm._FilterDatabase" localSheetId="0" hidden="1">'JAI 原檔'!$C$19:$G$55</definedName>
    <definedName name="_xlnm.Print_Area" localSheetId="1">'JAI (加新件號)'!$A$1:$KN$51</definedName>
    <definedName name="_xlnm.Print_Area" localSheetId="0">'JAI 原檔'!$A$1:$ET$49</definedName>
    <definedName name="_xlnm.Print_Area" localSheetId="2">比較!$A$1:$N$18</definedName>
    <definedName name="_xlnm.Print_Titles" localSheetId="1">'JAI (加新件號)'!$13:$19</definedName>
    <definedName name="_xlnm.Print_Titles" localSheetId="0">'JAI 原檔'!$13:$19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S45" i="20" l="1"/>
  <c r="BJ50" i="20"/>
  <c r="BJ48" i="20"/>
  <c r="BI48" i="20"/>
  <c r="BJ46" i="20"/>
  <c r="BI46" i="20"/>
  <c r="BJ44" i="20"/>
  <c r="BI44" i="20"/>
  <c r="BJ42" i="20"/>
  <c r="BI42" i="20"/>
  <c r="BJ40" i="20"/>
  <c r="BI40" i="20"/>
  <c r="BJ38" i="20"/>
  <c r="BI38" i="20"/>
  <c r="BJ36" i="20"/>
  <c r="BI36" i="20"/>
  <c r="BJ34" i="20"/>
  <c r="BI34" i="20"/>
  <c r="BJ32" i="20"/>
  <c r="BI32" i="20"/>
  <c r="BI50" i="20" s="1"/>
  <c r="BJ30" i="20"/>
  <c r="BI30" i="20"/>
  <c r="BJ28" i="20"/>
  <c r="BI28" i="20"/>
  <c r="BJ26" i="20"/>
  <c r="BI26" i="20"/>
  <c r="BJ24" i="20"/>
  <c r="BI24" i="20"/>
  <c r="BJ22" i="20"/>
  <c r="BI22" i="20"/>
  <c r="BJ20" i="20"/>
  <c r="BI20" i="20"/>
  <c r="KM50" i="20"/>
  <c r="KM54" i="20" s="1"/>
  <c r="KM55" i="20" s="1"/>
  <c r="KN50" i="20"/>
  <c r="KN54" i="20" s="1"/>
  <c r="KN55" i="20" s="1"/>
  <c r="BH48" i="20"/>
  <c r="BH46" i="20"/>
  <c r="BH44" i="20"/>
  <c r="BH42" i="20"/>
  <c r="BH40" i="20"/>
  <c r="BH38" i="20"/>
  <c r="BH36" i="20"/>
  <c r="BH34" i="20"/>
  <c r="BH32" i="20"/>
  <c r="BH30" i="20"/>
  <c r="BH28" i="20"/>
  <c r="BH26" i="20"/>
  <c r="BH24" i="20"/>
  <c r="BH22" i="20"/>
  <c r="BH20" i="20"/>
  <c r="BH50" i="20" l="1"/>
  <c r="BG50" i="20"/>
  <c r="BG48" i="20"/>
  <c r="BG46" i="20"/>
  <c r="BG44" i="20"/>
  <c r="BG42" i="20"/>
  <c r="BG40" i="20"/>
  <c r="BG38" i="20"/>
  <c r="BG36" i="20"/>
  <c r="BG34" i="20"/>
  <c r="BG32" i="20"/>
  <c r="BG30" i="20"/>
  <c r="BG28" i="20"/>
  <c r="BG26" i="20"/>
  <c r="BG24" i="20"/>
  <c r="BG22" i="20"/>
  <c r="BG20" i="20"/>
  <c r="I22" i="21"/>
  <c r="J22" i="21"/>
  <c r="K22" i="21"/>
  <c r="M22" i="21"/>
  <c r="L22" i="21"/>
  <c r="M20" i="21"/>
  <c r="L20" i="21"/>
  <c r="K20" i="21"/>
  <c r="J20" i="21"/>
  <c r="I20" i="21"/>
  <c r="BF48" i="20"/>
  <c r="BF46" i="20"/>
  <c r="BF44" i="20"/>
  <c r="BF42" i="20"/>
  <c r="BF40" i="20"/>
  <c r="BF38" i="20"/>
  <c r="BF36" i="20"/>
  <c r="BF34" i="20"/>
  <c r="BF32" i="20"/>
  <c r="BF30" i="20"/>
  <c r="BF28" i="20"/>
  <c r="BF26" i="20"/>
  <c r="BF24" i="20"/>
  <c r="BF22" i="20"/>
  <c r="BF20" i="20"/>
  <c r="H20" i="21"/>
  <c r="G20" i="21"/>
  <c r="F20" i="21"/>
  <c r="BF50" i="20" l="1"/>
  <c r="F22" i="21"/>
  <c r="G22" i="21"/>
  <c r="H22" i="21" l="1"/>
  <c r="I19" i="21" l="1"/>
  <c r="J19" i="21"/>
  <c r="K19" i="21"/>
  <c r="L19" i="21"/>
  <c r="H19" i="21"/>
  <c r="BD28" i="20"/>
  <c r="BE28" i="20"/>
  <c r="BE48" i="20"/>
  <c r="BD48" i="20"/>
  <c r="BC48" i="20"/>
  <c r="BB48" i="20"/>
  <c r="BA48" i="20"/>
  <c r="BE46" i="20"/>
  <c r="BD46" i="20"/>
  <c r="BC46" i="20"/>
  <c r="BB46" i="20"/>
  <c r="BA46" i="20"/>
  <c r="BE44" i="20"/>
  <c r="BD44" i="20"/>
  <c r="BC44" i="20"/>
  <c r="BB44" i="20"/>
  <c r="BA44" i="20"/>
  <c r="BE42" i="20"/>
  <c r="BD42" i="20"/>
  <c r="BC42" i="20"/>
  <c r="BB42" i="20"/>
  <c r="BA42" i="20"/>
  <c r="BE40" i="20"/>
  <c r="BD40" i="20"/>
  <c r="BC40" i="20"/>
  <c r="BB40" i="20"/>
  <c r="BA40" i="20"/>
  <c r="BE38" i="20"/>
  <c r="BD38" i="20"/>
  <c r="BC38" i="20"/>
  <c r="BB38" i="20"/>
  <c r="BA38" i="20"/>
  <c r="BE36" i="20"/>
  <c r="BD36" i="20"/>
  <c r="BC36" i="20"/>
  <c r="BB36" i="20"/>
  <c r="BA36" i="20"/>
  <c r="BE34" i="20"/>
  <c r="BD34" i="20"/>
  <c r="BC34" i="20"/>
  <c r="BB34" i="20"/>
  <c r="BA34" i="20"/>
  <c r="BE32" i="20"/>
  <c r="BD32" i="20"/>
  <c r="BC32" i="20"/>
  <c r="BB32" i="20"/>
  <c r="BA32" i="20"/>
  <c r="BE30" i="20"/>
  <c r="BD30" i="20"/>
  <c r="BC30" i="20"/>
  <c r="BB30" i="20"/>
  <c r="BA30" i="20"/>
  <c r="BC28" i="20"/>
  <c r="BB28" i="20"/>
  <c r="BA28" i="20"/>
  <c r="BE26" i="20"/>
  <c r="BD26" i="20"/>
  <c r="BC26" i="20"/>
  <c r="BB26" i="20"/>
  <c r="BA26" i="20"/>
  <c r="BE24" i="20"/>
  <c r="BD24" i="20"/>
  <c r="BC24" i="20"/>
  <c r="BB24" i="20"/>
  <c r="BA24" i="20"/>
  <c r="BE22" i="20"/>
  <c r="BD22" i="20"/>
  <c r="BC22" i="20"/>
  <c r="BB22" i="20"/>
  <c r="BA22" i="20"/>
  <c r="BD20" i="20"/>
  <c r="AZ28" i="20"/>
  <c r="AZ26" i="20"/>
  <c r="EX29" i="20"/>
  <c r="EY29" i="20" s="1"/>
  <c r="EZ29" i="20" s="1"/>
  <c r="FA29" i="20" s="1"/>
  <c r="FB29" i="20" s="1"/>
  <c r="FC29" i="20" s="1"/>
  <c r="FD29" i="20" s="1"/>
  <c r="FE29" i="20" s="1"/>
  <c r="FF29" i="20" s="1"/>
  <c r="FG29" i="20" s="1"/>
  <c r="FH29" i="20" s="1"/>
  <c r="FI29" i="20" s="1"/>
  <c r="FJ29" i="20" s="1"/>
  <c r="FK29" i="20" s="1"/>
  <c r="FL29" i="20" s="1"/>
  <c r="FM29" i="20" s="1"/>
  <c r="FN29" i="20" s="1"/>
  <c r="FO29" i="20" s="1"/>
  <c r="FP29" i="20" s="1"/>
  <c r="FQ29" i="20" s="1"/>
  <c r="FR29" i="20" s="1"/>
  <c r="FS29" i="20" s="1"/>
  <c r="FT29" i="20" s="1"/>
  <c r="FU29" i="20" s="1"/>
  <c r="FV29" i="20" s="1"/>
  <c r="FW29" i="20" s="1"/>
  <c r="FX29" i="20" s="1"/>
  <c r="FY29" i="20" s="1"/>
  <c r="FZ29" i="20" s="1"/>
  <c r="GA29" i="20" s="1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C29" i="20" s="1"/>
  <c r="AD29" i="20" s="1"/>
  <c r="EX27" i="20"/>
  <c r="EY27" i="20" s="1"/>
  <c r="EZ27" i="20" s="1"/>
  <c r="FA27" i="20" s="1"/>
  <c r="FB27" i="20" s="1"/>
  <c r="FC27" i="20" s="1"/>
  <c r="FD27" i="20" s="1"/>
  <c r="FE27" i="20" s="1"/>
  <c r="FF27" i="20" s="1"/>
  <c r="FG27" i="20" s="1"/>
  <c r="FH27" i="20" s="1"/>
  <c r="FI27" i="20" s="1"/>
  <c r="FJ27" i="20" s="1"/>
  <c r="FK27" i="20" s="1"/>
  <c r="FL27" i="20" s="1"/>
  <c r="FM27" i="20" s="1"/>
  <c r="FN27" i="20" s="1"/>
  <c r="FO27" i="20" s="1"/>
  <c r="FP27" i="20" s="1"/>
  <c r="FQ27" i="20" s="1"/>
  <c r="FR27" i="20" s="1"/>
  <c r="FS27" i="20" s="1"/>
  <c r="FT27" i="20" s="1"/>
  <c r="FU27" i="20" s="1"/>
  <c r="FV27" i="20" s="1"/>
  <c r="FW27" i="20" s="1"/>
  <c r="FX27" i="20" s="1"/>
  <c r="FY27" i="20" s="1"/>
  <c r="FZ27" i="20" s="1"/>
  <c r="GA27" i="20" s="1"/>
  <c r="AY26" i="20"/>
  <c r="AX26" i="20"/>
  <c r="AW26" i="20"/>
  <c r="AV26" i="20"/>
  <c r="AU26" i="20"/>
  <c r="AT26" i="20"/>
  <c r="AS26" i="20"/>
  <c r="AR26" i="20"/>
  <c r="AQ26" i="20"/>
  <c r="AP26" i="20"/>
  <c r="AO26" i="20"/>
  <c r="AN26" i="20"/>
  <c r="AM26" i="20"/>
  <c r="AL26" i="20"/>
  <c r="AK26" i="20"/>
  <c r="AJ26" i="20"/>
  <c r="AI26" i="20"/>
  <c r="AH26" i="20"/>
  <c r="AG26" i="20"/>
  <c r="AF26" i="20"/>
  <c r="AE26" i="20"/>
  <c r="AD26" i="20"/>
  <c r="AC26" i="20"/>
  <c r="AC27" i="20" s="1"/>
  <c r="AZ48" i="20"/>
  <c r="AZ46" i="20"/>
  <c r="AZ44" i="20"/>
  <c r="AZ42" i="20"/>
  <c r="AZ40" i="20"/>
  <c r="AZ38" i="20"/>
  <c r="AZ36" i="20"/>
  <c r="AZ34" i="20"/>
  <c r="AZ32" i="20"/>
  <c r="AZ30" i="20"/>
  <c r="AZ24" i="20"/>
  <c r="AZ22" i="20"/>
  <c r="BE20" i="20"/>
  <c r="AZ20" i="20"/>
  <c r="BE50" i="20"/>
  <c r="BC20" i="20"/>
  <c r="BB20" i="20"/>
  <c r="BA20" i="20"/>
  <c r="AE29" i="20" l="1"/>
  <c r="AF29" i="20" s="1"/>
  <c r="AG29" i="20" s="1"/>
  <c r="AH29" i="20" s="1"/>
  <c r="AI29" i="20"/>
  <c r="AJ29" i="20" s="1"/>
  <c r="AK29" i="20" s="1"/>
  <c r="AL29" i="20" s="1"/>
  <c r="AM29" i="20" s="1"/>
  <c r="AN29" i="20" s="1"/>
  <c r="AO29" i="20" s="1"/>
  <c r="AP29" i="20" s="1"/>
  <c r="AQ29" i="20" s="1"/>
  <c r="AR29" i="20" s="1"/>
  <c r="AS29" i="20" s="1"/>
  <c r="AT29" i="20" s="1"/>
  <c r="AU29" i="20" s="1"/>
  <c r="AV29" i="20" s="1"/>
  <c r="AW29" i="20" s="1"/>
  <c r="AX29" i="20" s="1"/>
  <c r="AY29" i="20" s="1"/>
  <c r="AZ29" i="20" s="1"/>
  <c r="BA29" i="20" s="1"/>
  <c r="BB29" i="20" s="1"/>
  <c r="BC29" i="20" s="1"/>
  <c r="BD29" i="20" s="1"/>
  <c r="BE29" i="20" s="1"/>
  <c r="BF29" i="20" s="1"/>
  <c r="BG29" i="20" s="1"/>
  <c r="GB29" i="20"/>
  <c r="GC29" i="20" s="1"/>
  <c r="GD29" i="20" s="1"/>
  <c r="GE29" i="20" s="1"/>
  <c r="GF29" i="20" s="1"/>
  <c r="GG29" i="20" s="1"/>
  <c r="GH29" i="20" s="1"/>
  <c r="GI29" i="20" s="1"/>
  <c r="GJ29" i="20" s="1"/>
  <c r="GK29" i="20" s="1"/>
  <c r="GL29" i="20" s="1"/>
  <c r="GM29" i="20" s="1"/>
  <c r="GN29" i="20" s="1"/>
  <c r="GO29" i="20" s="1"/>
  <c r="GP29" i="20" s="1"/>
  <c r="GQ29" i="20" s="1"/>
  <c r="GR29" i="20" s="1"/>
  <c r="GS29" i="20" s="1"/>
  <c r="GT29" i="20" s="1"/>
  <c r="GU29" i="20" s="1"/>
  <c r="GV29" i="20" s="1"/>
  <c r="GW29" i="20" s="1"/>
  <c r="GX29" i="20" s="1"/>
  <c r="GY29" i="20" s="1"/>
  <c r="GZ29" i="20" s="1"/>
  <c r="HA29" i="20" s="1"/>
  <c r="HB29" i="20" s="1"/>
  <c r="HC29" i="20" s="1"/>
  <c r="HD29" i="20" s="1"/>
  <c r="HE29" i="20" s="1"/>
  <c r="HF29" i="20" s="1"/>
  <c r="HG29" i="20" s="1"/>
  <c r="HH29" i="20" s="1"/>
  <c r="HI29" i="20" s="1"/>
  <c r="HJ29" i="20" s="1"/>
  <c r="HK29" i="20" s="1"/>
  <c r="HL29" i="20" s="1"/>
  <c r="HM29" i="20" s="1"/>
  <c r="HN29" i="20" s="1"/>
  <c r="HO29" i="20" s="1"/>
  <c r="HP29" i="20" s="1"/>
  <c r="HQ29" i="20" s="1"/>
  <c r="HR29" i="20" s="1"/>
  <c r="HS29" i="20" s="1"/>
  <c r="HT29" i="20" s="1"/>
  <c r="HU29" i="20" s="1"/>
  <c r="HV29" i="20" s="1"/>
  <c r="HW29" i="20" s="1"/>
  <c r="HX29" i="20" s="1"/>
  <c r="HY29" i="20" s="1"/>
  <c r="HZ29" i="20" s="1"/>
  <c r="IA29" i="20" s="1"/>
  <c r="IB29" i="20" s="1"/>
  <c r="IC29" i="20" s="1"/>
  <c r="ID29" i="20" s="1"/>
  <c r="IE29" i="20" s="1"/>
  <c r="IF29" i="20" s="1"/>
  <c r="IG29" i="20" s="1"/>
  <c r="IH29" i="20" s="1"/>
  <c r="II29" i="20" s="1"/>
  <c r="IJ29" i="20" s="1"/>
  <c r="IK29" i="20" s="1"/>
  <c r="IL29" i="20" s="1"/>
  <c r="IM29" i="20" s="1"/>
  <c r="IN29" i="20" s="1"/>
  <c r="IO29" i="20" s="1"/>
  <c r="IP29" i="20" s="1"/>
  <c r="IQ29" i="20" s="1"/>
  <c r="IR29" i="20" s="1"/>
  <c r="IS29" i="20" s="1"/>
  <c r="IT29" i="20" s="1"/>
  <c r="IU29" i="20" s="1"/>
  <c r="IV29" i="20" s="1"/>
  <c r="IW29" i="20" s="1"/>
  <c r="IX29" i="20" s="1"/>
  <c r="IY29" i="20" s="1"/>
  <c r="IZ29" i="20" s="1"/>
  <c r="JA29" i="20" s="1"/>
  <c r="JB29" i="20" s="1"/>
  <c r="JC29" i="20" s="1"/>
  <c r="JD29" i="20" s="1"/>
  <c r="JE29" i="20" s="1"/>
  <c r="JF29" i="20" s="1"/>
  <c r="JG29" i="20" s="1"/>
  <c r="JH29" i="20" s="1"/>
  <c r="JI29" i="20" s="1"/>
  <c r="JJ29" i="20" s="1"/>
  <c r="JK29" i="20" s="1"/>
  <c r="AD27" i="20"/>
  <c r="AE27" i="20" s="1"/>
  <c r="AF27" i="20" s="1"/>
  <c r="AG27" i="20" s="1"/>
  <c r="AH27" i="20" s="1"/>
  <c r="AI27" i="20"/>
  <c r="AJ27" i="20" s="1"/>
  <c r="AK27" i="20" s="1"/>
  <c r="AL27" i="20" s="1"/>
  <c r="AM27" i="20" s="1"/>
  <c r="AN27" i="20" s="1"/>
  <c r="AO27" i="20" s="1"/>
  <c r="AP27" i="20" s="1"/>
  <c r="AQ27" i="20" s="1"/>
  <c r="AR27" i="20" s="1"/>
  <c r="AS27" i="20" s="1"/>
  <c r="AT27" i="20" s="1"/>
  <c r="AU27" i="20" s="1"/>
  <c r="AV27" i="20" s="1"/>
  <c r="AW27" i="20" s="1"/>
  <c r="AX27" i="20" s="1"/>
  <c r="AY27" i="20" s="1"/>
  <c r="AZ27" i="20" s="1"/>
  <c r="BA27" i="20" s="1"/>
  <c r="BB27" i="20" s="1"/>
  <c r="BC27" i="20" s="1"/>
  <c r="BD27" i="20" s="1"/>
  <c r="BE27" i="20" s="1"/>
  <c r="BF27" i="20" s="1"/>
  <c r="BG27" i="20" s="1"/>
  <c r="GB27" i="20"/>
  <c r="GC27" i="20" s="1"/>
  <c r="GD27" i="20" s="1"/>
  <c r="GE27" i="20" s="1"/>
  <c r="GF27" i="20" s="1"/>
  <c r="GG27" i="20" s="1"/>
  <c r="GH27" i="20" s="1"/>
  <c r="GI27" i="20" s="1"/>
  <c r="GJ27" i="20" s="1"/>
  <c r="GK27" i="20" s="1"/>
  <c r="GL27" i="20" s="1"/>
  <c r="GM27" i="20" s="1"/>
  <c r="GN27" i="20" s="1"/>
  <c r="GO27" i="20" s="1"/>
  <c r="GP27" i="20" s="1"/>
  <c r="GQ27" i="20" s="1"/>
  <c r="GR27" i="20" s="1"/>
  <c r="GS27" i="20" s="1"/>
  <c r="GT27" i="20" s="1"/>
  <c r="GU27" i="20" s="1"/>
  <c r="GV27" i="20" s="1"/>
  <c r="GW27" i="20" s="1"/>
  <c r="GX27" i="20" s="1"/>
  <c r="GY27" i="20" s="1"/>
  <c r="GZ27" i="20" s="1"/>
  <c r="HA27" i="20" s="1"/>
  <c r="HB27" i="20" s="1"/>
  <c r="HC27" i="20" s="1"/>
  <c r="HD27" i="20" s="1"/>
  <c r="HE27" i="20" s="1"/>
  <c r="HF27" i="20" s="1"/>
  <c r="HG27" i="20" s="1"/>
  <c r="HH27" i="20" s="1"/>
  <c r="HI27" i="20" s="1"/>
  <c r="HJ27" i="20" s="1"/>
  <c r="HK27" i="20" s="1"/>
  <c r="HL27" i="20" s="1"/>
  <c r="HM27" i="20" s="1"/>
  <c r="HN27" i="20" s="1"/>
  <c r="HO27" i="20" s="1"/>
  <c r="HP27" i="20" s="1"/>
  <c r="HQ27" i="20" s="1"/>
  <c r="HR27" i="20" s="1"/>
  <c r="HS27" i="20" s="1"/>
  <c r="HT27" i="20" s="1"/>
  <c r="HU27" i="20" s="1"/>
  <c r="HV27" i="20" s="1"/>
  <c r="HW27" i="20" s="1"/>
  <c r="HX27" i="20" s="1"/>
  <c r="HY27" i="20" s="1"/>
  <c r="HZ27" i="20" s="1"/>
  <c r="IA27" i="20" s="1"/>
  <c r="IB27" i="20" s="1"/>
  <c r="IC27" i="20" s="1"/>
  <c r="ID27" i="20" s="1"/>
  <c r="IE27" i="20" s="1"/>
  <c r="IF27" i="20" s="1"/>
  <c r="IG27" i="20" s="1"/>
  <c r="IH27" i="20" s="1"/>
  <c r="II27" i="20" s="1"/>
  <c r="IJ27" i="20" s="1"/>
  <c r="IK27" i="20" s="1"/>
  <c r="IL27" i="20" s="1"/>
  <c r="IM27" i="20" s="1"/>
  <c r="IN27" i="20" s="1"/>
  <c r="IO27" i="20" s="1"/>
  <c r="IP27" i="20" s="1"/>
  <c r="IQ27" i="20" s="1"/>
  <c r="IR27" i="20" s="1"/>
  <c r="IS27" i="20" s="1"/>
  <c r="IT27" i="20" s="1"/>
  <c r="IU27" i="20" s="1"/>
  <c r="IV27" i="20" s="1"/>
  <c r="IW27" i="20" s="1"/>
  <c r="IX27" i="20" s="1"/>
  <c r="IY27" i="20" s="1"/>
  <c r="IZ27" i="20" s="1"/>
  <c r="JA27" i="20" s="1"/>
  <c r="JB27" i="20" s="1"/>
  <c r="JC27" i="20" s="1"/>
  <c r="JD27" i="20" s="1"/>
  <c r="JE27" i="20" s="1"/>
  <c r="JF27" i="20" s="1"/>
  <c r="JG27" i="20" s="1"/>
  <c r="JH27" i="20" s="1"/>
  <c r="JI27" i="20" s="1"/>
  <c r="JJ27" i="20" s="1"/>
  <c r="JK27" i="20" s="1"/>
  <c r="JL27" i="20" s="1"/>
  <c r="JM27" i="20" s="1"/>
  <c r="JN27" i="20" s="1"/>
  <c r="JO27" i="20" s="1"/>
  <c r="JP27" i="20" s="1"/>
  <c r="JQ27" i="20" s="1"/>
  <c r="JR27" i="20" s="1"/>
  <c r="JS27" i="20" s="1"/>
  <c r="JT27" i="20" s="1"/>
  <c r="JU27" i="20" s="1"/>
  <c r="JV27" i="20" s="1"/>
  <c r="JW27" i="20" s="1"/>
  <c r="JX27" i="20" s="1"/>
  <c r="JY27" i="20" s="1"/>
  <c r="JZ27" i="20" s="1"/>
  <c r="KA27" i="20" s="1"/>
  <c r="KB27" i="20" s="1"/>
  <c r="KC27" i="20" s="1"/>
  <c r="KD27" i="20" s="1"/>
  <c r="KE27" i="20" s="1"/>
  <c r="KF27" i="20" s="1"/>
  <c r="KG27" i="20" s="1"/>
  <c r="KH27" i="20" s="1"/>
  <c r="KI27" i="20" s="1"/>
  <c r="KJ27" i="20" s="1"/>
  <c r="KK27" i="20" s="1"/>
  <c r="KL27" i="20" s="1"/>
  <c r="KN27" i="20" l="1"/>
  <c r="KM27" i="20"/>
  <c r="BH27" i="20"/>
  <c r="BI27" i="20" s="1"/>
  <c r="BJ27" i="20" s="1"/>
  <c r="BH29" i="20"/>
  <c r="BI29" i="20" s="1"/>
  <c r="BJ29" i="20" s="1"/>
  <c r="JL29" i="20"/>
  <c r="JM29" i="20" s="1"/>
  <c r="JN29" i="20" s="1"/>
  <c r="JO29" i="20" s="1"/>
  <c r="JP29" i="20" s="1"/>
  <c r="JQ29" i="20" s="1"/>
  <c r="BD50" i="20"/>
  <c r="JR29" i="20" l="1"/>
  <c r="JS29" i="20" s="1"/>
  <c r="JT29" i="20" s="1"/>
  <c r="JU29" i="20" s="1"/>
  <c r="JV29" i="20" s="1"/>
  <c r="JW29" i="20" s="1"/>
  <c r="JX29" i="20" s="1"/>
  <c r="JY29" i="20" s="1"/>
  <c r="JZ29" i="20" s="1"/>
  <c r="KA29" i="20" s="1"/>
  <c r="KB29" i="20" s="1"/>
  <c r="KC29" i="20" s="1"/>
  <c r="KD29" i="20" s="1"/>
  <c r="KE29" i="20" s="1"/>
  <c r="KF29" i="20" s="1"/>
  <c r="KG29" i="20" s="1"/>
  <c r="KH29" i="20" s="1"/>
  <c r="KI29" i="20" s="1"/>
  <c r="KJ29" i="20" s="1"/>
  <c r="KK29" i="20" s="1"/>
  <c r="KL29" i="20" s="1"/>
  <c r="BC50" i="20"/>
  <c r="KN29" i="20" l="1"/>
  <c r="KM29" i="20"/>
  <c r="HO50" i="20"/>
  <c r="HP50" i="20"/>
  <c r="HQ50" i="20"/>
  <c r="HR50" i="20"/>
  <c r="HS50" i="20"/>
  <c r="HT50" i="20"/>
  <c r="HU50" i="20"/>
  <c r="HV50" i="20"/>
  <c r="HW50" i="20"/>
  <c r="HX50" i="20"/>
  <c r="HY50" i="20"/>
  <c r="HZ50" i="20"/>
  <c r="IA50" i="20"/>
  <c r="AY48" i="20"/>
  <c r="AY46" i="20"/>
  <c r="AY44" i="20"/>
  <c r="AY42" i="20"/>
  <c r="AY40" i="20"/>
  <c r="AY38" i="20"/>
  <c r="AY36" i="20"/>
  <c r="AY34" i="20"/>
  <c r="AY32" i="20"/>
  <c r="AY30" i="20"/>
  <c r="AY24" i="20"/>
  <c r="AY22" i="20"/>
  <c r="AY20" i="20"/>
  <c r="BB50" i="20" l="1"/>
  <c r="BA50" i="20"/>
  <c r="AZ50" i="20"/>
  <c r="AY50" i="20"/>
  <c r="AX48" i="20"/>
  <c r="AX46" i="20"/>
  <c r="AX44" i="20"/>
  <c r="AX42" i="20"/>
  <c r="AX40" i="20"/>
  <c r="AX38" i="20"/>
  <c r="AX36" i="20"/>
  <c r="AX34" i="20"/>
  <c r="AX32" i="20"/>
  <c r="AX30" i="20"/>
  <c r="AX24" i="20"/>
  <c r="AX22" i="20"/>
  <c r="AX20" i="20"/>
  <c r="AW20" i="20"/>
  <c r="AW22" i="20"/>
  <c r="AW24" i="20"/>
  <c r="AW30" i="20"/>
  <c r="AW32" i="20"/>
  <c r="AW34" i="20"/>
  <c r="AW36" i="20"/>
  <c r="AW38" i="20"/>
  <c r="AW40" i="20"/>
  <c r="AW42" i="20"/>
  <c r="AW44" i="20"/>
  <c r="AW46" i="20"/>
  <c r="AW48" i="20"/>
  <c r="AX50" i="20" l="1"/>
  <c r="AW50" i="20"/>
  <c r="BK50" i="20"/>
  <c r="BM50" i="20"/>
  <c r="BN50" i="20"/>
  <c r="BO50" i="20"/>
  <c r="BP50" i="20"/>
  <c r="BQ50" i="20"/>
  <c r="BR50" i="20"/>
  <c r="BS50" i="20"/>
  <c r="BT50" i="20"/>
  <c r="BU50" i="20"/>
  <c r="BV50" i="20"/>
  <c r="BW50" i="20"/>
  <c r="BX50" i="20"/>
  <c r="BY50" i="20"/>
  <c r="BZ50" i="20"/>
  <c r="CA50" i="20"/>
  <c r="CB50" i="20"/>
  <c r="CC50" i="20"/>
  <c r="CD50" i="20"/>
  <c r="CE50" i="20"/>
  <c r="CF50" i="20"/>
  <c r="CG50" i="20"/>
  <c r="CH50" i="20"/>
  <c r="CI50" i="20"/>
  <c r="CJ50" i="20"/>
  <c r="CK50" i="20"/>
  <c r="CL50" i="20"/>
  <c r="CM50" i="20"/>
  <c r="CN50" i="20"/>
  <c r="CO50" i="20"/>
  <c r="CP50" i="20"/>
  <c r="CQ50" i="20"/>
  <c r="CR50" i="20"/>
  <c r="CS50" i="20"/>
  <c r="CT50" i="20"/>
  <c r="CU50" i="20"/>
  <c r="CV50" i="20"/>
  <c r="CW50" i="20"/>
  <c r="CX50" i="20"/>
  <c r="CY50" i="20"/>
  <c r="CZ50" i="20"/>
  <c r="DA50" i="20"/>
  <c r="DB50" i="20"/>
  <c r="DC50" i="20"/>
  <c r="DD50" i="20"/>
  <c r="DE50" i="20"/>
  <c r="DF50" i="20"/>
  <c r="DG50" i="20"/>
  <c r="DH50" i="20"/>
  <c r="DI50" i="20"/>
  <c r="DJ50" i="20"/>
  <c r="DK50" i="20"/>
  <c r="DL50" i="20"/>
  <c r="DM50" i="20"/>
  <c r="DN50" i="20"/>
  <c r="DO50" i="20"/>
  <c r="DP50" i="20"/>
  <c r="DQ50" i="20"/>
  <c r="DR50" i="20"/>
  <c r="DS50" i="20"/>
  <c r="DT50" i="20"/>
  <c r="DU50" i="20"/>
  <c r="DV50" i="20"/>
  <c r="DW50" i="20"/>
  <c r="DX50" i="20"/>
  <c r="DY50" i="20"/>
  <c r="DZ50" i="20"/>
  <c r="EA50" i="20"/>
  <c r="EB50" i="20"/>
  <c r="EC50" i="20"/>
  <c r="ED50" i="20"/>
  <c r="EE50" i="20"/>
  <c r="EF50" i="20"/>
  <c r="EG50" i="20"/>
  <c r="EH50" i="20"/>
  <c r="EI50" i="20"/>
  <c r="EJ50" i="20"/>
  <c r="EK50" i="20"/>
  <c r="EL50" i="20"/>
  <c r="EM50" i="20"/>
  <c r="EN50" i="20"/>
  <c r="EO50" i="20"/>
  <c r="EP50" i="20"/>
  <c r="EQ50" i="20"/>
  <c r="ER50" i="20"/>
  <c r="ES50" i="20"/>
  <c r="ET50" i="20"/>
  <c r="EU50" i="20"/>
  <c r="EV50" i="20"/>
  <c r="EW50" i="20"/>
  <c r="EX50" i="20"/>
  <c r="EY50" i="20"/>
  <c r="EZ50" i="20"/>
  <c r="FA50" i="20"/>
  <c r="FB50" i="20"/>
  <c r="FC50" i="20"/>
  <c r="FD50" i="20"/>
  <c r="FE50" i="20"/>
  <c r="FF50" i="20"/>
  <c r="FG50" i="20"/>
  <c r="FH50" i="20"/>
  <c r="FI50" i="20"/>
  <c r="FJ50" i="20"/>
  <c r="FK50" i="20"/>
  <c r="FL50" i="20"/>
  <c r="FM50" i="20"/>
  <c r="FN50" i="20"/>
  <c r="FO50" i="20"/>
  <c r="FP50" i="20"/>
  <c r="FQ50" i="20"/>
  <c r="FR50" i="20"/>
  <c r="FS50" i="20"/>
  <c r="FT50" i="20"/>
  <c r="FU50" i="20"/>
  <c r="FV50" i="20"/>
  <c r="FW50" i="20"/>
  <c r="FX50" i="20"/>
  <c r="FY50" i="20"/>
  <c r="FZ50" i="20"/>
  <c r="GA50" i="20"/>
  <c r="GB50" i="20"/>
  <c r="GC50" i="20"/>
  <c r="GD50" i="20"/>
  <c r="GE50" i="20"/>
  <c r="GF50" i="20"/>
  <c r="GG50" i="20"/>
  <c r="GH50" i="20"/>
  <c r="GI50" i="20"/>
  <c r="GJ50" i="20"/>
  <c r="GK50" i="20"/>
  <c r="GL50" i="20"/>
  <c r="GM50" i="20"/>
  <c r="GN50" i="20"/>
  <c r="GO50" i="20"/>
  <c r="GP50" i="20"/>
  <c r="GQ50" i="20"/>
  <c r="GR50" i="20"/>
  <c r="GS50" i="20"/>
  <c r="GT50" i="20"/>
  <c r="GU50" i="20"/>
  <c r="GV50" i="20"/>
  <c r="GW50" i="20"/>
  <c r="GX50" i="20"/>
  <c r="GY50" i="20"/>
  <c r="GZ50" i="20"/>
  <c r="HA50" i="20"/>
  <c r="HB50" i="20"/>
  <c r="HC50" i="20"/>
  <c r="HD50" i="20"/>
  <c r="HE50" i="20"/>
  <c r="HF50" i="20"/>
  <c r="HG50" i="20"/>
  <c r="HH50" i="20"/>
  <c r="HI50" i="20"/>
  <c r="HJ50" i="20"/>
  <c r="HK50" i="20"/>
  <c r="HL50" i="20"/>
  <c r="HM50" i="20"/>
  <c r="HN50" i="20"/>
  <c r="BL50" i="20" l="1"/>
  <c r="AV30" i="20"/>
  <c r="AV48" i="20"/>
  <c r="AU48" i="20"/>
  <c r="AT48" i="20"/>
  <c r="AS48" i="20"/>
  <c r="AR48" i="20"/>
  <c r="AV46" i="20"/>
  <c r="AU46" i="20"/>
  <c r="AT46" i="20"/>
  <c r="AS46" i="20"/>
  <c r="AR46" i="20"/>
  <c r="AV44" i="20"/>
  <c r="AU44" i="20"/>
  <c r="AT44" i="20"/>
  <c r="AS44" i="20"/>
  <c r="AR44" i="20"/>
  <c r="AV42" i="20"/>
  <c r="AU42" i="20"/>
  <c r="AT42" i="20"/>
  <c r="AS42" i="20"/>
  <c r="AR42" i="20"/>
  <c r="AV40" i="20"/>
  <c r="AU40" i="20"/>
  <c r="AT40" i="20"/>
  <c r="AS40" i="20"/>
  <c r="AR40" i="20"/>
  <c r="AV38" i="20"/>
  <c r="AU38" i="20"/>
  <c r="AT38" i="20"/>
  <c r="AS38" i="20"/>
  <c r="AR38" i="20"/>
  <c r="AV36" i="20"/>
  <c r="AU36" i="20"/>
  <c r="AT36" i="20"/>
  <c r="AS36" i="20"/>
  <c r="AR36" i="20"/>
  <c r="AV34" i="20"/>
  <c r="AU34" i="20"/>
  <c r="AT34" i="20"/>
  <c r="AS34" i="20"/>
  <c r="AR34" i="20"/>
  <c r="AV32" i="20"/>
  <c r="AU32" i="20"/>
  <c r="AT32" i="20"/>
  <c r="AS32" i="20"/>
  <c r="AR32" i="20"/>
  <c r="AU30" i="20"/>
  <c r="AT30" i="20"/>
  <c r="AS30" i="20"/>
  <c r="AR30" i="20"/>
  <c r="AV24" i="20"/>
  <c r="AU24" i="20"/>
  <c r="AT24" i="20"/>
  <c r="AS24" i="20"/>
  <c r="AR24" i="20"/>
  <c r="AV22" i="20"/>
  <c r="AU22" i="20"/>
  <c r="AT22" i="20"/>
  <c r="AS22" i="20"/>
  <c r="AR22" i="20"/>
  <c r="AV20" i="20"/>
  <c r="AU20" i="20"/>
  <c r="AT20" i="20"/>
  <c r="AS20" i="20"/>
  <c r="AR20" i="20"/>
  <c r="AS50" i="20"/>
  <c r="HM17" i="20"/>
  <c r="HM18" i="20" s="1"/>
  <c r="HN16" i="20"/>
  <c r="HN17" i="20" s="1"/>
  <c r="HN18" i="20" s="1"/>
  <c r="HL16" i="20"/>
  <c r="HL17" i="20" s="1"/>
  <c r="HL18" i="20" s="1"/>
  <c r="HK16" i="20"/>
  <c r="HK17" i="20" s="1"/>
  <c r="HK18" i="20" s="1"/>
  <c r="AU50" i="20" l="1"/>
  <c r="AT50" i="20"/>
  <c r="AR50" i="20"/>
  <c r="AV50" i="20"/>
  <c r="AQ46" i="20" l="1"/>
  <c r="AQ48" i="20"/>
  <c r="AP48" i="20"/>
  <c r="AO48" i="20"/>
  <c r="AP46" i="20"/>
  <c r="AO46" i="20"/>
  <c r="AQ44" i="20"/>
  <c r="AP44" i="20"/>
  <c r="AO44" i="20"/>
  <c r="AQ42" i="20"/>
  <c r="AP42" i="20"/>
  <c r="AO42" i="20"/>
  <c r="AQ40" i="20"/>
  <c r="AP40" i="20"/>
  <c r="AO40" i="20"/>
  <c r="AQ38" i="20"/>
  <c r="AP38" i="20"/>
  <c r="AO38" i="20"/>
  <c r="AQ36" i="20"/>
  <c r="AP36" i="20"/>
  <c r="AO36" i="20"/>
  <c r="AQ34" i="20"/>
  <c r="AP34" i="20"/>
  <c r="AO34" i="20"/>
  <c r="AQ32" i="20"/>
  <c r="AP32" i="20"/>
  <c r="AO32" i="20"/>
  <c r="AQ30" i="20"/>
  <c r="AP30" i="20"/>
  <c r="AO30" i="20"/>
  <c r="AQ24" i="20"/>
  <c r="AP24" i="20"/>
  <c r="AO24" i="20"/>
  <c r="AQ22" i="20"/>
  <c r="AP22" i="20"/>
  <c r="AO22" i="20"/>
  <c r="AQ20" i="20"/>
  <c r="AP20" i="20"/>
  <c r="AO20" i="20"/>
  <c r="AN48" i="20" l="1"/>
  <c r="AM48" i="20"/>
  <c r="AN46" i="20"/>
  <c r="AM46" i="20"/>
  <c r="AN44" i="20"/>
  <c r="AM44" i="20"/>
  <c r="AN42" i="20"/>
  <c r="AM42" i="20"/>
  <c r="AN40" i="20"/>
  <c r="AM40" i="20"/>
  <c r="AN38" i="20"/>
  <c r="AM38" i="20"/>
  <c r="AN36" i="20"/>
  <c r="AM36" i="20"/>
  <c r="AN34" i="20"/>
  <c r="AM34" i="20"/>
  <c r="AN32" i="20"/>
  <c r="AM32" i="20"/>
  <c r="AN30" i="20"/>
  <c r="AM30" i="20"/>
  <c r="AN24" i="20"/>
  <c r="AM24" i="20"/>
  <c r="AN22" i="20"/>
  <c r="AM22" i="20"/>
  <c r="AN20" i="20"/>
  <c r="AM20" i="20"/>
  <c r="EX47" i="20" l="1"/>
  <c r="EY47" i="20" s="1"/>
  <c r="EZ47" i="20" s="1"/>
  <c r="FA47" i="20" s="1"/>
  <c r="FB47" i="20" s="1"/>
  <c r="FC47" i="20" s="1"/>
  <c r="FD47" i="20" s="1"/>
  <c r="FE47" i="20" s="1"/>
  <c r="FF47" i="20" s="1"/>
  <c r="FG47" i="20" s="1"/>
  <c r="FH47" i="20" s="1"/>
  <c r="FI47" i="20" s="1"/>
  <c r="FJ47" i="20" s="1"/>
  <c r="FK47" i="20" s="1"/>
  <c r="FL47" i="20" s="1"/>
  <c r="FM47" i="20" s="1"/>
  <c r="FN47" i="20" s="1"/>
  <c r="FO47" i="20" s="1"/>
  <c r="FP47" i="20" s="1"/>
  <c r="FQ47" i="20" s="1"/>
  <c r="FR47" i="20" s="1"/>
  <c r="FS47" i="20" s="1"/>
  <c r="FT47" i="20" s="1"/>
  <c r="FU47" i="20" s="1"/>
  <c r="FV47" i="20" s="1"/>
  <c r="FW47" i="20" s="1"/>
  <c r="FX47" i="20" s="1"/>
  <c r="FY47" i="20" s="1"/>
  <c r="FZ47" i="20" s="1"/>
  <c r="GA47" i="20" s="1"/>
  <c r="GB47" i="20" s="1"/>
  <c r="GC47" i="20" s="1"/>
  <c r="GD47" i="20" s="1"/>
  <c r="GE47" i="20" s="1"/>
  <c r="GF47" i="20" s="1"/>
  <c r="GG47" i="20" s="1"/>
  <c r="GH47" i="20" s="1"/>
  <c r="GI47" i="20" s="1"/>
  <c r="GJ47" i="20" s="1"/>
  <c r="AI20" i="20" l="1"/>
  <c r="AJ20" i="20"/>
  <c r="AK20" i="20"/>
  <c r="AL20" i="20"/>
  <c r="AI22" i="20"/>
  <c r="AJ22" i="20"/>
  <c r="AK22" i="20"/>
  <c r="AL22" i="20"/>
  <c r="AI24" i="20"/>
  <c r="AJ24" i="20"/>
  <c r="AK24" i="20"/>
  <c r="AL24" i="20"/>
  <c r="AI30" i="20"/>
  <c r="AJ30" i="20"/>
  <c r="AK30" i="20"/>
  <c r="AL30" i="20"/>
  <c r="AI32" i="20"/>
  <c r="AJ32" i="20"/>
  <c r="AK32" i="20"/>
  <c r="AL32" i="20"/>
  <c r="AI34" i="20"/>
  <c r="AJ34" i="20"/>
  <c r="AK34" i="20"/>
  <c r="AL34" i="20"/>
  <c r="AI36" i="20"/>
  <c r="AJ36" i="20"/>
  <c r="AK36" i="20"/>
  <c r="AL36" i="20"/>
  <c r="AI38" i="20"/>
  <c r="AJ38" i="20"/>
  <c r="AK38" i="20"/>
  <c r="AL38" i="20"/>
  <c r="AI40" i="20"/>
  <c r="AJ40" i="20"/>
  <c r="AK40" i="20"/>
  <c r="AL40" i="20"/>
  <c r="AI42" i="20"/>
  <c r="AJ42" i="20"/>
  <c r="AK42" i="20"/>
  <c r="AL42" i="20"/>
  <c r="AI44" i="20"/>
  <c r="AJ44" i="20"/>
  <c r="AK44" i="20"/>
  <c r="AL44" i="20"/>
  <c r="AI46" i="20"/>
  <c r="AJ46" i="20"/>
  <c r="AK46" i="20"/>
  <c r="AL46" i="20"/>
  <c r="AI48" i="20"/>
  <c r="AJ48" i="20"/>
  <c r="AK48" i="20"/>
  <c r="AL48" i="20"/>
  <c r="AH48" i="20"/>
  <c r="AH46" i="20"/>
  <c r="AH44" i="20"/>
  <c r="AH42" i="20"/>
  <c r="AH40" i="20"/>
  <c r="AH38" i="20"/>
  <c r="AH36" i="20"/>
  <c r="AH34" i="20"/>
  <c r="AH32" i="20"/>
  <c r="AH30" i="20"/>
  <c r="AH24" i="20"/>
  <c r="AH22" i="20"/>
  <c r="AH20" i="20"/>
  <c r="AQ50" i="20" l="1"/>
  <c r="AM50" i="20"/>
  <c r="AP50" i="20"/>
  <c r="AO50" i="20"/>
  <c r="AI50" i="20"/>
  <c r="AK50" i="20"/>
  <c r="AJ50" i="20"/>
  <c r="AL50" i="20"/>
  <c r="AG48" i="20"/>
  <c r="AG46" i="20"/>
  <c r="AG44" i="20"/>
  <c r="AG42" i="20"/>
  <c r="AG40" i="20"/>
  <c r="AG38" i="20"/>
  <c r="AG36" i="20"/>
  <c r="AG34" i="20"/>
  <c r="AG32" i="20"/>
  <c r="AG30" i="20"/>
  <c r="AG24" i="20"/>
  <c r="AG22" i="20"/>
  <c r="AG20" i="20"/>
  <c r="AF48" i="20"/>
  <c r="AE48" i="20"/>
  <c r="AF46" i="20"/>
  <c r="AE46" i="20"/>
  <c r="AF44" i="20"/>
  <c r="AE44" i="20"/>
  <c r="AF42" i="20"/>
  <c r="AE42" i="20"/>
  <c r="AF40" i="20"/>
  <c r="AE40" i="20"/>
  <c r="AF38" i="20"/>
  <c r="AE38" i="20"/>
  <c r="AF36" i="20"/>
  <c r="AE36" i="20"/>
  <c r="AF34" i="20"/>
  <c r="AE34" i="20"/>
  <c r="AF32" i="20"/>
  <c r="AE32" i="20"/>
  <c r="AF30" i="20"/>
  <c r="AE30" i="20"/>
  <c r="AD20" i="20"/>
  <c r="AD22" i="20"/>
  <c r="AD24" i="20"/>
  <c r="AD30" i="20"/>
  <c r="AD32" i="20"/>
  <c r="AD36" i="20"/>
  <c r="AD38" i="20"/>
  <c r="AD40" i="20"/>
  <c r="AD42" i="20"/>
  <c r="AD44" i="20"/>
  <c r="AD46" i="20"/>
  <c r="AD48" i="20"/>
  <c r="EX49" i="20"/>
  <c r="EY49" i="20" s="1"/>
  <c r="EZ49" i="20" s="1"/>
  <c r="FA49" i="20" s="1"/>
  <c r="FB49" i="20" s="1"/>
  <c r="FC49" i="20" s="1"/>
  <c r="FD49" i="20" s="1"/>
  <c r="FE49" i="20" s="1"/>
  <c r="FF49" i="20" s="1"/>
  <c r="FG49" i="20" s="1"/>
  <c r="FH49" i="20" s="1"/>
  <c r="FI49" i="20" s="1"/>
  <c r="FJ49" i="20" s="1"/>
  <c r="FK49" i="20" s="1"/>
  <c r="FL49" i="20" s="1"/>
  <c r="FM49" i="20" s="1"/>
  <c r="FN49" i="20" s="1"/>
  <c r="FO49" i="20" s="1"/>
  <c r="FP49" i="20" s="1"/>
  <c r="FQ49" i="20" s="1"/>
  <c r="FR49" i="20" s="1"/>
  <c r="FS49" i="20" s="1"/>
  <c r="FT49" i="20" s="1"/>
  <c r="FU49" i="20" s="1"/>
  <c r="FV49" i="20" s="1"/>
  <c r="FW49" i="20" s="1"/>
  <c r="FX49" i="20" s="1"/>
  <c r="FY49" i="20" s="1"/>
  <c r="FZ49" i="20" s="1"/>
  <c r="GA49" i="20" s="1"/>
  <c r="EX45" i="20"/>
  <c r="EY45" i="20" s="1"/>
  <c r="EZ45" i="20" s="1"/>
  <c r="FA45" i="20" s="1"/>
  <c r="FB45" i="20" s="1"/>
  <c r="FC45" i="20" s="1"/>
  <c r="FD45" i="20" s="1"/>
  <c r="FE45" i="20" s="1"/>
  <c r="FF45" i="20" s="1"/>
  <c r="FG45" i="20" s="1"/>
  <c r="FH45" i="20" s="1"/>
  <c r="FI45" i="20" s="1"/>
  <c r="FJ45" i="20" s="1"/>
  <c r="FK45" i="20" s="1"/>
  <c r="FL45" i="20" s="1"/>
  <c r="FM45" i="20" s="1"/>
  <c r="FN45" i="20" s="1"/>
  <c r="FO45" i="20" s="1"/>
  <c r="FP45" i="20" s="1"/>
  <c r="FQ45" i="20" s="1"/>
  <c r="FR45" i="20" s="1"/>
  <c r="FS45" i="20" s="1"/>
  <c r="FT45" i="20" s="1"/>
  <c r="FU45" i="20" s="1"/>
  <c r="FV45" i="20" s="1"/>
  <c r="FW45" i="20" s="1"/>
  <c r="FX45" i="20" s="1"/>
  <c r="FY45" i="20" s="1"/>
  <c r="FZ45" i="20" s="1"/>
  <c r="GA45" i="20" s="1"/>
  <c r="EX43" i="20"/>
  <c r="EY43" i="20" s="1"/>
  <c r="EZ43" i="20" s="1"/>
  <c r="FA43" i="20" s="1"/>
  <c r="FB43" i="20" s="1"/>
  <c r="FC43" i="20" s="1"/>
  <c r="FD43" i="20" s="1"/>
  <c r="FE43" i="20" s="1"/>
  <c r="FF43" i="20" s="1"/>
  <c r="FG43" i="20" s="1"/>
  <c r="FH43" i="20" s="1"/>
  <c r="FI43" i="20" s="1"/>
  <c r="FJ43" i="20" s="1"/>
  <c r="FK43" i="20" s="1"/>
  <c r="FL43" i="20" s="1"/>
  <c r="FM43" i="20" s="1"/>
  <c r="FN43" i="20" s="1"/>
  <c r="FO43" i="20" s="1"/>
  <c r="FP43" i="20" s="1"/>
  <c r="FQ43" i="20" s="1"/>
  <c r="FR43" i="20" s="1"/>
  <c r="FS43" i="20" s="1"/>
  <c r="FT43" i="20" s="1"/>
  <c r="FU43" i="20" s="1"/>
  <c r="FV43" i="20" s="1"/>
  <c r="FW43" i="20" s="1"/>
  <c r="FX43" i="20" s="1"/>
  <c r="FY43" i="20" s="1"/>
  <c r="FZ43" i="20" s="1"/>
  <c r="GA43" i="20" s="1"/>
  <c r="EX41" i="20"/>
  <c r="EY41" i="20" s="1"/>
  <c r="EZ41" i="20" s="1"/>
  <c r="FA41" i="20" s="1"/>
  <c r="FB41" i="20" s="1"/>
  <c r="FC41" i="20" s="1"/>
  <c r="FD41" i="20" s="1"/>
  <c r="FE41" i="20" s="1"/>
  <c r="FF41" i="20" s="1"/>
  <c r="FG41" i="20" s="1"/>
  <c r="FH41" i="20" s="1"/>
  <c r="FI41" i="20" s="1"/>
  <c r="FJ41" i="20" s="1"/>
  <c r="FK41" i="20" s="1"/>
  <c r="FL41" i="20" s="1"/>
  <c r="FM41" i="20" s="1"/>
  <c r="FN41" i="20" s="1"/>
  <c r="FO41" i="20" s="1"/>
  <c r="FP41" i="20" s="1"/>
  <c r="FQ41" i="20" s="1"/>
  <c r="FR41" i="20" s="1"/>
  <c r="FS41" i="20" s="1"/>
  <c r="FT41" i="20" s="1"/>
  <c r="FU41" i="20" s="1"/>
  <c r="FV41" i="20" s="1"/>
  <c r="FW41" i="20" s="1"/>
  <c r="FX41" i="20" s="1"/>
  <c r="FY41" i="20" s="1"/>
  <c r="FZ41" i="20" s="1"/>
  <c r="GA41" i="20" s="1"/>
  <c r="EX39" i="20"/>
  <c r="EY39" i="20" s="1"/>
  <c r="EZ39" i="20" s="1"/>
  <c r="FA39" i="20" s="1"/>
  <c r="FB39" i="20" s="1"/>
  <c r="FC39" i="20" s="1"/>
  <c r="FD39" i="20" s="1"/>
  <c r="FE39" i="20" s="1"/>
  <c r="FF39" i="20" s="1"/>
  <c r="FG39" i="20" s="1"/>
  <c r="FH39" i="20" s="1"/>
  <c r="FI39" i="20" s="1"/>
  <c r="FJ39" i="20" s="1"/>
  <c r="FK39" i="20" s="1"/>
  <c r="FL39" i="20" s="1"/>
  <c r="FM39" i="20" s="1"/>
  <c r="FN39" i="20" s="1"/>
  <c r="FO39" i="20" s="1"/>
  <c r="FP39" i="20" s="1"/>
  <c r="FQ39" i="20" s="1"/>
  <c r="FR39" i="20" s="1"/>
  <c r="FS39" i="20" s="1"/>
  <c r="FT39" i="20" s="1"/>
  <c r="FU39" i="20" s="1"/>
  <c r="FV39" i="20" s="1"/>
  <c r="FW39" i="20" s="1"/>
  <c r="FX39" i="20" s="1"/>
  <c r="FY39" i="20" s="1"/>
  <c r="FZ39" i="20" s="1"/>
  <c r="GA39" i="20" s="1"/>
  <c r="EX37" i="20"/>
  <c r="EY37" i="20" s="1"/>
  <c r="EZ37" i="20" s="1"/>
  <c r="FA37" i="20" s="1"/>
  <c r="FB37" i="20" s="1"/>
  <c r="FC37" i="20" s="1"/>
  <c r="FD37" i="20" s="1"/>
  <c r="FE37" i="20" s="1"/>
  <c r="FF37" i="20" s="1"/>
  <c r="FG37" i="20" s="1"/>
  <c r="FH37" i="20" s="1"/>
  <c r="FI37" i="20" s="1"/>
  <c r="FJ37" i="20" s="1"/>
  <c r="FK37" i="20" s="1"/>
  <c r="FL37" i="20" s="1"/>
  <c r="FM37" i="20" s="1"/>
  <c r="FN37" i="20" s="1"/>
  <c r="FO37" i="20" s="1"/>
  <c r="FP37" i="20" s="1"/>
  <c r="FQ37" i="20" s="1"/>
  <c r="FR37" i="20" s="1"/>
  <c r="FS37" i="20" s="1"/>
  <c r="FT37" i="20" s="1"/>
  <c r="FU37" i="20" s="1"/>
  <c r="FV37" i="20" s="1"/>
  <c r="FW37" i="20" s="1"/>
  <c r="FX37" i="20" s="1"/>
  <c r="FY37" i="20" s="1"/>
  <c r="FZ37" i="20" s="1"/>
  <c r="GA37" i="20" s="1"/>
  <c r="EX35" i="20"/>
  <c r="EY35" i="20" s="1"/>
  <c r="EZ35" i="20" s="1"/>
  <c r="FA35" i="20" s="1"/>
  <c r="FB35" i="20" s="1"/>
  <c r="FC35" i="20" s="1"/>
  <c r="FD35" i="20" s="1"/>
  <c r="FE35" i="20" s="1"/>
  <c r="FF35" i="20" s="1"/>
  <c r="FG35" i="20" s="1"/>
  <c r="FH35" i="20" s="1"/>
  <c r="FI35" i="20" s="1"/>
  <c r="FJ35" i="20" s="1"/>
  <c r="FK35" i="20" s="1"/>
  <c r="FL35" i="20" s="1"/>
  <c r="FM35" i="20" s="1"/>
  <c r="FN35" i="20" s="1"/>
  <c r="FO35" i="20" s="1"/>
  <c r="FP35" i="20" s="1"/>
  <c r="FQ35" i="20" s="1"/>
  <c r="FR35" i="20" s="1"/>
  <c r="FS35" i="20" s="1"/>
  <c r="FT35" i="20" s="1"/>
  <c r="FU35" i="20" s="1"/>
  <c r="FV35" i="20" s="1"/>
  <c r="FW35" i="20" s="1"/>
  <c r="FX35" i="20" s="1"/>
  <c r="FY35" i="20" s="1"/>
  <c r="FZ35" i="20" s="1"/>
  <c r="GA35" i="20" s="1"/>
  <c r="EX33" i="20"/>
  <c r="EY33" i="20" s="1"/>
  <c r="EZ33" i="20" s="1"/>
  <c r="FA33" i="20" s="1"/>
  <c r="FB33" i="20" s="1"/>
  <c r="FC33" i="20" s="1"/>
  <c r="FD33" i="20" s="1"/>
  <c r="FE33" i="20" s="1"/>
  <c r="FF33" i="20" s="1"/>
  <c r="FG33" i="20" s="1"/>
  <c r="FH33" i="20" s="1"/>
  <c r="FI33" i="20" s="1"/>
  <c r="FJ33" i="20" s="1"/>
  <c r="FK33" i="20" s="1"/>
  <c r="FL33" i="20" s="1"/>
  <c r="FM33" i="20" s="1"/>
  <c r="FN33" i="20" s="1"/>
  <c r="FO33" i="20" s="1"/>
  <c r="FP33" i="20" s="1"/>
  <c r="FQ33" i="20" s="1"/>
  <c r="FR33" i="20" s="1"/>
  <c r="FS33" i="20" s="1"/>
  <c r="FT33" i="20" s="1"/>
  <c r="FU33" i="20" s="1"/>
  <c r="FV33" i="20" s="1"/>
  <c r="FW33" i="20" s="1"/>
  <c r="FX33" i="20" s="1"/>
  <c r="FY33" i="20" s="1"/>
  <c r="FZ33" i="20" s="1"/>
  <c r="GA33" i="20" s="1"/>
  <c r="EX31" i="20"/>
  <c r="EY31" i="20" s="1"/>
  <c r="EZ31" i="20" s="1"/>
  <c r="FA31" i="20" s="1"/>
  <c r="FB31" i="20" s="1"/>
  <c r="FC31" i="20" s="1"/>
  <c r="FD31" i="20" s="1"/>
  <c r="FE31" i="20" s="1"/>
  <c r="FF31" i="20" s="1"/>
  <c r="FG31" i="20" s="1"/>
  <c r="FH31" i="20" s="1"/>
  <c r="FI31" i="20" s="1"/>
  <c r="FJ31" i="20" s="1"/>
  <c r="FK31" i="20" s="1"/>
  <c r="FL31" i="20" s="1"/>
  <c r="FM31" i="20" s="1"/>
  <c r="FN31" i="20" s="1"/>
  <c r="FO31" i="20" s="1"/>
  <c r="FP31" i="20" s="1"/>
  <c r="FQ31" i="20" s="1"/>
  <c r="FR31" i="20" s="1"/>
  <c r="FS31" i="20" s="1"/>
  <c r="FT31" i="20" s="1"/>
  <c r="FU31" i="20" s="1"/>
  <c r="FV31" i="20" s="1"/>
  <c r="FW31" i="20" s="1"/>
  <c r="FX31" i="20" s="1"/>
  <c r="FY31" i="20" s="1"/>
  <c r="FZ31" i="20" s="1"/>
  <c r="GA31" i="20" s="1"/>
  <c r="AC40" i="20"/>
  <c r="AC41" i="20" s="1"/>
  <c r="AC38" i="20"/>
  <c r="AC39" i="20" s="1"/>
  <c r="AC36" i="20"/>
  <c r="AC37" i="20" s="1"/>
  <c r="AC32" i="20"/>
  <c r="AC33" i="20" s="1"/>
  <c r="AC30" i="20"/>
  <c r="AC31" i="20" s="1"/>
  <c r="AF24" i="20"/>
  <c r="AE24" i="20"/>
  <c r="AC24" i="20"/>
  <c r="AF22" i="20"/>
  <c r="AE22" i="20"/>
  <c r="AC22" i="20"/>
  <c r="AF20" i="20"/>
  <c r="AE20" i="20"/>
  <c r="AC20" i="20"/>
  <c r="AH46" i="17"/>
  <c r="AG46" i="17"/>
  <c r="AF46" i="17"/>
  <c r="AH44" i="17"/>
  <c r="AG44" i="17"/>
  <c r="AF44" i="17"/>
  <c r="AH42" i="17"/>
  <c r="AG42" i="17"/>
  <c r="AF42" i="17"/>
  <c r="AH40" i="17"/>
  <c r="AG40" i="17"/>
  <c r="AF40" i="17"/>
  <c r="AH38" i="17"/>
  <c r="AG38" i="17"/>
  <c r="AF38" i="17"/>
  <c r="AH36" i="17"/>
  <c r="AG36" i="17"/>
  <c r="AF36" i="17"/>
  <c r="AH34" i="17"/>
  <c r="AG34" i="17"/>
  <c r="AF34" i="17"/>
  <c r="AH32" i="17"/>
  <c r="AG32" i="17"/>
  <c r="AF32" i="17"/>
  <c r="AH30" i="17"/>
  <c r="AG30" i="17"/>
  <c r="AF30" i="17"/>
  <c r="AH28" i="17"/>
  <c r="AG28" i="17"/>
  <c r="AF28" i="17"/>
  <c r="AH26" i="17"/>
  <c r="AG26" i="17"/>
  <c r="AF26" i="17"/>
  <c r="AH24" i="17"/>
  <c r="AG24" i="17"/>
  <c r="AF24" i="17"/>
  <c r="AH22" i="17"/>
  <c r="AG22" i="17"/>
  <c r="AF22" i="17"/>
  <c r="AH20" i="17"/>
  <c r="AG20" i="17"/>
  <c r="AF20" i="17"/>
  <c r="AD46" i="17"/>
  <c r="AD44" i="17"/>
  <c r="AD42" i="17"/>
  <c r="AD40" i="17"/>
  <c r="AD38" i="17"/>
  <c r="AD36" i="17"/>
  <c r="AD34" i="17"/>
  <c r="AD32" i="17"/>
  <c r="AD30" i="17"/>
  <c r="AD28" i="17"/>
  <c r="AD26" i="17"/>
  <c r="AD24" i="17"/>
  <c r="AD22" i="17"/>
  <c r="AE46" i="17"/>
  <c r="AE44" i="17"/>
  <c r="AE42" i="17"/>
  <c r="AE40" i="17"/>
  <c r="AE38" i="17"/>
  <c r="AE36" i="17"/>
  <c r="AE34" i="17"/>
  <c r="AE32" i="17"/>
  <c r="AE30" i="17"/>
  <c r="AE28" i="17"/>
  <c r="AE26" i="17"/>
  <c r="AE24" i="17"/>
  <c r="AE22" i="17"/>
  <c r="AE20" i="17"/>
  <c r="AD20" i="17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AC48" i="20"/>
  <c r="AC49" i="20" s="1"/>
  <c r="AC46" i="20"/>
  <c r="AC47" i="20" s="1"/>
  <c r="AC44" i="20"/>
  <c r="AC45" i="20" s="1"/>
  <c r="AC42" i="20"/>
  <c r="AC35" i="20"/>
  <c r="AD35" i="20" s="1"/>
  <c r="DC25" i="20"/>
  <c r="DD25" i="20" s="1"/>
  <c r="DE25" i="20" s="1"/>
  <c r="DF25" i="20" s="1"/>
  <c r="DG25" i="20" s="1"/>
  <c r="DH25" i="20" s="1"/>
  <c r="DI25" i="20" s="1"/>
  <c r="DJ25" i="20" s="1"/>
  <c r="DK25" i="20" s="1"/>
  <c r="DL25" i="20" s="1"/>
  <c r="DM25" i="20" s="1"/>
  <c r="DN25" i="20" s="1"/>
  <c r="DO25" i="20" s="1"/>
  <c r="DP25" i="20" s="1"/>
  <c r="DQ25" i="20" s="1"/>
  <c r="DR25" i="20" s="1"/>
  <c r="DS25" i="20" s="1"/>
  <c r="DT25" i="20" s="1"/>
  <c r="DU25" i="20" s="1"/>
  <c r="DV25" i="20" s="1"/>
  <c r="DW25" i="20" s="1"/>
  <c r="DX25" i="20" s="1"/>
  <c r="DY25" i="20" s="1"/>
  <c r="DZ25" i="20" s="1"/>
  <c r="EA25" i="20" s="1"/>
  <c r="EB25" i="20" s="1"/>
  <c r="EC25" i="20" s="1"/>
  <c r="ED25" i="20" s="1"/>
  <c r="EE25" i="20" s="1"/>
  <c r="EF25" i="20" s="1"/>
  <c r="EG25" i="20" s="1"/>
  <c r="EH25" i="20" s="1"/>
  <c r="EI25" i="20" s="1"/>
  <c r="EJ25" i="20" s="1"/>
  <c r="EK25" i="20" s="1"/>
  <c r="EL25" i="20" s="1"/>
  <c r="EM25" i="20" s="1"/>
  <c r="EN25" i="20" s="1"/>
  <c r="EO25" i="20" s="1"/>
  <c r="EP25" i="20" s="1"/>
  <c r="EQ25" i="20" s="1"/>
  <c r="ER25" i="20" s="1"/>
  <c r="ES25" i="20" s="1"/>
  <c r="ET25" i="20" s="1"/>
  <c r="EU25" i="20" s="1"/>
  <c r="EV25" i="20" s="1"/>
  <c r="EW25" i="20" s="1"/>
  <c r="EX25" i="20" s="1"/>
  <c r="EY25" i="20" s="1"/>
  <c r="EZ25" i="20" s="1"/>
  <c r="FA25" i="20" s="1"/>
  <c r="FB25" i="20" s="1"/>
  <c r="FC25" i="20" s="1"/>
  <c r="FD25" i="20" s="1"/>
  <c r="FE25" i="20" s="1"/>
  <c r="FF25" i="20" s="1"/>
  <c r="FG25" i="20" s="1"/>
  <c r="FH25" i="20" s="1"/>
  <c r="FI25" i="20" s="1"/>
  <c r="FJ25" i="20" s="1"/>
  <c r="FK25" i="20" s="1"/>
  <c r="FL25" i="20" s="1"/>
  <c r="FM25" i="20" s="1"/>
  <c r="FN25" i="20" s="1"/>
  <c r="FO25" i="20" s="1"/>
  <c r="FP25" i="20" s="1"/>
  <c r="FQ25" i="20" s="1"/>
  <c r="FR25" i="20" s="1"/>
  <c r="FS25" i="20" s="1"/>
  <c r="FT25" i="20" s="1"/>
  <c r="FU25" i="20" s="1"/>
  <c r="FV25" i="20" s="1"/>
  <c r="FW25" i="20" s="1"/>
  <c r="FX25" i="20" s="1"/>
  <c r="FY25" i="20" s="1"/>
  <c r="FZ25" i="20" s="1"/>
  <c r="GA25" i="20" s="1"/>
  <c r="BX25" i="20"/>
  <c r="BY25" i="20" s="1"/>
  <c r="BZ25" i="20" s="1"/>
  <c r="CA25" i="20" s="1"/>
  <c r="CB25" i="20" s="1"/>
  <c r="CC25" i="20" s="1"/>
  <c r="CD25" i="20" s="1"/>
  <c r="CE25" i="20" s="1"/>
  <c r="CF25" i="20" s="1"/>
  <c r="CG25" i="20" s="1"/>
  <c r="CH25" i="20" s="1"/>
  <c r="CI25" i="20" s="1"/>
  <c r="CJ25" i="20" s="1"/>
  <c r="CK25" i="20" s="1"/>
  <c r="CL25" i="20" s="1"/>
  <c r="CM25" i="20" s="1"/>
  <c r="CN25" i="20" s="1"/>
  <c r="CO25" i="20" s="1"/>
  <c r="CP25" i="20" s="1"/>
  <c r="CQ25" i="20" s="1"/>
  <c r="CR25" i="20" s="1"/>
  <c r="CS25" i="20" s="1"/>
  <c r="CT25" i="20" s="1"/>
  <c r="CU25" i="20" s="1"/>
  <c r="CV25" i="20" s="1"/>
  <c r="CW25" i="20" s="1"/>
  <c r="CX25" i="20" s="1"/>
  <c r="CY25" i="20" s="1"/>
  <c r="CZ25" i="20" s="1"/>
  <c r="DA25" i="20" s="1"/>
  <c r="BL25" i="20"/>
  <c r="BM25" i="20" s="1"/>
  <c r="BN25" i="20" s="1"/>
  <c r="BO25" i="20" s="1"/>
  <c r="BP25" i="20" s="1"/>
  <c r="BQ25" i="20" s="1"/>
  <c r="BR25" i="20" s="1"/>
  <c r="BS25" i="20" s="1"/>
  <c r="BT25" i="20" s="1"/>
  <c r="BU25" i="20" s="1"/>
  <c r="BV25" i="20" s="1"/>
  <c r="R25" i="20"/>
  <c r="S25" i="20" s="1"/>
  <c r="T25" i="20" s="1"/>
  <c r="U25" i="20" s="1"/>
  <c r="V25" i="20" s="1"/>
  <c r="W25" i="20" s="1"/>
  <c r="X25" i="20" s="1"/>
  <c r="Y25" i="20" s="1"/>
  <c r="Z25" i="20" s="1"/>
  <c r="L25" i="20"/>
  <c r="M25" i="20" s="1"/>
  <c r="N25" i="20" s="1"/>
  <c r="O25" i="20" s="1"/>
  <c r="P25" i="20" s="1"/>
  <c r="I25" i="20"/>
  <c r="J25" i="20" s="1"/>
  <c r="AB24" i="20"/>
  <c r="AA24" i="20"/>
  <c r="BL23" i="20"/>
  <c r="BM23" i="20" s="1"/>
  <c r="BN23" i="20" s="1"/>
  <c r="BO23" i="20" s="1"/>
  <c r="BP23" i="20" s="1"/>
  <c r="BQ23" i="20" s="1"/>
  <c r="BR23" i="20" s="1"/>
  <c r="BS23" i="20" s="1"/>
  <c r="BT23" i="20" s="1"/>
  <c r="BU23" i="20" s="1"/>
  <c r="BV23" i="20" s="1"/>
  <c r="BW23" i="20" s="1"/>
  <c r="BX23" i="20" s="1"/>
  <c r="BY23" i="20" s="1"/>
  <c r="BZ23" i="20" s="1"/>
  <c r="CA23" i="20" s="1"/>
  <c r="CB23" i="20" s="1"/>
  <c r="CC23" i="20" s="1"/>
  <c r="CD23" i="20" s="1"/>
  <c r="CE23" i="20" s="1"/>
  <c r="CF23" i="20" s="1"/>
  <c r="CG23" i="20" s="1"/>
  <c r="CH23" i="20" s="1"/>
  <c r="CI23" i="20" s="1"/>
  <c r="CJ23" i="20" s="1"/>
  <c r="CK23" i="20" s="1"/>
  <c r="CL23" i="20" s="1"/>
  <c r="CM23" i="20" s="1"/>
  <c r="CN23" i="20" s="1"/>
  <c r="CO23" i="20" s="1"/>
  <c r="CP23" i="20" s="1"/>
  <c r="CQ23" i="20" s="1"/>
  <c r="CR23" i="20" s="1"/>
  <c r="CS23" i="20" s="1"/>
  <c r="CT23" i="20" s="1"/>
  <c r="CU23" i="20" s="1"/>
  <c r="CV23" i="20" s="1"/>
  <c r="CW23" i="20" s="1"/>
  <c r="CX23" i="20" s="1"/>
  <c r="CY23" i="20" s="1"/>
  <c r="CZ23" i="20" s="1"/>
  <c r="DA23" i="20" s="1"/>
  <c r="DB23" i="20" s="1"/>
  <c r="DC23" i="20" s="1"/>
  <c r="DD23" i="20" s="1"/>
  <c r="DE23" i="20" s="1"/>
  <c r="DF23" i="20" s="1"/>
  <c r="DG23" i="20" s="1"/>
  <c r="DH23" i="20" s="1"/>
  <c r="DI23" i="20" s="1"/>
  <c r="DJ23" i="20" s="1"/>
  <c r="DK23" i="20" s="1"/>
  <c r="DL23" i="20" s="1"/>
  <c r="DM23" i="20" s="1"/>
  <c r="DN23" i="20" s="1"/>
  <c r="DO23" i="20" s="1"/>
  <c r="DP23" i="20" s="1"/>
  <c r="DQ23" i="20" s="1"/>
  <c r="DR23" i="20" s="1"/>
  <c r="DS23" i="20" s="1"/>
  <c r="DT23" i="20" s="1"/>
  <c r="DU23" i="20" s="1"/>
  <c r="DV23" i="20" s="1"/>
  <c r="DW23" i="20" s="1"/>
  <c r="DX23" i="20" s="1"/>
  <c r="DY23" i="20" s="1"/>
  <c r="DZ23" i="20" s="1"/>
  <c r="EA23" i="20" s="1"/>
  <c r="EB23" i="20" s="1"/>
  <c r="EC23" i="20" s="1"/>
  <c r="ED23" i="20" s="1"/>
  <c r="EE23" i="20" s="1"/>
  <c r="EF23" i="20" s="1"/>
  <c r="EG23" i="20" s="1"/>
  <c r="EH23" i="20" s="1"/>
  <c r="EI23" i="20" s="1"/>
  <c r="EJ23" i="20" s="1"/>
  <c r="EK23" i="20" s="1"/>
  <c r="EL23" i="20" s="1"/>
  <c r="EM23" i="20" s="1"/>
  <c r="EN23" i="20" s="1"/>
  <c r="EO23" i="20" s="1"/>
  <c r="EP23" i="20" s="1"/>
  <c r="EQ23" i="20" s="1"/>
  <c r="ER23" i="20" s="1"/>
  <c r="ES23" i="20" s="1"/>
  <c r="ET23" i="20" s="1"/>
  <c r="EU23" i="20" s="1"/>
  <c r="EV23" i="20" s="1"/>
  <c r="EW23" i="20" s="1"/>
  <c r="EX23" i="20" s="1"/>
  <c r="EY23" i="20" s="1"/>
  <c r="EZ23" i="20" s="1"/>
  <c r="FA23" i="20" s="1"/>
  <c r="FB23" i="20" s="1"/>
  <c r="FC23" i="20" s="1"/>
  <c r="FD23" i="20" s="1"/>
  <c r="FE23" i="20" s="1"/>
  <c r="FF23" i="20" s="1"/>
  <c r="FG23" i="20" s="1"/>
  <c r="FH23" i="20" s="1"/>
  <c r="FI23" i="20" s="1"/>
  <c r="FJ23" i="20" s="1"/>
  <c r="FK23" i="20" s="1"/>
  <c r="FL23" i="20" s="1"/>
  <c r="FM23" i="20" s="1"/>
  <c r="FN23" i="20" s="1"/>
  <c r="FO23" i="20" s="1"/>
  <c r="FP23" i="20" s="1"/>
  <c r="FQ23" i="20" s="1"/>
  <c r="FR23" i="20" s="1"/>
  <c r="FS23" i="20" s="1"/>
  <c r="FT23" i="20" s="1"/>
  <c r="FU23" i="20" s="1"/>
  <c r="FV23" i="20" s="1"/>
  <c r="FW23" i="20" s="1"/>
  <c r="FX23" i="20" s="1"/>
  <c r="FY23" i="20" s="1"/>
  <c r="FZ23" i="20" s="1"/>
  <c r="GA23" i="20" s="1"/>
  <c r="I23" i="20"/>
  <c r="J23" i="20" s="1"/>
  <c r="K23" i="20" s="1"/>
  <c r="L23" i="20" s="1"/>
  <c r="M23" i="20" s="1"/>
  <c r="N23" i="20" s="1"/>
  <c r="O23" i="20" s="1"/>
  <c r="P23" i="20" s="1"/>
  <c r="Q23" i="20" s="1"/>
  <c r="R23" i="20" s="1"/>
  <c r="S23" i="20" s="1"/>
  <c r="T23" i="20" s="1"/>
  <c r="U23" i="20" s="1"/>
  <c r="V23" i="20" s="1"/>
  <c r="W23" i="20" s="1"/>
  <c r="X23" i="20" s="1"/>
  <c r="Y23" i="20" s="1"/>
  <c r="Z23" i="20" s="1"/>
  <c r="AB22" i="20"/>
  <c r="AA22" i="20"/>
  <c r="BL21" i="20"/>
  <c r="BM21" i="20" s="1"/>
  <c r="BN21" i="20" s="1"/>
  <c r="BO21" i="20" s="1"/>
  <c r="BP21" i="20" s="1"/>
  <c r="BQ21" i="20" s="1"/>
  <c r="BR21" i="20" s="1"/>
  <c r="BS21" i="20" s="1"/>
  <c r="BT21" i="20" s="1"/>
  <c r="BU21" i="20" s="1"/>
  <c r="BV21" i="20" s="1"/>
  <c r="BW21" i="20" s="1"/>
  <c r="BX21" i="20" s="1"/>
  <c r="BY21" i="20" s="1"/>
  <c r="BZ21" i="20" s="1"/>
  <c r="CA21" i="20" s="1"/>
  <c r="CB21" i="20" s="1"/>
  <c r="CC21" i="20" s="1"/>
  <c r="CD21" i="20" s="1"/>
  <c r="CE21" i="20" s="1"/>
  <c r="CF21" i="20" s="1"/>
  <c r="CG21" i="20" s="1"/>
  <c r="CH21" i="20" s="1"/>
  <c r="CI21" i="20" s="1"/>
  <c r="CJ21" i="20" s="1"/>
  <c r="CK21" i="20" s="1"/>
  <c r="CL21" i="20" s="1"/>
  <c r="CM21" i="20" s="1"/>
  <c r="CN21" i="20" s="1"/>
  <c r="CO21" i="20" s="1"/>
  <c r="CP21" i="20" s="1"/>
  <c r="CQ21" i="20" s="1"/>
  <c r="CR21" i="20" s="1"/>
  <c r="CS21" i="20" s="1"/>
  <c r="CT21" i="20" s="1"/>
  <c r="CU21" i="20" s="1"/>
  <c r="CV21" i="20" s="1"/>
  <c r="CW21" i="20" s="1"/>
  <c r="CX21" i="20" s="1"/>
  <c r="CY21" i="20" s="1"/>
  <c r="CZ21" i="20" s="1"/>
  <c r="DA21" i="20" s="1"/>
  <c r="DB21" i="20" s="1"/>
  <c r="DC21" i="20" s="1"/>
  <c r="DD21" i="20" s="1"/>
  <c r="DE21" i="20" s="1"/>
  <c r="DF21" i="20" s="1"/>
  <c r="DG21" i="20" s="1"/>
  <c r="DH21" i="20" s="1"/>
  <c r="DI21" i="20" s="1"/>
  <c r="DJ21" i="20" s="1"/>
  <c r="DK21" i="20" s="1"/>
  <c r="DL21" i="20" s="1"/>
  <c r="DM21" i="20" s="1"/>
  <c r="DN21" i="20" s="1"/>
  <c r="DO21" i="20" s="1"/>
  <c r="DP21" i="20" s="1"/>
  <c r="DQ21" i="20" s="1"/>
  <c r="DR21" i="20" s="1"/>
  <c r="DS21" i="20" s="1"/>
  <c r="DT21" i="20" s="1"/>
  <c r="DU21" i="20" s="1"/>
  <c r="DV21" i="20" s="1"/>
  <c r="DW21" i="20" s="1"/>
  <c r="DX21" i="20" s="1"/>
  <c r="DY21" i="20" s="1"/>
  <c r="DZ21" i="20" s="1"/>
  <c r="EA21" i="20" s="1"/>
  <c r="EB21" i="20" s="1"/>
  <c r="EC21" i="20" s="1"/>
  <c r="ED21" i="20" s="1"/>
  <c r="EE21" i="20" s="1"/>
  <c r="EF21" i="20" s="1"/>
  <c r="EG21" i="20" s="1"/>
  <c r="EH21" i="20" s="1"/>
  <c r="EI21" i="20" s="1"/>
  <c r="EJ21" i="20" s="1"/>
  <c r="EK21" i="20" s="1"/>
  <c r="EL21" i="20" s="1"/>
  <c r="EM21" i="20" s="1"/>
  <c r="EN21" i="20" s="1"/>
  <c r="EO21" i="20" s="1"/>
  <c r="EP21" i="20" s="1"/>
  <c r="EQ21" i="20" s="1"/>
  <c r="ER21" i="20" s="1"/>
  <c r="ES21" i="20" s="1"/>
  <c r="ET21" i="20" s="1"/>
  <c r="EU21" i="20" s="1"/>
  <c r="EV21" i="20" s="1"/>
  <c r="EW21" i="20" s="1"/>
  <c r="EX21" i="20" s="1"/>
  <c r="EY21" i="20" s="1"/>
  <c r="EZ21" i="20" s="1"/>
  <c r="FA21" i="20" s="1"/>
  <c r="FB21" i="20" s="1"/>
  <c r="FC21" i="20" s="1"/>
  <c r="FD21" i="20" s="1"/>
  <c r="FE21" i="20" s="1"/>
  <c r="FF21" i="20" s="1"/>
  <c r="FG21" i="20" s="1"/>
  <c r="FH21" i="20" s="1"/>
  <c r="FI21" i="20" s="1"/>
  <c r="FJ21" i="20" s="1"/>
  <c r="FK21" i="20" s="1"/>
  <c r="FL21" i="20" s="1"/>
  <c r="FM21" i="20" s="1"/>
  <c r="FN21" i="20" s="1"/>
  <c r="FO21" i="20" s="1"/>
  <c r="FP21" i="20" s="1"/>
  <c r="FQ21" i="20" s="1"/>
  <c r="FR21" i="20" s="1"/>
  <c r="FS21" i="20" s="1"/>
  <c r="FT21" i="20" s="1"/>
  <c r="FU21" i="20" s="1"/>
  <c r="FV21" i="20" s="1"/>
  <c r="FW21" i="20" s="1"/>
  <c r="FX21" i="20" s="1"/>
  <c r="FY21" i="20" s="1"/>
  <c r="FZ21" i="20" s="1"/>
  <c r="GA21" i="20" s="1"/>
  <c r="I21" i="20"/>
  <c r="AB20" i="20"/>
  <c r="AA20" i="20"/>
  <c r="BL18" i="20"/>
  <c r="BM18" i="20" s="1"/>
  <c r="BN18" i="20" s="1"/>
  <c r="BO18" i="20" s="1"/>
  <c r="BP18" i="20" s="1"/>
  <c r="BQ18" i="20" s="1"/>
  <c r="BR18" i="20" s="1"/>
  <c r="BS18" i="20" s="1"/>
  <c r="BT18" i="20" s="1"/>
  <c r="BU18" i="20" s="1"/>
  <c r="BV18" i="20" s="1"/>
  <c r="BW18" i="20" s="1"/>
  <c r="BX18" i="20" s="1"/>
  <c r="BY18" i="20" s="1"/>
  <c r="BZ18" i="20" s="1"/>
  <c r="CA18" i="20" s="1"/>
  <c r="CB18" i="20" s="1"/>
  <c r="CC18" i="20" s="1"/>
  <c r="CD18" i="20" s="1"/>
  <c r="CE18" i="20" s="1"/>
  <c r="CF18" i="20" s="1"/>
  <c r="CG18" i="20" s="1"/>
  <c r="CH18" i="20" s="1"/>
  <c r="CI18" i="20" s="1"/>
  <c r="CJ18" i="20" s="1"/>
  <c r="CK18" i="20" s="1"/>
  <c r="CL18" i="20" s="1"/>
  <c r="CM18" i="20" s="1"/>
  <c r="CN18" i="20" s="1"/>
  <c r="CO18" i="20" s="1"/>
  <c r="CP18" i="20" s="1"/>
  <c r="CQ18" i="20" s="1"/>
  <c r="CR18" i="20" s="1"/>
  <c r="CS18" i="20" s="1"/>
  <c r="CT18" i="20" s="1"/>
  <c r="CU18" i="20" s="1"/>
  <c r="CV18" i="20" s="1"/>
  <c r="CW18" i="20" s="1"/>
  <c r="CX18" i="20" s="1"/>
  <c r="CY18" i="20" s="1"/>
  <c r="CZ18" i="20" s="1"/>
  <c r="DA18" i="20" s="1"/>
  <c r="DB18" i="20" s="1"/>
  <c r="DC18" i="20" s="1"/>
  <c r="DD18" i="20" s="1"/>
  <c r="DE18" i="20" s="1"/>
  <c r="DF18" i="20" s="1"/>
  <c r="DG18" i="20" s="1"/>
  <c r="DH18" i="20" s="1"/>
  <c r="DI18" i="20" s="1"/>
  <c r="DJ18" i="20" s="1"/>
  <c r="DK18" i="20" s="1"/>
  <c r="DL18" i="20" s="1"/>
  <c r="DM18" i="20" s="1"/>
  <c r="DN18" i="20" s="1"/>
  <c r="DO18" i="20" s="1"/>
  <c r="DP18" i="20" s="1"/>
  <c r="DQ18" i="20" s="1"/>
  <c r="DR18" i="20" s="1"/>
  <c r="DS18" i="20" s="1"/>
  <c r="DT18" i="20" s="1"/>
  <c r="DU18" i="20" s="1"/>
  <c r="DV18" i="20" s="1"/>
  <c r="DW18" i="20" s="1"/>
  <c r="DX18" i="20" s="1"/>
  <c r="DY18" i="20" s="1"/>
  <c r="DZ18" i="20" s="1"/>
  <c r="EA18" i="20" s="1"/>
  <c r="EB18" i="20" s="1"/>
  <c r="EC18" i="20" s="1"/>
  <c r="ED18" i="20" s="1"/>
  <c r="EE18" i="20" s="1"/>
  <c r="EF18" i="20" s="1"/>
  <c r="EG18" i="20" s="1"/>
  <c r="EH18" i="20" s="1"/>
  <c r="EI18" i="20" s="1"/>
  <c r="EJ18" i="20" s="1"/>
  <c r="EK18" i="20" s="1"/>
  <c r="EL18" i="20" s="1"/>
  <c r="EM18" i="20" s="1"/>
  <c r="EN18" i="20" s="1"/>
  <c r="EO18" i="20" s="1"/>
  <c r="EP18" i="20" s="1"/>
  <c r="EQ18" i="20" s="1"/>
  <c r="ER18" i="20" s="1"/>
  <c r="ES18" i="20" s="1"/>
  <c r="ET18" i="20" s="1"/>
  <c r="EU18" i="20" s="1"/>
  <c r="EV18" i="20" s="1"/>
  <c r="EW18" i="20" s="1"/>
  <c r="EX18" i="20" s="1"/>
  <c r="EY18" i="20" s="1"/>
  <c r="EZ18" i="20" s="1"/>
  <c r="FA18" i="20" s="1"/>
  <c r="FB18" i="20" s="1"/>
  <c r="FC18" i="20" s="1"/>
  <c r="FD18" i="20" s="1"/>
  <c r="FE18" i="20" s="1"/>
  <c r="FF18" i="20" s="1"/>
  <c r="FG18" i="20" s="1"/>
  <c r="FH18" i="20" s="1"/>
  <c r="FI18" i="20" s="1"/>
  <c r="FJ18" i="20" s="1"/>
  <c r="FK18" i="20" s="1"/>
  <c r="FL18" i="20" s="1"/>
  <c r="FM18" i="20" s="1"/>
  <c r="FN18" i="20" s="1"/>
  <c r="FO18" i="20" s="1"/>
  <c r="FP18" i="20" s="1"/>
  <c r="FQ18" i="20" s="1"/>
  <c r="FR18" i="20" s="1"/>
  <c r="FS18" i="20" s="1"/>
  <c r="FT18" i="20" s="1"/>
  <c r="FU18" i="20" s="1"/>
  <c r="FV18" i="20" s="1"/>
  <c r="FW18" i="20" s="1"/>
  <c r="FX18" i="20" s="1"/>
  <c r="FY18" i="20" s="1"/>
  <c r="FZ18" i="20" s="1"/>
  <c r="GA18" i="20" s="1"/>
  <c r="GB18" i="20" s="1"/>
  <c r="GC18" i="20" s="1"/>
  <c r="GD18" i="20" s="1"/>
  <c r="GE18" i="20" s="1"/>
  <c r="GF18" i="20" s="1"/>
  <c r="GG18" i="20" s="1"/>
  <c r="GH18" i="20" s="1"/>
  <c r="GI18" i="20" s="1"/>
  <c r="GJ18" i="20" s="1"/>
  <c r="GK18" i="20" s="1"/>
  <c r="GL18" i="20" s="1"/>
  <c r="GM18" i="20" s="1"/>
  <c r="GN18" i="20" s="1"/>
  <c r="GO18" i="20" s="1"/>
  <c r="GP18" i="20" s="1"/>
  <c r="GQ18" i="20" s="1"/>
  <c r="GR18" i="20" s="1"/>
  <c r="GS18" i="20" s="1"/>
  <c r="GT18" i="20" s="1"/>
  <c r="GU18" i="20" s="1"/>
  <c r="GV18" i="20" s="1"/>
  <c r="GW18" i="20" s="1"/>
  <c r="GX18" i="20" s="1"/>
  <c r="GY18" i="20" s="1"/>
  <c r="GZ18" i="20" s="1"/>
  <c r="HA18" i="20" s="1"/>
  <c r="HB18" i="20" s="1"/>
  <c r="HC18" i="20" s="1"/>
  <c r="HD18" i="20" s="1"/>
  <c r="HE18" i="20" s="1"/>
  <c r="HF18" i="20" s="1"/>
  <c r="HG18" i="20" s="1"/>
  <c r="HH18" i="20" s="1"/>
  <c r="HI18" i="20" s="1"/>
  <c r="HJ18" i="20" s="1"/>
  <c r="BL17" i="20"/>
  <c r="BM17" i="20" s="1"/>
  <c r="BN17" i="20" s="1"/>
  <c r="BO17" i="20" s="1"/>
  <c r="BP17" i="20" s="1"/>
  <c r="BQ17" i="20" s="1"/>
  <c r="BR17" i="20" s="1"/>
  <c r="BS17" i="20" s="1"/>
  <c r="BT17" i="20" s="1"/>
  <c r="BU17" i="20" s="1"/>
  <c r="BV17" i="20" s="1"/>
  <c r="BW17" i="20" s="1"/>
  <c r="BX17" i="20" s="1"/>
  <c r="BY17" i="20" s="1"/>
  <c r="BZ17" i="20" s="1"/>
  <c r="CA17" i="20" s="1"/>
  <c r="CB17" i="20" s="1"/>
  <c r="CC17" i="20" s="1"/>
  <c r="CD17" i="20" s="1"/>
  <c r="CE17" i="20" s="1"/>
  <c r="CF17" i="20" s="1"/>
  <c r="CG17" i="20" s="1"/>
  <c r="CH17" i="20" s="1"/>
  <c r="CI17" i="20" s="1"/>
  <c r="CJ17" i="20" s="1"/>
  <c r="CK17" i="20" s="1"/>
  <c r="CL17" i="20" s="1"/>
  <c r="CM17" i="20" s="1"/>
  <c r="CN17" i="20" s="1"/>
  <c r="CO17" i="20" s="1"/>
  <c r="CP17" i="20" s="1"/>
  <c r="CQ17" i="20" s="1"/>
  <c r="CR17" i="20" s="1"/>
  <c r="CS17" i="20" s="1"/>
  <c r="CT17" i="20" s="1"/>
  <c r="CU17" i="20" s="1"/>
  <c r="CV17" i="20" s="1"/>
  <c r="CW17" i="20" s="1"/>
  <c r="CX17" i="20" s="1"/>
  <c r="CY17" i="20" s="1"/>
  <c r="CZ17" i="20" s="1"/>
  <c r="DA17" i="20" s="1"/>
  <c r="DB17" i="20" s="1"/>
  <c r="DC17" i="20" s="1"/>
  <c r="DD17" i="20" s="1"/>
  <c r="DE17" i="20" s="1"/>
  <c r="DF17" i="20" s="1"/>
  <c r="DG17" i="20" s="1"/>
  <c r="DH17" i="20" s="1"/>
  <c r="DI17" i="20" s="1"/>
  <c r="DJ17" i="20" s="1"/>
  <c r="DK17" i="20" s="1"/>
  <c r="DL17" i="20" s="1"/>
  <c r="DM17" i="20" s="1"/>
  <c r="DN17" i="20" s="1"/>
  <c r="DO17" i="20" s="1"/>
  <c r="DP17" i="20" s="1"/>
  <c r="DQ17" i="20" s="1"/>
  <c r="DR17" i="20" s="1"/>
  <c r="DS17" i="20" s="1"/>
  <c r="DT17" i="20" s="1"/>
  <c r="DU17" i="20" s="1"/>
  <c r="DV17" i="20" s="1"/>
  <c r="DW17" i="20" s="1"/>
  <c r="DX17" i="20" s="1"/>
  <c r="DY17" i="20" s="1"/>
  <c r="DZ17" i="20" s="1"/>
  <c r="EA17" i="20" s="1"/>
  <c r="EB17" i="20" s="1"/>
  <c r="EC17" i="20" s="1"/>
  <c r="ED17" i="20" s="1"/>
  <c r="EE17" i="20" s="1"/>
  <c r="EF17" i="20" s="1"/>
  <c r="EG17" i="20" s="1"/>
  <c r="EH17" i="20" s="1"/>
  <c r="EI17" i="20" s="1"/>
  <c r="EJ17" i="20" s="1"/>
  <c r="EK17" i="20" s="1"/>
  <c r="EL17" i="20" s="1"/>
  <c r="EM17" i="20" s="1"/>
  <c r="EN17" i="20" s="1"/>
  <c r="EO17" i="20" s="1"/>
  <c r="EP17" i="20" s="1"/>
  <c r="EQ17" i="20" s="1"/>
  <c r="ER17" i="20" s="1"/>
  <c r="ES17" i="20" s="1"/>
  <c r="ET17" i="20" s="1"/>
  <c r="EU17" i="20" s="1"/>
  <c r="EV17" i="20" s="1"/>
  <c r="EW17" i="20" s="1"/>
  <c r="EX17" i="20" s="1"/>
  <c r="EY17" i="20" s="1"/>
  <c r="EZ17" i="20" s="1"/>
  <c r="FA17" i="20" s="1"/>
  <c r="FB17" i="20" s="1"/>
  <c r="FC17" i="20" s="1"/>
  <c r="FD17" i="20" s="1"/>
  <c r="FE17" i="20" s="1"/>
  <c r="FF17" i="20" s="1"/>
  <c r="FG17" i="20" s="1"/>
  <c r="FH17" i="20" s="1"/>
  <c r="FI17" i="20" s="1"/>
  <c r="FJ17" i="20" s="1"/>
  <c r="FK17" i="20" s="1"/>
  <c r="FL17" i="20" s="1"/>
  <c r="FM17" i="20" s="1"/>
  <c r="FN17" i="20" s="1"/>
  <c r="FO17" i="20" s="1"/>
  <c r="FP17" i="20" s="1"/>
  <c r="FQ17" i="20" s="1"/>
  <c r="FR17" i="20" s="1"/>
  <c r="FS17" i="20" s="1"/>
  <c r="FT17" i="20" s="1"/>
  <c r="FU17" i="20" s="1"/>
  <c r="FV17" i="20" s="1"/>
  <c r="FW17" i="20" s="1"/>
  <c r="FX17" i="20" s="1"/>
  <c r="FY17" i="20" s="1"/>
  <c r="FZ17" i="20" s="1"/>
  <c r="GA17" i="20" s="1"/>
  <c r="GB17" i="20" s="1"/>
  <c r="GC17" i="20" s="1"/>
  <c r="GD17" i="20" s="1"/>
  <c r="GE17" i="20" s="1"/>
  <c r="GF17" i="20" s="1"/>
  <c r="GG17" i="20" s="1"/>
  <c r="GH17" i="20" s="1"/>
  <c r="GI17" i="20" s="1"/>
  <c r="GJ17" i="20" s="1"/>
  <c r="GK17" i="20" s="1"/>
  <c r="GL17" i="20" s="1"/>
  <c r="GM17" i="20" s="1"/>
  <c r="GN17" i="20" s="1"/>
  <c r="GO17" i="20" s="1"/>
  <c r="GP17" i="20" s="1"/>
  <c r="GQ17" i="20" s="1"/>
  <c r="GR17" i="20" s="1"/>
  <c r="GS17" i="20" s="1"/>
  <c r="GT17" i="20" s="1"/>
  <c r="GU17" i="20" s="1"/>
  <c r="GV17" i="20" s="1"/>
  <c r="GW17" i="20" s="1"/>
  <c r="GX17" i="20" s="1"/>
  <c r="GY17" i="20" s="1"/>
  <c r="GZ17" i="20" s="1"/>
  <c r="HA17" i="20" s="1"/>
  <c r="HB17" i="20" s="1"/>
  <c r="HC17" i="20" s="1"/>
  <c r="HD17" i="20" s="1"/>
  <c r="HE17" i="20" s="1"/>
  <c r="HF17" i="20" s="1"/>
  <c r="HG17" i="20" s="1"/>
  <c r="HH17" i="20" s="1"/>
  <c r="HI17" i="20" s="1"/>
  <c r="HJ17" i="20" s="1"/>
  <c r="BL16" i="20"/>
  <c r="BM16" i="20" s="1"/>
  <c r="BN16" i="20" s="1"/>
  <c r="BO16" i="20" s="1"/>
  <c r="BP16" i="20" s="1"/>
  <c r="BQ16" i="20" s="1"/>
  <c r="BR16" i="20" s="1"/>
  <c r="BS16" i="20" s="1"/>
  <c r="BT16" i="20" s="1"/>
  <c r="BU16" i="20" s="1"/>
  <c r="BV16" i="20" s="1"/>
  <c r="BW16" i="20" s="1"/>
  <c r="BX16" i="20" s="1"/>
  <c r="BY16" i="20" s="1"/>
  <c r="BZ16" i="20" s="1"/>
  <c r="CA16" i="20" s="1"/>
  <c r="CB16" i="20" s="1"/>
  <c r="CC16" i="20" s="1"/>
  <c r="CD16" i="20" s="1"/>
  <c r="CE16" i="20" s="1"/>
  <c r="CF16" i="20" s="1"/>
  <c r="CG16" i="20" s="1"/>
  <c r="CH16" i="20" s="1"/>
  <c r="CI16" i="20" s="1"/>
  <c r="CJ16" i="20" s="1"/>
  <c r="CK16" i="20" s="1"/>
  <c r="CL16" i="20" s="1"/>
  <c r="CM16" i="20" s="1"/>
  <c r="CN16" i="20" s="1"/>
  <c r="CO16" i="20" s="1"/>
  <c r="CP16" i="20" s="1"/>
  <c r="CQ16" i="20" s="1"/>
  <c r="CR16" i="20" s="1"/>
  <c r="CS16" i="20" s="1"/>
  <c r="CT16" i="20" s="1"/>
  <c r="CU16" i="20" s="1"/>
  <c r="CV16" i="20" s="1"/>
  <c r="CW16" i="20" s="1"/>
  <c r="CX16" i="20" s="1"/>
  <c r="CY16" i="20" s="1"/>
  <c r="CZ16" i="20" s="1"/>
  <c r="DA16" i="20" s="1"/>
  <c r="DB16" i="20" s="1"/>
  <c r="DC16" i="20" s="1"/>
  <c r="DD16" i="20" s="1"/>
  <c r="DE16" i="20" s="1"/>
  <c r="DF16" i="20" s="1"/>
  <c r="DG16" i="20" s="1"/>
  <c r="DH16" i="20" s="1"/>
  <c r="DI16" i="20" s="1"/>
  <c r="DJ16" i="20" s="1"/>
  <c r="DK16" i="20" s="1"/>
  <c r="DL16" i="20" s="1"/>
  <c r="DM16" i="20" s="1"/>
  <c r="DN16" i="20" s="1"/>
  <c r="DO16" i="20" s="1"/>
  <c r="DP16" i="20" s="1"/>
  <c r="DQ16" i="20" s="1"/>
  <c r="DR16" i="20" s="1"/>
  <c r="DS16" i="20" s="1"/>
  <c r="DT16" i="20" s="1"/>
  <c r="DU16" i="20" s="1"/>
  <c r="DV16" i="20" s="1"/>
  <c r="DW16" i="20" s="1"/>
  <c r="DX16" i="20" s="1"/>
  <c r="DY16" i="20" s="1"/>
  <c r="DZ16" i="20" s="1"/>
  <c r="EA16" i="20" s="1"/>
  <c r="EB16" i="20" s="1"/>
  <c r="EC16" i="20" s="1"/>
  <c r="ED16" i="20" s="1"/>
  <c r="EE16" i="20" s="1"/>
  <c r="EF16" i="20" s="1"/>
  <c r="EG16" i="20" s="1"/>
  <c r="EH16" i="20" s="1"/>
  <c r="EI16" i="20" s="1"/>
  <c r="EJ16" i="20" s="1"/>
  <c r="EK16" i="20" s="1"/>
  <c r="EL16" i="20" s="1"/>
  <c r="EM16" i="20" s="1"/>
  <c r="EN16" i="20" s="1"/>
  <c r="EO16" i="20" s="1"/>
  <c r="EP16" i="20" s="1"/>
  <c r="EQ16" i="20" s="1"/>
  <c r="ER16" i="20" s="1"/>
  <c r="ES16" i="20" s="1"/>
  <c r="ET16" i="20" s="1"/>
  <c r="EU16" i="20" s="1"/>
  <c r="EV16" i="20" s="1"/>
  <c r="EW16" i="20" s="1"/>
  <c r="EX16" i="20" s="1"/>
  <c r="EY16" i="20" s="1"/>
  <c r="EZ16" i="20" s="1"/>
  <c r="FA16" i="20" s="1"/>
  <c r="FB16" i="20" s="1"/>
  <c r="FC16" i="20" s="1"/>
  <c r="FD16" i="20" s="1"/>
  <c r="FE16" i="20" s="1"/>
  <c r="FF16" i="20" s="1"/>
  <c r="FG16" i="20" s="1"/>
  <c r="FH16" i="20" s="1"/>
  <c r="FI16" i="20" s="1"/>
  <c r="FJ16" i="20" s="1"/>
  <c r="FK16" i="20" s="1"/>
  <c r="FL16" i="20" s="1"/>
  <c r="FM16" i="20" s="1"/>
  <c r="FN16" i="20" s="1"/>
  <c r="FO16" i="20" s="1"/>
  <c r="FP16" i="20" s="1"/>
  <c r="FQ16" i="20" s="1"/>
  <c r="FR16" i="20" s="1"/>
  <c r="FS16" i="20" s="1"/>
  <c r="FT16" i="20" s="1"/>
  <c r="FU16" i="20" s="1"/>
  <c r="FV16" i="20" s="1"/>
  <c r="FW16" i="20" s="1"/>
  <c r="FX16" i="20" s="1"/>
  <c r="FY16" i="20" s="1"/>
  <c r="FZ16" i="20" s="1"/>
  <c r="GA16" i="20" s="1"/>
  <c r="GB16" i="20" s="1"/>
  <c r="GC16" i="20" s="1"/>
  <c r="GD16" i="20" s="1"/>
  <c r="GE16" i="20" s="1"/>
  <c r="GF16" i="20" s="1"/>
  <c r="GG16" i="20" s="1"/>
  <c r="GH16" i="20" s="1"/>
  <c r="GI16" i="20" s="1"/>
  <c r="GJ16" i="20" s="1"/>
  <c r="GK16" i="20" s="1"/>
  <c r="GL16" i="20" s="1"/>
  <c r="GM16" i="20" s="1"/>
  <c r="GN16" i="20" s="1"/>
  <c r="GO16" i="20" s="1"/>
  <c r="GP16" i="20" s="1"/>
  <c r="GQ16" i="20" s="1"/>
  <c r="GR16" i="20" s="1"/>
  <c r="GS16" i="20" s="1"/>
  <c r="GT16" i="20" s="1"/>
  <c r="GU16" i="20" s="1"/>
  <c r="GV16" i="20" s="1"/>
  <c r="GW16" i="20" s="1"/>
  <c r="GX16" i="20" s="1"/>
  <c r="GY16" i="20" s="1"/>
  <c r="GZ16" i="20" s="1"/>
  <c r="HA16" i="20" s="1"/>
  <c r="HB16" i="20" s="1"/>
  <c r="HC16" i="20" s="1"/>
  <c r="HD16" i="20" s="1"/>
  <c r="HE16" i="20" s="1"/>
  <c r="HF16" i="20" s="1"/>
  <c r="HG16" i="20" s="1"/>
  <c r="HH16" i="20" s="1"/>
  <c r="HI16" i="20" s="1"/>
  <c r="HJ16" i="20" s="1"/>
  <c r="BL15" i="20"/>
  <c r="BM15" i="20" s="1"/>
  <c r="BN15" i="20" s="1"/>
  <c r="BO15" i="20" s="1"/>
  <c r="BP15" i="20" s="1"/>
  <c r="BQ15" i="20" s="1"/>
  <c r="BR15" i="20" s="1"/>
  <c r="BS15" i="20" s="1"/>
  <c r="BT15" i="20" s="1"/>
  <c r="BU15" i="20" s="1"/>
  <c r="BV15" i="20" s="1"/>
  <c r="BW15" i="20" s="1"/>
  <c r="BX15" i="20" s="1"/>
  <c r="BY15" i="20" s="1"/>
  <c r="BZ15" i="20" s="1"/>
  <c r="CA15" i="20" s="1"/>
  <c r="CB15" i="20" s="1"/>
  <c r="CC15" i="20" s="1"/>
  <c r="CD15" i="20" s="1"/>
  <c r="CE15" i="20" s="1"/>
  <c r="CF15" i="20" s="1"/>
  <c r="CG15" i="20" s="1"/>
  <c r="CH15" i="20" s="1"/>
  <c r="CI15" i="20" s="1"/>
  <c r="CJ15" i="20" s="1"/>
  <c r="CK15" i="20" s="1"/>
  <c r="CL15" i="20" s="1"/>
  <c r="CM15" i="20" s="1"/>
  <c r="CN15" i="20" s="1"/>
  <c r="CO15" i="20" s="1"/>
  <c r="CP15" i="20" s="1"/>
  <c r="CQ15" i="20" s="1"/>
  <c r="CR15" i="20" s="1"/>
  <c r="CS15" i="20" s="1"/>
  <c r="CT15" i="20" s="1"/>
  <c r="CU15" i="20" s="1"/>
  <c r="CV15" i="20" s="1"/>
  <c r="CW15" i="20" s="1"/>
  <c r="CX15" i="20" s="1"/>
  <c r="CY15" i="20" s="1"/>
  <c r="CZ15" i="20" s="1"/>
  <c r="DA15" i="20" s="1"/>
  <c r="DB15" i="20" s="1"/>
  <c r="DC15" i="20" s="1"/>
  <c r="DD15" i="20" s="1"/>
  <c r="DE15" i="20" s="1"/>
  <c r="DF15" i="20" s="1"/>
  <c r="DG15" i="20" s="1"/>
  <c r="DH15" i="20" s="1"/>
  <c r="DI15" i="20" s="1"/>
  <c r="DJ15" i="20" s="1"/>
  <c r="DK15" i="20" s="1"/>
  <c r="DL15" i="20" s="1"/>
  <c r="DM15" i="20" s="1"/>
  <c r="DN15" i="20" s="1"/>
  <c r="DO15" i="20" s="1"/>
  <c r="DP15" i="20" s="1"/>
  <c r="DQ15" i="20" s="1"/>
  <c r="DR15" i="20" s="1"/>
  <c r="DS15" i="20" s="1"/>
  <c r="DT15" i="20" s="1"/>
  <c r="DU15" i="20" s="1"/>
  <c r="DV15" i="20" s="1"/>
  <c r="DW15" i="20" s="1"/>
  <c r="DX15" i="20" s="1"/>
  <c r="DY15" i="20" s="1"/>
  <c r="DZ15" i="20" s="1"/>
  <c r="EA15" i="20" s="1"/>
  <c r="EB15" i="20" s="1"/>
  <c r="EC15" i="20" s="1"/>
  <c r="ED15" i="20" s="1"/>
  <c r="EE15" i="20" s="1"/>
  <c r="EF15" i="20" s="1"/>
  <c r="EG15" i="20" s="1"/>
  <c r="EH15" i="20" s="1"/>
  <c r="EI15" i="20" s="1"/>
  <c r="EJ15" i="20" s="1"/>
  <c r="EK15" i="20" s="1"/>
  <c r="EL15" i="20" s="1"/>
  <c r="EM15" i="20" s="1"/>
  <c r="EN15" i="20" s="1"/>
  <c r="EO15" i="20" s="1"/>
  <c r="EP15" i="20" s="1"/>
  <c r="EQ15" i="20" s="1"/>
  <c r="ER15" i="20" s="1"/>
  <c r="ES15" i="20" s="1"/>
  <c r="ET15" i="20" s="1"/>
  <c r="EU15" i="20" s="1"/>
  <c r="EV15" i="20" s="1"/>
  <c r="EW15" i="20" s="1"/>
  <c r="EX15" i="20" s="1"/>
  <c r="EY15" i="20" s="1"/>
  <c r="EZ15" i="20" s="1"/>
  <c r="FA15" i="20" s="1"/>
  <c r="FB15" i="20" s="1"/>
  <c r="FC15" i="20" s="1"/>
  <c r="FD15" i="20" s="1"/>
  <c r="FE15" i="20" s="1"/>
  <c r="FF15" i="20" s="1"/>
  <c r="FG15" i="20" s="1"/>
  <c r="FH15" i="20" s="1"/>
  <c r="FI15" i="20" s="1"/>
  <c r="FJ15" i="20" s="1"/>
  <c r="FK15" i="20" s="1"/>
  <c r="FL15" i="20" s="1"/>
  <c r="FM15" i="20" s="1"/>
  <c r="FN15" i="20" s="1"/>
  <c r="FO15" i="20" s="1"/>
  <c r="FP15" i="20" s="1"/>
  <c r="FQ15" i="20" s="1"/>
  <c r="FR15" i="20" s="1"/>
  <c r="FS15" i="20" s="1"/>
  <c r="FT15" i="20" s="1"/>
  <c r="FU15" i="20" s="1"/>
  <c r="FV15" i="20" s="1"/>
  <c r="FW15" i="20" s="1"/>
  <c r="FX15" i="20" s="1"/>
  <c r="FY15" i="20" s="1"/>
  <c r="FZ15" i="20" s="1"/>
  <c r="GA15" i="20" s="1"/>
  <c r="GB15" i="20" s="1"/>
  <c r="GC15" i="20" s="1"/>
  <c r="GD15" i="20" s="1"/>
  <c r="GE15" i="20" s="1"/>
  <c r="GF15" i="20" s="1"/>
  <c r="GG15" i="20" s="1"/>
  <c r="GH15" i="20" s="1"/>
  <c r="GI15" i="20" s="1"/>
  <c r="GJ15" i="20" s="1"/>
  <c r="GK15" i="20" s="1"/>
  <c r="GL15" i="20" s="1"/>
  <c r="GM15" i="20" s="1"/>
  <c r="GN15" i="20" s="1"/>
  <c r="GO15" i="20" s="1"/>
  <c r="GP15" i="20" s="1"/>
  <c r="GQ15" i="20" s="1"/>
  <c r="GR15" i="20" s="1"/>
  <c r="GS15" i="20" s="1"/>
  <c r="GT15" i="20" s="1"/>
  <c r="GU15" i="20" s="1"/>
  <c r="GV15" i="20" s="1"/>
  <c r="GW15" i="20" s="1"/>
  <c r="GX15" i="20" s="1"/>
  <c r="GY15" i="20" s="1"/>
  <c r="GZ15" i="20" s="1"/>
  <c r="HA15" i="20" s="1"/>
  <c r="HB15" i="20" s="1"/>
  <c r="HC15" i="20" s="1"/>
  <c r="HD15" i="20" s="1"/>
  <c r="HE15" i="20" s="1"/>
  <c r="HF15" i="20" s="1"/>
  <c r="HG15" i="20" s="1"/>
  <c r="HH15" i="20" s="1"/>
  <c r="HI15" i="20" s="1"/>
  <c r="HJ15" i="20" s="1"/>
  <c r="BK14" i="20"/>
  <c r="EI48" i="17"/>
  <c r="AH48" i="17"/>
  <c r="AG48" i="17"/>
  <c r="EQ48" i="17"/>
  <c r="ER48" i="17"/>
  <c r="ES48" i="17"/>
  <c r="ET48" i="17"/>
  <c r="AC20" i="17"/>
  <c r="AB46" i="17"/>
  <c r="AB44" i="17"/>
  <c r="AB42" i="17"/>
  <c r="AB38" i="17"/>
  <c r="AB36" i="17"/>
  <c r="AB34" i="17"/>
  <c r="AB32" i="17"/>
  <c r="AB30" i="17"/>
  <c r="AB28" i="17"/>
  <c r="AB26" i="17"/>
  <c r="AB24" i="17"/>
  <c r="AB20" i="17"/>
  <c r="AC32" i="17"/>
  <c r="AI14" i="17"/>
  <c r="AJ15" i="17"/>
  <c r="AK15" i="17" s="1"/>
  <c r="AL15" i="17"/>
  <c r="AM15" i="17" s="1"/>
  <c r="AN15" i="17" s="1"/>
  <c r="AO15" i="17" s="1"/>
  <c r="AP15" i="17" s="1"/>
  <c r="AQ15" i="17"/>
  <c r="AR15" i="17" s="1"/>
  <c r="AS15" i="17"/>
  <c r="AT15" i="17" s="1"/>
  <c r="AU15" i="17" s="1"/>
  <c r="AV15" i="17" s="1"/>
  <c r="AW15" i="17" s="1"/>
  <c r="AX15" i="17" s="1"/>
  <c r="AY15" i="17" s="1"/>
  <c r="AZ15" i="17" s="1"/>
  <c r="BA15" i="17" s="1"/>
  <c r="BB15" i="17" s="1"/>
  <c r="BC15" i="17" s="1"/>
  <c r="BD15" i="17" s="1"/>
  <c r="BE15" i="17" s="1"/>
  <c r="BF15" i="17" s="1"/>
  <c r="BG15" i="17" s="1"/>
  <c r="BH15" i="17" s="1"/>
  <c r="BI15" i="17" s="1"/>
  <c r="BJ15" i="17" s="1"/>
  <c r="BK15" i="17" s="1"/>
  <c r="BL15" i="17" s="1"/>
  <c r="BM15" i="17" s="1"/>
  <c r="BN15" i="17" s="1"/>
  <c r="BO15" i="17" s="1"/>
  <c r="BP15" i="17" s="1"/>
  <c r="BQ15" i="17" s="1"/>
  <c r="BR15" i="17" s="1"/>
  <c r="BS15" i="17" s="1"/>
  <c r="BT15" i="17" s="1"/>
  <c r="BU15" i="17" s="1"/>
  <c r="BV15" i="17" s="1"/>
  <c r="BW15" i="17" s="1"/>
  <c r="BX15" i="17" s="1"/>
  <c r="BY15" i="17" s="1"/>
  <c r="BZ15" i="17" s="1"/>
  <c r="CA15" i="17" s="1"/>
  <c r="CB15" i="17" s="1"/>
  <c r="CC15" i="17" s="1"/>
  <c r="CD15" i="17" s="1"/>
  <c r="CE15" i="17" s="1"/>
  <c r="CF15" i="17" s="1"/>
  <c r="CG15" i="17" s="1"/>
  <c r="CH15" i="17" s="1"/>
  <c r="CI15" i="17" s="1"/>
  <c r="CJ15" i="17" s="1"/>
  <c r="CK15" i="17" s="1"/>
  <c r="CL15" i="17" s="1"/>
  <c r="CM15" i="17" s="1"/>
  <c r="CN15" i="17" s="1"/>
  <c r="CO15" i="17" s="1"/>
  <c r="CP15" i="17" s="1"/>
  <c r="CQ15" i="17" s="1"/>
  <c r="CR15" i="17" s="1"/>
  <c r="CS15" i="17" s="1"/>
  <c r="CT15" i="17" s="1"/>
  <c r="CU15" i="17" s="1"/>
  <c r="CV15" i="17" s="1"/>
  <c r="CW15" i="17" s="1"/>
  <c r="CX15" i="17"/>
  <c r="CY15" i="17" s="1"/>
  <c r="CZ15" i="17" s="1"/>
  <c r="DA15" i="17" s="1"/>
  <c r="DB15" i="17" s="1"/>
  <c r="DC15" i="17" s="1"/>
  <c r="DD15" i="17" s="1"/>
  <c r="DE15" i="17" s="1"/>
  <c r="DF15" i="17" s="1"/>
  <c r="DG15" i="17" s="1"/>
  <c r="DH15" i="17" s="1"/>
  <c r="DI15" i="17" s="1"/>
  <c r="DJ15" i="17" s="1"/>
  <c r="DK15" i="17" s="1"/>
  <c r="DL15" i="17" s="1"/>
  <c r="DM15" i="17" s="1"/>
  <c r="DN15" i="17" s="1"/>
  <c r="DO15" i="17" s="1"/>
  <c r="DP15" i="17" s="1"/>
  <c r="DQ15" i="17" s="1"/>
  <c r="DR15" i="17" s="1"/>
  <c r="DS15" i="17" s="1"/>
  <c r="DT15" i="17" s="1"/>
  <c r="DU15" i="17" s="1"/>
  <c r="DV15" i="17" s="1"/>
  <c r="DW15" i="17" s="1"/>
  <c r="DX15" i="17" s="1"/>
  <c r="DY15" i="17" s="1"/>
  <c r="DZ15" i="17" s="1"/>
  <c r="EA15" i="17" s="1"/>
  <c r="EB15" i="17" s="1"/>
  <c r="EC15" i="17" s="1"/>
  <c r="ED15" i="17" s="1"/>
  <c r="EE15" i="17" s="1"/>
  <c r="EF15" i="17" s="1"/>
  <c r="EG15" i="17" s="1"/>
  <c r="EH15" i="17" s="1"/>
  <c r="EI15" i="17" s="1"/>
  <c r="EJ15" i="17" s="1"/>
  <c r="EK15" i="17" s="1"/>
  <c r="EL15" i="17" s="1"/>
  <c r="EM15" i="17" s="1"/>
  <c r="EN15" i="17" s="1"/>
  <c r="EO15" i="17" s="1"/>
  <c r="EP15" i="17" s="1"/>
  <c r="EQ15" i="17" s="1"/>
  <c r="ER15" i="17" s="1"/>
  <c r="ES15" i="17" s="1"/>
  <c r="ET15" i="17" s="1"/>
  <c r="AJ16" i="17"/>
  <c r="AK16" i="17" s="1"/>
  <c r="AL16" i="17"/>
  <c r="AM16" i="17" s="1"/>
  <c r="AN16" i="17" s="1"/>
  <c r="AO16" i="17"/>
  <c r="AP16" i="17" s="1"/>
  <c r="AQ16" i="17" s="1"/>
  <c r="AR16" i="17" s="1"/>
  <c r="AS16" i="17" s="1"/>
  <c r="AT16" i="17" s="1"/>
  <c r="AU16" i="17" s="1"/>
  <c r="AV16" i="17" s="1"/>
  <c r="AW16" i="17" s="1"/>
  <c r="AX16" i="17" s="1"/>
  <c r="AY16" i="17" s="1"/>
  <c r="AZ16" i="17" s="1"/>
  <c r="BA16" i="17" s="1"/>
  <c r="BB16" i="17" s="1"/>
  <c r="BC16" i="17" s="1"/>
  <c r="BD16" i="17" s="1"/>
  <c r="BE16" i="17" s="1"/>
  <c r="BF16" i="17" s="1"/>
  <c r="BG16" i="17" s="1"/>
  <c r="BH16" i="17" s="1"/>
  <c r="BI16" i="17" s="1"/>
  <c r="BJ16" i="17" s="1"/>
  <c r="BK16" i="17" s="1"/>
  <c r="BL16" i="17" s="1"/>
  <c r="BM16" i="17" s="1"/>
  <c r="BN16" i="17" s="1"/>
  <c r="BO16" i="17" s="1"/>
  <c r="BP16" i="17" s="1"/>
  <c r="BQ16" i="17" s="1"/>
  <c r="BR16" i="17" s="1"/>
  <c r="BS16" i="17" s="1"/>
  <c r="BT16" i="17" s="1"/>
  <c r="BU16" i="17" s="1"/>
  <c r="BV16" i="17" s="1"/>
  <c r="BW16" i="17" s="1"/>
  <c r="BX16" i="17" s="1"/>
  <c r="BY16" i="17" s="1"/>
  <c r="BZ16" i="17" s="1"/>
  <c r="CA16" i="17" s="1"/>
  <c r="CB16" i="17" s="1"/>
  <c r="CC16" i="17" s="1"/>
  <c r="CD16" i="17" s="1"/>
  <c r="CE16" i="17" s="1"/>
  <c r="CF16" i="17" s="1"/>
  <c r="CG16" i="17" s="1"/>
  <c r="CH16" i="17" s="1"/>
  <c r="CI16" i="17" s="1"/>
  <c r="CJ16" i="17" s="1"/>
  <c r="CK16" i="17" s="1"/>
  <c r="CL16" i="17" s="1"/>
  <c r="CM16" i="17" s="1"/>
  <c r="CN16" i="17" s="1"/>
  <c r="CO16" i="17" s="1"/>
  <c r="CP16" i="17" s="1"/>
  <c r="CQ16" i="17" s="1"/>
  <c r="CR16" i="17" s="1"/>
  <c r="CS16" i="17"/>
  <c r="CT16" i="17" s="1"/>
  <c r="CU16" i="17" s="1"/>
  <c r="CV16" i="17" s="1"/>
  <c r="CW16" i="17" s="1"/>
  <c r="CX16" i="17" s="1"/>
  <c r="CY16" i="17" s="1"/>
  <c r="CZ16" i="17" s="1"/>
  <c r="DA16" i="17" s="1"/>
  <c r="DB16" i="17" s="1"/>
  <c r="DC16" i="17" s="1"/>
  <c r="DD16" i="17" s="1"/>
  <c r="DE16" i="17" s="1"/>
  <c r="DF16" i="17" s="1"/>
  <c r="DG16" i="17" s="1"/>
  <c r="DH16" i="17" s="1"/>
  <c r="DI16" i="17" s="1"/>
  <c r="DJ16" i="17" s="1"/>
  <c r="DK16" i="17" s="1"/>
  <c r="DL16" i="17" s="1"/>
  <c r="DM16" i="17" s="1"/>
  <c r="DN16" i="17" s="1"/>
  <c r="DO16" i="17" s="1"/>
  <c r="DP16" i="17" s="1"/>
  <c r="DQ16" i="17" s="1"/>
  <c r="DR16" i="17" s="1"/>
  <c r="DS16" i="17" s="1"/>
  <c r="DT16" i="17" s="1"/>
  <c r="DU16" i="17" s="1"/>
  <c r="DV16" i="17" s="1"/>
  <c r="DW16" i="17" s="1"/>
  <c r="DX16" i="17" s="1"/>
  <c r="DY16" i="17" s="1"/>
  <c r="DZ16" i="17" s="1"/>
  <c r="EA16" i="17" s="1"/>
  <c r="EB16" i="17" s="1"/>
  <c r="EC16" i="17" s="1"/>
  <c r="ED16" i="17" s="1"/>
  <c r="EE16" i="17" s="1"/>
  <c r="EF16" i="17" s="1"/>
  <c r="EG16" i="17" s="1"/>
  <c r="EH16" i="17" s="1"/>
  <c r="EI16" i="17" s="1"/>
  <c r="EJ16" i="17" s="1"/>
  <c r="EK16" i="17" s="1"/>
  <c r="EL16" i="17" s="1"/>
  <c r="EM16" i="17" s="1"/>
  <c r="EN16" i="17" s="1"/>
  <c r="EO16" i="17" s="1"/>
  <c r="EP16" i="17" s="1"/>
  <c r="EQ16" i="17" s="1"/>
  <c r="ER16" i="17" s="1"/>
  <c r="ES16" i="17" s="1"/>
  <c r="ET16" i="17" s="1"/>
  <c r="AJ17" i="17"/>
  <c r="AK17" i="17" s="1"/>
  <c r="AL17" i="17" s="1"/>
  <c r="AM17" i="17" s="1"/>
  <c r="AN17" i="17"/>
  <c r="AO17" i="17"/>
  <c r="AP17" i="17" s="1"/>
  <c r="AQ17" i="17" s="1"/>
  <c r="AR17" i="17" s="1"/>
  <c r="AS17" i="17" s="1"/>
  <c r="AT17" i="17" s="1"/>
  <c r="AU17" i="17" s="1"/>
  <c r="AV17" i="17" s="1"/>
  <c r="AW17" i="17" s="1"/>
  <c r="AX17" i="17" s="1"/>
  <c r="AY17" i="17" s="1"/>
  <c r="AZ17" i="17" s="1"/>
  <c r="BA17" i="17" s="1"/>
  <c r="BB17" i="17" s="1"/>
  <c r="BC17" i="17" s="1"/>
  <c r="BD17" i="17" s="1"/>
  <c r="BE17" i="17" s="1"/>
  <c r="BF17" i="17" s="1"/>
  <c r="BG17" i="17" s="1"/>
  <c r="BH17" i="17" s="1"/>
  <c r="BI17" i="17" s="1"/>
  <c r="BJ17" i="17" s="1"/>
  <c r="BK17" i="17" s="1"/>
  <c r="BL17" i="17" s="1"/>
  <c r="BM17" i="17" s="1"/>
  <c r="BN17" i="17" s="1"/>
  <c r="BO17" i="17" s="1"/>
  <c r="BP17" i="17" s="1"/>
  <c r="BQ17" i="17" s="1"/>
  <c r="BR17" i="17" s="1"/>
  <c r="BS17" i="17" s="1"/>
  <c r="BT17" i="17" s="1"/>
  <c r="BU17" i="17" s="1"/>
  <c r="BV17" i="17" s="1"/>
  <c r="BW17" i="17" s="1"/>
  <c r="BX17" i="17" s="1"/>
  <c r="BY17" i="17" s="1"/>
  <c r="BZ17" i="17" s="1"/>
  <c r="CA17" i="17" s="1"/>
  <c r="CB17" i="17" s="1"/>
  <c r="CC17" i="17" s="1"/>
  <c r="CD17" i="17" s="1"/>
  <c r="CE17" i="17"/>
  <c r="CF17" i="17" s="1"/>
  <c r="CG17" i="17" s="1"/>
  <c r="CH17" i="17" s="1"/>
  <c r="CI17" i="17" s="1"/>
  <c r="CJ17" i="17" s="1"/>
  <c r="CK17" i="17" s="1"/>
  <c r="CL17" i="17" s="1"/>
  <c r="CM17" i="17" s="1"/>
  <c r="CN17" i="17" s="1"/>
  <c r="CO17" i="17" s="1"/>
  <c r="CP17" i="17" s="1"/>
  <c r="CQ17" i="17" s="1"/>
  <c r="CR17" i="17" s="1"/>
  <c r="CS17" i="17" s="1"/>
  <c r="CT17" i="17" s="1"/>
  <c r="CU17" i="17" s="1"/>
  <c r="CV17" i="17" s="1"/>
  <c r="CW17" i="17" s="1"/>
  <c r="CX17" i="17" s="1"/>
  <c r="CY17" i="17" s="1"/>
  <c r="CZ17" i="17" s="1"/>
  <c r="DA17" i="17" s="1"/>
  <c r="DB17" i="17" s="1"/>
  <c r="DC17" i="17" s="1"/>
  <c r="DD17" i="17" s="1"/>
  <c r="DE17" i="17" s="1"/>
  <c r="DF17" i="17" s="1"/>
  <c r="DG17" i="17" s="1"/>
  <c r="DH17" i="17" s="1"/>
  <c r="DI17" i="17" s="1"/>
  <c r="DJ17" i="17" s="1"/>
  <c r="DK17" i="17" s="1"/>
  <c r="DL17" i="17" s="1"/>
  <c r="DM17" i="17" s="1"/>
  <c r="DN17" i="17" s="1"/>
  <c r="DO17" i="17" s="1"/>
  <c r="DP17" i="17" s="1"/>
  <c r="DQ17" i="17" s="1"/>
  <c r="DR17" i="17" s="1"/>
  <c r="DS17" i="17" s="1"/>
  <c r="DT17" i="17" s="1"/>
  <c r="DU17" i="17" s="1"/>
  <c r="DV17" i="17" s="1"/>
  <c r="DW17" i="17" s="1"/>
  <c r="DX17" i="17" s="1"/>
  <c r="DY17" i="17" s="1"/>
  <c r="DZ17" i="17" s="1"/>
  <c r="EA17" i="17" s="1"/>
  <c r="EB17" i="17" s="1"/>
  <c r="EC17" i="17" s="1"/>
  <c r="ED17" i="17" s="1"/>
  <c r="EE17" i="17" s="1"/>
  <c r="EF17" i="17" s="1"/>
  <c r="EG17" i="17" s="1"/>
  <c r="EH17" i="17" s="1"/>
  <c r="EI17" i="17" s="1"/>
  <c r="EJ17" i="17" s="1"/>
  <c r="EK17" i="17" s="1"/>
  <c r="EL17" i="17" s="1"/>
  <c r="EM17" i="17" s="1"/>
  <c r="EN17" i="17" s="1"/>
  <c r="EO17" i="17" s="1"/>
  <c r="EP17" i="17" s="1"/>
  <c r="EQ17" i="17" s="1"/>
  <c r="ER17" i="17" s="1"/>
  <c r="ES17" i="17" s="1"/>
  <c r="ET17" i="17" s="1"/>
  <c r="AJ18" i="17"/>
  <c r="AK18" i="17" s="1"/>
  <c r="AL18" i="17" s="1"/>
  <c r="AM18" i="17" s="1"/>
  <c r="AN18" i="17" s="1"/>
  <c r="AO18" i="17" s="1"/>
  <c r="AP18" i="17" s="1"/>
  <c r="AQ18" i="17" s="1"/>
  <c r="AR18" i="17" s="1"/>
  <c r="AS18" i="17" s="1"/>
  <c r="AT18" i="17" s="1"/>
  <c r="AU18" i="17" s="1"/>
  <c r="AV18" i="17" s="1"/>
  <c r="AW18" i="17" s="1"/>
  <c r="AX18" i="17" s="1"/>
  <c r="AY18" i="17" s="1"/>
  <c r="AZ18" i="17" s="1"/>
  <c r="BA18" i="17" s="1"/>
  <c r="BB18" i="17" s="1"/>
  <c r="BC18" i="17" s="1"/>
  <c r="BD18" i="17" s="1"/>
  <c r="BE18" i="17" s="1"/>
  <c r="BF18" i="17" s="1"/>
  <c r="BG18" i="17" s="1"/>
  <c r="BH18" i="17" s="1"/>
  <c r="BI18" i="17" s="1"/>
  <c r="BJ18" i="17" s="1"/>
  <c r="BK18" i="17" s="1"/>
  <c r="BL18" i="17" s="1"/>
  <c r="BM18" i="17" s="1"/>
  <c r="BN18" i="17" s="1"/>
  <c r="BO18" i="17" s="1"/>
  <c r="BP18" i="17"/>
  <c r="BQ18" i="17" s="1"/>
  <c r="BR18" i="17" s="1"/>
  <c r="BS18" i="17" s="1"/>
  <c r="BT18" i="17" s="1"/>
  <c r="BU18" i="17" s="1"/>
  <c r="BV18" i="17" s="1"/>
  <c r="BW18" i="17" s="1"/>
  <c r="BX18" i="17" s="1"/>
  <c r="BY18" i="17" s="1"/>
  <c r="BZ18" i="17" s="1"/>
  <c r="CA18" i="17" s="1"/>
  <c r="CB18" i="17" s="1"/>
  <c r="CC18" i="17" s="1"/>
  <c r="CD18" i="17" s="1"/>
  <c r="CE18" i="17" s="1"/>
  <c r="CF18" i="17" s="1"/>
  <c r="CG18" i="17" s="1"/>
  <c r="CH18" i="17" s="1"/>
  <c r="CI18" i="17" s="1"/>
  <c r="CJ18" i="17" s="1"/>
  <c r="CK18" i="17" s="1"/>
  <c r="CL18" i="17" s="1"/>
  <c r="CM18" i="17" s="1"/>
  <c r="CN18" i="17" s="1"/>
  <c r="CO18" i="17" s="1"/>
  <c r="CP18" i="17" s="1"/>
  <c r="CQ18" i="17" s="1"/>
  <c r="CR18" i="17" s="1"/>
  <c r="CS18" i="17" s="1"/>
  <c r="CT18" i="17" s="1"/>
  <c r="CU18" i="17" s="1"/>
  <c r="CV18" i="17" s="1"/>
  <c r="CW18" i="17" s="1"/>
  <c r="CX18" i="17" s="1"/>
  <c r="CY18" i="17" s="1"/>
  <c r="CZ18" i="17" s="1"/>
  <c r="DA18" i="17" s="1"/>
  <c r="DB18" i="17" s="1"/>
  <c r="DC18" i="17" s="1"/>
  <c r="DD18" i="17" s="1"/>
  <c r="DE18" i="17" s="1"/>
  <c r="DF18" i="17" s="1"/>
  <c r="DG18" i="17" s="1"/>
  <c r="DH18" i="17" s="1"/>
  <c r="DI18" i="17" s="1"/>
  <c r="DJ18" i="17" s="1"/>
  <c r="DK18" i="17" s="1"/>
  <c r="DL18" i="17" s="1"/>
  <c r="DM18" i="17" s="1"/>
  <c r="DN18" i="17" s="1"/>
  <c r="DO18" i="17" s="1"/>
  <c r="DP18" i="17" s="1"/>
  <c r="DQ18" i="17" s="1"/>
  <c r="DR18" i="17" s="1"/>
  <c r="DS18" i="17" s="1"/>
  <c r="DT18" i="17" s="1"/>
  <c r="DU18" i="17" s="1"/>
  <c r="DV18" i="17" s="1"/>
  <c r="DW18" i="17" s="1"/>
  <c r="DX18" i="17" s="1"/>
  <c r="DY18" i="17" s="1"/>
  <c r="DZ18" i="17" s="1"/>
  <c r="EA18" i="17" s="1"/>
  <c r="EB18" i="17" s="1"/>
  <c r="EC18" i="17" s="1"/>
  <c r="ED18" i="17" s="1"/>
  <c r="EE18" i="17" s="1"/>
  <c r="EF18" i="17" s="1"/>
  <c r="EG18" i="17" s="1"/>
  <c r="EH18" i="17" s="1"/>
  <c r="EI18" i="17" s="1"/>
  <c r="EJ18" i="17" s="1"/>
  <c r="EK18" i="17" s="1"/>
  <c r="EL18" i="17" s="1"/>
  <c r="EM18" i="17" s="1"/>
  <c r="EN18" i="17" s="1"/>
  <c r="EO18" i="17" s="1"/>
  <c r="EP18" i="17" s="1"/>
  <c r="EQ18" i="17" s="1"/>
  <c r="ER18" i="17" s="1"/>
  <c r="ES18" i="17" s="1"/>
  <c r="ET18" i="17" s="1"/>
  <c r="AJ23" i="17"/>
  <c r="AK23" i="17"/>
  <c r="AL23" i="17"/>
  <c r="AM23" i="17"/>
  <c r="AN23" i="17" s="1"/>
  <c r="AO23" i="17" s="1"/>
  <c r="AP23" i="17"/>
  <c r="AQ23" i="17" s="1"/>
  <c r="AR23" i="17" s="1"/>
  <c r="AS23" i="17"/>
  <c r="AT23" i="17" s="1"/>
  <c r="AU23" i="17" s="1"/>
  <c r="AV23" i="17" s="1"/>
  <c r="AW23" i="17" s="1"/>
  <c r="AX23" i="17" s="1"/>
  <c r="AY23" i="17" s="1"/>
  <c r="AZ23" i="17" s="1"/>
  <c r="BA23" i="17" s="1"/>
  <c r="BB23" i="17" s="1"/>
  <c r="BC23" i="17" s="1"/>
  <c r="BD23" i="17" s="1"/>
  <c r="BE23" i="17" s="1"/>
  <c r="BF23" i="17" s="1"/>
  <c r="BG23" i="17" s="1"/>
  <c r="BH23" i="17" s="1"/>
  <c r="BI23" i="17" s="1"/>
  <c r="BJ23" i="17" s="1"/>
  <c r="BK23" i="17" s="1"/>
  <c r="BL23" i="17" s="1"/>
  <c r="BM23" i="17" s="1"/>
  <c r="BN23" i="17" s="1"/>
  <c r="BO23" i="17" s="1"/>
  <c r="BP23" i="17" s="1"/>
  <c r="BQ23" i="17" s="1"/>
  <c r="BR23" i="17" s="1"/>
  <c r="BS23" i="17" s="1"/>
  <c r="BT23" i="17" s="1"/>
  <c r="BU23" i="17" s="1"/>
  <c r="BV23" i="17" s="1"/>
  <c r="BW23" i="17" s="1"/>
  <c r="BX23" i="17" s="1"/>
  <c r="BY23" i="17"/>
  <c r="BZ23" i="17" s="1"/>
  <c r="CA23" i="17" s="1"/>
  <c r="CB23" i="17" s="1"/>
  <c r="CC23" i="17" s="1"/>
  <c r="CD23" i="17" s="1"/>
  <c r="CF23" i="17"/>
  <c r="CG23" i="17" s="1"/>
  <c r="CH23" i="17" s="1"/>
  <c r="CI23" i="17" s="1"/>
  <c r="CJ23" i="17" s="1"/>
  <c r="CK23" i="17" s="1"/>
  <c r="CL23" i="17" s="1"/>
  <c r="CM23" i="17" s="1"/>
  <c r="CN23" i="17" s="1"/>
  <c r="CO23" i="17" s="1"/>
  <c r="CP23" i="17" s="1"/>
  <c r="CQ23" i="17" s="1"/>
  <c r="CR23" i="17" s="1"/>
  <c r="CS23" i="17" s="1"/>
  <c r="CT23" i="17" s="1"/>
  <c r="CU23" i="17" s="1"/>
  <c r="CV23" i="17" s="1"/>
  <c r="CW23" i="17" s="1"/>
  <c r="CX23" i="17" s="1"/>
  <c r="CY23" i="17" s="1"/>
  <c r="CZ23" i="17" s="1"/>
  <c r="DA23" i="17" s="1"/>
  <c r="DB23" i="17" s="1"/>
  <c r="DC23" i="17" s="1"/>
  <c r="DD23" i="17" s="1"/>
  <c r="DE23" i="17" s="1"/>
  <c r="DF23" i="17" s="1"/>
  <c r="DG23" i="17" s="1"/>
  <c r="DH23" i="17" s="1"/>
  <c r="DI23" i="17" s="1"/>
  <c r="DJ23" i="17" s="1"/>
  <c r="DK23" i="17" s="1"/>
  <c r="DL23" i="17" s="1"/>
  <c r="DM23" i="17" s="1"/>
  <c r="DN23" i="17" s="1"/>
  <c r="DO23" i="17" s="1"/>
  <c r="DP23" i="17" s="1"/>
  <c r="DQ23" i="17" s="1"/>
  <c r="AJ25" i="17"/>
  <c r="AK25" i="17"/>
  <c r="AL25" i="17"/>
  <c r="AM25" i="17" s="1"/>
  <c r="AN25" i="17" s="1"/>
  <c r="AO25" i="17"/>
  <c r="AP25" i="17" s="1"/>
  <c r="AQ25" i="17" s="1"/>
  <c r="AR25" i="17" s="1"/>
  <c r="AS25" i="17" s="1"/>
  <c r="AT25" i="17" s="1"/>
  <c r="AU25" i="17" s="1"/>
  <c r="AJ27" i="17"/>
  <c r="AK27" i="17"/>
  <c r="AL27" i="17"/>
  <c r="AM27" i="17" s="1"/>
  <c r="AN27" i="17" s="1"/>
  <c r="AO27" i="17" s="1"/>
  <c r="AP27" i="17" s="1"/>
  <c r="AQ27" i="17" s="1"/>
  <c r="AR27" i="17" s="1"/>
  <c r="AS27" i="17" s="1"/>
  <c r="AT27" i="17" s="1"/>
  <c r="AU27" i="17" s="1"/>
  <c r="AV27" i="17" s="1"/>
  <c r="AW27" i="17" s="1"/>
  <c r="AX27" i="17" s="1"/>
  <c r="AY27" i="17" s="1"/>
  <c r="AZ27" i="17" s="1"/>
  <c r="BA27" i="17" s="1"/>
  <c r="BB27" i="17" s="1"/>
  <c r="BC27" i="17" s="1"/>
  <c r="BD27" i="17" s="1"/>
  <c r="BE27" i="17" s="1"/>
  <c r="BF27" i="17" s="1"/>
  <c r="BG27" i="17" s="1"/>
  <c r="BH27" i="17" s="1"/>
  <c r="BI27" i="17" s="1"/>
  <c r="BJ27" i="17" s="1"/>
  <c r="BK27" i="17" s="1"/>
  <c r="BL27" i="17" s="1"/>
  <c r="BM27" i="17" s="1"/>
  <c r="BN27" i="17" s="1"/>
  <c r="BO27" i="17" s="1"/>
  <c r="BP27" i="17" s="1"/>
  <c r="BQ27" i="17" s="1"/>
  <c r="BR27" i="17" s="1"/>
  <c r="BS27" i="17" s="1"/>
  <c r="BT27" i="17" s="1"/>
  <c r="BU27" i="17" s="1"/>
  <c r="BV27" i="17" s="1"/>
  <c r="BW27" i="17" s="1"/>
  <c r="BX27" i="17" s="1"/>
  <c r="BY27" i="17" s="1"/>
  <c r="BZ27" i="17" s="1"/>
  <c r="CA27" i="17" s="1"/>
  <c r="CB27" i="17" s="1"/>
  <c r="CC27" i="17" s="1"/>
  <c r="CD27" i="17" s="1"/>
  <c r="CE27" i="17" s="1"/>
  <c r="CF27" i="17" s="1"/>
  <c r="CG27" i="17" s="1"/>
  <c r="CH27" i="17" s="1"/>
  <c r="CI27" i="17" s="1"/>
  <c r="CJ27" i="17" s="1"/>
  <c r="CK27" i="17" s="1"/>
  <c r="CL27" i="17" s="1"/>
  <c r="CM27" i="17" s="1"/>
  <c r="CN27" i="17" s="1"/>
  <c r="CO27" i="17" s="1"/>
  <c r="CP27" i="17" s="1"/>
  <c r="CQ27" i="17" s="1"/>
  <c r="CR27" i="17" s="1"/>
  <c r="CS27" i="17" s="1"/>
  <c r="CT27" i="17" s="1"/>
  <c r="CU27" i="17" s="1"/>
  <c r="CV27" i="17" s="1"/>
  <c r="CW27" i="17" s="1"/>
  <c r="CX27" i="17" s="1"/>
  <c r="CY27" i="17" s="1"/>
  <c r="CZ27" i="17" s="1"/>
  <c r="DA27" i="17" s="1"/>
  <c r="DB27" i="17" s="1"/>
  <c r="DC27" i="17" s="1"/>
  <c r="DD27" i="17" s="1"/>
  <c r="DE27" i="17" s="1"/>
  <c r="DF27" i="17" s="1"/>
  <c r="DG27" i="17" s="1"/>
  <c r="DH27" i="17" s="1"/>
  <c r="DI27" i="17" s="1"/>
  <c r="DJ27" i="17" s="1"/>
  <c r="DK27" i="17" s="1"/>
  <c r="DL27" i="17" s="1"/>
  <c r="DM27" i="17" s="1"/>
  <c r="DN27" i="17" s="1"/>
  <c r="DO27" i="17" s="1"/>
  <c r="DP27" i="17" s="1"/>
  <c r="DQ27" i="17" s="1"/>
  <c r="DR27" i="17" s="1"/>
  <c r="DS27" i="17" s="1"/>
  <c r="DT27" i="17" s="1"/>
  <c r="DU27" i="17" s="1"/>
  <c r="DV27" i="17" s="1"/>
  <c r="DW27" i="17" s="1"/>
  <c r="DX27" i="17" s="1"/>
  <c r="DY27" i="17" s="1"/>
  <c r="DZ27" i="17" s="1"/>
  <c r="EA27" i="17" s="1"/>
  <c r="EB27" i="17" s="1"/>
  <c r="EC27" i="17" s="1"/>
  <c r="ED27" i="17" s="1"/>
  <c r="EE27" i="17" s="1"/>
  <c r="EF27" i="17" s="1"/>
  <c r="EG27" i="17" s="1"/>
  <c r="EH27" i="17" s="1"/>
  <c r="EI27" i="17" s="1"/>
  <c r="EJ27" i="17" s="1"/>
  <c r="EK27" i="17" s="1"/>
  <c r="EL27" i="17" s="1"/>
  <c r="EM27" i="17" s="1"/>
  <c r="EN27" i="17" s="1"/>
  <c r="EO27" i="17" s="1"/>
  <c r="EP27" i="17" s="1"/>
  <c r="EQ27" i="17" s="1"/>
  <c r="ER27" i="17" s="1"/>
  <c r="ES27" i="17" s="1"/>
  <c r="ET27" i="17" s="1"/>
  <c r="AJ29" i="17"/>
  <c r="AK29" i="17" s="1"/>
  <c r="AL29" i="17" s="1"/>
  <c r="AM29" i="17" s="1"/>
  <c r="AN29" i="17" s="1"/>
  <c r="AO29" i="17" s="1"/>
  <c r="AP29" i="17" s="1"/>
  <c r="AQ29" i="17" s="1"/>
  <c r="AR29" i="17" s="1"/>
  <c r="AS29" i="17" s="1"/>
  <c r="AT29" i="17" s="1"/>
  <c r="AU29" i="17" s="1"/>
  <c r="AV29" i="17" s="1"/>
  <c r="AW29" i="17" s="1"/>
  <c r="AX29" i="17" s="1"/>
  <c r="AY29" i="17" s="1"/>
  <c r="AZ29" i="17" s="1"/>
  <c r="BA29" i="17" s="1"/>
  <c r="BB29" i="17" s="1"/>
  <c r="BC29" i="17" s="1"/>
  <c r="BD29" i="17" s="1"/>
  <c r="BE29" i="17" s="1"/>
  <c r="BF29" i="17" s="1"/>
  <c r="BG29" i="17" s="1"/>
  <c r="BH29" i="17" s="1"/>
  <c r="BI29" i="17" s="1"/>
  <c r="BJ29" i="17" s="1"/>
  <c r="BK29" i="17" s="1"/>
  <c r="BL29" i="17" s="1"/>
  <c r="BM29" i="17" s="1"/>
  <c r="BN29" i="17" s="1"/>
  <c r="BO29" i="17" s="1"/>
  <c r="BP29" i="17" s="1"/>
  <c r="BQ29" i="17" s="1"/>
  <c r="BR29" i="17" s="1"/>
  <c r="BS29" i="17" s="1"/>
  <c r="BT29" i="17" s="1"/>
  <c r="BU29" i="17" s="1"/>
  <c r="BV29" i="17" s="1"/>
  <c r="BW29" i="17" s="1"/>
  <c r="BX29" i="17" s="1"/>
  <c r="BY29" i="17" s="1"/>
  <c r="BZ29" i="17" s="1"/>
  <c r="CA29" i="17" s="1"/>
  <c r="CB29" i="17" s="1"/>
  <c r="CC29" i="17" s="1"/>
  <c r="CD29" i="17" s="1"/>
  <c r="CE29" i="17" s="1"/>
  <c r="CF29" i="17" s="1"/>
  <c r="CG29" i="17" s="1"/>
  <c r="CH29" i="17" s="1"/>
  <c r="CI29" i="17" s="1"/>
  <c r="CJ29" i="17" s="1"/>
  <c r="CK29" i="17" s="1"/>
  <c r="CL29" i="17" s="1"/>
  <c r="CM29" i="17" s="1"/>
  <c r="CN29" i="17" s="1"/>
  <c r="CO29" i="17" s="1"/>
  <c r="CP29" i="17" s="1"/>
  <c r="CQ29" i="17" s="1"/>
  <c r="CR29" i="17" s="1"/>
  <c r="CS29" i="17" s="1"/>
  <c r="CT29" i="17" s="1"/>
  <c r="CU29" i="17" s="1"/>
  <c r="CV29" i="17" s="1"/>
  <c r="CW29" i="17" s="1"/>
  <c r="CX29" i="17" s="1"/>
  <c r="CY29" i="17" s="1"/>
  <c r="CZ29" i="17" s="1"/>
  <c r="DA29" i="17" s="1"/>
  <c r="DB29" i="17" s="1"/>
  <c r="DC29" i="17" s="1"/>
  <c r="DD29" i="17" s="1"/>
  <c r="DE29" i="17" s="1"/>
  <c r="DF29" i="17" s="1"/>
  <c r="DG29" i="17" s="1"/>
  <c r="DH29" i="17" s="1"/>
  <c r="DI29" i="17" s="1"/>
  <c r="DJ29" i="17" s="1"/>
  <c r="DK29" i="17" s="1"/>
  <c r="DL29" i="17" s="1"/>
  <c r="DM29" i="17" s="1"/>
  <c r="DN29" i="17" s="1"/>
  <c r="DO29" i="17" s="1"/>
  <c r="DP29" i="17" s="1"/>
  <c r="DQ29" i="17" s="1"/>
  <c r="DR29" i="17" s="1"/>
  <c r="DS29" i="17" s="1"/>
  <c r="DT29" i="17" s="1"/>
  <c r="DU29" i="17" s="1"/>
  <c r="DV29" i="17" s="1"/>
  <c r="DW29" i="17" s="1"/>
  <c r="DX29" i="17" s="1"/>
  <c r="DY29" i="17" s="1"/>
  <c r="DZ29" i="17" s="1"/>
  <c r="EA29" i="17" s="1"/>
  <c r="EB29" i="17" s="1"/>
  <c r="EC29" i="17" s="1"/>
  <c r="ED29" i="17" s="1"/>
  <c r="EE29" i="17" s="1"/>
  <c r="EF29" i="17" s="1"/>
  <c r="EG29" i="17" s="1"/>
  <c r="EH29" i="17" s="1"/>
  <c r="EI29" i="17" s="1"/>
  <c r="EJ29" i="17" s="1"/>
  <c r="EK29" i="17" s="1"/>
  <c r="EL29" i="17" s="1"/>
  <c r="EM29" i="17" s="1"/>
  <c r="EN29" i="17" s="1"/>
  <c r="EO29" i="17" s="1"/>
  <c r="EP29" i="17" s="1"/>
  <c r="EQ29" i="17" s="1"/>
  <c r="ER29" i="17" s="1"/>
  <c r="ES29" i="17" s="1"/>
  <c r="ET29" i="17" s="1"/>
  <c r="AJ31" i="17"/>
  <c r="AK31" i="17" s="1"/>
  <c r="AL31" i="17"/>
  <c r="AM31" i="17" s="1"/>
  <c r="AN31" i="17" s="1"/>
  <c r="AJ33" i="17"/>
  <c r="AK33" i="17" s="1"/>
  <c r="AL33" i="17" s="1"/>
  <c r="AM33" i="17" s="1"/>
  <c r="AN33" i="17" s="1"/>
  <c r="AJ35" i="17"/>
  <c r="AJ37" i="17"/>
  <c r="AK37" i="17"/>
  <c r="AL37" i="17"/>
  <c r="AM37" i="17" s="1"/>
  <c r="AN37" i="17"/>
  <c r="AO37" i="17" s="1"/>
  <c r="AP37" i="17" s="1"/>
  <c r="AQ37" i="17" s="1"/>
  <c r="AR37" i="17" s="1"/>
  <c r="AS37" i="17" s="1"/>
  <c r="AT37" i="17" s="1"/>
  <c r="AU37" i="17" s="1"/>
  <c r="AV37" i="17" s="1"/>
  <c r="AW37" i="17" s="1"/>
  <c r="AX37" i="17" s="1"/>
  <c r="AY37" i="17" s="1"/>
  <c r="AZ37" i="17" s="1"/>
  <c r="BA37" i="17" s="1"/>
  <c r="BB37" i="17" s="1"/>
  <c r="BC37" i="17" s="1"/>
  <c r="BD37" i="17" s="1"/>
  <c r="BE37" i="17" s="1"/>
  <c r="BF37" i="17" s="1"/>
  <c r="BG37" i="17" s="1"/>
  <c r="BH37" i="17" s="1"/>
  <c r="BI37" i="17"/>
  <c r="BJ37" i="17"/>
  <c r="BK37" i="17" s="1"/>
  <c r="BL37" i="17" s="1"/>
  <c r="BM37" i="17" s="1"/>
  <c r="BN37" i="17" s="1"/>
  <c r="BO37" i="17" s="1"/>
  <c r="BP37" i="17" s="1"/>
  <c r="BQ37" i="17" s="1"/>
  <c r="BR37" i="17" s="1"/>
  <c r="BS37" i="17" s="1"/>
  <c r="BT37" i="17" s="1"/>
  <c r="BU37" i="17" s="1"/>
  <c r="BV37" i="17" s="1"/>
  <c r="BW37" i="17" s="1"/>
  <c r="BX37" i="17" s="1"/>
  <c r="BY37" i="17" s="1"/>
  <c r="BZ37" i="17" s="1"/>
  <c r="CA37" i="17" s="1"/>
  <c r="CB37" i="17" s="1"/>
  <c r="CC37" i="17" s="1"/>
  <c r="CD37" i="17" s="1"/>
  <c r="CE37" i="17" s="1"/>
  <c r="CF37" i="17" s="1"/>
  <c r="CG37" i="17" s="1"/>
  <c r="CH37" i="17" s="1"/>
  <c r="CI37" i="17" s="1"/>
  <c r="CJ37" i="17" s="1"/>
  <c r="CK37" i="17" s="1"/>
  <c r="CL37" i="17" s="1"/>
  <c r="CM37" i="17" s="1"/>
  <c r="CN37" i="17" s="1"/>
  <c r="CO37" i="17" s="1"/>
  <c r="CP37" i="17" s="1"/>
  <c r="CQ37" i="17" s="1"/>
  <c r="CR37" i="17" s="1"/>
  <c r="CS37" i="17" s="1"/>
  <c r="CT37" i="17" s="1"/>
  <c r="CU37" i="17" s="1"/>
  <c r="CV37" i="17" s="1"/>
  <c r="CW37" i="17" s="1"/>
  <c r="CX37" i="17" s="1"/>
  <c r="CY37" i="17" s="1"/>
  <c r="CZ37" i="17" s="1"/>
  <c r="DA37" i="17" s="1"/>
  <c r="DB37" i="17" s="1"/>
  <c r="DC37" i="17" s="1"/>
  <c r="DD37" i="17" s="1"/>
  <c r="DE37" i="17" s="1"/>
  <c r="DF37" i="17" s="1"/>
  <c r="DG37" i="17" s="1"/>
  <c r="DH37" i="17" s="1"/>
  <c r="DI37" i="17" s="1"/>
  <c r="DJ37" i="17" s="1"/>
  <c r="DK37" i="17" s="1"/>
  <c r="DL37" i="17" s="1"/>
  <c r="DM37" i="17" s="1"/>
  <c r="DN37" i="17" s="1"/>
  <c r="DO37" i="17" s="1"/>
  <c r="DP37" i="17" s="1"/>
  <c r="DQ37" i="17" s="1"/>
  <c r="DR37" i="17" s="1"/>
  <c r="DS37" i="17" s="1"/>
  <c r="DT37" i="17" s="1"/>
  <c r="DU37" i="17" s="1"/>
  <c r="DV37" i="17" s="1"/>
  <c r="DW37" i="17" s="1"/>
  <c r="DX37" i="17" s="1"/>
  <c r="DY37" i="17" s="1"/>
  <c r="DZ37" i="17" s="1"/>
  <c r="EA37" i="17" s="1"/>
  <c r="EB37" i="17" s="1"/>
  <c r="EC37" i="17" s="1"/>
  <c r="ED37" i="17" s="1"/>
  <c r="EE37" i="17" s="1"/>
  <c r="EF37" i="17" s="1"/>
  <c r="EG37" i="17" s="1"/>
  <c r="EH37" i="17" s="1"/>
  <c r="EI37" i="17" s="1"/>
  <c r="EJ37" i="17" s="1"/>
  <c r="EK37" i="17" s="1"/>
  <c r="EL37" i="17" s="1"/>
  <c r="EM37" i="17" s="1"/>
  <c r="EN37" i="17" s="1"/>
  <c r="EO37" i="17" s="1"/>
  <c r="EP37" i="17" s="1"/>
  <c r="EQ37" i="17" s="1"/>
  <c r="ER37" i="17" s="1"/>
  <c r="ES37" i="17" s="1"/>
  <c r="ET37" i="17" s="1"/>
  <c r="AJ39" i="17"/>
  <c r="AK39" i="17"/>
  <c r="AL39" i="17" s="1"/>
  <c r="AM39" i="17"/>
  <c r="AN39" i="17"/>
  <c r="AO39" i="17" s="1"/>
  <c r="AP39" i="17" s="1"/>
  <c r="AQ39" i="17" s="1"/>
  <c r="AR39" i="17" s="1"/>
  <c r="AS39" i="17" s="1"/>
  <c r="AT39" i="17" s="1"/>
  <c r="AU39" i="17" s="1"/>
  <c r="AV39" i="17"/>
  <c r="AW39" i="17"/>
  <c r="AX39" i="17" s="1"/>
  <c r="AY39" i="17" s="1"/>
  <c r="AZ39" i="17" s="1"/>
  <c r="BA39" i="17" s="1"/>
  <c r="BB39" i="17" s="1"/>
  <c r="BC39" i="17" s="1"/>
  <c r="BD39" i="17" s="1"/>
  <c r="BE39" i="17" s="1"/>
  <c r="BF39" i="17" s="1"/>
  <c r="BG39" i="17" s="1"/>
  <c r="BH39" i="17" s="1"/>
  <c r="BI39" i="17" s="1"/>
  <c r="BJ39" i="17" s="1"/>
  <c r="BK39" i="17" s="1"/>
  <c r="BL39" i="17" s="1"/>
  <c r="BM39" i="17" s="1"/>
  <c r="BN39" i="17" s="1"/>
  <c r="BO39" i="17" s="1"/>
  <c r="BP39" i="17" s="1"/>
  <c r="BQ39" i="17" s="1"/>
  <c r="BR39" i="17" s="1"/>
  <c r="BS39" i="17" s="1"/>
  <c r="BT39" i="17" s="1"/>
  <c r="BU39" i="17" s="1"/>
  <c r="BV39" i="17" s="1"/>
  <c r="BW39" i="17" s="1"/>
  <c r="BX39" i="17" s="1"/>
  <c r="BY39" i="17" s="1"/>
  <c r="BZ39" i="17" s="1"/>
  <c r="CA39" i="17" s="1"/>
  <c r="CB39" i="17" s="1"/>
  <c r="CC39" i="17" s="1"/>
  <c r="CD39" i="17" s="1"/>
  <c r="CE39" i="17" s="1"/>
  <c r="CF39" i="17" s="1"/>
  <c r="CG39" i="17" s="1"/>
  <c r="CH39" i="17" s="1"/>
  <c r="CI39" i="17" s="1"/>
  <c r="CJ39" i="17" s="1"/>
  <c r="CK39" i="17" s="1"/>
  <c r="CL39" i="17" s="1"/>
  <c r="CM39" i="17" s="1"/>
  <c r="CN39" i="17" s="1"/>
  <c r="CO39" i="17" s="1"/>
  <c r="CP39" i="17" s="1"/>
  <c r="CQ39" i="17" s="1"/>
  <c r="CR39" i="17" s="1"/>
  <c r="CS39" i="17" s="1"/>
  <c r="CT39" i="17" s="1"/>
  <c r="CU39" i="17" s="1"/>
  <c r="CV39" i="17" s="1"/>
  <c r="CW39" i="17" s="1"/>
  <c r="CX39" i="17" s="1"/>
  <c r="CY39" i="17" s="1"/>
  <c r="CZ39" i="17" s="1"/>
  <c r="DA39" i="17" s="1"/>
  <c r="DB39" i="17" s="1"/>
  <c r="DC39" i="17" s="1"/>
  <c r="DD39" i="17" s="1"/>
  <c r="DE39" i="17" s="1"/>
  <c r="DF39" i="17" s="1"/>
  <c r="DG39" i="17" s="1"/>
  <c r="DH39" i="17" s="1"/>
  <c r="DI39" i="17" s="1"/>
  <c r="DJ39" i="17" s="1"/>
  <c r="DK39" i="17" s="1"/>
  <c r="DL39" i="17" s="1"/>
  <c r="DM39" i="17" s="1"/>
  <c r="DN39" i="17" s="1"/>
  <c r="DO39" i="17" s="1"/>
  <c r="DP39" i="17" s="1"/>
  <c r="DQ39" i="17" s="1"/>
  <c r="DR39" i="17" s="1"/>
  <c r="DS39" i="17" s="1"/>
  <c r="DT39" i="17" s="1"/>
  <c r="DU39" i="17" s="1"/>
  <c r="DV39" i="17" s="1"/>
  <c r="DW39" i="17" s="1"/>
  <c r="DX39" i="17" s="1"/>
  <c r="DY39" i="17" s="1"/>
  <c r="DZ39" i="17" s="1"/>
  <c r="EA39" i="17" s="1"/>
  <c r="EB39" i="17" s="1"/>
  <c r="EC39" i="17" s="1"/>
  <c r="ED39" i="17" s="1"/>
  <c r="EE39" i="17" s="1"/>
  <c r="EF39" i="17" s="1"/>
  <c r="EG39" i="17" s="1"/>
  <c r="EH39" i="17" s="1"/>
  <c r="EI39" i="17" s="1"/>
  <c r="EJ39" i="17" s="1"/>
  <c r="EK39" i="17" s="1"/>
  <c r="EL39" i="17" s="1"/>
  <c r="EM39" i="17" s="1"/>
  <c r="EN39" i="17" s="1"/>
  <c r="EO39" i="17" s="1"/>
  <c r="EP39" i="17" s="1"/>
  <c r="EQ39" i="17" s="1"/>
  <c r="ER39" i="17" s="1"/>
  <c r="ES39" i="17" s="1"/>
  <c r="ET39" i="17" s="1"/>
  <c r="AJ41" i="17"/>
  <c r="AK41" i="17" s="1"/>
  <c r="AL41" i="17" s="1"/>
  <c r="AM41" i="17" s="1"/>
  <c r="AN41" i="17" s="1"/>
  <c r="AO41" i="17" s="1"/>
  <c r="AP41" i="17" s="1"/>
  <c r="AQ41" i="17" s="1"/>
  <c r="AR41" i="17" s="1"/>
  <c r="AS41" i="17" s="1"/>
  <c r="AT41" i="17" s="1"/>
  <c r="AU41" i="17" s="1"/>
  <c r="AV41" i="17" s="1"/>
  <c r="AW41" i="17" s="1"/>
  <c r="AX41" i="17" s="1"/>
  <c r="AY41" i="17" s="1"/>
  <c r="AZ41" i="17" s="1"/>
  <c r="BA41" i="17" s="1"/>
  <c r="BB41" i="17" s="1"/>
  <c r="BC41" i="17" s="1"/>
  <c r="BD41" i="17" s="1"/>
  <c r="BE41" i="17" s="1"/>
  <c r="BF41" i="17" s="1"/>
  <c r="BG41" i="17" s="1"/>
  <c r="BH41" i="17" s="1"/>
  <c r="BI41" i="17" s="1"/>
  <c r="BJ41" i="17" s="1"/>
  <c r="BK41" i="17" s="1"/>
  <c r="BL41" i="17" s="1"/>
  <c r="BM41" i="17" s="1"/>
  <c r="BN41" i="17" s="1"/>
  <c r="BO41" i="17" s="1"/>
  <c r="BP41" i="17" s="1"/>
  <c r="BQ41" i="17" s="1"/>
  <c r="BR41" i="17" s="1"/>
  <c r="BS41" i="17"/>
  <c r="BT41" i="17" s="1"/>
  <c r="BU41" i="17" s="1"/>
  <c r="BV41" i="17" s="1"/>
  <c r="BW41" i="17" s="1"/>
  <c r="BX41" i="17" s="1"/>
  <c r="BY41" i="17" s="1"/>
  <c r="BZ41" i="17" s="1"/>
  <c r="CA41" i="17" s="1"/>
  <c r="CB41" i="17" s="1"/>
  <c r="CC41" i="17" s="1"/>
  <c r="CD41" i="17" s="1"/>
  <c r="CE41" i="17" s="1"/>
  <c r="CF41" i="17" s="1"/>
  <c r="CG41" i="17" s="1"/>
  <c r="CH41" i="17" s="1"/>
  <c r="CI41" i="17" s="1"/>
  <c r="CJ41" i="17" s="1"/>
  <c r="CK41" i="17" s="1"/>
  <c r="CL41" i="17" s="1"/>
  <c r="CM41" i="17" s="1"/>
  <c r="CN41" i="17" s="1"/>
  <c r="CO41" i="17" s="1"/>
  <c r="CP41" i="17" s="1"/>
  <c r="CQ41" i="17" s="1"/>
  <c r="CR41" i="17" s="1"/>
  <c r="CS41" i="17" s="1"/>
  <c r="CT41" i="17" s="1"/>
  <c r="CU41" i="17" s="1"/>
  <c r="CV41" i="17" s="1"/>
  <c r="CW41" i="17" s="1"/>
  <c r="CX41" i="17" s="1"/>
  <c r="CY41" i="17" s="1"/>
  <c r="CZ41" i="17" s="1"/>
  <c r="DA41" i="17" s="1"/>
  <c r="DB41" i="17" s="1"/>
  <c r="DC41" i="17" s="1"/>
  <c r="DD41" i="17" s="1"/>
  <c r="DE41" i="17" s="1"/>
  <c r="DF41" i="17" s="1"/>
  <c r="DG41" i="17" s="1"/>
  <c r="DH41" i="17" s="1"/>
  <c r="DI41" i="17" s="1"/>
  <c r="DJ41" i="17" s="1"/>
  <c r="DK41" i="17" s="1"/>
  <c r="DL41" i="17" s="1"/>
  <c r="DM41" i="17" s="1"/>
  <c r="DN41" i="17" s="1"/>
  <c r="DO41" i="17" s="1"/>
  <c r="DP41" i="17" s="1"/>
  <c r="DQ41" i="17" s="1"/>
  <c r="DR41" i="17" s="1"/>
  <c r="DS41" i="17" s="1"/>
  <c r="DT41" i="17" s="1"/>
  <c r="DU41" i="17" s="1"/>
  <c r="DV41" i="17" s="1"/>
  <c r="DW41" i="17" s="1"/>
  <c r="DX41" i="17" s="1"/>
  <c r="DY41" i="17" s="1"/>
  <c r="DZ41" i="17" s="1"/>
  <c r="EA41" i="17" s="1"/>
  <c r="EB41" i="17" s="1"/>
  <c r="EC41" i="17" s="1"/>
  <c r="ED41" i="17" s="1"/>
  <c r="EE41" i="17" s="1"/>
  <c r="EF41" i="17" s="1"/>
  <c r="EG41" i="17" s="1"/>
  <c r="EH41" i="17" s="1"/>
  <c r="EI41" i="17" s="1"/>
  <c r="EJ41" i="17" s="1"/>
  <c r="EK41" i="17" s="1"/>
  <c r="EL41" i="17" s="1"/>
  <c r="EM41" i="17" s="1"/>
  <c r="EN41" i="17" s="1"/>
  <c r="EO41" i="17" s="1"/>
  <c r="EP41" i="17" s="1"/>
  <c r="EQ41" i="17" s="1"/>
  <c r="ER41" i="17" s="1"/>
  <c r="ES41" i="17" s="1"/>
  <c r="ET41" i="17" s="1"/>
  <c r="AJ43" i="17"/>
  <c r="AK43" i="17" s="1"/>
  <c r="AL43" i="17" s="1"/>
  <c r="AM43" i="17" s="1"/>
  <c r="AN43" i="17" s="1"/>
  <c r="AO43" i="17" s="1"/>
  <c r="AP43" i="17" s="1"/>
  <c r="AQ43" i="17" s="1"/>
  <c r="AR43" i="17" s="1"/>
  <c r="AS43" i="17" s="1"/>
  <c r="AT43" i="17" s="1"/>
  <c r="AU43" i="17" s="1"/>
  <c r="AV43" i="17" s="1"/>
  <c r="AW43" i="17" s="1"/>
  <c r="AX43" i="17" s="1"/>
  <c r="AY43" i="17" s="1"/>
  <c r="AZ43" i="17" s="1"/>
  <c r="BA43" i="17" s="1"/>
  <c r="BB43" i="17" s="1"/>
  <c r="BC43" i="17" s="1"/>
  <c r="BD43" i="17" s="1"/>
  <c r="BE43" i="17" s="1"/>
  <c r="BF43" i="17" s="1"/>
  <c r="BG43" i="17" s="1"/>
  <c r="BH43" i="17" s="1"/>
  <c r="BI43" i="17" s="1"/>
  <c r="BJ43" i="17" s="1"/>
  <c r="BK43" i="17" s="1"/>
  <c r="BL43" i="17" s="1"/>
  <c r="BM43" i="17" s="1"/>
  <c r="BN43" i="17" s="1"/>
  <c r="BO43" i="17" s="1"/>
  <c r="BP43" i="17" s="1"/>
  <c r="BQ43" i="17" s="1"/>
  <c r="BR43" i="17" s="1"/>
  <c r="BS43" i="17" s="1"/>
  <c r="BT43" i="17" s="1"/>
  <c r="BU43" i="17" s="1"/>
  <c r="BV43" i="17" s="1"/>
  <c r="BW43" i="17" s="1"/>
  <c r="BX43" i="17" s="1"/>
  <c r="BY43" i="17" s="1"/>
  <c r="BZ43" i="17" s="1"/>
  <c r="CA43" i="17" s="1"/>
  <c r="CB43" i="17" s="1"/>
  <c r="CC43" i="17" s="1"/>
  <c r="CD43" i="17" s="1"/>
  <c r="CE43" i="17" s="1"/>
  <c r="CF43" i="17" s="1"/>
  <c r="CG43" i="17" s="1"/>
  <c r="CH43" i="17" s="1"/>
  <c r="CI43" i="17" s="1"/>
  <c r="CJ43" i="17" s="1"/>
  <c r="CK43" i="17" s="1"/>
  <c r="CL43" i="17" s="1"/>
  <c r="CM43" i="17" s="1"/>
  <c r="CN43" i="17" s="1"/>
  <c r="CO43" i="17" s="1"/>
  <c r="CP43" i="17" s="1"/>
  <c r="CQ43" i="17" s="1"/>
  <c r="CR43" i="17" s="1"/>
  <c r="CS43" i="17" s="1"/>
  <c r="CT43" i="17" s="1"/>
  <c r="CU43" i="17" s="1"/>
  <c r="CV43" i="17" s="1"/>
  <c r="CW43" i="17" s="1"/>
  <c r="CX43" i="17" s="1"/>
  <c r="CY43" i="17" s="1"/>
  <c r="CZ43" i="17" s="1"/>
  <c r="DA43" i="17" s="1"/>
  <c r="DB43" i="17" s="1"/>
  <c r="DC43" i="17" s="1"/>
  <c r="DD43" i="17" s="1"/>
  <c r="DE43" i="17" s="1"/>
  <c r="DF43" i="17" s="1"/>
  <c r="DG43" i="17" s="1"/>
  <c r="DH43" i="17" s="1"/>
  <c r="DI43" i="17" s="1"/>
  <c r="DJ43" i="17" s="1"/>
  <c r="DK43" i="17" s="1"/>
  <c r="DL43" i="17" s="1"/>
  <c r="DM43" i="17" s="1"/>
  <c r="DN43" i="17" s="1"/>
  <c r="DO43" i="17" s="1"/>
  <c r="DP43" i="17" s="1"/>
  <c r="DQ43" i="17" s="1"/>
  <c r="DR43" i="17" s="1"/>
  <c r="DS43" i="17" s="1"/>
  <c r="DT43" i="17" s="1"/>
  <c r="DU43" i="17" s="1"/>
  <c r="DV43" i="17" s="1"/>
  <c r="DW43" i="17" s="1"/>
  <c r="DX43" i="17" s="1"/>
  <c r="DY43" i="17" s="1"/>
  <c r="DZ43" i="17" s="1"/>
  <c r="EA43" i="17" s="1"/>
  <c r="EB43" i="17" s="1"/>
  <c r="EC43" i="17" s="1"/>
  <c r="ED43" i="17" s="1"/>
  <c r="EE43" i="17" s="1"/>
  <c r="EF43" i="17" s="1"/>
  <c r="EG43" i="17" s="1"/>
  <c r="EH43" i="17" s="1"/>
  <c r="EI43" i="17" s="1"/>
  <c r="EJ43" i="17" s="1"/>
  <c r="EK43" i="17" s="1"/>
  <c r="EL43" i="17" s="1"/>
  <c r="EM43" i="17" s="1"/>
  <c r="EN43" i="17" s="1"/>
  <c r="EO43" i="17" s="1"/>
  <c r="EP43" i="17" s="1"/>
  <c r="EQ43" i="17" s="1"/>
  <c r="ER43" i="17" s="1"/>
  <c r="ES43" i="17" s="1"/>
  <c r="ET43" i="17" s="1"/>
  <c r="AJ45" i="17"/>
  <c r="AK45" i="17"/>
  <c r="AL45" i="17" s="1"/>
  <c r="AM45" i="17" s="1"/>
  <c r="AN45" i="17" s="1"/>
  <c r="AO45" i="17" s="1"/>
  <c r="AP45" i="17" s="1"/>
  <c r="AQ45" i="17" s="1"/>
  <c r="AR45" i="17" s="1"/>
  <c r="AS45" i="17" s="1"/>
  <c r="AT45" i="17" s="1"/>
  <c r="AU45" i="17" s="1"/>
  <c r="AV45" i="17" s="1"/>
  <c r="AW45" i="17" s="1"/>
  <c r="AX45" i="17" s="1"/>
  <c r="AY45" i="17" s="1"/>
  <c r="AZ45" i="17" s="1"/>
  <c r="BA45" i="17" s="1"/>
  <c r="BB45" i="17" s="1"/>
  <c r="BC45" i="17" s="1"/>
  <c r="BD45" i="17" s="1"/>
  <c r="BE45" i="17"/>
  <c r="BF45" i="17" s="1"/>
  <c r="BG45" i="17" s="1"/>
  <c r="BH45" i="17" s="1"/>
  <c r="BI45" i="17" s="1"/>
  <c r="BJ45" i="17" s="1"/>
  <c r="BK45" i="17" s="1"/>
  <c r="BL45" i="17" s="1"/>
  <c r="BM45" i="17" s="1"/>
  <c r="BN45" i="17" s="1"/>
  <c r="BO45" i="17" s="1"/>
  <c r="BP45" i="17" s="1"/>
  <c r="BQ45" i="17" s="1"/>
  <c r="BR45" i="17" s="1"/>
  <c r="BS45" i="17" s="1"/>
  <c r="BT45" i="17" s="1"/>
  <c r="BU45" i="17" s="1"/>
  <c r="BV45" i="17" s="1"/>
  <c r="BW45" i="17" s="1"/>
  <c r="BX45" i="17" s="1"/>
  <c r="BY45" i="17" s="1"/>
  <c r="BZ45" i="17" s="1"/>
  <c r="CA45" i="17" s="1"/>
  <c r="CB45" i="17" s="1"/>
  <c r="CC45" i="17" s="1"/>
  <c r="CD45" i="17" s="1"/>
  <c r="CE45" i="17" s="1"/>
  <c r="CF45" i="17" s="1"/>
  <c r="CG45" i="17" s="1"/>
  <c r="CH45" i="17" s="1"/>
  <c r="CI45" i="17" s="1"/>
  <c r="CJ45" i="17" s="1"/>
  <c r="CK45" i="17" s="1"/>
  <c r="CL45" i="17" s="1"/>
  <c r="CM45" i="17" s="1"/>
  <c r="CN45" i="17" s="1"/>
  <c r="CO45" i="17" s="1"/>
  <c r="CP45" i="17" s="1"/>
  <c r="CQ45" i="17" s="1"/>
  <c r="CR45" i="17" s="1"/>
  <c r="CS45" i="17" s="1"/>
  <c r="CT45" i="17" s="1"/>
  <c r="CU45" i="17" s="1"/>
  <c r="CV45" i="17" s="1"/>
  <c r="CW45" i="17" s="1"/>
  <c r="CX45" i="17" s="1"/>
  <c r="CY45" i="17" s="1"/>
  <c r="CZ45" i="17" s="1"/>
  <c r="DA45" i="17" s="1"/>
  <c r="DB45" i="17" s="1"/>
  <c r="DC45" i="17" s="1"/>
  <c r="DD45" i="17" s="1"/>
  <c r="DE45" i="17" s="1"/>
  <c r="DF45" i="17" s="1"/>
  <c r="DG45" i="17" s="1"/>
  <c r="DH45" i="17" s="1"/>
  <c r="DI45" i="17" s="1"/>
  <c r="DJ45" i="17" s="1"/>
  <c r="DK45" i="17" s="1"/>
  <c r="DL45" i="17" s="1"/>
  <c r="DM45" i="17" s="1"/>
  <c r="DN45" i="17" s="1"/>
  <c r="DO45" i="17" s="1"/>
  <c r="DP45" i="17" s="1"/>
  <c r="DQ45" i="17" s="1"/>
  <c r="DR45" i="17" s="1"/>
  <c r="DS45" i="17" s="1"/>
  <c r="DT45" i="17" s="1"/>
  <c r="DU45" i="17" s="1"/>
  <c r="DV45" i="17" s="1"/>
  <c r="DW45" i="17" s="1"/>
  <c r="DX45" i="17" s="1"/>
  <c r="DY45" i="17" s="1"/>
  <c r="DZ45" i="17" s="1"/>
  <c r="EA45" i="17" s="1"/>
  <c r="EB45" i="17" s="1"/>
  <c r="EC45" i="17" s="1"/>
  <c r="ED45" i="17" s="1"/>
  <c r="EE45" i="17" s="1"/>
  <c r="EF45" i="17" s="1"/>
  <c r="EG45" i="17" s="1"/>
  <c r="EH45" i="17" s="1"/>
  <c r="EI45" i="17" s="1"/>
  <c r="EJ45" i="17" s="1"/>
  <c r="EK45" i="17" s="1"/>
  <c r="EL45" i="17" s="1"/>
  <c r="EM45" i="17" s="1"/>
  <c r="EN45" i="17" s="1"/>
  <c r="EO45" i="17" s="1"/>
  <c r="EP45" i="17" s="1"/>
  <c r="EQ45" i="17" s="1"/>
  <c r="ER45" i="17" s="1"/>
  <c r="ES45" i="17" s="1"/>
  <c r="ET45" i="17" s="1"/>
  <c r="AJ47" i="17"/>
  <c r="AK47" i="17" s="1"/>
  <c r="AL47" i="17" s="1"/>
  <c r="AM47" i="17" s="1"/>
  <c r="AN47" i="17" s="1"/>
  <c r="AO47" i="17"/>
  <c r="AP47" i="17"/>
  <c r="AQ47" i="17" s="1"/>
  <c r="AR47" i="17" s="1"/>
  <c r="AS47" i="17" s="1"/>
  <c r="AT47" i="17" s="1"/>
  <c r="AV47" i="17"/>
  <c r="AW47" i="17"/>
  <c r="AX47" i="17"/>
  <c r="AY47" i="17"/>
  <c r="AZ47" i="17" s="1"/>
  <c r="BA47" i="17" s="1"/>
  <c r="BB47" i="17" s="1"/>
  <c r="BC47" i="17" s="1"/>
  <c r="BD47" i="17" s="1"/>
  <c r="BE47" i="17" s="1"/>
  <c r="BF47" i="17" s="1"/>
  <c r="BG47" i="17" s="1"/>
  <c r="BH47" i="17" s="1"/>
  <c r="BI47" i="17" s="1"/>
  <c r="BJ47" i="17" s="1"/>
  <c r="BK47" i="17" s="1"/>
  <c r="BL47" i="17" s="1"/>
  <c r="BM47" i="17" s="1"/>
  <c r="BN47" i="17" s="1"/>
  <c r="BO47" i="17" s="1"/>
  <c r="BP47" i="17" s="1"/>
  <c r="BQ47" i="17" s="1"/>
  <c r="BR47" i="17" s="1"/>
  <c r="BS47" i="17" s="1"/>
  <c r="BT47" i="17" s="1"/>
  <c r="BU47" i="17" s="1"/>
  <c r="BV47" i="17" s="1"/>
  <c r="BW47" i="17" s="1"/>
  <c r="BX47" i="17" s="1"/>
  <c r="BY47" i="17" s="1"/>
  <c r="CA47" i="17"/>
  <c r="CB47" i="17" s="1"/>
  <c r="CC47" i="17"/>
  <c r="CD47" i="17" s="1"/>
  <c r="CE47" i="17"/>
  <c r="CF47" i="17" s="1"/>
  <c r="CG47" i="17" s="1"/>
  <c r="CH47" i="17" s="1"/>
  <c r="CI47" i="17" s="1"/>
  <c r="CJ47" i="17" s="1"/>
  <c r="CK47" i="17"/>
  <c r="CL47" i="17" s="1"/>
  <c r="CM47" i="17" s="1"/>
  <c r="CN47" i="17" s="1"/>
  <c r="CO47" i="17" s="1"/>
  <c r="CP47" i="17" s="1"/>
  <c r="CQ47" i="17" s="1"/>
  <c r="CR47" i="17" s="1"/>
  <c r="CS47" i="17" s="1"/>
  <c r="CT47" i="17" s="1"/>
  <c r="CU47" i="17" s="1"/>
  <c r="CV47" i="17" s="1"/>
  <c r="CW47" i="17" s="1"/>
  <c r="CX47" i="17" s="1"/>
  <c r="CY47" i="17" s="1"/>
  <c r="CZ47" i="17" s="1"/>
  <c r="DA47" i="17" s="1"/>
  <c r="DB47" i="17" s="1"/>
  <c r="DC47" i="17" s="1"/>
  <c r="DD47" i="17" s="1"/>
  <c r="DE47" i="17" s="1"/>
  <c r="DF47" i="17" s="1"/>
  <c r="DG47" i="17" s="1"/>
  <c r="DH47" i="17" s="1"/>
  <c r="DI47" i="17" s="1"/>
  <c r="DJ47" i="17" s="1"/>
  <c r="DK47" i="17" s="1"/>
  <c r="DL47" i="17" s="1"/>
  <c r="DM47" i="17" s="1"/>
  <c r="DN47" i="17" s="1"/>
  <c r="DO47" i="17" s="1"/>
  <c r="DP47" i="17" s="1"/>
  <c r="DQ47" i="17" s="1"/>
  <c r="DR47" i="17" s="1"/>
  <c r="DS47" i="17" s="1"/>
  <c r="DT47" i="17" s="1"/>
  <c r="DU47" i="17" s="1"/>
  <c r="DV47" i="17" s="1"/>
  <c r="DW47" i="17" s="1"/>
  <c r="DX47" i="17" s="1"/>
  <c r="DY47" i="17" s="1"/>
  <c r="DZ47" i="17" s="1"/>
  <c r="EA47" i="17" s="1"/>
  <c r="EB47" i="17" s="1"/>
  <c r="EC47" i="17" s="1"/>
  <c r="ED47" i="17" s="1"/>
  <c r="EE47" i="17" s="1"/>
  <c r="EF47" i="17" s="1"/>
  <c r="EG47" i="17" s="1"/>
  <c r="EH47" i="17" s="1"/>
  <c r="EI47" i="17" s="1"/>
  <c r="EJ47" i="17" s="1"/>
  <c r="EK47" i="17" s="1"/>
  <c r="EL47" i="17" s="1"/>
  <c r="EM47" i="17" s="1"/>
  <c r="EN47" i="17" s="1"/>
  <c r="EO47" i="17" s="1"/>
  <c r="EP47" i="17" s="1"/>
  <c r="EQ47" i="17" s="1"/>
  <c r="ER47" i="17" s="1"/>
  <c r="ES47" i="17" s="1"/>
  <c r="ET47" i="17" s="1"/>
  <c r="AI48" i="17"/>
  <c r="AJ48" i="17"/>
  <c r="AK48" i="17"/>
  <c r="AL48" i="17"/>
  <c r="AM48" i="17"/>
  <c r="AN48" i="17"/>
  <c r="AO48" i="17"/>
  <c r="AP48" i="17"/>
  <c r="AQ48" i="17"/>
  <c r="AR48" i="17"/>
  <c r="AS48" i="17"/>
  <c r="AT48" i="17"/>
  <c r="AU48" i="17"/>
  <c r="AV48" i="17"/>
  <c r="AW48" i="17"/>
  <c r="AX48" i="17"/>
  <c r="AY48" i="17"/>
  <c r="AZ48" i="17"/>
  <c r="BA48" i="17"/>
  <c r="BB48" i="17"/>
  <c r="BC48" i="17"/>
  <c r="BD48" i="17"/>
  <c r="BE48" i="17"/>
  <c r="BF48" i="17"/>
  <c r="BG48" i="17"/>
  <c r="BH48" i="17"/>
  <c r="BI48" i="17"/>
  <c r="BJ48" i="17"/>
  <c r="BK48" i="17"/>
  <c r="BL48" i="17"/>
  <c r="BM48" i="17"/>
  <c r="BN48" i="17"/>
  <c r="BO48" i="17"/>
  <c r="BP48" i="17"/>
  <c r="BQ48" i="17"/>
  <c r="BR48" i="17"/>
  <c r="BS48" i="17"/>
  <c r="BT48" i="17"/>
  <c r="BU48" i="17"/>
  <c r="BV48" i="17"/>
  <c r="BW48" i="17"/>
  <c r="BX48" i="17"/>
  <c r="BY48" i="17"/>
  <c r="BZ48" i="17"/>
  <c r="CA48" i="17"/>
  <c r="CB48" i="17"/>
  <c r="CC48" i="17"/>
  <c r="CD48" i="17"/>
  <c r="CE48" i="17"/>
  <c r="CF48" i="17"/>
  <c r="CG48" i="17"/>
  <c r="CH48" i="17"/>
  <c r="CI48" i="17"/>
  <c r="CJ48" i="17"/>
  <c r="CK48" i="17"/>
  <c r="CL48" i="17"/>
  <c r="CM48" i="17"/>
  <c r="CN48" i="17"/>
  <c r="CO48" i="17"/>
  <c r="CP48" i="17"/>
  <c r="CQ48" i="17"/>
  <c r="CR48" i="17"/>
  <c r="CS48" i="17"/>
  <c r="CT48" i="17"/>
  <c r="CU48" i="17"/>
  <c r="CV48" i="17"/>
  <c r="CW48" i="17"/>
  <c r="CX48" i="17"/>
  <c r="CY48" i="17"/>
  <c r="CZ48" i="17"/>
  <c r="DA48" i="17"/>
  <c r="DB48" i="17"/>
  <c r="DC48" i="17"/>
  <c r="DD48" i="17"/>
  <c r="DE48" i="17"/>
  <c r="DF48" i="17"/>
  <c r="DG48" i="17"/>
  <c r="DH48" i="17"/>
  <c r="DI48" i="17"/>
  <c r="DJ48" i="17"/>
  <c r="DK48" i="17"/>
  <c r="DL48" i="17"/>
  <c r="DM48" i="17"/>
  <c r="DN48" i="17"/>
  <c r="DO48" i="17"/>
  <c r="DP48" i="17"/>
  <c r="DQ48" i="17"/>
  <c r="EP48" i="17"/>
  <c r="EO48" i="17"/>
  <c r="EN48" i="17"/>
  <c r="EM48" i="17"/>
  <c r="AK35" i="17"/>
  <c r="AO31" i="17"/>
  <c r="AC46" i="17"/>
  <c r="AA46" i="17"/>
  <c r="AC44" i="17"/>
  <c r="AA44" i="17"/>
  <c r="AC42" i="17"/>
  <c r="AA42" i="17"/>
  <c r="AC40" i="17"/>
  <c r="AB40" i="17"/>
  <c r="AA40" i="17"/>
  <c r="AC38" i="17"/>
  <c r="AA38" i="17"/>
  <c r="AC36" i="17"/>
  <c r="AA36" i="17"/>
  <c r="AC34" i="17"/>
  <c r="AA34" i="17"/>
  <c r="AA32" i="17"/>
  <c r="AC30" i="17"/>
  <c r="AA30" i="17"/>
  <c r="AC28" i="17"/>
  <c r="AA28" i="17"/>
  <c r="AC26" i="17"/>
  <c r="AA26" i="17"/>
  <c r="AC24" i="17"/>
  <c r="AA24" i="17"/>
  <c r="AF48" i="17"/>
  <c r="AC22" i="17"/>
  <c r="AB22" i="17"/>
  <c r="AA22" i="17"/>
  <c r="AA48" i="17" s="1"/>
  <c r="AA20" i="17"/>
  <c r="AL35" i="17"/>
  <c r="AM35" i="17" s="1"/>
  <c r="AN35" i="17" s="1"/>
  <c r="AO35" i="17" s="1"/>
  <c r="AP35" i="17" s="1"/>
  <c r="AQ35" i="17" s="1"/>
  <c r="AR35" i="17" s="1"/>
  <c r="AS35" i="17" s="1"/>
  <c r="AT35" i="17" s="1"/>
  <c r="AU35" i="17" s="1"/>
  <c r="AV35" i="17" s="1"/>
  <c r="AW35" i="17" s="1"/>
  <c r="AX35" i="17" s="1"/>
  <c r="AY35" i="17" s="1"/>
  <c r="AZ35" i="17" s="1"/>
  <c r="BA35" i="17" s="1"/>
  <c r="BB35" i="17" s="1"/>
  <c r="BC35" i="17" s="1"/>
  <c r="BD35" i="17" s="1"/>
  <c r="BE35" i="17" s="1"/>
  <c r="BF35" i="17" s="1"/>
  <c r="BG35" i="17" s="1"/>
  <c r="BH35" i="17" s="1"/>
  <c r="BI35" i="17" s="1"/>
  <c r="BJ35" i="17" s="1"/>
  <c r="BK35" i="17" s="1"/>
  <c r="BL35" i="17" s="1"/>
  <c r="BM35" i="17" s="1"/>
  <c r="BN35" i="17" s="1"/>
  <c r="BO35" i="17" s="1"/>
  <c r="BP35" i="17" s="1"/>
  <c r="BQ35" i="17" s="1"/>
  <c r="BR35" i="17" s="1"/>
  <c r="BS35" i="17" s="1"/>
  <c r="BT35" i="17" s="1"/>
  <c r="BU35" i="17" s="1"/>
  <c r="BV35" i="17" s="1"/>
  <c r="BW35" i="17" s="1"/>
  <c r="BX35" i="17" s="1"/>
  <c r="BY35" i="17" s="1"/>
  <c r="BZ35" i="17" s="1"/>
  <c r="CA35" i="17" s="1"/>
  <c r="CB35" i="17" s="1"/>
  <c r="CC35" i="17" s="1"/>
  <c r="CD35" i="17" s="1"/>
  <c r="CE35" i="17" s="1"/>
  <c r="CF35" i="17" s="1"/>
  <c r="CG35" i="17" s="1"/>
  <c r="CH35" i="17" s="1"/>
  <c r="CI35" i="17" s="1"/>
  <c r="CJ35" i="17" s="1"/>
  <c r="CK35" i="17" s="1"/>
  <c r="CL35" i="17" s="1"/>
  <c r="CM35" i="17" s="1"/>
  <c r="CN35" i="17" s="1"/>
  <c r="CO35" i="17" s="1"/>
  <c r="CP35" i="17" s="1"/>
  <c r="CQ35" i="17" s="1"/>
  <c r="CR35" i="17" s="1"/>
  <c r="CS35" i="17" s="1"/>
  <c r="CT35" i="17" s="1"/>
  <c r="CU35" i="17" s="1"/>
  <c r="CV35" i="17" s="1"/>
  <c r="CW35" i="17" s="1"/>
  <c r="CX35" i="17" s="1"/>
  <c r="CY35" i="17" s="1"/>
  <c r="CZ35" i="17" s="1"/>
  <c r="DA35" i="17" s="1"/>
  <c r="DB35" i="17" s="1"/>
  <c r="DC35" i="17" s="1"/>
  <c r="DD35" i="17" s="1"/>
  <c r="DE35" i="17" s="1"/>
  <c r="DF35" i="17" s="1"/>
  <c r="DG35" i="17" s="1"/>
  <c r="DH35" i="17" s="1"/>
  <c r="DI35" i="17" s="1"/>
  <c r="DJ35" i="17" s="1"/>
  <c r="DK35" i="17" s="1"/>
  <c r="DL35" i="17" s="1"/>
  <c r="DM35" i="17" s="1"/>
  <c r="DN35" i="17" s="1"/>
  <c r="DO35" i="17" s="1"/>
  <c r="DP35" i="17" s="1"/>
  <c r="DQ35" i="17" s="1"/>
  <c r="DR35" i="17" s="1"/>
  <c r="DS35" i="17" s="1"/>
  <c r="DT35" i="17" s="1"/>
  <c r="DU35" i="17" s="1"/>
  <c r="DV35" i="17" s="1"/>
  <c r="DW35" i="17" s="1"/>
  <c r="DX35" i="17" s="1"/>
  <c r="DY35" i="17" s="1"/>
  <c r="DZ35" i="17" s="1"/>
  <c r="EA35" i="17" s="1"/>
  <c r="EB35" i="17" s="1"/>
  <c r="EC35" i="17" s="1"/>
  <c r="ED35" i="17" s="1"/>
  <c r="EE35" i="17" s="1"/>
  <c r="EF35" i="17" s="1"/>
  <c r="EG35" i="17" s="1"/>
  <c r="EH35" i="17" s="1"/>
  <c r="EI35" i="17" s="1"/>
  <c r="EJ35" i="17" s="1"/>
  <c r="EK35" i="17" s="1"/>
  <c r="EL35" i="17" s="1"/>
  <c r="EM35" i="17" s="1"/>
  <c r="EN35" i="17" s="1"/>
  <c r="EO35" i="17" s="1"/>
  <c r="EP35" i="17" s="1"/>
  <c r="EQ35" i="17" s="1"/>
  <c r="ER35" i="17" s="1"/>
  <c r="ES35" i="17" s="1"/>
  <c r="ET35" i="17" s="1"/>
  <c r="AP31" i="17"/>
  <c r="AQ31" i="17" s="1"/>
  <c r="AR31" i="17" s="1"/>
  <c r="AS31" i="17" s="1"/>
  <c r="AT31" i="17" s="1"/>
  <c r="AU31" i="17" s="1"/>
  <c r="AV31" i="17" s="1"/>
  <c r="AW31" i="17" s="1"/>
  <c r="AX31" i="17" s="1"/>
  <c r="AY31" i="17" s="1"/>
  <c r="AZ31" i="17" s="1"/>
  <c r="BA31" i="17" s="1"/>
  <c r="BB31" i="17" s="1"/>
  <c r="BC31" i="17" s="1"/>
  <c r="BD31" i="17" s="1"/>
  <c r="BE31" i="17" s="1"/>
  <c r="BF31" i="17" s="1"/>
  <c r="BG31" i="17" s="1"/>
  <c r="BH31" i="17" s="1"/>
  <c r="BI31" i="17" s="1"/>
  <c r="BJ31" i="17" s="1"/>
  <c r="BK31" i="17" s="1"/>
  <c r="BL31" i="17" s="1"/>
  <c r="BM31" i="17" s="1"/>
  <c r="BN31" i="17" s="1"/>
  <c r="BO31" i="17" s="1"/>
  <c r="BP31" i="17" s="1"/>
  <c r="BQ31" i="17" s="1"/>
  <c r="BR31" i="17" s="1"/>
  <c r="BS31" i="17" s="1"/>
  <c r="BT31" i="17" s="1"/>
  <c r="BU31" i="17" s="1"/>
  <c r="BV31" i="17" s="1"/>
  <c r="BW31" i="17" s="1"/>
  <c r="BX31" i="17" s="1"/>
  <c r="BY31" i="17" s="1"/>
  <c r="BZ31" i="17" s="1"/>
  <c r="CA31" i="17" s="1"/>
  <c r="CB31" i="17" s="1"/>
  <c r="CC31" i="17" s="1"/>
  <c r="CD31" i="17" s="1"/>
  <c r="CE31" i="17" s="1"/>
  <c r="CF31" i="17" s="1"/>
  <c r="CG31" i="17" s="1"/>
  <c r="CH31" i="17" s="1"/>
  <c r="CI31" i="17" s="1"/>
  <c r="CJ31" i="17" s="1"/>
  <c r="CK31" i="17" s="1"/>
  <c r="CL31" i="17" s="1"/>
  <c r="CM31" i="17" s="1"/>
  <c r="CN31" i="17" s="1"/>
  <c r="CO31" i="17" s="1"/>
  <c r="CP31" i="17" s="1"/>
  <c r="CQ31" i="17" s="1"/>
  <c r="CR31" i="17" s="1"/>
  <c r="CS31" i="17" s="1"/>
  <c r="CT31" i="17" s="1"/>
  <c r="CU31" i="17" s="1"/>
  <c r="CV31" i="17" s="1"/>
  <c r="CW31" i="17" s="1"/>
  <c r="CX31" i="17" s="1"/>
  <c r="CY31" i="17" s="1"/>
  <c r="CZ31" i="17" s="1"/>
  <c r="DA31" i="17" s="1"/>
  <c r="DB31" i="17" s="1"/>
  <c r="DC31" i="17" s="1"/>
  <c r="DD31" i="17" s="1"/>
  <c r="DE31" i="17" s="1"/>
  <c r="DF31" i="17" s="1"/>
  <c r="DG31" i="17" s="1"/>
  <c r="DH31" i="17" s="1"/>
  <c r="DI31" i="17" s="1"/>
  <c r="DJ31" i="17" s="1"/>
  <c r="DK31" i="17" s="1"/>
  <c r="DL31" i="17" s="1"/>
  <c r="DM31" i="17" s="1"/>
  <c r="DN31" i="17" s="1"/>
  <c r="DO31" i="17" s="1"/>
  <c r="DP31" i="17" s="1"/>
  <c r="DQ31" i="17" s="1"/>
  <c r="DR31" i="17" s="1"/>
  <c r="DS31" i="17" s="1"/>
  <c r="DT31" i="17" s="1"/>
  <c r="DU31" i="17" s="1"/>
  <c r="DV31" i="17" s="1"/>
  <c r="DW31" i="17" s="1"/>
  <c r="DX31" i="17" s="1"/>
  <c r="DY31" i="17" s="1"/>
  <c r="DZ31" i="17" s="1"/>
  <c r="EA31" i="17" s="1"/>
  <c r="EB31" i="17" s="1"/>
  <c r="EC31" i="17" s="1"/>
  <c r="ED31" i="17" s="1"/>
  <c r="EE31" i="17" s="1"/>
  <c r="EF31" i="17" s="1"/>
  <c r="EG31" i="17" s="1"/>
  <c r="EH31" i="17" s="1"/>
  <c r="EI31" i="17" s="1"/>
  <c r="EJ31" i="17" s="1"/>
  <c r="EK31" i="17" s="1"/>
  <c r="EL31" i="17" s="1"/>
  <c r="EM31" i="17" s="1"/>
  <c r="EN31" i="17" s="1"/>
  <c r="EO31" i="17" s="1"/>
  <c r="EP31" i="17" s="1"/>
  <c r="EQ31" i="17" s="1"/>
  <c r="ER31" i="17" s="1"/>
  <c r="ES31" i="17" s="1"/>
  <c r="ET31" i="17" s="1"/>
  <c r="EL48" i="17"/>
  <c r="EK48" i="17"/>
  <c r="EJ48" i="17"/>
  <c r="AE48" i="17"/>
  <c r="AD48" i="17"/>
  <c r="EH48" i="17"/>
  <c r="EG48" i="17"/>
  <c r="EF48" i="17"/>
  <c r="EE48" i="17"/>
  <c r="Y48" i="17"/>
  <c r="ED48" i="17"/>
  <c r="EC48" i="17"/>
  <c r="EB48" i="17"/>
  <c r="EA48" i="17"/>
  <c r="DZ48" i="17"/>
  <c r="AO33" i="17"/>
  <c r="AP33" i="17" s="1"/>
  <c r="AQ33" i="17" s="1"/>
  <c r="AR33" i="17" s="1"/>
  <c r="AS33" i="17" s="1"/>
  <c r="AT33" i="17" s="1"/>
  <c r="AU33" i="17" s="1"/>
  <c r="AV33" i="17" s="1"/>
  <c r="AW33" i="17" s="1"/>
  <c r="AX33" i="17" s="1"/>
  <c r="AY33" i="17" s="1"/>
  <c r="AZ33" i="17" s="1"/>
  <c r="BA33" i="17" s="1"/>
  <c r="BB33" i="17" s="1"/>
  <c r="BC33" i="17" s="1"/>
  <c r="BD33" i="17" s="1"/>
  <c r="BE33" i="17" s="1"/>
  <c r="BF33" i="17" s="1"/>
  <c r="BG33" i="17" s="1"/>
  <c r="BH33" i="17" s="1"/>
  <c r="BI33" i="17" s="1"/>
  <c r="BJ33" i="17" s="1"/>
  <c r="BK33" i="17" s="1"/>
  <c r="BL33" i="17" s="1"/>
  <c r="BM33" i="17" s="1"/>
  <c r="BN33" i="17" s="1"/>
  <c r="BO33" i="17" s="1"/>
  <c r="BP33" i="17" s="1"/>
  <c r="BQ33" i="17" s="1"/>
  <c r="BR33" i="17" s="1"/>
  <c r="BS33" i="17" s="1"/>
  <c r="BT33" i="17" s="1"/>
  <c r="BU33" i="17" s="1"/>
  <c r="BV33" i="17" s="1"/>
  <c r="BW33" i="17" s="1"/>
  <c r="BX33" i="17" s="1"/>
  <c r="BY33" i="17" s="1"/>
  <c r="BZ33" i="17" s="1"/>
  <c r="CA33" i="17" s="1"/>
  <c r="CB33" i="17" s="1"/>
  <c r="CC33" i="17" s="1"/>
  <c r="CD33" i="17" s="1"/>
  <c r="CE33" i="17" s="1"/>
  <c r="CF33" i="17" s="1"/>
  <c r="CG33" i="17" s="1"/>
  <c r="CH33" i="17" s="1"/>
  <c r="CI33" i="17" s="1"/>
  <c r="CJ33" i="17" s="1"/>
  <c r="CK33" i="17" s="1"/>
  <c r="CL33" i="17" s="1"/>
  <c r="CM33" i="17" s="1"/>
  <c r="CN33" i="17" s="1"/>
  <c r="CO33" i="17" s="1"/>
  <c r="CP33" i="17" s="1"/>
  <c r="CQ33" i="17" s="1"/>
  <c r="CR33" i="17" s="1"/>
  <c r="CS33" i="17" s="1"/>
  <c r="CT33" i="17" s="1"/>
  <c r="CU33" i="17" s="1"/>
  <c r="CV33" i="17" s="1"/>
  <c r="CW33" i="17" s="1"/>
  <c r="CX33" i="17" s="1"/>
  <c r="CY33" i="17" s="1"/>
  <c r="CZ33" i="17" s="1"/>
  <c r="DA33" i="17" s="1"/>
  <c r="DB33" i="17" s="1"/>
  <c r="DC33" i="17" s="1"/>
  <c r="DD33" i="17" s="1"/>
  <c r="DE33" i="17" s="1"/>
  <c r="DF33" i="17" s="1"/>
  <c r="DG33" i="17" s="1"/>
  <c r="DH33" i="17" s="1"/>
  <c r="DI33" i="17" s="1"/>
  <c r="DJ33" i="17" s="1"/>
  <c r="DK33" i="17" s="1"/>
  <c r="DL33" i="17" s="1"/>
  <c r="DM33" i="17" s="1"/>
  <c r="DN33" i="17" s="1"/>
  <c r="DO33" i="17" s="1"/>
  <c r="DP33" i="17" s="1"/>
  <c r="DQ33" i="17" s="1"/>
  <c r="DR33" i="17" s="1"/>
  <c r="DS33" i="17" s="1"/>
  <c r="DT33" i="17" s="1"/>
  <c r="DU33" i="17" s="1"/>
  <c r="DV33" i="17" s="1"/>
  <c r="DW33" i="17" s="1"/>
  <c r="DX33" i="17" s="1"/>
  <c r="DY33" i="17" s="1"/>
  <c r="DZ33" i="17" s="1"/>
  <c r="EA33" i="17" s="1"/>
  <c r="EB33" i="17" s="1"/>
  <c r="EC33" i="17" s="1"/>
  <c r="ED33" i="17" s="1"/>
  <c r="EE33" i="17" s="1"/>
  <c r="EF33" i="17" s="1"/>
  <c r="EG33" i="17" s="1"/>
  <c r="EH33" i="17" s="1"/>
  <c r="EI33" i="17" s="1"/>
  <c r="EJ33" i="17" s="1"/>
  <c r="EK33" i="17" s="1"/>
  <c r="EL33" i="17" s="1"/>
  <c r="EM33" i="17" s="1"/>
  <c r="EN33" i="17" s="1"/>
  <c r="EO33" i="17" s="1"/>
  <c r="EP33" i="17" s="1"/>
  <c r="EQ33" i="17" s="1"/>
  <c r="ER33" i="17" s="1"/>
  <c r="ES33" i="17" s="1"/>
  <c r="ET33" i="17" s="1"/>
  <c r="DY48" i="17"/>
  <c r="DX48" i="17"/>
  <c r="DW48" i="17"/>
  <c r="DV48" i="17"/>
  <c r="Z48" i="17"/>
  <c r="X48" i="17"/>
  <c r="W48" i="17"/>
  <c r="V48" i="17"/>
  <c r="U48" i="17"/>
  <c r="T48" i="17"/>
  <c r="S48" i="17"/>
  <c r="R48" i="17"/>
  <c r="R47" i="17"/>
  <c r="S47" i="17" s="1"/>
  <c r="T47" i="17" s="1"/>
  <c r="U47" i="17" s="1"/>
  <c r="V47" i="17" s="1"/>
  <c r="W47" i="17" s="1"/>
  <c r="X47" i="17" s="1"/>
  <c r="Y47" i="17" s="1"/>
  <c r="Z47" i="17" s="1"/>
  <c r="AA47" i="17" s="1"/>
  <c r="AB47" i="17" s="1"/>
  <c r="AC47" i="17" s="1"/>
  <c r="AD47" i="17" s="1"/>
  <c r="AE47" i="17" s="1"/>
  <c r="AF47" i="17" s="1"/>
  <c r="AG47" i="17" s="1"/>
  <c r="AH47" i="17" s="1"/>
  <c r="L47" i="17"/>
  <c r="M47" i="17"/>
  <c r="N47" i="17" s="1"/>
  <c r="O47" i="17" s="1"/>
  <c r="P47" i="17" s="1"/>
  <c r="I47" i="17"/>
  <c r="J47" i="17"/>
  <c r="I45" i="17"/>
  <c r="J45" i="17" s="1"/>
  <c r="K45" i="17"/>
  <c r="L45" i="17" s="1"/>
  <c r="M45" i="17" s="1"/>
  <c r="N45" i="17" s="1"/>
  <c r="O45" i="17" s="1"/>
  <c r="P45" i="17"/>
  <c r="Q45" i="17" s="1"/>
  <c r="R45" i="17" s="1"/>
  <c r="S45" i="17" s="1"/>
  <c r="T45" i="17" s="1"/>
  <c r="U45" i="17" s="1"/>
  <c r="V45" i="17" s="1"/>
  <c r="W45" i="17" s="1"/>
  <c r="X45" i="17" s="1"/>
  <c r="Y45" i="17" s="1"/>
  <c r="Z45" i="17" s="1"/>
  <c r="AA45" i="17" s="1"/>
  <c r="AB45" i="17" s="1"/>
  <c r="AC45" i="17" s="1"/>
  <c r="AD45" i="17" s="1"/>
  <c r="AE45" i="17" s="1"/>
  <c r="AF45" i="17" s="1"/>
  <c r="AG45" i="17" s="1"/>
  <c r="AH45" i="17" s="1"/>
  <c r="I41" i="17"/>
  <c r="J41" i="17" s="1"/>
  <c r="K41" i="17" s="1"/>
  <c r="L41" i="17" s="1"/>
  <c r="M41" i="17"/>
  <c r="N41" i="17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AG41" i="17" s="1"/>
  <c r="AH41" i="17" s="1"/>
  <c r="I39" i="17"/>
  <c r="J39" i="17"/>
  <c r="K39" i="17"/>
  <c r="L39" i="17" s="1"/>
  <c r="M39" i="17"/>
  <c r="N39" i="17" s="1"/>
  <c r="O39" i="17" s="1"/>
  <c r="P39" i="17" s="1"/>
  <c r="Q39" i="17" s="1"/>
  <c r="R39" i="17" s="1"/>
  <c r="S39" i="17" s="1"/>
  <c r="T39" i="17" s="1"/>
  <c r="U39" i="17" s="1"/>
  <c r="V39" i="17" s="1"/>
  <c r="W39" i="17" s="1"/>
  <c r="X39" i="17" s="1"/>
  <c r="Y39" i="17" s="1"/>
  <c r="Z39" i="17" s="1"/>
  <c r="AA39" i="17" s="1"/>
  <c r="AB39" i="17" s="1"/>
  <c r="AC39" i="17" s="1"/>
  <c r="AD39" i="17" s="1"/>
  <c r="AE39" i="17" s="1"/>
  <c r="AF39" i="17" s="1"/>
  <c r="AG39" i="17" s="1"/>
  <c r="AH39" i="17" s="1"/>
  <c r="I37" i="17"/>
  <c r="J37" i="17"/>
  <c r="K37" i="17" s="1"/>
  <c r="L37" i="17" s="1"/>
  <c r="M37" i="17" s="1"/>
  <c r="N37" i="17" s="1"/>
  <c r="O37" i="17"/>
  <c r="P37" i="17" s="1"/>
  <c r="Q37" i="17" s="1"/>
  <c r="R37" i="17" s="1"/>
  <c r="S37" i="17" s="1"/>
  <c r="T37" i="17" s="1"/>
  <c r="U37" i="17" s="1"/>
  <c r="V37" i="17" s="1"/>
  <c r="W37" i="17" s="1"/>
  <c r="X37" i="17" s="1"/>
  <c r="Y37" i="17" s="1"/>
  <c r="Z37" i="17" s="1"/>
  <c r="AA37" i="17" s="1"/>
  <c r="AB37" i="17" s="1"/>
  <c r="AC37" i="17" s="1"/>
  <c r="AD37" i="17" s="1"/>
  <c r="AE37" i="17" s="1"/>
  <c r="AF37" i="17" s="1"/>
  <c r="AG37" i="17" s="1"/>
  <c r="AH37" i="17" s="1"/>
  <c r="I35" i="17"/>
  <c r="J35" i="17" s="1"/>
  <c r="K35" i="17" s="1"/>
  <c r="L35" i="17"/>
  <c r="M35" i="17"/>
  <c r="N35" i="17" s="1"/>
  <c r="O35" i="17" s="1"/>
  <c r="P35" i="17" s="1"/>
  <c r="Q35" i="17" s="1"/>
  <c r="R35" i="17" s="1"/>
  <c r="S35" i="17" s="1"/>
  <c r="T35" i="17" s="1"/>
  <c r="U35" i="17" s="1"/>
  <c r="V35" i="17" s="1"/>
  <c r="W35" i="17" s="1"/>
  <c r="X35" i="17" s="1"/>
  <c r="Y35" i="17" s="1"/>
  <c r="Z35" i="17" s="1"/>
  <c r="AA35" i="17" s="1"/>
  <c r="AB35" i="17" s="1"/>
  <c r="AC35" i="17" s="1"/>
  <c r="AD35" i="17" s="1"/>
  <c r="AE35" i="17" s="1"/>
  <c r="AF35" i="17" s="1"/>
  <c r="AG35" i="17" s="1"/>
  <c r="AH35" i="17" s="1"/>
  <c r="I33" i="17"/>
  <c r="J33" i="17" s="1"/>
  <c r="K33" i="17" s="1"/>
  <c r="L33" i="17" s="1"/>
  <c r="M33" i="17" s="1"/>
  <c r="N33" i="17" s="1"/>
  <c r="O33" i="17" s="1"/>
  <c r="P33" i="17" s="1"/>
  <c r="Q33" i="17" s="1"/>
  <c r="R33" i="17" s="1"/>
  <c r="S33" i="17" s="1"/>
  <c r="T33" i="17" s="1"/>
  <c r="U33" i="17" s="1"/>
  <c r="V33" i="17" s="1"/>
  <c r="W33" i="17" s="1"/>
  <c r="X33" i="17" s="1"/>
  <c r="Y33" i="17" s="1"/>
  <c r="Z33" i="17" s="1"/>
  <c r="AA33" i="17" s="1"/>
  <c r="AB33" i="17" s="1"/>
  <c r="AC33" i="17" s="1"/>
  <c r="AD33" i="17" s="1"/>
  <c r="AE33" i="17" s="1"/>
  <c r="AF33" i="17" s="1"/>
  <c r="AG33" i="17" s="1"/>
  <c r="AH33" i="17" s="1"/>
  <c r="I31" i="17"/>
  <c r="J31" i="17" s="1"/>
  <c r="K31" i="17" s="1"/>
  <c r="L31" i="17" s="1"/>
  <c r="M31" i="17" s="1"/>
  <c r="N31" i="17" s="1"/>
  <c r="O31" i="17" s="1"/>
  <c r="P31" i="17" s="1"/>
  <c r="Q31" i="17" s="1"/>
  <c r="R31" i="17" s="1"/>
  <c r="S31" i="17" s="1"/>
  <c r="T31" i="17" s="1"/>
  <c r="U31" i="17" s="1"/>
  <c r="V31" i="17" s="1"/>
  <c r="W31" i="17" s="1"/>
  <c r="X31" i="17" s="1"/>
  <c r="Y31" i="17" s="1"/>
  <c r="Z31" i="17" s="1"/>
  <c r="AA31" i="17" s="1"/>
  <c r="AB31" i="17" s="1"/>
  <c r="AC31" i="17" s="1"/>
  <c r="AD31" i="17" s="1"/>
  <c r="AE31" i="17" s="1"/>
  <c r="AF31" i="17" s="1"/>
  <c r="AG31" i="17" s="1"/>
  <c r="AH31" i="17" s="1"/>
  <c r="I29" i="17"/>
  <c r="J29" i="17" s="1"/>
  <c r="K29" i="17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AG29" i="17" s="1"/>
  <c r="AH29" i="17" s="1"/>
  <c r="I27" i="17"/>
  <c r="J27" i="17" s="1"/>
  <c r="K27" i="17"/>
  <c r="L27" i="17" s="1"/>
  <c r="M27" i="17" s="1"/>
  <c r="N27" i="17" s="1"/>
  <c r="O27" i="17" s="1"/>
  <c r="P27" i="17" s="1"/>
  <c r="Q27" i="17" s="1"/>
  <c r="R27" i="17" s="1"/>
  <c r="S27" i="17" s="1"/>
  <c r="T27" i="17" s="1"/>
  <c r="U27" i="17" s="1"/>
  <c r="V27" i="17" s="1"/>
  <c r="W27" i="17" s="1"/>
  <c r="X27" i="17" s="1"/>
  <c r="Y27" i="17" s="1"/>
  <c r="Z27" i="17" s="1"/>
  <c r="AA27" i="17" s="1"/>
  <c r="AB27" i="17" s="1"/>
  <c r="AC27" i="17" s="1"/>
  <c r="AD27" i="17" s="1"/>
  <c r="AE27" i="17" s="1"/>
  <c r="AF27" i="17" s="1"/>
  <c r="AG27" i="17" s="1"/>
  <c r="AH27" i="17" s="1"/>
  <c r="I25" i="17"/>
  <c r="J25" i="17" s="1"/>
  <c r="K25" i="17" s="1"/>
  <c r="L25" i="17"/>
  <c r="M25" i="17" s="1"/>
  <c r="N25" i="17" s="1"/>
  <c r="O25" i="17" s="1"/>
  <c r="P25" i="17" s="1"/>
  <c r="Q25" i="17" s="1"/>
  <c r="I23" i="17"/>
  <c r="J23" i="17" s="1"/>
  <c r="R23" i="17"/>
  <c r="S23" i="17"/>
  <c r="T23" i="17" s="1"/>
  <c r="U23" i="17"/>
  <c r="V23" i="17" s="1"/>
  <c r="W23" i="17" s="1"/>
  <c r="X23" i="17" s="1"/>
  <c r="Y23" i="17" s="1"/>
  <c r="Z23" i="17" s="1"/>
  <c r="AA23" i="17" s="1"/>
  <c r="AB23" i="17" s="1"/>
  <c r="AC23" i="17" s="1"/>
  <c r="AD23" i="17" s="1"/>
  <c r="AE23" i="17" s="1"/>
  <c r="AF23" i="17" s="1"/>
  <c r="AG23" i="17" s="1"/>
  <c r="AH23" i="17" s="1"/>
  <c r="I21" i="17"/>
  <c r="J21" i="17"/>
  <c r="K21" i="17" s="1"/>
  <c r="L21" i="17" s="1"/>
  <c r="M21" i="17" s="1"/>
  <c r="N21" i="17" s="1"/>
  <c r="O21" i="17"/>
  <c r="P21" i="17" s="1"/>
  <c r="R21" i="17"/>
  <c r="S21" i="17"/>
  <c r="AV25" i="17"/>
  <c r="AW25" i="17" s="1"/>
  <c r="AX25" i="17" s="1"/>
  <c r="AY25" i="17" s="1"/>
  <c r="AZ25" i="17" s="1"/>
  <c r="BA25" i="17" s="1"/>
  <c r="BB25" i="17" s="1"/>
  <c r="BC25" i="17" s="1"/>
  <c r="BD25" i="17" s="1"/>
  <c r="BE25" i="17" s="1"/>
  <c r="BF25" i="17" s="1"/>
  <c r="BG25" i="17" s="1"/>
  <c r="BH25" i="17" s="1"/>
  <c r="BI25" i="17" s="1"/>
  <c r="BJ25" i="17" s="1"/>
  <c r="BK25" i="17" s="1"/>
  <c r="BL25" i="17" s="1"/>
  <c r="BM25" i="17" s="1"/>
  <c r="BN25" i="17" s="1"/>
  <c r="BO25" i="17" s="1"/>
  <c r="BP25" i="17" s="1"/>
  <c r="BQ25" i="17" s="1"/>
  <c r="BR25" i="17" s="1"/>
  <c r="BS25" i="17" s="1"/>
  <c r="BT25" i="17" s="1"/>
  <c r="BU25" i="17" s="1"/>
  <c r="BV25" i="17" s="1"/>
  <c r="BW25" i="17" s="1"/>
  <c r="BX25" i="17" s="1"/>
  <c r="BY25" i="17" s="1"/>
  <c r="BZ25" i="17" s="1"/>
  <c r="CA25" i="17" s="1"/>
  <c r="CB25" i="17" s="1"/>
  <c r="CC25" i="17" s="1"/>
  <c r="CD25" i="17" s="1"/>
  <c r="CE25" i="17" s="1"/>
  <c r="CF25" i="17" s="1"/>
  <c r="CG25" i="17" s="1"/>
  <c r="CH25" i="17" s="1"/>
  <c r="CI25" i="17" s="1"/>
  <c r="CJ25" i="17" s="1"/>
  <c r="CK25" i="17" s="1"/>
  <c r="CL25" i="17" s="1"/>
  <c r="CM25" i="17" s="1"/>
  <c r="CN25" i="17" s="1"/>
  <c r="CO25" i="17" s="1"/>
  <c r="CP25" i="17" s="1"/>
  <c r="CQ25" i="17" s="1"/>
  <c r="CR25" i="17" s="1"/>
  <c r="CS25" i="17" s="1"/>
  <c r="CT25" i="17" s="1"/>
  <c r="CU25" i="17" s="1"/>
  <c r="CV25" i="17" s="1"/>
  <c r="CW25" i="17" s="1"/>
  <c r="CX25" i="17" s="1"/>
  <c r="CY25" i="17" s="1"/>
  <c r="CZ25" i="17" s="1"/>
  <c r="DA25" i="17" s="1"/>
  <c r="DB25" i="17" s="1"/>
  <c r="DC25" i="17" s="1"/>
  <c r="DD25" i="17" s="1"/>
  <c r="DE25" i="17" s="1"/>
  <c r="DF25" i="17" s="1"/>
  <c r="DG25" i="17" s="1"/>
  <c r="DH25" i="17" s="1"/>
  <c r="DI25" i="17" s="1"/>
  <c r="DJ25" i="17" s="1"/>
  <c r="DK25" i="17" s="1"/>
  <c r="DL25" i="17" s="1"/>
  <c r="DM25" i="17" s="1"/>
  <c r="DN25" i="17" s="1"/>
  <c r="DO25" i="17" s="1"/>
  <c r="DP25" i="17" s="1"/>
  <c r="DQ25" i="17" s="1"/>
  <c r="DR25" i="17" s="1"/>
  <c r="DS25" i="17" s="1"/>
  <c r="DT25" i="17" s="1"/>
  <c r="DU25" i="17" s="1"/>
  <c r="DV25" i="17" s="1"/>
  <c r="DW25" i="17" s="1"/>
  <c r="DX25" i="17" s="1"/>
  <c r="DY25" i="17" s="1"/>
  <c r="DZ25" i="17" s="1"/>
  <c r="EA25" i="17" s="1"/>
  <c r="EB25" i="17" s="1"/>
  <c r="EC25" i="17" s="1"/>
  <c r="ED25" i="17" s="1"/>
  <c r="EE25" i="17" s="1"/>
  <c r="EF25" i="17" s="1"/>
  <c r="EG25" i="17" s="1"/>
  <c r="EH25" i="17" s="1"/>
  <c r="EI25" i="17" s="1"/>
  <c r="EJ25" i="17" s="1"/>
  <c r="EK25" i="17" s="1"/>
  <c r="EL25" i="17" s="1"/>
  <c r="EM25" i="17" s="1"/>
  <c r="EN25" i="17" s="1"/>
  <c r="EO25" i="17" s="1"/>
  <c r="EP25" i="17" s="1"/>
  <c r="EQ25" i="17" s="1"/>
  <c r="ER25" i="17" s="1"/>
  <c r="ES25" i="17" s="1"/>
  <c r="ET25" i="17" s="1"/>
  <c r="P48" i="17"/>
  <c r="I43" i="17"/>
  <c r="J43" i="17"/>
  <c r="K43" i="17"/>
  <c r="L43" i="17" s="1"/>
  <c r="M43" i="17" s="1"/>
  <c r="N43" i="17" s="1"/>
  <c r="O43" i="17" s="1"/>
  <c r="P43" i="17" s="1"/>
  <c r="Q43" i="17" s="1"/>
  <c r="R43" i="17" s="1"/>
  <c r="S43" i="17" s="1"/>
  <c r="T43" i="17" s="1"/>
  <c r="U43" i="17" s="1"/>
  <c r="V43" i="17" s="1"/>
  <c r="W43" i="17" s="1"/>
  <c r="X43" i="17" s="1"/>
  <c r="Y43" i="17" s="1"/>
  <c r="Z43" i="17" s="1"/>
  <c r="AA43" i="17" s="1"/>
  <c r="AB43" i="17" s="1"/>
  <c r="AC43" i="17" s="1"/>
  <c r="AD43" i="17" s="1"/>
  <c r="AE43" i="17" s="1"/>
  <c r="AF43" i="17" s="1"/>
  <c r="AG43" i="17" s="1"/>
  <c r="AH43" i="17" s="1"/>
  <c r="Q48" i="17"/>
  <c r="O48" i="17"/>
  <c r="DR23" i="17"/>
  <c r="DS23" i="17"/>
  <c r="DT23" i="17" s="1"/>
  <c r="DU23" i="17" s="1"/>
  <c r="DV23" i="17" s="1"/>
  <c r="DW23" i="17"/>
  <c r="DX23" i="17" s="1"/>
  <c r="DY23" i="17" s="1"/>
  <c r="DZ23" i="17" s="1"/>
  <c r="EA23" i="17" s="1"/>
  <c r="EB23" i="17" s="1"/>
  <c r="EC23" i="17" s="1"/>
  <c r="ED23" i="17" s="1"/>
  <c r="EE23" i="17" s="1"/>
  <c r="EF23" i="17" s="1"/>
  <c r="EG23" i="17" s="1"/>
  <c r="EH23" i="17" s="1"/>
  <c r="EI23" i="17" s="1"/>
  <c r="EJ23" i="17" s="1"/>
  <c r="EK23" i="17" s="1"/>
  <c r="EL23" i="17" s="1"/>
  <c r="EM23" i="17" s="1"/>
  <c r="EN23" i="17" s="1"/>
  <c r="EO23" i="17" s="1"/>
  <c r="EP23" i="17" s="1"/>
  <c r="EQ23" i="17" s="1"/>
  <c r="ER23" i="17" s="1"/>
  <c r="ES23" i="17" s="1"/>
  <c r="ET23" i="17" s="1"/>
  <c r="N48" i="17"/>
  <c r="E2" i="18"/>
  <c r="F2" i="18"/>
  <c r="G2" i="18"/>
  <c r="H2" i="18"/>
  <c r="I2" i="18"/>
  <c r="D2" i="18"/>
  <c r="L48" i="17"/>
  <c r="M48" i="17"/>
  <c r="K48" i="17"/>
  <c r="J48" i="17"/>
  <c r="I48" i="17"/>
  <c r="I49" i="17"/>
  <c r="AB48" i="17"/>
  <c r="DS48" i="17"/>
  <c r="DT48" i="17"/>
  <c r="DU48" i="17"/>
  <c r="DR48" i="17"/>
  <c r="KL50" i="20" l="1"/>
  <c r="KL54" i="20" s="1"/>
  <c r="KL55" i="20" s="1"/>
  <c r="J21" i="20"/>
  <c r="K21" i="20" s="1"/>
  <c r="L21" i="20" s="1"/>
  <c r="M21" i="20" s="1"/>
  <c r="N21" i="20" s="1"/>
  <c r="O21" i="20" s="1"/>
  <c r="P21" i="20" s="1"/>
  <c r="Q21" i="20" s="1"/>
  <c r="R21" i="20" s="1"/>
  <c r="S21" i="20" s="1"/>
  <c r="T21" i="20" s="1"/>
  <c r="U21" i="20" s="1"/>
  <c r="V21" i="20" s="1"/>
  <c r="W21" i="20" s="1"/>
  <c r="X21" i="20" s="1"/>
  <c r="Y21" i="20" s="1"/>
  <c r="Z21" i="20" s="1"/>
  <c r="AA21" i="20" s="1"/>
  <c r="AB21" i="20" s="1"/>
  <c r="AC21" i="20" s="1"/>
  <c r="AD21" i="20" s="1"/>
  <c r="AE21" i="20" s="1"/>
  <c r="AF21" i="20" s="1"/>
  <c r="AG21" i="20" s="1"/>
  <c r="AH21" i="20" s="1"/>
  <c r="AD39" i="20"/>
  <c r="AE39" i="20" s="1"/>
  <c r="AF39" i="20" s="1"/>
  <c r="AG39" i="20" s="1"/>
  <c r="AH39" i="20" s="1"/>
  <c r="AD49" i="20"/>
  <c r="AE49" i="20" s="1"/>
  <c r="AF49" i="20" s="1"/>
  <c r="AG49" i="20" s="1"/>
  <c r="AH49" i="20" s="1"/>
  <c r="GB21" i="20"/>
  <c r="GC21" i="20" s="1"/>
  <c r="GD21" i="20" s="1"/>
  <c r="GE21" i="20" s="1"/>
  <c r="GF21" i="20" s="1"/>
  <c r="GG21" i="20" s="1"/>
  <c r="GH21" i="20" s="1"/>
  <c r="GI21" i="20" s="1"/>
  <c r="GJ21" i="20" s="1"/>
  <c r="GK21" i="20" s="1"/>
  <c r="GL21" i="20" s="1"/>
  <c r="GM21" i="20" s="1"/>
  <c r="GN21" i="20" s="1"/>
  <c r="GO21" i="20" s="1"/>
  <c r="GP21" i="20" s="1"/>
  <c r="GQ21" i="20" s="1"/>
  <c r="GR21" i="20" s="1"/>
  <c r="GS21" i="20" s="1"/>
  <c r="GT21" i="20" s="1"/>
  <c r="GU21" i="20" s="1"/>
  <c r="GV21" i="20" s="1"/>
  <c r="GW21" i="20" s="1"/>
  <c r="GX21" i="20" s="1"/>
  <c r="GY21" i="20" s="1"/>
  <c r="GZ21" i="20" s="1"/>
  <c r="HA21" i="20" s="1"/>
  <c r="HB21" i="20" s="1"/>
  <c r="HC21" i="20" s="1"/>
  <c r="HD21" i="20" s="1"/>
  <c r="HE21" i="20" s="1"/>
  <c r="HF21" i="20" s="1"/>
  <c r="HG21" i="20" s="1"/>
  <c r="HH21" i="20" s="1"/>
  <c r="HI21" i="20" s="1"/>
  <c r="HJ21" i="20" s="1"/>
  <c r="HK21" i="20" s="1"/>
  <c r="HL21" i="20" s="1"/>
  <c r="HM21" i="20" s="1"/>
  <c r="HN21" i="20" s="1"/>
  <c r="HO21" i="20" s="1"/>
  <c r="HP21" i="20" s="1"/>
  <c r="HQ21" i="20" s="1"/>
  <c r="HR21" i="20" s="1"/>
  <c r="HS21" i="20" s="1"/>
  <c r="HT21" i="20" s="1"/>
  <c r="HU21" i="20" s="1"/>
  <c r="HV21" i="20" s="1"/>
  <c r="HW21" i="20" s="1"/>
  <c r="HX21" i="20" s="1"/>
  <c r="HY21" i="20" s="1"/>
  <c r="HZ21" i="20" s="1"/>
  <c r="IA21" i="20" s="1"/>
  <c r="IC21" i="20" s="1"/>
  <c r="ID21" i="20" s="1"/>
  <c r="AI21" i="20"/>
  <c r="GB23" i="20"/>
  <c r="GC23" i="20" s="1"/>
  <c r="GD23" i="20" s="1"/>
  <c r="GE23" i="20" s="1"/>
  <c r="GF23" i="20" s="1"/>
  <c r="GG23" i="20" s="1"/>
  <c r="GH23" i="20" s="1"/>
  <c r="GI23" i="20" s="1"/>
  <c r="GJ23" i="20" s="1"/>
  <c r="GK23" i="20" s="1"/>
  <c r="GL23" i="20" s="1"/>
  <c r="GM23" i="20" s="1"/>
  <c r="GN23" i="20" s="1"/>
  <c r="GO23" i="20" s="1"/>
  <c r="GP23" i="20" s="1"/>
  <c r="GQ23" i="20" s="1"/>
  <c r="GR23" i="20" s="1"/>
  <c r="GS23" i="20" s="1"/>
  <c r="GT23" i="20" s="1"/>
  <c r="GU23" i="20" s="1"/>
  <c r="GV23" i="20" s="1"/>
  <c r="GW23" i="20" s="1"/>
  <c r="GX23" i="20" s="1"/>
  <c r="GY23" i="20" s="1"/>
  <c r="GZ23" i="20" s="1"/>
  <c r="HA23" i="20" s="1"/>
  <c r="HB23" i="20" s="1"/>
  <c r="HC23" i="20" s="1"/>
  <c r="HD23" i="20" s="1"/>
  <c r="HE23" i="20" s="1"/>
  <c r="HF23" i="20" s="1"/>
  <c r="HG23" i="20" s="1"/>
  <c r="HH23" i="20" s="1"/>
  <c r="HI23" i="20" s="1"/>
  <c r="HJ23" i="20" s="1"/>
  <c r="HK23" i="20" s="1"/>
  <c r="HL23" i="20" s="1"/>
  <c r="HM23" i="20" s="1"/>
  <c r="HN23" i="20" s="1"/>
  <c r="HO23" i="20" s="1"/>
  <c r="HP23" i="20" s="1"/>
  <c r="HQ23" i="20" s="1"/>
  <c r="HR23" i="20" s="1"/>
  <c r="HS23" i="20" s="1"/>
  <c r="HT23" i="20" s="1"/>
  <c r="HU23" i="20" s="1"/>
  <c r="HV23" i="20" s="1"/>
  <c r="HW23" i="20" s="1"/>
  <c r="HX23" i="20" s="1"/>
  <c r="HY23" i="20" s="1"/>
  <c r="HZ23" i="20" s="1"/>
  <c r="IA23" i="20" s="1"/>
  <c r="IC23" i="20" s="1"/>
  <c r="ID23" i="20" s="1"/>
  <c r="AI23" i="20"/>
  <c r="GB25" i="20"/>
  <c r="GC25" i="20" s="1"/>
  <c r="GD25" i="20" s="1"/>
  <c r="GE25" i="20" s="1"/>
  <c r="GF25" i="20" s="1"/>
  <c r="GG25" i="20" s="1"/>
  <c r="GH25" i="20" s="1"/>
  <c r="GI25" i="20" s="1"/>
  <c r="GJ25" i="20" s="1"/>
  <c r="GK25" i="20" s="1"/>
  <c r="GL25" i="20" s="1"/>
  <c r="GM25" i="20" s="1"/>
  <c r="GN25" i="20" s="1"/>
  <c r="GO25" i="20" s="1"/>
  <c r="GP25" i="20" s="1"/>
  <c r="GQ25" i="20" s="1"/>
  <c r="GR25" i="20" s="1"/>
  <c r="GS25" i="20" s="1"/>
  <c r="GT25" i="20" s="1"/>
  <c r="GU25" i="20" s="1"/>
  <c r="GV25" i="20" s="1"/>
  <c r="GW25" i="20" s="1"/>
  <c r="GX25" i="20" s="1"/>
  <c r="GY25" i="20" s="1"/>
  <c r="GZ25" i="20" s="1"/>
  <c r="HA25" i="20" s="1"/>
  <c r="HB25" i="20" s="1"/>
  <c r="HC25" i="20" s="1"/>
  <c r="HD25" i="20" s="1"/>
  <c r="HE25" i="20" s="1"/>
  <c r="HF25" i="20" s="1"/>
  <c r="HG25" i="20" s="1"/>
  <c r="HH25" i="20" s="1"/>
  <c r="HI25" i="20" s="1"/>
  <c r="HJ25" i="20" s="1"/>
  <c r="HK25" i="20" s="1"/>
  <c r="HL25" i="20" s="1"/>
  <c r="HM25" i="20" s="1"/>
  <c r="HN25" i="20" s="1"/>
  <c r="HO25" i="20" s="1"/>
  <c r="HP25" i="20" s="1"/>
  <c r="HQ25" i="20" s="1"/>
  <c r="HR25" i="20" s="1"/>
  <c r="HS25" i="20" s="1"/>
  <c r="HT25" i="20" s="1"/>
  <c r="HU25" i="20" s="1"/>
  <c r="HV25" i="20" s="1"/>
  <c r="HW25" i="20" s="1"/>
  <c r="HX25" i="20" s="1"/>
  <c r="HY25" i="20" s="1"/>
  <c r="HZ25" i="20" s="1"/>
  <c r="IA25" i="20" s="1"/>
  <c r="IC25" i="20" s="1"/>
  <c r="ID25" i="20" s="1"/>
  <c r="AI25" i="20"/>
  <c r="GB37" i="20"/>
  <c r="GC37" i="20" s="1"/>
  <c r="GD37" i="20" s="1"/>
  <c r="GE37" i="20" s="1"/>
  <c r="GF37" i="20" s="1"/>
  <c r="GG37" i="20" s="1"/>
  <c r="GH37" i="20" s="1"/>
  <c r="GI37" i="20" s="1"/>
  <c r="GJ37" i="20" s="1"/>
  <c r="GK37" i="20" s="1"/>
  <c r="GL37" i="20" s="1"/>
  <c r="GM37" i="20" s="1"/>
  <c r="GN37" i="20" s="1"/>
  <c r="GO37" i="20" s="1"/>
  <c r="GP37" i="20" s="1"/>
  <c r="GQ37" i="20" s="1"/>
  <c r="GR37" i="20" s="1"/>
  <c r="GS37" i="20" s="1"/>
  <c r="GT37" i="20" s="1"/>
  <c r="GU37" i="20" s="1"/>
  <c r="GV37" i="20" s="1"/>
  <c r="GW37" i="20" s="1"/>
  <c r="GX37" i="20" s="1"/>
  <c r="GY37" i="20" s="1"/>
  <c r="GZ37" i="20" s="1"/>
  <c r="HA37" i="20" s="1"/>
  <c r="HB37" i="20" s="1"/>
  <c r="HC37" i="20" s="1"/>
  <c r="HD37" i="20" s="1"/>
  <c r="HE37" i="20" s="1"/>
  <c r="HF37" i="20" s="1"/>
  <c r="HG37" i="20" s="1"/>
  <c r="HH37" i="20" s="1"/>
  <c r="HI37" i="20" s="1"/>
  <c r="HJ37" i="20" s="1"/>
  <c r="HK37" i="20" s="1"/>
  <c r="HL37" i="20" s="1"/>
  <c r="HM37" i="20" s="1"/>
  <c r="HN37" i="20" s="1"/>
  <c r="HO37" i="20" s="1"/>
  <c r="HP37" i="20" s="1"/>
  <c r="HQ37" i="20" s="1"/>
  <c r="HR37" i="20" s="1"/>
  <c r="HS37" i="20" s="1"/>
  <c r="HT37" i="20" s="1"/>
  <c r="HU37" i="20" s="1"/>
  <c r="HV37" i="20" s="1"/>
  <c r="HW37" i="20" s="1"/>
  <c r="HX37" i="20" s="1"/>
  <c r="HY37" i="20" s="1"/>
  <c r="HZ37" i="20" s="1"/>
  <c r="IA37" i="20" s="1"/>
  <c r="IB37" i="20" s="1"/>
  <c r="IC37" i="20" s="1"/>
  <c r="ID37" i="20" s="1"/>
  <c r="IE37" i="20" s="1"/>
  <c r="IF37" i="20" s="1"/>
  <c r="IG37" i="20" s="1"/>
  <c r="IH37" i="20" s="1"/>
  <c r="II37" i="20" s="1"/>
  <c r="IJ37" i="20" s="1"/>
  <c r="IK37" i="20" s="1"/>
  <c r="IL37" i="20" s="1"/>
  <c r="IM37" i="20" s="1"/>
  <c r="AI37" i="20"/>
  <c r="GB49" i="20"/>
  <c r="GC49" i="20" s="1"/>
  <c r="GD49" i="20" s="1"/>
  <c r="GE49" i="20" s="1"/>
  <c r="GF49" i="20" s="1"/>
  <c r="GG49" i="20" s="1"/>
  <c r="GH49" i="20" s="1"/>
  <c r="GI49" i="20" s="1"/>
  <c r="GJ49" i="20" s="1"/>
  <c r="GK49" i="20" s="1"/>
  <c r="GL49" i="20" s="1"/>
  <c r="GM49" i="20" s="1"/>
  <c r="GN49" i="20" s="1"/>
  <c r="GO49" i="20" s="1"/>
  <c r="GP49" i="20" s="1"/>
  <c r="GQ49" i="20" s="1"/>
  <c r="GR49" i="20" s="1"/>
  <c r="GS49" i="20" s="1"/>
  <c r="GT49" i="20" s="1"/>
  <c r="GU49" i="20" s="1"/>
  <c r="GV49" i="20" s="1"/>
  <c r="GW49" i="20" s="1"/>
  <c r="GX49" i="20" s="1"/>
  <c r="GY49" i="20" s="1"/>
  <c r="GZ49" i="20" s="1"/>
  <c r="HA49" i="20" s="1"/>
  <c r="HB49" i="20" s="1"/>
  <c r="HC49" i="20" s="1"/>
  <c r="HD49" i="20" s="1"/>
  <c r="HE49" i="20" s="1"/>
  <c r="HF49" i="20" s="1"/>
  <c r="HG49" i="20" s="1"/>
  <c r="HH49" i="20" s="1"/>
  <c r="HI49" i="20" s="1"/>
  <c r="HJ49" i="20" s="1"/>
  <c r="HK49" i="20" s="1"/>
  <c r="HL49" i="20" s="1"/>
  <c r="HM49" i="20" s="1"/>
  <c r="HN49" i="20" s="1"/>
  <c r="HO49" i="20" s="1"/>
  <c r="HP49" i="20" s="1"/>
  <c r="HQ49" i="20" s="1"/>
  <c r="HR49" i="20" s="1"/>
  <c r="HS49" i="20" s="1"/>
  <c r="HT49" i="20" s="1"/>
  <c r="HU49" i="20" s="1"/>
  <c r="HV49" i="20" s="1"/>
  <c r="HW49" i="20" s="1"/>
  <c r="HX49" i="20" s="1"/>
  <c r="HY49" i="20" s="1"/>
  <c r="HZ49" i="20" s="1"/>
  <c r="IA49" i="20" s="1"/>
  <c r="IB49" i="20" s="1"/>
  <c r="IC49" i="20" s="1"/>
  <c r="ID49" i="20" s="1"/>
  <c r="IE49" i="20" s="1"/>
  <c r="IF49" i="20" s="1"/>
  <c r="IG49" i="20" s="1"/>
  <c r="IH49" i="20" s="1"/>
  <c r="II49" i="20" s="1"/>
  <c r="IJ49" i="20" s="1"/>
  <c r="IK49" i="20" s="1"/>
  <c r="IL49" i="20" s="1"/>
  <c r="IM49" i="20" s="1"/>
  <c r="IN49" i="20" s="1"/>
  <c r="IO49" i="20" s="1"/>
  <c r="IP49" i="20" s="1"/>
  <c r="IQ49" i="20" s="1"/>
  <c r="IR49" i="20" s="1"/>
  <c r="IS49" i="20" s="1"/>
  <c r="IT49" i="20" s="1"/>
  <c r="IU49" i="20" s="1"/>
  <c r="IV49" i="20" s="1"/>
  <c r="IW49" i="20" s="1"/>
  <c r="IX49" i="20" s="1"/>
  <c r="IY49" i="20" s="1"/>
  <c r="IZ49" i="20" s="1"/>
  <c r="JA49" i="20" s="1"/>
  <c r="JB49" i="20" s="1"/>
  <c r="JC49" i="20" s="1"/>
  <c r="JD49" i="20" s="1"/>
  <c r="JE49" i="20" s="1"/>
  <c r="JF49" i="20" s="1"/>
  <c r="JG49" i="20" s="1"/>
  <c r="JH49" i="20" s="1"/>
  <c r="JI49" i="20" s="1"/>
  <c r="JJ49" i="20" s="1"/>
  <c r="JK49" i="20" s="1"/>
  <c r="JL49" i="20" s="1"/>
  <c r="JM49" i="20" s="1"/>
  <c r="JN49" i="20" s="1"/>
  <c r="JO49" i="20" s="1"/>
  <c r="JP49" i="20" s="1"/>
  <c r="JQ49" i="20" s="1"/>
  <c r="JR49" i="20" s="1"/>
  <c r="JS49" i="20" s="1"/>
  <c r="JT49" i="20" s="1"/>
  <c r="JU49" i="20" s="1"/>
  <c r="JV49" i="20" s="1"/>
  <c r="JW49" i="20" s="1"/>
  <c r="JX49" i="20" s="1"/>
  <c r="JY49" i="20" s="1"/>
  <c r="JZ49" i="20" s="1"/>
  <c r="KA49" i="20" s="1"/>
  <c r="KB49" i="20" s="1"/>
  <c r="KC49" i="20" s="1"/>
  <c r="KD49" i="20" s="1"/>
  <c r="KE49" i="20" s="1"/>
  <c r="KF49" i="20" s="1"/>
  <c r="KG49" i="20" s="1"/>
  <c r="KH49" i="20" s="1"/>
  <c r="KI49" i="20" s="1"/>
  <c r="KJ49" i="20" s="1"/>
  <c r="KK49" i="20" s="1"/>
  <c r="KL49" i="20" s="1"/>
  <c r="AI49" i="20"/>
  <c r="GB31" i="20"/>
  <c r="GC31" i="20" s="1"/>
  <c r="GD31" i="20" s="1"/>
  <c r="GE31" i="20" s="1"/>
  <c r="GF31" i="20" s="1"/>
  <c r="GG31" i="20" s="1"/>
  <c r="GH31" i="20" s="1"/>
  <c r="GI31" i="20" s="1"/>
  <c r="GJ31" i="20" s="1"/>
  <c r="GK31" i="20" s="1"/>
  <c r="GL31" i="20" s="1"/>
  <c r="GM31" i="20" s="1"/>
  <c r="GN31" i="20" s="1"/>
  <c r="GO31" i="20" s="1"/>
  <c r="GP31" i="20" s="1"/>
  <c r="GQ31" i="20" s="1"/>
  <c r="GR31" i="20" s="1"/>
  <c r="GS31" i="20" s="1"/>
  <c r="GT31" i="20" s="1"/>
  <c r="GU31" i="20" s="1"/>
  <c r="GV31" i="20" s="1"/>
  <c r="GW31" i="20" s="1"/>
  <c r="GX31" i="20" s="1"/>
  <c r="GY31" i="20" s="1"/>
  <c r="GZ31" i="20" s="1"/>
  <c r="HA31" i="20" s="1"/>
  <c r="HB31" i="20" s="1"/>
  <c r="HC31" i="20" s="1"/>
  <c r="HD31" i="20" s="1"/>
  <c r="HE31" i="20" s="1"/>
  <c r="HF31" i="20" s="1"/>
  <c r="HG31" i="20" s="1"/>
  <c r="HH31" i="20" s="1"/>
  <c r="AI31" i="20"/>
  <c r="GB43" i="20"/>
  <c r="GC43" i="20" s="1"/>
  <c r="GD43" i="20" s="1"/>
  <c r="GE43" i="20" s="1"/>
  <c r="GF43" i="20" s="1"/>
  <c r="GG43" i="20" s="1"/>
  <c r="GH43" i="20" s="1"/>
  <c r="GI43" i="20" s="1"/>
  <c r="GJ43" i="20" s="1"/>
  <c r="GK43" i="20" s="1"/>
  <c r="GL43" i="20" s="1"/>
  <c r="GM43" i="20" s="1"/>
  <c r="GN43" i="20" s="1"/>
  <c r="GO43" i="20" s="1"/>
  <c r="GP43" i="20" s="1"/>
  <c r="GQ43" i="20" s="1"/>
  <c r="GR43" i="20" s="1"/>
  <c r="GS43" i="20" s="1"/>
  <c r="GT43" i="20" s="1"/>
  <c r="GU43" i="20" s="1"/>
  <c r="GV43" i="20" s="1"/>
  <c r="GW43" i="20" s="1"/>
  <c r="GX43" i="20" s="1"/>
  <c r="GY43" i="20" s="1"/>
  <c r="GZ43" i="20" s="1"/>
  <c r="HA43" i="20" s="1"/>
  <c r="HB43" i="20" s="1"/>
  <c r="HC43" i="20" s="1"/>
  <c r="HD43" i="20" s="1"/>
  <c r="HE43" i="20" s="1"/>
  <c r="HF43" i="20" s="1"/>
  <c r="HG43" i="20" s="1"/>
  <c r="HH43" i="20" s="1"/>
  <c r="HI43" i="20" s="1"/>
  <c r="HJ43" i="20" s="1"/>
  <c r="HK43" i="20" s="1"/>
  <c r="HL43" i="20" s="1"/>
  <c r="HM43" i="20" s="1"/>
  <c r="HN43" i="20" s="1"/>
  <c r="HO43" i="20" s="1"/>
  <c r="HP43" i="20" s="1"/>
  <c r="HQ43" i="20" s="1"/>
  <c r="HR43" i="20" s="1"/>
  <c r="HS43" i="20" s="1"/>
  <c r="HT43" i="20" s="1"/>
  <c r="HU43" i="20" s="1"/>
  <c r="HV43" i="20" s="1"/>
  <c r="HW43" i="20" s="1"/>
  <c r="HX43" i="20" s="1"/>
  <c r="HY43" i="20" s="1"/>
  <c r="HZ43" i="20" s="1"/>
  <c r="IA43" i="20" s="1"/>
  <c r="IB43" i="20" s="1"/>
  <c r="IC43" i="20" s="1"/>
  <c r="AI43" i="20"/>
  <c r="GB33" i="20"/>
  <c r="GC33" i="20" s="1"/>
  <c r="GD33" i="20" s="1"/>
  <c r="GE33" i="20" s="1"/>
  <c r="GF33" i="20" s="1"/>
  <c r="GG33" i="20" s="1"/>
  <c r="GH33" i="20" s="1"/>
  <c r="GI33" i="20" s="1"/>
  <c r="GJ33" i="20" s="1"/>
  <c r="GK33" i="20" s="1"/>
  <c r="GL33" i="20" s="1"/>
  <c r="GM33" i="20" s="1"/>
  <c r="GN33" i="20" s="1"/>
  <c r="GO33" i="20" s="1"/>
  <c r="GP33" i="20" s="1"/>
  <c r="GQ33" i="20" s="1"/>
  <c r="GR33" i="20" s="1"/>
  <c r="GS33" i="20" s="1"/>
  <c r="GT33" i="20" s="1"/>
  <c r="GU33" i="20" s="1"/>
  <c r="GV33" i="20" s="1"/>
  <c r="GW33" i="20" s="1"/>
  <c r="GX33" i="20" s="1"/>
  <c r="GY33" i="20" s="1"/>
  <c r="GZ33" i="20" s="1"/>
  <c r="HA33" i="20" s="1"/>
  <c r="HB33" i="20" s="1"/>
  <c r="HC33" i="20" s="1"/>
  <c r="HD33" i="20" s="1"/>
  <c r="HE33" i="20" s="1"/>
  <c r="HF33" i="20" s="1"/>
  <c r="HG33" i="20" s="1"/>
  <c r="HH33" i="20" s="1"/>
  <c r="HI33" i="20" s="1"/>
  <c r="HJ33" i="20" s="1"/>
  <c r="HK33" i="20" s="1"/>
  <c r="HL33" i="20" s="1"/>
  <c r="HM33" i="20" s="1"/>
  <c r="HN33" i="20" s="1"/>
  <c r="HO33" i="20" s="1"/>
  <c r="HP33" i="20" s="1"/>
  <c r="HQ33" i="20" s="1"/>
  <c r="HR33" i="20" s="1"/>
  <c r="HS33" i="20" s="1"/>
  <c r="HT33" i="20" s="1"/>
  <c r="HU33" i="20" s="1"/>
  <c r="HV33" i="20" s="1"/>
  <c r="HW33" i="20" s="1"/>
  <c r="HX33" i="20" s="1"/>
  <c r="HY33" i="20" s="1"/>
  <c r="HZ33" i="20" s="1"/>
  <c r="IA33" i="20" s="1"/>
  <c r="AI33" i="20"/>
  <c r="GB39" i="20"/>
  <c r="GC39" i="20" s="1"/>
  <c r="GD39" i="20" s="1"/>
  <c r="GE39" i="20" s="1"/>
  <c r="GF39" i="20" s="1"/>
  <c r="GG39" i="20" s="1"/>
  <c r="GH39" i="20" s="1"/>
  <c r="GI39" i="20" s="1"/>
  <c r="GJ39" i="20" s="1"/>
  <c r="GK39" i="20" s="1"/>
  <c r="GL39" i="20" s="1"/>
  <c r="GM39" i="20" s="1"/>
  <c r="GN39" i="20" s="1"/>
  <c r="GO39" i="20" s="1"/>
  <c r="GP39" i="20" s="1"/>
  <c r="GQ39" i="20" s="1"/>
  <c r="GR39" i="20" s="1"/>
  <c r="GS39" i="20" s="1"/>
  <c r="GT39" i="20" s="1"/>
  <c r="GU39" i="20" s="1"/>
  <c r="GV39" i="20" s="1"/>
  <c r="GW39" i="20" s="1"/>
  <c r="GX39" i="20" s="1"/>
  <c r="GY39" i="20" s="1"/>
  <c r="GZ39" i="20" s="1"/>
  <c r="HA39" i="20" s="1"/>
  <c r="HB39" i="20" s="1"/>
  <c r="HC39" i="20" s="1"/>
  <c r="HD39" i="20" s="1"/>
  <c r="HE39" i="20" s="1"/>
  <c r="AI39" i="20"/>
  <c r="GB45" i="20"/>
  <c r="GC45" i="20" s="1"/>
  <c r="GD45" i="20" s="1"/>
  <c r="GE45" i="20" s="1"/>
  <c r="GF45" i="20" s="1"/>
  <c r="GG45" i="20" s="1"/>
  <c r="GH45" i="20" s="1"/>
  <c r="GI45" i="20" s="1"/>
  <c r="GJ45" i="20" s="1"/>
  <c r="GK45" i="20" s="1"/>
  <c r="GL45" i="20" s="1"/>
  <c r="GM45" i="20" s="1"/>
  <c r="GN45" i="20" s="1"/>
  <c r="GO45" i="20" s="1"/>
  <c r="GP45" i="20" s="1"/>
  <c r="GQ45" i="20" s="1"/>
  <c r="GR45" i="20" s="1"/>
  <c r="GS45" i="20" s="1"/>
  <c r="GT45" i="20" s="1"/>
  <c r="GU45" i="20" s="1"/>
  <c r="GV45" i="20" s="1"/>
  <c r="GW45" i="20" s="1"/>
  <c r="GX45" i="20" s="1"/>
  <c r="GY45" i="20" s="1"/>
  <c r="GZ45" i="20" s="1"/>
  <c r="HA45" i="20" s="1"/>
  <c r="HB45" i="20" s="1"/>
  <c r="HC45" i="20" s="1"/>
  <c r="HD45" i="20" s="1"/>
  <c r="HE45" i="20" s="1"/>
  <c r="HF45" i="20" s="1"/>
  <c r="HG45" i="20" s="1"/>
  <c r="HH45" i="20" s="1"/>
  <c r="HI45" i="20" s="1"/>
  <c r="HJ45" i="20" s="1"/>
  <c r="HK45" i="20" s="1"/>
  <c r="HL45" i="20" s="1"/>
  <c r="HM45" i="20" s="1"/>
  <c r="HN45" i="20" s="1"/>
  <c r="HO45" i="20" s="1"/>
  <c r="HP45" i="20" s="1"/>
  <c r="HQ45" i="20" s="1"/>
  <c r="HR45" i="20" s="1"/>
  <c r="HS45" i="20" s="1"/>
  <c r="HT45" i="20" s="1"/>
  <c r="HU45" i="20" s="1"/>
  <c r="AI45" i="20"/>
  <c r="GB35" i="20"/>
  <c r="GC35" i="20" s="1"/>
  <c r="GD35" i="20" s="1"/>
  <c r="GE35" i="20" s="1"/>
  <c r="GF35" i="20" s="1"/>
  <c r="GG35" i="20" s="1"/>
  <c r="GH35" i="20" s="1"/>
  <c r="GI35" i="20" s="1"/>
  <c r="GJ35" i="20" s="1"/>
  <c r="GK35" i="20" s="1"/>
  <c r="GL35" i="20" s="1"/>
  <c r="GM35" i="20" s="1"/>
  <c r="GN35" i="20" s="1"/>
  <c r="GO35" i="20" s="1"/>
  <c r="GP35" i="20" s="1"/>
  <c r="GQ35" i="20" s="1"/>
  <c r="GR35" i="20" s="1"/>
  <c r="GS35" i="20" s="1"/>
  <c r="GT35" i="20" s="1"/>
  <c r="GU35" i="20" s="1"/>
  <c r="GV35" i="20" s="1"/>
  <c r="GW35" i="20" s="1"/>
  <c r="GX35" i="20" s="1"/>
  <c r="GY35" i="20" s="1"/>
  <c r="GZ35" i="20" s="1"/>
  <c r="HA35" i="20" s="1"/>
  <c r="HB35" i="20" s="1"/>
  <c r="HC35" i="20" s="1"/>
  <c r="HD35" i="20" s="1"/>
  <c r="HE35" i="20" s="1"/>
  <c r="HF35" i="20" s="1"/>
  <c r="HG35" i="20" s="1"/>
  <c r="HH35" i="20" s="1"/>
  <c r="HI35" i="20" s="1"/>
  <c r="HJ35" i="20" s="1"/>
  <c r="HK35" i="20" s="1"/>
  <c r="HL35" i="20" s="1"/>
  <c r="HM35" i="20" s="1"/>
  <c r="HN35" i="20" s="1"/>
  <c r="HO35" i="20" s="1"/>
  <c r="HP35" i="20" s="1"/>
  <c r="HQ35" i="20" s="1"/>
  <c r="HR35" i="20" s="1"/>
  <c r="HS35" i="20" s="1"/>
  <c r="HT35" i="20" s="1"/>
  <c r="HU35" i="20" s="1"/>
  <c r="HV35" i="20" s="1"/>
  <c r="HW35" i="20" s="1"/>
  <c r="HX35" i="20" s="1"/>
  <c r="HY35" i="20" s="1"/>
  <c r="HZ35" i="20" s="1"/>
  <c r="IA35" i="20" s="1"/>
  <c r="IB35" i="20" s="1"/>
  <c r="IC35" i="20" s="1"/>
  <c r="ID35" i="20" s="1"/>
  <c r="AI35" i="20"/>
  <c r="GB41" i="20"/>
  <c r="GC41" i="20" s="1"/>
  <c r="GD41" i="20" s="1"/>
  <c r="GE41" i="20" s="1"/>
  <c r="GF41" i="20" s="1"/>
  <c r="GG41" i="20" s="1"/>
  <c r="GH41" i="20" s="1"/>
  <c r="GI41" i="20" s="1"/>
  <c r="GJ41" i="20" s="1"/>
  <c r="GK41" i="20" s="1"/>
  <c r="GL41" i="20" s="1"/>
  <c r="GM41" i="20" s="1"/>
  <c r="GN41" i="20" s="1"/>
  <c r="GO41" i="20" s="1"/>
  <c r="GP41" i="20" s="1"/>
  <c r="GQ41" i="20" s="1"/>
  <c r="GR41" i="20" s="1"/>
  <c r="GS41" i="20" s="1"/>
  <c r="GT41" i="20" s="1"/>
  <c r="GU41" i="20" s="1"/>
  <c r="GV41" i="20" s="1"/>
  <c r="GW41" i="20" s="1"/>
  <c r="GX41" i="20" s="1"/>
  <c r="GY41" i="20" s="1"/>
  <c r="GZ41" i="20" s="1"/>
  <c r="HA41" i="20" s="1"/>
  <c r="HB41" i="20" s="1"/>
  <c r="HC41" i="20" s="1"/>
  <c r="HD41" i="20" s="1"/>
  <c r="HE41" i="20" s="1"/>
  <c r="HF41" i="20" s="1"/>
  <c r="HG41" i="20" s="1"/>
  <c r="AI41" i="20"/>
  <c r="AN50" i="20"/>
  <c r="AD37" i="20"/>
  <c r="AE37" i="20" s="1"/>
  <c r="AF37" i="20" s="1"/>
  <c r="AG37" i="20" s="1"/>
  <c r="AH37" i="20" s="1"/>
  <c r="AH50" i="20"/>
  <c r="AA23" i="20"/>
  <c r="AB23" i="20" s="1"/>
  <c r="AC23" i="20" s="1"/>
  <c r="AD23" i="20" s="1"/>
  <c r="AE23" i="20" s="1"/>
  <c r="AF23" i="20" s="1"/>
  <c r="AG23" i="20" s="1"/>
  <c r="AH23" i="20" s="1"/>
  <c r="AC43" i="20"/>
  <c r="AD43" i="20" s="1"/>
  <c r="AE43" i="20" s="1"/>
  <c r="AF43" i="20" s="1"/>
  <c r="AG43" i="20" s="1"/>
  <c r="AH43" i="20" s="1"/>
  <c r="AD45" i="20"/>
  <c r="AE45" i="20" s="1"/>
  <c r="AF45" i="20" s="1"/>
  <c r="AG45" i="20" s="1"/>
  <c r="AH45" i="20" s="1"/>
  <c r="AE35" i="20"/>
  <c r="AF35" i="20" s="1"/>
  <c r="AG35" i="20" s="1"/>
  <c r="AH35" i="20" s="1"/>
  <c r="AD41" i="20"/>
  <c r="AE41" i="20" s="1"/>
  <c r="AF41" i="20" s="1"/>
  <c r="AG41" i="20" s="1"/>
  <c r="AH41" i="20" s="1"/>
  <c r="AD33" i="20"/>
  <c r="AE33" i="20" s="1"/>
  <c r="AF33" i="20" s="1"/>
  <c r="AG33" i="20" s="1"/>
  <c r="AH33" i="20" s="1"/>
  <c r="AA25" i="20"/>
  <c r="AB25" i="20" s="1"/>
  <c r="AC25" i="20" s="1"/>
  <c r="AD25" i="20" s="1"/>
  <c r="AE25" i="20" s="1"/>
  <c r="AF25" i="20" s="1"/>
  <c r="AG25" i="20" s="1"/>
  <c r="AH25" i="20" s="1"/>
  <c r="AD47" i="20"/>
  <c r="AE47" i="20" s="1"/>
  <c r="AF47" i="20" s="1"/>
  <c r="AG47" i="20" s="1"/>
  <c r="AH47" i="20" s="1"/>
  <c r="AF50" i="20"/>
  <c r="AC50" i="20"/>
  <c r="AB50" i="20"/>
  <c r="AD31" i="20"/>
  <c r="AE31" i="20" s="1"/>
  <c r="AF31" i="20" s="1"/>
  <c r="AG31" i="20" s="1"/>
  <c r="AH31" i="20" s="1"/>
  <c r="AA50" i="20"/>
  <c r="I51" i="20"/>
  <c r="R25" i="17"/>
  <c r="Q49" i="17"/>
  <c r="K23" i="17"/>
  <c r="J49" i="17"/>
  <c r="AC48" i="17"/>
  <c r="T21" i="17"/>
  <c r="AD50" i="20"/>
  <c r="AE50" i="20"/>
  <c r="AG50" i="20"/>
  <c r="KE50" i="20" l="1"/>
  <c r="KE54" i="20" s="1"/>
  <c r="KE55" i="20" s="1"/>
  <c r="KH50" i="20"/>
  <c r="KH54" i="20" s="1"/>
  <c r="KH55" i="20" s="1"/>
  <c r="KI50" i="20"/>
  <c r="KI54" i="20" s="1"/>
  <c r="KI55" i="20" s="1"/>
  <c r="KG50" i="20"/>
  <c r="KG54" i="20" s="1"/>
  <c r="KG55" i="20" s="1"/>
  <c r="KN49" i="20"/>
  <c r="KM49" i="20"/>
  <c r="KF50" i="20"/>
  <c r="KF54" i="20" s="1"/>
  <c r="KF55" i="20" s="1"/>
  <c r="KJ50" i="20"/>
  <c r="KJ54" i="20" s="1"/>
  <c r="KJ55" i="20" s="1"/>
  <c r="KK50" i="20"/>
  <c r="KK54" i="20" s="1"/>
  <c r="KK55" i="20" s="1"/>
  <c r="KD50" i="20"/>
  <c r="KD54" i="20" s="1"/>
  <c r="KD55" i="20" s="1"/>
  <c r="JW50" i="20"/>
  <c r="JW54" i="20" s="1"/>
  <c r="JW55" i="20" s="1"/>
  <c r="JX50" i="20"/>
  <c r="JX54" i="20" s="1"/>
  <c r="JX55" i="20" s="1"/>
  <c r="JY50" i="20"/>
  <c r="JY54" i="20" s="1"/>
  <c r="JY55" i="20" s="1"/>
  <c r="KC50" i="20"/>
  <c r="KC54" i="20" s="1"/>
  <c r="KC55" i="20" s="1"/>
  <c r="KB50" i="20"/>
  <c r="KB54" i="20" s="1"/>
  <c r="KB55" i="20" s="1"/>
  <c r="JZ50" i="20"/>
  <c r="JZ54" i="20" s="1"/>
  <c r="JZ55" i="20" s="1"/>
  <c r="KA50" i="20"/>
  <c r="KA54" i="20" s="1"/>
  <c r="KA55" i="20" s="1"/>
  <c r="JT50" i="20"/>
  <c r="JT54" i="20" s="1"/>
  <c r="JT55" i="20" s="1"/>
  <c r="JU50" i="20"/>
  <c r="JU54" i="20" s="1"/>
  <c r="JU55" i="20" s="1"/>
  <c r="JV50" i="20"/>
  <c r="JV54" i="20" s="1"/>
  <c r="JV55" i="20" s="1"/>
  <c r="JQ50" i="20"/>
  <c r="JQ54" i="20" s="1"/>
  <c r="JQ55" i="20" s="1"/>
  <c r="JO50" i="20"/>
  <c r="JO54" i="20" s="1"/>
  <c r="JO55" i="20" s="1"/>
  <c r="JP50" i="20"/>
  <c r="JP54" i="20" s="1"/>
  <c r="JP55" i="20" s="1"/>
  <c r="JR50" i="20"/>
  <c r="JR54" i="20" s="1"/>
  <c r="JR55" i="20" s="1"/>
  <c r="JS50" i="20"/>
  <c r="JS54" i="20" s="1"/>
  <c r="JS55" i="20" s="1"/>
  <c r="AJ25" i="20"/>
  <c r="AK25" i="20" s="1"/>
  <c r="AL25" i="20" s="1"/>
  <c r="AM25" i="20" s="1"/>
  <c r="JK50" i="20"/>
  <c r="JK54" i="20" s="1"/>
  <c r="JK55" i="20" s="1"/>
  <c r="JL50" i="20"/>
  <c r="JL54" i="20" s="1"/>
  <c r="JL55" i="20" s="1"/>
  <c r="JM50" i="20"/>
  <c r="JM54" i="20" s="1"/>
  <c r="JM55" i="20" s="1"/>
  <c r="JN50" i="20"/>
  <c r="JN54" i="20" s="1"/>
  <c r="JN55" i="20" s="1"/>
  <c r="JG50" i="20"/>
  <c r="JG54" i="20" s="1"/>
  <c r="JG55" i="20" s="1"/>
  <c r="JH50" i="20"/>
  <c r="JH54" i="20" s="1"/>
  <c r="JH55" i="20" s="1"/>
  <c r="JJ50" i="20"/>
  <c r="JJ54" i="20" s="1"/>
  <c r="JJ55" i="20" s="1"/>
  <c r="JI50" i="20"/>
  <c r="JI54" i="20" s="1"/>
  <c r="JI55" i="20" s="1"/>
  <c r="JF50" i="20"/>
  <c r="JF54" i="20" s="1"/>
  <c r="JF55" i="20" s="1"/>
  <c r="IN37" i="20"/>
  <c r="IO37" i="20" s="1"/>
  <c r="IP37" i="20" s="1"/>
  <c r="IQ37" i="20" s="1"/>
  <c r="IR37" i="20" s="1"/>
  <c r="IS37" i="20" s="1"/>
  <c r="IT37" i="20" s="1"/>
  <c r="IU37" i="20" s="1"/>
  <c r="IV37" i="20" s="1"/>
  <c r="IW37" i="20" s="1"/>
  <c r="IX37" i="20" s="1"/>
  <c r="IY37" i="20" s="1"/>
  <c r="IB33" i="20"/>
  <c r="IC33" i="20" s="1"/>
  <c r="ID33" i="20" s="1"/>
  <c r="IE33" i="20" s="1"/>
  <c r="IF33" i="20" s="1"/>
  <c r="IG33" i="20" s="1"/>
  <c r="IH33" i="20" s="1"/>
  <c r="II33" i="20" s="1"/>
  <c r="IJ33" i="20" s="1"/>
  <c r="IK33" i="20" s="1"/>
  <c r="IL33" i="20" s="1"/>
  <c r="IM33" i="20" s="1"/>
  <c r="IN33" i="20" s="1"/>
  <c r="IO33" i="20" s="1"/>
  <c r="IP33" i="20" s="1"/>
  <c r="IQ33" i="20" s="1"/>
  <c r="IR33" i="20" s="1"/>
  <c r="IS33" i="20" s="1"/>
  <c r="IT33" i="20" s="1"/>
  <c r="IU33" i="20" s="1"/>
  <c r="IV33" i="20" s="1"/>
  <c r="IW33" i="20" s="1"/>
  <c r="IX33" i="20" s="1"/>
  <c r="IY33" i="20" s="1"/>
  <c r="IZ33" i="20" s="1"/>
  <c r="JA33" i="20" s="1"/>
  <c r="JB33" i="20" s="1"/>
  <c r="JC33" i="20" s="1"/>
  <c r="JD33" i="20" s="1"/>
  <c r="JE33" i="20" s="1"/>
  <c r="JF33" i="20" s="1"/>
  <c r="JG33" i="20" s="1"/>
  <c r="JH33" i="20" s="1"/>
  <c r="JI33" i="20" s="1"/>
  <c r="JJ33" i="20" s="1"/>
  <c r="JK33" i="20" s="1"/>
  <c r="JL33" i="20" s="1"/>
  <c r="JM33" i="20" s="1"/>
  <c r="JN33" i="20" s="1"/>
  <c r="JO33" i="20" s="1"/>
  <c r="JP33" i="20" s="1"/>
  <c r="JQ33" i="20" s="1"/>
  <c r="HV45" i="20"/>
  <c r="HW45" i="20" s="1"/>
  <c r="HX45" i="20" s="1"/>
  <c r="HY45" i="20" s="1"/>
  <c r="HZ45" i="20" s="1"/>
  <c r="IA45" i="20" s="1"/>
  <c r="IB45" i="20" s="1"/>
  <c r="IC45" i="20" s="1"/>
  <c r="ID45" i="20" s="1"/>
  <c r="IE25" i="20"/>
  <c r="IF25" i="20" s="1"/>
  <c r="IG25" i="20" s="1"/>
  <c r="IH25" i="20" s="1"/>
  <c r="II25" i="20" s="1"/>
  <c r="IJ25" i="20" s="1"/>
  <c r="IK25" i="20" s="1"/>
  <c r="IL25" i="20" s="1"/>
  <c r="IM25" i="20" s="1"/>
  <c r="IN25" i="20" s="1"/>
  <c r="IO25" i="20" s="1"/>
  <c r="IP25" i="20" s="1"/>
  <c r="IQ25" i="20" s="1"/>
  <c r="IR25" i="20" s="1"/>
  <c r="IS25" i="20" s="1"/>
  <c r="IT25" i="20" s="1"/>
  <c r="IU25" i="20" s="1"/>
  <c r="IV25" i="20" s="1"/>
  <c r="IW25" i="20" s="1"/>
  <c r="IX25" i="20" s="1"/>
  <c r="IY25" i="20" s="1"/>
  <c r="IZ25" i="20" s="1"/>
  <c r="JA25" i="20" s="1"/>
  <c r="JB25" i="20" s="1"/>
  <c r="JC25" i="20" s="1"/>
  <c r="JD25" i="20" s="1"/>
  <c r="JE25" i="20" s="1"/>
  <c r="JF25" i="20" s="1"/>
  <c r="JG25" i="20" s="1"/>
  <c r="JH25" i="20" s="1"/>
  <c r="JI25" i="20" s="1"/>
  <c r="JJ25" i="20" s="1"/>
  <c r="JK25" i="20" s="1"/>
  <c r="JL25" i="20" s="1"/>
  <c r="JM25" i="20" s="1"/>
  <c r="JN25" i="20" s="1"/>
  <c r="JO25" i="20" s="1"/>
  <c r="JP25" i="20" s="1"/>
  <c r="JQ25" i="20" s="1"/>
  <c r="JR25" i="20" s="1"/>
  <c r="JS25" i="20" s="1"/>
  <c r="JT25" i="20" s="1"/>
  <c r="JU25" i="20" s="1"/>
  <c r="JV25" i="20" s="1"/>
  <c r="JW25" i="20" s="1"/>
  <c r="JX25" i="20" s="1"/>
  <c r="JY25" i="20" s="1"/>
  <c r="JZ25" i="20" s="1"/>
  <c r="KA25" i="20" s="1"/>
  <c r="KB25" i="20" s="1"/>
  <c r="KC25" i="20" s="1"/>
  <c r="KD25" i="20" s="1"/>
  <c r="KE25" i="20" s="1"/>
  <c r="KF25" i="20" s="1"/>
  <c r="KG25" i="20" s="1"/>
  <c r="KH25" i="20" s="1"/>
  <c r="KI25" i="20" s="1"/>
  <c r="KJ25" i="20" s="1"/>
  <c r="KK25" i="20" s="1"/>
  <c r="KL25" i="20" s="1"/>
  <c r="IE23" i="20"/>
  <c r="IF23" i="20" s="1"/>
  <c r="IG23" i="20" s="1"/>
  <c r="IH23" i="20" s="1"/>
  <c r="II23" i="20" s="1"/>
  <c r="IJ23" i="20" s="1"/>
  <c r="IK23" i="20" s="1"/>
  <c r="IL23" i="20" s="1"/>
  <c r="IM23" i="20" s="1"/>
  <c r="IE21" i="20"/>
  <c r="IF21" i="20" s="1"/>
  <c r="IG21" i="20" s="1"/>
  <c r="IH21" i="20" s="1"/>
  <c r="II21" i="20" s="1"/>
  <c r="IJ21" i="20" s="1"/>
  <c r="IK21" i="20" s="1"/>
  <c r="IL21" i="20" s="1"/>
  <c r="IM21" i="20" s="1"/>
  <c r="IN21" i="20" s="1"/>
  <c r="IO21" i="20" s="1"/>
  <c r="IP21" i="20" s="1"/>
  <c r="IQ21" i="20" s="1"/>
  <c r="IR21" i="20" s="1"/>
  <c r="IS21" i="20" s="1"/>
  <c r="IT21" i="20" s="1"/>
  <c r="IU21" i="20" s="1"/>
  <c r="IV21" i="20" s="1"/>
  <c r="IW21" i="20" s="1"/>
  <c r="IX21" i="20" s="1"/>
  <c r="IY21" i="20" s="1"/>
  <c r="IZ21" i="20" s="1"/>
  <c r="JA21" i="20" s="1"/>
  <c r="ID43" i="20"/>
  <c r="IE43" i="20" s="1"/>
  <c r="IF43" i="20" s="1"/>
  <c r="IG43" i="20" s="1"/>
  <c r="IH43" i="20" s="1"/>
  <c r="II43" i="20" s="1"/>
  <c r="IJ43" i="20" s="1"/>
  <c r="IK43" i="20" s="1"/>
  <c r="IL43" i="20" s="1"/>
  <c r="IM43" i="20" s="1"/>
  <c r="IN43" i="20" s="1"/>
  <c r="IO43" i="20" s="1"/>
  <c r="IP43" i="20" s="1"/>
  <c r="IQ43" i="20" s="1"/>
  <c r="IR43" i="20" s="1"/>
  <c r="IS43" i="20" s="1"/>
  <c r="IT43" i="20" s="1"/>
  <c r="IU43" i="20" s="1"/>
  <c r="IV43" i="20" s="1"/>
  <c r="IW43" i="20" s="1"/>
  <c r="IX43" i="20" s="1"/>
  <c r="IY43" i="20" s="1"/>
  <c r="IZ43" i="20" s="1"/>
  <c r="JA43" i="20" s="1"/>
  <c r="JB43" i="20" s="1"/>
  <c r="JC43" i="20" s="1"/>
  <c r="JD43" i="20" s="1"/>
  <c r="JE43" i="20" s="1"/>
  <c r="JF43" i="20" s="1"/>
  <c r="JG43" i="20" s="1"/>
  <c r="JH43" i="20" s="1"/>
  <c r="JI43" i="20" s="1"/>
  <c r="JJ43" i="20" s="1"/>
  <c r="JK43" i="20" s="1"/>
  <c r="JL43" i="20" s="1"/>
  <c r="JM43" i="20" s="1"/>
  <c r="JN43" i="20" s="1"/>
  <c r="JO43" i="20" s="1"/>
  <c r="JP43" i="20" s="1"/>
  <c r="JQ43" i="20" s="1"/>
  <c r="JR43" i="20" s="1"/>
  <c r="JS43" i="20" s="1"/>
  <c r="JT43" i="20" s="1"/>
  <c r="JU43" i="20" s="1"/>
  <c r="JV43" i="20" s="1"/>
  <c r="JW43" i="20" s="1"/>
  <c r="JX43" i="20" s="1"/>
  <c r="JY43" i="20" s="1"/>
  <c r="JZ43" i="20" s="1"/>
  <c r="KA43" i="20" s="1"/>
  <c r="KB43" i="20" s="1"/>
  <c r="KC43" i="20" s="1"/>
  <c r="KD43" i="20" s="1"/>
  <c r="KE43" i="20" s="1"/>
  <c r="KF43" i="20" s="1"/>
  <c r="KG43" i="20" s="1"/>
  <c r="KH43" i="20" s="1"/>
  <c r="KI43" i="20" s="1"/>
  <c r="KJ43" i="20" s="1"/>
  <c r="KK43" i="20" s="1"/>
  <c r="KL43" i="20" s="1"/>
  <c r="IE35" i="20"/>
  <c r="IF35" i="20" s="1"/>
  <c r="IG35" i="20" s="1"/>
  <c r="IH35" i="20" s="1"/>
  <c r="II35" i="20" s="1"/>
  <c r="IJ35" i="20" s="1"/>
  <c r="IK35" i="20" s="1"/>
  <c r="IL35" i="20" s="1"/>
  <c r="IM35" i="20" s="1"/>
  <c r="IN35" i="20" s="1"/>
  <c r="IO35" i="20" s="1"/>
  <c r="IP35" i="20" s="1"/>
  <c r="IQ35" i="20" s="1"/>
  <c r="IR35" i="20" s="1"/>
  <c r="IS35" i="20" s="1"/>
  <c r="IT35" i="20" s="1"/>
  <c r="IU35" i="20" s="1"/>
  <c r="IV35" i="20" s="1"/>
  <c r="IW35" i="20" s="1"/>
  <c r="IX35" i="20" s="1"/>
  <c r="IY35" i="20" s="1"/>
  <c r="IZ35" i="20" s="1"/>
  <c r="JA35" i="20" s="1"/>
  <c r="JB35" i="20" s="1"/>
  <c r="JC35" i="20" s="1"/>
  <c r="JD35" i="20" s="1"/>
  <c r="JE35" i="20" s="1"/>
  <c r="JF35" i="20" s="1"/>
  <c r="JG35" i="20" s="1"/>
  <c r="JH35" i="20" s="1"/>
  <c r="JI35" i="20" s="1"/>
  <c r="JJ35" i="20" s="1"/>
  <c r="JK35" i="20" s="1"/>
  <c r="JL35" i="20" s="1"/>
  <c r="JM35" i="20" s="1"/>
  <c r="JN35" i="20" s="1"/>
  <c r="JO35" i="20" s="1"/>
  <c r="JP35" i="20" s="1"/>
  <c r="JQ35" i="20" s="1"/>
  <c r="JR35" i="20" s="1"/>
  <c r="JS35" i="20" s="1"/>
  <c r="JT35" i="20" s="1"/>
  <c r="JU35" i="20" s="1"/>
  <c r="JV35" i="20" s="1"/>
  <c r="JW35" i="20" s="1"/>
  <c r="JX35" i="20" s="1"/>
  <c r="JY35" i="20" s="1"/>
  <c r="JZ35" i="20" s="1"/>
  <c r="KA35" i="20" s="1"/>
  <c r="KB35" i="20" s="1"/>
  <c r="KC35" i="20" s="1"/>
  <c r="KD35" i="20" s="1"/>
  <c r="KE35" i="20" s="1"/>
  <c r="KF35" i="20" s="1"/>
  <c r="KG35" i="20" s="1"/>
  <c r="KH35" i="20" s="1"/>
  <c r="KI35" i="20" s="1"/>
  <c r="KJ35" i="20" s="1"/>
  <c r="KK35" i="20" s="1"/>
  <c r="KL35" i="20" s="1"/>
  <c r="AJ31" i="20"/>
  <c r="AK31" i="20" s="1"/>
  <c r="AL31" i="20" s="1"/>
  <c r="AM31" i="20" s="1"/>
  <c r="AN31" i="20" s="1"/>
  <c r="AO31" i="20" s="1"/>
  <c r="HH41" i="20"/>
  <c r="HI41" i="20" s="1"/>
  <c r="HJ41" i="20" s="1"/>
  <c r="HK41" i="20" s="1"/>
  <c r="HL41" i="20" s="1"/>
  <c r="HM41" i="20" s="1"/>
  <c r="HN41" i="20" s="1"/>
  <c r="HO41" i="20" s="1"/>
  <c r="HP41" i="20" s="1"/>
  <c r="HQ41" i="20" s="1"/>
  <c r="HR41" i="20" s="1"/>
  <c r="HS41" i="20" s="1"/>
  <c r="HT41" i="20" s="1"/>
  <c r="HU41" i="20" s="1"/>
  <c r="HV41" i="20" s="1"/>
  <c r="HW41" i="20" s="1"/>
  <c r="HX41" i="20" s="1"/>
  <c r="HY41" i="20" s="1"/>
  <c r="HZ41" i="20" s="1"/>
  <c r="IA41" i="20" s="1"/>
  <c r="IB41" i="20" s="1"/>
  <c r="IC41" i="20" s="1"/>
  <c r="ID41" i="20" s="1"/>
  <c r="IE41" i="20" s="1"/>
  <c r="IF41" i="20" s="1"/>
  <c r="IG41" i="20" s="1"/>
  <c r="IH41" i="20" s="1"/>
  <c r="II41" i="20" s="1"/>
  <c r="IJ41" i="20" s="1"/>
  <c r="IK41" i="20" s="1"/>
  <c r="IL41" i="20" s="1"/>
  <c r="IM41" i="20" s="1"/>
  <c r="IN41" i="20" s="1"/>
  <c r="IO41" i="20" s="1"/>
  <c r="IP41" i="20" s="1"/>
  <c r="IQ41" i="20" s="1"/>
  <c r="IR41" i="20" s="1"/>
  <c r="IS41" i="20" s="1"/>
  <c r="IT41" i="20" s="1"/>
  <c r="IU41" i="20" s="1"/>
  <c r="IV41" i="20" s="1"/>
  <c r="IW41" i="20" s="1"/>
  <c r="IX41" i="20" s="1"/>
  <c r="IY41" i="20" s="1"/>
  <c r="IZ41" i="20" s="1"/>
  <c r="JA41" i="20" s="1"/>
  <c r="JB41" i="20" s="1"/>
  <c r="JC41" i="20" s="1"/>
  <c r="JD41" i="20" s="1"/>
  <c r="JE41" i="20" s="1"/>
  <c r="JF41" i="20" s="1"/>
  <c r="JG41" i="20" s="1"/>
  <c r="JH41" i="20" s="1"/>
  <c r="JI41" i="20" s="1"/>
  <c r="JJ41" i="20" s="1"/>
  <c r="JK41" i="20" s="1"/>
  <c r="JL41" i="20" s="1"/>
  <c r="JM41" i="20" s="1"/>
  <c r="JN41" i="20" s="1"/>
  <c r="JO41" i="20" s="1"/>
  <c r="JP41" i="20" s="1"/>
  <c r="JQ41" i="20" s="1"/>
  <c r="JR41" i="20" s="1"/>
  <c r="JS41" i="20" s="1"/>
  <c r="JT41" i="20" s="1"/>
  <c r="JU41" i="20" s="1"/>
  <c r="JV41" i="20" s="1"/>
  <c r="JW41" i="20" s="1"/>
  <c r="JX41" i="20" s="1"/>
  <c r="JY41" i="20" s="1"/>
  <c r="JZ41" i="20" s="1"/>
  <c r="KA41" i="20" s="1"/>
  <c r="KB41" i="20" s="1"/>
  <c r="KC41" i="20" s="1"/>
  <c r="KD41" i="20" s="1"/>
  <c r="KE41" i="20" s="1"/>
  <c r="KF41" i="20" s="1"/>
  <c r="KG41" i="20" s="1"/>
  <c r="KH41" i="20" s="1"/>
  <c r="KI41" i="20" s="1"/>
  <c r="KJ41" i="20" s="1"/>
  <c r="KK41" i="20" s="1"/>
  <c r="KL41" i="20" s="1"/>
  <c r="HF39" i="20"/>
  <c r="HG39" i="20" s="1"/>
  <c r="HH39" i="20" s="1"/>
  <c r="HI39" i="20" s="1"/>
  <c r="HJ39" i="20" s="1"/>
  <c r="HK39" i="20" s="1"/>
  <c r="HL39" i="20" s="1"/>
  <c r="HM39" i="20" s="1"/>
  <c r="AJ37" i="20"/>
  <c r="AK37" i="20" s="1"/>
  <c r="AL37" i="20" s="1"/>
  <c r="AM37" i="20" s="1"/>
  <c r="AN37" i="20" s="1"/>
  <c r="AO37" i="20" s="1"/>
  <c r="AP37" i="20" s="1"/>
  <c r="AQ37" i="20" s="1"/>
  <c r="AR37" i="20" s="1"/>
  <c r="AS37" i="20" s="1"/>
  <c r="AT37" i="20" s="1"/>
  <c r="AU37" i="20" s="1"/>
  <c r="AV37" i="20" s="1"/>
  <c r="AW37" i="20" s="1"/>
  <c r="AX37" i="20" s="1"/>
  <c r="AY37" i="20" s="1"/>
  <c r="AZ37" i="20" s="1"/>
  <c r="BA37" i="20" s="1"/>
  <c r="BB37" i="20" s="1"/>
  <c r="BC37" i="20" s="1"/>
  <c r="BD37" i="20" s="1"/>
  <c r="BE37" i="20" s="1"/>
  <c r="BF37" i="20" s="1"/>
  <c r="BG37" i="20" s="1"/>
  <c r="AJ45" i="20"/>
  <c r="AK45" i="20" s="1"/>
  <c r="AL45" i="20" s="1"/>
  <c r="AM45" i="20" s="1"/>
  <c r="AN45" i="20" s="1"/>
  <c r="AO45" i="20" s="1"/>
  <c r="AP45" i="20" s="1"/>
  <c r="AQ45" i="20" s="1"/>
  <c r="AR45" i="20" s="1"/>
  <c r="AS45" i="20" s="1"/>
  <c r="AT45" i="20" s="1"/>
  <c r="AU45" i="20" s="1"/>
  <c r="AV45" i="20" s="1"/>
  <c r="AW45" i="20" s="1"/>
  <c r="AX45" i="20" s="1"/>
  <c r="AY45" i="20" s="1"/>
  <c r="AZ45" i="20" s="1"/>
  <c r="BA45" i="20" s="1"/>
  <c r="BB45" i="20" s="1"/>
  <c r="BC45" i="20" s="1"/>
  <c r="BD45" i="20" s="1"/>
  <c r="BE45" i="20" s="1"/>
  <c r="BF45" i="20" s="1"/>
  <c r="BG45" i="20" s="1"/>
  <c r="Q51" i="20"/>
  <c r="HI31" i="20"/>
  <c r="HJ31" i="20" s="1"/>
  <c r="HK31" i="20" s="1"/>
  <c r="HL31" i="20" s="1"/>
  <c r="HM31" i="20" s="1"/>
  <c r="HN31" i="20" s="1"/>
  <c r="HO31" i="20" s="1"/>
  <c r="HP31" i="20" s="1"/>
  <c r="HQ31" i="20" s="1"/>
  <c r="AJ41" i="20"/>
  <c r="AK41" i="20" s="1"/>
  <c r="AL41" i="20" s="1"/>
  <c r="AM41" i="20" s="1"/>
  <c r="AN41" i="20" s="1"/>
  <c r="AO41" i="20" s="1"/>
  <c r="AP41" i="20" s="1"/>
  <c r="AQ41" i="20" s="1"/>
  <c r="AR41" i="20" s="1"/>
  <c r="AS41" i="20" s="1"/>
  <c r="AT41" i="20" s="1"/>
  <c r="AU41" i="20" s="1"/>
  <c r="AV41" i="20" s="1"/>
  <c r="AW41" i="20" s="1"/>
  <c r="AX41" i="20" s="1"/>
  <c r="AY41" i="20" s="1"/>
  <c r="AZ41" i="20" s="1"/>
  <c r="BA41" i="20" s="1"/>
  <c r="BB41" i="20" s="1"/>
  <c r="BC41" i="20" s="1"/>
  <c r="BD41" i="20" s="1"/>
  <c r="BE41" i="20" s="1"/>
  <c r="BF41" i="20" s="1"/>
  <c r="BG41" i="20" s="1"/>
  <c r="AJ23" i="20"/>
  <c r="AK23" i="20" s="1"/>
  <c r="AL23" i="20" s="1"/>
  <c r="AM23" i="20" s="1"/>
  <c r="AN23" i="20" s="1"/>
  <c r="AO23" i="20" s="1"/>
  <c r="AP23" i="20" s="1"/>
  <c r="AQ23" i="20" s="1"/>
  <c r="AR23" i="20" s="1"/>
  <c r="AS23" i="20" s="1"/>
  <c r="AT23" i="20" s="1"/>
  <c r="AU23" i="20" s="1"/>
  <c r="AW23" i="20" s="1"/>
  <c r="AX23" i="20" s="1"/>
  <c r="AY23" i="20" s="1"/>
  <c r="AZ23" i="20" s="1"/>
  <c r="BA23" i="20" s="1"/>
  <c r="BB23" i="20" s="1"/>
  <c r="BC23" i="20" s="1"/>
  <c r="BD23" i="20" s="1"/>
  <c r="BE23" i="20" s="1"/>
  <c r="BF23" i="20" s="1"/>
  <c r="BG23" i="20" s="1"/>
  <c r="AJ43" i="20"/>
  <c r="AK43" i="20" s="1"/>
  <c r="AL43" i="20" s="1"/>
  <c r="AM43" i="20" s="1"/>
  <c r="AN43" i="20" s="1"/>
  <c r="AO43" i="20" s="1"/>
  <c r="AP43" i="20" s="1"/>
  <c r="AQ43" i="20" s="1"/>
  <c r="AR43" i="20" s="1"/>
  <c r="AS43" i="20" s="1"/>
  <c r="AT43" i="20" s="1"/>
  <c r="AU43" i="20" s="1"/>
  <c r="AV43" i="20" s="1"/>
  <c r="AW43" i="20" s="1"/>
  <c r="AX43" i="20" s="1"/>
  <c r="AY43" i="20" s="1"/>
  <c r="AZ43" i="20" s="1"/>
  <c r="BA43" i="20" s="1"/>
  <c r="BB43" i="20" s="1"/>
  <c r="BC43" i="20" s="1"/>
  <c r="BD43" i="20" s="1"/>
  <c r="BE43" i="20" s="1"/>
  <c r="BF43" i="20" s="1"/>
  <c r="BG43" i="20" s="1"/>
  <c r="AJ39" i="20"/>
  <c r="AK39" i="20" s="1"/>
  <c r="AL39" i="20" s="1"/>
  <c r="AM39" i="20" s="1"/>
  <c r="AN39" i="20" s="1"/>
  <c r="AO39" i="20" s="1"/>
  <c r="AP39" i="20" s="1"/>
  <c r="AQ39" i="20" s="1"/>
  <c r="AR39" i="20" s="1"/>
  <c r="AS39" i="20" s="1"/>
  <c r="AT39" i="20" s="1"/>
  <c r="AU39" i="20" s="1"/>
  <c r="AV39" i="20" s="1"/>
  <c r="AW39" i="20" s="1"/>
  <c r="AX39" i="20" s="1"/>
  <c r="AY39" i="20" s="1"/>
  <c r="AZ39" i="20" s="1"/>
  <c r="BA39" i="20" s="1"/>
  <c r="BB39" i="20" s="1"/>
  <c r="BC39" i="20" s="1"/>
  <c r="BD39" i="20" s="1"/>
  <c r="BE39" i="20" s="1"/>
  <c r="BF39" i="20" s="1"/>
  <c r="BG39" i="20" s="1"/>
  <c r="AJ35" i="20"/>
  <c r="AK35" i="20" s="1"/>
  <c r="AL35" i="20" s="1"/>
  <c r="AM35" i="20" s="1"/>
  <c r="AN35" i="20" s="1"/>
  <c r="AO35" i="20" s="1"/>
  <c r="AP35" i="20" s="1"/>
  <c r="AQ35" i="20" s="1"/>
  <c r="AR35" i="20" s="1"/>
  <c r="AS35" i="20" s="1"/>
  <c r="AT35" i="20" s="1"/>
  <c r="AU35" i="20" s="1"/>
  <c r="AV35" i="20" s="1"/>
  <c r="AW35" i="20" s="1"/>
  <c r="AX35" i="20" s="1"/>
  <c r="AY35" i="20" s="1"/>
  <c r="AZ35" i="20" s="1"/>
  <c r="BA35" i="20" s="1"/>
  <c r="BB35" i="20" s="1"/>
  <c r="BC35" i="20" s="1"/>
  <c r="BD35" i="20" s="1"/>
  <c r="BE35" i="20" s="1"/>
  <c r="BF35" i="20" s="1"/>
  <c r="BG35" i="20" s="1"/>
  <c r="AJ33" i="20"/>
  <c r="AK33" i="20" s="1"/>
  <c r="AL33" i="20" s="1"/>
  <c r="J51" i="20"/>
  <c r="AJ49" i="20"/>
  <c r="AK49" i="20" s="1"/>
  <c r="AL49" i="20" s="1"/>
  <c r="AJ21" i="20"/>
  <c r="AK21" i="20" s="1"/>
  <c r="AL21" i="20" s="1"/>
  <c r="U21" i="17"/>
  <c r="K49" i="17"/>
  <c r="L23" i="17"/>
  <c r="R51" i="20"/>
  <c r="S25" i="17"/>
  <c r="R49" i="17"/>
  <c r="KN25" i="20" l="1"/>
  <c r="KM25" i="20"/>
  <c r="KN41" i="20"/>
  <c r="KM41" i="20"/>
  <c r="KN43" i="20"/>
  <c r="KM43" i="20"/>
  <c r="KN35" i="20"/>
  <c r="KM35" i="20"/>
  <c r="BH45" i="20"/>
  <c r="BI45" i="20" s="1"/>
  <c r="BJ45" i="20" s="1"/>
  <c r="BH39" i="20"/>
  <c r="BI39" i="20" s="1"/>
  <c r="BJ39" i="20" s="1"/>
  <c r="BH37" i="20"/>
  <c r="BI37" i="20" s="1"/>
  <c r="BJ37" i="20" s="1"/>
  <c r="BH43" i="20"/>
  <c r="BI43" i="20" s="1"/>
  <c r="BJ43" i="20" s="1"/>
  <c r="BH35" i="20"/>
  <c r="BI35" i="20" s="1"/>
  <c r="BJ35" i="20" s="1"/>
  <c r="BH23" i="20"/>
  <c r="BI23" i="20" s="1"/>
  <c r="BJ23" i="20" s="1"/>
  <c r="BH41" i="20"/>
  <c r="BI41" i="20" s="1"/>
  <c r="BJ41" i="20" s="1"/>
  <c r="JR33" i="20"/>
  <c r="JS33" i="20" s="1"/>
  <c r="JT33" i="20" s="1"/>
  <c r="JU33" i="20" s="1"/>
  <c r="JV33" i="20" s="1"/>
  <c r="JW33" i="20" s="1"/>
  <c r="JX33" i="20" s="1"/>
  <c r="JY33" i="20" s="1"/>
  <c r="JE50" i="20"/>
  <c r="JE54" i="20" s="1"/>
  <c r="JE55" i="20" s="1"/>
  <c r="IZ37" i="20"/>
  <c r="JA37" i="20" s="1"/>
  <c r="JB37" i="20" s="1"/>
  <c r="JC37" i="20" s="1"/>
  <c r="JD37" i="20" s="1"/>
  <c r="JE37" i="20" s="1"/>
  <c r="JF37" i="20" s="1"/>
  <c r="JG37" i="20" s="1"/>
  <c r="JH37" i="20" s="1"/>
  <c r="JI37" i="20" s="1"/>
  <c r="JJ37" i="20" s="1"/>
  <c r="JK37" i="20" s="1"/>
  <c r="JL37" i="20" s="1"/>
  <c r="JM37" i="20" s="1"/>
  <c r="JN37" i="20" s="1"/>
  <c r="JO37" i="20" s="1"/>
  <c r="JP37" i="20" s="1"/>
  <c r="JQ37" i="20" s="1"/>
  <c r="JR37" i="20" s="1"/>
  <c r="JS37" i="20" s="1"/>
  <c r="JT37" i="20" s="1"/>
  <c r="JU37" i="20" s="1"/>
  <c r="JV37" i="20" s="1"/>
  <c r="JW37" i="20" s="1"/>
  <c r="JX37" i="20" s="1"/>
  <c r="JY37" i="20" s="1"/>
  <c r="JZ37" i="20" s="1"/>
  <c r="KA37" i="20" s="1"/>
  <c r="KB37" i="20" s="1"/>
  <c r="KC37" i="20" s="1"/>
  <c r="KD37" i="20" s="1"/>
  <c r="KE37" i="20" s="1"/>
  <c r="KF37" i="20" s="1"/>
  <c r="KG37" i="20" s="1"/>
  <c r="KH37" i="20" s="1"/>
  <c r="KI37" i="20" s="1"/>
  <c r="KJ37" i="20" s="1"/>
  <c r="KK37" i="20" s="1"/>
  <c r="KL37" i="20" s="1"/>
  <c r="JB21" i="20"/>
  <c r="JC21" i="20" s="1"/>
  <c r="JD21" i="20" s="1"/>
  <c r="JE21" i="20" s="1"/>
  <c r="JF21" i="20" s="1"/>
  <c r="JG21" i="20" s="1"/>
  <c r="JH21" i="20" s="1"/>
  <c r="JI21" i="20" s="1"/>
  <c r="JJ21" i="20" s="1"/>
  <c r="JK21" i="20" s="1"/>
  <c r="JL21" i="20" s="1"/>
  <c r="JM21" i="20" s="1"/>
  <c r="JN21" i="20" s="1"/>
  <c r="JO21" i="20" s="1"/>
  <c r="JP21" i="20" s="1"/>
  <c r="JQ21" i="20" s="1"/>
  <c r="JR21" i="20" s="1"/>
  <c r="JS21" i="20" s="1"/>
  <c r="JT21" i="20" s="1"/>
  <c r="JU21" i="20" s="1"/>
  <c r="JV21" i="20" s="1"/>
  <c r="JW21" i="20" s="1"/>
  <c r="IN23" i="20"/>
  <c r="IO23" i="20" s="1"/>
  <c r="IP23" i="20" s="1"/>
  <c r="IQ23" i="20" s="1"/>
  <c r="IR23" i="20" s="1"/>
  <c r="IS23" i="20" s="1"/>
  <c r="IT23" i="20" s="1"/>
  <c r="IU23" i="20" s="1"/>
  <c r="IV23" i="20" s="1"/>
  <c r="IW23" i="20" s="1"/>
  <c r="IX23" i="20" s="1"/>
  <c r="IY23" i="20" s="1"/>
  <c r="IZ23" i="20" s="1"/>
  <c r="JA23" i="20" s="1"/>
  <c r="JB23" i="20" s="1"/>
  <c r="JC23" i="20" s="1"/>
  <c r="JD23" i="20" s="1"/>
  <c r="JE23" i="20" s="1"/>
  <c r="JF23" i="20" s="1"/>
  <c r="JG23" i="20" s="1"/>
  <c r="JH23" i="20" s="1"/>
  <c r="JI23" i="20" s="1"/>
  <c r="JJ23" i="20" s="1"/>
  <c r="JK23" i="20" s="1"/>
  <c r="JL23" i="20" s="1"/>
  <c r="JM23" i="20" s="1"/>
  <c r="JN23" i="20" s="1"/>
  <c r="JO23" i="20" s="1"/>
  <c r="JP23" i="20" s="1"/>
  <c r="JQ23" i="20" s="1"/>
  <c r="JR23" i="20" s="1"/>
  <c r="JS23" i="20" s="1"/>
  <c r="JT23" i="20" s="1"/>
  <c r="JU23" i="20" s="1"/>
  <c r="JV23" i="20" s="1"/>
  <c r="JW23" i="20" s="1"/>
  <c r="JX23" i="20" s="1"/>
  <c r="JY23" i="20" s="1"/>
  <c r="JZ23" i="20" s="1"/>
  <c r="KA23" i="20" s="1"/>
  <c r="KB23" i="20" s="1"/>
  <c r="KC23" i="20" s="1"/>
  <c r="KD23" i="20" s="1"/>
  <c r="KE23" i="20" s="1"/>
  <c r="KF23" i="20" s="1"/>
  <c r="KG23" i="20" s="1"/>
  <c r="KH23" i="20" s="1"/>
  <c r="KI23" i="20" s="1"/>
  <c r="KJ23" i="20" s="1"/>
  <c r="KK23" i="20" s="1"/>
  <c r="KL23" i="20" s="1"/>
  <c r="AN25" i="20"/>
  <c r="IE45" i="20"/>
  <c r="IF45" i="20" s="1"/>
  <c r="IG45" i="20" s="1"/>
  <c r="IH45" i="20" s="1"/>
  <c r="II45" i="20" s="1"/>
  <c r="AP31" i="20"/>
  <c r="AQ31" i="20" s="1"/>
  <c r="AR31" i="20" s="1"/>
  <c r="AS31" i="20" s="1"/>
  <c r="AT31" i="20" s="1"/>
  <c r="AU31" i="20" s="1"/>
  <c r="AV31" i="20" s="1"/>
  <c r="AW31" i="20" s="1"/>
  <c r="AX31" i="20" s="1"/>
  <c r="AY31" i="20" s="1"/>
  <c r="AZ31" i="20" s="1"/>
  <c r="BA31" i="20" s="1"/>
  <c r="BB31" i="20" s="1"/>
  <c r="BC31" i="20" s="1"/>
  <c r="BD31" i="20" s="1"/>
  <c r="BE31" i="20" s="1"/>
  <c r="BF31" i="20" s="1"/>
  <c r="BG31" i="20" s="1"/>
  <c r="HR31" i="20"/>
  <c r="HS31" i="20" s="1"/>
  <c r="HT31" i="20" s="1"/>
  <c r="HN39" i="20"/>
  <c r="HO39" i="20" s="1"/>
  <c r="HP39" i="20" s="1"/>
  <c r="HQ39" i="20" s="1"/>
  <c r="HR39" i="20" s="1"/>
  <c r="HS39" i="20" s="1"/>
  <c r="HT39" i="20" s="1"/>
  <c r="HU39" i="20" s="1"/>
  <c r="HV39" i="20" s="1"/>
  <c r="HW39" i="20" s="1"/>
  <c r="HX39" i="20" s="1"/>
  <c r="HY39" i="20" s="1"/>
  <c r="HZ39" i="20" s="1"/>
  <c r="IA39" i="20" s="1"/>
  <c r="IB39" i="20" s="1"/>
  <c r="IC39" i="20" s="1"/>
  <c r="ID39" i="20" s="1"/>
  <c r="IE39" i="20" s="1"/>
  <c r="IF39" i="20" s="1"/>
  <c r="IG39" i="20" s="1"/>
  <c r="IH39" i="20" s="1"/>
  <c r="II39" i="20" s="1"/>
  <c r="IJ39" i="20" s="1"/>
  <c r="IK39" i="20" s="1"/>
  <c r="IL39" i="20" s="1"/>
  <c r="IM39" i="20" s="1"/>
  <c r="IN39" i="20" s="1"/>
  <c r="IO39" i="20" s="1"/>
  <c r="IP39" i="20" s="1"/>
  <c r="IQ39" i="20" s="1"/>
  <c r="IR39" i="20" s="1"/>
  <c r="IS39" i="20" s="1"/>
  <c r="IT39" i="20" s="1"/>
  <c r="IU39" i="20" s="1"/>
  <c r="IV39" i="20" s="1"/>
  <c r="IW39" i="20" s="1"/>
  <c r="IX39" i="20" s="1"/>
  <c r="IY39" i="20" s="1"/>
  <c r="IZ39" i="20" s="1"/>
  <c r="JA39" i="20" s="1"/>
  <c r="JB39" i="20" s="1"/>
  <c r="JC39" i="20" s="1"/>
  <c r="JD39" i="20" s="1"/>
  <c r="JE39" i="20" s="1"/>
  <c r="JF39" i="20" s="1"/>
  <c r="JG39" i="20" s="1"/>
  <c r="JH39" i="20" s="1"/>
  <c r="JI39" i="20" s="1"/>
  <c r="JJ39" i="20" s="1"/>
  <c r="JK39" i="20" s="1"/>
  <c r="JL39" i="20" s="1"/>
  <c r="JM39" i="20" s="1"/>
  <c r="JN39" i="20" s="1"/>
  <c r="JO39" i="20" s="1"/>
  <c r="JP39" i="20" s="1"/>
  <c r="JQ39" i="20" s="1"/>
  <c r="JR39" i="20" s="1"/>
  <c r="JS39" i="20" s="1"/>
  <c r="JT39" i="20" s="1"/>
  <c r="JU39" i="20" s="1"/>
  <c r="JV39" i="20" s="1"/>
  <c r="JW39" i="20" s="1"/>
  <c r="JX39" i="20" s="1"/>
  <c r="JY39" i="20" s="1"/>
  <c r="JZ39" i="20" s="1"/>
  <c r="KA39" i="20" s="1"/>
  <c r="KB39" i="20" s="1"/>
  <c r="KC39" i="20" s="1"/>
  <c r="KD39" i="20" s="1"/>
  <c r="KE39" i="20" s="1"/>
  <c r="KF39" i="20" s="1"/>
  <c r="KG39" i="20" s="1"/>
  <c r="KH39" i="20" s="1"/>
  <c r="KI39" i="20" s="1"/>
  <c r="KJ39" i="20" s="1"/>
  <c r="KK39" i="20" s="1"/>
  <c r="KL39" i="20" s="1"/>
  <c r="AM49" i="20"/>
  <c r="AN49" i="20" s="1"/>
  <c r="AO49" i="20" s="1"/>
  <c r="AP49" i="20" s="1"/>
  <c r="AQ49" i="20" s="1"/>
  <c r="AR49" i="20" s="1"/>
  <c r="AS49" i="20" s="1"/>
  <c r="AT49" i="20" s="1"/>
  <c r="AU49" i="20" s="1"/>
  <c r="AV49" i="20" s="1"/>
  <c r="AW49" i="20" s="1"/>
  <c r="AX49" i="20" s="1"/>
  <c r="AY49" i="20" s="1"/>
  <c r="AZ49" i="20" s="1"/>
  <c r="BA49" i="20" s="1"/>
  <c r="BB49" i="20" s="1"/>
  <c r="BC49" i="20" s="1"/>
  <c r="BD49" i="20" s="1"/>
  <c r="BE49" i="20" s="1"/>
  <c r="BF49" i="20" s="1"/>
  <c r="BG49" i="20" s="1"/>
  <c r="AM33" i="20"/>
  <c r="AN33" i="20" s="1"/>
  <c r="AO33" i="20" s="1"/>
  <c r="AP33" i="20" s="1"/>
  <c r="AQ33" i="20" s="1"/>
  <c r="AR33" i="20" s="1"/>
  <c r="AS33" i="20" s="1"/>
  <c r="AT33" i="20" s="1"/>
  <c r="AU33" i="20" s="1"/>
  <c r="AV33" i="20" s="1"/>
  <c r="AW33" i="20" s="1"/>
  <c r="AX33" i="20" s="1"/>
  <c r="AY33" i="20" s="1"/>
  <c r="AZ33" i="20" s="1"/>
  <c r="BA33" i="20" s="1"/>
  <c r="BB33" i="20" s="1"/>
  <c r="BC33" i="20" s="1"/>
  <c r="BD33" i="20" s="1"/>
  <c r="BE33" i="20" s="1"/>
  <c r="BF33" i="20" s="1"/>
  <c r="BG33" i="20" s="1"/>
  <c r="AM21" i="20"/>
  <c r="AN21" i="20" s="1"/>
  <c r="AO21" i="20" s="1"/>
  <c r="AP21" i="20" s="1"/>
  <c r="AQ21" i="20" s="1"/>
  <c r="AR21" i="20" s="1"/>
  <c r="AS21" i="20" s="1"/>
  <c r="AT21" i="20" s="1"/>
  <c r="AU21" i="20" s="1"/>
  <c r="AW21" i="20" s="1"/>
  <c r="AX21" i="20" s="1"/>
  <c r="AY21" i="20" s="1"/>
  <c r="K51" i="20"/>
  <c r="JD50" i="20"/>
  <c r="JD54" i="20" s="1"/>
  <c r="JD55" i="20" s="1"/>
  <c r="S51" i="20"/>
  <c r="T25" i="17"/>
  <c r="S49" i="17"/>
  <c r="L51" i="20"/>
  <c r="M23" i="17"/>
  <c r="L49" i="17"/>
  <c r="V21" i="17"/>
  <c r="KN39" i="20" l="1"/>
  <c r="KM39" i="20"/>
  <c r="KN23" i="20"/>
  <c r="KM23" i="20"/>
  <c r="KN37" i="20"/>
  <c r="KM37" i="20"/>
  <c r="BH33" i="20"/>
  <c r="BI33" i="20" s="1"/>
  <c r="BJ33" i="20" s="1"/>
  <c r="BH31" i="20"/>
  <c r="BI31" i="20" s="1"/>
  <c r="BJ31" i="20" s="1"/>
  <c r="BH49" i="20"/>
  <c r="BI49" i="20" s="1"/>
  <c r="BJ49" i="20" s="1"/>
  <c r="JZ33" i="20"/>
  <c r="KA33" i="20" s="1"/>
  <c r="KB33" i="20" s="1"/>
  <c r="KC33" i="20" s="1"/>
  <c r="KD33" i="20" s="1"/>
  <c r="KE33" i="20" s="1"/>
  <c r="KF33" i="20" s="1"/>
  <c r="KG33" i="20" s="1"/>
  <c r="KH33" i="20" s="1"/>
  <c r="KI33" i="20" s="1"/>
  <c r="KJ33" i="20" s="1"/>
  <c r="KK33" i="20" s="1"/>
  <c r="KL33" i="20" s="1"/>
  <c r="JX21" i="20"/>
  <c r="AZ21" i="20"/>
  <c r="BA21" i="20" s="1"/>
  <c r="BB21" i="20" s="1"/>
  <c r="BC21" i="20" s="1"/>
  <c r="BD21" i="20" s="1"/>
  <c r="BE21" i="20" s="1"/>
  <c r="BF21" i="20" s="1"/>
  <c r="BG21" i="20" s="1"/>
  <c r="BH21" i="20" s="1"/>
  <c r="BI21" i="20" s="1"/>
  <c r="BJ21" i="20" s="1"/>
  <c r="JC50" i="20"/>
  <c r="JC54" i="20" s="1"/>
  <c r="JC55" i="20" s="1"/>
  <c r="AO25" i="20"/>
  <c r="IJ45" i="20"/>
  <c r="IK45" i="20" s="1"/>
  <c r="IL45" i="20" s="1"/>
  <c r="IM45" i="20" s="1"/>
  <c r="IN45" i="20" s="1"/>
  <c r="IO45" i="20" s="1"/>
  <c r="IP45" i="20" s="1"/>
  <c r="IQ45" i="20" s="1"/>
  <c r="IR45" i="20" s="1"/>
  <c r="IS45" i="20" s="1"/>
  <c r="IT45" i="20" s="1"/>
  <c r="IU45" i="20" s="1"/>
  <c r="IV45" i="20" s="1"/>
  <c r="IW45" i="20" s="1"/>
  <c r="IX45" i="20" s="1"/>
  <c r="IY45" i="20" s="1"/>
  <c r="IZ45" i="20" s="1"/>
  <c r="JA45" i="20" s="1"/>
  <c r="JB45" i="20" s="1"/>
  <c r="JC45" i="20" s="1"/>
  <c r="JD45" i="20" s="1"/>
  <c r="JE45" i="20" s="1"/>
  <c r="JF45" i="20" s="1"/>
  <c r="JG45" i="20" s="1"/>
  <c r="JH45" i="20" s="1"/>
  <c r="JI45" i="20" s="1"/>
  <c r="JJ45" i="20" s="1"/>
  <c r="JK45" i="20" s="1"/>
  <c r="JL45" i="20" s="1"/>
  <c r="JM45" i="20" s="1"/>
  <c r="JN45" i="20" s="1"/>
  <c r="JO45" i="20" s="1"/>
  <c r="JP45" i="20" s="1"/>
  <c r="JQ45" i="20" s="1"/>
  <c r="JR45" i="20" s="1"/>
  <c r="JT45" i="20" s="1"/>
  <c r="JU45" i="20" s="1"/>
  <c r="JV45" i="20" s="1"/>
  <c r="JW45" i="20" s="1"/>
  <c r="JX45" i="20" s="1"/>
  <c r="JY45" i="20" s="1"/>
  <c r="JZ45" i="20" s="1"/>
  <c r="KA45" i="20" s="1"/>
  <c r="KB45" i="20" s="1"/>
  <c r="KC45" i="20" s="1"/>
  <c r="KD45" i="20" s="1"/>
  <c r="KE45" i="20" s="1"/>
  <c r="KF45" i="20" s="1"/>
  <c r="KG45" i="20" s="1"/>
  <c r="KH45" i="20" s="1"/>
  <c r="KI45" i="20" s="1"/>
  <c r="KJ45" i="20" s="1"/>
  <c r="KK45" i="20" s="1"/>
  <c r="KL45" i="20" s="1"/>
  <c r="HU31" i="20"/>
  <c r="HV31" i="20" s="1"/>
  <c r="HW31" i="20" s="1"/>
  <c r="W21" i="17"/>
  <c r="T51" i="20"/>
  <c r="M51" i="20"/>
  <c r="U25" i="17"/>
  <c r="T49" i="17"/>
  <c r="N23" i="17"/>
  <c r="M49" i="17"/>
  <c r="KN45" i="20" l="1"/>
  <c r="KM45" i="20"/>
  <c r="KN33" i="20"/>
  <c r="KM33" i="20"/>
  <c r="JY21" i="20"/>
  <c r="AP25" i="20"/>
  <c r="HX31" i="20"/>
  <c r="N51" i="20"/>
  <c r="O23" i="17"/>
  <c r="N49" i="17"/>
  <c r="U51" i="20"/>
  <c r="V25" i="17"/>
  <c r="U49" i="17"/>
  <c r="X21" i="17"/>
  <c r="JZ21" i="20" l="1"/>
  <c r="KA21" i="20" s="1"/>
  <c r="JB50" i="20"/>
  <c r="JB54" i="20" s="1"/>
  <c r="JB55" i="20" s="1"/>
  <c r="AQ25" i="20"/>
  <c r="HY31" i="20"/>
  <c r="V51" i="20"/>
  <c r="P23" i="17"/>
  <c r="P49" i="17" s="1"/>
  <c r="O49" i="17"/>
  <c r="W25" i="17"/>
  <c r="V49" i="17"/>
  <c r="Y21" i="17"/>
  <c r="O51" i="20"/>
  <c r="KB21" i="20" l="1"/>
  <c r="JA50" i="20"/>
  <c r="JA54" i="20" s="1"/>
  <c r="JA55" i="20" s="1"/>
  <c r="AR25" i="20"/>
  <c r="AS25" i="20" s="1"/>
  <c r="AT25" i="20" s="1"/>
  <c r="AU25" i="20" s="1"/>
  <c r="AW25" i="20" s="1"/>
  <c r="AX25" i="20" s="1"/>
  <c r="AY25" i="20" s="1"/>
  <c r="AZ25" i="20" s="1"/>
  <c r="BA25" i="20" s="1"/>
  <c r="BB25" i="20" s="1"/>
  <c r="BC25" i="20" s="1"/>
  <c r="BD25" i="20" s="1"/>
  <c r="BE25" i="20" s="1"/>
  <c r="BF25" i="20" s="1"/>
  <c r="BG25" i="20" s="1"/>
  <c r="HZ31" i="20"/>
  <c r="X25" i="17"/>
  <c r="W49" i="17"/>
  <c r="P51" i="20"/>
  <c r="Z21" i="17"/>
  <c r="IZ50" i="20"/>
  <c r="IZ54" i="20" s="1"/>
  <c r="IZ55" i="20" s="1"/>
  <c r="W51" i="20"/>
  <c r="BH25" i="20" l="1"/>
  <c r="BI25" i="20" s="1"/>
  <c r="BJ25" i="20" s="1"/>
  <c r="KC21" i="20"/>
  <c r="IA31" i="20"/>
  <c r="AA21" i="17"/>
  <c r="IY50" i="20"/>
  <c r="IY54" i="20" s="1"/>
  <c r="IY55" i="20" s="1"/>
  <c r="X51" i="20"/>
  <c r="Y25" i="17"/>
  <c r="X49" i="17"/>
  <c r="KD21" i="20" l="1"/>
  <c r="IB31" i="20"/>
  <c r="Z25" i="17"/>
  <c r="Y49" i="17"/>
  <c r="IX50" i="20"/>
  <c r="IX54" i="20" s="1"/>
  <c r="IX55" i="20" s="1"/>
  <c r="Y51" i="20"/>
  <c r="AB21" i="17"/>
  <c r="KE21" i="20" l="1"/>
  <c r="KF21" i="20" s="1"/>
  <c r="IC31" i="20"/>
  <c r="AC21" i="17"/>
  <c r="IW50" i="20"/>
  <c r="IW54" i="20" s="1"/>
  <c r="IW55" i="20" s="1"/>
  <c r="Z51" i="20"/>
  <c r="AA25" i="17"/>
  <c r="Z49" i="17"/>
  <c r="KG21" i="20" l="1"/>
  <c r="ID31" i="20"/>
  <c r="AB25" i="17"/>
  <c r="AA49" i="17"/>
  <c r="AA51" i="20"/>
  <c r="AD21" i="17"/>
  <c r="KH21" i="20" l="1"/>
  <c r="IV50" i="20"/>
  <c r="IV54" i="20" s="1"/>
  <c r="IV55" i="20" s="1"/>
  <c r="IU50" i="20"/>
  <c r="IU54" i="20" s="1"/>
  <c r="IU55" i="20" s="1"/>
  <c r="IE31" i="20"/>
  <c r="AE21" i="17"/>
  <c r="AB51" i="20"/>
  <c r="AC25" i="17"/>
  <c r="AB49" i="17"/>
  <c r="KI21" i="20" l="1"/>
  <c r="KJ21" i="20" s="1"/>
  <c r="IT50" i="20"/>
  <c r="IT54" i="20" s="1"/>
  <c r="IT55" i="20" s="1"/>
  <c r="IJ50" i="20"/>
  <c r="IC50" i="20"/>
  <c r="ID50" i="20"/>
  <c r="IF31" i="20"/>
  <c r="AD25" i="17"/>
  <c r="AC49" i="17"/>
  <c r="IS50" i="20"/>
  <c r="IS54" i="20" s="1"/>
  <c r="IS55" i="20" s="1"/>
  <c r="AC51" i="20"/>
  <c r="AF21" i="17"/>
  <c r="KK21" i="20" l="1"/>
  <c r="IF50" i="20"/>
  <c r="IQ50" i="20"/>
  <c r="IQ55" i="20" s="1"/>
  <c r="IQ56" i="20" s="1"/>
  <c r="IR50" i="20"/>
  <c r="IR55" i="20" s="1"/>
  <c r="IR56" i="20" s="1"/>
  <c r="IM50" i="20"/>
  <c r="IN50" i="20"/>
  <c r="IK50" i="20"/>
  <c r="IP50" i="20"/>
  <c r="IP55" i="20" s="1"/>
  <c r="IP56" i="20" s="1"/>
  <c r="IO50" i="20"/>
  <c r="IO55" i="20" s="1"/>
  <c r="IO56" i="20" s="1"/>
  <c r="IL50" i="20"/>
  <c r="II50" i="20"/>
  <c r="IH50" i="20"/>
  <c r="IE50" i="20"/>
  <c r="IG50" i="20"/>
  <c r="IB50" i="20"/>
  <c r="IG31" i="20"/>
  <c r="AG21" i="17"/>
  <c r="AD51" i="20"/>
  <c r="AE25" i="17"/>
  <c r="AD49" i="17"/>
  <c r="KL21" i="20" l="1"/>
  <c r="KM21" i="20" s="1"/>
  <c r="IH31" i="20"/>
  <c r="AF25" i="17"/>
  <c r="AE49" i="17"/>
  <c r="AE51" i="20"/>
  <c r="AH21" i="17"/>
  <c r="KN21" i="20" l="1"/>
  <c r="II31" i="20"/>
  <c r="AG51" i="20"/>
  <c r="AJ21" i="17"/>
  <c r="AI21" i="17"/>
  <c r="AI49" i="17" s="1"/>
  <c r="AF51" i="20"/>
  <c r="AG25" i="17"/>
  <c r="AF49" i="17"/>
  <c r="IJ31" i="20" l="1"/>
  <c r="IK31" i="20" s="1"/>
  <c r="IL31" i="20" s="1"/>
  <c r="IM31" i="20" s="1"/>
  <c r="IN31" i="20" s="1"/>
  <c r="IO31" i="20" s="1"/>
  <c r="IP31" i="20" s="1"/>
  <c r="IQ31" i="20" s="1"/>
  <c r="IR31" i="20" s="1"/>
  <c r="IS31" i="20" s="1"/>
  <c r="IT31" i="20" s="1"/>
  <c r="IU31" i="20" s="1"/>
  <c r="IV31" i="20" s="1"/>
  <c r="IW31" i="20" s="1"/>
  <c r="IX31" i="20" s="1"/>
  <c r="IY31" i="20" s="1"/>
  <c r="IZ31" i="20" s="1"/>
  <c r="JA31" i="20" s="1"/>
  <c r="JB31" i="20" s="1"/>
  <c r="JC31" i="20" s="1"/>
  <c r="JD31" i="20" s="1"/>
  <c r="JE31" i="20" s="1"/>
  <c r="JF31" i="20" s="1"/>
  <c r="JG31" i="20" s="1"/>
  <c r="JH31" i="20" s="1"/>
  <c r="JI31" i="20" s="1"/>
  <c r="JJ31" i="20" s="1"/>
  <c r="JK31" i="20" s="1"/>
  <c r="JL31" i="20" s="1"/>
  <c r="JM31" i="20" s="1"/>
  <c r="JN31" i="20" s="1"/>
  <c r="JO31" i="20" s="1"/>
  <c r="JP31" i="20" s="1"/>
  <c r="JQ31" i="20" s="1"/>
  <c r="JR31" i="20" s="1"/>
  <c r="JS31" i="20" s="1"/>
  <c r="JT31" i="20" s="1"/>
  <c r="JU31" i="20" s="1"/>
  <c r="JV31" i="20" s="1"/>
  <c r="JW31" i="20" s="1"/>
  <c r="AH51" i="20"/>
  <c r="AH25" i="17"/>
  <c r="AH49" i="17" s="1"/>
  <c r="AG49" i="17"/>
  <c r="AJ49" i="17"/>
  <c r="AK21" i="17"/>
  <c r="JX31" i="20" l="1"/>
  <c r="JY31" i="20" s="1"/>
  <c r="AL21" i="17"/>
  <c r="AL49" i="17" s="1"/>
  <c r="AM21" i="17"/>
  <c r="AK49" i="17"/>
  <c r="AN21" i="17" l="1"/>
  <c r="AM49" i="17"/>
  <c r="JZ31" i="20" l="1"/>
  <c r="KA31" i="20" s="1"/>
  <c r="KB31" i="20" s="1"/>
  <c r="AO21" i="17"/>
  <c r="AO49" i="17" s="1"/>
  <c r="AP21" i="17"/>
  <c r="AN49" i="17"/>
  <c r="KC31" i="20" l="1"/>
  <c r="AQ21" i="17"/>
  <c r="AP49" i="17"/>
  <c r="KD31" i="20" l="1"/>
  <c r="AS21" i="17"/>
  <c r="AR21" i="17"/>
  <c r="AR49" i="17" s="1"/>
  <c r="AQ49" i="17"/>
  <c r="KE31" i="20" l="1"/>
  <c r="KF31" i="20" s="1"/>
  <c r="AS49" i="17"/>
  <c r="AT21" i="17"/>
  <c r="KG31" i="20" l="1"/>
  <c r="AU21" i="17"/>
  <c r="AU49" i="17" s="1"/>
  <c r="AV21" i="17"/>
  <c r="AT49" i="17"/>
  <c r="KH31" i="20" l="1"/>
  <c r="AV49" i="17"/>
  <c r="AW21" i="17"/>
  <c r="KI31" i="20" l="1"/>
  <c r="KJ31" i="20" s="1"/>
  <c r="AX21" i="17"/>
  <c r="AX49" i="17" s="1"/>
  <c r="AY21" i="17"/>
  <c r="AW49" i="17"/>
  <c r="KK31" i="20" l="1"/>
  <c r="AY49" i="17"/>
  <c r="AZ21" i="17"/>
  <c r="KL31" i="20" l="1"/>
  <c r="KM31" i="20" s="1"/>
  <c r="BA21" i="17"/>
  <c r="BA49" i="17" s="1"/>
  <c r="BB21" i="17"/>
  <c r="AZ49" i="17"/>
  <c r="KN31" i="20" l="1"/>
  <c r="BC21" i="17"/>
  <c r="BB49" i="17"/>
  <c r="BE21" i="17" l="1"/>
  <c r="BD21" i="17"/>
  <c r="BD49" i="17" s="1"/>
  <c r="BC49" i="17"/>
  <c r="BE49" i="17" l="1"/>
  <c r="BF21" i="17"/>
  <c r="BG21" i="17" l="1"/>
  <c r="BG49" i="17" s="1"/>
  <c r="BH21" i="17"/>
  <c r="BF49" i="17"/>
  <c r="BI21" i="17" l="1"/>
  <c r="BH49" i="17"/>
  <c r="BI49" i="17" l="1"/>
  <c r="BJ21" i="17"/>
  <c r="BJ49" i="17" s="1"/>
  <c r="BK21" i="17"/>
  <c r="BL21" i="17" l="1"/>
  <c r="BK49" i="17"/>
  <c r="BM21" i="17" l="1"/>
  <c r="BM49" i="17" s="1"/>
  <c r="BL49" i="17"/>
  <c r="BN21" i="17"/>
  <c r="BO21" i="17" l="1"/>
  <c r="BN49" i="17"/>
  <c r="BQ21" i="17" l="1"/>
  <c r="BO49" i="17"/>
  <c r="BP21" i="17"/>
  <c r="BP49" i="17" s="1"/>
  <c r="BR21" i="17" l="1"/>
  <c r="BQ49" i="17"/>
  <c r="BT21" i="17" l="1"/>
  <c r="BR49" i="17"/>
  <c r="BS21" i="17"/>
  <c r="BS49" i="17" s="1"/>
  <c r="BU21" i="17" l="1"/>
  <c r="BT49" i="17"/>
  <c r="BU49" i="17" l="1"/>
  <c r="BW21" i="17"/>
  <c r="BV21" i="17"/>
  <c r="BV49" i="17" s="1"/>
  <c r="BX21" i="17" l="1"/>
  <c r="BW49" i="17"/>
  <c r="BZ21" i="17" l="1"/>
  <c r="BY21" i="17"/>
  <c r="BY49" i="17" s="1"/>
  <c r="BX49" i="17"/>
  <c r="CA21" i="17" l="1"/>
  <c r="BZ49" i="17"/>
  <c r="CC21" i="17" l="1"/>
  <c r="CA49" i="17"/>
  <c r="CB21" i="17"/>
  <c r="CB49" i="17" s="1"/>
  <c r="CD21" i="17" l="1"/>
  <c r="CC49" i="17"/>
  <c r="CF21" i="17" l="1"/>
  <c r="CE21" i="17"/>
  <c r="CE49" i="17" s="1"/>
  <c r="CD49" i="17"/>
  <c r="CG21" i="17" l="1"/>
  <c r="CF49" i="17"/>
  <c r="CI21" i="17" l="1"/>
  <c r="CG49" i="17"/>
  <c r="CH21" i="17"/>
  <c r="CH49" i="17" s="1"/>
  <c r="CJ21" i="17" l="1"/>
  <c r="CI49" i="17"/>
  <c r="CL21" i="17" l="1"/>
  <c r="CK21" i="17"/>
  <c r="CK49" i="17" s="1"/>
  <c r="CJ49" i="17"/>
  <c r="CM21" i="17" l="1"/>
  <c r="CL49" i="17"/>
  <c r="CO21" i="17" l="1"/>
  <c r="CN21" i="17"/>
  <c r="CN49" i="17" s="1"/>
  <c r="CM49" i="17"/>
  <c r="CO49" i="17" l="1"/>
  <c r="CP21" i="17"/>
  <c r="CP49" i="17" l="1"/>
  <c r="CR21" i="17"/>
  <c r="CQ21" i="17"/>
  <c r="CQ49" i="17" s="1"/>
  <c r="CS21" i="17" l="1"/>
  <c r="CR49" i="17"/>
  <c r="CT21" i="17" l="1"/>
  <c r="CT49" i="17" s="1"/>
  <c r="CU21" i="17"/>
  <c r="CS49" i="17"/>
  <c r="CV21" i="17" l="1"/>
  <c r="CU49" i="17"/>
  <c r="CV49" i="17" l="1"/>
  <c r="CW21" i="17"/>
  <c r="CW49" i="17" s="1"/>
  <c r="CX21" i="17"/>
  <c r="CY21" i="17" l="1"/>
  <c r="CX49" i="17"/>
  <c r="DA21" i="17" l="1"/>
  <c r="CY49" i="17"/>
  <c r="CZ21" i="17"/>
  <c r="CZ49" i="17" s="1"/>
  <c r="DA49" i="17" l="1"/>
  <c r="DB21" i="17"/>
  <c r="DB49" i="17" l="1"/>
  <c r="DC21" i="17"/>
  <c r="DC49" i="17" s="1"/>
  <c r="DD21" i="17"/>
  <c r="DE21" i="17" l="1"/>
  <c r="DD49" i="17"/>
  <c r="DG21" i="17" l="1"/>
  <c r="DF21" i="17"/>
  <c r="DF49" i="17" s="1"/>
  <c r="DE49" i="17"/>
  <c r="DG49" i="17" l="1"/>
  <c r="DH21" i="17"/>
  <c r="DJ21" i="17" l="1"/>
  <c r="DI21" i="17"/>
  <c r="DI49" i="17" s="1"/>
  <c r="DH49" i="17"/>
  <c r="DK21" i="17" l="1"/>
  <c r="DJ49" i="17"/>
  <c r="DM21" i="17" l="1"/>
  <c r="DK49" i="17"/>
  <c r="DL21" i="17"/>
  <c r="DL49" i="17" s="1"/>
  <c r="DM49" i="17" l="1"/>
  <c r="DN21" i="17"/>
  <c r="DN49" i="17" l="1"/>
  <c r="DO21" i="17"/>
  <c r="DO49" i="17" s="1"/>
  <c r="DP21" i="17"/>
  <c r="DQ21" i="17" l="1"/>
  <c r="DP49" i="17"/>
  <c r="DR21" i="17" l="1"/>
  <c r="DR49" i="17" s="1"/>
  <c r="DS21" i="17"/>
  <c r="DQ49" i="17"/>
  <c r="DS49" i="17" l="1"/>
  <c r="DT21" i="17"/>
  <c r="DU21" i="17" l="1"/>
  <c r="DT49" i="17"/>
  <c r="DU49" i="17" l="1"/>
  <c r="DV21" i="17"/>
  <c r="DV49" i="17" l="1"/>
  <c r="DW21" i="17"/>
  <c r="DX21" i="17" l="1"/>
  <c r="DW49" i="17"/>
  <c r="DY21" i="17" l="1"/>
  <c r="DX49" i="17"/>
  <c r="DY49" i="17" l="1"/>
  <c r="DZ21" i="17"/>
  <c r="DZ49" i="17" l="1"/>
  <c r="EA21" i="17"/>
  <c r="EA49" i="17" l="1"/>
  <c r="EB21" i="17"/>
  <c r="EC21" i="17" l="1"/>
  <c r="EB49" i="17"/>
  <c r="EC49" i="17" l="1"/>
  <c r="ED21" i="17"/>
  <c r="ED49" i="17" l="1"/>
  <c r="EE21" i="17"/>
  <c r="EF21" i="17" l="1"/>
  <c r="EE49" i="17"/>
  <c r="EG21" i="17" l="1"/>
  <c r="EF49" i="17"/>
  <c r="EH21" i="17" l="1"/>
  <c r="EG49" i="17"/>
  <c r="EH49" i="17" l="1"/>
  <c r="EI21" i="17"/>
  <c r="EJ21" i="17" l="1"/>
  <c r="EI49" i="17"/>
  <c r="EJ49" i="17" l="1"/>
  <c r="EK21" i="17"/>
  <c r="EL21" i="17" l="1"/>
  <c r="EK49" i="17"/>
  <c r="EM21" i="17" l="1"/>
  <c r="EL49" i="17"/>
  <c r="EN21" i="17" l="1"/>
  <c r="EM49" i="17"/>
  <c r="EO21" i="17" l="1"/>
  <c r="EN49" i="17"/>
  <c r="EO49" i="17" l="1"/>
  <c r="EP21" i="17"/>
  <c r="EQ21" i="17" l="1"/>
  <c r="EP49" i="17"/>
  <c r="EQ49" i="17" l="1"/>
  <c r="ER21" i="17"/>
  <c r="ES21" i="17" l="1"/>
  <c r="ER49" i="17"/>
  <c r="ES49" i="17" l="1"/>
  <c r="ET21" i="17"/>
  <c r="ET49" i="17" s="1"/>
  <c r="AI47" i="20" l="1"/>
  <c r="AJ47" i="20" s="1"/>
  <c r="AK47" i="20" s="1"/>
  <c r="AL47" i="20" s="1"/>
  <c r="AM47" i="20" s="1"/>
  <c r="AN47" i="20" s="1"/>
  <c r="AO47" i="20" s="1"/>
  <c r="AP47" i="20" s="1"/>
  <c r="AQ47" i="20" s="1"/>
  <c r="AR47" i="20" s="1"/>
  <c r="AS47" i="20" s="1"/>
  <c r="AT47" i="20" s="1"/>
  <c r="AU47" i="20" s="1"/>
  <c r="AV47" i="20" s="1"/>
  <c r="AW47" i="20" s="1"/>
  <c r="AX47" i="20" s="1"/>
  <c r="AY47" i="20" s="1"/>
  <c r="AZ47" i="20" s="1"/>
  <c r="BA47" i="20" s="1"/>
  <c r="BB47" i="20" s="1"/>
  <c r="BC47" i="20" s="1"/>
  <c r="BD47" i="20" s="1"/>
  <c r="BE47" i="20" s="1"/>
  <c r="BF47" i="20" s="1"/>
  <c r="BG47" i="20" s="1"/>
  <c r="GK47" i="20"/>
  <c r="GL47" i="20" s="1"/>
  <c r="GM47" i="20" s="1"/>
  <c r="GN47" i="20" s="1"/>
  <c r="GO47" i="20" s="1"/>
  <c r="GP47" i="20" s="1"/>
  <c r="GQ47" i="20" s="1"/>
  <c r="GR47" i="20" s="1"/>
  <c r="GS47" i="20" s="1"/>
  <c r="GT47" i="20" s="1"/>
  <c r="GU47" i="20" s="1"/>
  <c r="GV47" i="20" s="1"/>
  <c r="GW47" i="20" s="1"/>
  <c r="GX47" i="20" s="1"/>
  <c r="GY47" i="20" s="1"/>
  <c r="GZ47" i="20" s="1"/>
  <c r="HA47" i="20" s="1"/>
  <c r="HB47" i="20" s="1"/>
  <c r="HC47" i="20" s="1"/>
  <c r="HD47" i="20" s="1"/>
  <c r="HE47" i="20" s="1"/>
  <c r="HF47" i="20" s="1"/>
  <c r="HG47" i="20" s="1"/>
  <c r="BI51" i="20" l="1"/>
  <c r="BH47" i="20"/>
  <c r="BI47" i="20" s="1"/>
  <c r="BJ47" i="20" s="1"/>
  <c r="BH51" i="20"/>
  <c r="BJ51" i="20"/>
  <c r="BG51" i="20"/>
  <c r="BF51" i="20"/>
  <c r="BE51" i="20"/>
  <c r="HH47" i="20"/>
  <c r="HI47" i="20" s="1"/>
  <c r="HJ47" i="20" s="1"/>
  <c r="HK47" i="20" s="1"/>
  <c r="HL47" i="20" s="1"/>
  <c r="HM47" i="20" s="1"/>
  <c r="HN47" i="20" s="1"/>
  <c r="HO47" i="20" s="1"/>
  <c r="HP47" i="20" s="1"/>
  <c r="HQ47" i="20" s="1"/>
  <c r="HR47" i="20" l="1"/>
  <c r="HS47" i="20" s="1"/>
  <c r="HT47" i="20" s="1"/>
  <c r="HU47" i="20" s="1"/>
  <c r="HV47" i="20" s="1"/>
  <c r="HW47" i="20" s="1"/>
  <c r="HX47" i="20" l="1"/>
  <c r="HY47" i="20" l="1"/>
  <c r="HZ47" i="20" l="1"/>
  <c r="IA47" i="20" l="1"/>
  <c r="IB47" i="20" l="1"/>
  <c r="IC47" i="20" l="1"/>
  <c r="ID47" i="20" l="1"/>
  <c r="IE47" i="20" l="1"/>
  <c r="IF47" i="20" l="1"/>
  <c r="IG47" i="20" l="1"/>
  <c r="IH47" i="20" l="1"/>
  <c r="II47" i="20" l="1"/>
  <c r="IJ47" i="20" l="1"/>
  <c r="IK47" i="20" l="1"/>
  <c r="IL47" i="20" s="1"/>
  <c r="IM47" i="20" s="1"/>
  <c r="IN47" i="20" s="1"/>
  <c r="IO47" i="20" s="1"/>
  <c r="IP47" i="20" s="1"/>
  <c r="IQ47" i="20" s="1"/>
  <c r="IR47" i="20" s="1"/>
  <c r="IS47" i="20" s="1"/>
  <c r="IT47" i="20" s="1"/>
  <c r="IU47" i="20" s="1"/>
  <c r="IV47" i="20" s="1"/>
  <c r="IW47" i="20" s="1"/>
  <c r="IX47" i="20" s="1"/>
  <c r="IY47" i="20" s="1"/>
  <c r="IZ47" i="20" s="1"/>
  <c r="JA47" i="20" s="1"/>
  <c r="JB47" i="20" s="1"/>
  <c r="JC47" i="20" s="1"/>
  <c r="JD47" i="20" s="1"/>
  <c r="JE47" i="20" s="1"/>
  <c r="JF47" i="20" s="1"/>
  <c r="JG47" i="20" s="1"/>
  <c r="JH47" i="20" s="1"/>
  <c r="JI47" i="20" s="1"/>
  <c r="JJ47" i="20" s="1"/>
  <c r="JK47" i="20" s="1"/>
  <c r="JL47" i="20" s="1"/>
  <c r="JM47" i="20" s="1"/>
  <c r="JN47" i="20" s="1"/>
  <c r="JO47" i="20" s="1"/>
  <c r="JP47" i="20" s="1"/>
  <c r="JQ47" i="20" s="1"/>
  <c r="JR47" i="20" s="1"/>
  <c r="JS47" i="20" s="1"/>
  <c r="JT47" i="20" s="1"/>
  <c r="JU47" i="20" s="1"/>
  <c r="JV47" i="20" s="1"/>
  <c r="JW47" i="20" s="1"/>
  <c r="IP51" i="20"/>
  <c r="IH51" i="20"/>
  <c r="IG51" i="20"/>
  <c r="II51" i="20"/>
  <c r="IN51" i="20"/>
  <c r="IF51" i="20"/>
  <c r="IU51" i="20"/>
  <c r="IM51" i="20"/>
  <c r="IE51" i="20"/>
  <c r="IT51" i="20"/>
  <c r="IL51" i="20"/>
  <c r="ID51" i="20"/>
  <c r="IC51" i="20"/>
  <c r="IQ51" i="20"/>
  <c r="IS51" i="20"/>
  <c r="IK51" i="20"/>
  <c r="IR51" i="20"/>
  <c r="IJ51" i="20"/>
  <c r="IB51" i="20"/>
  <c r="JX47" i="20" l="1"/>
  <c r="JW51" i="20"/>
  <c r="IO51" i="20"/>
  <c r="IV51" i="20"/>
  <c r="IW51" i="20"/>
  <c r="JQ51" i="20"/>
  <c r="IX51" i="20"/>
  <c r="AI51" i="20"/>
  <c r="JY47" i="20" l="1"/>
  <c r="JX51" i="20"/>
  <c r="JS51" i="20"/>
  <c r="AJ51" i="20"/>
  <c r="IY51" i="20"/>
  <c r="JZ47" i="20" l="1"/>
  <c r="KA47" i="20" s="1"/>
  <c r="KB47" i="20" s="1"/>
  <c r="JY51" i="20"/>
  <c r="JT51" i="20"/>
  <c r="IZ51" i="20"/>
  <c r="AK51" i="20"/>
  <c r="KC47" i="20" l="1"/>
  <c r="KB51" i="20"/>
  <c r="JZ51" i="20"/>
  <c r="JV51" i="20"/>
  <c r="JU51" i="20"/>
  <c r="AL51" i="20"/>
  <c r="JA51" i="20"/>
  <c r="KD47" i="20" l="1"/>
  <c r="KC51" i="20"/>
  <c r="KA51" i="20"/>
  <c r="JB51" i="20"/>
  <c r="AM51" i="20"/>
  <c r="KE47" i="20" l="1"/>
  <c r="KF47" i="20" s="1"/>
  <c r="KD51" i="20"/>
  <c r="AN51" i="20"/>
  <c r="JC51" i="20"/>
  <c r="KG47" i="20" l="1"/>
  <c r="KF51" i="20"/>
  <c r="KE51" i="20"/>
  <c r="JD51" i="20"/>
  <c r="AO51" i="20"/>
  <c r="KH47" i="20" l="1"/>
  <c r="KG51" i="20"/>
  <c r="AP51" i="20"/>
  <c r="HI51" i="20"/>
  <c r="FM51" i="20"/>
  <c r="CI51" i="20"/>
  <c r="DV51" i="20"/>
  <c r="EI51" i="20"/>
  <c r="GO51" i="20"/>
  <c r="ES51" i="20"/>
  <c r="ED51" i="20"/>
  <c r="GF51" i="20"/>
  <c r="BS51" i="20"/>
  <c r="FW51" i="20"/>
  <c r="EH51" i="20"/>
  <c r="FG51" i="20"/>
  <c r="CW51" i="20"/>
  <c r="GT51" i="20"/>
  <c r="CJ51" i="20"/>
  <c r="FP51" i="20"/>
  <c r="ET51" i="20"/>
  <c r="DS51" i="20"/>
  <c r="GR51" i="20"/>
  <c r="BR51" i="20"/>
  <c r="FZ51" i="20"/>
  <c r="CN51" i="20"/>
  <c r="EC51" i="20"/>
  <c r="HE51" i="20"/>
  <c r="GY51" i="20"/>
  <c r="HP51" i="20"/>
  <c r="CG51" i="20"/>
  <c r="GZ51" i="20"/>
  <c r="HT51" i="20"/>
  <c r="CV51" i="20"/>
  <c r="GH51" i="20"/>
  <c r="CK51" i="20"/>
  <c r="DK51" i="20"/>
  <c r="EW51" i="20"/>
  <c r="GW51" i="20"/>
  <c r="CB51" i="20"/>
  <c r="FH51" i="20"/>
  <c r="EL51" i="20"/>
  <c r="EJ51" i="20"/>
  <c r="GG51" i="20"/>
  <c r="BV51" i="20"/>
  <c r="FI51" i="20"/>
  <c r="EU51" i="20"/>
  <c r="GV51" i="20"/>
  <c r="HY51" i="20"/>
  <c r="GX51" i="20"/>
  <c r="EN51" i="20"/>
  <c r="JE51" i="20"/>
  <c r="KI47" i="20" l="1"/>
  <c r="KH51" i="20"/>
  <c r="JF51" i="20"/>
  <c r="AQ51" i="20"/>
  <c r="CF51" i="20"/>
  <c r="FY51" i="20"/>
  <c r="HG51" i="20"/>
  <c r="DT51" i="20"/>
  <c r="GP51" i="20"/>
  <c r="DN51" i="20"/>
  <c r="HW51" i="20"/>
  <c r="BT51" i="20"/>
  <c r="CA51" i="20"/>
  <c r="CE51" i="20"/>
  <c r="GD51" i="20"/>
  <c r="DZ51" i="20"/>
  <c r="DM51" i="20"/>
  <c r="BN51" i="20"/>
  <c r="FQ51" i="20"/>
  <c r="DW51" i="20"/>
  <c r="GQ51" i="20"/>
  <c r="DC51" i="20"/>
  <c r="DY51" i="20"/>
  <c r="GJ51" i="20"/>
  <c r="HL51" i="20"/>
  <c r="BY51" i="20"/>
  <c r="HF51" i="20"/>
  <c r="EF51" i="20"/>
  <c r="HO51" i="20"/>
  <c r="BK51" i="20"/>
  <c r="HC51" i="20"/>
  <c r="FL51" i="20"/>
  <c r="HM51" i="20"/>
  <c r="DO51" i="20"/>
  <c r="DU51" i="20"/>
  <c r="CS51" i="20"/>
  <c r="EE51" i="20"/>
  <c r="EB51" i="20"/>
  <c r="DD51" i="20"/>
  <c r="BO51" i="20"/>
  <c r="GE51" i="20"/>
  <c r="DG51" i="20"/>
  <c r="HQ51" i="20"/>
  <c r="FT51" i="20"/>
  <c r="DI51" i="20"/>
  <c r="HB51" i="20"/>
  <c r="EG51" i="20"/>
  <c r="DP51" i="20"/>
  <c r="HK51" i="20"/>
  <c r="DJ51" i="20"/>
  <c r="DH51" i="20"/>
  <c r="CC51" i="20"/>
  <c r="BL51" i="20"/>
  <c r="CL51" i="20"/>
  <c r="BQ51" i="20"/>
  <c r="CQ51" i="20"/>
  <c r="FE51" i="20"/>
  <c r="HD51" i="20"/>
  <c r="FV51" i="20"/>
  <c r="DX51" i="20"/>
  <c r="FN51" i="20"/>
  <c r="GL51" i="20"/>
  <c r="FA51" i="20"/>
  <c r="HS51" i="20"/>
  <c r="EO51" i="20"/>
  <c r="GS51" i="20"/>
  <c r="ER51" i="20"/>
  <c r="GI51" i="20"/>
  <c r="BP51" i="20"/>
  <c r="GU51" i="20"/>
  <c r="EZ51" i="20"/>
  <c r="FU51" i="20"/>
  <c r="FC51" i="20"/>
  <c r="FJ51" i="20"/>
  <c r="GB51" i="20"/>
  <c r="GN51" i="20"/>
  <c r="FB51" i="20"/>
  <c r="HH51" i="20"/>
  <c r="CD51" i="20"/>
  <c r="HX51" i="20"/>
  <c r="FK51" i="20"/>
  <c r="CO51" i="20"/>
  <c r="BM51" i="20"/>
  <c r="CP51" i="20"/>
  <c r="BX51" i="20"/>
  <c r="BW51" i="20"/>
  <c r="CM51" i="20"/>
  <c r="CT51" i="20"/>
  <c r="BU51" i="20"/>
  <c r="DR51" i="20"/>
  <c r="FF51" i="20"/>
  <c r="DB51" i="20"/>
  <c r="CR51" i="20"/>
  <c r="CU51" i="20"/>
  <c r="DQ51" i="20"/>
  <c r="EX51" i="20"/>
  <c r="HZ51" i="20"/>
  <c r="CH51" i="20"/>
  <c r="EP51" i="20"/>
  <c r="EV51" i="20"/>
  <c r="HN51" i="20"/>
  <c r="DA51" i="20"/>
  <c r="DF51" i="20"/>
  <c r="EY51" i="20"/>
  <c r="HJ51" i="20"/>
  <c r="BZ51" i="20"/>
  <c r="DL51" i="20"/>
  <c r="FD51" i="20"/>
  <c r="CY51" i="20"/>
  <c r="HR51" i="20"/>
  <c r="IA51" i="20"/>
  <c r="DE51" i="20"/>
  <c r="HV51" i="20"/>
  <c r="GM51" i="20"/>
  <c r="EM51" i="20"/>
  <c r="FR51" i="20"/>
  <c r="HU51" i="20"/>
  <c r="GA51" i="20"/>
  <c r="HA51" i="20"/>
  <c r="FX51" i="20"/>
  <c r="EA51" i="20"/>
  <c r="CX51" i="20"/>
  <c r="GK51" i="20"/>
  <c r="FO51" i="20"/>
  <c r="CZ51" i="20"/>
  <c r="GC51" i="20"/>
  <c r="EQ51" i="20"/>
  <c r="FS51" i="20"/>
  <c r="EK51" i="20"/>
  <c r="KI51" i="20" l="1"/>
  <c r="KJ47" i="20"/>
  <c r="AR51" i="20"/>
  <c r="JG51" i="20"/>
  <c r="KK47" i="20" l="1"/>
  <c r="KJ51" i="20"/>
  <c r="JH51" i="20"/>
  <c r="AS51" i="20"/>
  <c r="KL47" i="20" l="1"/>
  <c r="KM47" i="20" s="1"/>
  <c r="KM51" i="20" s="1"/>
  <c r="KK51" i="20"/>
  <c r="AT51" i="20"/>
  <c r="JI51" i="20"/>
  <c r="KN47" i="20" l="1"/>
  <c r="KN51" i="20" s="1"/>
  <c r="KL51" i="20"/>
  <c r="JJ51" i="20"/>
  <c r="AU51" i="20"/>
  <c r="AV51" i="20" l="1"/>
  <c r="JK51" i="20"/>
  <c r="JL51" i="20" l="1"/>
  <c r="AW51" i="20"/>
  <c r="AX51" i="20" l="1"/>
  <c r="JM51" i="20"/>
  <c r="JN51" i="20" l="1"/>
  <c r="AY51" i="20"/>
  <c r="AZ51" i="20" l="1"/>
  <c r="JO51" i="20"/>
  <c r="JR51" i="20" l="1"/>
  <c r="JP51" i="20"/>
  <c r="BA51" i="20"/>
  <c r="BB51" i="20" l="1"/>
  <c r="BD51" i="20" l="1"/>
  <c r="BC51" i="20"/>
</calcChain>
</file>

<file path=xl/comments1.xml><?xml version="1.0" encoding="utf-8"?>
<comments xmlns="http://schemas.openxmlformats.org/spreadsheetml/2006/main">
  <authors>
    <author>曾玉君</author>
  </authors>
  <commentList>
    <comment ref="DV20" authorId="0" shapeId="0">
      <text>
        <r>
          <rPr>
            <b/>
            <sz val="9"/>
            <color indexed="81"/>
            <rFont val="細明體"/>
            <family val="3"/>
            <charset val="136"/>
          </rPr>
          <t>曾玉君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>發注</t>
        </r>
        <r>
          <rPr>
            <sz val="14"/>
            <color indexed="81"/>
            <rFont val="Tahoma"/>
            <family val="2"/>
          </rPr>
          <t>B00</t>
        </r>
      </text>
    </comment>
    <comment ref="DV38" authorId="0" shapeId="0">
      <text>
        <r>
          <rPr>
            <b/>
            <sz val="9"/>
            <color indexed="81"/>
            <rFont val="細明體"/>
            <family val="3"/>
            <charset val="136"/>
          </rPr>
          <t>曾玉君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細明體"/>
            <family val="3"/>
            <charset val="136"/>
          </rPr>
          <t>發注</t>
        </r>
        <r>
          <rPr>
            <sz val="14"/>
            <color indexed="81"/>
            <rFont val="Tahoma"/>
            <family val="2"/>
          </rPr>
          <t>B00</t>
        </r>
      </text>
    </comment>
  </commentList>
</comments>
</file>

<file path=xl/comments2.xml><?xml version="1.0" encoding="utf-8"?>
<comments xmlns="http://schemas.openxmlformats.org/spreadsheetml/2006/main">
  <authors>
    <author>chungkaichun</author>
    <author>953201</author>
  </authors>
  <commentList>
    <comment ref="GI14" authorId="0" shapeId="0">
      <text>
        <r>
          <rPr>
            <b/>
            <sz val="16"/>
            <color indexed="81"/>
            <rFont val="細明體"/>
            <family val="3"/>
            <charset val="136"/>
          </rPr>
          <t>暑休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H15" authorId="1" shapeId="0">
      <text>
        <r>
          <rPr>
            <b/>
            <sz val="9"/>
            <color indexed="81"/>
            <rFont val="Tahoma"/>
            <family val="2"/>
          </rPr>
          <t xml:space="preserve"> TYC Lunar New Year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953201</author>
  </authors>
  <commentList>
    <comment ref="H15" authorId="0" shapeId="0">
      <text>
        <r>
          <rPr>
            <b/>
            <sz val="9"/>
            <color indexed="81"/>
            <rFont val="Tahoma"/>
            <family val="2"/>
          </rPr>
          <t xml:space="preserve">4W </t>
        </r>
        <r>
          <rPr>
            <b/>
            <sz val="9"/>
            <color indexed="81"/>
            <rFont val="細明體"/>
            <family val="3"/>
            <charset val="136"/>
          </rPr>
          <t>變</t>
        </r>
        <r>
          <rPr>
            <b/>
            <sz val="9"/>
            <color indexed="81"/>
            <rFont val="Tahoma"/>
            <family val="2"/>
          </rPr>
          <t>5W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<sst xmlns="http://schemas.openxmlformats.org/spreadsheetml/2006/main" count="994" uniqueCount="213">
  <si>
    <t>YAZAKI FAX</t>
  </si>
  <si>
    <t>FROM</t>
  </si>
  <si>
    <t xml:space="preserve"> OVERSEAS NETWORK</t>
  </si>
  <si>
    <t>TO</t>
  </si>
  <si>
    <t>FAX No.</t>
  </si>
  <si>
    <t>ATTN : MR.</t>
  </si>
  <si>
    <t>SR No.</t>
    <phoneticPr fontId="4"/>
  </si>
  <si>
    <t>OVERSEAS FACT</t>
    <phoneticPr fontId="4"/>
  </si>
  <si>
    <t>CUST</t>
    <phoneticPr fontId="4"/>
  </si>
  <si>
    <t>FAMILY</t>
  </si>
  <si>
    <t>No.</t>
  </si>
  <si>
    <t>PRODUCT NO</t>
  </si>
  <si>
    <t/>
  </si>
  <si>
    <t>TOTAL</t>
  </si>
  <si>
    <t>TYC FACT</t>
    <phoneticPr fontId="42" type="noConversion"/>
  </si>
  <si>
    <t>車型</t>
    <phoneticPr fontId="42" type="noConversion"/>
  </si>
  <si>
    <t>部位別</t>
    <phoneticPr fontId="42" type="noConversion"/>
  </si>
  <si>
    <t>QTY</t>
    <phoneticPr fontId="42" type="noConversion"/>
  </si>
  <si>
    <t>CUM</t>
    <phoneticPr fontId="42" type="noConversion"/>
  </si>
  <si>
    <t xml:space="preserve">JAI </t>
    <phoneticPr fontId="42" type="noConversion"/>
  </si>
  <si>
    <t>3W</t>
  </si>
  <si>
    <t>4W</t>
  </si>
  <si>
    <t>TJAT</t>
    <phoneticPr fontId="42" type="noConversion"/>
  </si>
  <si>
    <t>ARRIVAL PORT</t>
    <phoneticPr fontId="42" type="noConversion"/>
  </si>
  <si>
    <t>KAO</t>
    <phoneticPr fontId="42" type="noConversion"/>
  </si>
  <si>
    <t>TAIWAN TOYOTA</t>
    <phoneticPr fontId="42" type="noConversion"/>
  </si>
  <si>
    <t>SFX</t>
    <phoneticPr fontId="42" type="noConversion"/>
  </si>
  <si>
    <t>CAR</t>
    <phoneticPr fontId="42" type="noConversion"/>
  </si>
  <si>
    <t>MODEL</t>
    <phoneticPr fontId="42" type="noConversion"/>
  </si>
  <si>
    <t>稼働日数（working　Days）</t>
    <rPh sb="0" eb="2">
      <t>かどう</t>
    </rPh>
    <rPh sb="2" eb="4">
      <t>にっすう</t>
    </rPh>
    <phoneticPr fontId="42" type="noConversion"/>
  </si>
  <si>
    <t>+残業(+OT)</t>
    <phoneticPr fontId="52"/>
  </si>
  <si>
    <t>AT11</t>
    <phoneticPr fontId="52"/>
  </si>
  <si>
    <t>AT10</t>
    <phoneticPr fontId="52"/>
  </si>
  <si>
    <t>AT10 X_PKG</t>
    <phoneticPr fontId="52"/>
  </si>
  <si>
    <t>AT11 X_PKG</t>
    <phoneticPr fontId="52"/>
  </si>
  <si>
    <t>通常品</t>
    <rPh sb="0" eb="2">
      <t>ツウジョウ</t>
    </rPh>
    <rPh sb="2" eb="3">
      <t>ヒン</t>
    </rPh>
    <phoneticPr fontId="52"/>
  </si>
  <si>
    <t>X‐PKG</t>
    <phoneticPr fontId="52"/>
  </si>
  <si>
    <t>Blance</t>
  </si>
  <si>
    <t>82111-F2131</t>
  </si>
  <si>
    <t>AT10</t>
  </si>
  <si>
    <t>350B CONV + TNGA OLD</t>
  </si>
  <si>
    <t>350B HEV OLD</t>
  </si>
  <si>
    <t>350B HEV NEW</t>
  </si>
  <si>
    <t>350B CONV + TNGA NEW</t>
  </si>
  <si>
    <t>JAI能力276本/曜日</t>
  </si>
  <si>
    <t>JAI能力78本/曜日（冶具3枚搭載）, JAI能力54本/曜日（冶具2枚搭載）, JAI能力24本/曜日（冶具1枚搭載）</t>
  </si>
  <si>
    <t>covn</t>
    <phoneticPr fontId="52"/>
  </si>
  <si>
    <t>hev</t>
    <phoneticPr fontId="52"/>
  </si>
  <si>
    <t>CORALLA</t>
  </si>
  <si>
    <t>WIRE, ENGINE 
ROOM 
MAIN</t>
  </si>
  <si>
    <t>5W</t>
  </si>
  <si>
    <t>82111-F2C10</t>
  </si>
  <si>
    <t>82111-F2L51</t>
  </si>
  <si>
    <t>82111-F2W22</t>
  </si>
  <si>
    <t>82111-F2W33</t>
  </si>
  <si>
    <t>82111-F2W41</t>
  </si>
  <si>
    <t>82111-F2W62</t>
  </si>
  <si>
    <t>82111-F2W91</t>
  </si>
  <si>
    <t>82111-F2X01</t>
  </si>
  <si>
    <t>82111-KC012</t>
  </si>
  <si>
    <t>82111-KC021</t>
  </si>
  <si>
    <t>82111-F2210</t>
  </si>
  <si>
    <t>82111-F2220</t>
  </si>
  <si>
    <t>3</t>
    <phoneticPr fontId="42" type="noConversion"/>
  </si>
  <si>
    <t>1W</t>
    <phoneticPr fontId="42" type="noConversion"/>
  </si>
  <si>
    <t>2W</t>
    <phoneticPr fontId="42" type="noConversion"/>
  </si>
  <si>
    <t>3W</t>
    <phoneticPr fontId="42" type="noConversion"/>
  </si>
  <si>
    <t>4</t>
    <phoneticPr fontId="42" type="noConversion"/>
  </si>
  <si>
    <t>1W</t>
    <phoneticPr fontId="42" type="noConversion"/>
  </si>
  <si>
    <t>2W</t>
    <phoneticPr fontId="42" type="noConversion"/>
  </si>
  <si>
    <t>3W</t>
    <phoneticPr fontId="42" type="noConversion"/>
  </si>
  <si>
    <t>4W</t>
    <phoneticPr fontId="42" type="noConversion"/>
  </si>
  <si>
    <t>5</t>
    <phoneticPr fontId="42" type="noConversion"/>
  </si>
  <si>
    <t>1W</t>
    <phoneticPr fontId="42" type="noConversion"/>
  </si>
  <si>
    <t>2W</t>
    <phoneticPr fontId="42" type="noConversion"/>
  </si>
  <si>
    <t>3W</t>
    <phoneticPr fontId="42" type="noConversion"/>
  </si>
  <si>
    <t>4W</t>
    <phoneticPr fontId="42" type="noConversion"/>
  </si>
  <si>
    <t>6</t>
    <phoneticPr fontId="42" type="noConversion"/>
  </si>
  <si>
    <t>FORECAST</t>
  </si>
  <si>
    <t>1W</t>
    <phoneticPr fontId="42" type="noConversion"/>
  </si>
  <si>
    <t>2W</t>
    <phoneticPr fontId="42" type="noConversion"/>
  </si>
  <si>
    <t>FIRM</t>
  </si>
  <si>
    <t>7</t>
    <phoneticPr fontId="42" type="noConversion"/>
  </si>
  <si>
    <t>1W</t>
  </si>
  <si>
    <t>2W</t>
  </si>
  <si>
    <t>8</t>
    <phoneticPr fontId="42" type="noConversion"/>
  </si>
  <si>
    <t>C0</t>
  </si>
  <si>
    <t>0</t>
  </si>
  <si>
    <t>82111-F2151</t>
  </si>
  <si>
    <t>B0</t>
  </si>
  <si>
    <t>D0</t>
  </si>
  <si>
    <t>82111-F2W10</t>
  </si>
  <si>
    <t>H0</t>
  </si>
  <si>
    <t>1</t>
  </si>
  <si>
    <t>82111-F2W82</t>
  </si>
  <si>
    <t>Month</t>
  </si>
  <si>
    <t>9</t>
  </si>
  <si>
    <t>9</t>
    <phoneticPr fontId="42" type="noConversion"/>
  </si>
  <si>
    <t>FIRM</t>
    <phoneticPr fontId="42" type="noConversion"/>
  </si>
  <si>
    <t>10</t>
    <phoneticPr fontId="42" type="noConversion"/>
  </si>
  <si>
    <t>10</t>
    <phoneticPr fontId="42" type="noConversion"/>
  </si>
  <si>
    <t>11</t>
    <phoneticPr fontId="42" type="noConversion"/>
  </si>
  <si>
    <t>5W</t>
    <phoneticPr fontId="42" type="noConversion"/>
  </si>
  <si>
    <t>FIRM</t>
    <phoneticPr fontId="42" type="noConversion"/>
  </si>
  <si>
    <t>12</t>
    <phoneticPr fontId="42" type="noConversion"/>
  </si>
  <si>
    <t>2023/1</t>
    <phoneticPr fontId="42" type="noConversion"/>
  </si>
  <si>
    <t>2</t>
    <phoneticPr fontId="42" type="noConversion"/>
  </si>
  <si>
    <t xml:space="preserve"> </t>
    <phoneticPr fontId="42" type="noConversion"/>
  </si>
  <si>
    <t>82111-F2132</t>
    <phoneticPr fontId="42" type="noConversion"/>
  </si>
  <si>
    <t>82111-F2152</t>
    <phoneticPr fontId="52"/>
  </si>
  <si>
    <t>82111-F2W23</t>
    <phoneticPr fontId="52"/>
  </si>
  <si>
    <t>82111-F2W34</t>
    <phoneticPr fontId="52"/>
  </si>
  <si>
    <t>82111-F2W42</t>
    <phoneticPr fontId="52"/>
  </si>
  <si>
    <t>82111-F2W63</t>
    <phoneticPr fontId="52"/>
  </si>
  <si>
    <t>82111-F2W83</t>
    <phoneticPr fontId="52"/>
  </si>
  <si>
    <t>82111-F2W92</t>
    <phoneticPr fontId="52"/>
  </si>
  <si>
    <t>82111-F2X02</t>
    <phoneticPr fontId="52"/>
  </si>
  <si>
    <t>82111-F2C11</t>
    <phoneticPr fontId="52"/>
  </si>
  <si>
    <t>82111-F2211</t>
    <phoneticPr fontId="52"/>
  </si>
  <si>
    <t>82111-FEQ60</t>
    <phoneticPr fontId="52"/>
  </si>
  <si>
    <t>82115-F2Y40</t>
    <phoneticPr fontId="42" type="noConversion"/>
  </si>
  <si>
    <t>1</t>
    <phoneticPr fontId="42" type="noConversion"/>
  </si>
  <si>
    <t xml:space="preserve">     ETA KAO</t>
    <phoneticPr fontId="42" type="noConversion"/>
  </si>
  <si>
    <t>7</t>
  </si>
  <si>
    <t>7</t>
    <phoneticPr fontId="42" type="noConversion"/>
  </si>
  <si>
    <t>A02</t>
    <phoneticPr fontId="42" type="noConversion"/>
  </si>
  <si>
    <t>B02</t>
    <phoneticPr fontId="42" type="noConversion"/>
  </si>
  <si>
    <t>C01</t>
    <phoneticPr fontId="42" type="noConversion"/>
  </si>
  <si>
    <t>D02</t>
    <phoneticPr fontId="52"/>
  </si>
  <si>
    <t xml:space="preserve">     ETA TYC</t>
    <phoneticPr fontId="42" type="noConversion"/>
  </si>
  <si>
    <t xml:space="preserve">     ETD PORT SUR  </t>
    <phoneticPr fontId="42" type="noConversion"/>
  </si>
  <si>
    <t xml:space="preserve">     ETD JAI</t>
    <phoneticPr fontId="42" type="noConversion"/>
  </si>
  <si>
    <t xml:space="preserve">     TIME CHART MONTH</t>
    <phoneticPr fontId="42" type="noConversion"/>
  </si>
  <si>
    <t>2024/1</t>
    <phoneticPr fontId="42" type="noConversion"/>
  </si>
  <si>
    <r>
      <t>JAI 202</t>
    </r>
    <r>
      <rPr>
        <sz val="10"/>
        <rFont val="新細明體"/>
        <family val="3"/>
        <charset val="136"/>
      </rPr>
      <t>3</t>
    </r>
    <r>
      <rPr>
        <sz val="10"/>
        <rFont val="ＭＳ Ｐゴシック"/>
        <family val="3"/>
        <charset val="128"/>
      </rPr>
      <t>-12-1</t>
    </r>
    <phoneticPr fontId="42" type="noConversion"/>
  </si>
  <si>
    <t>5</t>
  </si>
  <si>
    <t>4</t>
  </si>
  <si>
    <t>82111-FET40</t>
    <phoneticPr fontId="42" type="noConversion"/>
  </si>
  <si>
    <t>稼働日数（working　Days）</t>
    <rPh sb="0" eb="2">
      <t>カﾄﾞウ</t>
    </rPh>
    <rPh sb="2" eb="4">
      <t>ニッスウ</t>
    </rPh>
    <phoneticPr fontId="42" type="noConversion"/>
  </si>
  <si>
    <t>82111-FET30</t>
    <phoneticPr fontId="42" type="noConversion"/>
  </si>
  <si>
    <t>A00</t>
  </si>
  <si>
    <t>QTY</t>
  </si>
  <si>
    <t>8</t>
  </si>
  <si>
    <t xml:space="preserve">     TIME CHART MONTH</t>
  </si>
  <si>
    <t xml:space="preserve">     ETD JAI</t>
  </si>
  <si>
    <t xml:space="preserve">     ETD PORT SUR  </t>
  </si>
  <si>
    <t xml:space="preserve">     ETA KAO</t>
  </si>
  <si>
    <t xml:space="preserve">     ETA TYC</t>
  </si>
  <si>
    <t>A01</t>
    <phoneticPr fontId="42" type="noConversion"/>
  </si>
  <si>
    <t>B01</t>
    <phoneticPr fontId="42" type="noConversion"/>
  </si>
  <si>
    <t>3</t>
  </si>
  <si>
    <t>82111-FE150</t>
    <phoneticPr fontId="42" type="noConversion"/>
  </si>
  <si>
    <t>82111-FE210</t>
    <phoneticPr fontId="42" type="noConversion"/>
  </si>
  <si>
    <t>000</t>
    <phoneticPr fontId="52"/>
  </si>
  <si>
    <t>000</t>
    <phoneticPr fontId="42" type="noConversion"/>
  </si>
  <si>
    <t>2025.09.30 L/O</t>
    <phoneticPr fontId="42" type="noConversion"/>
  </si>
  <si>
    <t>2026/</t>
    <phoneticPr fontId="42" type="noConversion"/>
  </si>
  <si>
    <t>SRNO.</t>
    <phoneticPr fontId="42" type="noConversion"/>
  </si>
  <si>
    <t>2025.9.26</t>
    <phoneticPr fontId="42" type="noConversion"/>
  </si>
  <si>
    <t>2025.9.26修正</t>
    <phoneticPr fontId="42" type="noConversion"/>
  </si>
  <si>
    <t>Oct</t>
    <phoneticPr fontId="42" type="noConversion"/>
  </si>
  <si>
    <t>Nov</t>
    <phoneticPr fontId="42" type="noConversion"/>
  </si>
  <si>
    <t>Dec</t>
    <phoneticPr fontId="42" type="noConversion"/>
  </si>
  <si>
    <t>Jan</t>
    <phoneticPr fontId="42" type="noConversion"/>
  </si>
  <si>
    <r>
      <t xml:space="preserve">2025.09.30 L/O
</t>
    </r>
    <r>
      <rPr>
        <b/>
        <sz val="12"/>
        <color rgb="FFFF0000"/>
        <rFont val="Meiryo UI"/>
        <family val="2"/>
        <charset val="128"/>
      </rPr>
      <t>2026.03.09 B/O</t>
    </r>
    <phoneticPr fontId="42" type="noConversion"/>
  </si>
  <si>
    <t>Fed</t>
    <phoneticPr fontId="42" type="noConversion"/>
  </si>
  <si>
    <t>Mar</t>
    <phoneticPr fontId="42" type="noConversion"/>
  </si>
  <si>
    <t>Apr</t>
    <phoneticPr fontId="42" type="noConversion"/>
  </si>
  <si>
    <t>2025.10.29</t>
    <phoneticPr fontId="42" type="noConversion"/>
  </si>
  <si>
    <t>2025.10.29修正2</t>
    <phoneticPr fontId="42" type="noConversion"/>
  </si>
  <si>
    <t>82111-FE460</t>
    <phoneticPr fontId="42" type="noConversion"/>
  </si>
  <si>
    <t>82111-FE470</t>
    <phoneticPr fontId="42" type="noConversion"/>
  </si>
  <si>
    <t>2026.03.10 L/O</t>
    <phoneticPr fontId="42" type="noConversion"/>
  </si>
  <si>
    <t>2025.11.27</t>
    <phoneticPr fontId="42" type="noConversion"/>
  </si>
  <si>
    <t>10月</t>
    <phoneticPr fontId="42" type="noConversion"/>
  </si>
  <si>
    <t>11月</t>
  </si>
  <si>
    <t>12月</t>
  </si>
  <si>
    <t>26.1月</t>
    <phoneticPr fontId="42" type="noConversion"/>
  </si>
  <si>
    <t>2月</t>
    <phoneticPr fontId="42" type="noConversion"/>
  </si>
  <si>
    <t>3月</t>
  </si>
  <si>
    <t>4月</t>
  </si>
  <si>
    <t>5月</t>
  </si>
  <si>
    <t>對前月比</t>
    <phoneticPr fontId="42" type="noConversion"/>
  </si>
  <si>
    <t>對前4月比</t>
    <phoneticPr fontId="42" type="noConversion"/>
  </si>
  <si>
    <t>2025.8.27</t>
    <phoneticPr fontId="42" type="noConversion"/>
  </si>
  <si>
    <t>2025.8.27修正</t>
    <phoneticPr fontId="42" type="noConversion"/>
  </si>
  <si>
    <t>9月</t>
  </si>
  <si>
    <t>7月</t>
  </si>
  <si>
    <t>8月</t>
  </si>
  <si>
    <t>2025.7.29</t>
    <phoneticPr fontId="42" type="noConversion"/>
  </si>
  <si>
    <t>2025.7.29修正</t>
    <phoneticPr fontId="42" type="noConversion"/>
  </si>
  <si>
    <t>May</t>
    <phoneticPr fontId="42" type="noConversion"/>
  </si>
  <si>
    <t>Sep</t>
    <phoneticPr fontId="42" type="noConversion"/>
  </si>
  <si>
    <t>Aug</t>
    <phoneticPr fontId="42" type="noConversion"/>
  </si>
  <si>
    <t>Jul</t>
    <phoneticPr fontId="42" type="noConversion"/>
  </si>
  <si>
    <t>2025.6.26</t>
    <phoneticPr fontId="42" type="noConversion"/>
  </si>
  <si>
    <t>2025.10.29修正1</t>
    <phoneticPr fontId="42" type="noConversion"/>
  </si>
  <si>
    <t>6月</t>
  </si>
  <si>
    <t>Jun</t>
  </si>
  <si>
    <t>82115-F2390</t>
    <phoneticPr fontId="42" type="noConversion"/>
  </si>
  <si>
    <t>82116-0ZW70</t>
    <phoneticPr fontId="42" type="noConversion"/>
  </si>
  <si>
    <t>82116-0ZW90</t>
    <phoneticPr fontId="42" type="noConversion"/>
  </si>
  <si>
    <t>82116-0ZX70</t>
    <phoneticPr fontId="42" type="noConversion"/>
  </si>
  <si>
    <t>82116-0ZX90</t>
    <phoneticPr fontId="42" type="noConversion"/>
  </si>
  <si>
    <t>82116-0ZY00</t>
    <phoneticPr fontId="42" type="noConversion"/>
  </si>
  <si>
    <t>82116-0ZY10</t>
    <phoneticPr fontId="42" type="noConversion"/>
  </si>
  <si>
    <t>82111-FE200</t>
    <phoneticPr fontId="42" type="noConversion"/>
  </si>
  <si>
    <t>JAI訂單比較表</t>
    <phoneticPr fontId="42" type="noConversion"/>
  </si>
  <si>
    <t>2025.11.27修正</t>
    <phoneticPr fontId="42" type="noConversion"/>
  </si>
  <si>
    <t>2025.12.29</t>
    <phoneticPr fontId="42" type="noConversion"/>
  </si>
  <si>
    <r>
      <rPr>
        <sz val="10"/>
        <rFont val="微軟正黑體"/>
        <family val="2"/>
        <charset val="136"/>
      </rPr>
      <t>5</t>
    </r>
    <r>
      <rPr>
        <sz val="10"/>
        <rFont val="Meiryo UI"/>
        <family val="2"/>
        <charset val="128"/>
      </rPr>
      <t>W</t>
    </r>
    <phoneticPr fontId="42" type="noConversion"/>
  </si>
  <si>
    <r>
      <t>82111</t>
    </r>
    <r>
      <rPr>
        <b/>
        <sz val="12"/>
        <rFont val="微軟正黑體"/>
        <family val="2"/>
        <charset val="136"/>
      </rPr>
      <t>-</t>
    </r>
    <r>
      <rPr>
        <b/>
        <sz val="12"/>
        <rFont val="Meiryo UI"/>
        <family val="2"/>
        <charset val="128"/>
      </rPr>
      <t>FET10</t>
    </r>
    <phoneticPr fontId="42" type="noConversion"/>
  </si>
  <si>
    <r>
      <t>JAI 202</t>
    </r>
    <r>
      <rPr>
        <sz val="10"/>
        <rFont val="微軟正黑體"/>
        <family val="2"/>
        <charset val="136"/>
      </rPr>
      <t>6</t>
    </r>
    <r>
      <rPr>
        <sz val="10"/>
        <rFont val="Meiryo UI"/>
        <family val="2"/>
        <charset val="128"/>
      </rPr>
      <t>-</t>
    </r>
    <r>
      <rPr>
        <sz val="10"/>
        <rFont val="微軟正黑體"/>
        <family val="2"/>
        <charset val="136"/>
      </rPr>
      <t>04</t>
    </r>
    <r>
      <rPr>
        <sz val="10"/>
        <rFont val="Meiryo UI"/>
        <family val="2"/>
        <charset val="128"/>
      </rPr>
      <t>-01</t>
    </r>
    <phoneticPr fontId="4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</si>
</sst>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6" formatCode="&quot;$&quot;#,##0_);[Red]\(&quot;$&quot;#,##0\)"/>
    <numFmt numFmtId="8" formatCode="&quot;$&quot;#,##0.00_);[Red]\(&quot;$&quot;#,##0.00\)"/>
    <numFmt numFmtId="164" formatCode="_ * #,##0_ ;_ * \-#,##0_ ;_ * &quot;-&quot;_ ;_ @_ "/>
    <numFmt numFmtId="165" formatCode="m/d"/>
    <numFmt numFmtId="166" formatCode="#,##0;\-#,##0;&quot;-&quot;"/>
    <numFmt numFmtId="167" formatCode="\$#,##0.00;[Red]\-\$#,##0.00"/>
    <numFmt numFmtId="168" formatCode="&quot;SFr.&quot;#,##0;[Red]&quot;SFr.&quot;\-#,##0"/>
    <numFmt numFmtId="169" formatCode="0_ ;[Red]\-0\ "/>
    <numFmt numFmtId="170" formatCode="#,##0.0;[Red]\-#,##0.0"/>
  </numFmts>
  <fonts count="86">
    <font>
      <sz val="11"/>
      <color theme="1"/>
      <name val="Calibri"/>
      <family val="2"/>
      <charset val="128"/>
      <scheme val="minor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color indexed="9"/>
      <name val="ＭＳ Ｐゴシック"/>
      <family val="3"/>
      <charset val="128"/>
    </font>
    <font>
      <sz val="11"/>
      <color indexed="8"/>
      <name val="宋体"/>
      <family val="3"/>
      <charset val="136"/>
    </font>
    <font>
      <sz val="11"/>
      <color indexed="9"/>
      <name val="宋体"/>
    </font>
    <font>
      <sz val="9"/>
      <color indexed="27"/>
      <name val="明朝"/>
      <family val="1"/>
      <charset val="128"/>
    </font>
    <font>
      <sz val="10"/>
      <color indexed="8"/>
      <name val="Arial"/>
      <family val="2"/>
    </font>
    <font>
      <b/>
      <sz val="10"/>
      <name val="Helv"/>
      <family val="2"/>
    </font>
    <font>
      <sz val="10"/>
      <name val="MS Sans Serif"/>
      <family val="2"/>
    </font>
    <font>
      <sz val="10"/>
      <name val="MS Serif"/>
      <family val="1"/>
    </font>
    <font>
      <sz val="10"/>
      <name val="Times New Roman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1"/>
      <name val="ＭＳ Ｐゴシック"/>
      <family val="3"/>
      <charset val="128"/>
    </font>
    <font>
      <sz val="10"/>
      <name val="Arial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8"/>
      <color indexed="8"/>
      <name val="Helv"/>
      <family val="2"/>
    </font>
    <font>
      <b/>
      <sz val="9"/>
      <name val="Times New Roman"/>
      <family val="1"/>
    </font>
    <font>
      <i/>
      <sz val="11"/>
      <color indexed="23"/>
      <name val="宋体"/>
    </font>
    <font>
      <sz val="11"/>
      <color indexed="10"/>
      <name val="宋体"/>
    </font>
    <font>
      <sz val="11"/>
      <color indexed="17"/>
      <name val="宋体"/>
    </font>
    <font>
      <sz val="11"/>
      <color indexed="20"/>
      <name val="宋体"/>
    </font>
    <font>
      <sz val="14"/>
      <name val="ＭＳ 明朝"/>
      <family val="1"/>
      <charset val="128"/>
    </font>
    <font>
      <b/>
      <sz val="18"/>
      <color indexed="62"/>
      <name val="宋体"/>
    </font>
    <font>
      <b/>
      <sz val="15"/>
      <color indexed="62"/>
      <name val="宋体"/>
    </font>
    <font>
      <b/>
      <sz val="13"/>
      <color indexed="62"/>
      <name val="宋体"/>
    </font>
    <font>
      <b/>
      <sz val="11"/>
      <color indexed="62"/>
      <name val="宋体"/>
    </font>
    <font>
      <b/>
      <sz val="11"/>
      <color indexed="9"/>
      <name val="宋体"/>
    </font>
    <font>
      <b/>
      <sz val="11"/>
      <color indexed="8"/>
      <name val="宋体"/>
    </font>
    <font>
      <b/>
      <sz val="11"/>
      <color indexed="10"/>
      <name val="宋体"/>
    </font>
    <font>
      <b/>
      <sz val="11"/>
      <color indexed="63"/>
      <name val="宋体"/>
    </font>
    <font>
      <sz val="11"/>
      <color indexed="62"/>
      <name val="宋体"/>
    </font>
    <font>
      <sz val="11"/>
      <color indexed="19"/>
      <name val="宋体"/>
    </font>
    <font>
      <sz val="9"/>
      <name val="Calibri"/>
      <family val="3"/>
      <charset val="136"/>
      <scheme val="minor"/>
    </font>
    <font>
      <sz val="10"/>
      <name val="Calibri"/>
      <family val="1"/>
      <charset val="136"/>
      <scheme val="minor"/>
    </font>
    <font>
      <b/>
      <sz val="10"/>
      <name val="Calibri"/>
      <family val="1"/>
      <charset val="136"/>
      <scheme val="minor"/>
    </font>
    <font>
      <sz val="10"/>
      <color theme="1"/>
      <name val="Calibri"/>
      <family val="1"/>
      <charset val="136"/>
      <scheme val="minor"/>
    </font>
    <font>
      <b/>
      <sz val="12"/>
      <color theme="1"/>
      <name val="Calibri"/>
      <family val="1"/>
      <charset val="136"/>
      <scheme val="minor"/>
    </font>
    <font>
      <sz val="14"/>
      <name val="ＭＳ Ｐゴシック"/>
      <family val="3"/>
      <charset val="128"/>
    </font>
    <font>
      <sz val="14"/>
      <name val="ＭＳ 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0"/>
      <name val="Meiryo UI"/>
      <family val="3"/>
      <charset val="128"/>
    </font>
    <font>
      <sz val="11"/>
      <name val="Meiryo UI"/>
      <family val="3"/>
      <charset val="128"/>
    </font>
    <font>
      <sz val="6"/>
      <name val="Calibri"/>
      <family val="2"/>
      <charset val="128"/>
      <scheme val="minor"/>
    </font>
    <font>
      <sz val="14"/>
      <name val="微軟正黑體"/>
      <family val="3"/>
      <charset val="136"/>
    </font>
    <font>
      <sz val="14"/>
      <name val="微軟正黑體"/>
      <family val="2"/>
      <charset val="136"/>
    </font>
    <font>
      <sz val="10"/>
      <name val="新細明體"/>
      <family val="3"/>
      <charset val="136"/>
    </font>
    <font>
      <sz val="14"/>
      <name val="新細明體"/>
      <family val="3"/>
      <charset val="136"/>
    </font>
    <font>
      <sz val="12"/>
      <color theme="1"/>
      <name val="Calibri"/>
      <family val="1"/>
      <charset val="136"/>
      <scheme val="minor"/>
    </font>
    <font>
      <sz val="12"/>
      <name val="Calibri"/>
      <family val="1"/>
      <charset val="136"/>
      <scheme val="minor"/>
    </font>
    <font>
      <b/>
      <sz val="12"/>
      <name val="Calibri"/>
      <family val="1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14"/>
      <color indexed="81"/>
      <name val="Tahoma"/>
      <family val="2"/>
    </font>
    <font>
      <sz val="14"/>
      <color indexed="81"/>
      <name val="細明體"/>
      <family val="3"/>
      <charset val="136"/>
    </font>
    <font>
      <sz val="10"/>
      <color indexed="81"/>
      <name val="Tahoma"/>
      <family val="2"/>
    </font>
    <font>
      <b/>
      <sz val="16"/>
      <color indexed="81"/>
      <name val="細明體"/>
      <family val="3"/>
      <charset val="136"/>
    </font>
    <font>
      <sz val="9"/>
      <color indexed="81"/>
      <name val="Tahoma"/>
      <family val="2"/>
    </font>
    <font>
      <sz val="11"/>
      <color theme="1"/>
      <name val="Meiryo UI"/>
      <family val="2"/>
      <charset val="128"/>
    </font>
    <font>
      <sz val="10"/>
      <name val="Meiryo UI"/>
      <family val="2"/>
      <charset val="128"/>
    </font>
    <font>
      <b/>
      <sz val="10"/>
      <name val="Meiryo UI"/>
      <family val="2"/>
      <charset val="128"/>
    </font>
    <font>
      <sz val="10"/>
      <color indexed="9"/>
      <name val="Meiryo UI"/>
      <family val="2"/>
      <charset val="128"/>
    </font>
    <font>
      <sz val="14"/>
      <name val="Meiryo UI"/>
      <family val="2"/>
      <charset val="128"/>
    </font>
    <font>
      <b/>
      <sz val="11"/>
      <color rgb="FFFF0000"/>
      <name val="Meiryo UI"/>
      <family val="2"/>
      <charset val="128"/>
    </font>
    <font>
      <sz val="10"/>
      <color theme="1"/>
      <name val="Meiryo UI"/>
      <family val="2"/>
      <charset val="128"/>
    </font>
    <font>
      <sz val="12"/>
      <color theme="1"/>
      <name val="Meiryo UI"/>
      <family val="2"/>
      <charset val="128"/>
    </font>
    <font>
      <b/>
      <sz val="12"/>
      <color theme="1"/>
      <name val="Meiryo UI"/>
      <family val="2"/>
      <charset val="128"/>
    </font>
    <font>
      <b/>
      <sz val="12"/>
      <name val="Meiryo UI"/>
      <family val="2"/>
      <charset val="128"/>
    </font>
    <font>
      <sz val="12"/>
      <name val="Meiryo UI"/>
      <family val="2"/>
      <charset val="128"/>
    </font>
    <font>
      <b/>
      <sz val="12"/>
      <color rgb="FF0070C0"/>
      <name val="Meiryo UI"/>
      <family val="2"/>
      <charset val="128"/>
    </font>
    <font>
      <b/>
      <sz val="12"/>
      <color rgb="FFFF0000"/>
      <name val="Meiryo UI"/>
      <family val="2"/>
      <charset val="128"/>
    </font>
    <font>
      <sz val="11"/>
      <name val="Meiryo UI"/>
      <family val="2"/>
      <charset val="128"/>
    </font>
    <font>
      <sz val="10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name val="微軟正黑體"/>
      <family val="2"/>
      <charset val="136"/>
    </font>
    <font>
      <sz val="10"/>
      <name val="Meiryo UI"/>
      <family val="2"/>
      <charset val="136"/>
    </font>
    <font>
      <b/>
      <sz val="12"/>
      <color rgb="FFFF0000"/>
      <name val="微軟正黑體"/>
      <family val="2"/>
      <charset val="136"/>
    </font>
  </fonts>
  <fills count="30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mediumGray">
        <fgColor indexed="8"/>
        <bgColor indexed="37"/>
      </patternFill>
    </fill>
    <fill>
      <patternFill patternType="solid">
        <fgColor indexed="9"/>
        <bgColor indexed="64"/>
      </patternFill>
    </fill>
    <fill>
      <patternFill patternType="solid">
        <fgColor indexed="46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249977111117893"/>
        <bgColor indexed="64"/>
      </patternFill>
    </fill>
  </fills>
  <borders count="1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10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75">
    <xf numFmtId="0" fontId="0" fillId="0" borderId="0">
      <alignment vertical="center"/>
    </xf>
    <xf numFmtId="0" fontId="1" fillId="0" borderId="0"/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" fontId="8" fillId="12" borderId="0" applyNumberFormat="0" applyBorder="0" applyAlignment="0" applyProtection="0">
      <alignment horizontal="left"/>
    </xf>
    <xf numFmtId="166" fontId="9" fillId="0" borderId="0" applyFill="0" applyBorder="0" applyAlignment="0"/>
    <xf numFmtId="0" fontId="10" fillId="0" borderId="0"/>
    <xf numFmtId="0" fontId="12" fillId="0" borderId="0" applyNumberFormat="0" applyAlignment="0">
      <alignment horizontal="left"/>
    </xf>
    <xf numFmtId="167" fontId="13" fillId="0" borderId="0">
      <alignment horizontal="center"/>
    </xf>
    <xf numFmtId="0" fontId="14" fillId="0" borderId="0" applyNumberFormat="0" applyAlignment="0">
      <alignment horizontal="left"/>
    </xf>
    <xf numFmtId="0" fontId="15" fillId="0" borderId="0">
      <alignment horizontal="left"/>
    </xf>
    <xf numFmtId="38" fontId="16" fillId="13" borderId="0" applyNumberFormat="0" applyBorder="0" applyAlignment="0" applyProtection="0"/>
    <xf numFmtId="0" fontId="17" fillId="0" borderId="0">
      <alignment horizontal="left"/>
    </xf>
    <xf numFmtId="0" fontId="18" fillId="0" borderId="30" applyNumberFormat="0" applyAlignment="0" applyProtection="0">
      <alignment horizontal="left" vertical="center"/>
    </xf>
    <xf numFmtId="0" fontId="18" fillId="0" borderId="13">
      <alignment horizontal="left" vertical="center"/>
    </xf>
    <xf numFmtId="10" fontId="16" fillId="13" borderId="10" applyNumberFormat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0" fontId="19" fillId="0" borderId="31"/>
    <xf numFmtId="6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168" fontId="20" fillId="0" borderId="0"/>
    <xf numFmtId="10" fontId="21" fillId="0" borderId="0" applyFont="0" applyFill="0" applyBorder="0" applyAlignment="0" applyProtection="0"/>
    <xf numFmtId="4" fontId="15" fillId="0" borderId="0">
      <alignment horizontal="right"/>
    </xf>
    <xf numFmtId="4" fontId="22" fillId="0" borderId="0">
      <alignment horizontal="right"/>
    </xf>
    <xf numFmtId="14" fontId="23" fillId="0" borderId="0" applyNumberFormat="0" applyFill="0" applyBorder="0" applyAlignment="0" applyProtection="0">
      <alignment horizontal="left"/>
    </xf>
    <xf numFmtId="0" fontId="24" fillId="0" borderId="0">
      <alignment horizontal="left"/>
    </xf>
    <xf numFmtId="0" fontId="19" fillId="0" borderId="0"/>
    <xf numFmtId="40" fontId="25" fillId="0" borderId="0" applyBorder="0">
      <alignment horizontal="right"/>
    </xf>
    <xf numFmtId="0" fontId="26" fillId="0" borderId="0">
      <alignment horizontal="center"/>
    </xf>
    <xf numFmtId="0" fontId="21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0" fillId="0" borderId="0"/>
    <xf numFmtId="0" fontId="20" fillId="5" borderId="32" applyNumberFormat="0" applyFont="0" applyAlignment="0" applyProtection="0">
      <alignment vertical="center"/>
    </xf>
    <xf numFmtId="0" fontId="31" fillId="0" borderId="0"/>
    <xf numFmtId="0" fontId="7" fillId="1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33" applyNumberFormat="0" applyFill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9" borderId="36" applyNumberFormat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8" fillId="20" borderId="38" applyNumberFormat="0" applyAlignment="0" applyProtection="0">
      <alignment vertical="center"/>
    </xf>
    <xf numFmtId="0" fontId="39" fillId="20" borderId="39" applyNumberFormat="0" applyAlignment="0" applyProtection="0">
      <alignment vertical="center"/>
    </xf>
    <xf numFmtId="0" fontId="40" fillId="8" borderId="38" applyNumberFormat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28" fillId="0" borderId="40" applyNumberFormat="0" applyFill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38" fontId="49" fillId="0" borderId="0" applyFont="0" applyFill="0" applyBorder="0" applyAlignment="0" applyProtection="0">
      <alignment vertical="center"/>
    </xf>
  </cellStyleXfs>
  <cellXfs count="682">
    <xf numFmtId="0" fontId="0" fillId="0" borderId="0" xfId="0">
      <alignment vertical="center"/>
    </xf>
    <xf numFmtId="0" fontId="2" fillId="0" borderId="1" xfId="1" applyFont="1" applyBorder="1"/>
    <xf numFmtId="0" fontId="2" fillId="0" borderId="2" xfId="1" applyFont="1" applyBorder="1"/>
    <xf numFmtId="0" fontId="2" fillId="0" borderId="0" xfId="1" applyFont="1"/>
    <xf numFmtId="0" fontId="3" fillId="0" borderId="0" xfId="1" applyFont="1" applyAlignment="1">
      <alignment horizontal="center"/>
    </xf>
    <xf numFmtId="0" fontId="2" fillId="0" borderId="5" xfId="1" applyFont="1" applyBorder="1"/>
    <xf numFmtId="0" fontId="2" fillId="0" borderId="6" xfId="1" applyFont="1" applyBorder="1"/>
    <xf numFmtId="0" fontId="1" fillId="0" borderId="0" xfId="1"/>
    <xf numFmtId="0" fontId="2" fillId="0" borderId="8" xfId="1" applyFont="1" applyBorder="1"/>
    <xf numFmtId="0" fontId="2" fillId="0" borderId="9" xfId="1" applyFont="1" applyBorder="1"/>
    <xf numFmtId="49" fontId="5" fillId="0" borderId="0" xfId="1" applyNumberFormat="1" applyFont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shrinkToFit="1"/>
    </xf>
    <xf numFmtId="0" fontId="43" fillId="0" borderId="14" xfId="1" applyFont="1" applyBorder="1"/>
    <xf numFmtId="0" fontId="43" fillId="0" borderId="49" xfId="1" applyFont="1" applyBorder="1"/>
    <xf numFmtId="0" fontId="43" fillId="0" borderId="55" xfId="1" applyFont="1" applyBorder="1"/>
    <xf numFmtId="0" fontId="43" fillId="0" borderId="47" xfId="1" applyFont="1" applyBorder="1"/>
    <xf numFmtId="0" fontId="43" fillId="0" borderId="0" xfId="1" applyFont="1"/>
    <xf numFmtId="0" fontId="43" fillId="0" borderId="17" xfId="1" applyFont="1" applyBorder="1"/>
    <xf numFmtId="0" fontId="43" fillId="0" borderId="27" xfId="1" applyFont="1" applyBorder="1"/>
    <xf numFmtId="0" fontId="43" fillId="0" borderId="20" xfId="1" applyFont="1" applyBorder="1"/>
    <xf numFmtId="0" fontId="43" fillId="0" borderId="18" xfId="1" applyFont="1" applyBorder="1" applyAlignment="1">
      <alignment horizontal="center"/>
    </xf>
    <xf numFmtId="0" fontId="43" fillId="0" borderId="50" xfId="1" applyFont="1" applyBorder="1" applyAlignment="1">
      <alignment horizontal="center"/>
    </xf>
    <xf numFmtId="0" fontId="43" fillId="0" borderId="31" xfId="1" applyFont="1" applyBorder="1" applyAlignment="1">
      <alignment horizontal="center"/>
    </xf>
    <xf numFmtId="0" fontId="43" fillId="0" borderId="48" xfId="1" applyFont="1" applyBorder="1" applyAlignment="1">
      <alignment horizontal="center"/>
    </xf>
    <xf numFmtId="0" fontId="43" fillId="0" borderId="0" xfId="1" applyFont="1" applyAlignment="1">
      <alignment shrinkToFit="1"/>
    </xf>
    <xf numFmtId="49" fontId="44" fillId="0" borderId="17" xfId="1" applyNumberFormat="1" applyFont="1" applyBorder="1" applyAlignment="1">
      <alignment shrinkToFit="1"/>
    </xf>
    <xf numFmtId="49" fontId="44" fillId="0" borderId="27" xfId="1" applyNumberFormat="1" applyFont="1" applyBorder="1" applyAlignment="1">
      <alignment horizontal="center" shrinkToFit="1"/>
    </xf>
    <xf numFmtId="49" fontId="44" fillId="0" borderId="55" xfId="1" applyNumberFormat="1" applyFont="1" applyBorder="1" applyAlignment="1">
      <alignment horizontal="center" shrinkToFit="1"/>
    </xf>
    <xf numFmtId="49" fontId="44" fillId="0" borderId="28" xfId="1" applyNumberFormat="1" applyFont="1" applyBorder="1" applyAlignment="1">
      <alignment horizontal="center" shrinkToFit="1"/>
    </xf>
    <xf numFmtId="49" fontId="44" fillId="0" borderId="29" xfId="1" applyNumberFormat="1" applyFont="1" applyBorder="1" applyAlignment="1">
      <alignment horizontal="center" shrinkToFit="1"/>
    </xf>
    <xf numFmtId="0" fontId="43" fillId="0" borderId="17" xfId="1" applyFont="1" applyBorder="1" applyAlignment="1">
      <alignment shrinkToFit="1"/>
    </xf>
    <xf numFmtId="165" fontId="47" fillId="0" borderId="0" xfId="1" applyNumberFormat="1" applyFont="1" applyAlignment="1">
      <alignment vertical="center"/>
    </xf>
    <xf numFmtId="165" fontId="47" fillId="0" borderId="0" xfId="1" applyNumberFormat="1" applyFont="1" applyAlignment="1">
      <alignment vertical="center" wrapText="1"/>
    </xf>
    <xf numFmtId="165" fontId="48" fillId="0" borderId="0" xfId="1" applyNumberFormat="1" applyFont="1" applyAlignment="1">
      <alignment vertical="center" wrapText="1"/>
    </xf>
    <xf numFmtId="165" fontId="47" fillId="0" borderId="0" xfId="1" applyNumberFormat="1" applyFont="1"/>
    <xf numFmtId="49" fontId="43" fillId="0" borderId="19" xfId="1" applyNumberFormat="1" applyFont="1" applyBorder="1" applyAlignment="1">
      <alignment horizontal="center"/>
    </xf>
    <xf numFmtId="0" fontId="2" fillId="0" borderId="10" xfId="1" applyFont="1" applyBorder="1" applyAlignment="1">
      <alignment vertical="center"/>
    </xf>
    <xf numFmtId="0" fontId="2" fillId="0" borderId="11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1" fillId="0" borderId="12" xfId="1" applyBorder="1" applyAlignment="1">
      <alignment vertical="center"/>
    </xf>
    <xf numFmtId="0" fontId="43" fillId="0" borderId="18" xfId="1" applyFont="1" applyBorder="1" applyAlignment="1">
      <alignment horizontal="center" vertical="center"/>
    </xf>
    <xf numFmtId="0" fontId="43" fillId="0" borderId="17" xfId="1" applyFont="1" applyBorder="1" applyAlignment="1">
      <alignment horizontal="center" vertical="center"/>
    </xf>
    <xf numFmtId="0" fontId="50" fillId="0" borderId="0" xfId="1" applyFont="1" applyAlignment="1">
      <alignment shrinkToFit="1"/>
    </xf>
    <xf numFmtId="0" fontId="51" fillId="0" borderId="0" xfId="1" applyFont="1" applyAlignment="1">
      <alignment shrinkToFit="1"/>
    </xf>
    <xf numFmtId="0" fontId="20" fillId="0" borderId="0" xfId="1" applyFont="1" applyAlignment="1">
      <alignment shrinkToFit="1"/>
    </xf>
    <xf numFmtId="38" fontId="51" fillId="0" borderId="0" xfId="72" applyFont="1" applyAlignment="1">
      <alignment shrinkToFit="1"/>
    </xf>
    <xf numFmtId="38" fontId="50" fillId="0" borderId="0" xfId="72" applyFont="1" applyAlignment="1">
      <alignment shrinkToFit="1"/>
    </xf>
    <xf numFmtId="38" fontId="50" fillId="0" borderId="0" xfId="72" quotePrefix="1" applyFont="1" applyAlignment="1">
      <alignment shrinkToFit="1"/>
    </xf>
    <xf numFmtId="0" fontId="2" fillId="0" borderId="0" xfId="1" applyFont="1" applyAlignment="1">
      <alignment wrapText="1" shrinkToFit="1"/>
    </xf>
    <xf numFmtId="38" fontId="50" fillId="0" borderId="0" xfId="72" applyFont="1" applyAlignment="1">
      <alignment vertical="center" shrinkToFit="1"/>
    </xf>
    <xf numFmtId="38" fontId="50" fillId="0" borderId="66" xfId="72" applyFont="1" applyBorder="1" applyAlignment="1">
      <alignment shrinkToFit="1"/>
    </xf>
    <xf numFmtId="38" fontId="50" fillId="0" borderId="67" xfId="72" applyFont="1" applyBorder="1" applyAlignment="1">
      <alignment wrapText="1" shrinkToFit="1"/>
    </xf>
    <xf numFmtId="38" fontId="50" fillId="0" borderId="67" xfId="72" applyFont="1" applyBorder="1" applyAlignment="1">
      <alignment shrinkToFit="1"/>
    </xf>
    <xf numFmtId="38" fontId="50" fillId="0" borderId="67" xfId="72" quotePrefix="1" applyFont="1" applyBorder="1" applyAlignment="1">
      <alignment shrinkToFit="1"/>
    </xf>
    <xf numFmtId="38" fontId="50" fillId="0" borderId="68" xfId="72" quotePrefix="1" applyFont="1" applyBorder="1" applyAlignment="1">
      <alignment shrinkToFit="1"/>
    </xf>
    <xf numFmtId="38" fontId="50" fillId="0" borderId="68" xfId="72" applyFont="1" applyBorder="1" applyAlignment="1">
      <alignment shrinkToFit="1"/>
    </xf>
    <xf numFmtId="0" fontId="2" fillId="0" borderId="0" xfId="1" applyFont="1" applyAlignment="1">
      <alignment horizontal="right" wrapText="1" shrinkToFit="1"/>
    </xf>
    <xf numFmtId="0" fontId="2" fillId="0" borderId="0" xfId="1" applyFont="1" applyAlignment="1">
      <alignment horizontal="left" vertical="center" shrinkToFit="1"/>
    </xf>
    <xf numFmtId="38" fontId="50" fillId="0" borderId="67" xfId="72" applyFont="1" applyBorder="1" applyAlignment="1">
      <alignment horizontal="left" vertical="center" wrapText="1" shrinkToFit="1"/>
    </xf>
    <xf numFmtId="49" fontId="46" fillId="0" borderId="16" xfId="0" applyNumberFormat="1" applyFont="1" applyBorder="1" applyAlignment="1">
      <alignment horizontal="center"/>
    </xf>
    <xf numFmtId="49" fontId="46" fillId="0" borderId="15" xfId="0" applyNumberFormat="1" applyFont="1" applyBorder="1" applyAlignment="1">
      <alignment horizontal="center"/>
    </xf>
    <xf numFmtId="165" fontId="47" fillId="21" borderId="79" xfId="1" applyNumberFormat="1" applyFont="1" applyFill="1" applyBorder="1"/>
    <xf numFmtId="165" fontId="47" fillId="21" borderId="30" xfId="1" applyNumberFormat="1" applyFont="1" applyFill="1" applyBorder="1"/>
    <xf numFmtId="165" fontId="47" fillId="21" borderId="80" xfId="1" applyNumberFormat="1" applyFont="1" applyFill="1" applyBorder="1"/>
    <xf numFmtId="165" fontId="47" fillId="0" borderId="79" xfId="1" applyNumberFormat="1" applyFont="1" applyBorder="1"/>
    <xf numFmtId="165" fontId="47" fillId="0" borderId="30" xfId="1" applyNumberFormat="1" applyFont="1" applyBorder="1"/>
    <xf numFmtId="165" fontId="47" fillId="0" borderId="80" xfId="1" applyNumberFormat="1" applyFont="1" applyBorder="1"/>
    <xf numFmtId="0" fontId="46" fillId="0" borderId="16" xfId="0" applyFont="1" applyBorder="1" applyAlignment="1"/>
    <xf numFmtId="0" fontId="46" fillId="0" borderId="42" xfId="0" applyFont="1" applyBorder="1" applyAlignment="1"/>
    <xf numFmtId="49" fontId="43" fillId="0" borderId="82" xfId="1" applyNumberFormat="1" applyFont="1" applyBorder="1" applyAlignment="1">
      <alignment horizontal="center"/>
    </xf>
    <xf numFmtId="0" fontId="0" fillId="0" borderId="10" xfId="0" applyBorder="1">
      <alignment vertical="center"/>
    </xf>
    <xf numFmtId="49" fontId="0" fillId="0" borderId="10" xfId="0" applyNumberFormat="1" applyBorder="1" applyAlignment="1">
      <alignment horizontal="center" vertical="center"/>
    </xf>
    <xf numFmtId="0" fontId="45" fillId="0" borderId="15" xfId="0" applyFont="1" applyBorder="1" applyAlignment="1"/>
    <xf numFmtId="165" fontId="43" fillId="0" borderId="85" xfId="1" applyNumberFormat="1" applyFont="1" applyBorder="1"/>
    <xf numFmtId="49" fontId="43" fillId="0" borderId="86" xfId="1" applyNumberFormat="1" applyFont="1" applyBorder="1" applyAlignment="1">
      <alignment horizontal="center"/>
    </xf>
    <xf numFmtId="0" fontId="46" fillId="0" borderId="16" xfId="0" applyFont="1" applyBorder="1" applyAlignment="1">
      <alignment horizontal="center"/>
    </xf>
    <xf numFmtId="49" fontId="43" fillId="0" borderId="92" xfId="1" applyNumberFormat="1" applyFont="1" applyBorder="1" applyAlignment="1">
      <alignment horizontal="center"/>
    </xf>
    <xf numFmtId="49" fontId="43" fillId="0" borderId="97" xfId="1" applyNumberFormat="1" applyFont="1" applyBorder="1" applyAlignment="1">
      <alignment horizontal="center"/>
    </xf>
    <xf numFmtId="165" fontId="53" fillId="21" borderId="79" xfId="1" applyNumberFormat="1" applyFont="1" applyFill="1" applyBorder="1"/>
    <xf numFmtId="165" fontId="54" fillId="21" borderId="79" xfId="1" applyNumberFormat="1" applyFont="1" applyFill="1" applyBorder="1"/>
    <xf numFmtId="0" fontId="55" fillId="0" borderId="0" xfId="1" applyFont="1"/>
    <xf numFmtId="165" fontId="56" fillId="21" borderId="79" xfId="1" applyNumberFormat="1" applyFont="1" applyFill="1" applyBorder="1"/>
    <xf numFmtId="165" fontId="58" fillId="0" borderId="85" xfId="1" applyNumberFormat="1" applyFont="1" applyBorder="1" applyAlignment="1">
      <alignment horizontal="center"/>
    </xf>
    <xf numFmtId="165" fontId="58" fillId="0" borderId="13" xfId="1" applyNumberFormat="1" applyFont="1" applyBorder="1" applyAlignment="1">
      <alignment horizontal="center"/>
    </xf>
    <xf numFmtId="165" fontId="58" fillId="0" borderId="62" xfId="1" applyNumberFormat="1" applyFont="1" applyBorder="1" applyAlignment="1">
      <alignment horizontal="center"/>
    </xf>
    <xf numFmtId="165" fontId="58" fillId="0" borderId="12" xfId="1" applyNumberFormat="1" applyFont="1" applyBorder="1" applyAlignment="1">
      <alignment horizontal="center"/>
    </xf>
    <xf numFmtId="165" fontId="58" fillId="0" borderId="43" xfId="1" applyNumberFormat="1" applyFont="1" applyBorder="1" applyAlignment="1">
      <alignment horizontal="center"/>
    </xf>
    <xf numFmtId="165" fontId="58" fillId="0" borderId="74" xfId="1" applyNumberFormat="1" applyFont="1" applyBorder="1" applyAlignment="1">
      <alignment horizontal="center"/>
    </xf>
    <xf numFmtId="165" fontId="58" fillId="22" borderId="74" xfId="1" applyNumberFormat="1" applyFont="1" applyFill="1" applyBorder="1" applyAlignment="1">
      <alignment horizontal="center"/>
    </xf>
    <xf numFmtId="165" fontId="58" fillId="22" borderId="12" xfId="1" applyNumberFormat="1" applyFont="1" applyFill="1" applyBorder="1" applyAlignment="1">
      <alignment horizontal="center"/>
    </xf>
    <xf numFmtId="165" fontId="58" fillId="0" borderId="11" xfId="1" applyNumberFormat="1" applyFont="1" applyBorder="1" applyAlignment="1">
      <alignment horizontal="center"/>
    </xf>
    <xf numFmtId="165" fontId="58" fillId="0" borderId="10" xfId="1" applyNumberFormat="1" applyFont="1" applyBorder="1" applyAlignment="1">
      <alignment horizontal="center"/>
    </xf>
    <xf numFmtId="165" fontId="58" fillId="22" borderId="10" xfId="1" applyNumberFormat="1" applyFont="1" applyFill="1" applyBorder="1" applyAlignment="1">
      <alignment horizontal="center"/>
    </xf>
    <xf numFmtId="165" fontId="58" fillId="25" borderId="12" xfId="1" applyNumberFormat="1" applyFont="1" applyFill="1" applyBorder="1" applyAlignment="1">
      <alignment horizontal="center"/>
    </xf>
    <xf numFmtId="165" fontId="58" fillId="0" borderId="2" xfId="1" applyNumberFormat="1" applyFont="1" applyBorder="1" applyAlignment="1">
      <alignment horizontal="center"/>
    </xf>
    <xf numFmtId="165" fontId="58" fillId="0" borderId="26" xfId="1" applyNumberFormat="1" applyFont="1" applyBorder="1" applyAlignment="1">
      <alignment horizontal="center"/>
    </xf>
    <xf numFmtId="165" fontId="58" fillId="0" borderId="75" xfId="1" applyNumberFormat="1" applyFont="1" applyBorder="1" applyAlignment="1">
      <alignment horizontal="center"/>
    </xf>
    <xf numFmtId="165" fontId="58" fillId="0" borderId="64" xfId="1" applyNumberFormat="1" applyFont="1" applyBorder="1" applyAlignment="1">
      <alignment horizontal="center"/>
    </xf>
    <xf numFmtId="165" fontId="58" fillId="0" borderId="3" xfId="1" applyNumberFormat="1" applyFont="1" applyBorder="1" applyAlignment="1">
      <alignment horizontal="center"/>
    </xf>
    <xf numFmtId="165" fontId="58" fillId="22" borderId="75" xfId="1" applyNumberFormat="1" applyFont="1" applyFill="1" applyBorder="1" applyAlignment="1">
      <alignment horizontal="center"/>
    </xf>
    <xf numFmtId="165" fontId="58" fillId="22" borderId="2" xfId="1" applyNumberFormat="1" applyFont="1" applyFill="1" applyBorder="1" applyAlignment="1">
      <alignment horizontal="center"/>
    </xf>
    <xf numFmtId="165" fontId="58" fillId="0" borderId="95" xfId="1" applyNumberFormat="1" applyFont="1" applyBorder="1" applyAlignment="1">
      <alignment horizontal="center"/>
    </xf>
    <xf numFmtId="165" fontId="58" fillId="25" borderId="2" xfId="1" applyNumberFormat="1" applyFont="1" applyFill="1" applyBorder="1" applyAlignment="1">
      <alignment horizontal="center"/>
    </xf>
    <xf numFmtId="49" fontId="58" fillId="0" borderId="19" xfId="1" applyNumberFormat="1" applyFont="1" applyBorder="1" applyAlignment="1">
      <alignment horizontal="center"/>
    </xf>
    <xf numFmtId="49" fontId="58" fillId="0" borderId="82" xfId="1" applyNumberFormat="1" applyFont="1" applyBorder="1" applyAlignment="1">
      <alignment horizontal="center"/>
    </xf>
    <xf numFmtId="49" fontId="58" fillId="0" borderId="97" xfId="1" applyNumberFormat="1" applyFont="1" applyBorder="1" applyAlignment="1">
      <alignment horizontal="center"/>
    </xf>
    <xf numFmtId="49" fontId="58" fillId="0" borderId="44" xfId="1" applyNumberFormat="1" applyFont="1" applyBorder="1" applyAlignment="1">
      <alignment horizontal="center"/>
    </xf>
    <xf numFmtId="49" fontId="58" fillId="0" borderId="52" xfId="1" applyNumberFormat="1" applyFont="1" applyBorder="1" applyAlignment="1">
      <alignment horizontal="center"/>
    </xf>
    <xf numFmtId="49" fontId="58" fillId="0" borderId="63" xfId="1" applyNumberFormat="1" applyFont="1" applyBorder="1" applyAlignment="1">
      <alignment horizontal="center"/>
    </xf>
    <xf numFmtId="49" fontId="58" fillId="0" borderId="53" xfId="1" applyNumberFormat="1" applyFont="1" applyBorder="1" applyAlignment="1">
      <alignment horizontal="center"/>
    </xf>
    <xf numFmtId="49" fontId="58" fillId="22" borderId="19" xfId="1" applyNumberFormat="1" applyFont="1" applyFill="1" applyBorder="1" applyAlignment="1">
      <alignment horizontal="center"/>
    </xf>
    <xf numFmtId="49" fontId="58" fillId="22" borderId="52" xfId="1" applyNumberFormat="1" applyFont="1" applyFill="1" applyBorder="1" applyAlignment="1">
      <alignment horizontal="center"/>
    </xf>
    <xf numFmtId="49" fontId="58" fillId="25" borderId="52" xfId="1" applyNumberFormat="1" applyFont="1" applyFill="1" applyBorder="1" applyAlignment="1">
      <alignment horizontal="center"/>
    </xf>
    <xf numFmtId="0" fontId="44" fillId="0" borderId="60" xfId="1" applyFont="1" applyBorder="1" applyAlignment="1">
      <alignment horizontal="center" shrinkToFit="1"/>
    </xf>
    <xf numFmtId="164" fontId="44" fillId="2" borderId="87" xfId="1" applyNumberFormat="1" applyFont="1" applyFill="1" applyBorder="1" applyAlignment="1">
      <alignment shrinkToFit="1"/>
    </xf>
    <xf numFmtId="164" fontId="44" fillId="2" borderId="88" xfId="1" applyNumberFormat="1" applyFont="1" applyFill="1" applyBorder="1" applyAlignment="1">
      <alignment shrinkToFit="1"/>
    </xf>
    <xf numFmtId="164" fontId="44" fillId="2" borderId="83" xfId="1" applyNumberFormat="1" applyFont="1" applyFill="1" applyBorder="1" applyAlignment="1">
      <alignment shrinkToFit="1"/>
    </xf>
    <xf numFmtId="164" fontId="44" fillId="2" borderId="93" xfId="1" applyNumberFormat="1" applyFont="1" applyFill="1" applyBorder="1" applyAlignment="1">
      <alignment shrinkToFit="1"/>
    </xf>
    <xf numFmtId="164" fontId="44" fillId="2" borderId="41" xfId="1" applyNumberFormat="1" applyFont="1" applyFill="1" applyBorder="1" applyAlignment="1">
      <alignment shrinkToFit="1"/>
    </xf>
    <xf numFmtId="0" fontId="44" fillId="0" borderId="46" xfId="1" applyFont="1" applyBorder="1" applyAlignment="1">
      <alignment horizontal="center" shrinkToFit="1"/>
    </xf>
    <xf numFmtId="164" fontId="43" fillId="0" borderId="76" xfId="1" applyNumberFormat="1" applyFont="1" applyBorder="1" applyAlignment="1">
      <alignment shrinkToFit="1"/>
    </xf>
    <xf numFmtId="164" fontId="43" fillId="0" borderId="24" xfId="1" applyNumberFormat="1" applyFont="1" applyBorder="1" applyAlignment="1">
      <alignment shrinkToFit="1"/>
    </xf>
    <xf numFmtId="164" fontId="43" fillId="0" borderId="25" xfId="1" applyNumberFormat="1" applyFont="1" applyBorder="1" applyAlignment="1">
      <alignment shrinkToFit="1"/>
    </xf>
    <xf numFmtId="164" fontId="43" fillId="0" borderId="23" xfId="1" applyNumberFormat="1" applyFont="1" applyBorder="1" applyAlignment="1">
      <alignment shrinkToFit="1"/>
    </xf>
    <xf numFmtId="164" fontId="43" fillId="0" borderId="51" xfId="1" applyNumberFormat="1" applyFont="1" applyBorder="1" applyAlignment="1">
      <alignment shrinkToFit="1"/>
    </xf>
    <xf numFmtId="164" fontId="43" fillId="0" borderId="46" xfId="1" applyNumberFormat="1" applyFont="1" applyBorder="1" applyAlignment="1">
      <alignment shrinkToFit="1"/>
    </xf>
    <xf numFmtId="164" fontId="43" fillId="0" borderId="105" xfId="1" applyNumberFormat="1" applyFont="1" applyBorder="1" applyAlignment="1">
      <alignment shrinkToFit="1"/>
    </xf>
    <xf numFmtId="164" fontId="43" fillId="0" borderId="102" xfId="1" applyNumberFormat="1" applyFont="1" applyBorder="1" applyAlignment="1">
      <alignment shrinkToFit="1"/>
    </xf>
    <xf numFmtId="164" fontId="43" fillId="0" borderId="104" xfId="1" applyNumberFormat="1" applyFont="1" applyBorder="1" applyAlignment="1">
      <alignment shrinkToFit="1"/>
    </xf>
    <xf numFmtId="164" fontId="43" fillId="0" borderId="103" xfId="1" applyNumberFormat="1" applyFont="1" applyBorder="1" applyAlignment="1">
      <alignment shrinkToFit="1"/>
    </xf>
    <xf numFmtId="164" fontId="43" fillId="0" borderId="20" xfId="1" applyNumberFormat="1" applyFont="1" applyBorder="1" applyAlignment="1">
      <alignment shrinkToFit="1"/>
    </xf>
    <xf numFmtId="164" fontId="44" fillId="2" borderId="106" xfId="1" applyNumberFormat="1" applyFont="1" applyFill="1" applyBorder="1" applyAlignment="1">
      <alignment shrinkToFit="1"/>
    </xf>
    <xf numFmtId="164" fontId="43" fillId="0" borderId="72" xfId="1" applyNumberFormat="1" applyFont="1" applyBorder="1" applyAlignment="1">
      <alignment shrinkToFit="1"/>
    </xf>
    <xf numFmtId="164" fontId="43" fillId="22" borderId="76" xfId="1" applyNumberFormat="1" applyFont="1" applyFill="1" applyBorder="1" applyAlignment="1">
      <alignment shrinkToFit="1"/>
    </xf>
    <xf numFmtId="164" fontId="43" fillId="0" borderId="77" xfId="1" applyNumberFormat="1" applyFont="1" applyBorder="1" applyAlignment="1">
      <alignment shrinkToFit="1"/>
    </xf>
    <xf numFmtId="164" fontId="43" fillId="0" borderId="73" xfId="1" applyNumberFormat="1" applyFont="1" applyBorder="1" applyAlignment="1">
      <alignment shrinkToFit="1"/>
    </xf>
    <xf numFmtId="164" fontId="43" fillId="0" borderId="81" xfId="1" applyNumberFormat="1" applyFont="1" applyBorder="1" applyAlignment="1">
      <alignment shrinkToFit="1"/>
    </xf>
    <xf numFmtId="164" fontId="43" fillId="0" borderId="101" xfId="1" applyNumberFormat="1" applyFont="1" applyBorder="1" applyAlignment="1">
      <alignment shrinkToFit="1"/>
    </xf>
    <xf numFmtId="164" fontId="43" fillId="0" borderId="108" xfId="1" applyNumberFormat="1" applyFont="1" applyBorder="1" applyAlignment="1">
      <alignment shrinkToFit="1"/>
    </xf>
    <xf numFmtId="164" fontId="43" fillId="0" borderId="100" xfId="1" applyNumberFormat="1" applyFont="1" applyBorder="1" applyAlignment="1">
      <alignment shrinkToFit="1"/>
    </xf>
    <xf numFmtId="164" fontId="43" fillId="22" borderId="105" xfId="1" applyNumberFormat="1" applyFont="1" applyFill="1" applyBorder="1" applyAlignment="1">
      <alignment shrinkToFit="1"/>
    </xf>
    <xf numFmtId="164" fontId="44" fillId="2" borderId="107" xfId="1" applyNumberFormat="1" applyFont="1" applyFill="1" applyBorder="1" applyAlignment="1">
      <alignment shrinkToFit="1"/>
    </xf>
    <xf numFmtId="164" fontId="43" fillId="22" borderId="77" xfId="1" applyNumberFormat="1" applyFont="1" applyFill="1" applyBorder="1" applyAlignment="1">
      <alignment shrinkToFit="1"/>
    </xf>
    <xf numFmtId="164" fontId="43" fillId="0" borderId="78" xfId="1" applyNumberFormat="1" applyFont="1" applyBorder="1" applyAlignment="1">
      <alignment shrinkToFit="1"/>
    </xf>
    <xf numFmtId="164" fontId="43" fillId="0" borderId="91" xfId="1" applyNumberFormat="1" applyFont="1" applyBorder="1" applyAlignment="1">
      <alignment shrinkToFit="1"/>
    </xf>
    <xf numFmtId="164" fontId="43" fillId="0" borderId="94" xfId="1" applyNumberFormat="1" applyFont="1" applyBorder="1" applyAlignment="1">
      <alignment shrinkToFit="1"/>
    </xf>
    <xf numFmtId="164" fontId="43" fillId="0" borderId="98" xfId="1" applyNumberFormat="1" applyFont="1" applyBorder="1" applyAlignment="1">
      <alignment shrinkToFit="1"/>
    </xf>
    <xf numFmtId="0" fontId="44" fillId="0" borderId="55" xfId="1" applyFont="1" applyBorder="1" applyAlignment="1">
      <alignment horizontal="center" shrinkToFit="1"/>
    </xf>
    <xf numFmtId="0" fontId="44" fillId="0" borderId="57" xfId="1" applyFont="1" applyBorder="1" applyAlignment="1">
      <alignment horizontal="center" shrinkToFit="1"/>
    </xf>
    <xf numFmtId="164" fontId="44" fillId="0" borderId="58" xfId="1" applyNumberFormat="1" applyFont="1" applyBorder="1" applyAlignment="1">
      <alignment shrinkToFit="1"/>
    </xf>
    <xf numFmtId="164" fontId="44" fillId="0" borderId="89" xfId="1" applyNumberFormat="1" applyFont="1" applyBorder="1" applyAlignment="1">
      <alignment shrinkToFit="1"/>
    </xf>
    <xf numFmtId="164" fontId="44" fillId="0" borderId="84" xfId="1" applyNumberFormat="1" applyFont="1" applyBorder="1" applyAlignment="1">
      <alignment shrinkToFit="1"/>
    </xf>
    <xf numFmtId="164" fontId="44" fillId="0" borderId="57" xfId="1" applyNumberFormat="1" applyFont="1" applyBorder="1" applyAlignment="1">
      <alignment shrinkToFit="1"/>
    </xf>
    <xf numFmtId="0" fontId="44" fillId="0" borderId="29" xfId="1" applyFont="1" applyBorder="1" applyAlignment="1">
      <alignment horizontal="center" shrinkToFit="1"/>
    </xf>
    <xf numFmtId="0" fontId="44" fillId="0" borderId="56" xfId="1" applyFont="1" applyBorder="1" applyAlignment="1">
      <alignment horizontal="center" shrinkToFit="1"/>
    </xf>
    <xf numFmtId="164" fontId="44" fillId="0" borderId="61" xfId="1" applyNumberFormat="1" applyFont="1" applyBorder="1" applyAlignment="1">
      <alignment shrinkToFit="1"/>
    </xf>
    <xf numFmtId="164" fontId="44" fillId="0" borderId="90" xfId="1" applyNumberFormat="1" applyFont="1" applyBorder="1" applyAlignment="1">
      <alignment shrinkToFit="1"/>
    </xf>
    <xf numFmtId="164" fontId="43" fillId="0" borderId="90" xfId="1" applyNumberFormat="1" applyFont="1" applyBorder="1" applyAlignment="1">
      <alignment shrinkToFit="1"/>
    </xf>
    <xf numFmtId="164" fontId="43" fillId="0" borderId="56" xfId="1" applyNumberFormat="1" applyFont="1" applyBorder="1" applyAlignment="1">
      <alignment shrinkToFit="1"/>
    </xf>
    <xf numFmtId="38" fontId="50" fillId="0" borderId="0" xfId="72" applyFont="1" applyBorder="1" applyAlignment="1">
      <alignment shrinkToFit="1"/>
    </xf>
    <xf numFmtId="164" fontId="43" fillId="0" borderId="61" xfId="1" applyNumberFormat="1" applyFont="1" applyBorder="1" applyAlignment="1">
      <alignment shrinkToFit="1"/>
    </xf>
    <xf numFmtId="164" fontId="44" fillId="0" borderId="109" xfId="1" applyNumberFormat="1" applyFont="1" applyBorder="1" applyAlignment="1">
      <alignment shrinkToFit="1"/>
    </xf>
    <xf numFmtId="164" fontId="59" fillId="2" borderId="83" xfId="1" applyNumberFormat="1" applyFont="1" applyFill="1" applyBorder="1" applyAlignment="1">
      <alignment shrinkToFit="1"/>
    </xf>
    <xf numFmtId="164" fontId="59" fillId="2" borderId="93" xfId="1" applyNumberFormat="1" applyFont="1" applyFill="1" applyBorder="1" applyAlignment="1">
      <alignment shrinkToFit="1"/>
    </xf>
    <xf numFmtId="164" fontId="59" fillId="2" borderId="45" xfId="1" applyNumberFormat="1" applyFont="1" applyFill="1" applyBorder="1" applyAlignment="1">
      <alignment shrinkToFit="1"/>
    </xf>
    <xf numFmtId="164" fontId="59" fillId="2" borderId="21" xfId="1" applyNumberFormat="1" applyFont="1" applyFill="1" applyBorder="1" applyAlignment="1">
      <alignment shrinkToFit="1"/>
    </xf>
    <xf numFmtId="164" fontId="59" fillId="2" borderId="41" xfId="1" applyNumberFormat="1" applyFont="1" applyFill="1" applyBorder="1" applyAlignment="1">
      <alignment shrinkToFit="1"/>
    </xf>
    <xf numFmtId="164" fontId="59" fillId="2" borderId="65" xfId="1" applyNumberFormat="1" applyFont="1" applyFill="1" applyBorder="1" applyAlignment="1">
      <alignment shrinkToFit="1"/>
    </xf>
    <xf numFmtId="164" fontId="59" fillId="2" borderId="54" xfId="1" applyNumberFormat="1" applyFont="1" applyFill="1" applyBorder="1" applyAlignment="1">
      <alignment shrinkToFit="1"/>
    </xf>
    <xf numFmtId="164" fontId="59" fillId="22" borderId="41" xfId="1" applyNumberFormat="1" applyFont="1" applyFill="1" applyBorder="1" applyAlignment="1">
      <alignment shrinkToFit="1"/>
    </xf>
    <xf numFmtId="164" fontId="59" fillId="2" borderId="87" xfId="1" applyNumberFormat="1" applyFont="1" applyFill="1" applyBorder="1" applyAlignment="1">
      <alignment shrinkToFit="1"/>
    </xf>
    <xf numFmtId="164" fontId="59" fillId="22" borderId="21" xfId="1" applyNumberFormat="1" applyFont="1" applyFill="1" applyBorder="1" applyAlignment="1">
      <alignment shrinkToFit="1"/>
    </xf>
    <xf numFmtId="164" fontId="59" fillId="2" borderId="96" xfId="1" applyNumberFormat="1" applyFont="1" applyFill="1" applyBorder="1" applyAlignment="1">
      <alignment shrinkToFit="1"/>
    </xf>
    <xf numFmtId="164" fontId="59" fillId="22" borderId="54" xfId="1" applyNumberFormat="1" applyFont="1" applyFill="1" applyBorder="1" applyAlignment="1">
      <alignment shrinkToFit="1"/>
    </xf>
    <xf numFmtId="164" fontId="59" fillId="2" borderId="99" xfId="1" applyNumberFormat="1" applyFont="1" applyFill="1" applyBorder="1" applyAlignment="1">
      <alignment shrinkToFit="1"/>
    </xf>
    <xf numFmtId="164" fontId="59" fillId="22" borderId="99" xfId="1" applyNumberFormat="1" applyFont="1" applyFill="1" applyBorder="1" applyAlignment="1">
      <alignment shrinkToFit="1"/>
    </xf>
    <xf numFmtId="0" fontId="59" fillId="21" borderId="0" xfId="1" applyFont="1" applyFill="1" applyAlignment="1">
      <alignment horizontal="center" shrinkToFit="1"/>
    </xf>
    <xf numFmtId="49" fontId="59" fillId="24" borderId="7" xfId="1" applyNumberFormat="1" applyFont="1" applyFill="1" applyBorder="1" applyAlignment="1">
      <alignment horizontal="center" shrinkToFit="1"/>
    </xf>
    <xf numFmtId="0" fontId="59" fillId="0" borderId="59" xfId="1" applyFont="1" applyBorder="1" applyAlignment="1">
      <alignment horizontal="center" shrinkToFit="1"/>
    </xf>
    <xf numFmtId="0" fontId="59" fillId="0" borderId="51" xfId="1" applyFont="1" applyBorder="1" applyAlignment="1">
      <alignment horizontal="center" shrinkToFit="1"/>
    </xf>
    <xf numFmtId="0" fontId="59" fillId="0" borderId="24" xfId="1" applyFont="1" applyBorder="1" applyAlignment="1">
      <alignment horizontal="center" shrinkToFit="1"/>
    </xf>
    <xf numFmtId="164" fontId="59" fillId="22" borderId="87" xfId="1" applyNumberFormat="1" applyFont="1" applyFill="1" applyBorder="1" applyAlignment="1">
      <alignment shrinkToFit="1"/>
    </xf>
    <xf numFmtId="164" fontId="59" fillId="26" borderId="111" xfId="1" applyNumberFormat="1" applyFont="1" applyFill="1" applyBorder="1" applyAlignment="1">
      <alignment shrinkToFit="1"/>
    </xf>
    <xf numFmtId="164" fontId="59" fillId="2" borderId="112" xfId="1" applyNumberFormat="1" applyFont="1" applyFill="1" applyBorder="1" applyAlignment="1">
      <alignment shrinkToFit="1"/>
    </xf>
    <xf numFmtId="0" fontId="57" fillId="0" borderId="16" xfId="0" applyFont="1" applyBorder="1" applyAlignment="1">
      <alignment horizontal="center" vertical="center"/>
    </xf>
    <xf numFmtId="0" fontId="57" fillId="0" borderId="13" xfId="0" applyFont="1" applyBorder="1" applyAlignment="1">
      <alignment horizontal="center" vertical="center"/>
    </xf>
    <xf numFmtId="165" fontId="58" fillId="0" borderId="13" xfId="1" applyNumberFormat="1" applyFont="1" applyBorder="1" applyAlignment="1">
      <alignment horizontal="center" vertical="center"/>
    </xf>
    <xf numFmtId="0" fontId="57" fillId="0" borderId="42" xfId="0" applyFont="1" applyBorder="1" applyAlignment="1">
      <alignment horizontal="center" vertical="center"/>
    </xf>
    <xf numFmtId="0" fontId="57" fillId="0" borderId="62" xfId="0" applyFont="1" applyBorder="1" applyAlignment="1">
      <alignment horizontal="center" vertical="center"/>
    </xf>
    <xf numFmtId="165" fontId="58" fillId="0" borderId="62" xfId="1" applyNumberFormat="1" applyFont="1" applyBorder="1" applyAlignment="1">
      <alignment horizontal="center" vertical="center"/>
    </xf>
    <xf numFmtId="164" fontId="59" fillId="26" borderId="96" xfId="1" applyNumberFormat="1" applyFont="1" applyFill="1" applyBorder="1" applyAlignment="1">
      <alignment shrinkToFit="1"/>
    </xf>
    <xf numFmtId="165" fontId="58" fillId="22" borderId="11" xfId="1" applyNumberFormat="1" applyFont="1" applyFill="1" applyBorder="1" applyAlignment="1">
      <alignment horizontal="center"/>
    </xf>
    <xf numFmtId="164" fontId="59" fillId="26" borderId="112" xfId="1" applyNumberFormat="1" applyFont="1" applyFill="1" applyBorder="1" applyAlignment="1">
      <alignment shrinkToFit="1"/>
    </xf>
    <xf numFmtId="164" fontId="59" fillId="26" borderId="99" xfId="1" applyNumberFormat="1" applyFont="1" applyFill="1" applyBorder="1" applyAlignment="1">
      <alignment shrinkToFit="1"/>
    </xf>
    <xf numFmtId="164" fontId="59" fillId="2" borderId="106" xfId="1" applyNumberFormat="1" applyFont="1" applyFill="1" applyBorder="1" applyAlignment="1">
      <alignment shrinkToFit="1"/>
    </xf>
    <xf numFmtId="164" fontId="59" fillId="2" borderId="107" xfId="1" applyNumberFormat="1" applyFont="1" applyFill="1" applyBorder="1" applyAlignment="1">
      <alignment shrinkToFit="1"/>
    </xf>
    <xf numFmtId="0" fontId="45" fillId="0" borderId="16" xfId="0" applyFont="1" applyBorder="1" applyAlignment="1"/>
    <xf numFmtId="0" fontId="43" fillId="0" borderId="16" xfId="1" applyFont="1" applyBorder="1"/>
    <xf numFmtId="0" fontId="2" fillId="0" borderId="16" xfId="1" applyFont="1" applyBorder="1"/>
    <xf numFmtId="0" fontId="43" fillId="0" borderId="13" xfId="1" applyFont="1" applyBorder="1"/>
    <xf numFmtId="165" fontId="43" fillId="0" borderId="13" xfId="1" applyNumberFormat="1" applyFont="1" applyBorder="1" applyAlignment="1">
      <alignment horizontal="center"/>
    </xf>
    <xf numFmtId="0" fontId="2" fillId="0" borderId="13" xfId="1" applyFont="1" applyBorder="1"/>
    <xf numFmtId="165" fontId="43" fillId="0" borderId="13" xfId="1" applyNumberFormat="1" applyFont="1" applyBorder="1"/>
    <xf numFmtId="0" fontId="57" fillId="0" borderId="16" xfId="0" applyFont="1" applyBorder="1">
      <alignment vertical="center"/>
    </xf>
    <xf numFmtId="0" fontId="57" fillId="0" borderId="13" xfId="0" applyFont="1" applyBorder="1">
      <alignment vertical="center"/>
    </xf>
    <xf numFmtId="165" fontId="58" fillId="0" borderId="13" xfId="1" applyNumberFormat="1" applyFont="1" applyBorder="1" applyAlignment="1">
      <alignment vertical="center"/>
    </xf>
    <xf numFmtId="0" fontId="57" fillId="0" borderId="15" xfId="0" applyFont="1" applyBorder="1">
      <alignment vertical="center"/>
    </xf>
    <xf numFmtId="0" fontId="57" fillId="0" borderId="85" xfId="0" applyFont="1" applyBorder="1">
      <alignment vertical="center"/>
    </xf>
    <xf numFmtId="165" fontId="58" fillId="0" borderId="85" xfId="1" applyNumberFormat="1" applyFont="1" applyBorder="1" applyAlignment="1">
      <alignment vertical="center"/>
    </xf>
    <xf numFmtId="0" fontId="43" fillId="0" borderId="42" xfId="1" applyFont="1" applyBorder="1"/>
    <xf numFmtId="0" fontId="43" fillId="0" borderId="62" xfId="1" applyFont="1" applyBorder="1"/>
    <xf numFmtId="0" fontId="43" fillId="0" borderId="22" xfId="1" applyFont="1" applyBorder="1"/>
    <xf numFmtId="0" fontId="59" fillId="27" borderId="3" xfId="1" applyFont="1" applyFill="1" applyBorder="1" applyAlignment="1">
      <alignment horizontal="center" shrinkToFit="1"/>
    </xf>
    <xf numFmtId="49" fontId="44" fillId="0" borderId="0" xfId="1" applyNumberFormat="1" applyFont="1" applyAlignment="1">
      <alignment shrinkToFit="1"/>
    </xf>
    <xf numFmtId="49" fontId="44" fillId="0" borderId="0" xfId="1" applyNumberFormat="1" applyFont="1" applyAlignment="1">
      <alignment vertical="top" wrapText="1" shrinkToFit="1"/>
    </xf>
    <xf numFmtId="38" fontId="51" fillId="0" borderId="0" xfId="72" applyFont="1" applyBorder="1" applyAlignment="1">
      <alignment shrinkToFit="1"/>
    </xf>
    <xf numFmtId="164" fontId="43" fillId="0" borderId="113" xfId="1" applyNumberFormat="1" applyFont="1" applyBorder="1" applyAlignment="1">
      <alignment shrinkToFit="1"/>
    </xf>
    <xf numFmtId="164" fontId="59" fillId="2" borderId="88" xfId="1" applyNumberFormat="1" applyFont="1" applyFill="1" applyBorder="1" applyAlignment="1">
      <alignment shrinkToFit="1"/>
    </xf>
    <xf numFmtId="164" fontId="43" fillId="0" borderId="114" xfId="1" applyNumberFormat="1" applyFont="1" applyBorder="1" applyAlignment="1">
      <alignment shrinkToFit="1"/>
    </xf>
    <xf numFmtId="164" fontId="59" fillId="2" borderId="115" xfId="1" applyNumberFormat="1" applyFont="1" applyFill="1" applyBorder="1" applyAlignment="1">
      <alignment shrinkToFit="1"/>
    </xf>
    <xf numFmtId="0" fontId="2" fillId="0" borderId="116" xfId="1" applyFont="1" applyBorder="1" applyAlignment="1">
      <alignment shrinkToFit="1"/>
    </xf>
    <xf numFmtId="165" fontId="58" fillId="0" borderId="71" xfId="1" applyNumberFormat="1" applyFont="1" applyBorder="1" applyAlignment="1">
      <alignment horizontal="center"/>
    </xf>
    <xf numFmtId="165" fontId="58" fillId="25" borderId="9" xfId="1" applyNumberFormat="1" applyFont="1" applyFill="1" applyBorder="1" applyAlignment="1">
      <alignment horizontal="center"/>
    </xf>
    <xf numFmtId="165" fontId="58" fillId="0" borderId="8" xfId="1" applyNumberFormat="1" applyFont="1" applyBorder="1" applyAlignment="1">
      <alignment horizontal="center"/>
    </xf>
    <xf numFmtId="164" fontId="43" fillId="0" borderId="110" xfId="1" applyNumberFormat="1" applyFont="1" applyBorder="1" applyAlignment="1">
      <alignment shrinkToFit="1"/>
    </xf>
    <xf numFmtId="164" fontId="59" fillId="2" borderId="118" xfId="1" applyNumberFormat="1" applyFont="1" applyFill="1" applyBorder="1" applyAlignment="1">
      <alignment shrinkToFit="1"/>
    </xf>
    <xf numFmtId="164" fontId="43" fillId="0" borderId="119" xfId="1" applyNumberFormat="1" applyFont="1" applyBorder="1" applyAlignment="1">
      <alignment shrinkToFit="1"/>
    </xf>
    <xf numFmtId="165" fontId="58" fillId="28" borderId="12" xfId="1" applyNumberFormat="1" applyFont="1" applyFill="1" applyBorder="1" applyAlignment="1">
      <alignment horizontal="center"/>
    </xf>
    <xf numFmtId="165" fontId="58" fillId="28" borderId="2" xfId="1" applyNumberFormat="1" applyFont="1" applyFill="1" applyBorder="1" applyAlignment="1">
      <alignment horizontal="center"/>
    </xf>
    <xf numFmtId="49" fontId="58" fillId="28" borderId="52" xfId="1" applyNumberFormat="1" applyFont="1" applyFill="1" applyBorder="1" applyAlignment="1">
      <alignment horizontal="center"/>
    </xf>
    <xf numFmtId="164" fontId="44" fillId="0" borderId="121" xfId="1" applyNumberFormat="1" applyFont="1" applyBorder="1" applyAlignment="1">
      <alignment shrinkToFit="1"/>
    </xf>
    <xf numFmtId="164" fontId="44" fillId="0" borderId="120" xfId="1" applyNumberFormat="1" applyFont="1" applyBorder="1" applyAlignment="1">
      <alignment shrinkToFit="1"/>
    </xf>
    <xf numFmtId="164" fontId="44" fillId="0" borderId="114" xfId="1" applyNumberFormat="1" applyFont="1" applyBorder="1" applyAlignment="1">
      <alignment shrinkToFit="1"/>
    </xf>
    <xf numFmtId="164" fontId="43" fillId="0" borderId="122" xfId="1" applyNumberFormat="1" applyFont="1" applyBorder="1" applyAlignment="1">
      <alignment shrinkToFit="1"/>
    </xf>
    <xf numFmtId="164" fontId="43" fillId="0" borderId="120" xfId="1" applyNumberFormat="1" applyFont="1" applyBorder="1" applyAlignment="1">
      <alignment shrinkToFit="1"/>
    </xf>
    <xf numFmtId="164" fontId="43" fillId="0" borderId="121" xfId="1" applyNumberFormat="1" applyFont="1" applyBorder="1" applyAlignment="1">
      <alignment shrinkToFit="1"/>
    </xf>
    <xf numFmtId="165" fontId="58" fillId="25" borderId="10" xfId="1" applyNumberFormat="1" applyFont="1" applyFill="1" applyBorder="1" applyAlignment="1">
      <alignment horizontal="center"/>
    </xf>
    <xf numFmtId="164" fontId="43" fillId="0" borderId="7" xfId="1" applyNumberFormat="1" applyFont="1" applyBorder="1" applyAlignment="1">
      <alignment shrinkToFit="1"/>
    </xf>
    <xf numFmtId="164" fontId="59" fillId="2" borderId="128" xfId="1" applyNumberFormat="1" applyFont="1" applyFill="1" applyBorder="1" applyAlignment="1">
      <alignment shrinkToFit="1"/>
    </xf>
    <xf numFmtId="164" fontId="44" fillId="0" borderId="129" xfId="1" applyNumberFormat="1" applyFont="1" applyBorder="1" applyAlignment="1">
      <alignment shrinkToFit="1"/>
    </xf>
    <xf numFmtId="164" fontId="43" fillId="0" borderId="130" xfId="1" applyNumberFormat="1" applyFont="1" applyBorder="1" applyAlignment="1">
      <alignment shrinkToFit="1"/>
    </xf>
    <xf numFmtId="165" fontId="58" fillId="28" borderId="62" xfId="1" applyNumberFormat="1" applyFont="1" applyFill="1" applyBorder="1" applyAlignment="1">
      <alignment horizontal="center"/>
    </xf>
    <xf numFmtId="49" fontId="58" fillId="28" borderId="63" xfId="1" applyNumberFormat="1" applyFont="1" applyFill="1" applyBorder="1" applyAlignment="1">
      <alignment horizontal="center"/>
    </xf>
    <xf numFmtId="0" fontId="67" fillId="0" borderId="10" xfId="0" applyFont="1" applyBorder="1">
      <alignment vertical="center"/>
    </xf>
    <xf numFmtId="0" fontId="67" fillId="0" borderId="0" xfId="0" applyFont="1">
      <alignment vertical="center"/>
    </xf>
    <xf numFmtId="0" fontId="68" fillId="0" borderId="1" xfId="1" applyFont="1" applyBorder="1"/>
    <xf numFmtId="0" fontId="68" fillId="0" borderId="2" xfId="1" applyFont="1" applyBorder="1"/>
    <xf numFmtId="0" fontId="69" fillId="0" borderId="0" xfId="1" applyFont="1" applyAlignment="1">
      <alignment horizontal="center"/>
    </xf>
    <xf numFmtId="0" fontId="68" fillId="0" borderId="0" xfId="1" applyFont="1"/>
    <xf numFmtId="0" fontId="68" fillId="0" borderId="5" xfId="1" applyFont="1" applyBorder="1"/>
    <xf numFmtId="0" fontId="68" fillId="0" borderId="6" xfId="1" applyFont="1" applyBorder="1"/>
    <xf numFmtId="0" fontId="68" fillId="0" borderId="8" xfId="1" applyFont="1" applyBorder="1"/>
    <xf numFmtId="0" fontId="68" fillId="0" borderId="9" xfId="1" applyFont="1" applyBorder="1"/>
    <xf numFmtId="0" fontId="68" fillId="0" borderId="11" xfId="1" applyFont="1" applyBorder="1" applyAlignment="1">
      <alignment vertical="center"/>
    </xf>
    <xf numFmtId="0" fontId="68" fillId="0" borderId="12" xfId="1" applyFont="1" applyBorder="1" applyAlignment="1">
      <alignment vertical="center"/>
    </xf>
    <xf numFmtId="0" fontId="68" fillId="27" borderId="10" xfId="1" applyFont="1" applyFill="1" applyBorder="1" applyAlignment="1">
      <alignment vertical="center"/>
    </xf>
    <xf numFmtId="0" fontId="68" fillId="0" borderId="0" xfId="1" applyFont="1" applyAlignment="1">
      <alignment vertical="center"/>
    </xf>
    <xf numFmtId="49" fontId="70" fillId="0" borderId="0" xfId="1" applyNumberFormat="1" applyFont="1" applyAlignment="1">
      <alignment vertical="center"/>
    </xf>
    <xf numFmtId="0" fontId="68" fillId="0" borderId="10" xfId="1" applyFont="1" applyBorder="1" applyAlignment="1">
      <alignment vertical="center"/>
    </xf>
    <xf numFmtId="0" fontId="68" fillId="0" borderId="8" xfId="1" applyFont="1" applyBorder="1" applyAlignment="1">
      <alignment vertical="center"/>
    </xf>
    <xf numFmtId="0" fontId="72" fillId="21" borderId="0" xfId="1" applyFont="1" applyFill="1"/>
    <xf numFmtId="0" fontId="72" fillId="0" borderId="0" xfId="1" applyFont="1" applyFill="1"/>
    <xf numFmtId="165" fontId="71" fillId="0" borderId="0" xfId="1" applyNumberFormat="1" applyFont="1" applyAlignment="1">
      <alignment vertical="center"/>
    </xf>
    <xf numFmtId="165" fontId="71" fillId="0" borderId="0" xfId="1" applyNumberFormat="1" applyFont="1" applyAlignment="1">
      <alignment vertical="center" wrapText="1"/>
    </xf>
    <xf numFmtId="165" fontId="71" fillId="0" borderId="0" xfId="1" applyNumberFormat="1" applyFont="1"/>
    <xf numFmtId="165" fontId="71" fillId="21" borderId="79" xfId="1" applyNumberFormat="1" applyFont="1" applyFill="1" applyBorder="1"/>
    <xf numFmtId="165" fontId="71" fillId="21" borderId="30" xfId="1" applyNumberFormat="1" applyFont="1" applyFill="1" applyBorder="1"/>
    <xf numFmtId="165" fontId="71" fillId="21" borderId="80" xfId="1" applyNumberFormat="1" applyFont="1" applyFill="1" applyBorder="1"/>
    <xf numFmtId="165" fontId="71" fillId="21" borderId="79" xfId="1" applyNumberFormat="1" applyFont="1" applyFill="1" applyBorder="1" applyAlignment="1"/>
    <xf numFmtId="165" fontId="71" fillId="21" borderId="30" xfId="1" applyNumberFormat="1" applyFont="1" applyFill="1" applyBorder="1" applyAlignment="1"/>
    <xf numFmtId="165" fontId="71" fillId="21" borderId="80" xfId="1" applyNumberFormat="1" applyFont="1" applyFill="1" applyBorder="1" applyAlignment="1"/>
    <xf numFmtId="165" fontId="71" fillId="0" borderId="79" xfId="1" applyNumberFormat="1" applyFont="1" applyBorder="1" applyAlignment="1"/>
    <xf numFmtId="165" fontId="71" fillId="0" borderId="30" xfId="1" applyNumberFormat="1" applyFont="1" applyBorder="1" applyAlignment="1"/>
    <xf numFmtId="165" fontId="71" fillId="0" borderId="80" xfId="1" applyNumberFormat="1" applyFont="1" applyBorder="1" applyAlignment="1"/>
    <xf numFmtId="0" fontId="68" fillId="0" borderId="14" xfId="1" applyFont="1" applyBorder="1"/>
    <xf numFmtId="0" fontId="68" fillId="0" borderId="49" xfId="1" applyFont="1" applyBorder="1"/>
    <xf numFmtId="0" fontId="68" fillId="0" borderId="55" xfId="1" applyFont="1" applyBorder="1"/>
    <xf numFmtId="0" fontId="68" fillId="0" borderId="47" xfId="1" applyFont="1" applyBorder="1"/>
    <xf numFmtId="0" fontId="73" fillId="0" borderId="15" xfId="73" applyFont="1" applyBorder="1" applyAlignment="1"/>
    <xf numFmtId="0" fontId="73" fillId="0" borderId="16" xfId="73" applyFont="1" applyBorder="1" applyAlignment="1"/>
    <xf numFmtId="0" fontId="68" fillId="0" borderId="16" xfId="1" applyFont="1" applyBorder="1"/>
    <xf numFmtId="0" fontId="74" fillId="0" borderId="16" xfId="73" applyFont="1" applyBorder="1">
      <alignment vertical="center"/>
    </xf>
    <xf numFmtId="0" fontId="68" fillId="0" borderId="42" xfId="1" applyFont="1" applyBorder="1"/>
    <xf numFmtId="0" fontId="74" fillId="0" borderId="15" xfId="73" applyFont="1" applyBorder="1">
      <alignment vertical="center"/>
    </xf>
    <xf numFmtId="0" fontId="74" fillId="0" borderId="16" xfId="73" applyFont="1" applyBorder="1" applyAlignment="1">
      <alignment horizontal="left" vertical="center"/>
    </xf>
    <xf numFmtId="0" fontId="74" fillId="0" borderId="16" xfId="73" applyFont="1" applyBorder="1" applyAlignment="1">
      <alignment horizontal="center" vertical="center"/>
    </xf>
    <xf numFmtId="0" fontId="74" fillId="0" borderId="42" xfId="73" applyFont="1" applyBorder="1" applyAlignment="1">
      <alignment horizontal="center" vertical="center"/>
    </xf>
    <xf numFmtId="0" fontId="75" fillId="0" borderId="16" xfId="73" applyFont="1" applyBorder="1" applyAlignment="1">
      <alignment horizontal="center"/>
    </xf>
    <xf numFmtId="0" fontId="75" fillId="0" borderId="16" xfId="73" applyFont="1" applyBorder="1" applyAlignment="1"/>
    <xf numFmtId="0" fontId="75" fillId="0" borderId="42" xfId="73" applyFont="1" applyBorder="1" applyAlignment="1"/>
    <xf numFmtId="49" fontId="75" fillId="0" borderId="15" xfId="73" applyNumberFormat="1" applyFont="1" applyBorder="1" applyAlignment="1">
      <alignment horizontal="center"/>
    </xf>
    <xf numFmtId="49" fontId="75" fillId="0" borderId="16" xfId="73" applyNumberFormat="1" applyFont="1" applyBorder="1" applyAlignment="1">
      <alignment horizontal="center"/>
    </xf>
    <xf numFmtId="0" fontId="75" fillId="0" borderId="15" xfId="73" applyFont="1" applyBorder="1" applyAlignment="1">
      <alignment horizontal="center" vertical="center"/>
    </xf>
    <xf numFmtId="49" fontId="75" fillId="0" borderId="42" xfId="73" applyNumberFormat="1" applyFont="1" applyBorder="1" applyAlignment="1">
      <alignment horizontal="center"/>
    </xf>
    <xf numFmtId="0" fontId="75" fillId="0" borderId="15" xfId="73" applyFont="1" applyBorder="1" applyAlignment="1">
      <alignment vertical="center"/>
    </xf>
    <xf numFmtId="0" fontId="75" fillId="0" borderId="16" xfId="73" applyFont="1" applyBorder="1" applyAlignment="1">
      <alignment vertical="center"/>
    </xf>
    <xf numFmtId="0" fontId="75" fillId="0" borderId="42" xfId="73" applyFont="1" applyBorder="1" applyAlignment="1">
      <alignment vertical="center"/>
    </xf>
    <xf numFmtId="49" fontId="75" fillId="0" borderId="15" xfId="73" applyNumberFormat="1" applyFont="1" applyBorder="1" applyAlignment="1"/>
    <xf numFmtId="49" fontId="75" fillId="0" borderId="16" xfId="73" applyNumberFormat="1" applyFont="1" applyBorder="1" applyAlignment="1"/>
    <xf numFmtId="49" fontId="75" fillId="0" borderId="42" xfId="73" applyNumberFormat="1" applyFont="1" applyBorder="1" applyAlignment="1"/>
    <xf numFmtId="49" fontId="75" fillId="0" borderId="143" xfId="73" applyNumberFormat="1" applyFont="1" applyBorder="1" applyAlignment="1">
      <alignment horizontal="center"/>
    </xf>
    <xf numFmtId="49" fontId="76" fillId="0" borderId="49" xfId="1" applyNumberFormat="1" applyFont="1" applyBorder="1"/>
    <xf numFmtId="49" fontId="76" fillId="0" borderId="55" xfId="1" applyNumberFormat="1" applyFont="1" applyBorder="1"/>
    <xf numFmtId="49" fontId="76" fillId="0" borderId="47" xfId="1" applyNumberFormat="1" applyFont="1" applyBorder="1"/>
    <xf numFmtId="49" fontId="76" fillId="0" borderId="79" xfId="1" applyNumberFormat="1" applyFont="1" applyBorder="1"/>
    <xf numFmtId="49" fontId="76" fillId="0" borderId="30" xfId="1" applyNumberFormat="1" applyFont="1" applyBorder="1"/>
    <xf numFmtId="49" fontId="76" fillId="0" borderId="80" xfId="1" applyNumberFormat="1" applyFont="1" applyBorder="1"/>
    <xf numFmtId="49" fontId="76" fillId="0" borderId="79" xfId="1" applyNumberFormat="1" applyFont="1" applyBorder="1" applyAlignment="1"/>
    <xf numFmtId="49" fontId="76" fillId="0" borderId="30" xfId="1" applyNumberFormat="1" applyFont="1" applyBorder="1" applyAlignment="1"/>
    <xf numFmtId="49" fontId="76" fillId="0" borderId="80" xfId="1" applyNumberFormat="1" applyFont="1" applyBorder="1" applyAlignment="1"/>
    <xf numFmtId="0" fontId="68" fillId="0" borderId="17" xfId="1" applyFont="1" applyBorder="1"/>
    <xf numFmtId="0" fontId="68" fillId="0" borderId="27" xfId="1" applyFont="1" applyBorder="1"/>
    <xf numFmtId="0" fontId="68" fillId="0" borderId="20" xfId="1" applyFont="1" applyBorder="1"/>
    <xf numFmtId="165" fontId="68" fillId="0" borderId="85" xfId="1" applyNumberFormat="1" applyFont="1" applyBorder="1"/>
    <xf numFmtId="0" fontId="68" fillId="0" borderId="13" xfId="1" applyFont="1" applyBorder="1"/>
    <xf numFmtId="165" fontId="68" fillId="0" borderId="13" xfId="1" applyNumberFormat="1" applyFont="1" applyBorder="1" applyAlignment="1">
      <alignment horizontal="center"/>
    </xf>
    <xf numFmtId="0" fontId="74" fillId="0" borderId="13" xfId="73" applyFont="1" applyBorder="1">
      <alignment vertical="center"/>
    </xf>
    <xf numFmtId="0" fontId="68" fillId="0" borderId="62" xfId="1" applyFont="1" applyBorder="1"/>
    <xf numFmtId="0" fontId="74" fillId="0" borderId="85" xfId="73" applyFont="1" applyBorder="1">
      <alignment vertical="center"/>
    </xf>
    <xf numFmtId="0" fontId="74" fillId="0" borderId="13" xfId="73" applyFont="1" applyBorder="1" applyAlignment="1">
      <alignment horizontal="left" vertical="center"/>
    </xf>
    <xf numFmtId="0" fontId="74" fillId="0" borderId="13" xfId="73" applyFont="1" applyBorder="1" applyAlignment="1">
      <alignment horizontal="center" vertical="center"/>
    </xf>
    <xf numFmtId="0" fontId="74" fillId="0" borderId="62" xfId="73" applyFont="1" applyBorder="1" applyAlignment="1">
      <alignment horizontal="center" vertical="center"/>
    </xf>
    <xf numFmtId="165" fontId="77" fillId="0" borderId="12" xfId="1" applyNumberFormat="1" applyFont="1" applyBorder="1" applyAlignment="1">
      <alignment horizontal="center"/>
    </xf>
    <xf numFmtId="165" fontId="77" fillId="0" borderId="43" xfId="1" applyNumberFormat="1" applyFont="1" applyBorder="1" applyAlignment="1">
      <alignment horizontal="center"/>
    </xf>
    <xf numFmtId="165" fontId="77" fillId="0" borderId="74" xfId="1" applyNumberFormat="1" applyFont="1" applyBorder="1" applyAlignment="1">
      <alignment horizontal="center"/>
    </xf>
    <xf numFmtId="165" fontId="77" fillId="0" borderId="62" xfId="1" applyNumberFormat="1" applyFont="1" applyBorder="1" applyAlignment="1">
      <alignment horizontal="center"/>
    </xf>
    <xf numFmtId="165" fontId="77" fillId="0" borderId="13" xfId="1" applyNumberFormat="1" applyFont="1" applyBorder="1" applyAlignment="1">
      <alignment horizontal="center"/>
    </xf>
    <xf numFmtId="165" fontId="77" fillId="22" borderId="74" xfId="1" applyNumberFormat="1" applyFont="1" applyFill="1" applyBorder="1" applyAlignment="1">
      <alignment horizontal="center"/>
    </xf>
    <xf numFmtId="165" fontId="77" fillId="22" borderId="12" xfId="1" applyNumberFormat="1" applyFont="1" applyFill="1" applyBorder="1" applyAlignment="1">
      <alignment horizontal="center"/>
    </xf>
    <xf numFmtId="165" fontId="77" fillId="0" borderId="11" xfId="1" applyNumberFormat="1" applyFont="1" applyBorder="1" applyAlignment="1">
      <alignment horizontal="center"/>
    </xf>
    <xf numFmtId="165" fontId="77" fillId="0" borderId="85" xfId="1" applyNumberFormat="1" applyFont="1" applyBorder="1" applyAlignment="1">
      <alignment horizontal="center"/>
    </xf>
    <xf numFmtId="165" fontId="77" fillId="0" borderId="10" xfId="1" applyNumberFormat="1" applyFont="1" applyBorder="1" applyAlignment="1">
      <alignment horizontal="center"/>
    </xf>
    <xf numFmtId="165" fontId="77" fillId="25" borderId="12" xfId="1" applyNumberFormat="1" applyFont="1" applyFill="1" applyBorder="1" applyAlignment="1">
      <alignment horizontal="center"/>
    </xf>
    <xf numFmtId="165" fontId="77" fillId="22" borderId="10" xfId="1" applyNumberFormat="1" applyFont="1" applyFill="1" applyBorder="1" applyAlignment="1">
      <alignment horizontal="center"/>
    </xf>
    <xf numFmtId="165" fontId="77" fillId="22" borderId="11" xfId="1" applyNumberFormat="1" applyFont="1" applyFill="1" applyBorder="1" applyAlignment="1">
      <alignment horizontal="center"/>
    </xf>
    <xf numFmtId="165" fontId="77" fillId="0" borderId="71" xfId="1" applyNumberFormat="1" applyFont="1" applyBorder="1" applyAlignment="1">
      <alignment horizontal="center"/>
    </xf>
    <xf numFmtId="165" fontId="77" fillId="25" borderId="9" xfId="1" applyNumberFormat="1" applyFont="1" applyFill="1" applyBorder="1" applyAlignment="1">
      <alignment horizontal="center"/>
    </xf>
    <xf numFmtId="165" fontId="77" fillId="0" borderId="8" xfId="1" applyNumberFormat="1" applyFont="1" applyBorder="1" applyAlignment="1">
      <alignment horizontal="center"/>
    </xf>
    <xf numFmtId="165" fontId="77" fillId="28" borderId="62" xfId="1" applyNumberFormat="1" applyFont="1" applyFill="1" applyBorder="1" applyAlignment="1">
      <alignment horizontal="center"/>
    </xf>
    <xf numFmtId="165" fontId="77" fillId="28" borderId="10" xfId="1" applyNumberFormat="1" applyFont="1" applyFill="1" applyBorder="1" applyAlignment="1">
      <alignment horizontal="center"/>
    </xf>
    <xf numFmtId="165" fontId="77" fillId="25" borderId="74" xfId="1" applyNumberFormat="1" applyFont="1" applyFill="1" applyBorder="1" applyAlignment="1">
      <alignment horizontal="center"/>
    </xf>
    <xf numFmtId="165" fontId="77" fillId="0" borderId="11" xfId="1" applyNumberFormat="1" applyFont="1" applyFill="1" applyBorder="1" applyAlignment="1">
      <alignment horizontal="center"/>
    </xf>
    <xf numFmtId="165" fontId="77" fillId="0" borderId="62" xfId="1" applyNumberFormat="1" applyFont="1" applyFill="1" applyBorder="1" applyAlignment="1">
      <alignment horizontal="center"/>
    </xf>
    <xf numFmtId="165" fontId="77" fillId="0" borderId="74" xfId="1" applyNumberFormat="1" applyFont="1" applyFill="1" applyBorder="1" applyAlignment="1">
      <alignment horizontal="center"/>
    </xf>
    <xf numFmtId="165" fontId="77" fillId="0" borderId="10" xfId="1" applyNumberFormat="1" applyFont="1" applyFill="1" applyBorder="1" applyAlignment="1">
      <alignment horizontal="center"/>
    </xf>
    <xf numFmtId="165" fontId="77" fillId="0" borderId="43" xfId="1" applyNumberFormat="1" applyFont="1" applyFill="1" applyBorder="1" applyAlignment="1">
      <alignment horizontal="center"/>
    </xf>
    <xf numFmtId="165" fontId="77" fillId="28" borderId="74" xfId="1" applyNumberFormat="1" applyFont="1" applyFill="1" applyBorder="1" applyAlignment="1">
      <alignment horizontal="center"/>
    </xf>
    <xf numFmtId="165" fontId="77" fillId="29" borderId="10" xfId="1" applyNumberFormat="1" applyFont="1" applyFill="1" applyBorder="1" applyAlignment="1">
      <alignment horizontal="center"/>
    </xf>
    <xf numFmtId="165" fontId="68" fillId="0" borderId="137" xfId="1" applyNumberFormat="1" applyFont="1" applyBorder="1" applyAlignment="1">
      <alignment horizontal="center"/>
    </xf>
    <xf numFmtId="165" fontId="68" fillId="0" borderId="126" xfId="1" applyNumberFormat="1" applyFont="1" applyBorder="1" applyAlignment="1">
      <alignment horizontal="center"/>
    </xf>
    <xf numFmtId="165" fontId="68" fillId="0" borderId="138" xfId="1" applyNumberFormat="1" applyFont="1" applyBorder="1" applyAlignment="1">
      <alignment horizontal="center"/>
    </xf>
    <xf numFmtId="165" fontId="68" fillId="29" borderId="141" xfId="1" applyNumberFormat="1" applyFont="1" applyFill="1" applyBorder="1" applyAlignment="1">
      <alignment horizontal="center"/>
    </xf>
    <xf numFmtId="165" fontId="68" fillId="0" borderId="71" xfId="1" applyNumberFormat="1" applyFont="1" applyBorder="1" applyAlignment="1">
      <alignment horizontal="center"/>
    </xf>
    <xf numFmtId="165" fontId="68" fillId="0" borderId="8" xfId="1" applyNumberFormat="1" applyFont="1" applyBorder="1" applyAlignment="1">
      <alignment horizontal="center"/>
    </xf>
    <xf numFmtId="165" fontId="68" fillId="0" borderId="142" xfId="1" applyNumberFormat="1" applyFont="1" applyBorder="1" applyAlignment="1">
      <alignment horizontal="center"/>
    </xf>
    <xf numFmtId="165" fontId="68" fillId="0" borderId="141" xfId="1" applyNumberFormat="1" applyFont="1" applyBorder="1" applyAlignment="1">
      <alignment horizontal="center"/>
    </xf>
    <xf numFmtId="165" fontId="68" fillId="0" borderId="9" xfId="1" applyNumberFormat="1" applyFont="1" applyBorder="1" applyAlignment="1">
      <alignment horizontal="center"/>
    </xf>
    <xf numFmtId="165" fontId="68" fillId="0" borderId="127" xfId="1" applyNumberFormat="1" applyFont="1" applyBorder="1" applyAlignment="1">
      <alignment horizontal="center"/>
    </xf>
    <xf numFmtId="165" fontId="68" fillId="0" borderId="71" xfId="1" applyNumberFormat="1" applyFont="1" applyFill="1" applyBorder="1" applyAlignment="1">
      <alignment horizontal="center"/>
    </xf>
    <xf numFmtId="165" fontId="68" fillId="0" borderId="8" xfId="1" applyNumberFormat="1" applyFont="1" applyFill="1" applyBorder="1" applyAlignment="1">
      <alignment horizontal="center"/>
    </xf>
    <xf numFmtId="165" fontId="68" fillId="0" borderId="138" xfId="1" applyNumberFormat="1" applyFont="1" applyFill="1" applyBorder="1" applyAlignment="1">
      <alignment horizontal="center"/>
    </xf>
    <xf numFmtId="165" fontId="68" fillId="0" borderId="141" xfId="1" applyNumberFormat="1" applyFont="1" applyFill="1" applyBorder="1" applyAlignment="1">
      <alignment horizontal="center"/>
    </xf>
    <xf numFmtId="165" fontId="68" fillId="0" borderId="127" xfId="1" applyNumberFormat="1" applyFont="1" applyFill="1" applyBorder="1" applyAlignment="1">
      <alignment horizontal="center"/>
    </xf>
    <xf numFmtId="165" fontId="68" fillId="21" borderId="137" xfId="1" applyNumberFormat="1" applyFont="1" applyFill="1" applyBorder="1" applyAlignment="1">
      <alignment horizontal="center"/>
    </xf>
    <xf numFmtId="165" fontId="68" fillId="29" borderId="8" xfId="1" applyNumberFormat="1" applyFont="1" applyFill="1" applyBorder="1" applyAlignment="1">
      <alignment horizontal="center"/>
    </xf>
    <xf numFmtId="165" fontId="68" fillId="0" borderId="13" xfId="1" applyNumberFormat="1" applyFont="1" applyBorder="1"/>
    <xf numFmtId="165" fontId="77" fillId="0" borderId="13" xfId="1" applyNumberFormat="1" applyFont="1" applyBorder="1" applyAlignment="1">
      <alignment vertical="center"/>
    </xf>
    <xf numFmtId="165" fontId="77" fillId="0" borderId="85" xfId="1" applyNumberFormat="1" applyFont="1" applyBorder="1" applyAlignment="1">
      <alignment vertical="center"/>
    </xf>
    <xf numFmtId="165" fontId="77" fillId="0" borderId="13" xfId="1" applyNumberFormat="1" applyFont="1" applyBorder="1" applyAlignment="1">
      <alignment horizontal="left" vertical="center"/>
    </xf>
    <xf numFmtId="165" fontId="77" fillId="0" borderId="13" xfId="1" applyNumberFormat="1" applyFont="1" applyBorder="1" applyAlignment="1">
      <alignment horizontal="center" vertical="center"/>
    </xf>
    <xf numFmtId="165" fontId="77" fillId="0" borderId="62" xfId="1" applyNumberFormat="1" applyFont="1" applyBorder="1" applyAlignment="1">
      <alignment horizontal="center" vertical="center"/>
    </xf>
    <xf numFmtId="165" fontId="68" fillId="0" borderId="74" xfId="1" applyNumberFormat="1" applyFont="1" applyBorder="1" applyAlignment="1">
      <alignment horizontal="center"/>
    </xf>
    <xf numFmtId="165" fontId="68" fillId="0" borderId="10" xfId="1" applyNumberFormat="1" applyFont="1" applyBorder="1" applyAlignment="1">
      <alignment horizontal="center"/>
    </xf>
    <xf numFmtId="165" fontId="68" fillId="0" borderId="43" xfId="1" applyNumberFormat="1" applyFont="1" applyBorder="1" applyAlignment="1">
      <alignment horizontal="center"/>
    </xf>
    <xf numFmtId="165" fontId="68" fillId="29" borderId="74" xfId="1" applyNumberFormat="1" applyFont="1" applyFill="1" applyBorder="1" applyAlignment="1">
      <alignment horizontal="center"/>
    </xf>
    <xf numFmtId="165" fontId="68" fillId="0" borderId="11" xfId="1" applyNumberFormat="1" applyFont="1" applyBorder="1" applyAlignment="1">
      <alignment horizontal="center"/>
    </xf>
    <xf numFmtId="165" fontId="68" fillId="0" borderId="12" xfId="1" applyNumberFormat="1" applyFont="1" applyBorder="1" applyAlignment="1">
      <alignment horizontal="center"/>
    </xf>
    <xf numFmtId="165" fontId="68" fillId="0" borderId="10" xfId="1" applyNumberFormat="1" applyFont="1" applyFill="1" applyBorder="1" applyAlignment="1">
      <alignment horizontal="center"/>
    </xf>
    <xf numFmtId="165" fontId="68" fillId="0" borderId="11" xfId="1" applyNumberFormat="1" applyFont="1" applyFill="1" applyBorder="1" applyAlignment="1">
      <alignment horizontal="center"/>
    </xf>
    <xf numFmtId="165" fontId="68" fillId="0" borderId="43" xfId="1" applyNumberFormat="1" applyFont="1" applyFill="1" applyBorder="1" applyAlignment="1">
      <alignment horizontal="center"/>
    </xf>
    <xf numFmtId="165" fontId="68" fillId="0" borderId="74" xfId="1" applyNumberFormat="1" applyFont="1" applyFill="1" applyBorder="1" applyAlignment="1">
      <alignment horizontal="center"/>
    </xf>
    <xf numFmtId="165" fontId="68" fillId="29" borderId="11" xfId="1" applyNumberFormat="1" applyFont="1" applyFill="1" applyBorder="1" applyAlignment="1">
      <alignment horizontal="center"/>
    </xf>
    <xf numFmtId="0" fontId="68" fillId="0" borderId="17" xfId="1" applyFont="1" applyBorder="1" applyAlignment="1">
      <alignment horizontal="center" vertical="center"/>
    </xf>
    <xf numFmtId="0" fontId="68" fillId="0" borderId="22" xfId="1" applyFont="1" applyBorder="1"/>
    <xf numFmtId="165" fontId="77" fillId="0" borderId="2" xfId="1" applyNumberFormat="1" applyFont="1" applyBorder="1" applyAlignment="1">
      <alignment horizontal="center"/>
    </xf>
    <xf numFmtId="165" fontId="77" fillId="0" borderId="26" xfId="1" applyNumberFormat="1" applyFont="1" applyBorder="1" applyAlignment="1">
      <alignment horizontal="center"/>
    </xf>
    <xf numFmtId="165" fontId="77" fillId="0" borderId="75" xfId="1" applyNumberFormat="1" applyFont="1" applyBorder="1" applyAlignment="1">
      <alignment horizontal="center"/>
    </xf>
    <xf numFmtId="165" fontId="77" fillId="0" borderId="64" xfId="1" applyNumberFormat="1" applyFont="1" applyBorder="1" applyAlignment="1">
      <alignment horizontal="center"/>
    </xf>
    <xf numFmtId="165" fontId="77" fillId="0" borderId="3" xfId="1" applyNumberFormat="1" applyFont="1" applyBorder="1" applyAlignment="1">
      <alignment horizontal="center"/>
    </xf>
    <xf numFmtId="165" fontId="77" fillId="22" borderId="75" xfId="1" applyNumberFormat="1" applyFont="1" applyFill="1" applyBorder="1" applyAlignment="1">
      <alignment horizontal="center"/>
    </xf>
    <xf numFmtId="165" fontId="77" fillId="22" borderId="2" xfId="1" applyNumberFormat="1" applyFont="1" applyFill="1" applyBorder="1" applyAlignment="1">
      <alignment horizontal="center"/>
    </xf>
    <xf numFmtId="165" fontId="77" fillId="0" borderId="95" xfId="1" applyNumberFormat="1" applyFont="1" applyBorder="1" applyAlignment="1">
      <alignment horizontal="center"/>
    </xf>
    <xf numFmtId="165" fontId="77" fillId="25" borderId="2" xfId="1" applyNumberFormat="1" applyFont="1" applyFill="1" applyBorder="1" applyAlignment="1">
      <alignment horizontal="center"/>
    </xf>
    <xf numFmtId="165" fontId="77" fillId="25" borderId="10" xfId="1" applyNumberFormat="1" applyFont="1" applyFill="1" applyBorder="1" applyAlignment="1">
      <alignment horizontal="center"/>
    </xf>
    <xf numFmtId="165" fontId="77" fillId="25" borderId="75" xfId="1" applyNumberFormat="1" applyFont="1" applyFill="1" applyBorder="1" applyAlignment="1">
      <alignment horizontal="center"/>
    </xf>
    <xf numFmtId="165" fontId="77" fillId="0" borderId="75" xfId="1" applyNumberFormat="1" applyFont="1" applyFill="1" applyBorder="1" applyAlignment="1">
      <alignment horizontal="center"/>
    </xf>
    <xf numFmtId="0" fontId="68" fillId="0" borderId="18" xfId="1" applyFont="1" applyBorder="1" applyAlignment="1">
      <alignment horizontal="center" vertical="center"/>
    </xf>
    <xf numFmtId="0" fontId="68" fillId="0" borderId="18" xfId="1" applyFont="1" applyBorder="1" applyAlignment="1">
      <alignment horizontal="center"/>
    </xf>
    <xf numFmtId="0" fontId="68" fillId="0" borderId="50" xfId="1" applyFont="1" applyBorder="1" applyAlignment="1">
      <alignment horizontal="center"/>
    </xf>
    <xf numFmtId="0" fontId="68" fillId="0" borderId="31" xfId="1" applyFont="1" applyBorder="1" applyAlignment="1">
      <alignment horizontal="center"/>
    </xf>
    <xf numFmtId="0" fontId="68" fillId="0" borderId="48" xfId="1" applyFont="1" applyBorder="1" applyAlignment="1">
      <alignment horizontal="center"/>
    </xf>
    <xf numFmtId="49" fontId="68" fillId="0" borderId="19" xfId="1" applyNumberFormat="1" applyFont="1" applyBorder="1" applyAlignment="1">
      <alignment horizontal="center"/>
    </xf>
    <xf numFmtId="49" fontId="68" fillId="0" borderId="82" xfId="1" applyNumberFormat="1" applyFont="1" applyBorder="1" applyAlignment="1">
      <alignment horizontal="center"/>
    </xf>
    <xf numFmtId="49" fontId="68" fillId="0" borderId="86" xfId="1" applyNumberFormat="1" applyFont="1" applyBorder="1" applyAlignment="1">
      <alignment horizontal="center"/>
    </xf>
    <xf numFmtId="49" fontId="68" fillId="0" borderId="92" xfId="1" applyNumberFormat="1" applyFont="1" applyBorder="1" applyAlignment="1">
      <alignment horizontal="center"/>
    </xf>
    <xf numFmtId="49" fontId="68" fillId="0" borderId="97" xfId="1" applyNumberFormat="1" applyFont="1" applyBorder="1" applyAlignment="1">
      <alignment horizontal="center"/>
    </xf>
    <xf numFmtId="49" fontId="77" fillId="0" borderId="52" xfId="1" applyNumberFormat="1" applyFont="1" applyBorder="1" applyAlignment="1">
      <alignment horizontal="center"/>
    </xf>
    <xf numFmtId="49" fontId="77" fillId="0" borderId="82" xfId="1" applyNumberFormat="1" applyFont="1" applyBorder="1" applyAlignment="1">
      <alignment horizontal="center"/>
    </xf>
    <xf numFmtId="49" fontId="77" fillId="0" borderId="97" xfId="1" applyNumberFormat="1" applyFont="1" applyBorder="1" applyAlignment="1">
      <alignment horizontal="center"/>
    </xf>
    <xf numFmtId="49" fontId="77" fillId="0" borderId="44" xfId="1" applyNumberFormat="1" applyFont="1" applyBorder="1" applyAlignment="1">
      <alignment horizontal="center"/>
    </xf>
    <xf numFmtId="49" fontId="77" fillId="0" borderId="19" xfId="1" applyNumberFormat="1" applyFont="1" applyBorder="1" applyAlignment="1">
      <alignment horizontal="center"/>
    </xf>
    <xf numFmtId="49" fontId="77" fillId="0" borderId="4" xfId="1" applyNumberFormat="1" applyFont="1" applyBorder="1" applyAlignment="1">
      <alignment horizontal="center"/>
    </xf>
    <xf numFmtId="49" fontId="77" fillId="0" borderId="1" xfId="1" applyNumberFormat="1" applyFont="1" applyBorder="1" applyAlignment="1">
      <alignment horizontal="center"/>
    </xf>
    <xf numFmtId="49" fontId="77" fillId="0" borderId="63" xfId="1" applyNumberFormat="1" applyFont="1" applyBorder="1" applyAlignment="1">
      <alignment horizontal="center"/>
    </xf>
    <xf numFmtId="49" fontId="77" fillId="0" borderId="53" xfId="1" applyNumberFormat="1" applyFont="1" applyBorder="1" applyAlignment="1">
      <alignment horizontal="center"/>
    </xf>
    <xf numFmtId="49" fontId="77" fillId="22" borderId="19" xfId="1" applyNumberFormat="1" applyFont="1" applyFill="1" applyBorder="1" applyAlignment="1">
      <alignment horizontal="center"/>
    </xf>
    <xf numFmtId="49" fontId="77" fillId="22" borderId="52" xfId="1" applyNumberFormat="1" applyFont="1" applyFill="1" applyBorder="1" applyAlignment="1">
      <alignment horizontal="center"/>
    </xf>
    <xf numFmtId="49" fontId="77" fillId="25" borderId="52" xfId="1" applyNumberFormat="1" applyFont="1" applyFill="1" applyBorder="1" applyAlignment="1">
      <alignment horizontal="center"/>
    </xf>
    <xf numFmtId="49" fontId="77" fillId="28" borderId="53" xfId="1" applyNumberFormat="1" applyFont="1" applyFill="1" applyBorder="1" applyAlignment="1">
      <alignment horizontal="center"/>
    </xf>
    <xf numFmtId="49" fontId="77" fillId="28" borderId="52" xfId="1" applyNumberFormat="1" applyFont="1" applyFill="1" applyBorder="1" applyAlignment="1">
      <alignment horizontal="center"/>
    </xf>
    <xf numFmtId="49" fontId="77" fillId="28" borderId="82" xfId="1" applyNumberFormat="1" applyFont="1" applyFill="1" applyBorder="1" applyAlignment="1">
      <alignment horizontal="center"/>
    </xf>
    <xf numFmtId="49" fontId="77" fillId="0" borderId="63" xfId="1" applyNumberFormat="1" applyFont="1" applyFill="1" applyBorder="1" applyAlignment="1">
      <alignment horizontal="center"/>
    </xf>
    <xf numFmtId="49" fontId="77" fillId="0" borderId="19" xfId="1" applyNumberFormat="1" applyFont="1" applyFill="1" applyBorder="1" applyAlignment="1">
      <alignment horizontal="center"/>
    </xf>
    <xf numFmtId="49" fontId="77" fillId="0" borderId="52" xfId="1" applyNumberFormat="1" applyFont="1" applyFill="1" applyBorder="1" applyAlignment="1">
      <alignment horizontal="center"/>
    </xf>
    <xf numFmtId="49" fontId="77" fillId="0" borderId="97" xfId="1" applyNumberFormat="1" applyFont="1" applyFill="1" applyBorder="1" applyAlignment="1">
      <alignment horizontal="center"/>
    </xf>
    <xf numFmtId="49" fontId="77" fillId="0" borderId="44" xfId="1" applyNumberFormat="1" applyFont="1" applyFill="1" applyBorder="1" applyAlignment="1">
      <alignment horizontal="center"/>
    </xf>
    <xf numFmtId="49" fontId="77" fillId="28" borderId="19" xfId="1" applyNumberFormat="1" applyFont="1" applyFill="1" applyBorder="1" applyAlignment="1">
      <alignment horizontal="center"/>
    </xf>
    <xf numFmtId="49" fontId="77" fillId="29" borderId="82" xfId="1" applyNumberFormat="1" applyFont="1" applyFill="1" applyBorder="1" applyAlignment="1">
      <alignment horizontal="center"/>
    </xf>
    <xf numFmtId="49" fontId="68" fillId="0" borderId="44" xfId="1" applyNumberFormat="1" applyFont="1" applyBorder="1" applyAlignment="1">
      <alignment horizontal="center"/>
    </xf>
    <xf numFmtId="49" fontId="68" fillId="29" borderId="19" xfId="1" applyNumberFormat="1" applyFont="1" applyFill="1" applyBorder="1" applyAlignment="1">
      <alignment horizontal="center"/>
    </xf>
    <xf numFmtId="49" fontId="68" fillId="0" borderId="52" xfId="1" applyNumberFormat="1" applyFont="1" applyBorder="1" applyAlignment="1">
      <alignment horizontal="center"/>
    </xf>
    <xf numFmtId="49" fontId="68" fillId="0" borderId="53" xfId="1" applyNumberFormat="1" applyFont="1" applyBorder="1" applyAlignment="1">
      <alignment horizontal="center"/>
    </xf>
    <xf numFmtId="49" fontId="68" fillId="0" borderId="82" xfId="1" applyNumberFormat="1" applyFont="1" applyFill="1" applyBorder="1" applyAlignment="1">
      <alignment horizontal="center"/>
    </xf>
    <xf numFmtId="49" fontId="68" fillId="0" borderId="97" xfId="1" applyNumberFormat="1" applyFont="1" applyFill="1" applyBorder="1" applyAlignment="1">
      <alignment horizontal="center"/>
    </xf>
    <xf numFmtId="49" fontId="68" fillId="0" borderId="44" xfId="1" applyNumberFormat="1" applyFont="1" applyFill="1" applyBorder="1" applyAlignment="1">
      <alignment horizontal="center"/>
    </xf>
    <xf numFmtId="49" fontId="68" fillId="0" borderId="19" xfId="1" applyNumberFormat="1" applyFont="1" applyFill="1" applyBorder="1" applyAlignment="1">
      <alignment horizontal="center"/>
    </xf>
    <xf numFmtId="49" fontId="68" fillId="0" borderId="52" xfId="1" applyNumberFormat="1" applyFont="1" applyFill="1" applyBorder="1" applyAlignment="1">
      <alignment horizontal="center"/>
    </xf>
    <xf numFmtId="49" fontId="68" fillId="29" borderId="97" xfId="1" applyNumberFormat="1" applyFont="1" applyFill="1" applyBorder="1" applyAlignment="1">
      <alignment horizontal="center"/>
    </xf>
    <xf numFmtId="0" fontId="76" fillId="21" borderId="0" xfId="1" applyFont="1" applyFill="1" applyAlignment="1">
      <alignment horizontal="center" shrinkToFit="1"/>
    </xf>
    <xf numFmtId="0" fontId="69" fillId="0" borderId="60" xfId="1" applyFont="1" applyBorder="1" applyAlignment="1">
      <alignment horizontal="center" shrinkToFit="1"/>
    </xf>
    <xf numFmtId="164" fontId="69" fillId="2" borderId="83" xfId="1" applyNumberFormat="1" applyFont="1" applyFill="1" applyBorder="1" applyAlignment="1">
      <alignment shrinkToFit="1"/>
    </xf>
    <xf numFmtId="164" fontId="69" fillId="2" borderId="93" xfId="1" applyNumberFormat="1" applyFont="1" applyFill="1" applyBorder="1" applyAlignment="1">
      <alignment shrinkToFit="1"/>
    </xf>
    <xf numFmtId="164" fontId="76" fillId="2" borderId="83" xfId="1" applyNumberFormat="1" applyFont="1" applyFill="1" applyBorder="1" applyAlignment="1">
      <alignment shrinkToFit="1"/>
    </xf>
    <xf numFmtId="164" fontId="76" fillId="2" borderId="93" xfId="1" applyNumberFormat="1" applyFont="1" applyFill="1" applyBorder="1" applyAlignment="1">
      <alignment shrinkToFit="1"/>
    </xf>
    <xf numFmtId="164" fontId="76" fillId="2" borderId="88" xfId="1" applyNumberFormat="1" applyFont="1" applyFill="1" applyBorder="1" applyAlignment="1">
      <alignment shrinkToFit="1"/>
    </xf>
    <xf numFmtId="164" fontId="76" fillId="2" borderId="99" xfId="1" applyNumberFormat="1" applyFont="1" applyFill="1" applyBorder="1" applyAlignment="1">
      <alignment shrinkToFit="1"/>
    </xf>
    <xf numFmtId="164" fontId="76" fillId="2" borderId="87" xfId="1" applyNumberFormat="1" applyFont="1" applyFill="1" applyBorder="1" applyAlignment="1">
      <alignment shrinkToFit="1"/>
    </xf>
    <xf numFmtId="164" fontId="76" fillId="2" borderId="112" xfId="1" applyNumberFormat="1" applyFont="1" applyFill="1" applyBorder="1" applyAlignment="1">
      <alignment shrinkToFit="1"/>
    </xf>
    <xf numFmtId="164" fontId="76" fillId="29" borderId="99" xfId="1" applyNumberFormat="1" applyFont="1" applyFill="1" applyBorder="1" applyAlignment="1">
      <alignment shrinkToFit="1"/>
    </xf>
    <xf numFmtId="164" fontId="76" fillId="29" borderId="88" xfId="1" applyNumberFormat="1" applyFont="1" applyFill="1" applyBorder="1" applyAlignment="1">
      <alignment shrinkToFit="1"/>
    </xf>
    <xf numFmtId="164" fontId="76" fillId="29" borderId="87" xfId="1" applyNumberFormat="1" applyFont="1" applyFill="1" applyBorder="1" applyAlignment="1">
      <alignment shrinkToFit="1"/>
    </xf>
    <xf numFmtId="164" fontId="76" fillId="29" borderId="96" xfId="1" applyNumberFormat="1" applyFont="1" applyFill="1" applyBorder="1" applyAlignment="1">
      <alignment shrinkToFit="1"/>
    </xf>
    <xf numFmtId="164" fontId="76" fillId="29" borderId="112" xfId="1" applyNumberFormat="1" applyFont="1" applyFill="1" applyBorder="1" applyAlignment="1">
      <alignment shrinkToFit="1"/>
    </xf>
    <xf numFmtId="0" fontId="68" fillId="0" borderId="0" xfId="1" applyFont="1" applyAlignment="1">
      <alignment shrinkToFit="1"/>
    </xf>
    <xf numFmtId="0" fontId="76" fillId="0" borderId="51" xfId="1" applyFont="1" applyBorder="1" applyAlignment="1">
      <alignment horizontal="center" shrinkToFit="1"/>
    </xf>
    <xf numFmtId="0" fontId="69" fillId="0" borderId="46" xfId="1" applyFont="1" applyBorder="1" applyAlignment="1">
      <alignment horizontal="center" shrinkToFit="1"/>
    </xf>
    <xf numFmtId="164" fontId="68" fillId="0" borderId="76" xfId="1" applyNumberFormat="1" applyFont="1" applyBorder="1" applyAlignment="1">
      <alignment shrinkToFit="1"/>
    </xf>
    <xf numFmtId="164" fontId="68" fillId="0" borderId="24" xfId="1" applyNumberFormat="1" applyFont="1" applyBorder="1" applyAlignment="1">
      <alignment shrinkToFit="1"/>
    </xf>
    <xf numFmtId="164" fontId="68" fillId="0" borderId="25" xfId="1" applyNumberFormat="1" applyFont="1" applyBorder="1" applyAlignment="1">
      <alignment shrinkToFit="1"/>
    </xf>
    <xf numFmtId="164" fontId="68" fillId="0" borderId="81" xfId="1" applyNumberFormat="1" applyFont="1" applyBorder="1" applyAlignment="1">
      <alignment shrinkToFit="1"/>
    </xf>
    <xf numFmtId="164" fontId="68" fillId="0" borderId="73" xfId="1" applyNumberFormat="1" applyFont="1" applyBorder="1" applyAlignment="1">
      <alignment shrinkToFit="1"/>
    </xf>
    <xf numFmtId="164" fontId="68" fillId="28" borderId="73" xfId="1" applyNumberFormat="1" applyFont="1" applyFill="1" applyBorder="1" applyAlignment="1">
      <alignment shrinkToFit="1"/>
    </xf>
    <xf numFmtId="164" fontId="68" fillId="0" borderId="77" xfId="1" applyNumberFormat="1" applyFont="1" applyBorder="1" applyAlignment="1">
      <alignment shrinkToFit="1"/>
    </xf>
    <xf numFmtId="164" fontId="68" fillId="0" borderId="78" xfId="1" applyNumberFormat="1" applyFont="1" applyBorder="1" applyAlignment="1">
      <alignment shrinkToFit="1"/>
    </xf>
    <xf numFmtId="164" fontId="68" fillId="0" borderId="92" xfId="1" applyNumberFormat="1" applyFont="1" applyBorder="1" applyAlignment="1">
      <alignment shrinkToFit="1"/>
    </xf>
    <xf numFmtId="164" fontId="68" fillId="0" borderId="86" xfId="1" applyNumberFormat="1" applyFont="1" applyBorder="1" applyAlignment="1">
      <alignment shrinkToFit="1"/>
    </xf>
    <xf numFmtId="164" fontId="68" fillId="0" borderId="102" xfId="1" applyNumberFormat="1" applyFont="1" applyBorder="1" applyAlignment="1">
      <alignment shrinkToFit="1"/>
    </xf>
    <xf numFmtId="164" fontId="68" fillId="0" borderId="105" xfId="1" applyNumberFormat="1" applyFont="1" applyBorder="1" applyAlignment="1">
      <alignment shrinkToFit="1"/>
    </xf>
    <xf numFmtId="164" fontId="68" fillId="0" borderId="6" xfId="1" applyNumberFormat="1" applyFont="1" applyBorder="1" applyAlignment="1">
      <alignment shrinkToFit="1"/>
    </xf>
    <xf numFmtId="164" fontId="68" fillId="0" borderId="104" xfId="1" applyNumberFormat="1" applyFont="1" applyBorder="1" applyAlignment="1">
      <alignment shrinkToFit="1"/>
    </xf>
    <xf numFmtId="164" fontId="68" fillId="0" borderId="7" xfId="1" applyNumberFormat="1" applyFont="1" applyBorder="1" applyAlignment="1">
      <alignment shrinkToFit="1"/>
    </xf>
    <xf numFmtId="164" fontId="68" fillId="0" borderId="100" xfId="1" applyNumberFormat="1" applyFont="1" applyBorder="1" applyAlignment="1">
      <alignment shrinkToFit="1"/>
    </xf>
    <xf numFmtId="164" fontId="68" fillId="0" borderId="101" xfId="1" applyNumberFormat="1" applyFont="1" applyBorder="1" applyAlignment="1">
      <alignment shrinkToFit="1"/>
    </xf>
    <xf numFmtId="164" fontId="68" fillId="0" borderId="103" xfId="1" applyNumberFormat="1" applyFont="1" applyBorder="1" applyAlignment="1">
      <alignment shrinkToFit="1"/>
    </xf>
    <xf numFmtId="164" fontId="68" fillId="0" borderId="117" xfId="1" applyNumberFormat="1" applyFont="1" applyBorder="1" applyAlignment="1">
      <alignment shrinkToFit="1"/>
    </xf>
    <xf numFmtId="164" fontId="68" fillId="0" borderId="141" xfId="1" applyNumberFormat="1" applyFont="1" applyBorder="1" applyAlignment="1">
      <alignment shrinkToFit="1"/>
    </xf>
    <xf numFmtId="164" fontId="68" fillId="0" borderId="71" xfId="1" applyNumberFormat="1" applyFont="1" applyBorder="1" applyAlignment="1">
      <alignment shrinkToFit="1"/>
    </xf>
    <xf numFmtId="164" fontId="68" fillId="0" borderId="142" xfId="1" applyNumberFormat="1" applyFont="1" applyBorder="1" applyAlignment="1">
      <alignment shrinkToFit="1"/>
    </xf>
    <xf numFmtId="164" fontId="68" fillId="0" borderId="9" xfId="1" applyNumberFormat="1" applyFont="1" applyBorder="1" applyAlignment="1">
      <alignment shrinkToFit="1"/>
    </xf>
    <xf numFmtId="164" fontId="68" fillId="0" borderId="8" xfId="1" applyNumberFormat="1" applyFont="1" applyBorder="1" applyAlignment="1">
      <alignment shrinkToFit="1"/>
    </xf>
    <xf numFmtId="49" fontId="69" fillId="0" borderId="17" xfId="1" applyNumberFormat="1" applyFont="1" applyBorder="1" applyAlignment="1">
      <alignment shrinkToFit="1"/>
    </xf>
    <xf numFmtId="164" fontId="69" fillId="2" borderId="41" xfId="1" applyNumberFormat="1" applyFont="1" applyFill="1" applyBorder="1" applyAlignment="1">
      <alignment shrinkToFit="1"/>
    </xf>
    <xf numFmtId="164" fontId="76" fillId="2" borderId="118" xfId="1" applyNumberFormat="1" applyFont="1" applyFill="1" applyBorder="1" applyAlignment="1">
      <alignment shrinkToFit="1"/>
    </xf>
    <xf numFmtId="164" fontId="76" fillId="29" borderId="111" xfId="1" applyNumberFormat="1" applyFont="1" applyFill="1" applyBorder="1" applyAlignment="1">
      <alignment shrinkToFit="1"/>
    </xf>
    <xf numFmtId="164" fontId="76" fillId="29" borderId="128" xfId="1" applyNumberFormat="1" applyFont="1" applyFill="1" applyBorder="1" applyAlignment="1">
      <alignment shrinkToFit="1"/>
    </xf>
    <xf numFmtId="164" fontId="68" fillId="0" borderId="23" xfId="1" applyNumberFormat="1" applyFont="1" applyBorder="1" applyAlignment="1">
      <alignment shrinkToFit="1"/>
    </xf>
    <xf numFmtId="164" fontId="68" fillId="0" borderId="46" xfId="1" applyNumberFormat="1" applyFont="1" applyBorder="1" applyAlignment="1">
      <alignment shrinkToFit="1"/>
    </xf>
    <xf numFmtId="164" fontId="68" fillId="0" borderId="72" xfId="1" applyNumberFormat="1" applyFont="1" applyBorder="1" applyAlignment="1">
      <alignment shrinkToFit="1"/>
    </xf>
    <xf numFmtId="164" fontId="68" fillId="0" borderId="51" xfId="1" applyNumberFormat="1" applyFont="1" applyBorder="1" applyAlignment="1">
      <alignment shrinkToFit="1"/>
    </xf>
    <xf numFmtId="164" fontId="68" fillId="22" borderId="76" xfId="1" applyNumberFormat="1" applyFont="1" applyFill="1" applyBorder="1" applyAlignment="1">
      <alignment shrinkToFit="1"/>
    </xf>
    <xf numFmtId="164" fontId="68" fillId="0" borderId="108" xfId="1" applyNumberFormat="1" applyFont="1" applyBorder="1" applyAlignment="1">
      <alignment shrinkToFit="1"/>
    </xf>
    <xf numFmtId="164" fontId="68" fillId="0" borderId="94" xfId="1" applyNumberFormat="1" applyFont="1" applyBorder="1" applyAlignment="1">
      <alignment shrinkToFit="1"/>
    </xf>
    <xf numFmtId="164" fontId="76" fillId="2" borderId="21" xfId="1" applyNumberFormat="1" applyFont="1" applyFill="1" applyBorder="1" applyAlignment="1">
      <alignment shrinkToFit="1"/>
    </xf>
    <xf numFmtId="0" fontId="68" fillId="0" borderId="17" xfId="1" applyFont="1" applyBorder="1" applyAlignment="1">
      <alignment shrinkToFit="1"/>
    </xf>
    <xf numFmtId="164" fontId="68" fillId="0" borderId="5" xfId="1" applyNumberFormat="1" applyFont="1" applyBorder="1" applyAlignment="1">
      <alignment shrinkToFit="1"/>
    </xf>
    <xf numFmtId="164" fontId="68" fillId="0" borderId="91" xfId="1" applyNumberFormat="1" applyFont="1" applyBorder="1" applyAlignment="1">
      <alignment shrinkToFit="1"/>
    </xf>
    <xf numFmtId="164" fontId="68" fillId="0" borderId="98" xfId="1" applyNumberFormat="1" applyFont="1" applyBorder="1" applyAlignment="1">
      <alignment shrinkToFit="1"/>
    </xf>
    <xf numFmtId="164" fontId="68" fillId="0" borderId="135" xfId="1" applyNumberFormat="1" applyFont="1" applyBorder="1" applyAlignment="1">
      <alignment shrinkToFit="1"/>
    </xf>
    <xf numFmtId="164" fontId="68" fillId="0" borderId="48" xfId="1" applyNumberFormat="1" applyFont="1" applyBorder="1" applyAlignment="1">
      <alignment shrinkToFit="1"/>
    </xf>
    <xf numFmtId="164" fontId="68" fillId="0" borderId="139" xfId="1" applyNumberFormat="1" applyFont="1" applyBorder="1" applyAlignment="1">
      <alignment shrinkToFit="1"/>
    </xf>
    <xf numFmtId="164" fontId="68" fillId="22" borderId="7" xfId="1" applyNumberFormat="1" applyFont="1" applyFill="1" applyBorder="1" applyAlignment="1">
      <alignment shrinkToFit="1"/>
    </xf>
    <xf numFmtId="164" fontId="76" fillId="2" borderId="96" xfId="1" applyNumberFormat="1" applyFont="1" applyFill="1" applyBorder="1" applyAlignment="1">
      <alignment shrinkToFit="1"/>
    </xf>
    <xf numFmtId="164" fontId="76" fillId="2" borderId="111" xfId="1" applyNumberFormat="1" applyFont="1" applyFill="1" applyBorder="1" applyAlignment="1">
      <alignment shrinkToFit="1"/>
    </xf>
    <xf numFmtId="164" fontId="76" fillId="2" borderId="128" xfId="1" applyNumberFormat="1" applyFont="1" applyFill="1" applyBorder="1" applyAlignment="1">
      <alignment shrinkToFit="1"/>
    </xf>
    <xf numFmtId="164" fontId="76" fillId="21" borderId="87" xfId="1" applyNumberFormat="1" applyFont="1" applyFill="1" applyBorder="1" applyAlignment="1">
      <alignment shrinkToFit="1"/>
    </xf>
    <xf numFmtId="164" fontId="76" fillId="21" borderId="88" xfId="1" applyNumberFormat="1" applyFont="1" applyFill="1" applyBorder="1" applyAlignment="1">
      <alignment shrinkToFit="1"/>
    </xf>
    <xf numFmtId="164" fontId="76" fillId="21" borderId="99" xfId="1" applyNumberFormat="1" applyFont="1" applyFill="1" applyBorder="1" applyAlignment="1">
      <alignment shrinkToFit="1"/>
    </xf>
    <xf numFmtId="164" fontId="76" fillId="21" borderId="96" xfId="1" applyNumberFormat="1" applyFont="1" applyFill="1" applyBorder="1" applyAlignment="1">
      <alignment shrinkToFit="1"/>
    </xf>
    <xf numFmtId="164" fontId="76" fillId="26" borderId="88" xfId="1" applyNumberFormat="1" applyFont="1" applyFill="1" applyBorder="1" applyAlignment="1">
      <alignment shrinkToFit="1"/>
    </xf>
    <xf numFmtId="164" fontId="76" fillId="26" borderId="96" xfId="1" applyNumberFormat="1" applyFont="1" applyFill="1" applyBorder="1" applyAlignment="1">
      <alignment shrinkToFit="1"/>
    </xf>
    <xf numFmtId="164" fontId="76" fillId="26" borderId="87" xfId="1" applyNumberFormat="1" applyFont="1" applyFill="1" applyBorder="1" applyAlignment="1">
      <alignment shrinkToFit="1"/>
    </xf>
    <xf numFmtId="164" fontId="76" fillId="26" borderId="99" xfId="1" applyNumberFormat="1" applyFont="1" applyFill="1" applyBorder="1" applyAlignment="1">
      <alignment shrinkToFit="1"/>
    </xf>
    <xf numFmtId="164" fontId="68" fillId="22" borderId="77" xfId="1" applyNumberFormat="1" applyFont="1" applyFill="1" applyBorder="1" applyAlignment="1">
      <alignment shrinkToFit="1"/>
    </xf>
    <xf numFmtId="164" fontId="69" fillId="2" borderId="107" xfId="1" applyNumberFormat="1" applyFont="1" applyFill="1" applyBorder="1" applyAlignment="1">
      <alignment shrinkToFit="1"/>
    </xf>
    <xf numFmtId="164" fontId="76" fillId="2" borderId="106" xfId="1" applyNumberFormat="1" applyFont="1" applyFill="1" applyBorder="1" applyAlignment="1">
      <alignment shrinkToFit="1"/>
    </xf>
    <xf numFmtId="164" fontId="76" fillId="2" borderId="107" xfId="1" applyNumberFormat="1" applyFont="1" applyFill="1" applyBorder="1" applyAlignment="1">
      <alignment shrinkToFit="1"/>
    </xf>
    <xf numFmtId="164" fontId="69" fillId="2" borderId="106" xfId="1" applyNumberFormat="1" applyFont="1" applyFill="1" applyBorder="1" applyAlignment="1">
      <alignment shrinkToFit="1"/>
    </xf>
    <xf numFmtId="164" fontId="68" fillId="0" borderId="2" xfId="1" applyNumberFormat="1" applyFont="1" applyBorder="1" applyAlignment="1">
      <alignment shrinkToFit="1"/>
    </xf>
    <xf numFmtId="164" fontId="68" fillId="0" borderId="4" xfId="1" applyNumberFormat="1" applyFont="1" applyBorder="1" applyAlignment="1">
      <alignment shrinkToFit="1"/>
    </xf>
    <xf numFmtId="164" fontId="68" fillId="22" borderId="4" xfId="1" applyNumberFormat="1" applyFont="1" applyFill="1" applyBorder="1" applyAlignment="1">
      <alignment shrinkToFit="1"/>
    </xf>
    <xf numFmtId="164" fontId="68" fillId="0" borderId="1" xfId="1" applyNumberFormat="1" applyFont="1" applyBorder="1" applyAlignment="1">
      <alignment shrinkToFit="1"/>
    </xf>
    <xf numFmtId="164" fontId="76" fillId="26" borderId="112" xfId="1" applyNumberFormat="1" applyFont="1" applyFill="1" applyBorder="1" applyAlignment="1">
      <alignment shrinkToFit="1"/>
    </xf>
    <xf numFmtId="0" fontId="76" fillId="0" borderId="0" xfId="1" applyFont="1" applyAlignment="1">
      <alignment horizontal="center" shrinkToFit="1"/>
    </xf>
    <xf numFmtId="164" fontId="76" fillId="2" borderId="131" xfId="1" applyNumberFormat="1" applyFont="1" applyFill="1" applyBorder="1" applyAlignment="1">
      <alignment shrinkToFit="1"/>
    </xf>
    <xf numFmtId="164" fontId="76" fillId="2" borderId="126" xfId="1" applyNumberFormat="1" applyFont="1" applyFill="1" applyBorder="1" applyAlignment="1">
      <alignment shrinkToFit="1"/>
    </xf>
    <xf numFmtId="164" fontId="76" fillId="2" borderId="127" xfId="1" applyNumberFormat="1" applyFont="1" applyFill="1" applyBorder="1" applyAlignment="1">
      <alignment shrinkToFit="1"/>
    </xf>
    <xf numFmtId="164" fontId="68" fillId="0" borderId="52" xfId="1" applyNumberFormat="1" applyFont="1" applyBorder="1" applyAlignment="1">
      <alignment shrinkToFit="1"/>
    </xf>
    <xf numFmtId="164" fontId="68" fillId="0" borderId="82" xfId="1" applyNumberFormat="1" applyFont="1" applyBorder="1" applyAlignment="1">
      <alignment shrinkToFit="1"/>
    </xf>
    <xf numFmtId="164" fontId="68" fillId="22" borderId="82" xfId="1" applyNumberFormat="1" applyFont="1" applyFill="1" applyBorder="1" applyAlignment="1">
      <alignment shrinkToFit="1"/>
    </xf>
    <xf numFmtId="164" fontId="68" fillId="0" borderId="97" xfId="1" applyNumberFormat="1" applyFont="1" applyBorder="1" applyAlignment="1">
      <alignment shrinkToFit="1"/>
    </xf>
    <xf numFmtId="164" fontId="76" fillId="2" borderId="9" xfId="1" applyNumberFormat="1" applyFont="1" applyFill="1" applyBorder="1" applyAlignment="1">
      <alignment shrinkToFit="1"/>
    </xf>
    <xf numFmtId="164" fontId="76" fillId="2" borderId="71" xfId="1" applyNumberFormat="1" applyFont="1" applyFill="1" applyBorder="1" applyAlignment="1">
      <alignment shrinkToFit="1"/>
    </xf>
    <xf numFmtId="164" fontId="76" fillId="2" borderId="8" xfId="1" applyNumberFormat="1" applyFont="1" applyFill="1" applyBorder="1" applyAlignment="1">
      <alignment shrinkToFit="1"/>
    </xf>
    <xf numFmtId="164" fontId="68" fillId="29" borderId="131" xfId="1" applyNumberFormat="1" applyFont="1" applyFill="1" applyBorder="1" applyAlignment="1">
      <alignment shrinkToFit="1"/>
    </xf>
    <xf numFmtId="164" fontId="68" fillId="29" borderId="126" xfId="1" applyNumberFormat="1" applyFont="1" applyFill="1" applyBorder="1" applyAlignment="1">
      <alignment shrinkToFit="1"/>
    </xf>
    <xf numFmtId="164" fontId="68" fillId="29" borderId="127" xfId="1" applyNumberFormat="1" applyFont="1" applyFill="1" applyBorder="1" applyAlignment="1">
      <alignment shrinkToFit="1"/>
    </xf>
    <xf numFmtId="164" fontId="68" fillId="22" borderId="71" xfId="1" applyNumberFormat="1" applyFont="1" applyFill="1" applyBorder="1" applyAlignment="1">
      <alignment shrinkToFit="1"/>
    </xf>
    <xf numFmtId="164" fontId="68" fillId="0" borderId="131" xfId="1" applyNumberFormat="1" applyFont="1" applyBorder="1" applyAlignment="1">
      <alignment shrinkToFit="1"/>
    </xf>
    <xf numFmtId="164" fontId="68" fillId="0" borderId="126" xfId="1" applyNumberFormat="1" applyFont="1" applyBorder="1" applyAlignment="1">
      <alignment shrinkToFit="1"/>
    </xf>
    <xf numFmtId="164" fontId="68" fillId="22" borderId="126" xfId="1" applyNumberFormat="1" applyFont="1" applyFill="1" applyBorder="1" applyAlignment="1">
      <alignment shrinkToFit="1"/>
    </xf>
    <xf numFmtId="164" fontId="68" fillId="0" borderId="127" xfId="1" applyNumberFormat="1" applyFont="1" applyBorder="1" applyAlignment="1">
      <alignment shrinkToFit="1"/>
    </xf>
    <xf numFmtId="164" fontId="76" fillId="22" borderId="126" xfId="1" applyNumberFormat="1" applyFont="1" applyFill="1" applyBorder="1" applyAlignment="1">
      <alignment shrinkToFit="1"/>
    </xf>
    <xf numFmtId="164" fontId="76" fillId="26" borderId="126" xfId="1" applyNumberFormat="1" applyFont="1" applyFill="1" applyBorder="1" applyAlignment="1">
      <alignment shrinkToFit="1"/>
    </xf>
    <xf numFmtId="164" fontId="68" fillId="0" borderId="140" xfId="1" applyNumberFormat="1" applyFont="1" applyBorder="1" applyAlignment="1">
      <alignment shrinkToFit="1"/>
    </xf>
    <xf numFmtId="49" fontId="69" fillId="0" borderId="27" xfId="1" applyNumberFormat="1" applyFont="1" applyBorder="1" applyAlignment="1">
      <alignment horizontal="center" shrinkToFit="1"/>
    </xf>
    <xf numFmtId="49" fontId="69" fillId="0" borderId="55" xfId="1" applyNumberFormat="1" applyFont="1" applyBorder="1" applyAlignment="1">
      <alignment horizontal="center" shrinkToFit="1"/>
    </xf>
    <xf numFmtId="0" fontId="69" fillId="0" borderId="55" xfId="1" applyFont="1" applyBorder="1" applyAlignment="1">
      <alignment horizontal="center" shrinkToFit="1"/>
    </xf>
    <xf numFmtId="0" fontId="69" fillId="0" borderId="57" xfId="1" applyFont="1" applyBorder="1" applyAlignment="1">
      <alignment horizontal="center" shrinkToFit="1"/>
    </xf>
    <xf numFmtId="164" fontId="69" fillId="0" borderId="58" xfId="1" applyNumberFormat="1" applyFont="1" applyBorder="1" applyAlignment="1">
      <alignment shrinkToFit="1"/>
    </xf>
    <xf numFmtId="164" fontId="69" fillId="0" borderId="89" xfId="1" applyNumberFormat="1" applyFont="1" applyBorder="1" applyAlignment="1">
      <alignment shrinkToFit="1"/>
    </xf>
    <xf numFmtId="164" fontId="69" fillId="0" borderId="123" xfId="1" applyNumberFormat="1" applyFont="1" applyBorder="1" applyAlignment="1">
      <alignment shrinkToFit="1"/>
    </xf>
    <xf numFmtId="164" fontId="69" fillId="0" borderId="125" xfId="1" applyNumberFormat="1" applyFont="1" applyBorder="1" applyAlignment="1">
      <alignment shrinkToFit="1"/>
    </xf>
    <xf numFmtId="164" fontId="69" fillId="0" borderId="124" xfId="1" applyNumberFormat="1" applyFont="1" applyBorder="1" applyAlignment="1">
      <alignment shrinkToFit="1"/>
    </xf>
    <xf numFmtId="164" fontId="69" fillId="0" borderId="132" xfId="1" applyNumberFormat="1" applyFont="1" applyBorder="1" applyAlignment="1">
      <alignment shrinkToFit="1"/>
    </xf>
    <xf numFmtId="164" fontId="69" fillId="0" borderId="71" xfId="1" applyNumberFormat="1" applyFont="1" applyBorder="1" applyAlignment="1">
      <alignment shrinkToFit="1"/>
    </xf>
    <xf numFmtId="164" fontId="69" fillId="0" borderId="126" xfId="1" applyNumberFormat="1" applyFont="1" applyBorder="1" applyAlignment="1">
      <alignment shrinkToFit="1"/>
    </xf>
    <xf numFmtId="164" fontId="69" fillId="28" borderId="126" xfId="1" applyNumberFormat="1" applyFont="1" applyFill="1" applyBorder="1" applyAlignment="1">
      <alignment shrinkToFit="1"/>
    </xf>
    <xf numFmtId="164" fontId="69" fillId="0" borderId="136" xfId="1" applyNumberFormat="1" applyFont="1" applyBorder="1" applyAlignment="1">
      <alignment shrinkToFit="1"/>
    </xf>
    <xf numFmtId="164" fontId="69" fillId="0" borderId="133" xfId="1" applyNumberFormat="1" applyFont="1" applyBorder="1" applyAlignment="1">
      <alignment shrinkToFit="1"/>
    </xf>
    <xf numFmtId="49" fontId="69" fillId="0" borderId="28" xfId="1" applyNumberFormat="1" applyFont="1" applyBorder="1" applyAlignment="1">
      <alignment horizontal="center" shrinkToFit="1"/>
    </xf>
    <xf numFmtId="49" fontId="69" fillId="0" borderId="29" xfId="1" applyNumberFormat="1" applyFont="1" applyBorder="1" applyAlignment="1">
      <alignment horizontal="center" shrinkToFit="1"/>
    </xf>
    <xf numFmtId="0" fontId="69" fillId="0" borderId="29" xfId="1" applyFont="1" applyBorder="1" applyAlignment="1">
      <alignment horizontal="center" shrinkToFit="1"/>
    </xf>
    <xf numFmtId="0" fontId="69" fillId="0" borderId="56" xfId="1" applyFont="1" applyBorder="1" applyAlignment="1">
      <alignment horizontal="center" shrinkToFit="1"/>
    </xf>
    <xf numFmtId="164" fontId="69" fillId="0" borderId="61" xfId="1" applyNumberFormat="1" applyFont="1" applyBorder="1" applyAlignment="1">
      <alignment shrinkToFit="1"/>
    </xf>
    <xf numFmtId="164" fontId="69" fillId="0" borderId="90" xfId="1" applyNumberFormat="1" applyFont="1" applyBorder="1" applyAlignment="1">
      <alignment shrinkToFit="1"/>
    </xf>
    <xf numFmtId="164" fontId="68" fillId="0" borderId="90" xfId="1" applyNumberFormat="1" applyFont="1" applyBorder="1" applyAlignment="1">
      <alignment shrinkToFit="1"/>
    </xf>
    <xf numFmtId="164" fontId="68" fillId="0" borderId="61" xfId="1" applyNumberFormat="1" applyFont="1" applyBorder="1" applyAlignment="1">
      <alignment shrinkToFit="1"/>
    </xf>
    <xf numFmtId="164" fontId="68" fillId="0" borderId="110" xfId="1" applyNumberFormat="1" applyFont="1" applyBorder="1" applyAlignment="1">
      <alignment shrinkToFit="1"/>
    </xf>
    <xf numFmtId="164" fontId="68" fillId="0" borderId="29" xfId="1" applyNumberFormat="1" applyFont="1" applyBorder="1" applyAlignment="1">
      <alignment shrinkToFit="1"/>
    </xf>
    <xf numFmtId="164" fontId="68" fillId="0" borderId="10" xfId="1" applyNumberFormat="1" applyFont="1" applyBorder="1" applyAlignment="1">
      <alignment shrinkToFit="1"/>
    </xf>
    <xf numFmtId="164" fontId="68" fillId="0" borderId="144" xfId="1" applyNumberFormat="1" applyFont="1" applyBorder="1" applyAlignment="1">
      <alignment shrinkToFit="1"/>
    </xf>
    <xf numFmtId="164" fontId="68" fillId="0" borderId="56" xfId="1" applyNumberFormat="1" applyFont="1" applyBorder="1" applyAlignment="1">
      <alignment shrinkToFit="1"/>
    </xf>
    <xf numFmtId="164" fontId="68" fillId="0" borderId="134" xfId="1" applyNumberFormat="1" applyFont="1" applyBorder="1" applyAlignment="1">
      <alignment shrinkToFit="1"/>
    </xf>
    <xf numFmtId="0" fontId="68" fillId="0" borderId="0" xfId="1" applyFont="1" applyAlignment="1">
      <alignment horizontal="left" vertical="center" shrinkToFit="1"/>
    </xf>
    <xf numFmtId="0" fontId="68" fillId="0" borderId="116" xfId="1" applyFont="1" applyBorder="1" applyAlignment="1">
      <alignment shrinkToFit="1"/>
    </xf>
    <xf numFmtId="38" fontId="80" fillId="0" borderId="0" xfId="74" applyFont="1" applyAlignment="1">
      <alignment shrinkToFit="1"/>
    </xf>
    <xf numFmtId="0" fontId="68" fillId="0" borderId="0" xfId="1" applyFont="1" applyAlignment="1">
      <alignment wrapText="1" shrinkToFit="1"/>
    </xf>
    <xf numFmtId="38" fontId="80" fillId="0" borderId="0" xfId="74" applyFont="1" applyBorder="1" applyAlignment="1">
      <alignment shrinkToFit="1"/>
    </xf>
    <xf numFmtId="0" fontId="68" fillId="0" borderId="0" xfId="1" applyFont="1" applyAlignment="1">
      <alignment horizontal="right" wrapText="1" shrinkToFit="1"/>
    </xf>
    <xf numFmtId="38" fontId="68" fillId="0" borderId="0" xfId="74" applyFont="1" applyAlignment="1">
      <alignment shrinkToFit="1"/>
    </xf>
    <xf numFmtId="38" fontId="68" fillId="0" borderId="66" xfId="74" applyFont="1" applyBorder="1" applyAlignment="1">
      <alignment shrinkToFit="1"/>
    </xf>
    <xf numFmtId="38" fontId="68" fillId="0" borderId="0" xfId="74" applyFont="1" applyBorder="1" applyAlignment="1">
      <alignment shrinkToFit="1"/>
    </xf>
    <xf numFmtId="38" fontId="68" fillId="0" borderId="67" xfId="74" applyFont="1" applyBorder="1" applyAlignment="1">
      <alignment horizontal="left" vertical="center" wrapText="1" shrinkToFit="1"/>
    </xf>
    <xf numFmtId="38" fontId="68" fillId="0" borderId="67" xfId="74" applyFont="1" applyBorder="1" applyAlignment="1">
      <alignment wrapText="1" shrinkToFit="1"/>
    </xf>
    <xf numFmtId="38" fontId="68" fillId="0" borderId="67" xfId="74" applyFont="1" applyBorder="1" applyAlignment="1">
      <alignment shrinkToFit="1"/>
    </xf>
    <xf numFmtId="49" fontId="69" fillId="0" borderId="0" xfId="1" applyNumberFormat="1" applyFont="1" applyAlignment="1">
      <alignment shrinkToFit="1"/>
    </xf>
    <xf numFmtId="49" fontId="69" fillId="0" borderId="0" xfId="1" applyNumberFormat="1" applyFont="1" applyAlignment="1">
      <alignment vertical="top" wrapText="1" shrinkToFit="1"/>
    </xf>
    <xf numFmtId="38" fontId="68" fillId="0" borderId="67" xfId="74" quotePrefix="1" applyFont="1" applyBorder="1" applyAlignment="1">
      <alignment shrinkToFit="1"/>
    </xf>
    <xf numFmtId="38" fontId="68" fillId="0" borderId="68" xfId="74" quotePrefix="1" applyFont="1" applyBorder="1" applyAlignment="1">
      <alignment shrinkToFit="1"/>
    </xf>
    <xf numFmtId="38" fontId="68" fillId="0" borderId="68" xfId="74" applyFont="1" applyBorder="1" applyAlignment="1">
      <alignment shrinkToFit="1"/>
    </xf>
    <xf numFmtId="38" fontId="68" fillId="0" borderId="0" xfId="74" applyFont="1" applyAlignment="1">
      <alignment vertical="center" shrinkToFit="1"/>
    </xf>
    <xf numFmtId="38" fontId="68" fillId="0" borderId="0" xfId="74" quotePrefix="1" applyFont="1" applyAlignment="1">
      <alignment shrinkToFit="1"/>
    </xf>
    <xf numFmtId="0" fontId="80" fillId="0" borderId="0" xfId="1" applyFont="1" applyAlignment="1">
      <alignment shrinkToFit="1"/>
    </xf>
    <xf numFmtId="170" fontId="80" fillId="0" borderId="0" xfId="74" applyNumberFormat="1" applyFont="1" applyAlignment="1">
      <alignment shrinkToFit="1"/>
    </xf>
    <xf numFmtId="0" fontId="76" fillId="0" borderId="3" xfId="1" applyFont="1" applyFill="1" applyBorder="1" applyAlignment="1">
      <alignment horizontal="center" shrinkToFit="1"/>
    </xf>
    <xf numFmtId="0" fontId="78" fillId="0" borderId="59" xfId="1" applyFont="1" applyFill="1" applyBorder="1" applyAlignment="1">
      <alignment horizontal="center" shrinkToFit="1"/>
    </xf>
    <xf numFmtId="0" fontId="78" fillId="0" borderId="59" xfId="1" applyFont="1" applyFill="1" applyBorder="1" applyAlignment="1">
      <alignment horizontal="center" wrapText="1" shrinkToFit="1"/>
    </xf>
    <xf numFmtId="49" fontId="79" fillId="0" borderId="7" xfId="1" applyNumberFormat="1" applyFont="1" applyFill="1" applyBorder="1" applyAlignment="1">
      <alignment horizontal="center" shrinkToFit="1"/>
    </xf>
    <xf numFmtId="0" fontId="79" fillId="0" borderId="24" xfId="1" applyFont="1" applyFill="1" applyBorder="1" applyAlignment="1">
      <alignment horizontal="center" shrinkToFit="1"/>
    </xf>
    <xf numFmtId="0" fontId="79" fillId="0" borderId="7" xfId="1" applyFont="1" applyFill="1" applyBorder="1" applyAlignment="1">
      <alignment horizontal="center" shrinkToFit="1"/>
    </xf>
    <xf numFmtId="49" fontId="79" fillId="0" borderId="107" xfId="1" applyNumberFormat="1" applyFont="1" applyFill="1" applyBorder="1" applyAlignment="1">
      <alignment horizontal="center" shrinkToFit="1"/>
    </xf>
    <xf numFmtId="49" fontId="81" fillId="0" borderId="44" xfId="1" applyNumberFormat="1" applyFont="1" applyFill="1" applyBorder="1" applyAlignment="1">
      <alignment horizontal="center"/>
    </xf>
    <xf numFmtId="49" fontId="82" fillId="0" borderId="79" xfId="1" applyNumberFormat="1" applyFont="1" applyBorder="1" applyAlignment="1"/>
    <xf numFmtId="165" fontId="81" fillId="0" borderId="11" xfId="1" applyNumberFormat="1" applyFont="1" applyFill="1" applyBorder="1" applyAlignment="1">
      <alignment horizontal="center"/>
    </xf>
    <xf numFmtId="49" fontId="83" fillId="0" borderId="44" xfId="1" applyNumberFormat="1" applyFont="1" applyBorder="1" applyAlignment="1">
      <alignment horizontal="center"/>
    </xf>
    <xf numFmtId="165" fontId="68" fillId="29" borderId="127" xfId="1" applyNumberFormat="1" applyFont="1" applyFill="1" applyBorder="1" applyAlignment="1">
      <alignment horizontal="center"/>
    </xf>
    <xf numFmtId="0" fontId="67" fillId="0" borderId="10" xfId="0" applyFont="1" applyBorder="1" applyAlignment="1">
      <alignment horizontal="right" vertical="center"/>
    </xf>
    <xf numFmtId="0" fontId="67" fillId="26" borderId="10" xfId="0" applyFont="1" applyFill="1" applyBorder="1" applyAlignment="1">
      <alignment horizontal="right" vertical="center"/>
    </xf>
    <xf numFmtId="0" fontId="67" fillId="0" borderId="10" xfId="0" applyFont="1" applyBorder="1" applyAlignment="1">
      <alignment horizontal="center" vertical="center"/>
    </xf>
    <xf numFmtId="49" fontId="83" fillId="0" borderId="97" xfId="1" applyNumberFormat="1" applyFont="1" applyBorder="1" applyAlignment="1">
      <alignment horizontal="center"/>
    </xf>
    <xf numFmtId="164" fontId="68" fillId="29" borderId="141" xfId="1" applyNumberFormat="1" applyFont="1" applyFill="1" applyBorder="1" applyAlignment="1">
      <alignment shrinkToFit="1"/>
    </xf>
    <xf numFmtId="164" fontId="68" fillId="29" borderId="135" xfId="1" applyNumberFormat="1" applyFont="1" applyFill="1" applyBorder="1" applyAlignment="1">
      <alignment shrinkToFit="1"/>
    </xf>
    <xf numFmtId="164" fontId="68" fillId="29" borderId="8" xfId="1" applyNumberFormat="1" applyFont="1" applyFill="1" applyBorder="1" applyAlignment="1">
      <alignment shrinkToFit="1"/>
    </xf>
    <xf numFmtId="164" fontId="68" fillId="29" borderId="71" xfId="1" applyNumberFormat="1" applyFont="1" applyFill="1" applyBorder="1" applyAlignment="1">
      <alignment shrinkToFit="1"/>
    </xf>
    <xf numFmtId="164" fontId="68" fillId="29" borderId="92" xfId="1" applyNumberFormat="1" applyFont="1" applyFill="1" applyBorder="1" applyAlignment="1">
      <alignment shrinkToFit="1"/>
    </xf>
    <xf numFmtId="164" fontId="69" fillId="0" borderId="84" xfId="1" applyNumberFormat="1" applyFont="1" applyBorder="1" applyAlignment="1">
      <alignment shrinkToFit="1"/>
    </xf>
    <xf numFmtId="164" fontId="69" fillId="0" borderId="57" xfId="1" applyNumberFormat="1" applyFont="1" applyBorder="1" applyAlignment="1">
      <alignment shrinkToFit="1"/>
    </xf>
    <xf numFmtId="0" fontId="67" fillId="0" borderId="0" xfId="0" applyFont="1" applyAlignment="1">
      <alignment horizontal="center" vertical="center"/>
    </xf>
    <xf numFmtId="0" fontId="67" fillId="0" borderId="10" xfId="0" applyFont="1" applyFill="1" applyBorder="1" applyAlignment="1">
      <alignment horizontal="right" vertical="center"/>
    </xf>
    <xf numFmtId="0" fontId="67" fillId="21" borderId="10" xfId="0" applyFont="1" applyFill="1" applyBorder="1" applyAlignment="1">
      <alignment horizontal="right" vertical="center"/>
    </xf>
    <xf numFmtId="169" fontId="67" fillId="0" borderId="10" xfId="0" applyNumberFormat="1" applyFont="1" applyBorder="1" applyAlignment="1">
      <alignment horizontal="right" vertical="center"/>
    </xf>
    <xf numFmtId="0" fontId="67" fillId="0" borderId="0" xfId="0" applyFont="1" applyBorder="1">
      <alignment vertical="center"/>
    </xf>
    <xf numFmtId="169" fontId="67" fillId="0" borderId="0" xfId="0" applyNumberFormat="1" applyFont="1" applyBorder="1">
      <alignment vertical="center"/>
    </xf>
    <xf numFmtId="9" fontId="67" fillId="0" borderId="0" xfId="0" applyNumberFormat="1" applyFont="1">
      <alignment vertical="center"/>
    </xf>
    <xf numFmtId="49" fontId="84" fillId="0" borderId="44" xfId="1" applyNumberFormat="1" applyFont="1" applyFill="1" applyBorder="1" applyAlignment="1">
      <alignment horizontal="center"/>
    </xf>
    <xf numFmtId="164" fontId="68" fillId="0" borderId="120" xfId="1" applyNumberFormat="1" applyFont="1" applyBorder="1" applyAlignment="1">
      <alignment shrinkToFit="1"/>
    </xf>
    <xf numFmtId="164" fontId="68" fillId="0" borderId="122" xfId="1" applyNumberFormat="1" applyFont="1" applyBorder="1" applyAlignment="1">
      <alignment shrinkToFit="1"/>
    </xf>
    <xf numFmtId="164" fontId="68" fillId="0" borderId="113" xfId="1" applyNumberFormat="1" applyFont="1" applyBorder="1" applyAlignment="1">
      <alignment shrinkToFit="1"/>
    </xf>
    <xf numFmtId="165" fontId="68" fillId="0" borderId="145" xfId="1" applyNumberFormat="1" applyFont="1" applyFill="1" applyBorder="1" applyAlignment="1">
      <alignment horizontal="center"/>
    </xf>
    <xf numFmtId="165" fontId="68" fillId="0" borderId="85" xfId="1" applyNumberFormat="1" applyFont="1" applyFill="1" applyBorder="1" applyAlignment="1">
      <alignment horizontal="center"/>
    </xf>
    <xf numFmtId="49" fontId="68" fillId="0" borderId="146" xfId="1" applyNumberFormat="1" applyFont="1" applyFill="1" applyBorder="1" applyAlignment="1">
      <alignment horizontal="center"/>
    </xf>
    <xf numFmtId="165" fontId="68" fillId="29" borderId="145" xfId="1" applyNumberFormat="1" applyFont="1" applyFill="1" applyBorder="1" applyAlignment="1">
      <alignment horizontal="center"/>
    </xf>
    <xf numFmtId="165" fontId="68" fillId="29" borderId="85" xfId="1" applyNumberFormat="1" applyFont="1" applyFill="1" applyBorder="1" applyAlignment="1">
      <alignment horizontal="center"/>
    </xf>
    <xf numFmtId="49" fontId="68" fillId="29" borderId="146" xfId="1" applyNumberFormat="1" applyFont="1" applyFill="1" applyBorder="1" applyAlignment="1">
      <alignment horizontal="center"/>
    </xf>
    <xf numFmtId="164" fontId="68" fillId="29" borderId="6" xfId="1" applyNumberFormat="1" applyFont="1" applyFill="1" applyBorder="1" applyAlignment="1">
      <alignment shrinkToFit="1"/>
    </xf>
    <xf numFmtId="164" fontId="68" fillId="29" borderId="7" xfId="1" applyNumberFormat="1" applyFont="1" applyFill="1" applyBorder="1" applyAlignment="1">
      <alignment shrinkToFit="1"/>
    </xf>
    <xf numFmtId="164" fontId="68" fillId="29" borderId="5" xfId="1" applyNumberFormat="1" applyFont="1" applyFill="1" applyBorder="1" applyAlignment="1">
      <alignment shrinkToFit="1"/>
    </xf>
    <xf numFmtId="49" fontId="85" fillId="0" borderId="107" xfId="1" applyNumberFormat="1" applyFont="1" applyFill="1" applyBorder="1" applyAlignment="1">
      <alignment horizontal="center" shrinkToFit="1"/>
    </xf>
    <xf numFmtId="49" fontId="44" fillId="0" borderId="14" xfId="1" applyNumberFormat="1" applyFont="1" applyBorder="1" applyAlignment="1">
      <alignment horizontal="center" shrinkToFit="1"/>
    </xf>
    <xf numFmtId="49" fontId="44" fillId="0" borderId="17" xfId="1" applyNumberFormat="1" applyFont="1" applyBorder="1" applyAlignment="1">
      <alignment horizontal="center" shrinkToFit="1"/>
    </xf>
    <xf numFmtId="0" fontId="46" fillId="21" borderId="17" xfId="1" applyFont="1" applyFill="1" applyBorder="1" applyAlignment="1">
      <alignment horizontal="center" vertical="center" shrinkToFit="1"/>
    </xf>
    <xf numFmtId="0" fontId="46" fillId="21" borderId="22" xfId="1" applyFont="1" applyFill="1" applyBorder="1" applyAlignment="1">
      <alignment horizontal="center" vertical="center" shrinkToFit="1"/>
    </xf>
    <xf numFmtId="0" fontId="59" fillId="21" borderId="17" xfId="1" applyFont="1" applyFill="1" applyBorder="1" applyAlignment="1">
      <alignment horizontal="center" vertical="center" shrinkToFit="1"/>
    </xf>
    <xf numFmtId="0" fontId="59" fillId="21" borderId="22" xfId="1" applyFont="1" applyFill="1" applyBorder="1" applyAlignment="1">
      <alignment horizontal="center" vertical="center" shrinkToFit="1"/>
    </xf>
    <xf numFmtId="38" fontId="50" fillId="0" borderId="0" xfId="72" applyFont="1" applyAlignment="1">
      <alignment horizontal="center" shrinkToFit="1"/>
    </xf>
    <xf numFmtId="38" fontId="50" fillId="21" borderId="66" xfId="72" applyFont="1" applyFill="1" applyBorder="1" applyAlignment="1">
      <alignment horizontal="center" vertical="center" shrinkToFit="1"/>
    </xf>
    <xf numFmtId="38" fontId="50" fillId="21" borderId="67" xfId="72" applyFont="1" applyFill="1" applyBorder="1" applyAlignment="1">
      <alignment horizontal="center" vertical="center" shrinkToFit="1"/>
    </xf>
    <xf numFmtId="38" fontId="50" fillId="21" borderId="68" xfId="72" applyFont="1" applyFill="1" applyBorder="1" applyAlignment="1">
      <alignment horizontal="center" vertical="center" shrinkToFit="1"/>
    </xf>
    <xf numFmtId="38" fontId="50" fillId="0" borderId="4" xfId="72" applyFont="1" applyBorder="1" applyAlignment="1">
      <alignment horizontal="center" vertical="center" shrinkToFit="1"/>
    </xf>
    <xf numFmtId="38" fontId="50" fillId="0" borderId="7" xfId="72" applyFont="1" applyBorder="1" applyAlignment="1">
      <alignment horizontal="center" vertical="center" shrinkToFit="1"/>
    </xf>
    <xf numFmtId="38" fontId="50" fillId="0" borderId="69" xfId="72" applyFont="1" applyBorder="1" applyAlignment="1">
      <alignment horizontal="center" vertical="center" shrinkToFit="1"/>
    </xf>
    <xf numFmtId="38" fontId="50" fillId="0" borderId="70" xfId="72" applyFont="1" applyBorder="1" applyAlignment="1">
      <alignment horizontal="center" vertical="center" shrinkToFit="1"/>
    </xf>
    <xf numFmtId="38" fontId="50" fillId="0" borderId="71" xfId="72" applyFont="1" applyBorder="1" applyAlignment="1">
      <alignment horizontal="center" vertical="center" shrinkToFit="1"/>
    </xf>
    <xf numFmtId="38" fontId="50" fillId="23" borderId="66" xfId="72" applyFont="1" applyFill="1" applyBorder="1" applyAlignment="1">
      <alignment horizontal="center" vertical="center" shrinkToFit="1"/>
    </xf>
    <xf numFmtId="38" fontId="50" fillId="23" borderId="67" xfId="72" applyFont="1" applyFill="1" applyBorder="1" applyAlignment="1">
      <alignment horizontal="center" vertical="center" shrinkToFit="1"/>
    </xf>
    <xf numFmtId="38" fontId="50" fillId="23" borderId="68" xfId="72" applyFont="1" applyFill="1" applyBorder="1" applyAlignment="1">
      <alignment horizontal="center" vertical="center" shrinkToFit="1"/>
    </xf>
    <xf numFmtId="49" fontId="44" fillId="0" borderId="14" xfId="1" applyNumberFormat="1" applyFont="1" applyBorder="1" applyAlignment="1">
      <alignment horizontal="center" vertical="top" wrapText="1" shrinkToFit="1"/>
    </xf>
    <xf numFmtId="49" fontId="44" fillId="0" borderId="17" xfId="1" applyNumberFormat="1" applyFont="1" applyBorder="1" applyAlignment="1">
      <alignment horizontal="center" vertical="top" wrapText="1" shrinkToFit="1"/>
    </xf>
    <xf numFmtId="0" fontId="2" fillId="0" borderId="0" xfId="1" applyFont="1" applyAlignment="1">
      <alignment horizontal="left" vertical="center" wrapText="1" shrinkToFit="1"/>
    </xf>
    <xf numFmtId="49" fontId="69" fillId="0" borderId="14" xfId="1" applyNumberFormat="1" applyFont="1" applyBorder="1" applyAlignment="1">
      <alignment horizontal="center" shrinkToFit="1"/>
    </xf>
    <xf numFmtId="49" fontId="69" fillId="0" borderId="17" xfId="1" applyNumberFormat="1" applyFont="1" applyBorder="1" applyAlignment="1">
      <alignment horizontal="center" shrinkToFit="1"/>
    </xf>
    <xf numFmtId="49" fontId="69" fillId="0" borderId="14" xfId="1" applyNumberFormat="1" applyFont="1" applyBorder="1" applyAlignment="1">
      <alignment horizontal="center" vertical="top" wrapText="1" shrinkToFit="1"/>
    </xf>
    <xf numFmtId="49" fontId="69" fillId="0" borderId="17" xfId="1" applyNumberFormat="1" applyFont="1" applyBorder="1" applyAlignment="1">
      <alignment horizontal="center" vertical="top" wrapText="1" shrinkToFit="1"/>
    </xf>
    <xf numFmtId="0" fontId="71" fillId="0" borderId="0" xfId="1" applyFont="1" applyAlignment="1">
      <alignment horizontal="center"/>
    </xf>
    <xf numFmtId="0" fontId="75" fillId="0" borderId="17" xfId="1" applyFont="1" applyFill="1" applyBorder="1" applyAlignment="1">
      <alignment horizontal="center" vertical="center" shrinkToFit="1"/>
    </xf>
    <xf numFmtId="0" fontId="75" fillId="0" borderId="22" xfId="1" applyFont="1" applyFill="1" applyBorder="1" applyAlignment="1">
      <alignment horizontal="center" vertical="center" shrinkToFit="1"/>
    </xf>
    <xf numFmtId="0" fontId="76" fillId="0" borderId="17" xfId="1" applyFont="1" applyFill="1" applyBorder="1" applyAlignment="1">
      <alignment horizontal="center" vertical="center" shrinkToFit="1"/>
    </xf>
    <xf numFmtId="0" fontId="76" fillId="0" borderId="22" xfId="1" applyFont="1" applyFill="1" applyBorder="1" applyAlignment="1">
      <alignment horizontal="center" vertical="center" shrinkToFit="1"/>
    </xf>
    <xf numFmtId="38" fontId="68" fillId="0" borderId="0" xfId="74" applyFont="1" applyAlignment="1">
      <alignment horizontal="center" shrinkToFit="1"/>
    </xf>
    <xf numFmtId="0" fontId="68" fillId="0" borderId="0" xfId="1" applyFont="1" applyAlignment="1">
      <alignment horizontal="left" vertical="center" wrapText="1" shrinkToFit="1"/>
    </xf>
    <xf numFmtId="38" fontId="68" fillId="21" borderId="66" xfId="74" applyFont="1" applyFill="1" applyBorder="1" applyAlignment="1">
      <alignment horizontal="center" vertical="center" shrinkToFit="1"/>
    </xf>
    <xf numFmtId="38" fontId="68" fillId="21" borderId="67" xfId="74" applyFont="1" applyFill="1" applyBorder="1" applyAlignment="1">
      <alignment horizontal="center" vertical="center" shrinkToFit="1"/>
    </xf>
    <xf numFmtId="38" fontId="68" fillId="21" borderId="68" xfId="74" applyFont="1" applyFill="1" applyBorder="1" applyAlignment="1">
      <alignment horizontal="center" vertical="center" shrinkToFit="1"/>
    </xf>
    <xf numFmtId="38" fontId="68" fillId="0" borderId="4" xfId="74" applyFont="1" applyBorder="1" applyAlignment="1">
      <alignment horizontal="center" vertical="center" shrinkToFit="1"/>
    </xf>
    <xf numFmtId="38" fontId="68" fillId="0" borderId="7" xfId="74" applyFont="1" applyBorder="1" applyAlignment="1">
      <alignment horizontal="center" vertical="center" shrinkToFit="1"/>
    </xf>
    <xf numFmtId="38" fontId="68" fillId="0" borderId="69" xfId="74" applyFont="1" applyBorder="1" applyAlignment="1">
      <alignment horizontal="center" vertical="center" shrinkToFit="1"/>
    </xf>
    <xf numFmtId="38" fontId="68" fillId="0" borderId="70" xfId="74" applyFont="1" applyBorder="1" applyAlignment="1">
      <alignment horizontal="center" vertical="center" shrinkToFit="1"/>
    </xf>
    <xf numFmtId="38" fontId="68" fillId="0" borderId="71" xfId="74" applyFont="1" applyBorder="1" applyAlignment="1">
      <alignment horizontal="center" vertical="center" shrinkToFit="1"/>
    </xf>
    <xf numFmtId="38" fontId="68" fillId="23" borderId="66" xfId="74" applyFont="1" applyFill="1" applyBorder="1" applyAlignment="1">
      <alignment horizontal="center" vertical="center" shrinkToFit="1"/>
    </xf>
    <xf numFmtId="38" fontId="68" fillId="23" borderId="67" xfId="74" applyFont="1" applyFill="1" applyBorder="1" applyAlignment="1">
      <alignment horizontal="center" vertical="center" shrinkToFit="1"/>
    </xf>
    <xf numFmtId="38" fontId="68" fillId="23" borderId="68" xfId="74" applyFont="1" applyFill="1" applyBorder="1" applyAlignment="1">
      <alignment horizontal="center" vertical="center" shrinkToFit="1"/>
    </xf>
  </cellXfs>
  <cellStyles count="75">
    <cellStyle name="20% - 强调文字颜色 1" xfId="2"/>
    <cellStyle name="20% - 强调文字颜色 2" xfId="3"/>
    <cellStyle name="20% - 强调文字颜色 3" xfId="4"/>
    <cellStyle name="20% - 强调文字颜色 4" xfId="5"/>
    <cellStyle name="20% - 强调文字颜色 5" xfId="6"/>
    <cellStyle name="20% - 强调文字颜色 6" xfId="7"/>
    <cellStyle name="40% - 强调文字颜色 1" xfId="8"/>
    <cellStyle name="40% - 强调文字颜色 2" xfId="9"/>
    <cellStyle name="40% - 强调文字颜色 3" xfId="10"/>
    <cellStyle name="40% - 强调文字颜色 4" xfId="11"/>
    <cellStyle name="40% - 强调文字颜色 5" xfId="12"/>
    <cellStyle name="40% - 强调文字颜色 6" xfId="13"/>
    <cellStyle name="60% - 强调文字颜色 1" xfId="14"/>
    <cellStyle name="60% - 强调文字颜色 2" xfId="15"/>
    <cellStyle name="60% - 强调文字颜色 3" xfId="16"/>
    <cellStyle name="60% - 强调文字颜色 4" xfId="17"/>
    <cellStyle name="60% - 强调文字颜色 5" xfId="18"/>
    <cellStyle name="60% - 强调文字颜色 6" xfId="19"/>
    <cellStyle name="Background" xfId="20"/>
    <cellStyle name="Calc Currency (0)" xfId="21"/>
    <cellStyle name="category" xfId="22"/>
    <cellStyle name="Comma [0]" xfId="72" builtinId="6"/>
    <cellStyle name="Copied" xfId="23"/>
    <cellStyle name="Currency $" xfId="24"/>
    <cellStyle name="Entered" xfId="25"/>
    <cellStyle name="entry" xfId="26"/>
    <cellStyle name="Grey" xfId="27"/>
    <cellStyle name="HEADER" xfId="28"/>
    <cellStyle name="Header1" xfId="29"/>
    <cellStyle name="Header2" xfId="30"/>
    <cellStyle name="Input [yellow]" xfId="31"/>
    <cellStyle name="Milliers [0]_AR1194" xfId="32"/>
    <cellStyle name="Milliers_AR1194" xfId="33"/>
    <cellStyle name="Model" xfId="34"/>
    <cellStyle name="Mon騁aire [0]_AR1194" xfId="35"/>
    <cellStyle name="Mon騁aire_AR1194" xfId="36"/>
    <cellStyle name="Normal" xfId="0" builtinId="0"/>
    <cellStyle name="Normal - Style1" xfId="37"/>
    <cellStyle name="Percent [2]" xfId="38"/>
    <cellStyle name="price" xfId="39"/>
    <cellStyle name="revised" xfId="40"/>
    <cellStyle name="RevList" xfId="41"/>
    <cellStyle name="section" xfId="42"/>
    <cellStyle name="subhead" xfId="43"/>
    <cellStyle name="Subtotal" xfId="44"/>
    <cellStyle name="title" xfId="45"/>
    <cellStyle name="スタイル 1" xfId="46"/>
    <cellStyle name="一般 2" xfId="73"/>
    <cellStyle name="千分位[0] 2" xfId="74"/>
    <cellStyle name="好" xfId="49"/>
    <cellStyle name="差" xfId="50"/>
    <cellStyle name="常规_YYA 俿乛俠 SUZUKI (12)" xfId="51"/>
    <cellStyle name="强调文字颜色 1" xfId="54"/>
    <cellStyle name="强调文字颜色 2" xfId="55"/>
    <cellStyle name="强调文字颜色 3" xfId="56"/>
    <cellStyle name="强调文字颜色 4" xfId="57"/>
    <cellStyle name="强调文字颜色 5" xfId="58"/>
    <cellStyle name="强调文字颜色 6" xfId="59"/>
    <cellStyle name="未定義" xfId="53"/>
    <cellStyle name="标题" xfId="60"/>
    <cellStyle name="标题 1" xfId="61"/>
    <cellStyle name="标题 2" xfId="62"/>
    <cellStyle name="标题 3" xfId="63"/>
    <cellStyle name="标题 4" xfId="64"/>
    <cellStyle name="检查单元格" xfId="65"/>
    <cellStyle name="標準 2" xfId="1"/>
    <cellStyle name="汇总" xfId="66"/>
    <cellStyle name="注释" xfId="52"/>
    <cellStyle name="解释性文本" xfId="47"/>
    <cellStyle name="警告文本" xfId="48"/>
    <cellStyle name="计算" xfId="67"/>
    <cellStyle name="输入" xfId="69"/>
    <cellStyle name="输出" xfId="68"/>
    <cellStyle name="适中" xfId="70"/>
    <cellStyle name="链接单元格" xfId="71"/>
  </cellStyles>
  <dxfs count="0"/>
  <tableStyles count="0" defaultTableStyle="TableStyleMedium2" defaultPivotStyle="PivotStyleLight16"/>
  <colors>
    <mruColors>
      <color rgb="FF99CCFF"/>
      <color rgb="FFFF99FF"/>
      <color rgb="FFFFCCFF"/>
      <color rgb="FF0000FF"/>
      <color rgb="FFFF66FF"/>
      <color rgb="FFFF00FF"/>
      <color rgb="FF66CCFF"/>
      <color rgb="FFFFFF99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135</xdr:col>
      <xdr:colOff>384156</xdr:colOff>
      <xdr:row>1</xdr:row>
      <xdr:rowOff>153046</xdr:rowOff>
    </xdr:from>
    <xdr:to>
      <xdr:col>145</xdr:col>
      <xdr:colOff>241865</xdr:colOff>
      <xdr:row>11</xdr:row>
      <xdr:rowOff>7194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470547A-6284-4B06-A4FC-E621627AA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4862" y="309928"/>
          <a:ext cx="5897678" cy="1490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111</xdr:col>
      <xdr:colOff>544286</xdr:colOff>
      <xdr:row>3</xdr:row>
      <xdr:rowOff>79942</xdr:rowOff>
    </xdr:from>
    <xdr:to>
      <xdr:col>115</xdr:col>
      <xdr:colOff>375898</xdr:colOff>
      <xdr:row>5</xdr:row>
      <xdr:rowOff>127567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EC3ADA59-04E1-44C6-A129-C4468E811AB0}"/>
            </a:ext>
          </a:extLst>
        </xdr:cNvPr>
        <xdr:cNvSpPr txBox="1"/>
      </xdr:nvSpPr>
      <xdr:spPr>
        <a:xfrm>
          <a:off x="9579429" y="528978"/>
          <a:ext cx="2172040" cy="346982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TW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ISSUEDATE:2023/8/30</a:t>
          </a:r>
        </a:p>
        <a:p>
          <a:pPr algn="ctr"/>
          <a:endParaRPr lang="en-US" altLang="zh-TW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131</xdr:col>
      <xdr:colOff>56030</xdr:colOff>
      <xdr:row>5</xdr:row>
      <xdr:rowOff>112058</xdr:rowOff>
    </xdr:from>
    <xdr:to>
      <xdr:col>134</xdr:col>
      <xdr:colOff>481853</xdr:colOff>
      <xdr:row>8</xdr:row>
      <xdr:rowOff>166988</xdr:rowOff>
    </xdr:to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160B4082-9027-4754-91E9-C57467E2D954}"/>
            </a:ext>
          </a:extLst>
        </xdr:cNvPr>
        <xdr:cNvSpPr txBox="1"/>
      </xdr:nvSpPr>
      <xdr:spPr>
        <a:xfrm>
          <a:off x="12741089" y="896470"/>
          <a:ext cx="2207558" cy="5704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TW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ISSUEDATE:2023/11/24</a:t>
          </a:r>
        </a:p>
        <a:p>
          <a:endParaRPr lang="en-US" altLang="zh-TW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289</xdr:col>
      <xdr:colOff>142610</xdr:colOff>
      <xdr:row>2</xdr:row>
      <xdr:rowOff>111125</xdr:rowOff>
    </xdr:from>
    <xdr:ext cx="6284112" cy="1564551"/>
    <xdr:pic>
      <xdr:nvPicPr>
        <xdr:cNvPr id="2" name="圖片 1">
          <a:extLst>
            <a:ext uri="{FF2B5EF4-FFF2-40B4-BE49-F238E27FC236}">
              <a16:creationId xmlns:a16="http://schemas.microsoft.com/office/drawing/2014/main" id="{8CF570B6-E509-4EA2-B80B-494A5003E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5985" y="460375"/>
          <a:ext cx="6284112" cy="1564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139</xdr:col>
      <xdr:colOff>544286</xdr:colOff>
      <xdr:row>3</xdr:row>
      <xdr:rowOff>79942</xdr:rowOff>
    </xdr:from>
    <xdr:to>
      <xdr:col>143</xdr:col>
      <xdr:colOff>375898</xdr:colOff>
      <xdr:row>5</xdr:row>
      <xdr:rowOff>127567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8ABE33D3-9165-4D9D-9B59-26A0D2D6B351}"/>
            </a:ext>
          </a:extLst>
        </xdr:cNvPr>
        <xdr:cNvSpPr txBox="1"/>
      </xdr:nvSpPr>
      <xdr:spPr>
        <a:xfrm>
          <a:off x="6705600" y="537142"/>
          <a:ext cx="0" cy="352425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TW" sz="1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ISSUEDATE:2023/8/30</a:t>
          </a:r>
        </a:p>
        <a:p>
          <a:pPr algn="ctr"/>
          <a:endParaRPr lang="en-US" altLang="zh-TW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187</xdr:col>
      <xdr:colOff>370026</xdr:colOff>
      <xdr:row>4</xdr:row>
      <xdr:rowOff>101907</xdr:rowOff>
    </xdr:from>
    <xdr:to>
      <xdr:col>192</xdr:col>
      <xdr:colOff>204986</xdr:colOff>
      <xdr:row>8</xdr:row>
      <xdr:rowOff>3099</xdr:rowOff>
    </xdr:to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D05EEFBB-7F14-45CF-81A9-48B9B17B309D}"/>
            </a:ext>
          </a:extLst>
        </xdr:cNvPr>
        <xdr:cNvSpPr txBox="1"/>
      </xdr:nvSpPr>
      <xdr:spPr>
        <a:xfrm>
          <a:off x="37840147" y="716423"/>
          <a:ext cx="2293024" cy="546434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TW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ISSUEDATE:2024/08/29</a:t>
          </a:r>
        </a:p>
        <a:p>
          <a:endParaRPr lang="en-US" altLang="zh-TW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0</xdr:colOff>
      <xdr:row>5</xdr:row>
      <xdr:rowOff>0</xdr:rowOff>
    </xdr:from>
    <xdr:to>
      <xdr:col>62</xdr:col>
      <xdr:colOff>0</xdr:colOff>
      <xdr:row>7</xdr:row>
      <xdr:rowOff>48000</xdr:rowOff>
    </xdr:to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6D719CDD-9293-4289-971E-9ADA490270B6}"/>
            </a:ext>
          </a:extLst>
        </xdr:cNvPr>
        <xdr:cNvSpPr txBox="1"/>
      </xdr:nvSpPr>
      <xdr:spPr>
        <a:xfrm>
          <a:off x="3825875" y="873125"/>
          <a:ext cx="3619500" cy="39725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TW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ISSUEDATE:2026/03/27</a:t>
          </a:r>
          <a:endParaRPr lang="en-US" altLang="zh-TW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">
    <tabColor rgb="FF66FF99"/>
  </sheetPr>
  <dimension ref="A1:ET131"/>
  <sheetViews>
    <sheetView showGridLines="0" topLeftCell="A45" zoomScale="76" zoomScaleNormal="76" zoomScaleSheetLayoutView="40" zoomScalePageLayoutView="70" workbookViewId="0">
      <selection activeCell="AF49" sqref="AF49"/>
    </sheetView>
  </sheetViews>
  <sheetFormatPr defaultColWidth="6.42578125" defaultRowHeight="12" outlineLevelRow="1"/>
  <cols>
    <col min="1" max="1" width="8" style="12" customWidth="1"/>
    <col min="2" max="2" width="7.85546875" style="12" customWidth="1"/>
    <col min="3" max="3" width="5.7109375" style="12" customWidth="1"/>
    <col min="4" max="4" width="19" style="12" customWidth="1"/>
    <col min="5" max="5" width="6.5703125" style="12" hidden="1" customWidth="1"/>
    <col min="6" max="6" width="6.140625" style="12" customWidth="1"/>
    <col min="7" max="7" width="5.85546875" style="12" customWidth="1"/>
    <col min="8" max="28" width="8" style="12" hidden="1" customWidth="1"/>
    <col min="29" max="34" width="8" style="12" customWidth="1"/>
    <col min="35" max="65" width="8" style="12" hidden="1" customWidth="1"/>
    <col min="66" max="66" width="7.85546875" style="12" hidden="1" customWidth="1"/>
    <col min="67" max="67" width="7.5703125" style="12" hidden="1" customWidth="1"/>
    <col min="68" max="68" width="7.7109375" style="12" hidden="1" customWidth="1"/>
    <col min="69" max="69" width="8" style="12" hidden="1" customWidth="1"/>
    <col min="70" max="70" width="7.85546875" style="12" hidden="1" customWidth="1"/>
    <col min="71" max="71" width="7.5703125" style="12" hidden="1" customWidth="1"/>
    <col min="72" max="73" width="7.7109375" style="12" hidden="1" customWidth="1"/>
    <col min="74" max="74" width="8" style="12" hidden="1" customWidth="1"/>
    <col min="75" max="75" width="7.85546875" style="12" hidden="1" customWidth="1"/>
    <col min="76" max="76" width="7.5703125" style="12" hidden="1" customWidth="1"/>
    <col min="77" max="77" width="7.7109375" style="12" hidden="1" customWidth="1"/>
    <col min="78" max="82" width="9.28515625" style="12" hidden="1" customWidth="1"/>
    <col min="83" max="125" width="8.85546875" style="12" hidden="1" customWidth="1"/>
    <col min="126" max="142" width="8.85546875" style="12" customWidth="1"/>
    <col min="143" max="146" width="9.42578125" style="12" customWidth="1"/>
    <col min="147" max="147" width="9" style="12" customWidth="1"/>
    <col min="148" max="150" width="8.42578125" style="12" bestFit="1" customWidth="1"/>
    <col min="151" max="16384" width="6.42578125" style="12"/>
  </cols>
  <sheetData>
    <row r="1" spans="1:150" s="3" customFormat="1" outlineLevel="1">
      <c r="A1" s="1" t="s">
        <v>0</v>
      </c>
      <c r="B1" s="2"/>
      <c r="C1" s="2"/>
      <c r="D1" s="1" t="s">
        <v>1</v>
      </c>
      <c r="E1" s="1"/>
      <c r="F1" s="1"/>
      <c r="G1" s="1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150" s="3" customFormat="1" outlineLevel="1">
      <c r="A2" s="5"/>
      <c r="B2" s="6"/>
      <c r="C2" s="6"/>
      <c r="D2" s="5"/>
      <c r="E2" s="5"/>
      <c r="F2" s="5"/>
      <c r="G2" s="5"/>
    </row>
    <row r="3" spans="1:150" s="3" customFormat="1" outlineLevel="1">
      <c r="A3" s="8" t="s">
        <v>2</v>
      </c>
      <c r="B3" s="9"/>
      <c r="C3" s="9"/>
      <c r="D3" s="8" t="s">
        <v>3</v>
      </c>
      <c r="E3" s="8"/>
      <c r="F3" s="8"/>
      <c r="G3" s="8"/>
    </row>
    <row r="4" spans="1:150" s="3" customFormat="1" outlineLevel="1"/>
    <row r="5" spans="1:150" s="3" customFormat="1" outlineLevel="1">
      <c r="A5" s="3" t="s">
        <v>4</v>
      </c>
      <c r="C5" s="3" t="s">
        <v>5</v>
      </c>
    </row>
    <row r="6" spans="1:150" s="3" customFormat="1" outlineLevel="1"/>
    <row r="7" spans="1:150" s="3" customFormat="1">
      <c r="B7" s="38" t="s">
        <v>6</v>
      </c>
      <c r="C7" s="40"/>
      <c r="D7" s="37" t="s">
        <v>134</v>
      </c>
      <c r="E7" s="11"/>
      <c r="F7" s="7"/>
      <c r="G7" s="7"/>
    </row>
    <row r="8" spans="1:150" s="3" customFormat="1" ht="14.25" customHeight="1">
      <c r="B8" s="10"/>
      <c r="C8" s="11"/>
      <c r="D8" s="11"/>
      <c r="E8" s="11"/>
    </row>
    <row r="9" spans="1:150" s="3" customFormat="1">
      <c r="B9" s="38" t="s">
        <v>14</v>
      </c>
      <c r="C9" s="40"/>
      <c r="D9" s="37" t="s">
        <v>22</v>
      </c>
      <c r="E9" s="11"/>
      <c r="F9" s="7"/>
      <c r="G9" s="7"/>
      <c r="R9" s="81" t="s">
        <v>107</v>
      </c>
    </row>
    <row r="10" spans="1:150" s="3" customFormat="1" ht="12" customHeight="1">
      <c r="B10" s="38" t="s">
        <v>7</v>
      </c>
      <c r="C10" s="40"/>
      <c r="D10" s="37" t="s">
        <v>19</v>
      </c>
      <c r="E10" s="11"/>
      <c r="F10" s="7"/>
      <c r="G10" s="7"/>
    </row>
    <row r="11" spans="1:150" s="3" customFormat="1">
      <c r="B11" s="38" t="s">
        <v>23</v>
      </c>
      <c r="C11" s="40"/>
      <c r="D11" s="37" t="s">
        <v>24</v>
      </c>
      <c r="E11" s="11"/>
      <c r="F11" s="7"/>
      <c r="G11" s="7"/>
    </row>
    <row r="12" spans="1:150" s="3" customFormat="1" ht="15.75" customHeight="1" thickBot="1">
      <c r="B12" s="39" t="s">
        <v>8</v>
      </c>
      <c r="C12" s="40"/>
      <c r="D12" s="37" t="s">
        <v>25</v>
      </c>
      <c r="E12" s="11"/>
      <c r="F12" s="7"/>
      <c r="G12" s="7"/>
    </row>
    <row r="13" spans="1:150" s="35" customFormat="1" ht="15.75" customHeight="1" thickBot="1">
      <c r="A13" s="32"/>
      <c r="B13" s="33"/>
      <c r="C13" s="34"/>
      <c r="AI13" s="62" t="s">
        <v>81</v>
      </c>
      <c r="AJ13" s="63"/>
      <c r="AK13" s="63"/>
      <c r="AL13" s="64"/>
      <c r="AM13" s="62" t="s">
        <v>81</v>
      </c>
      <c r="AN13" s="63"/>
      <c r="AO13" s="63"/>
      <c r="AP13" s="64"/>
      <c r="AQ13" s="62" t="s">
        <v>98</v>
      </c>
      <c r="AR13" s="63"/>
      <c r="AS13" s="63"/>
      <c r="AT13" s="64"/>
      <c r="AU13" s="62" t="s">
        <v>98</v>
      </c>
      <c r="AV13" s="63"/>
      <c r="AW13" s="63"/>
      <c r="AX13" s="63"/>
      <c r="AY13" s="63"/>
      <c r="AZ13" s="80" t="s">
        <v>103</v>
      </c>
      <c r="BA13" s="63"/>
      <c r="BB13" s="63"/>
      <c r="BC13" s="63"/>
      <c r="BD13" s="79" t="s">
        <v>98</v>
      </c>
      <c r="BE13" s="63"/>
      <c r="BF13" s="63"/>
      <c r="BG13" s="63"/>
      <c r="BH13" s="64"/>
      <c r="BI13" s="79" t="s">
        <v>98</v>
      </c>
      <c r="BJ13" s="63"/>
      <c r="BK13" s="63"/>
      <c r="BL13" s="64"/>
      <c r="BM13" s="79" t="s">
        <v>98</v>
      </c>
      <c r="BN13" s="63"/>
      <c r="BO13" s="63"/>
      <c r="BP13" s="64"/>
      <c r="BQ13" s="79" t="s">
        <v>98</v>
      </c>
      <c r="BR13" s="63"/>
      <c r="BS13" s="63"/>
      <c r="BT13" s="63"/>
      <c r="BU13" s="64"/>
      <c r="BV13" s="79" t="s">
        <v>98</v>
      </c>
      <c r="BW13" s="63"/>
      <c r="BX13" s="63"/>
      <c r="BY13" s="64"/>
      <c r="BZ13" s="79" t="s">
        <v>98</v>
      </c>
      <c r="CA13" s="63"/>
      <c r="CB13" s="63"/>
      <c r="CC13" s="63"/>
      <c r="CD13" s="64"/>
      <c r="CE13" s="82" t="s">
        <v>98</v>
      </c>
      <c r="CF13" s="63"/>
      <c r="CG13" s="63"/>
      <c r="CH13" s="64"/>
      <c r="CI13" s="82" t="s">
        <v>98</v>
      </c>
      <c r="CJ13" s="63"/>
      <c r="CK13" s="63"/>
      <c r="CL13" s="64"/>
      <c r="CM13" s="79" t="s">
        <v>98</v>
      </c>
      <c r="CN13" s="63"/>
      <c r="CO13" s="63"/>
      <c r="CP13" s="64"/>
      <c r="CQ13" s="79" t="s">
        <v>98</v>
      </c>
      <c r="CR13" s="63"/>
      <c r="CS13" s="63"/>
      <c r="CT13" s="63"/>
      <c r="CU13" s="64"/>
      <c r="CV13" s="79" t="s">
        <v>98</v>
      </c>
      <c r="CW13" s="63"/>
      <c r="CX13" s="63"/>
      <c r="CY13" s="64"/>
      <c r="CZ13" s="79" t="s">
        <v>98</v>
      </c>
      <c r="DA13" s="63"/>
      <c r="DB13" s="63"/>
      <c r="DC13" s="64"/>
      <c r="DD13" s="79" t="s">
        <v>98</v>
      </c>
      <c r="DE13" s="63"/>
      <c r="DF13" s="63"/>
      <c r="DG13" s="63"/>
      <c r="DH13" s="64"/>
      <c r="DI13" s="79" t="s">
        <v>98</v>
      </c>
      <c r="DJ13" s="63"/>
      <c r="DK13" s="63"/>
      <c r="DL13" s="64"/>
      <c r="DM13" s="79" t="s">
        <v>98</v>
      </c>
      <c r="DN13" s="63"/>
      <c r="DO13" s="63"/>
      <c r="DP13" s="63"/>
      <c r="DQ13" s="64"/>
      <c r="DR13" s="79" t="s">
        <v>98</v>
      </c>
      <c r="DS13" s="63"/>
      <c r="DT13" s="63"/>
      <c r="DU13" s="64"/>
      <c r="DV13" s="79" t="s">
        <v>98</v>
      </c>
      <c r="DW13" s="63"/>
      <c r="DX13" s="63"/>
      <c r="DY13" s="64"/>
      <c r="DZ13" s="62" t="s">
        <v>98</v>
      </c>
      <c r="EA13" s="63"/>
      <c r="EB13" s="63"/>
      <c r="EC13" s="63"/>
      <c r="ED13" s="63"/>
      <c r="EE13" s="65" t="s">
        <v>78</v>
      </c>
      <c r="EF13" s="66"/>
      <c r="EG13" s="66"/>
      <c r="EH13" s="66"/>
      <c r="EI13" s="65" t="s">
        <v>78</v>
      </c>
      <c r="EJ13" s="66"/>
      <c r="EK13" s="66"/>
      <c r="EL13" s="67"/>
      <c r="EM13" s="65" t="s">
        <v>78</v>
      </c>
      <c r="EN13" s="66"/>
      <c r="EO13" s="66"/>
      <c r="EP13" s="67"/>
      <c r="EQ13" s="65" t="s">
        <v>78</v>
      </c>
      <c r="ER13" s="66"/>
      <c r="ES13" s="66"/>
      <c r="ET13" s="67"/>
    </row>
    <row r="14" spans="1:150" s="17" customFormat="1" ht="21" customHeight="1">
      <c r="A14" s="13"/>
      <c r="B14" s="13"/>
      <c r="C14" s="13"/>
      <c r="D14" s="14"/>
      <c r="E14" s="15"/>
      <c r="F14" s="15"/>
      <c r="G14" s="16"/>
      <c r="H14" s="73"/>
      <c r="I14" s="197"/>
      <c r="J14" s="198"/>
      <c r="K14" s="198"/>
      <c r="L14" s="197"/>
      <c r="M14" s="197"/>
      <c r="N14" s="198"/>
      <c r="O14" s="198"/>
      <c r="P14" s="198"/>
      <c r="Q14" s="199"/>
      <c r="R14" s="198"/>
      <c r="S14" s="204"/>
      <c r="T14" s="204"/>
      <c r="U14" s="204"/>
      <c r="V14" s="204"/>
      <c r="W14" s="210"/>
      <c r="X14" s="13"/>
      <c r="Y14" s="207"/>
      <c r="Z14" s="204"/>
      <c r="AA14" s="204"/>
      <c r="AC14" s="204" t="s">
        <v>132</v>
      </c>
      <c r="AD14" s="185"/>
      <c r="AE14" s="185"/>
      <c r="AF14" s="185"/>
      <c r="AG14" s="185"/>
      <c r="AH14" s="188"/>
      <c r="AI14" s="76" t="str">
        <f>H19</f>
        <v>3</v>
      </c>
      <c r="AJ14" s="68"/>
      <c r="AK14" s="68"/>
      <c r="AL14" s="69"/>
      <c r="AM14" s="61" t="s">
        <v>67</v>
      </c>
      <c r="AN14" s="68"/>
      <c r="AO14" s="68"/>
      <c r="AP14" s="69"/>
      <c r="AQ14" s="60" t="s">
        <v>72</v>
      </c>
      <c r="AR14" s="68"/>
      <c r="AS14" s="68"/>
      <c r="AT14" s="68"/>
      <c r="AU14" s="61" t="s">
        <v>77</v>
      </c>
      <c r="AV14" s="68"/>
      <c r="AW14" s="68"/>
      <c r="AX14" s="68"/>
      <c r="AY14" s="68"/>
      <c r="AZ14" s="61" t="s">
        <v>82</v>
      </c>
      <c r="BA14" s="68"/>
      <c r="BB14" s="68"/>
      <c r="BC14" s="69"/>
      <c r="BD14" s="61" t="s">
        <v>85</v>
      </c>
      <c r="BE14" s="68"/>
      <c r="BF14" s="68"/>
      <c r="BG14" s="68"/>
      <c r="BH14" s="68"/>
      <c r="BI14" s="61" t="s">
        <v>97</v>
      </c>
      <c r="BJ14" s="68"/>
      <c r="BK14" s="68"/>
      <c r="BL14" s="69"/>
      <c r="BM14" s="61" t="s">
        <v>99</v>
      </c>
      <c r="BN14" s="68"/>
      <c r="BO14" s="68"/>
      <c r="BP14" s="68"/>
      <c r="BQ14" s="61" t="s">
        <v>101</v>
      </c>
      <c r="BR14" s="68"/>
      <c r="BS14" s="68"/>
      <c r="BT14" s="68"/>
      <c r="BU14" s="69"/>
      <c r="BV14" s="61" t="s">
        <v>104</v>
      </c>
      <c r="BW14" s="68"/>
      <c r="BX14" s="68"/>
      <c r="BY14" s="69"/>
      <c r="BZ14" s="61" t="s">
        <v>121</v>
      </c>
      <c r="CA14" s="68"/>
      <c r="CB14" s="68"/>
      <c r="CC14" s="68"/>
      <c r="CD14" s="69"/>
      <c r="CE14" s="61" t="s">
        <v>106</v>
      </c>
      <c r="CF14" s="68"/>
      <c r="CG14" s="68"/>
      <c r="CH14" s="69"/>
      <c r="CI14" s="61" t="s">
        <v>63</v>
      </c>
      <c r="CJ14" s="68"/>
      <c r="CK14" s="68"/>
      <c r="CL14" s="69"/>
      <c r="CM14" s="61" t="s">
        <v>67</v>
      </c>
      <c r="CN14" s="68"/>
      <c r="CO14" s="68"/>
      <c r="CP14" s="69"/>
      <c r="CQ14" s="61" t="s">
        <v>72</v>
      </c>
      <c r="CR14" s="68"/>
      <c r="CS14" s="68"/>
      <c r="CT14" s="68"/>
      <c r="CU14" s="69"/>
      <c r="CV14" s="61" t="s">
        <v>77</v>
      </c>
      <c r="CW14" s="68"/>
      <c r="CX14" s="68"/>
      <c r="CY14" s="69"/>
      <c r="CZ14" s="61" t="s">
        <v>124</v>
      </c>
      <c r="DA14" s="68"/>
      <c r="DB14" s="68"/>
      <c r="DC14" s="69"/>
      <c r="DD14" s="61" t="s">
        <v>85</v>
      </c>
      <c r="DE14" s="68"/>
      <c r="DF14" s="68"/>
      <c r="DG14" s="68"/>
      <c r="DH14" s="69"/>
      <c r="DI14" s="61" t="s">
        <v>97</v>
      </c>
      <c r="DJ14" s="68"/>
      <c r="DK14" s="68"/>
      <c r="DL14" s="69"/>
      <c r="DM14" s="61" t="s">
        <v>99</v>
      </c>
      <c r="DN14" s="68"/>
      <c r="DO14" s="68"/>
      <c r="DP14" s="68"/>
      <c r="DQ14" s="69"/>
      <c r="DR14" s="61" t="s">
        <v>101</v>
      </c>
      <c r="DS14" s="68"/>
      <c r="DT14" s="68"/>
      <c r="DU14" s="69"/>
      <c r="DV14" s="61" t="s">
        <v>104</v>
      </c>
      <c r="DW14" s="68"/>
      <c r="DX14" s="68"/>
      <c r="DY14" s="69"/>
      <c r="DZ14" s="61" t="s">
        <v>133</v>
      </c>
      <c r="EA14" s="68"/>
      <c r="EB14" s="68"/>
      <c r="EC14" s="68"/>
      <c r="ED14" s="210"/>
      <c r="EE14" s="60" t="s">
        <v>106</v>
      </c>
      <c r="EF14" s="68"/>
      <c r="EG14" s="68"/>
      <c r="EH14" s="210"/>
      <c r="EI14" s="60" t="s">
        <v>63</v>
      </c>
      <c r="EJ14" s="68"/>
      <c r="EK14" s="68"/>
      <c r="EL14" s="69"/>
      <c r="EM14" s="61" t="s">
        <v>67</v>
      </c>
      <c r="EN14" s="68"/>
      <c r="EO14" s="68"/>
      <c r="EP14" s="69"/>
      <c r="EQ14" s="61" t="s">
        <v>135</v>
      </c>
      <c r="ER14" s="68"/>
      <c r="ES14" s="68"/>
      <c r="ET14" s="69"/>
    </row>
    <row r="15" spans="1:150" s="17" customFormat="1" ht="21" customHeight="1">
      <c r="A15" s="18"/>
      <c r="B15" s="18"/>
      <c r="C15" s="18"/>
      <c r="D15" s="19"/>
      <c r="G15" s="20"/>
      <c r="H15" s="74"/>
      <c r="I15" s="200"/>
      <c r="J15" s="200"/>
      <c r="K15" s="200"/>
      <c r="L15" s="200"/>
      <c r="M15" s="201"/>
      <c r="N15" s="200"/>
      <c r="O15" s="200"/>
      <c r="P15" s="200"/>
      <c r="Q15" s="202"/>
      <c r="R15" s="200"/>
      <c r="S15" s="205"/>
      <c r="T15" s="205"/>
      <c r="U15" s="205"/>
      <c r="V15" s="205"/>
      <c r="W15" s="211"/>
      <c r="X15" s="18"/>
      <c r="Y15" s="208"/>
      <c r="Z15" s="205"/>
      <c r="AA15" s="205"/>
      <c r="AC15" s="205" t="s">
        <v>131</v>
      </c>
      <c r="AD15" s="186"/>
      <c r="AE15" s="186"/>
      <c r="AF15" s="186"/>
      <c r="AG15" s="186"/>
      <c r="AH15" s="189"/>
      <c r="AI15" s="86">
        <v>44602</v>
      </c>
      <c r="AJ15" s="86">
        <f t="shared" ref="AJ15:AJ18" si="0">AI15+7</f>
        <v>44609</v>
      </c>
      <c r="AK15" s="86">
        <f t="shared" ref="AK15:AL18" si="1">AJ15+7</f>
        <v>44616</v>
      </c>
      <c r="AL15" s="87">
        <f t="shared" si="1"/>
        <v>44623</v>
      </c>
      <c r="AM15" s="88">
        <f t="shared" ref="AM15:AM18" si="2">AL15+7</f>
        <v>44630</v>
      </c>
      <c r="AN15" s="86">
        <f t="shared" ref="AN15:AN18" si="3">AM15+7</f>
        <v>44637</v>
      </c>
      <c r="AO15" s="86">
        <f t="shared" ref="AO15:AO18" si="4">AN15+7</f>
        <v>44644</v>
      </c>
      <c r="AP15" s="85">
        <f t="shared" ref="AP15:AP18" si="5">AO15+7</f>
        <v>44651</v>
      </c>
      <c r="AQ15" s="86">
        <f>AP15+7</f>
        <v>44658</v>
      </c>
      <c r="AR15" s="86">
        <f t="shared" ref="AR15:AR18" si="6">AQ15+7</f>
        <v>44665</v>
      </c>
      <c r="AS15" s="86">
        <f t="shared" ref="AS15:AS18" si="7">AR15+7</f>
        <v>44672</v>
      </c>
      <c r="AT15" s="84">
        <f t="shared" ref="AT15:AT18" si="8">AS15+7</f>
        <v>44679</v>
      </c>
      <c r="AU15" s="89">
        <f>AT15+7</f>
        <v>44686</v>
      </c>
      <c r="AV15" s="86">
        <f t="shared" ref="AV15:AV18" si="9">AU15+7</f>
        <v>44693</v>
      </c>
      <c r="AW15" s="86">
        <f t="shared" ref="AW15:AW18" si="10">AV15+7</f>
        <v>44700</v>
      </c>
      <c r="AX15" s="86">
        <f t="shared" ref="AX15:AX18" si="11">AW15+7</f>
        <v>44707</v>
      </c>
      <c r="AY15" s="84">
        <f t="shared" ref="AY15:AY18" si="12">AX15+7</f>
        <v>44714</v>
      </c>
      <c r="AZ15" s="88">
        <f>AY15+7</f>
        <v>44721</v>
      </c>
      <c r="BA15" s="86">
        <f t="shared" ref="BA15:BA18" si="13">AZ15+7</f>
        <v>44728</v>
      </c>
      <c r="BB15" s="86">
        <f t="shared" ref="BB15:BB18" si="14">BA15+7</f>
        <v>44735</v>
      </c>
      <c r="BC15" s="85">
        <f t="shared" ref="BC15:BC18" si="15">BB15+7</f>
        <v>44742</v>
      </c>
      <c r="BD15" s="88">
        <f t="shared" ref="BD15:BD18" si="16">BC15+7</f>
        <v>44749</v>
      </c>
      <c r="BE15" s="86">
        <f t="shared" ref="BE15:BE18" si="17">BD15+7</f>
        <v>44756</v>
      </c>
      <c r="BF15" s="90">
        <f t="shared" ref="BF15:BF18" si="18">BE15+7</f>
        <v>44763</v>
      </c>
      <c r="BG15" s="86">
        <f t="shared" ref="BG15:BG18" si="19">BF15+7</f>
        <v>44770</v>
      </c>
      <c r="BH15" s="84">
        <f t="shared" ref="BH15:BH18" si="20">BG15+7</f>
        <v>44777</v>
      </c>
      <c r="BI15" s="88">
        <f>BH15+7</f>
        <v>44784</v>
      </c>
      <c r="BJ15" s="86">
        <f t="shared" ref="BJ15:BJ18" si="21">BI15+7</f>
        <v>44791</v>
      </c>
      <c r="BK15" s="86">
        <f t="shared" ref="BK15:BK18" si="22">BJ15+7</f>
        <v>44798</v>
      </c>
      <c r="BL15" s="85">
        <f t="shared" ref="BL15:BL18" si="23">BK15+7</f>
        <v>44805</v>
      </c>
      <c r="BM15" s="84">
        <f t="shared" ref="BM15:BM18" si="24">BL15+7</f>
        <v>44812</v>
      </c>
      <c r="BN15" s="91">
        <f t="shared" ref="BN15:BN18" si="25">BM15+7</f>
        <v>44819</v>
      </c>
      <c r="BO15" s="91">
        <f t="shared" ref="BO15:BO18" si="26">BN15+7</f>
        <v>44826</v>
      </c>
      <c r="BP15" s="91">
        <f t="shared" ref="BP15:BP18" si="27">BO15+7</f>
        <v>44833</v>
      </c>
      <c r="BQ15" s="83">
        <f>BP15+7</f>
        <v>44840</v>
      </c>
      <c r="BR15" s="91">
        <f t="shared" ref="BR15:BR18" si="28">BQ15+7</f>
        <v>44847</v>
      </c>
      <c r="BS15" s="92">
        <f t="shared" ref="BS15:BS18" si="29">BR15+7</f>
        <v>44854</v>
      </c>
      <c r="BT15" s="84">
        <f t="shared" ref="BT15:BU18" si="30">BS15+7</f>
        <v>44861</v>
      </c>
      <c r="BU15" s="87">
        <f t="shared" si="30"/>
        <v>44868</v>
      </c>
      <c r="BV15" s="84">
        <f t="shared" ref="BV15:BV18" si="31">BU15+7</f>
        <v>44875</v>
      </c>
      <c r="BW15" s="91">
        <f t="shared" ref="BW15:BW18" si="32">BV15+7</f>
        <v>44882</v>
      </c>
      <c r="BX15" s="91">
        <f t="shared" ref="BX15:BX18" si="33">BW15+7</f>
        <v>44889</v>
      </c>
      <c r="BY15" s="87">
        <f t="shared" ref="BY15:BY18" si="34">BX15+7</f>
        <v>44896</v>
      </c>
      <c r="BZ15" s="83">
        <f>BY15+7</f>
        <v>44903</v>
      </c>
      <c r="CA15" s="91">
        <f t="shared" ref="CA15:CA18" si="35">BZ15+7</f>
        <v>44910</v>
      </c>
      <c r="CB15" s="92">
        <f t="shared" ref="CB15:CB18" si="36">CA15+7</f>
        <v>44917</v>
      </c>
      <c r="CC15" s="90">
        <f t="shared" ref="CC15:CC18" si="37">CB15+7</f>
        <v>44924</v>
      </c>
      <c r="CD15" s="87">
        <f t="shared" ref="CD15:CD18" si="38">CC15+7</f>
        <v>44931</v>
      </c>
      <c r="CE15" s="89">
        <f t="shared" ref="CE15:CE18" si="39">CD15+7</f>
        <v>44938</v>
      </c>
      <c r="CF15" s="94">
        <f t="shared" ref="CF15:CF18" si="40">CE15+7</f>
        <v>44945</v>
      </c>
      <c r="CG15" s="91">
        <f t="shared" ref="CG15:CG18" si="41">CF15+7</f>
        <v>44952</v>
      </c>
      <c r="CH15" s="87">
        <f t="shared" ref="CH15:CH18" si="42">CG15+7</f>
        <v>44959</v>
      </c>
      <c r="CI15" s="92">
        <f t="shared" ref="CI15:CI18" si="43">CH15+7</f>
        <v>44966</v>
      </c>
      <c r="CJ15" s="94">
        <f t="shared" ref="CJ15:CJ18" si="44">CI15+7</f>
        <v>44973</v>
      </c>
      <c r="CK15" s="91">
        <f t="shared" ref="CK15:CK18" si="45">CJ15+7</f>
        <v>44980</v>
      </c>
      <c r="CL15" s="87">
        <f t="shared" ref="CL15:CL18" si="46">CK15+7</f>
        <v>44987</v>
      </c>
      <c r="CM15" s="92">
        <f t="shared" ref="CM15:CM18" si="47">CL15+7</f>
        <v>44994</v>
      </c>
      <c r="CN15" s="94">
        <f t="shared" ref="CN15:CN18" si="48">CM15+7</f>
        <v>45001</v>
      </c>
      <c r="CO15" s="91">
        <f t="shared" ref="CO15:CO18" si="49">CN15+7</f>
        <v>45008</v>
      </c>
      <c r="CP15" s="87">
        <f t="shared" ref="CP15:CP18" si="50">CO15+7</f>
        <v>45015</v>
      </c>
      <c r="CQ15" s="92">
        <f t="shared" ref="CQ15:CQ18" si="51">CP15+7</f>
        <v>45022</v>
      </c>
      <c r="CR15" s="94">
        <f t="shared" ref="CR15:CR18" si="52">CQ15+7</f>
        <v>45029</v>
      </c>
      <c r="CS15" s="91">
        <f t="shared" ref="CS15:CS18" si="53">CR15+7</f>
        <v>45036</v>
      </c>
      <c r="CT15" s="93">
        <f t="shared" ref="CT15:CU18" si="54">CS15+7</f>
        <v>45043</v>
      </c>
      <c r="CU15" s="87">
        <f t="shared" si="54"/>
        <v>45050</v>
      </c>
      <c r="CV15" s="92">
        <f t="shared" ref="CV15:CV18" si="55">CU15+7</f>
        <v>45057</v>
      </c>
      <c r="CW15" s="94">
        <f t="shared" ref="CW15:CW18" si="56">CV15+7</f>
        <v>45064</v>
      </c>
      <c r="CX15" s="91">
        <f t="shared" ref="CX15:CX18" si="57">CW15+7</f>
        <v>45071</v>
      </c>
      <c r="CY15" s="87">
        <f t="shared" ref="CY15:CY18" si="58">CX15+7</f>
        <v>45078</v>
      </c>
      <c r="CZ15" s="92">
        <f>CY15+7</f>
        <v>45085</v>
      </c>
      <c r="DA15" s="94">
        <f t="shared" ref="DA15:DA18" si="59">CZ15+7</f>
        <v>45092</v>
      </c>
      <c r="DB15" s="91">
        <f t="shared" ref="DB15:DB18" si="60">DA15+7</f>
        <v>45099</v>
      </c>
      <c r="DC15" s="87">
        <f t="shared" ref="DC15:DC18" si="61">DB15+7</f>
        <v>45106</v>
      </c>
      <c r="DD15" s="92">
        <f>DC15+7</f>
        <v>45113</v>
      </c>
      <c r="DE15" s="94">
        <f t="shared" ref="DE15:DE18" si="62">DD15+7</f>
        <v>45120</v>
      </c>
      <c r="DF15" s="192">
        <f t="shared" ref="DF15:DF18" si="63">DE15+7</f>
        <v>45127</v>
      </c>
      <c r="DG15" s="91">
        <f t="shared" ref="DG15:DH18" si="64">DF15+7</f>
        <v>45134</v>
      </c>
      <c r="DH15" s="87">
        <f t="shared" si="64"/>
        <v>45141</v>
      </c>
      <c r="DI15" s="92">
        <f>DH15+7</f>
        <v>45148</v>
      </c>
      <c r="DJ15" s="94">
        <f t="shared" ref="DJ15:DJ18" si="65">DI15+7</f>
        <v>45155</v>
      </c>
      <c r="DK15" s="91">
        <f t="shared" ref="DK15:DK18" si="66">DJ15+7</f>
        <v>45162</v>
      </c>
      <c r="DL15" s="87">
        <f t="shared" ref="DL15:DL18" si="67">DK15+7</f>
        <v>45169</v>
      </c>
      <c r="DM15" s="92">
        <f>DL15+7</f>
        <v>45176</v>
      </c>
      <c r="DN15" s="94">
        <f t="shared" ref="DN15:DN18" si="68">DM15+7</f>
        <v>45183</v>
      </c>
      <c r="DO15" s="91">
        <f t="shared" ref="DO15:DO18" si="69">DN15+7</f>
        <v>45190</v>
      </c>
      <c r="DP15" s="91">
        <f t="shared" ref="DP15:DQ18" si="70">DO15+7</f>
        <v>45197</v>
      </c>
      <c r="DQ15" s="87">
        <f t="shared" si="70"/>
        <v>45204</v>
      </c>
      <c r="DR15" s="92">
        <f>DQ15+7</f>
        <v>45211</v>
      </c>
      <c r="DS15" s="94">
        <f t="shared" ref="DS15:DS18" si="71">DR15+7</f>
        <v>45218</v>
      </c>
      <c r="DT15" s="91">
        <f t="shared" ref="DT15:DT18" si="72">DS15+7</f>
        <v>45225</v>
      </c>
      <c r="DU15" s="87">
        <f t="shared" ref="DU15:DU18" si="73">DT15+7</f>
        <v>45232</v>
      </c>
      <c r="DV15" s="92">
        <f>DU15+7</f>
        <v>45239</v>
      </c>
      <c r="DW15" s="94">
        <f t="shared" ref="DW15:DW18" si="74">DV15+7</f>
        <v>45246</v>
      </c>
      <c r="DX15" s="91">
        <f t="shared" ref="DX15:DX18" si="75">DW15+7</f>
        <v>45253</v>
      </c>
      <c r="DY15" s="87">
        <f t="shared" ref="DY15:DY18" si="76">DX15+7</f>
        <v>45260</v>
      </c>
      <c r="DZ15" s="222">
        <f>DY15+7</f>
        <v>45267</v>
      </c>
      <c r="EA15" s="223">
        <f t="shared" ref="EA15:EA18" si="77">DZ15+7</f>
        <v>45274</v>
      </c>
      <c r="EB15" s="224">
        <f t="shared" ref="EB15:EB18" si="78">EA15+7</f>
        <v>45281</v>
      </c>
      <c r="EC15" s="92">
        <f t="shared" ref="EC15:ED17" si="79">EB15+7</f>
        <v>45288</v>
      </c>
      <c r="ED15" s="85">
        <f t="shared" si="79"/>
        <v>45295</v>
      </c>
      <c r="EE15" s="86">
        <f>ED15+7</f>
        <v>45302</v>
      </c>
      <c r="EF15" s="94">
        <f t="shared" ref="EF15:EF18" si="80">EE15+7</f>
        <v>45309</v>
      </c>
      <c r="EG15" s="92">
        <f t="shared" ref="EG15:EG18" si="81">EF15+7</f>
        <v>45316</v>
      </c>
      <c r="EH15" s="242">
        <f t="shared" ref="EH15:EH17" si="82">EG15+7</f>
        <v>45323</v>
      </c>
      <c r="EI15" s="86">
        <f>EH15+7</f>
        <v>45330</v>
      </c>
      <c r="EJ15" s="94">
        <f t="shared" ref="EJ15:EJ18" si="83">EI15+7</f>
        <v>45337</v>
      </c>
      <c r="EK15" s="91">
        <f t="shared" ref="EK15:EK18" si="84">EJ15+7</f>
        <v>45344</v>
      </c>
      <c r="EL15" s="87">
        <f t="shared" ref="EL15:EL17" si="85">EK15+7</f>
        <v>45351</v>
      </c>
      <c r="EM15" s="92">
        <f>EL15+7</f>
        <v>45358</v>
      </c>
      <c r="EN15" s="94">
        <f t="shared" ref="EN15:EN18" si="86">EM15+7</f>
        <v>45365</v>
      </c>
      <c r="EO15" s="91">
        <f t="shared" ref="EO15:EO18" si="87">EN15+7</f>
        <v>45372</v>
      </c>
      <c r="EP15" s="87">
        <f t="shared" ref="EP15:EP17" si="88">EO15+7</f>
        <v>45379</v>
      </c>
      <c r="EQ15" s="92">
        <f>EP15+7</f>
        <v>45386</v>
      </c>
      <c r="ER15" s="228">
        <f t="shared" ref="ER15:ER18" si="89">EQ15+7</f>
        <v>45393</v>
      </c>
      <c r="ES15" s="91">
        <f t="shared" ref="ES15:ES18" si="90">ER15+7</f>
        <v>45400</v>
      </c>
      <c r="ET15" s="87">
        <f t="shared" ref="ET15:ET17" si="91">ES15+7</f>
        <v>45407</v>
      </c>
    </row>
    <row r="16" spans="1:150" s="17" customFormat="1" ht="21" customHeight="1">
      <c r="A16" s="18"/>
      <c r="B16" s="18"/>
      <c r="C16" s="18"/>
      <c r="D16" s="19"/>
      <c r="G16" s="20"/>
      <c r="H16" s="74"/>
      <c r="I16" s="200"/>
      <c r="J16" s="200"/>
      <c r="K16" s="200"/>
      <c r="L16" s="200"/>
      <c r="M16" s="203"/>
      <c r="N16" s="200"/>
      <c r="O16" s="200"/>
      <c r="P16" s="200"/>
      <c r="Q16" s="202"/>
      <c r="R16" s="200"/>
      <c r="S16" s="206"/>
      <c r="T16" s="206"/>
      <c r="U16" s="206"/>
      <c r="V16" s="206"/>
      <c r="W16" s="211"/>
      <c r="X16" s="18"/>
      <c r="Y16" s="209"/>
      <c r="Z16" s="206"/>
      <c r="AA16" s="206"/>
      <c r="AC16" s="206" t="s">
        <v>130</v>
      </c>
      <c r="AD16" s="187"/>
      <c r="AE16" s="187"/>
      <c r="AF16" s="187"/>
      <c r="AG16" s="187"/>
      <c r="AH16" s="190"/>
      <c r="AI16" s="86">
        <v>44604</v>
      </c>
      <c r="AJ16" s="86">
        <f t="shared" si="0"/>
        <v>44611</v>
      </c>
      <c r="AK16" s="86">
        <f t="shared" si="1"/>
        <v>44618</v>
      </c>
      <c r="AL16" s="87">
        <f t="shared" si="1"/>
        <v>44625</v>
      </c>
      <c r="AM16" s="88">
        <f t="shared" si="2"/>
        <v>44632</v>
      </c>
      <c r="AN16" s="86">
        <f t="shared" si="3"/>
        <v>44639</v>
      </c>
      <c r="AO16" s="86">
        <f t="shared" si="4"/>
        <v>44646</v>
      </c>
      <c r="AP16" s="85">
        <f t="shared" si="5"/>
        <v>44653</v>
      </c>
      <c r="AQ16" s="86">
        <f>AP16+7</f>
        <v>44660</v>
      </c>
      <c r="AR16" s="86">
        <f t="shared" si="6"/>
        <v>44667</v>
      </c>
      <c r="AS16" s="86">
        <f t="shared" si="7"/>
        <v>44674</v>
      </c>
      <c r="AT16" s="84">
        <f t="shared" si="8"/>
        <v>44681</v>
      </c>
      <c r="AU16" s="89">
        <f>AT16+7</f>
        <v>44688</v>
      </c>
      <c r="AV16" s="86">
        <f t="shared" si="9"/>
        <v>44695</v>
      </c>
      <c r="AW16" s="86">
        <f t="shared" si="10"/>
        <v>44702</v>
      </c>
      <c r="AX16" s="86">
        <f t="shared" si="11"/>
        <v>44709</v>
      </c>
      <c r="AY16" s="84">
        <f t="shared" si="12"/>
        <v>44716</v>
      </c>
      <c r="AZ16" s="88">
        <f>AY16+7</f>
        <v>44723</v>
      </c>
      <c r="BA16" s="86">
        <f t="shared" si="13"/>
        <v>44730</v>
      </c>
      <c r="BB16" s="86">
        <f t="shared" si="14"/>
        <v>44737</v>
      </c>
      <c r="BC16" s="85">
        <f t="shared" si="15"/>
        <v>44744</v>
      </c>
      <c r="BD16" s="88">
        <f t="shared" si="16"/>
        <v>44751</v>
      </c>
      <c r="BE16" s="86">
        <f t="shared" si="17"/>
        <v>44758</v>
      </c>
      <c r="BF16" s="90">
        <f t="shared" si="18"/>
        <v>44765</v>
      </c>
      <c r="BG16" s="86">
        <f t="shared" si="19"/>
        <v>44772</v>
      </c>
      <c r="BH16" s="84">
        <f t="shared" si="20"/>
        <v>44779</v>
      </c>
      <c r="BI16" s="88">
        <f>BH16+7</f>
        <v>44786</v>
      </c>
      <c r="BJ16" s="86">
        <f t="shared" si="21"/>
        <v>44793</v>
      </c>
      <c r="BK16" s="86">
        <f t="shared" si="22"/>
        <v>44800</v>
      </c>
      <c r="BL16" s="85">
        <f t="shared" si="23"/>
        <v>44807</v>
      </c>
      <c r="BM16" s="84">
        <f t="shared" si="24"/>
        <v>44814</v>
      </c>
      <c r="BN16" s="91">
        <f t="shared" si="25"/>
        <v>44821</v>
      </c>
      <c r="BO16" s="91">
        <f t="shared" si="26"/>
        <v>44828</v>
      </c>
      <c r="BP16" s="91">
        <f t="shared" si="27"/>
        <v>44835</v>
      </c>
      <c r="BQ16" s="83">
        <f>BP16+7</f>
        <v>44842</v>
      </c>
      <c r="BR16" s="91">
        <f t="shared" si="28"/>
        <v>44849</v>
      </c>
      <c r="BS16" s="92">
        <f t="shared" si="29"/>
        <v>44856</v>
      </c>
      <c r="BT16" s="84">
        <f t="shared" si="30"/>
        <v>44863</v>
      </c>
      <c r="BU16" s="87">
        <f t="shared" si="30"/>
        <v>44870</v>
      </c>
      <c r="BV16" s="84">
        <f t="shared" si="31"/>
        <v>44877</v>
      </c>
      <c r="BW16" s="91">
        <f t="shared" si="32"/>
        <v>44884</v>
      </c>
      <c r="BX16" s="91">
        <f t="shared" si="33"/>
        <v>44891</v>
      </c>
      <c r="BY16" s="87">
        <f t="shared" si="34"/>
        <v>44898</v>
      </c>
      <c r="BZ16" s="83">
        <f>BY16+7</f>
        <v>44905</v>
      </c>
      <c r="CA16" s="91">
        <f t="shared" si="35"/>
        <v>44912</v>
      </c>
      <c r="CB16" s="92">
        <f t="shared" si="36"/>
        <v>44919</v>
      </c>
      <c r="CC16" s="90">
        <f t="shared" si="37"/>
        <v>44926</v>
      </c>
      <c r="CD16" s="87">
        <f t="shared" si="38"/>
        <v>44933</v>
      </c>
      <c r="CE16" s="89">
        <f t="shared" si="39"/>
        <v>44940</v>
      </c>
      <c r="CF16" s="94">
        <f t="shared" si="40"/>
        <v>44947</v>
      </c>
      <c r="CG16" s="91">
        <f t="shared" si="41"/>
        <v>44954</v>
      </c>
      <c r="CH16" s="87">
        <f t="shared" si="42"/>
        <v>44961</v>
      </c>
      <c r="CI16" s="92">
        <f t="shared" si="43"/>
        <v>44968</v>
      </c>
      <c r="CJ16" s="94">
        <f t="shared" si="44"/>
        <v>44975</v>
      </c>
      <c r="CK16" s="91">
        <f t="shared" si="45"/>
        <v>44982</v>
      </c>
      <c r="CL16" s="87">
        <f t="shared" si="46"/>
        <v>44989</v>
      </c>
      <c r="CM16" s="92">
        <f t="shared" si="47"/>
        <v>44996</v>
      </c>
      <c r="CN16" s="94">
        <f t="shared" si="48"/>
        <v>45003</v>
      </c>
      <c r="CO16" s="91">
        <f t="shared" si="49"/>
        <v>45010</v>
      </c>
      <c r="CP16" s="87">
        <f t="shared" si="50"/>
        <v>45017</v>
      </c>
      <c r="CQ16" s="92">
        <f t="shared" si="51"/>
        <v>45024</v>
      </c>
      <c r="CR16" s="94">
        <f t="shared" si="52"/>
        <v>45031</v>
      </c>
      <c r="CS16" s="91">
        <f t="shared" si="53"/>
        <v>45038</v>
      </c>
      <c r="CT16" s="93">
        <f t="shared" si="54"/>
        <v>45045</v>
      </c>
      <c r="CU16" s="87">
        <f t="shared" si="54"/>
        <v>45052</v>
      </c>
      <c r="CV16" s="92">
        <f t="shared" si="55"/>
        <v>45059</v>
      </c>
      <c r="CW16" s="94">
        <f t="shared" si="56"/>
        <v>45066</v>
      </c>
      <c r="CX16" s="91">
        <f t="shared" si="57"/>
        <v>45073</v>
      </c>
      <c r="CY16" s="87">
        <f t="shared" si="58"/>
        <v>45080</v>
      </c>
      <c r="CZ16" s="92">
        <f t="shared" ref="CZ16:CZ18" si="92">CY16+7</f>
        <v>45087</v>
      </c>
      <c r="DA16" s="94">
        <f t="shared" si="59"/>
        <v>45094</v>
      </c>
      <c r="DB16" s="91">
        <f t="shared" si="60"/>
        <v>45101</v>
      </c>
      <c r="DC16" s="87">
        <f t="shared" si="61"/>
        <v>45108</v>
      </c>
      <c r="DD16" s="92">
        <f t="shared" ref="DD16:DD18" si="93">DC16+7</f>
        <v>45115</v>
      </c>
      <c r="DE16" s="94">
        <f t="shared" si="62"/>
        <v>45122</v>
      </c>
      <c r="DF16" s="192">
        <f t="shared" si="63"/>
        <v>45129</v>
      </c>
      <c r="DG16" s="91">
        <f t="shared" si="64"/>
        <v>45136</v>
      </c>
      <c r="DH16" s="87">
        <f t="shared" si="64"/>
        <v>45143</v>
      </c>
      <c r="DI16" s="92">
        <f t="shared" ref="DI16:DI18" si="94">DH16+7</f>
        <v>45150</v>
      </c>
      <c r="DJ16" s="94">
        <f t="shared" si="65"/>
        <v>45157</v>
      </c>
      <c r="DK16" s="91">
        <f t="shared" si="66"/>
        <v>45164</v>
      </c>
      <c r="DL16" s="87">
        <f t="shared" si="67"/>
        <v>45171</v>
      </c>
      <c r="DM16" s="92">
        <f t="shared" ref="DM16:DM18" si="95">DL16+7</f>
        <v>45178</v>
      </c>
      <c r="DN16" s="94">
        <f t="shared" si="68"/>
        <v>45185</v>
      </c>
      <c r="DO16" s="91">
        <f t="shared" si="69"/>
        <v>45192</v>
      </c>
      <c r="DP16" s="91">
        <f t="shared" si="70"/>
        <v>45199</v>
      </c>
      <c r="DQ16" s="87">
        <f t="shared" si="70"/>
        <v>45206</v>
      </c>
      <c r="DR16" s="92">
        <f>DQ16+7</f>
        <v>45213</v>
      </c>
      <c r="DS16" s="94">
        <f t="shared" si="71"/>
        <v>45220</v>
      </c>
      <c r="DT16" s="91">
        <f t="shared" si="72"/>
        <v>45227</v>
      </c>
      <c r="DU16" s="87">
        <f t="shared" si="73"/>
        <v>45234</v>
      </c>
      <c r="DV16" s="92">
        <f t="shared" ref="DV16:DV18" si="96">DU16+7</f>
        <v>45241</v>
      </c>
      <c r="DW16" s="94">
        <f t="shared" si="74"/>
        <v>45248</v>
      </c>
      <c r="DX16" s="91">
        <f t="shared" si="75"/>
        <v>45255</v>
      </c>
      <c r="DY16" s="87">
        <f t="shared" si="76"/>
        <v>45262</v>
      </c>
      <c r="DZ16" s="92">
        <f t="shared" ref="DZ16:DZ18" si="97">DY16+7</f>
        <v>45269</v>
      </c>
      <c r="EA16" s="94">
        <f t="shared" si="77"/>
        <v>45276</v>
      </c>
      <c r="EB16" s="91">
        <f t="shared" si="78"/>
        <v>45283</v>
      </c>
      <c r="EC16" s="92">
        <f t="shared" si="79"/>
        <v>45290</v>
      </c>
      <c r="ED16" s="85">
        <f t="shared" si="79"/>
        <v>45297</v>
      </c>
      <c r="EE16" s="86">
        <f t="shared" ref="EE16:EE18" si="98">ED16+7</f>
        <v>45304</v>
      </c>
      <c r="EF16" s="94">
        <f t="shared" si="80"/>
        <v>45311</v>
      </c>
      <c r="EG16" s="92">
        <f t="shared" si="81"/>
        <v>45318</v>
      </c>
      <c r="EH16" s="242">
        <f t="shared" si="82"/>
        <v>45325</v>
      </c>
      <c r="EI16" s="86">
        <f t="shared" ref="EI16:EI17" si="99">EH16+7</f>
        <v>45332</v>
      </c>
      <c r="EJ16" s="94">
        <f t="shared" si="83"/>
        <v>45339</v>
      </c>
      <c r="EK16" s="91">
        <f t="shared" si="84"/>
        <v>45346</v>
      </c>
      <c r="EL16" s="87">
        <f t="shared" si="85"/>
        <v>45353</v>
      </c>
      <c r="EM16" s="92">
        <f t="shared" ref="EM16:EM18" si="100">EL16+7</f>
        <v>45360</v>
      </c>
      <c r="EN16" s="94">
        <f t="shared" si="86"/>
        <v>45367</v>
      </c>
      <c r="EO16" s="91">
        <f t="shared" si="87"/>
        <v>45374</v>
      </c>
      <c r="EP16" s="87">
        <f t="shared" si="88"/>
        <v>45381</v>
      </c>
      <c r="EQ16" s="92">
        <f t="shared" ref="EQ16:EQ18" si="101">EP16+7</f>
        <v>45388</v>
      </c>
      <c r="ER16" s="228">
        <f t="shared" si="89"/>
        <v>45395</v>
      </c>
      <c r="ES16" s="91">
        <f t="shared" si="90"/>
        <v>45402</v>
      </c>
      <c r="ET16" s="87">
        <f t="shared" si="91"/>
        <v>45409</v>
      </c>
    </row>
    <row r="17" spans="1:150" s="17" customFormat="1" ht="21" customHeight="1">
      <c r="A17" s="42" t="s">
        <v>15</v>
      </c>
      <c r="B17" s="42" t="s">
        <v>16</v>
      </c>
      <c r="C17" s="18"/>
      <c r="D17" s="19"/>
      <c r="G17" s="20"/>
      <c r="H17" s="74"/>
      <c r="I17" s="200"/>
      <c r="J17" s="200"/>
      <c r="K17" s="200"/>
      <c r="L17" s="200"/>
      <c r="M17" s="201"/>
      <c r="N17" s="200"/>
      <c r="O17" s="200"/>
      <c r="P17" s="200"/>
      <c r="Q17" s="202"/>
      <c r="R17" s="200"/>
      <c r="S17" s="205"/>
      <c r="T17" s="205"/>
      <c r="U17" s="205"/>
      <c r="V17" s="205"/>
      <c r="W17" s="211"/>
      <c r="X17" s="18"/>
      <c r="Y17" s="208"/>
      <c r="Z17" s="205"/>
      <c r="AA17" s="205"/>
      <c r="AC17" s="205" t="s">
        <v>122</v>
      </c>
      <c r="AD17" s="186"/>
      <c r="AE17" s="186"/>
      <c r="AF17" s="186"/>
      <c r="AG17" s="186"/>
      <c r="AH17" s="189"/>
      <c r="AI17" s="86">
        <v>44612</v>
      </c>
      <c r="AJ17" s="86">
        <f t="shared" si="0"/>
        <v>44619</v>
      </c>
      <c r="AK17" s="86">
        <f t="shared" si="1"/>
        <v>44626</v>
      </c>
      <c r="AL17" s="87">
        <f t="shared" si="1"/>
        <v>44633</v>
      </c>
      <c r="AM17" s="88">
        <f t="shared" si="2"/>
        <v>44640</v>
      </c>
      <c r="AN17" s="86">
        <f t="shared" si="3"/>
        <v>44647</v>
      </c>
      <c r="AO17" s="86">
        <f t="shared" si="4"/>
        <v>44654</v>
      </c>
      <c r="AP17" s="85">
        <f t="shared" si="5"/>
        <v>44661</v>
      </c>
      <c r="AQ17" s="86">
        <f>AP17+7</f>
        <v>44668</v>
      </c>
      <c r="AR17" s="86">
        <f t="shared" si="6"/>
        <v>44675</v>
      </c>
      <c r="AS17" s="86">
        <f t="shared" si="7"/>
        <v>44682</v>
      </c>
      <c r="AT17" s="84">
        <f t="shared" si="8"/>
        <v>44689</v>
      </c>
      <c r="AU17" s="89">
        <f>AT17+7</f>
        <v>44696</v>
      </c>
      <c r="AV17" s="86">
        <f t="shared" si="9"/>
        <v>44703</v>
      </c>
      <c r="AW17" s="86">
        <f t="shared" si="10"/>
        <v>44710</v>
      </c>
      <c r="AX17" s="86">
        <f t="shared" si="11"/>
        <v>44717</v>
      </c>
      <c r="AY17" s="84">
        <f t="shared" si="12"/>
        <v>44724</v>
      </c>
      <c r="AZ17" s="88">
        <f>AY17+7</f>
        <v>44731</v>
      </c>
      <c r="BA17" s="86">
        <f t="shared" si="13"/>
        <v>44738</v>
      </c>
      <c r="BB17" s="86">
        <f t="shared" si="14"/>
        <v>44745</v>
      </c>
      <c r="BC17" s="85">
        <f t="shared" si="15"/>
        <v>44752</v>
      </c>
      <c r="BD17" s="88">
        <f t="shared" si="16"/>
        <v>44759</v>
      </c>
      <c r="BE17" s="86">
        <f t="shared" si="17"/>
        <v>44766</v>
      </c>
      <c r="BF17" s="90">
        <f t="shared" si="18"/>
        <v>44773</v>
      </c>
      <c r="BG17" s="86">
        <f t="shared" si="19"/>
        <v>44780</v>
      </c>
      <c r="BH17" s="84">
        <f t="shared" si="20"/>
        <v>44787</v>
      </c>
      <c r="BI17" s="88">
        <f>BH17+7</f>
        <v>44794</v>
      </c>
      <c r="BJ17" s="86">
        <f t="shared" si="21"/>
        <v>44801</v>
      </c>
      <c r="BK17" s="86">
        <f t="shared" si="22"/>
        <v>44808</v>
      </c>
      <c r="BL17" s="85">
        <f t="shared" si="23"/>
        <v>44815</v>
      </c>
      <c r="BM17" s="84">
        <f t="shared" si="24"/>
        <v>44822</v>
      </c>
      <c r="BN17" s="91">
        <f t="shared" si="25"/>
        <v>44829</v>
      </c>
      <c r="BO17" s="91">
        <f t="shared" si="26"/>
        <v>44836</v>
      </c>
      <c r="BP17" s="91">
        <f t="shared" si="27"/>
        <v>44843</v>
      </c>
      <c r="BQ17" s="83">
        <f>BP17+7</f>
        <v>44850</v>
      </c>
      <c r="BR17" s="91">
        <f t="shared" si="28"/>
        <v>44857</v>
      </c>
      <c r="BS17" s="92">
        <f t="shared" si="29"/>
        <v>44864</v>
      </c>
      <c r="BT17" s="84">
        <f t="shared" si="30"/>
        <v>44871</v>
      </c>
      <c r="BU17" s="87">
        <f t="shared" si="30"/>
        <v>44878</v>
      </c>
      <c r="BV17" s="84">
        <f t="shared" si="31"/>
        <v>44885</v>
      </c>
      <c r="BW17" s="91">
        <f t="shared" si="32"/>
        <v>44892</v>
      </c>
      <c r="BX17" s="91">
        <f t="shared" si="33"/>
        <v>44899</v>
      </c>
      <c r="BY17" s="87">
        <f t="shared" si="34"/>
        <v>44906</v>
      </c>
      <c r="BZ17" s="83">
        <f>BY17+7</f>
        <v>44913</v>
      </c>
      <c r="CA17" s="91">
        <f t="shared" si="35"/>
        <v>44920</v>
      </c>
      <c r="CB17" s="92">
        <f t="shared" si="36"/>
        <v>44927</v>
      </c>
      <c r="CC17" s="90">
        <f t="shared" si="37"/>
        <v>44934</v>
      </c>
      <c r="CD17" s="87">
        <f t="shared" si="38"/>
        <v>44941</v>
      </c>
      <c r="CE17" s="89">
        <f t="shared" si="39"/>
        <v>44948</v>
      </c>
      <c r="CF17" s="94">
        <f t="shared" si="40"/>
        <v>44955</v>
      </c>
      <c r="CG17" s="91">
        <f t="shared" si="41"/>
        <v>44962</v>
      </c>
      <c r="CH17" s="87">
        <f t="shared" si="42"/>
        <v>44969</v>
      </c>
      <c r="CI17" s="92">
        <f t="shared" si="43"/>
        <v>44976</v>
      </c>
      <c r="CJ17" s="94">
        <f t="shared" si="44"/>
        <v>44983</v>
      </c>
      <c r="CK17" s="91">
        <f t="shared" si="45"/>
        <v>44990</v>
      </c>
      <c r="CL17" s="87">
        <f t="shared" si="46"/>
        <v>44997</v>
      </c>
      <c r="CM17" s="92">
        <f t="shared" si="47"/>
        <v>45004</v>
      </c>
      <c r="CN17" s="94">
        <f t="shared" si="48"/>
        <v>45011</v>
      </c>
      <c r="CO17" s="91">
        <f t="shared" si="49"/>
        <v>45018</v>
      </c>
      <c r="CP17" s="87">
        <f t="shared" si="50"/>
        <v>45025</v>
      </c>
      <c r="CQ17" s="92">
        <f t="shared" si="51"/>
        <v>45032</v>
      </c>
      <c r="CR17" s="94">
        <f t="shared" si="52"/>
        <v>45039</v>
      </c>
      <c r="CS17" s="91">
        <f t="shared" si="53"/>
        <v>45046</v>
      </c>
      <c r="CT17" s="93">
        <f t="shared" si="54"/>
        <v>45053</v>
      </c>
      <c r="CU17" s="87">
        <f t="shared" si="54"/>
        <v>45060</v>
      </c>
      <c r="CV17" s="92">
        <f t="shared" si="55"/>
        <v>45067</v>
      </c>
      <c r="CW17" s="94">
        <f t="shared" si="56"/>
        <v>45074</v>
      </c>
      <c r="CX17" s="91">
        <f t="shared" si="57"/>
        <v>45081</v>
      </c>
      <c r="CY17" s="87">
        <f t="shared" si="58"/>
        <v>45088</v>
      </c>
      <c r="CZ17" s="92">
        <f t="shared" si="92"/>
        <v>45095</v>
      </c>
      <c r="DA17" s="94">
        <f t="shared" si="59"/>
        <v>45102</v>
      </c>
      <c r="DB17" s="91">
        <f t="shared" si="60"/>
        <v>45109</v>
      </c>
      <c r="DC17" s="87">
        <f t="shared" si="61"/>
        <v>45116</v>
      </c>
      <c r="DD17" s="92">
        <f t="shared" si="93"/>
        <v>45123</v>
      </c>
      <c r="DE17" s="94">
        <f t="shared" si="62"/>
        <v>45130</v>
      </c>
      <c r="DF17" s="192">
        <f t="shared" si="63"/>
        <v>45137</v>
      </c>
      <c r="DG17" s="91">
        <f t="shared" si="64"/>
        <v>45144</v>
      </c>
      <c r="DH17" s="87">
        <f t="shared" si="64"/>
        <v>45151</v>
      </c>
      <c r="DI17" s="92">
        <f t="shared" si="94"/>
        <v>45158</v>
      </c>
      <c r="DJ17" s="94">
        <f t="shared" si="65"/>
        <v>45165</v>
      </c>
      <c r="DK17" s="91">
        <f t="shared" si="66"/>
        <v>45172</v>
      </c>
      <c r="DL17" s="87">
        <f t="shared" si="67"/>
        <v>45179</v>
      </c>
      <c r="DM17" s="92">
        <f t="shared" si="95"/>
        <v>45186</v>
      </c>
      <c r="DN17" s="94">
        <f t="shared" si="68"/>
        <v>45193</v>
      </c>
      <c r="DO17" s="91">
        <f t="shared" si="69"/>
        <v>45200</v>
      </c>
      <c r="DP17" s="91">
        <f t="shared" si="70"/>
        <v>45207</v>
      </c>
      <c r="DQ17" s="87">
        <f t="shared" si="70"/>
        <v>45214</v>
      </c>
      <c r="DR17" s="92">
        <f>DQ17+7</f>
        <v>45221</v>
      </c>
      <c r="DS17" s="94">
        <f t="shared" si="71"/>
        <v>45228</v>
      </c>
      <c r="DT17" s="91">
        <f t="shared" si="72"/>
        <v>45235</v>
      </c>
      <c r="DU17" s="87">
        <f t="shared" si="73"/>
        <v>45242</v>
      </c>
      <c r="DV17" s="92">
        <f t="shared" si="96"/>
        <v>45249</v>
      </c>
      <c r="DW17" s="94">
        <f t="shared" si="74"/>
        <v>45256</v>
      </c>
      <c r="DX17" s="91">
        <f t="shared" si="75"/>
        <v>45263</v>
      </c>
      <c r="DY17" s="87">
        <f t="shared" si="76"/>
        <v>45270</v>
      </c>
      <c r="DZ17" s="92">
        <f t="shared" si="97"/>
        <v>45277</v>
      </c>
      <c r="EA17" s="94">
        <f t="shared" si="77"/>
        <v>45284</v>
      </c>
      <c r="EB17" s="91">
        <f t="shared" si="78"/>
        <v>45291</v>
      </c>
      <c r="EC17" s="92">
        <f t="shared" si="79"/>
        <v>45298</v>
      </c>
      <c r="ED17" s="85">
        <f t="shared" si="79"/>
        <v>45305</v>
      </c>
      <c r="EE17" s="86">
        <f t="shared" si="98"/>
        <v>45312</v>
      </c>
      <c r="EF17" s="94">
        <f>EE17+7</f>
        <v>45319</v>
      </c>
      <c r="EG17" s="92">
        <f t="shared" si="81"/>
        <v>45326</v>
      </c>
      <c r="EH17" s="242">
        <f t="shared" si="82"/>
        <v>45333</v>
      </c>
      <c r="EI17" s="86">
        <f t="shared" si="99"/>
        <v>45340</v>
      </c>
      <c r="EJ17" s="94">
        <f t="shared" si="83"/>
        <v>45347</v>
      </c>
      <c r="EK17" s="91">
        <f t="shared" si="84"/>
        <v>45354</v>
      </c>
      <c r="EL17" s="87">
        <f t="shared" si="85"/>
        <v>45361</v>
      </c>
      <c r="EM17" s="92">
        <f t="shared" si="100"/>
        <v>45368</v>
      </c>
      <c r="EN17" s="94">
        <f t="shared" si="86"/>
        <v>45375</v>
      </c>
      <c r="EO17" s="91">
        <f t="shared" si="87"/>
        <v>45382</v>
      </c>
      <c r="EP17" s="87">
        <f t="shared" si="88"/>
        <v>45389</v>
      </c>
      <c r="EQ17" s="92">
        <f t="shared" si="101"/>
        <v>45396</v>
      </c>
      <c r="ER17" s="228">
        <f t="shared" si="89"/>
        <v>45403</v>
      </c>
      <c r="ES17" s="91">
        <f t="shared" si="90"/>
        <v>45410</v>
      </c>
      <c r="ET17" s="87">
        <f t="shared" si="91"/>
        <v>45417</v>
      </c>
    </row>
    <row r="18" spans="1:150" s="17" customFormat="1" ht="21" customHeight="1">
      <c r="A18" s="42" t="s">
        <v>27</v>
      </c>
      <c r="B18" s="42"/>
      <c r="C18" s="18"/>
      <c r="D18" s="19"/>
      <c r="G18" s="20"/>
      <c r="H18" s="74"/>
      <c r="I18" s="200"/>
      <c r="J18" s="200"/>
      <c r="K18" s="200"/>
      <c r="L18" s="200"/>
      <c r="M18" s="201"/>
      <c r="N18" s="200"/>
      <c r="O18" s="200"/>
      <c r="P18" s="200"/>
      <c r="Q18" s="202"/>
      <c r="R18" s="200"/>
      <c r="S18" s="205"/>
      <c r="T18" s="205"/>
      <c r="U18" s="205"/>
      <c r="V18" s="205"/>
      <c r="W18" s="211"/>
      <c r="X18" s="212"/>
      <c r="Y18" s="208"/>
      <c r="Z18" s="205"/>
      <c r="AA18" s="205"/>
      <c r="AC18" s="205" t="s">
        <v>129</v>
      </c>
      <c r="AD18" s="186"/>
      <c r="AE18" s="186"/>
      <c r="AF18" s="186"/>
      <c r="AG18" s="186"/>
      <c r="AH18" s="189"/>
      <c r="AI18" s="95">
        <v>44614</v>
      </c>
      <c r="AJ18" s="95">
        <f t="shared" si="0"/>
        <v>44621</v>
      </c>
      <c r="AK18" s="95">
        <f t="shared" si="1"/>
        <v>44628</v>
      </c>
      <c r="AL18" s="96">
        <f t="shared" si="1"/>
        <v>44635</v>
      </c>
      <c r="AM18" s="97">
        <f t="shared" si="2"/>
        <v>44642</v>
      </c>
      <c r="AN18" s="95">
        <f t="shared" si="3"/>
        <v>44649</v>
      </c>
      <c r="AO18" s="95">
        <f t="shared" si="4"/>
        <v>44656</v>
      </c>
      <c r="AP18" s="98">
        <f t="shared" si="5"/>
        <v>44663</v>
      </c>
      <c r="AQ18" s="95">
        <f>AP18+7</f>
        <v>44670</v>
      </c>
      <c r="AR18" s="95">
        <f t="shared" si="6"/>
        <v>44677</v>
      </c>
      <c r="AS18" s="95">
        <f t="shared" si="7"/>
        <v>44684</v>
      </c>
      <c r="AT18" s="99">
        <f t="shared" si="8"/>
        <v>44691</v>
      </c>
      <c r="AU18" s="100">
        <f>AT18+7</f>
        <v>44698</v>
      </c>
      <c r="AV18" s="95">
        <f t="shared" si="9"/>
        <v>44705</v>
      </c>
      <c r="AW18" s="95">
        <f t="shared" si="10"/>
        <v>44712</v>
      </c>
      <c r="AX18" s="95">
        <f t="shared" si="11"/>
        <v>44719</v>
      </c>
      <c r="AY18" s="99">
        <f t="shared" si="12"/>
        <v>44726</v>
      </c>
      <c r="AZ18" s="97">
        <f>AY18+7</f>
        <v>44733</v>
      </c>
      <c r="BA18" s="95">
        <f t="shared" si="13"/>
        <v>44740</v>
      </c>
      <c r="BB18" s="95">
        <f t="shared" si="14"/>
        <v>44747</v>
      </c>
      <c r="BC18" s="98">
        <f t="shared" si="15"/>
        <v>44754</v>
      </c>
      <c r="BD18" s="97">
        <f t="shared" si="16"/>
        <v>44761</v>
      </c>
      <c r="BE18" s="95">
        <f t="shared" si="17"/>
        <v>44768</v>
      </c>
      <c r="BF18" s="101">
        <f t="shared" si="18"/>
        <v>44775</v>
      </c>
      <c r="BG18" s="95">
        <f t="shared" si="19"/>
        <v>44782</v>
      </c>
      <c r="BH18" s="99">
        <f t="shared" si="20"/>
        <v>44789</v>
      </c>
      <c r="BI18" s="97">
        <f>BH18+7</f>
        <v>44796</v>
      </c>
      <c r="BJ18" s="95">
        <f t="shared" si="21"/>
        <v>44803</v>
      </c>
      <c r="BK18" s="95">
        <f t="shared" si="22"/>
        <v>44810</v>
      </c>
      <c r="BL18" s="98">
        <f t="shared" si="23"/>
        <v>44817</v>
      </c>
      <c r="BM18" s="99">
        <f t="shared" si="24"/>
        <v>44824</v>
      </c>
      <c r="BN18" s="91">
        <f t="shared" si="25"/>
        <v>44831</v>
      </c>
      <c r="BO18" s="91">
        <f t="shared" si="26"/>
        <v>44838</v>
      </c>
      <c r="BP18" s="91">
        <f t="shared" si="27"/>
        <v>44845</v>
      </c>
      <c r="BQ18" s="102">
        <f>BP18+7</f>
        <v>44852</v>
      </c>
      <c r="BR18" s="91">
        <f t="shared" si="28"/>
        <v>44859</v>
      </c>
      <c r="BS18" s="92">
        <f t="shared" si="29"/>
        <v>44866</v>
      </c>
      <c r="BT18" s="99">
        <f t="shared" si="30"/>
        <v>44873</v>
      </c>
      <c r="BU18" s="96">
        <f t="shared" si="30"/>
        <v>44880</v>
      </c>
      <c r="BV18" s="99">
        <f t="shared" si="31"/>
        <v>44887</v>
      </c>
      <c r="BW18" s="91">
        <f t="shared" si="32"/>
        <v>44894</v>
      </c>
      <c r="BX18" s="91">
        <f t="shared" si="33"/>
        <v>44901</v>
      </c>
      <c r="BY18" s="87">
        <f t="shared" si="34"/>
        <v>44908</v>
      </c>
      <c r="BZ18" s="102">
        <f>BY18+7</f>
        <v>44915</v>
      </c>
      <c r="CA18" s="91">
        <f t="shared" si="35"/>
        <v>44922</v>
      </c>
      <c r="CB18" s="92">
        <f t="shared" si="36"/>
        <v>44929</v>
      </c>
      <c r="CC18" s="101">
        <f t="shared" si="37"/>
        <v>44936</v>
      </c>
      <c r="CD18" s="96">
        <f t="shared" si="38"/>
        <v>44943</v>
      </c>
      <c r="CE18" s="89">
        <f t="shared" si="39"/>
        <v>44950</v>
      </c>
      <c r="CF18" s="103">
        <f t="shared" si="40"/>
        <v>44957</v>
      </c>
      <c r="CG18" s="91">
        <f t="shared" si="41"/>
        <v>44964</v>
      </c>
      <c r="CH18" s="87">
        <f t="shared" si="42"/>
        <v>44971</v>
      </c>
      <c r="CI18" s="92">
        <f t="shared" si="43"/>
        <v>44978</v>
      </c>
      <c r="CJ18" s="103">
        <f t="shared" si="44"/>
        <v>44985</v>
      </c>
      <c r="CK18" s="91">
        <f t="shared" si="45"/>
        <v>44992</v>
      </c>
      <c r="CL18" s="87">
        <f t="shared" si="46"/>
        <v>44999</v>
      </c>
      <c r="CM18" s="92">
        <f t="shared" si="47"/>
        <v>45006</v>
      </c>
      <c r="CN18" s="103">
        <f t="shared" si="48"/>
        <v>45013</v>
      </c>
      <c r="CO18" s="91">
        <f t="shared" si="49"/>
        <v>45020</v>
      </c>
      <c r="CP18" s="87">
        <f t="shared" si="50"/>
        <v>45027</v>
      </c>
      <c r="CQ18" s="92">
        <f t="shared" si="51"/>
        <v>45034</v>
      </c>
      <c r="CR18" s="103">
        <f t="shared" si="52"/>
        <v>45041</v>
      </c>
      <c r="CS18" s="91">
        <f t="shared" si="53"/>
        <v>45048</v>
      </c>
      <c r="CT18" s="93">
        <f t="shared" si="54"/>
        <v>45055</v>
      </c>
      <c r="CU18" s="87">
        <f t="shared" si="54"/>
        <v>45062</v>
      </c>
      <c r="CV18" s="92">
        <f t="shared" si="55"/>
        <v>45069</v>
      </c>
      <c r="CW18" s="103">
        <f t="shared" si="56"/>
        <v>45076</v>
      </c>
      <c r="CX18" s="91">
        <f t="shared" si="57"/>
        <v>45083</v>
      </c>
      <c r="CY18" s="87">
        <f t="shared" si="58"/>
        <v>45090</v>
      </c>
      <c r="CZ18" s="92">
        <f t="shared" si="92"/>
        <v>45097</v>
      </c>
      <c r="DA18" s="103">
        <f t="shared" si="59"/>
        <v>45104</v>
      </c>
      <c r="DB18" s="91">
        <f t="shared" si="60"/>
        <v>45111</v>
      </c>
      <c r="DC18" s="87">
        <f t="shared" si="61"/>
        <v>45118</v>
      </c>
      <c r="DD18" s="92">
        <f t="shared" si="93"/>
        <v>45125</v>
      </c>
      <c r="DE18" s="103">
        <f t="shared" si="62"/>
        <v>45132</v>
      </c>
      <c r="DF18" s="192">
        <f t="shared" si="63"/>
        <v>45139</v>
      </c>
      <c r="DG18" s="91">
        <f t="shared" si="64"/>
        <v>45146</v>
      </c>
      <c r="DH18" s="87">
        <f t="shared" si="64"/>
        <v>45153</v>
      </c>
      <c r="DI18" s="92">
        <f t="shared" si="94"/>
        <v>45160</v>
      </c>
      <c r="DJ18" s="103">
        <f t="shared" si="65"/>
        <v>45167</v>
      </c>
      <c r="DK18" s="91">
        <f t="shared" si="66"/>
        <v>45174</v>
      </c>
      <c r="DL18" s="87">
        <f t="shared" si="67"/>
        <v>45181</v>
      </c>
      <c r="DM18" s="92">
        <f t="shared" si="95"/>
        <v>45188</v>
      </c>
      <c r="DN18" s="103">
        <f t="shared" si="68"/>
        <v>45195</v>
      </c>
      <c r="DO18" s="91">
        <f t="shared" si="69"/>
        <v>45202</v>
      </c>
      <c r="DP18" s="91">
        <f t="shared" si="70"/>
        <v>45209</v>
      </c>
      <c r="DQ18" s="87">
        <f t="shared" si="70"/>
        <v>45216</v>
      </c>
      <c r="DR18" s="92">
        <f>DQ18+7</f>
        <v>45223</v>
      </c>
      <c r="DS18" s="103">
        <f t="shared" si="71"/>
        <v>45230</v>
      </c>
      <c r="DT18" s="91">
        <f t="shared" si="72"/>
        <v>45237</v>
      </c>
      <c r="DU18" s="87">
        <f t="shared" si="73"/>
        <v>45244</v>
      </c>
      <c r="DV18" s="92">
        <f t="shared" si="96"/>
        <v>45251</v>
      </c>
      <c r="DW18" s="103">
        <f t="shared" si="74"/>
        <v>45258</v>
      </c>
      <c r="DX18" s="91">
        <f t="shared" si="75"/>
        <v>45265</v>
      </c>
      <c r="DY18" s="87">
        <f t="shared" si="76"/>
        <v>45272</v>
      </c>
      <c r="DZ18" s="92">
        <f t="shared" si="97"/>
        <v>45279</v>
      </c>
      <c r="EA18" s="237">
        <f t="shared" si="77"/>
        <v>45286</v>
      </c>
      <c r="EB18" s="91">
        <f t="shared" si="78"/>
        <v>45293</v>
      </c>
      <c r="EC18" s="92">
        <f>EB18+7</f>
        <v>45300</v>
      </c>
      <c r="ED18" s="85">
        <f>EC18+7</f>
        <v>45307</v>
      </c>
      <c r="EE18" s="86">
        <f t="shared" si="98"/>
        <v>45314</v>
      </c>
      <c r="EF18" s="103">
        <f t="shared" si="80"/>
        <v>45321</v>
      </c>
      <c r="EG18" s="92">
        <f t="shared" si="81"/>
        <v>45328</v>
      </c>
      <c r="EH18" s="242">
        <f>EG18+7</f>
        <v>45335</v>
      </c>
      <c r="EI18" s="86">
        <f>EH18+7</f>
        <v>45342</v>
      </c>
      <c r="EJ18" s="103">
        <f t="shared" si="83"/>
        <v>45349</v>
      </c>
      <c r="EK18" s="91">
        <f t="shared" si="84"/>
        <v>45356</v>
      </c>
      <c r="EL18" s="87">
        <f>EK18+7</f>
        <v>45363</v>
      </c>
      <c r="EM18" s="92">
        <f t="shared" si="100"/>
        <v>45370</v>
      </c>
      <c r="EN18" s="103">
        <f t="shared" si="86"/>
        <v>45377</v>
      </c>
      <c r="EO18" s="91">
        <f t="shared" si="87"/>
        <v>45384</v>
      </c>
      <c r="EP18" s="87">
        <f>EO18+7</f>
        <v>45391</v>
      </c>
      <c r="EQ18" s="92">
        <f t="shared" si="101"/>
        <v>45398</v>
      </c>
      <c r="ER18" s="229">
        <f t="shared" si="89"/>
        <v>45405</v>
      </c>
      <c r="ES18" s="91">
        <f t="shared" si="90"/>
        <v>45412</v>
      </c>
      <c r="ET18" s="87">
        <f>ES18+7</f>
        <v>45419</v>
      </c>
    </row>
    <row r="19" spans="1:150" s="17" customFormat="1" ht="21" customHeight="1" thickBot="1">
      <c r="A19" s="41" t="s">
        <v>28</v>
      </c>
      <c r="B19" s="41" t="s">
        <v>9</v>
      </c>
      <c r="C19" s="21" t="s">
        <v>10</v>
      </c>
      <c r="D19" s="22" t="s">
        <v>11</v>
      </c>
      <c r="E19" s="23"/>
      <c r="F19" s="23" t="s">
        <v>26</v>
      </c>
      <c r="G19" s="24"/>
      <c r="H19" s="36" t="s">
        <v>63</v>
      </c>
      <c r="I19" s="70" t="s">
        <v>67</v>
      </c>
      <c r="J19" s="70" t="s">
        <v>72</v>
      </c>
      <c r="K19" s="70" t="s">
        <v>77</v>
      </c>
      <c r="L19" s="70" t="s">
        <v>82</v>
      </c>
      <c r="M19" s="75" t="s">
        <v>85</v>
      </c>
      <c r="N19" s="70" t="s">
        <v>96</v>
      </c>
      <c r="O19" s="77" t="s">
        <v>100</v>
      </c>
      <c r="P19" s="78" t="s">
        <v>101</v>
      </c>
      <c r="Q19" s="70" t="s">
        <v>104</v>
      </c>
      <c r="R19" s="108" t="s">
        <v>105</v>
      </c>
      <c r="S19" s="105" t="s">
        <v>106</v>
      </c>
      <c r="T19" s="106" t="s">
        <v>63</v>
      </c>
      <c r="U19" s="106" t="s">
        <v>67</v>
      </c>
      <c r="V19" s="106" t="s">
        <v>72</v>
      </c>
      <c r="W19" s="106" t="s">
        <v>77</v>
      </c>
      <c r="X19" s="106" t="s">
        <v>123</v>
      </c>
      <c r="Y19" s="106" t="s">
        <v>85</v>
      </c>
      <c r="Z19" s="106" t="s">
        <v>97</v>
      </c>
      <c r="AA19" s="106" t="s">
        <v>99</v>
      </c>
      <c r="AB19" s="106" t="s">
        <v>101</v>
      </c>
      <c r="AC19" s="106" t="s">
        <v>104</v>
      </c>
      <c r="AD19" s="106" t="s">
        <v>121</v>
      </c>
      <c r="AE19" s="106" t="s">
        <v>106</v>
      </c>
      <c r="AF19" s="106" t="s">
        <v>63</v>
      </c>
      <c r="AG19" s="105" t="s">
        <v>136</v>
      </c>
      <c r="AH19" s="107" t="s">
        <v>72</v>
      </c>
      <c r="AI19" s="108" t="s">
        <v>64</v>
      </c>
      <c r="AJ19" s="108" t="s">
        <v>65</v>
      </c>
      <c r="AK19" s="108" t="s">
        <v>66</v>
      </c>
      <c r="AL19" s="107" t="s">
        <v>21</v>
      </c>
      <c r="AM19" s="104" t="s">
        <v>68</v>
      </c>
      <c r="AN19" s="108" t="s">
        <v>69</v>
      </c>
      <c r="AO19" s="108" t="s">
        <v>70</v>
      </c>
      <c r="AP19" s="109" t="s">
        <v>71</v>
      </c>
      <c r="AQ19" s="108" t="s">
        <v>73</v>
      </c>
      <c r="AR19" s="108" t="s">
        <v>74</v>
      </c>
      <c r="AS19" s="108" t="s">
        <v>75</v>
      </c>
      <c r="AT19" s="110" t="s">
        <v>76</v>
      </c>
      <c r="AU19" s="111" t="s">
        <v>79</v>
      </c>
      <c r="AV19" s="108" t="s">
        <v>80</v>
      </c>
      <c r="AW19" s="108" t="s">
        <v>20</v>
      </c>
      <c r="AX19" s="108" t="s">
        <v>21</v>
      </c>
      <c r="AY19" s="110" t="s">
        <v>50</v>
      </c>
      <c r="AZ19" s="104" t="s">
        <v>83</v>
      </c>
      <c r="BA19" s="108" t="s">
        <v>84</v>
      </c>
      <c r="BB19" s="108" t="s">
        <v>20</v>
      </c>
      <c r="BC19" s="109" t="s">
        <v>21</v>
      </c>
      <c r="BD19" s="104" t="s">
        <v>83</v>
      </c>
      <c r="BE19" s="108" t="s">
        <v>84</v>
      </c>
      <c r="BF19" s="112" t="s">
        <v>20</v>
      </c>
      <c r="BG19" s="108" t="s">
        <v>21</v>
      </c>
      <c r="BH19" s="109" t="s">
        <v>50</v>
      </c>
      <c r="BI19" s="104" t="s">
        <v>83</v>
      </c>
      <c r="BJ19" s="108" t="s">
        <v>84</v>
      </c>
      <c r="BK19" s="108" t="s">
        <v>20</v>
      </c>
      <c r="BL19" s="109" t="s">
        <v>21</v>
      </c>
      <c r="BM19" s="104" t="s">
        <v>83</v>
      </c>
      <c r="BN19" s="108" t="s">
        <v>84</v>
      </c>
      <c r="BO19" s="108" t="s">
        <v>20</v>
      </c>
      <c r="BP19" s="110" t="s">
        <v>21</v>
      </c>
      <c r="BQ19" s="104" t="s">
        <v>83</v>
      </c>
      <c r="BR19" s="108" t="s">
        <v>84</v>
      </c>
      <c r="BS19" s="108" t="s">
        <v>20</v>
      </c>
      <c r="BT19" s="110" t="s">
        <v>21</v>
      </c>
      <c r="BU19" s="107" t="s">
        <v>102</v>
      </c>
      <c r="BV19" s="104" t="s">
        <v>83</v>
      </c>
      <c r="BW19" s="108" t="s">
        <v>84</v>
      </c>
      <c r="BX19" s="108" t="s">
        <v>20</v>
      </c>
      <c r="BY19" s="109" t="s">
        <v>21</v>
      </c>
      <c r="BZ19" s="104" t="s">
        <v>83</v>
      </c>
      <c r="CA19" s="108" t="s">
        <v>84</v>
      </c>
      <c r="CB19" s="108" t="s">
        <v>20</v>
      </c>
      <c r="CC19" s="112" t="s">
        <v>21</v>
      </c>
      <c r="CD19" s="107" t="s">
        <v>102</v>
      </c>
      <c r="CE19" s="111" t="s">
        <v>83</v>
      </c>
      <c r="CF19" s="113" t="s">
        <v>84</v>
      </c>
      <c r="CG19" s="108" t="s">
        <v>20</v>
      </c>
      <c r="CH19" s="109" t="s">
        <v>21</v>
      </c>
      <c r="CI19" s="108" t="s">
        <v>83</v>
      </c>
      <c r="CJ19" s="113" t="s">
        <v>84</v>
      </c>
      <c r="CK19" s="108" t="s">
        <v>20</v>
      </c>
      <c r="CL19" s="109" t="s">
        <v>21</v>
      </c>
      <c r="CM19" s="108" t="s">
        <v>83</v>
      </c>
      <c r="CN19" s="113" t="s">
        <v>84</v>
      </c>
      <c r="CO19" s="108" t="s">
        <v>20</v>
      </c>
      <c r="CP19" s="109" t="s">
        <v>21</v>
      </c>
      <c r="CQ19" s="108" t="s">
        <v>83</v>
      </c>
      <c r="CR19" s="113" t="s">
        <v>84</v>
      </c>
      <c r="CS19" s="108" t="s">
        <v>20</v>
      </c>
      <c r="CT19" s="112" t="s">
        <v>21</v>
      </c>
      <c r="CU19" s="109" t="s">
        <v>21</v>
      </c>
      <c r="CV19" s="108" t="s">
        <v>83</v>
      </c>
      <c r="CW19" s="113" t="s">
        <v>84</v>
      </c>
      <c r="CX19" s="108" t="s">
        <v>20</v>
      </c>
      <c r="CY19" s="109" t="s">
        <v>21</v>
      </c>
      <c r="CZ19" s="108" t="s">
        <v>83</v>
      </c>
      <c r="DA19" s="113" t="s">
        <v>84</v>
      </c>
      <c r="DB19" s="108" t="s">
        <v>20</v>
      </c>
      <c r="DC19" s="109" t="s">
        <v>21</v>
      </c>
      <c r="DD19" s="108" t="s">
        <v>83</v>
      </c>
      <c r="DE19" s="113" t="s">
        <v>84</v>
      </c>
      <c r="DF19" s="112" t="s">
        <v>20</v>
      </c>
      <c r="DG19" s="110" t="s">
        <v>21</v>
      </c>
      <c r="DH19" s="107" t="s">
        <v>102</v>
      </c>
      <c r="DI19" s="108" t="s">
        <v>83</v>
      </c>
      <c r="DJ19" s="113" t="s">
        <v>84</v>
      </c>
      <c r="DK19" s="108" t="s">
        <v>20</v>
      </c>
      <c r="DL19" s="109" t="s">
        <v>21</v>
      </c>
      <c r="DM19" s="108" t="s">
        <v>83</v>
      </c>
      <c r="DN19" s="113" t="s">
        <v>84</v>
      </c>
      <c r="DO19" s="108" t="s">
        <v>20</v>
      </c>
      <c r="DP19" s="110" t="s">
        <v>21</v>
      </c>
      <c r="DQ19" s="107" t="s">
        <v>102</v>
      </c>
      <c r="DR19" s="108" t="s">
        <v>83</v>
      </c>
      <c r="DS19" s="113" t="s">
        <v>84</v>
      </c>
      <c r="DT19" s="108" t="s">
        <v>20</v>
      </c>
      <c r="DU19" s="109" t="s">
        <v>21</v>
      </c>
      <c r="DV19" s="108" t="s">
        <v>83</v>
      </c>
      <c r="DW19" s="113" t="s">
        <v>84</v>
      </c>
      <c r="DX19" s="108" t="s">
        <v>20</v>
      </c>
      <c r="DY19" s="109" t="s">
        <v>21</v>
      </c>
      <c r="DZ19" s="108" t="s">
        <v>83</v>
      </c>
      <c r="EA19" s="113" t="s">
        <v>84</v>
      </c>
      <c r="EB19" s="108" t="s">
        <v>20</v>
      </c>
      <c r="EC19" s="105" t="s">
        <v>21</v>
      </c>
      <c r="ED19" s="109" t="s">
        <v>64</v>
      </c>
      <c r="EE19" s="108" t="s">
        <v>65</v>
      </c>
      <c r="EF19" s="113" t="s">
        <v>66</v>
      </c>
      <c r="EG19" s="105" t="s">
        <v>71</v>
      </c>
      <c r="EH19" s="243" t="s">
        <v>64</v>
      </c>
      <c r="EI19" s="108" t="s">
        <v>65</v>
      </c>
      <c r="EJ19" s="113" t="s">
        <v>66</v>
      </c>
      <c r="EK19" s="108" t="s">
        <v>71</v>
      </c>
      <c r="EL19" s="109" t="s">
        <v>102</v>
      </c>
      <c r="EM19" s="108" t="s">
        <v>83</v>
      </c>
      <c r="EN19" s="113" t="s">
        <v>84</v>
      </c>
      <c r="EO19" s="108" t="s">
        <v>20</v>
      </c>
      <c r="EP19" s="109" t="s">
        <v>21</v>
      </c>
      <c r="EQ19" s="108" t="s">
        <v>64</v>
      </c>
      <c r="ER19" s="230" t="s">
        <v>65</v>
      </c>
      <c r="ES19" s="108" t="s">
        <v>66</v>
      </c>
      <c r="ET19" s="109" t="s">
        <v>71</v>
      </c>
    </row>
    <row r="20" spans="1:150" s="25" customFormat="1" ht="27.75" customHeight="1">
      <c r="A20" s="639" t="s">
        <v>48</v>
      </c>
      <c r="B20" s="657" t="s">
        <v>49</v>
      </c>
      <c r="C20" s="641">
        <v>1</v>
      </c>
      <c r="D20" s="213" t="s">
        <v>108</v>
      </c>
      <c r="E20" s="177" t="s">
        <v>39</v>
      </c>
      <c r="F20" s="178" t="s">
        <v>125</v>
      </c>
      <c r="G20" s="114" t="s">
        <v>17</v>
      </c>
      <c r="H20" s="115">
        <v>330</v>
      </c>
      <c r="I20" s="116">
        <v>0</v>
      </c>
      <c r="J20" s="117">
        <v>0</v>
      </c>
      <c r="K20" s="117">
        <v>220</v>
      </c>
      <c r="L20" s="117">
        <v>250</v>
      </c>
      <c r="M20" s="117">
        <v>220</v>
      </c>
      <c r="N20" s="117">
        <v>310</v>
      </c>
      <c r="O20" s="118">
        <v>230</v>
      </c>
      <c r="P20" s="118">
        <v>310</v>
      </c>
      <c r="Q20" s="118">
        <v>0</v>
      </c>
      <c r="R20" s="117">
        <v>0</v>
      </c>
      <c r="S20" s="163">
        <v>0</v>
      </c>
      <c r="T20" s="164">
        <v>70</v>
      </c>
      <c r="U20" s="164">
        <v>160</v>
      </c>
      <c r="V20" s="164">
        <v>270</v>
      </c>
      <c r="W20" s="164">
        <v>190</v>
      </c>
      <c r="X20" s="164">
        <v>210</v>
      </c>
      <c r="Y20" s="164">
        <v>100</v>
      </c>
      <c r="Z20" s="164">
        <v>280</v>
      </c>
      <c r="AA20" s="164">
        <f>SUBTOTAL(9,DM20:DQ20)</f>
        <v>400</v>
      </c>
      <c r="AB20" s="218">
        <f>SUBTOTAL(9,DR20:DU20)</f>
        <v>450</v>
      </c>
      <c r="AC20" s="218">
        <f>SUBTOTAL(9,DV20:DY20)</f>
        <v>390</v>
      </c>
      <c r="AD20" s="218">
        <f>SUBTOTAL(9,DZ20:ED20)</f>
        <v>250</v>
      </c>
      <c r="AE20" s="218">
        <f>SUBTOTAL(9,EE20:EH20)</f>
        <v>0</v>
      </c>
      <c r="AF20" s="218">
        <f>SUBTOTAL(9,EI20:EL20)</f>
        <v>0</v>
      </c>
      <c r="AG20" s="218">
        <f>SUBTOTAL(9,EM20:EP20)</f>
        <v>0</v>
      </c>
      <c r="AH20" s="218">
        <f>SUBTOTAL(9,EQ20:ET20)</f>
        <v>0</v>
      </c>
      <c r="AI20" s="166">
        <v>90</v>
      </c>
      <c r="AJ20" s="166">
        <v>80</v>
      </c>
      <c r="AK20" s="166">
        <v>80</v>
      </c>
      <c r="AL20" s="165">
        <v>80</v>
      </c>
      <c r="AM20" s="167">
        <v>0</v>
      </c>
      <c r="AN20" s="166">
        <v>0</v>
      </c>
      <c r="AO20" s="166">
        <v>0</v>
      </c>
      <c r="AP20" s="168">
        <v>0</v>
      </c>
      <c r="AQ20" s="166">
        <v>0</v>
      </c>
      <c r="AR20" s="166">
        <v>0</v>
      </c>
      <c r="AS20" s="166">
        <v>0</v>
      </c>
      <c r="AT20" s="169">
        <v>0</v>
      </c>
      <c r="AU20" s="170">
        <v>0</v>
      </c>
      <c r="AV20" s="166">
        <v>60</v>
      </c>
      <c r="AW20" s="166">
        <v>60</v>
      </c>
      <c r="AX20" s="166">
        <v>50</v>
      </c>
      <c r="AY20" s="169">
        <v>50</v>
      </c>
      <c r="AZ20" s="167">
        <v>70</v>
      </c>
      <c r="BA20" s="166">
        <v>60</v>
      </c>
      <c r="BB20" s="166">
        <v>60</v>
      </c>
      <c r="BC20" s="169">
        <v>60</v>
      </c>
      <c r="BD20" s="171">
        <v>60</v>
      </c>
      <c r="BE20" s="166">
        <v>60</v>
      </c>
      <c r="BF20" s="172">
        <v>0</v>
      </c>
      <c r="BG20" s="166">
        <v>50</v>
      </c>
      <c r="BH20" s="169">
        <v>50</v>
      </c>
      <c r="BI20" s="171">
        <v>80</v>
      </c>
      <c r="BJ20" s="166">
        <v>80</v>
      </c>
      <c r="BK20" s="166">
        <v>80</v>
      </c>
      <c r="BL20" s="169">
        <v>70</v>
      </c>
      <c r="BM20" s="171">
        <v>60</v>
      </c>
      <c r="BN20" s="166">
        <v>60</v>
      </c>
      <c r="BO20" s="166">
        <v>60</v>
      </c>
      <c r="BP20" s="169">
        <v>50</v>
      </c>
      <c r="BQ20" s="167">
        <v>70</v>
      </c>
      <c r="BR20" s="166">
        <v>60</v>
      </c>
      <c r="BS20" s="166">
        <v>60</v>
      </c>
      <c r="BT20" s="169">
        <v>60</v>
      </c>
      <c r="BU20" s="173">
        <v>60</v>
      </c>
      <c r="BV20" s="171">
        <v>70</v>
      </c>
      <c r="BW20" s="166">
        <v>70</v>
      </c>
      <c r="BX20" s="166">
        <v>60</v>
      </c>
      <c r="BY20" s="168">
        <v>60</v>
      </c>
      <c r="BZ20" s="167">
        <v>0</v>
      </c>
      <c r="CA20" s="166">
        <v>0</v>
      </c>
      <c r="CB20" s="166">
        <v>0</v>
      </c>
      <c r="CC20" s="174">
        <v>0</v>
      </c>
      <c r="CD20" s="173">
        <v>0</v>
      </c>
      <c r="CE20" s="182">
        <v>0</v>
      </c>
      <c r="CF20" s="183">
        <v>0</v>
      </c>
      <c r="CG20" s="175">
        <v>0</v>
      </c>
      <c r="CH20" s="173">
        <v>0</v>
      </c>
      <c r="CI20" s="184">
        <v>0</v>
      </c>
      <c r="CJ20" s="175">
        <v>30</v>
      </c>
      <c r="CK20" s="175">
        <v>20</v>
      </c>
      <c r="CL20" s="173">
        <v>20</v>
      </c>
      <c r="CM20" s="193">
        <v>0</v>
      </c>
      <c r="CN20" s="194">
        <v>0</v>
      </c>
      <c r="CO20" s="194">
        <v>80</v>
      </c>
      <c r="CP20" s="191">
        <v>80</v>
      </c>
      <c r="CQ20" s="193">
        <v>70</v>
      </c>
      <c r="CR20" s="194">
        <v>70</v>
      </c>
      <c r="CS20" s="194">
        <v>70</v>
      </c>
      <c r="CT20" s="176">
        <v>0</v>
      </c>
      <c r="CU20" s="191">
        <v>60</v>
      </c>
      <c r="CV20" s="184">
        <v>50</v>
      </c>
      <c r="CW20" s="175">
        <v>50</v>
      </c>
      <c r="CX20" s="175">
        <v>50</v>
      </c>
      <c r="CY20" s="173">
        <v>40</v>
      </c>
      <c r="CZ20" s="184">
        <v>60</v>
      </c>
      <c r="DA20" s="175">
        <v>50</v>
      </c>
      <c r="DB20" s="175">
        <v>50</v>
      </c>
      <c r="DC20" s="173">
        <v>50</v>
      </c>
      <c r="DD20" s="184">
        <v>30</v>
      </c>
      <c r="DE20" s="175">
        <v>30</v>
      </c>
      <c r="DF20" s="176">
        <v>0</v>
      </c>
      <c r="DG20" s="175">
        <v>20</v>
      </c>
      <c r="DH20" s="173">
        <v>20</v>
      </c>
      <c r="DI20" s="184">
        <v>70</v>
      </c>
      <c r="DJ20" s="175">
        <v>70</v>
      </c>
      <c r="DK20" s="175">
        <v>70</v>
      </c>
      <c r="DL20" s="173">
        <v>70</v>
      </c>
      <c r="DM20" s="184">
        <v>80</v>
      </c>
      <c r="DN20" s="175">
        <v>80</v>
      </c>
      <c r="DO20" s="175">
        <v>80</v>
      </c>
      <c r="DP20" s="175">
        <v>80</v>
      </c>
      <c r="DQ20" s="173">
        <v>80</v>
      </c>
      <c r="DR20" s="184">
        <v>120</v>
      </c>
      <c r="DS20" s="175">
        <v>110</v>
      </c>
      <c r="DT20" s="175">
        <v>110</v>
      </c>
      <c r="DU20" s="173">
        <v>110</v>
      </c>
      <c r="DV20" s="171">
        <v>100</v>
      </c>
      <c r="DW20" s="175">
        <v>100</v>
      </c>
      <c r="DX20" s="175">
        <v>100</v>
      </c>
      <c r="DY20" s="173">
        <v>90</v>
      </c>
      <c r="DZ20" s="184">
        <v>50</v>
      </c>
      <c r="EA20" s="175">
        <v>50</v>
      </c>
      <c r="EB20" s="175">
        <v>50</v>
      </c>
      <c r="EC20" s="218">
        <v>50</v>
      </c>
      <c r="ED20" s="239">
        <v>50</v>
      </c>
      <c r="EE20" s="184"/>
      <c r="EF20" s="175"/>
      <c r="EG20" s="218"/>
      <c r="EH20" s="239"/>
      <c r="EI20" s="184"/>
      <c r="EJ20" s="175"/>
      <c r="EK20" s="175"/>
      <c r="EL20" s="173"/>
      <c r="EM20" s="184"/>
      <c r="EN20" s="175"/>
      <c r="EO20" s="175"/>
      <c r="EP20" s="173"/>
      <c r="EQ20" s="184"/>
      <c r="ER20" s="175"/>
      <c r="ES20" s="175"/>
      <c r="ET20" s="173"/>
    </row>
    <row r="21" spans="1:150" s="25" customFormat="1" ht="27.75" customHeight="1" thickBot="1">
      <c r="A21" s="640"/>
      <c r="B21" s="658"/>
      <c r="C21" s="642"/>
      <c r="D21" s="179"/>
      <c r="E21" s="180"/>
      <c r="F21" s="181"/>
      <c r="G21" s="120" t="s">
        <v>18</v>
      </c>
      <c r="H21" s="121">
        <v>3010</v>
      </c>
      <c r="I21" s="122">
        <f t="shared" ref="I21" si="102">H21+I20</f>
        <v>3010</v>
      </c>
      <c r="J21" s="122">
        <f t="shared" ref="J21" si="103">I21+J20</f>
        <v>3010</v>
      </c>
      <c r="K21" s="122">
        <f t="shared" ref="K21" si="104">J21+K20</f>
        <v>3230</v>
      </c>
      <c r="L21" s="122">
        <f t="shared" ref="L21" si="105">K21+L20</f>
        <v>3480</v>
      </c>
      <c r="M21" s="122">
        <f t="shared" ref="M21" si="106">L21+M20</f>
        <v>3700</v>
      </c>
      <c r="N21" s="122">
        <f t="shared" ref="N21" si="107">M21+N20</f>
        <v>4010</v>
      </c>
      <c r="O21" s="122">
        <f t="shared" ref="O21" si="108">N21+O20</f>
        <v>4240</v>
      </c>
      <c r="P21" s="122">
        <f t="shared" ref="P21" si="109">O21+P20</f>
        <v>4550</v>
      </c>
      <c r="Q21" s="122">
        <v>0</v>
      </c>
      <c r="R21" s="122">
        <f t="shared" ref="R21:U21" si="110">Q21+R20</f>
        <v>0</v>
      </c>
      <c r="S21" s="122">
        <f t="shared" si="110"/>
        <v>0</v>
      </c>
      <c r="T21" s="122">
        <f t="shared" si="110"/>
        <v>70</v>
      </c>
      <c r="U21" s="122">
        <f t="shared" si="110"/>
        <v>230</v>
      </c>
      <c r="V21" s="123">
        <f t="shared" ref="V21:W21" si="111">U21+V20</f>
        <v>500</v>
      </c>
      <c r="W21" s="123">
        <f t="shared" si="111"/>
        <v>690</v>
      </c>
      <c r="X21" s="123">
        <f t="shared" ref="X21" si="112">W21+X20</f>
        <v>900</v>
      </c>
      <c r="Y21" s="123">
        <f t="shared" ref="Y21:AD21" si="113">X21+Y20</f>
        <v>1000</v>
      </c>
      <c r="Z21" s="123">
        <f t="shared" si="113"/>
        <v>1280</v>
      </c>
      <c r="AA21" s="123">
        <f t="shared" si="113"/>
        <v>1680</v>
      </c>
      <c r="AB21" s="123">
        <f>AA21+AB20</f>
        <v>2130</v>
      </c>
      <c r="AC21" s="137">
        <f t="shared" si="113"/>
        <v>2520</v>
      </c>
      <c r="AD21" s="136">
        <f t="shared" si="113"/>
        <v>2770</v>
      </c>
      <c r="AE21" s="145">
        <f>AD21+AE20</f>
        <v>2770</v>
      </c>
      <c r="AF21" s="137">
        <f>AE21+AF20</f>
        <v>2770</v>
      </c>
      <c r="AG21" s="137">
        <f t="shared" ref="AG21" si="114">AF21+AG20</f>
        <v>2770</v>
      </c>
      <c r="AH21" s="136">
        <f t="shared" ref="AH21" si="115">AG21+AH20</f>
        <v>2770</v>
      </c>
      <c r="AI21" s="123">
        <f t="shared" ref="AI21" si="116">AH21+AI20</f>
        <v>2860</v>
      </c>
      <c r="AJ21" s="123">
        <f t="shared" ref="AJ21" si="117">AH21+AJ20</f>
        <v>2850</v>
      </c>
      <c r="AK21" s="125">
        <f t="shared" ref="AK21:AL21" si="118">AJ21+AK20</f>
        <v>2930</v>
      </c>
      <c r="AL21" s="123">
        <f t="shared" si="118"/>
        <v>3010</v>
      </c>
      <c r="AM21" s="123">
        <f t="shared" ref="AM21" si="119">AK21+AM20</f>
        <v>2930</v>
      </c>
      <c r="AN21" s="125">
        <f t="shared" ref="AN21:AO21" si="120">AM21+AN20</f>
        <v>2930</v>
      </c>
      <c r="AO21" s="123">
        <f t="shared" si="120"/>
        <v>2930</v>
      </c>
      <c r="AP21" s="123">
        <f t="shared" ref="AP21" si="121">AN21+AP20</f>
        <v>2930</v>
      </c>
      <c r="AQ21" s="125">
        <f t="shared" ref="AQ21:AR21" si="122">AP21+AQ20</f>
        <v>2930</v>
      </c>
      <c r="AR21" s="123">
        <f t="shared" si="122"/>
        <v>2930</v>
      </c>
      <c r="AS21" s="123">
        <f t="shared" ref="AS21" si="123">AQ21+AS20</f>
        <v>2930</v>
      </c>
      <c r="AT21" s="125">
        <f t="shared" ref="AT21:AU21" si="124">AS21+AT20</f>
        <v>2930</v>
      </c>
      <c r="AU21" s="123">
        <f t="shared" si="124"/>
        <v>2930</v>
      </c>
      <c r="AV21" s="123">
        <f t="shared" ref="AV21" si="125">AT21+AV20</f>
        <v>2990</v>
      </c>
      <c r="AW21" s="125">
        <f t="shared" ref="AW21:AX21" si="126">AV21+AW20</f>
        <v>3050</v>
      </c>
      <c r="AX21" s="123">
        <f t="shared" si="126"/>
        <v>3100</v>
      </c>
      <c r="AY21" s="123">
        <f t="shared" ref="AY21" si="127">AW21+AY20</f>
        <v>3100</v>
      </c>
      <c r="AZ21" s="125">
        <f t="shared" ref="AZ21:BA21" si="128">AY21+AZ20</f>
        <v>3170</v>
      </c>
      <c r="BA21" s="123">
        <f t="shared" si="128"/>
        <v>3230</v>
      </c>
      <c r="BB21" s="123">
        <f t="shared" ref="BB21" si="129">AZ21+BB20</f>
        <v>3230</v>
      </c>
      <c r="BC21" s="125">
        <f t="shared" ref="BC21:BD21" si="130">BB21+BC20</f>
        <v>3290</v>
      </c>
      <c r="BD21" s="123">
        <f t="shared" si="130"/>
        <v>3350</v>
      </c>
      <c r="BE21" s="123">
        <f t="shared" ref="BE21" si="131">BC21+BE20</f>
        <v>3350</v>
      </c>
      <c r="BF21" s="125">
        <f t="shared" ref="BF21:BG21" si="132">BE21+BF20</f>
        <v>3350</v>
      </c>
      <c r="BG21" s="123">
        <f t="shared" si="132"/>
        <v>3400</v>
      </c>
      <c r="BH21" s="123">
        <f t="shared" ref="BH21" si="133">BF21+BH20</f>
        <v>3400</v>
      </c>
      <c r="BI21" s="125">
        <f t="shared" ref="BI21:BJ21" si="134">BH21+BI20</f>
        <v>3480</v>
      </c>
      <c r="BJ21" s="123">
        <f t="shared" si="134"/>
        <v>3560</v>
      </c>
      <c r="BK21" s="123">
        <f t="shared" ref="BK21" si="135">BI21+BK20</f>
        <v>3560</v>
      </c>
      <c r="BL21" s="125">
        <f t="shared" ref="BL21:BM21" si="136">BK21+BL20</f>
        <v>3630</v>
      </c>
      <c r="BM21" s="123">
        <f t="shared" si="136"/>
        <v>3690</v>
      </c>
      <c r="BN21" s="123">
        <f t="shared" ref="BN21" si="137">BL21+BN20</f>
        <v>3690</v>
      </c>
      <c r="BO21" s="125">
        <f t="shared" ref="BO21:BP21" si="138">BN21+BO20</f>
        <v>3750</v>
      </c>
      <c r="BP21" s="123">
        <f t="shared" si="138"/>
        <v>3800</v>
      </c>
      <c r="BQ21" s="123">
        <f t="shared" ref="BQ21" si="139">BO21+BQ20</f>
        <v>3820</v>
      </c>
      <c r="BR21" s="125">
        <f t="shared" ref="BR21:BS21" si="140">BQ21+BR20</f>
        <v>3880</v>
      </c>
      <c r="BS21" s="123">
        <f t="shared" si="140"/>
        <v>3940</v>
      </c>
      <c r="BT21" s="123">
        <f t="shared" ref="BT21" si="141">BR21+BT20</f>
        <v>3940</v>
      </c>
      <c r="BU21" s="125">
        <f t="shared" ref="BU21:BV21" si="142">BT21+BU20</f>
        <v>4000</v>
      </c>
      <c r="BV21" s="123">
        <f t="shared" si="142"/>
        <v>4070</v>
      </c>
      <c r="BW21" s="123">
        <f t="shared" ref="BW21" si="143">BU21+BW20</f>
        <v>4070</v>
      </c>
      <c r="BX21" s="125">
        <f t="shared" ref="BX21:BY21" si="144">BW21+BX20</f>
        <v>4130</v>
      </c>
      <c r="BY21" s="123">
        <f t="shared" si="144"/>
        <v>4190</v>
      </c>
      <c r="BZ21" s="123">
        <f t="shared" ref="BZ21" si="145">BX21+BZ20</f>
        <v>4130</v>
      </c>
      <c r="CA21" s="125">
        <f t="shared" ref="CA21:CB21" si="146">BZ21+CA20</f>
        <v>4130</v>
      </c>
      <c r="CB21" s="123">
        <f t="shared" si="146"/>
        <v>4130</v>
      </c>
      <c r="CC21" s="123">
        <f t="shared" ref="CC21" si="147">CA21+CC20</f>
        <v>4130</v>
      </c>
      <c r="CD21" s="125">
        <f t="shared" ref="CD21:CE21" si="148">CC21+CD20</f>
        <v>4130</v>
      </c>
      <c r="CE21" s="123">
        <f t="shared" si="148"/>
        <v>4130</v>
      </c>
      <c r="CF21" s="123">
        <f t="shared" ref="CF21" si="149">CD21+CF20</f>
        <v>4130</v>
      </c>
      <c r="CG21" s="125">
        <f t="shared" ref="CG21:CH21" si="150">CF21+CG20</f>
        <v>4130</v>
      </c>
      <c r="CH21" s="123">
        <f t="shared" si="150"/>
        <v>4130</v>
      </c>
      <c r="CI21" s="123">
        <f t="shared" ref="CI21" si="151">CG21+CI20</f>
        <v>4130</v>
      </c>
      <c r="CJ21" s="125">
        <f t="shared" ref="CJ21:CK21" si="152">CI21+CJ20</f>
        <v>4160</v>
      </c>
      <c r="CK21" s="123">
        <f t="shared" si="152"/>
        <v>4180</v>
      </c>
      <c r="CL21" s="123">
        <f t="shared" ref="CL21" si="153">CJ21+CL20</f>
        <v>4180</v>
      </c>
      <c r="CM21" s="125">
        <f t="shared" ref="CM21:CN21" si="154">CL21+CM20</f>
        <v>4180</v>
      </c>
      <c r="CN21" s="123">
        <f t="shared" si="154"/>
        <v>4180</v>
      </c>
      <c r="CO21" s="123">
        <f t="shared" ref="CO21" si="155">CM21+CO20</f>
        <v>4260</v>
      </c>
      <c r="CP21" s="125">
        <f t="shared" ref="CP21:CQ21" si="156">CO21+CP20</f>
        <v>4340</v>
      </c>
      <c r="CQ21" s="123">
        <f t="shared" si="156"/>
        <v>4410</v>
      </c>
      <c r="CR21" s="123">
        <f t="shared" ref="CR21" si="157">CP21+CR20</f>
        <v>4410</v>
      </c>
      <c r="CS21" s="125">
        <f t="shared" ref="CS21:CT21" si="158">CR21+CS20</f>
        <v>4480</v>
      </c>
      <c r="CT21" s="123">
        <f t="shared" si="158"/>
        <v>4480</v>
      </c>
      <c r="CU21" s="123">
        <f t="shared" ref="CU21" si="159">CS21+CU20</f>
        <v>4540</v>
      </c>
      <c r="CV21" s="125">
        <f t="shared" ref="CV21:CW21" si="160">CU21+CV20</f>
        <v>4590</v>
      </c>
      <c r="CW21" s="123">
        <f t="shared" si="160"/>
        <v>4640</v>
      </c>
      <c r="CX21" s="123">
        <f t="shared" ref="CX21" si="161">CV21+CX20</f>
        <v>4640</v>
      </c>
      <c r="CY21" s="125">
        <f t="shared" ref="CY21:CZ21" si="162">CX21+CY20</f>
        <v>4680</v>
      </c>
      <c r="CZ21" s="123">
        <f t="shared" si="162"/>
        <v>4740</v>
      </c>
      <c r="DA21" s="123">
        <f t="shared" ref="DA21" si="163">CY21+DA20</f>
        <v>4730</v>
      </c>
      <c r="DB21" s="125">
        <f t="shared" ref="DB21:DC21" si="164">DA21+DB20</f>
        <v>4780</v>
      </c>
      <c r="DC21" s="123">
        <f t="shared" si="164"/>
        <v>4830</v>
      </c>
      <c r="DD21" s="123">
        <f t="shared" ref="DD21" si="165">DB21+DD20</f>
        <v>4810</v>
      </c>
      <c r="DE21" s="125">
        <f t="shared" ref="DE21:DF21" si="166">DD21+DE20</f>
        <v>4840</v>
      </c>
      <c r="DF21" s="123">
        <f t="shared" si="166"/>
        <v>4840</v>
      </c>
      <c r="DG21" s="123">
        <f t="shared" ref="DG21" si="167">DE21+DG20</f>
        <v>4860</v>
      </c>
      <c r="DH21" s="125">
        <f t="shared" ref="DH21:DI21" si="168">DG21+DH20</f>
        <v>4880</v>
      </c>
      <c r="DI21" s="123">
        <f t="shared" si="168"/>
        <v>4950</v>
      </c>
      <c r="DJ21" s="123">
        <f t="shared" ref="DJ21" si="169">DH21+DJ20</f>
        <v>4950</v>
      </c>
      <c r="DK21" s="125">
        <f t="shared" ref="DK21:DL21" si="170">DJ21+DK20</f>
        <v>5020</v>
      </c>
      <c r="DL21" s="123">
        <f t="shared" si="170"/>
        <v>5090</v>
      </c>
      <c r="DM21" s="123">
        <f t="shared" ref="DM21" si="171">DK21+DM20</f>
        <v>5100</v>
      </c>
      <c r="DN21" s="125">
        <f t="shared" ref="DN21:DO21" si="172">DM21+DN20</f>
        <v>5180</v>
      </c>
      <c r="DO21" s="123">
        <f t="shared" si="172"/>
        <v>5260</v>
      </c>
      <c r="DP21" s="123">
        <f t="shared" ref="DP21" si="173">DN21+DP20</f>
        <v>5260</v>
      </c>
      <c r="DQ21" s="125">
        <f t="shared" ref="DQ21:DR21" si="174">DP21+DQ20</f>
        <v>5340</v>
      </c>
      <c r="DR21" s="123">
        <f t="shared" si="174"/>
        <v>5460</v>
      </c>
      <c r="DS21" s="123">
        <f t="shared" ref="DS21" si="175">DQ21+DS20</f>
        <v>5450</v>
      </c>
      <c r="DT21" s="125">
        <f t="shared" ref="DT21:DU21" si="176">DS21+DT20</f>
        <v>5560</v>
      </c>
      <c r="DU21" s="123">
        <f t="shared" si="176"/>
        <v>5670</v>
      </c>
      <c r="DV21" s="127">
        <f t="shared" ref="DV21" si="177">DU21+DV20</f>
        <v>5770</v>
      </c>
      <c r="DW21" s="128">
        <f t="shared" ref="DW21" si="178">DV21+DW20</f>
        <v>5870</v>
      </c>
      <c r="DX21" s="128">
        <f t="shared" ref="DX21" si="179">DW21+DX20</f>
        <v>5970</v>
      </c>
      <c r="DY21" s="131">
        <f t="shared" ref="DY21" si="180">DX21+DY20</f>
        <v>6060</v>
      </c>
      <c r="DZ21" s="127">
        <f t="shared" ref="DZ21" si="181">DY21+DZ20</f>
        <v>6110</v>
      </c>
      <c r="EA21" s="128">
        <f t="shared" ref="EA21" si="182">DZ21+EA20</f>
        <v>6160</v>
      </c>
      <c r="EB21" s="128">
        <f t="shared" ref="EB21" si="183">EA21+EB20</f>
        <v>6210</v>
      </c>
      <c r="EC21" s="238">
        <f t="shared" ref="EC21:ED21" si="184">EB21+EC20</f>
        <v>6260</v>
      </c>
      <c r="ED21" s="131">
        <f t="shared" si="184"/>
        <v>6310</v>
      </c>
      <c r="EE21" s="128">
        <f t="shared" ref="EE21" si="185">ED21+EE20</f>
        <v>6310</v>
      </c>
      <c r="EF21" s="128">
        <f t="shared" ref="EF21" si="186">EE21+EF20</f>
        <v>6310</v>
      </c>
      <c r="EG21" s="139">
        <f t="shared" ref="EG21" si="187">EF21+EG20</f>
        <v>6310</v>
      </c>
      <c r="EH21" s="131">
        <f t="shared" ref="EH21" si="188">EG21+EH20</f>
        <v>6310</v>
      </c>
      <c r="EI21" s="128">
        <f t="shared" ref="EI21" si="189">EH21+EI20</f>
        <v>6310</v>
      </c>
      <c r="EJ21" s="128">
        <f t="shared" ref="EJ21" si="190">EI21+EJ20</f>
        <v>6310</v>
      </c>
      <c r="EK21" s="128">
        <f t="shared" ref="EK21" si="191">EJ21+EK20</f>
        <v>6310</v>
      </c>
      <c r="EL21" s="131">
        <f t="shared" ref="EL21" si="192">EK21+EL20</f>
        <v>6310</v>
      </c>
      <c r="EM21" s="127">
        <f t="shared" ref="EM21" si="193">EL21+EM20</f>
        <v>6310</v>
      </c>
      <c r="EN21" s="128">
        <f t="shared" ref="EN21" si="194">EM21+EN20</f>
        <v>6310</v>
      </c>
      <c r="EO21" s="128">
        <f t="shared" ref="EO21" si="195">EN21+EO20</f>
        <v>6310</v>
      </c>
      <c r="EP21" s="131">
        <f t="shared" ref="EP21" si="196">EO21+EP20</f>
        <v>6310</v>
      </c>
      <c r="EQ21" s="127">
        <f t="shared" ref="EQ21" si="197">EP21+EQ20</f>
        <v>6310</v>
      </c>
      <c r="ER21" s="128">
        <f t="shared" ref="ER21" si="198">EQ21+ER20</f>
        <v>6310</v>
      </c>
      <c r="ES21" s="128">
        <f t="shared" ref="ES21" si="199">ER21+ES20</f>
        <v>6310</v>
      </c>
      <c r="ET21" s="131">
        <f t="shared" ref="ET21" si="200">ES21+ET20</f>
        <v>6310</v>
      </c>
    </row>
    <row r="22" spans="1:150" s="25" customFormat="1" ht="27.75" customHeight="1">
      <c r="A22" s="26"/>
      <c r="B22" s="658"/>
      <c r="C22" s="643">
        <v>2</v>
      </c>
      <c r="D22" s="213" t="s">
        <v>109</v>
      </c>
      <c r="E22" s="177" t="s">
        <v>32</v>
      </c>
      <c r="F22" s="178" t="s">
        <v>125</v>
      </c>
      <c r="G22" s="114" t="s">
        <v>17</v>
      </c>
      <c r="H22" s="119">
        <v>10</v>
      </c>
      <c r="I22" s="117">
        <v>0</v>
      </c>
      <c r="J22" s="117">
        <v>10</v>
      </c>
      <c r="K22" s="117">
        <v>0</v>
      </c>
      <c r="L22" s="117">
        <v>0</v>
      </c>
      <c r="M22" s="117">
        <v>0</v>
      </c>
      <c r="N22" s="117">
        <v>0</v>
      </c>
      <c r="O22" s="118">
        <v>0</v>
      </c>
      <c r="P22" s="118">
        <v>10</v>
      </c>
      <c r="Q22" s="118">
        <v>0</v>
      </c>
      <c r="R22" s="117">
        <v>0</v>
      </c>
      <c r="S22" s="163">
        <v>0</v>
      </c>
      <c r="T22" s="164">
        <v>5</v>
      </c>
      <c r="U22" s="164">
        <v>0</v>
      </c>
      <c r="V22" s="164">
        <v>0</v>
      </c>
      <c r="W22" s="164">
        <v>6</v>
      </c>
      <c r="X22" s="164">
        <v>0</v>
      </c>
      <c r="Y22" s="164">
        <v>6</v>
      </c>
      <c r="Z22" s="164">
        <v>0</v>
      </c>
      <c r="AA22" s="164">
        <f>SUBTOTAL(9,DM22:DQ22)</f>
        <v>0</v>
      </c>
      <c r="AB22" s="164">
        <f>SUBTOTAL(9,DR22:DU22)</f>
        <v>0</v>
      </c>
      <c r="AC22" s="226">
        <f>SUBTOTAL(9,DV22:DY22)</f>
        <v>6</v>
      </c>
      <c r="AD22" s="218">
        <f>SUBTOTAL(9,DZ22:ED22)</f>
        <v>0</v>
      </c>
      <c r="AE22" s="218">
        <f>SUBTOTAL(9,EE22:EH22)</f>
        <v>0</v>
      </c>
      <c r="AF22" s="218">
        <f>SUBTOTAL(9,EI22:EL22)</f>
        <v>0</v>
      </c>
      <c r="AG22" s="218">
        <f>SUBTOTAL(9,EM22:EP22)</f>
        <v>0</v>
      </c>
      <c r="AH22" s="218">
        <f>SUBTOTAL(9,EQ22:ET22)</f>
        <v>0</v>
      </c>
      <c r="AI22" s="166">
        <v>10</v>
      </c>
      <c r="AJ22" s="166">
        <v>0</v>
      </c>
      <c r="AK22" s="166">
        <v>0</v>
      </c>
      <c r="AL22" s="165">
        <v>0</v>
      </c>
      <c r="AM22" s="167">
        <v>0</v>
      </c>
      <c r="AN22" s="166">
        <v>0</v>
      </c>
      <c r="AO22" s="166">
        <v>0</v>
      </c>
      <c r="AP22" s="168">
        <v>0</v>
      </c>
      <c r="AQ22" s="166">
        <v>10</v>
      </c>
      <c r="AR22" s="166">
        <v>0</v>
      </c>
      <c r="AS22" s="166">
        <v>0</v>
      </c>
      <c r="AT22" s="169">
        <v>0</v>
      </c>
      <c r="AU22" s="170">
        <v>0</v>
      </c>
      <c r="AV22" s="166">
        <v>0</v>
      </c>
      <c r="AW22" s="166">
        <v>0</v>
      </c>
      <c r="AX22" s="166">
        <v>0</v>
      </c>
      <c r="AY22" s="169">
        <v>0</v>
      </c>
      <c r="AZ22" s="167">
        <v>0</v>
      </c>
      <c r="BA22" s="166">
        <v>0</v>
      </c>
      <c r="BB22" s="166">
        <v>0</v>
      </c>
      <c r="BC22" s="169">
        <v>0</v>
      </c>
      <c r="BD22" s="171">
        <v>0</v>
      </c>
      <c r="BE22" s="166">
        <v>0</v>
      </c>
      <c r="BF22" s="172">
        <v>0</v>
      </c>
      <c r="BG22" s="166">
        <v>0</v>
      </c>
      <c r="BH22" s="169">
        <v>0</v>
      </c>
      <c r="BI22" s="171">
        <v>0</v>
      </c>
      <c r="BJ22" s="166">
        <v>0</v>
      </c>
      <c r="BK22" s="166">
        <v>0</v>
      </c>
      <c r="BL22" s="169">
        <v>0</v>
      </c>
      <c r="BM22" s="171">
        <v>0</v>
      </c>
      <c r="BN22" s="166">
        <v>0</v>
      </c>
      <c r="BO22" s="166">
        <v>0</v>
      </c>
      <c r="BP22" s="169">
        <v>0</v>
      </c>
      <c r="BQ22" s="167">
        <v>10</v>
      </c>
      <c r="BR22" s="166">
        <v>0</v>
      </c>
      <c r="BS22" s="166">
        <v>0</v>
      </c>
      <c r="BT22" s="169">
        <v>0</v>
      </c>
      <c r="BU22" s="173">
        <v>0</v>
      </c>
      <c r="BV22" s="171">
        <v>10</v>
      </c>
      <c r="BW22" s="166">
        <v>10</v>
      </c>
      <c r="BX22" s="166">
        <v>0</v>
      </c>
      <c r="BY22" s="168">
        <v>0</v>
      </c>
      <c r="BZ22" s="167">
        <v>0</v>
      </c>
      <c r="CA22" s="166">
        <v>0</v>
      </c>
      <c r="CB22" s="166">
        <v>0</v>
      </c>
      <c r="CC22" s="174">
        <v>0</v>
      </c>
      <c r="CD22" s="173">
        <v>0</v>
      </c>
      <c r="CE22" s="182">
        <v>0</v>
      </c>
      <c r="CF22" s="183">
        <v>0</v>
      </c>
      <c r="CG22" s="175">
        <v>0</v>
      </c>
      <c r="CH22" s="173">
        <v>0</v>
      </c>
      <c r="CI22" s="184">
        <v>0</v>
      </c>
      <c r="CJ22" s="175">
        <v>5</v>
      </c>
      <c r="CK22" s="175">
        <v>0</v>
      </c>
      <c r="CL22" s="173">
        <v>0</v>
      </c>
      <c r="CM22" s="184">
        <v>0</v>
      </c>
      <c r="CN22" s="175">
        <v>0</v>
      </c>
      <c r="CO22" s="175">
        <v>0</v>
      </c>
      <c r="CP22" s="173">
        <v>0</v>
      </c>
      <c r="CQ22" s="184">
        <v>0</v>
      </c>
      <c r="CR22" s="175">
        <v>0</v>
      </c>
      <c r="CS22" s="175">
        <v>0</v>
      </c>
      <c r="CT22" s="176">
        <v>0</v>
      </c>
      <c r="CU22" s="173">
        <v>0</v>
      </c>
      <c r="CV22" s="184">
        <v>6</v>
      </c>
      <c r="CW22" s="175">
        <v>0</v>
      </c>
      <c r="CX22" s="175">
        <v>0</v>
      </c>
      <c r="CY22" s="173">
        <v>0</v>
      </c>
      <c r="CZ22" s="184">
        <v>0</v>
      </c>
      <c r="DA22" s="175">
        <v>0</v>
      </c>
      <c r="DB22" s="175">
        <v>0</v>
      </c>
      <c r="DC22" s="173">
        <v>0</v>
      </c>
      <c r="DD22" s="184">
        <v>6</v>
      </c>
      <c r="DE22" s="175">
        <v>0</v>
      </c>
      <c r="DF22" s="176">
        <v>0</v>
      </c>
      <c r="DG22" s="175">
        <v>0</v>
      </c>
      <c r="DH22" s="173">
        <v>0</v>
      </c>
      <c r="DI22" s="184">
        <v>0</v>
      </c>
      <c r="DJ22" s="175">
        <v>0</v>
      </c>
      <c r="DK22" s="175">
        <v>0</v>
      </c>
      <c r="DL22" s="173">
        <v>0</v>
      </c>
      <c r="DM22" s="184"/>
      <c r="DN22" s="175"/>
      <c r="DO22" s="175"/>
      <c r="DP22" s="175"/>
      <c r="DQ22" s="173"/>
      <c r="DR22" s="184">
        <v>0</v>
      </c>
      <c r="DS22" s="175">
        <v>0</v>
      </c>
      <c r="DT22" s="175">
        <v>0</v>
      </c>
      <c r="DU22" s="173">
        <v>0</v>
      </c>
      <c r="DV22" s="171">
        <v>6</v>
      </c>
      <c r="DW22" s="175">
        <v>0</v>
      </c>
      <c r="DX22" s="175">
        <v>0</v>
      </c>
      <c r="DY22" s="173">
        <v>0</v>
      </c>
      <c r="DZ22" s="184">
        <v>0</v>
      </c>
      <c r="EA22" s="175">
        <v>0</v>
      </c>
      <c r="EB22" s="175">
        <v>0</v>
      </c>
      <c r="EC22" s="218">
        <v>0</v>
      </c>
      <c r="ED22" s="239">
        <v>0</v>
      </c>
      <c r="EE22" s="184"/>
      <c r="EF22" s="175"/>
      <c r="EG22" s="218"/>
      <c r="EH22" s="239"/>
      <c r="EI22" s="184"/>
      <c r="EJ22" s="175"/>
      <c r="EK22" s="175"/>
      <c r="EL22" s="173"/>
      <c r="EM22" s="184"/>
      <c r="EN22" s="175"/>
      <c r="EO22" s="175"/>
      <c r="EP22" s="173"/>
      <c r="EQ22" s="184"/>
      <c r="ER22" s="175"/>
      <c r="ES22" s="175"/>
      <c r="ET22" s="173"/>
    </row>
    <row r="23" spans="1:150" s="25" customFormat="1" ht="27.75" customHeight="1" thickBot="1">
      <c r="A23" s="26"/>
      <c r="B23" s="658"/>
      <c r="C23" s="644"/>
      <c r="D23" s="179"/>
      <c r="E23" s="180"/>
      <c r="F23" s="181"/>
      <c r="G23" s="120" t="s">
        <v>18</v>
      </c>
      <c r="H23" s="121">
        <v>60</v>
      </c>
      <c r="I23" s="122">
        <f>H23+I22</f>
        <v>60</v>
      </c>
      <c r="J23" s="122">
        <f>I23+J22</f>
        <v>70</v>
      </c>
      <c r="K23" s="122">
        <f t="shared" ref="K23" si="201">J23+K22</f>
        <v>70</v>
      </c>
      <c r="L23" s="122">
        <f t="shared" ref="L23" si="202">K23+L22</f>
        <v>70</v>
      </c>
      <c r="M23" s="122">
        <f t="shared" ref="M23" si="203">L23+M22</f>
        <v>70</v>
      </c>
      <c r="N23" s="122">
        <f t="shared" ref="N23" si="204">M23+N22</f>
        <v>70</v>
      </c>
      <c r="O23" s="122">
        <f t="shared" ref="O23" si="205">N23+O22</f>
        <v>70</v>
      </c>
      <c r="P23" s="122">
        <f t="shared" ref="P23" si="206">O23+P22</f>
        <v>80</v>
      </c>
      <c r="Q23" s="122">
        <v>0</v>
      </c>
      <c r="R23" s="122">
        <f t="shared" ref="R23:U23" si="207">Q23+R22</f>
        <v>0</v>
      </c>
      <c r="S23" s="122">
        <f t="shared" si="207"/>
        <v>0</v>
      </c>
      <c r="T23" s="123">
        <f t="shared" si="207"/>
        <v>5</v>
      </c>
      <c r="U23" s="123">
        <f t="shared" si="207"/>
        <v>5</v>
      </c>
      <c r="V23" s="123">
        <f t="shared" ref="V23:W23" si="208">U23+V22</f>
        <v>5</v>
      </c>
      <c r="W23" s="123">
        <f t="shared" si="208"/>
        <v>11</v>
      </c>
      <c r="X23" s="123">
        <f t="shared" ref="X23:AB23" si="209">W23+X22</f>
        <v>11</v>
      </c>
      <c r="Y23" s="123">
        <f t="shared" si="209"/>
        <v>17</v>
      </c>
      <c r="Z23" s="123">
        <f t="shared" si="209"/>
        <v>17</v>
      </c>
      <c r="AA23" s="123">
        <f t="shared" si="209"/>
        <v>17</v>
      </c>
      <c r="AB23" s="123">
        <f t="shared" si="209"/>
        <v>17</v>
      </c>
      <c r="AC23" s="227">
        <f t="shared" ref="AC23:AH23" si="210">AB23+AC22</f>
        <v>23</v>
      </c>
      <c r="AD23" s="136">
        <f t="shared" si="210"/>
        <v>23</v>
      </c>
      <c r="AE23" s="145">
        <f t="shared" si="210"/>
        <v>23</v>
      </c>
      <c r="AF23" s="137">
        <f t="shared" si="210"/>
        <v>23</v>
      </c>
      <c r="AG23" s="137">
        <f t="shared" si="210"/>
        <v>23</v>
      </c>
      <c r="AH23" s="146">
        <f t="shared" si="210"/>
        <v>23</v>
      </c>
      <c r="AI23" s="124">
        <v>60</v>
      </c>
      <c r="AJ23" s="124">
        <f t="shared" ref="AJ23" si="211">AI23+AJ22</f>
        <v>60</v>
      </c>
      <c r="AK23" s="124">
        <f t="shared" ref="AK23" si="212">AJ23+AK22</f>
        <v>60</v>
      </c>
      <c r="AL23" s="126">
        <f t="shared" ref="AL23" si="213">AK23+AL22</f>
        <v>60</v>
      </c>
      <c r="AM23" s="124">
        <f t="shared" ref="AM23" si="214">AL23+AM22</f>
        <v>60</v>
      </c>
      <c r="AN23" s="124">
        <f t="shared" ref="AN23" si="215">AM23+AN22</f>
        <v>60</v>
      </c>
      <c r="AO23" s="124">
        <f t="shared" ref="AO23" si="216">AN23+AO22</f>
        <v>60</v>
      </c>
      <c r="AP23" s="133">
        <f t="shared" ref="AP23" si="217">AO23+AP22</f>
        <v>60</v>
      </c>
      <c r="AQ23" s="124">
        <f>AP23+AQ22</f>
        <v>70</v>
      </c>
      <c r="AR23" s="124">
        <f t="shared" ref="AR23" si="218">AQ23+AR22</f>
        <v>70</v>
      </c>
      <c r="AS23" s="124">
        <f t="shared" ref="AS23" si="219">AR23+AS22</f>
        <v>70</v>
      </c>
      <c r="AT23" s="125">
        <f t="shared" ref="AT23" si="220">AS23+AT22</f>
        <v>70</v>
      </c>
      <c r="AU23" s="134">
        <f>AT23+AU22</f>
        <v>70</v>
      </c>
      <c r="AV23" s="124">
        <f t="shared" ref="AV23" si="221">AU23+AV22</f>
        <v>70</v>
      </c>
      <c r="AW23" s="124">
        <f t="shared" ref="AW23" si="222">AV23+AW22</f>
        <v>70</v>
      </c>
      <c r="AX23" s="124">
        <f t="shared" ref="AX23" si="223">AW23+AX22</f>
        <v>70</v>
      </c>
      <c r="AY23" s="125">
        <f t="shared" ref="AY23" si="224">AX23+AY22</f>
        <v>70</v>
      </c>
      <c r="AZ23" s="121">
        <f>AY23+AZ22</f>
        <v>70</v>
      </c>
      <c r="BA23" s="124">
        <f t="shared" ref="BA23" si="225">AZ23+BA22</f>
        <v>70</v>
      </c>
      <c r="BB23" s="124">
        <f t="shared" ref="BB23" si="226">BA23+BB22</f>
        <v>70</v>
      </c>
      <c r="BC23" s="125">
        <f t="shared" ref="BC23" si="227">BB23+BC22</f>
        <v>70</v>
      </c>
      <c r="BD23" s="121">
        <f t="shared" ref="BD23" si="228">BC23+BD22</f>
        <v>70</v>
      </c>
      <c r="BE23" s="124">
        <f t="shared" ref="BE23" si="229">BD23+BE22</f>
        <v>70</v>
      </c>
      <c r="BF23" s="124">
        <f t="shared" ref="BF23" si="230">BE23+BF22</f>
        <v>70</v>
      </c>
      <c r="BG23" s="124">
        <f t="shared" ref="BG23" si="231">BF23+BG22</f>
        <v>70</v>
      </c>
      <c r="BH23" s="125">
        <f t="shared" ref="BH23" si="232">BG23+BH22</f>
        <v>70</v>
      </c>
      <c r="BI23" s="121">
        <f>BH23+BI22</f>
        <v>70</v>
      </c>
      <c r="BJ23" s="124">
        <f t="shared" ref="BJ23" si="233">BI23+BJ22</f>
        <v>70</v>
      </c>
      <c r="BK23" s="124">
        <f t="shared" ref="BK23" si="234">BJ23+BK22</f>
        <v>70</v>
      </c>
      <c r="BL23" s="125">
        <f t="shared" ref="BL23" si="235">BK23+BL22</f>
        <v>70</v>
      </c>
      <c r="BM23" s="121">
        <f t="shared" ref="BM23" si="236">BL23+BM22</f>
        <v>70</v>
      </c>
      <c r="BN23" s="124">
        <f t="shared" ref="BN23" si="237">BM23+BN22</f>
        <v>70</v>
      </c>
      <c r="BO23" s="124">
        <f t="shared" ref="BO23" si="238">BN23+BO22</f>
        <v>70</v>
      </c>
      <c r="BP23" s="125">
        <f t="shared" ref="BP23" si="239">BO23+BP22</f>
        <v>70</v>
      </c>
      <c r="BQ23" s="121">
        <f>BP23+BQ22</f>
        <v>80</v>
      </c>
      <c r="BR23" s="124">
        <f t="shared" ref="BR23" si="240">BQ23+BR22</f>
        <v>80</v>
      </c>
      <c r="BS23" s="124">
        <f t="shared" ref="BS23" si="241">BR23+BS22</f>
        <v>80</v>
      </c>
      <c r="BT23" s="124">
        <f t="shared" ref="BT23" si="242">BS23+BT22</f>
        <v>80</v>
      </c>
      <c r="BU23" s="126">
        <f t="shared" ref="BU23" si="243">BT23+BU22</f>
        <v>80</v>
      </c>
      <c r="BV23" s="121">
        <f t="shared" ref="BV23" si="244">BU23+BV22</f>
        <v>90</v>
      </c>
      <c r="BW23" s="124">
        <f t="shared" ref="BW23" si="245">BV23+BW22</f>
        <v>100</v>
      </c>
      <c r="BX23" s="124">
        <f t="shared" ref="BX23" si="246">BW23+BX22</f>
        <v>100</v>
      </c>
      <c r="BY23" s="133">
        <f t="shared" ref="BY23" si="247">BX23+BY22</f>
        <v>100</v>
      </c>
      <c r="BZ23" s="121">
        <f>BY23+BZ22</f>
        <v>100</v>
      </c>
      <c r="CA23" s="124">
        <f t="shared" ref="CA23" si="248">BZ23+CA22</f>
        <v>100</v>
      </c>
      <c r="CB23" s="124">
        <f t="shared" ref="CB23" si="249">CA23+CB22</f>
        <v>100</v>
      </c>
      <c r="CC23" s="124">
        <f t="shared" ref="CC23" si="250">CB23+CC22</f>
        <v>100</v>
      </c>
      <c r="CD23" s="126">
        <f t="shared" ref="CD23" si="251">CC23+CD22</f>
        <v>100</v>
      </c>
      <c r="CE23" s="127">
        <v>0</v>
      </c>
      <c r="CF23" s="128">
        <f t="shared" ref="CF23" si="252">CE23+CF22</f>
        <v>0</v>
      </c>
      <c r="CG23" s="128">
        <f t="shared" ref="CG23" si="253">CF23+CG22</f>
        <v>0</v>
      </c>
      <c r="CH23" s="129">
        <f t="shared" ref="CH23" si="254">CG23+CH22</f>
        <v>0</v>
      </c>
      <c r="CI23" s="127">
        <f t="shared" ref="CI23" si="255">CH23+CI22</f>
        <v>0</v>
      </c>
      <c r="CJ23" s="128">
        <f t="shared" ref="CJ23" si="256">CI23+CJ22</f>
        <v>5</v>
      </c>
      <c r="CK23" s="128">
        <f t="shared" ref="CK23" si="257">CJ23+CK22</f>
        <v>5</v>
      </c>
      <c r="CL23" s="129">
        <f t="shared" ref="CL23" si="258">CK23+CL22</f>
        <v>5</v>
      </c>
      <c r="CM23" s="127">
        <f t="shared" ref="CM23" si="259">CL23+CM22</f>
        <v>5</v>
      </c>
      <c r="CN23" s="128">
        <f t="shared" ref="CN23" si="260">CM23+CN22</f>
        <v>5</v>
      </c>
      <c r="CO23" s="128">
        <f t="shared" ref="CO23" si="261">CN23+CO22</f>
        <v>5</v>
      </c>
      <c r="CP23" s="129">
        <f t="shared" ref="CP23" si="262">CO23+CP22</f>
        <v>5</v>
      </c>
      <c r="CQ23" s="127">
        <f t="shared" ref="CQ23" si="263">CP23+CQ22</f>
        <v>5</v>
      </c>
      <c r="CR23" s="128">
        <f t="shared" ref="CR23" si="264">CQ23+CR22</f>
        <v>5</v>
      </c>
      <c r="CS23" s="128">
        <f t="shared" ref="CS23" si="265">CR23+CS22</f>
        <v>5</v>
      </c>
      <c r="CT23" s="128">
        <f t="shared" ref="CT23" si="266">CS23+CT22</f>
        <v>5</v>
      </c>
      <c r="CU23" s="129">
        <f t="shared" ref="CU23" si="267">CT23+CU22</f>
        <v>5</v>
      </c>
      <c r="CV23" s="127">
        <f t="shared" ref="CV23" si="268">CU23+CV22</f>
        <v>11</v>
      </c>
      <c r="CW23" s="128">
        <f t="shared" ref="CW23" si="269">CV23+CW22</f>
        <v>11</v>
      </c>
      <c r="CX23" s="128">
        <f t="shared" ref="CX23" si="270">CW23+CX22</f>
        <v>11</v>
      </c>
      <c r="CY23" s="129">
        <f t="shared" ref="CY23" si="271">CX23+CY22</f>
        <v>11</v>
      </c>
      <c r="CZ23" s="127">
        <f t="shared" ref="CZ23" si="272">CY23+CZ22</f>
        <v>11</v>
      </c>
      <c r="DA23" s="128">
        <f t="shared" ref="DA23" si="273">CZ23+DA22</f>
        <v>11</v>
      </c>
      <c r="DB23" s="128">
        <f t="shared" ref="DB23" si="274">DA23+DB22</f>
        <v>11</v>
      </c>
      <c r="DC23" s="129">
        <f t="shared" ref="DC23" si="275">DB23+DC22</f>
        <v>11</v>
      </c>
      <c r="DD23" s="127">
        <f t="shared" ref="DD23" si="276">DC23+DD22</f>
        <v>17</v>
      </c>
      <c r="DE23" s="128">
        <f t="shared" ref="DE23" si="277">DD23+DE22</f>
        <v>17</v>
      </c>
      <c r="DF23" s="128">
        <f t="shared" ref="DF23" si="278">DE23+DF22</f>
        <v>17</v>
      </c>
      <c r="DG23" s="140">
        <f t="shared" ref="DG23:DH23" si="279">DF23+DG22</f>
        <v>17</v>
      </c>
      <c r="DH23" s="130">
        <f t="shared" si="279"/>
        <v>17</v>
      </c>
      <c r="DI23" s="127">
        <f t="shared" ref="DI23" si="280">DH23+DI22</f>
        <v>17</v>
      </c>
      <c r="DJ23" s="128">
        <f t="shared" ref="DJ23" si="281">DI23+DJ22</f>
        <v>17</v>
      </c>
      <c r="DK23" s="128">
        <f t="shared" ref="DK23" si="282">DJ23+DK22</f>
        <v>17</v>
      </c>
      <c r="DL23" s="129">
        <f t="shared" ref="DL23" si="283">DK23+DL22</f>
        <v>17</v>
      </c>
      <c r="DM23" s="127">
        <f t="shared" ref="DM23" si="284">DL23+DM22</f>
        <v>17</v>
      </c>
      <c r="DN23" s="128">
        <f t="shared" ref="DN23" si="285">DM23+DN22</f>
        <v>17</v>
      </c>
      <c r="DO23" s="128">
        <f t="shared" ref="DO23" si="286">DN23+DO22</f>
        <v>17</v>
      </c>
      <c r="DP23" s="140">
        <f>DO23+DP22</f>
        <v>17</v>
      </c>
      <c r="DQ23" s="130">
        <f>DP23+DQ22</f>
        <v>17</v>
      </c>
      <c r="DR23" s="127">
        <f>DQ23+DR22</f>
        <v>17</v>
      </c>
      <c r="DS23" s="128">
        <f t="shared" ref="DS23" si="287">DR23+DS22</f>
        <v>17</v>
      </c>
      <c r="DT23" s="128">
        <f t="shared" ref="DT23" si="288">DS23+DT22</f>
        <v>17</v>
      </c>
      <c r="DU23" s="129">
        <f t="shared" ref="DU23" si="289">DT23+DU22</f>
        <v>17</v>
      </c>
      <c r="DV23" s="127">
        <f t="shared" ref="DV23" si="290">DU23+DV22</f>
        <v>23</v>
      </c>
      <c r="DW23" s="128">
        <f t="shared" ref="DW23" si="291">DV23+DW22</f>
        <v>23</v>
      </c>
      <c r="DX23" s="128">
        <f t="shared" ref="DX23" si="292">DW23+DX22</f>
        <v>23</v>
      </c>
      <c r="DY23" s="129">
        <f t="shared" ref="DY23" si="293">DX23+DY22</f>
        <v>23</v>
      </c>
      <c r="DZ23" s="127">
        <f t="shared" ref="DZ23" si="294">DY23+DZ22</f>
        <v>23</v>
      </c>
      <c r="EA23" s="128">
        <f t="shared" ref="EA23" si="295">DZ23+EA22</f>
        <v>23</v>
      </c>
      <c r="EB23" s="128">
        <f t="shared" ref="EB23" si="296">EA23+EB22</f>
        <v>23</v>
      </c>
      <c r="EC23" s="139">
        <f t="shared" ref="EC23:ED23" si="297">EB23+EC22</f>
        <v>23</v>
      </c>
      <c r="ED23" s="129">
        <f t="shared" si="297"/>
        <v>23</v>
      </c>
      <c r="EE23" s="128">
        <f t="shared" ref="EE23" si="298">ED23+EE22</f>
        <v>23</v>
      </c>
      <c r="EF23" s="128">
        <f t="shared" ref="EF23" si="299">EE23+EF22</f>
        <v>23</v>
      </c>
      <c r="EG23" s="139">
        <f t="shared" ref="EG23" si="300">EF23+EG22</f>
        <v>23</v>
      </c>
      <c r="EH23" s="129">
        <f t="shared" ref="EH23" si="301">EG23+EH22</f>
        <v>23</v>
      </c>
      <c r="EI23" s="128">
        <f t="shared" ref="EI23" si="302">EH23+EI22</f>
        <v>23</v>
      </c>
      <c r="EJ23" s="128">
        <f t="shared" ref="EJ23" si="303">EI23+EJ22</f>
        <v>23</v>
      </c>
      <c r="EK23" s="128">
        <f t="shared" ref="EK23" si="304">EJ23+EK22</f>
        <v>23</v>
      </c>
      <c r="EL23" s="129">
        <f t="shared" ref="EL23" si="305">EK23+EL22</f>
        <v>23</v>
      </c>
      <c r="EM23" s="127">
        <f t="shared" ref="EM23" si="306">EL23+EM22</f>
        <v>23</v>
      </c>
      <c r="EN23" s="128">
        <f t="shared" ref="EN23" si="307">EM23+EN22</f>
        <v>23</v>
      </c>
      <c r="EO23" s="128">
        <f t="shared" ref="EO23" si="308">EN23+EO22</f>
        <v>23</v>
      </c>
      <c r="EP23" s="129">
        <f t="shared" ref="EP23" si="309">EO23+EP22</f>
        <v>23</v>
      </c>
      <c r="EQ23" s="127">
        <f t="shared" ref="EQ23" si="310">EP23+EQ22</f>
        <v>23</v>
      </c>
      <c r="ER23" s="128">
        <f t="shared" ref="ER23" si="311">EQ23+ER22</f>
        <v>23</v>
      </c>
      <c r="ES23" s="128">
        <f t="shared" ref="ES23" si="312">ER23+ES22</f>
        <v>23</v>
      </c>
      <c r="ET23" s="129">
        <f t="shared" ref="ET23" si="313">ES23+ET22</f>
        <v>23</v>
      </c>
    </row>
    <row r="24" spans="1:150" s="25" customFormat="1" ht="27.75" customHeight="1">
      <c r="A24" s="26" t="s">
        <v>12</v>
      </c>
      <c r="B24" s="658"/>
      <c r="C24" s="641">
        <v>3</v>
      </c>
      <c r="D24" s="213" t="s">
        <v>110</v>
      </c>
      <c r="E24" s="177" t="s">
        <v>32</v>
      </c>
      <c r="F24" s="178" t="s">
        <v>126</v>
      </c>
      <c r="G24" s="114" t="s">
        <v>17</v>
      </c>
      <c r="H24" s="119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  <c r="O24" s="118">
        <v>0</v>
      </c>
      <c r="P24" s="118">
        <v>0</v>
      </c>
      <c r="Q24" s="118">
        <v>0</v>
      </c>
      <c r="R24" s="117">
        <v>0</v>
      </c>
      <c r="S24" s="163">
        <v>0</v>
      </c>
      <c r="T24" s="164">
        <v>210</v>
      </c>
      <c r="U24" s="164">
        <v>940</v>
      </c>
      <c r="V24" s="164">
        <v>1010</v>
      </c>
      <c r="W24" s="164">
        <v>660</v>
      </c>
      <c r="X24" s="164">
        <v>910</v>
      </c>
      <c r="Y24" s="164">
        <v>240</v>
      </c>
      <c r="Z24" s="164">
        <v>780</v>
      </c>
      <c r="AA24" s="164">
        <f>SUBTOTAL(9,DM24:DQ24)</f>
        <v>740</v>
      </c>
      <c r="AB24" s="164">
        <f>SUBTOTAL(9,DR24:DU24)</f>
        <v>910</v>
      </c>
      <c r="AC24" s="226">
        <f>SUBTOTAL(9,DV24:DY24)</f>
        <v>850</v>
      </c>
      <c r="AD24" s="218">
        <f>SUBTOTAL(9,DZ24:ED24)</f>
        <v>350</v>
      </c>
      <c r="AE24" s="218">
        <f>SUBTOTAL(9,EE24:EH24)</f>
        <v>0</v>
      </c>
      <c r="AF24" s="218">
        <f>SUBTOTAL(9,EI24:EL24)</f>
        <v>0</v>
      </c>
      <c r="AG24" s="218">
        <f>SUBTOTAL(9,EM24:EP24)</f>
        <v>0</v>
      </c>
      <c r="AH24" s="218">
        <f>SUBTOTAL(9,EQ24:ET24)</f>
        <v>0</v>
      </c>
      <c r="AI24" s="166">
        <v>0</v>
      </c>
      <c r="AJ24" s="166">
        <v>0</v>
      </c>
      <c r="AK24" s="166">
        <v>0</v>
      </c>
      <c r="AL24" s="165">
        <v>0</v>
      </c>
      <c r="AM24" s="167">
        <v>0</v>
      </c>
      <c r="AN24" s="166">
        <v>0</v>
      </c>
      <c r="AO24" s="166">
        <v>0</v>
      </c>
      <c r="AP24" s="168">
        <v>0</v>
      </c>
      <c r="AQ24" s="166">
        <v>0</v>
      </c>
      <c r="AR24" s="166">
        <v>0</v>
      </c>
      <c r="AS24" s="166">
        <v>0</v>
      </c>
      <c r="AT24" s="169">
        <v>0</v>
      </c>
      <c r="AU24" s="170">
        <v>0</v>
      </c>
      <c r="AV24" s="166">
        <v>0</v>
      </c>
      <c r="AW24" s="166">
        <v>0</v>
      </c>
      <c r="AX24" s="166">
        <v>0</v>
      </c>
      <c r="AY24" s="169">
        <v>0</v>
      </c>
      <c r="AZ24" s="167">
        <v>0</v>
      </c>
      <c r="BA24" s="166">
        <v>0</v>
      </c>
      <c r="BB24" s="166">
        <v>0</v>
      </c>
      <c r="BC24" s="169">
        <v>0</v>
      </c>
      <c r="BD24" s="171">
        <v>0</v>
      </c>
      <c r="BE24" s="166">
        <v>0</v>
      </c>
      <c r="BF24" s="172">
        <v>0</v>
      </c>
      <c r="BG24" s="166">
        <v>0</v>
      </c>
      <c r="BH24" s="169">
        <v>0</v>
      </c>
      <c r="BI24" s="171">
        <v>0</v>
      </c>
      <c r="BJ24" s="166">
        <v>0</v>
      </c>
      <c r="BK24" s="166">
        <v>0</v>
      </c>
      <c r="BL24" s="169">
        <v>0</v>
      </c>
      <c r="BM24" s="171">
        <v>0</v>
      </c>
      <c r="BN24" s="166">
        <v>0</v>
      </c>
      <c r="BO24" s="166">
        <v>0</v>
      </c>
      <c r="BP24" s="169">
        <v>0</v>
      </c>
      <c r="BQ24" s="167">
        <v>0</v>
      </c>
      <c r="BR24" s="166">
        <v>0</v>
      </c>
      <c r="BS24" s="166">
        <v>0</v>
      </c>
      <c r="BT24" s="169">
        <v>0</v>
      </c>
      <c r="BU24" s="173">
        <v>0</v>
      </c>
      <c r="BV24" s="171">
        <v>0</v>
      </c>
      <c r="BW24" s="166">
        <v>0</v>
      </c>
      <c r="BX24" s="166">
        <v>0</v>
      </c>
      <c r="BY24" s="168">
        <v>0</v>
      </c>
      <c r="BZ24" s="167">
        <v>0</v>
      </c>
      <c r="CA24" s="166">
        <v>0</v>
      </c>
      <c r="CB24" s="166">
        <v>0</v>
      </c>
      <c r="CC24" s="174">
        <v>0</v>
      </c>
      <c r="CD24" s="173">
        <v>0</v>
      </c>
      <c r="CE24" s="182">
        <v>0</v>
      </c>
      <c r="CF24" s="183">
        <v>0</v>
      </c>
      <c r="CG24" s="175">
        <v>0</v>
      </c>
      <c r="CH24" s="173">
        <v>0</v>
      </c>
      <c r="CI24" s="184">
        <v>0</v>
      </c>
      <c r="CJ24" s="175">
        <v>70</v>
      </c>
      <c r="CK24" s="175">
        <v>70</v>
      </c>
      <c r="CL24" s="173">
        <v>70</v>
      </c>
      <c r="CM24" s="184">
        <v>240</v>
      </c>
      <c r="CN24" s="175">
        <v>240</v>
      </c>
      <c r="CO24" s="175">
        <v>230</v>
      </c>
      <c r="CP24" s="173">
        <v>230</v>
      </c>
      <c r="CQ24" s="184">
        <v>250</v>
      </c>
      <c r="CR24" s="175">
        <v>260</v>
      </c>
      <c r="CS24" s="175">
        <v>250</v>
      </c>
      <c r="CT24" s="176">
        <v>0</v>
      </c>
      <c r="CU24" s="173">
        <v>250</v>
      </c>
      <c r="CV24" s="171">
        <v>160</v>
      </c>
      <c r="CW24" s="175">
        <v>160</v>
      </c>
      <c r="CX24" s="175">
        <v>170</v>
      </c>
      <c r="CY24" s="173">
        <v>170</v>
      </c>
      <c r="CZ24" s="184">
        <v>230</v>
      </c>
      <c r="DA24" s="175">
        <v>230</v>
      </c>
      <c r="DB24" s="175">
        <v>230</v>
      </c>
      <c r="DC24" s="173">
        <v>220</v>
      </c>
      <c r="DD24" s="184">
        <v>60</v>
      </c>
      <c r="DE24" s="175">
        <v>60</v>
      </c>
      <c r="DF24" s="176">
        <v>0</v>
      </c>
      <c r="DG24" s="175">
        <v>60</v>
      </c>
      <c r="DH24" s="173">
        <v>60</v>
      </c>
      <c r="DI24" s="184">
        <v>200</v>
      </c>
      <c r="DJ24" s="175">
        <v>200</v>
      </c>
      <c r="DK24" s="175">
        <v>190</v>
      </c>
      <c r="DL24" s="173">
        <v>190</v>
      </c>
      <c r="DM24" s="184">
        <v>150</v>
      </c>
      <c r="DN24" s="175">
        <v>150</v>
      </c>
      <c r="DO24" s="175">
        <v>150</v>
      </c>
      <c r="DP24" s="175">
        <v>150</v>
      </c>
      <c r="DQ24" s="173">
        <v>140</v>
      </c>
      <c r="DR24" s="184">
        <v>230</v>
      </c>
      <c r="DS24" s="175">
        <v>230</v>
      </c>
      <c r="DT24" s="175">
        <v>230</v>
      </c>
      <c r="DU24" s="173">
        <v>220</v>
      </c>
      <c r="DV24" s="171">
        <v>220</v>
      </c>
      <c r="DW24" s="175">
        <v>210</v>
      </c>
      <c r="DX24" s="175">
        <v>210</v>
      </c>
      <c r="DY24" s="173">
        <v>210</v>
      </c>
      <c r="DZ24" s="184">
        <v>70</v>
      </c>
      <c r="EA24" s="175">
        <v>70</v>
      </c>
      <c r="EB24" s="175">
        <v>70</v>
      </c>
      <c r="EC24" s="218">
        <v>70</v>
      </c>
      <c r="ED24" s="239">
        <v>70</v>
      </c>
      <c r="EE24" s="184"/>
      <c r="EF24" s="175"/>
      <c r="EG24" s="218"/>
      <c r="EH24" s="239"/>
      <c r="EI24" s="184"/>
      <c r="EJ24" s="175"/>
      <c r="EK24" s="175"/>
      <c r="EL24" s="173"/>
      <c r="EM24" s="184"/>
      <c r="EN24" s="175"/>
      <c r="EO24" s="175"/>
      <c r="EP24" s="173"/>
      <c r="EQ24" s="184"/>
      <c r="ER24" s="175"/>
      <c r="ES24" s="175"/>
      <c r="ET24" s="173"/>
    </row>
    <row r="25" spans="1:150" s="25" customFormat="1" ht="27.75" customHeight="1" thickBot="1">
      <c r="A25" s="26" t="s">
        <v>12</v>
      </c>
      <c r="B25" s="31"/>
      <c r="C25" s="642"/>
      <c r="D25" s="179"/>
      <c r="E25" s="180"/>
      <c r="F25" s="181"/>
      <c r="G25" s="120" t="s">
        <v>18</v>
      </c>
      <c r="H25" s="121">
        <v>0</v>
      </c>
      <c r="I25" s="122">
        <f t="shared" ref="I25" si="314">H25+I24</f>
        <v>0</v>
      </c>
      <c r="J25" s="122">
        <f t="shared" ref="J25" si="315">I25+J24</f>
        <v>0</v>
      </c>
      <c r="K25" s="122">
        <f t="shared" ref="K25" si="316">J25+K24</f>
        <v>0</v>
      </c>
      <c r="L25" s="122">
        <f t="shared" ref="L25" si="317">K25+L24</f>
        <v>0</v>
      </c>
      <c r="M25" s="123">
        <f t="shared" ref="M25" si="318">L25+M24</f>
        <v>0</v>
      </c>
      <c r="N25" s="122">
        <f t="shared" ref="N25" si="319">M25+N24</f>
        <v>0</v>
      </c>
      <c r="O25" s="123">
        <f t="shared" ref="O25" si="320">N25+O24</f>
        <v>0</v>
      </c>
      <c r="P25" s="123">
        <f t="shared" ref="P25" si="321">O25+P24</f>
        <v>0</v>
      </c>
      <c r="Q25" s="123">
        <f t="shared" ref="Q25" si="322">P25+Q24</f>
        <v>0</v>
      </c>
      <c r="R25" s="122">
        <f t="shared" ref="R25:T25" si="323">Q25+R24</f>
        <v>0</v>
      </c>
      <c r="S25" s="122">
        <f t="shared" si="323"/>
        <v>0</v>
      </c>
      <c r="T25" s="123">
        <f t="shared" si="323"/>
        <v>210</v>
      </c>
      <c r="U25" s="123">
        <f t="shared" ref="U25:W25" si="324">T25+U24</f>
        <v>1150</v>
      </c>
      <c r="V25" s="123">
        <f t="shared" si="324"/>
        <v>2160</v>
      </c>
      <c r="W25" s="123">
        <f t="shared" si="324"/>
        <v>2820</v>
      </c>
      <c r="X25" s="123">
        <f t="shared" ref="X25" si="325">W25+X24</f>
        <v>3730</v>
      </c>
      <c r="Y25" s="123">
        <f t="shared" ref="Y25:AB25" si="326">X25+Y24</f>
        <v>3970</v>
      </c>
      <c r="Z25" s="123">
        <f t="shared" si="326"/>
        <v>4750</v>
      </c>
      <c r="AA25" s="123">
        <f t="shared" si="326"/>
        <v>5490</v>
      </c>
      <c r="AB25" s="123">
        <f t="shared" si="326"/>
        <v>6400</v>
      </c>
      <c r="AC25" s="227">
        <f t="shared" ref="AC25:AH25" si="327">AB25+AC24</f>
        <v>7250</v>
      </c>
      <c r="AD25" s="136">
        <f t="shared" si="327"/>
        <v>7600</v>
      </c>
      <c r="AE25" s="145">
        <f t="shared" si="327"/>
        <v>7600</v>
      </c>
      <c r="AF25" s="137">
        <f t="shared" si="327"/>
        <v>7600</v>
      </c>
      <c r="AG25" s="137">
        <f t="shared" si="327"/>
        <v>7600</v>
      </c>
      <c r="AH25" s="146">
        <f t="shared" si="327"/>
        <v>7600</v>
      </c>
      <c r="AI25" s="124">
        <v>0</v>
      </c>
      <c r="AJ25" s="124">
        <f t="shared" ref="AJ25" si="328">AI25+AJ24</f>
        <v>0</v>
      </c>
      <c r="AK25" s="124">
        <f t="shared" ref="AK25" si="329">AJ25+AK24</f>
        <v>0</v>
      </c>
      <c r="AL25" s="126">
        <f t="shared" ref="AL25" si="330">AK25+AL24</f>
        <v>0</v>
      </c>
      <c r="AM25" s="124">
        <f t="shared" ref="AM25" si="331">AL25+AM24</f>
        <v>0</v>
      </c>
      <c r="AN25" s="124">
        <f t="shared" ref="AN25" si="332">AM25+AN24</f>
        <v>0</v>
      </c>
      <c r="AO25" s="124">
        <f t="shared" ref="AO25" si="333">AN25+AO24</f>
        <v>0</v>
      </c>
      <c r="AP25" s="133">
        <f t="shared" ref="AP25" si="334">AO25+AP24</f>
        <v>0</v>
      </c>
      <c r="AQ25" s="124">
        <f>AP25+AQ24</f>
        <v>0</v>
      </c>
      <c r="AR25" s="124">
        <f t="shared" ref="AR25" si="335">AQ25+AR24</f>
        <v>0</v>
      </c>
      <c r="AS25" s="124">
        <f t="shared" ref="AS25" si="336">AR25+AS24</f>
        <v>0</v>
      </c>
      <c r="AT25" s="125">
        <f t="shared" ref="AT25" si="337">AS25+AT24</f>
        <v>0</v>
      </c>
      <c r="AU25" s="134">
        <f>AT25+AU24</f>
        <v>0</v>
      </c>
      <c r="AV25" s="124">
        <f t="shared" ref="AV25" si="338">AU25+AV24</f>
        <v>0</v>
      </c>
      <c r="AW25" s="124">
        <f t="shared" ref="AW25" si="339">AV25+AW24</f>
        <v>0</v>
      </c>
      <c r="AX25" s="124">
        <f t="shared" ref="AX25" si="340">AW25+AX24</f>
        <v>0</v>
      </c>
      <c r="AY25" s="125">
        <f t="shared" ref="AY25" si="341">AX25+AY24</f>
        <v>0</v>
      </c>
      <c r="AZ25" s="121">
        <f>AY25+AZ24</f>
        <v>0</v>
      </c>
      <c r="BA25" s="124">
        <f t="shared" ref="BA25" si="342">AZ25+BA24</f>
        <v>0</v>
      </c>
      <c r="BB25" s="124">
        <f t="shared" ref="BB25" si="343">BA25+BB24</f>
        <v>0</v>
      </c>
      <c r="BC25" s="125">
        <f t="shared" ref="BC25" si="344">BB25+BC24</f>
        <v>0</v>
      </c>
      <c r="BD25" s="121">
        <f t="shared" ref="BD25" si="345">BC25+BD24</f>
        <v>0</v>
      </c>
      <c r="BE25" s="124">
        <f t="shared" ref="BE25" si="346">BD25+BE24</f>
        <v>0</v>
      </c>
      <c r="BF25" s="124">
        <f t="shared" ref="BF25" si="347">BE25+BF24</f>
        <v>0</v>
      </c>
      <c r="BG25" s="124">
        <f t="shared" ref="BG25" si="348">BF25+BG24</f>
        <v>0</v>
      </c>
      <c r="BH25" s="125">
        <f t="shared" ref="BH25" si="349">BG25+BH24</f>
        <v>0</v>
      </c>
      <c r="BI25" s="121">
        <f>BH25+BI24</f>
        <v>0</v>
      </c>
      <c r="BJ25" s="124">
        <f t="shared" ref="BJ25" si="350">BI25+BJ24</f>
        <v>0</v>
      </c>
      <c r="BK25" s="124">
        <f t="shared" ref="BK25" si="351">BJ25+BK24</f>
        <v>0</v>
      </c>
      <c r="BL25" s="125">
        <f t="shared" ref="BL25" si="352">BK25+BL24</f>
        <v>0</v>
      </c>
      <c r="BM25" s="121">
        <f t="shared" ref="BM25" si="353">BL25+BM24</f>
        <v>0</v>
      </c>
      <c r="BN25" s="124">
        <f t="shared" ref="BN25" si="354">BM25+BN24</f>
        <v>0</v>
      </c>
      <c r="BO25" s="124">
        <f t="shared" ref="BO25" si="355">BN25+BO24</f>
        <v>0</v>
      </c>
      <c r="BP25" s="125">
        <f t="shared" ref="BP25" si="356">BO25+BP24</f>
        <v>0</v>
      </c>
      <c r="BQ25" s="121">
        <f>BP25+BQ24</f>
        <v>0</v>
      </c>
      <c r="BR25" s="124">
        <f t="shared" ref="BR25" si="357">BQ25+BR24</f>
        <v>0</v>
      </c>
      <c r="BS25" s="124">
        <f t="shared" ref="BS25" si="358">BR25+BS24</f>
        <v>0</v>
      </c>
      <c r="BT25" s="124">
        <f t="shared" ref="BT25" si="359">BS25+BT24</f>
        <v>0</v>
      </c>
      <c r="BU25" s="126">
        <f t="shared" ref="BU25" si="360">BT25+BU24</f>
        <v>0</v>
      </c>
      <c r="BV25" s="121">
        <f t="shared" ref="BV25" si="361">BU25+BV24</f>
        <v>0</v>
      </c>
      <c r="BW25" s="124">
        <f t="shared" ref="BW25" si="362">BV25+BW24</f>
        <v>0</v>
      </c>
      <c r="BX25" s="124">
        <f t="shared" ref="BX25" si="363">BW25+BX24</f>
        <v>0</v>
      </c>
      <c r="BY25" s="133">
        <f t="shared" ref="BY25" si="364">BX25+BY24</f>
        <v>0</v>
      </c>
      <c r="BZ25" s="121">
        <f>BY25+BZ24</f>
        <v>0</v>
      </c>
      <c r="CA25" s="124">
        <f t="shared" ref="CA25" si="365">BZ25+CA24</f>
        <v>0</v>
      </c>
      <c r="CB25" s="124">
        <f t="shared" ref="CB25" si="366">CA25+CB24</f>
        <v>0</v>
      </c>
      <c r="CC25" s="124">
        <f t="shared" ref="CC25" si="367">CB25+CC24</f>
        <v>0</v>
      </c>
      <c r="CD25" s="126">
        <f t="shared" ref="CD25" si="368">CC25+CD24</f>
        <v>0</v>
      </c>
      <c r="CE25" s="127">
        <f t="shared" ref="CE25" si="369">CD25+CE24</f>
        <v>0</v>
      </c>
      <c r="CF25" s="128">
        <f t="shared" ref="CF25" si="370">CE25+CF24</f>
        <v>0</v>
      </c>
      <c r="CG25" s="128">
        <f t="shared" ref="CG25" si="371">CF25+CG24</f>
        <v>0</v>
      </c>
      <c r="CH25" s="129">
        <f t="shared" ref="CH25" si="372">CG25+CH24</f>
        <v>0</v>
      </c>
      <c r="CI25" s="127">
        <f t="shared" ref="CI25" si="373">CH25+CI24</f>
        <v>0</v>
      </c>
      <c r="CJ25" s="128">
        <f t="shared" ref="CJ25" si="374">CI25+CJ24</f>
        <v>70</v>
      </c>
      <c r="CK25" s="128">
        <f t="shared" ref="CK25" si="375">CJ25+CK24</f>
        <v>140</v>
      </c>
      <c r="CL25" s="129">
        <f t="shared" ref="CL25" si="376">CK25+CL24</f>
        <v>210</v>
      </c>
      <c r="CM25" s="127">
        <f t="shared" ref="CM25" si="377">CL25+CM24</f>
        <v>450</v>
      </c>
      <c r="CN25" s="128">
        <f t="shared" ref="CN25" si="378">CM25+CN24</f>
        <v>690</v>
      </c>
      <c r="CO25" s="128">
        <f t="shared" ref="CO25" si="379">CN25+CO24</f>
        <v>920</v>
      </c>
      <c r="CP25" s="129">
        <f t="shared" ref="CP25" si="380">CO25+CP24</f>
        <v>1150</v>
      </c>
      <c r="CQ25" s="127">
        <f t="shared" ref="CQ25" si="381">CP25+CQ24</f>
        <v>1400</v>
      </c>
      <c r="CR25" s="128">
        <f t="shared" ref="CR25" si="382">CQ25+CR24</f>
        <v>1660</v>
      </c>
      <c r="CS25" s="128">
        <f t="shared" ref="CS25" si="383">CR25+CS24</f>
        <v>1910</v>
      </c>
      <c r="CT25" s="128">
        <f t="shared" ref="CT25" si="384">CS25+CT24</f>
        <v>1910</v>
      </c>
      <c r="CU25" s="129">
        <f t="shared" ref="CU25" si="385">CT25+CU24</f>
        <v>2160</v>
      </c>
      <c r="CV25" s="127">
        <f t="shared" ref="CV25" si="386">CU25+CV24</f>
        <v>2320</v>
      </c>
      <c r="CW25" s="128">
        <f t="shared" ref="CW25" si="387">CV25+CW24</f>
        <v>2480</v>
      </c>
      <c r="CX25" s="128">
        <f t="shared" ref="CX25" si="388">CW25+CX24</f>
        <v>2650</v>
      </c>
      <c r="CY25" s="129">
        <f t="shared" ref="CY25" si="389">CX25+CY24</f>
        <v>2820</v>
      </c>
      <c r="CZ25" s="127">
        <f t="shared" ref="CZ25" si="390">CY25+CZ24</f>
        <v>3050</v>
      </c>
      <c r="DA25" s="128">
        <f t="shared" ref="DA25" si="391">CZ25+DA24</f>
        <v>3280</v>
      </c>
      <c r="DB25" s="128">
        <f t="shared" ref="DB25" si="392">DA25+DB24</f>
        <v>3510</v>
      </c>
      <c r="DC25" s="129">
        <f t="shared" ref="DC25" si="393">DB25+DC24</f>
        <v>3730</v>
      </c>
      <c r="DD25" s="127">
        <f t="shared" ref="DD25" si="394">DC25+DD24</f>
        <v>3790</v>
      </c>
      <c r="DE25" s="128">
        <f t="shared" ref="DE25" si="395">DD25+DE24</f>
        <v>3850</v>
      </c>
      <c r="DF25" s="128">
        <f t="shared" ref="DF25" si="396">DE25+DF24</f>
        <v>3850</v>
      </c>
      <c r="DG25" s="140">
        <f t="shared" ref="DG25:DH25" si="397">DF25+DG24</f>
        <v>3910</v>
      </c>
      <c r="DH25" s="130">
        <f t="shared" si="397"/>
        <v>3970</v>
      </c>
      <c r="DI25" s="127">
        <f t="shared" ref="DI25" si="398">DH25+DI24</f>
        <v>4170</v>
      </c>
      <c r="DJ25" s="128">
        <f t="shared" ref="DJ25" si="399">DI25+DJ24</f>
        <v>4370</v>
      </c>
      <c r="DK25" s="128">
        <f t="shared" ref="DK25" si="400">DJ25+DK24</f>
        <v>4560</v>
      </c>
      <c r="DL25" s="129">
        <f t="shared" ref="DL25" si="401">DK25+DL24</f>
        <v>4750</v>
      </c>
      <c r="DM25" s="127">
        <f t="shared" ref="DM25" si="402">DL25+DM24</f>
        <v>4900</v>
      </c>
      <c r="DN25" s="128">
        <f t="shared" ref="DN25" si="403">DM25+DN24</f>
        <v>5050</v>
      </c>
      <c r="DO25" s="128">
        <f t="shared" ref="DO25" si="404">DN25+DO24</f>
        <v>5200</v>
      </c>
      <c r="DP25" s="140">
        <f>DO25+DP24</f>
        <v>5350</v>
      </c>
      <c r="DQ25" s="130">
        <f>DP25+DQ24</f>
        <v>5490</v>
      </c>
      <c r="DR25" s="127">
        <f>DQ25+DR24</f>
        <v>5720</v>
      </c>
      <c r="DS25" s="128">
        <f t="shared" ref="DS25" si="405">DR25+DS24</f>
        <v>5950</v>
      </c>
      <c r="DT25" s="128">
        <f t="shared" ref="DT25" si="406">DS25+DT24</f>
        <v>6180</v>
      </c>
      <c r="DU25" s="129">
        <f t="shared" ref="DU25" si="407">DT25+DU24</f>
        <v>6400</v>
      </c>
      <c r="DV25" s="127">
        <f t="shared" ref="DV25" si="408">DU25+DV24</f>
        <v>6620</v>
      </c>
      <c r="DW25" s="128">
        <f t="shared" ref="DW25" si="409">DV25+DW24</f>
        <v>6830</v>
      </c>
      <c r="DX25" s="128">
        <f t="shared" ref="DX25" si="410">DW25+DX24</f>
        <v>7040</v>
      </c>
      <c r="DY25" s="129">
        <f t="shared" ref="DY25" si="411">DX25+DY24</f>
        <v>7250</v>
      </c>
      <c r="DZ25" s="127">
        <f t="shared" ref="DZ25" si="412">DY25+DZ24</f>
        <v>7320</v>
      </c>
      <c r="EA25" s="128">
        <f t="shared" ref="EA25" si="413">DZ25+EA24</f>
        <v>7390</v>
      </c>
      <c r="EB25" s="128">
        <f t="shared" ref="EB25" si="414">EA25+EB24</f>
        <v>7460</v>
      </c>
      <c r="EC25" s="139">
        <f t="shared" ref="EC25:ED25" si="415">EB25+EC24</f>
        <v>7530</v>
      </c>
      <c r="ED25" s="129">
        <f t="shared" si="415"/>
        <v>7600</v>
      </c>
      <c r="EE25" s="128">
        <f t="shared" ref="EE25" si="416">ED25+EE24</f>
        <v>7600</v>
      </c>
      <c r="EF25" s="128">
        <f t="shared" ref="EF25" si="417">EE25+EF24</f>
        <v>7600</v>
      </c>
      <c r="EG25" s="139">
        <f t="shared" ref="EG25" si="418">EF25+EG24</f>
        <v>7600</v>
      </c>
      <c r="EH25" s="129">
        <f t="shared" ref="EH25" si="419">EG25+EH24</f>
        <v>7600</v>
      </c>
      <c r="EI25" s="128">
        <f t="shared" ref="EI25" si="420">EH25+EI24</f>
        <v>7600</v>
      </c>
      <c r="EJ25" s="128">
        <f t="shared" ref="EJ25" si="421">EI25+EJ24</f>
        <v>7600</v>
      </c>
      <c r="EK25" s="128">
        <f t="shared" ref="EK25" si="422">EJ25+EK24</f>
        <v>7600</v>
      </c>
      <c r="EL25" s="129">
        <f t="shared" ref="EL25" si="423">EK25+EL24</f>
        <v>7600</v>
      </c>
      <c r="EM25" s="127">
        <f t="shared" ref="EM25" si="424">EL25+EM24</f>
        <v>7600</v>
      </c>
      <c r="EN25" s="128">
        <f t="shared" ref="EN25" si="425">EM25+EN24</f>
        <v>7600</v>
      </c>
      <c r="EO25" s="128">
        <f t="shared" ref="EO25" si="426">EN25+EO24</f>
        <v>7600</v>
      </c>
      <c r="EP25" s="129">
        <f t="shared" ref="EP25" si="427">EO25+EP24</f>
        <v>7600</v>
      </c>
      <c r="EQ25" s="127">
        <f t="shared" ref="EQ25" si="428">EP25+EQ24</f>
        <v>7600</v>
      </c>
      <c r="ER25" s="128">
        <f t="shared" ref="ER25" si="429">EQ25+ER24</f>
        <v>7600</v>
      </c>
      <c r="ES25" s="128">
        <f t="shared" ref="ES25" si="430">ER25+ES24</f>
        <v>7600</v>
      </c>
      <c r="ET25" s="129">
        <f t="shared" ref="ET25" si="431">ES25+ET24</f>
        <v>7600</v>
      </c>
    </row>
    <row r="26" spans="1:150" s="25" customFormat="1" ht="27.75" customHeight="1">
      <c r="A26" s="26" t="s">
        <v>12</v>
      </c>
      <c r="B26" s="31"/>
      <c r="C26" s="643">
        <v>4</v>
      </c>
      <c r="D26" s="213" t="s">
        <v>111</v>
      </c>
      <c r="E26" s="177" t="s">
        <v>32</v>
      </c>
      <c r="F26" s="178" t="s">
        <v>126</v>
      </c>
      <c r="G26" s="114" t="s">
        <v>17</v>
      </c>
      <c r="H26" s="119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  <c r="O26" s="118">
        <v>0</v>
      </c>
      <c r="P26" s="118">
        <v>0</v>
      </c>
      <c r="Q26" s="118">
        <v>0</v>
      </c>
      <c r="R26" s="117">
        <v>0</v>
      </c>
      <c r="S26" s="163">
        <v>0</v>
      </c>
      <c r="T26" s="164">
        <v>200</v>
      </c>
      <c r="U26" s="164">
        <v>1060</v>
      </c>
      <c r="V26" s="164">
        <v>660</v>
      </c>
      <c r="W26" s="164">
        <v>600</v>
      </c>
      <c r="X26" s="164">
        <v>840</v>
      </c>
      <c r="Y26" s="164">
        <v>890</v>
      </c>
      <c r="Z26" s="164">
        <v>610</v>
      </c>
      <c r="AA26" s="164">
        <f>SUBTOTAL(9,DM26:DQ26)</f>
        <v>340</v>
      </c>
      <c r="AB26" s="164">
        <f>SUBTOTAL(9,DR26:DU26)</f>
        <v>340</v>
      </c>
      <c r="AC26" s="226">
        <f>SUBTOTAL(9,DV26:DY26)</f>
        <v>500</v>
      </c>
      <c r="AD26" s="218">
        <f>SUBTOTAL(9,DZ26:ED26)</f>
        <v>310</v>
      </c>
      <c r="AE26" s="218">
        <f>SUBTOTAL(9,EE26:EH26)</f>
        <v>0</v>
      </c>
      <c r="AF26" s="218">
        <f>SUBTOTAL(9,EI26:EL26)</f>
        <v>0</v>
      </c>
      <c r="AG26" s="218">
        <f>SUBTOTAL(9,EM26:EP26)</f>
        <v>0</v>
      </c>
      <c r="AH26" s="218">
        <f>SUBTOTAL(9,EQ26:ET26)</f>
        <v>0</v>
      </c>
      <c r="AI26" s="166">
        <v>0</v>
      </c>
      <c r="AJ26" s="166">
        <v>0</v>
      </c>
      <c r="AK26" s="166">
        <v>0</v>
      </c>
      <c r="AL26" s="165">
        <v>0</v>
      </c>
      <c r="AM26" s="167">
        <v>0</v>
      </c>
      <c r="AN26" s="166">
        <v>0</v>
      </c>
      <c r="AO26" s="166">
        <v>0</v>
      </c>
      <c r="AP26" s="168">
        <v>0</v>
      </c>
      <c r="AQ26" s="166">
        <v>0</v>
      </c>
      <c r="AR26" s="166">
        <v>0</v>
      </c>
      <c r="AS26" s="166">
        <v>0</v>
      </c>
      <c r="AT26" s="169">
        <v>0</v>
      </c>
      <c r="AU26" s="170">
        <v>0</v>
      </c>
      <c r="AV26" s="166">
        <v>0</v>
      </c>
      <c r="AW26" s="166">
        <v>0</v>
      </c>
      <c r="AX26" s="166">
        <v>0</v>
      </c>
      <c r="AY26" s="169">
        <v>0</v>
      </c>
      <c r="AZ26" s="167">
        <v>0</v>
      </c>
      <c r="BA26" s="166">
        <v>0</v>
      </c>
      <c r="BB26" s="166">
        <v>0</v>
      </c>
      <c r="BC26" s="169">
        <v>0</v>
      </c>
      <c r="BD26" s="171">
        <v>0</v>
      </c>
      <c r="BE26" s="166">
        <v>0</v>
      </c>
      <c r="BF26" s="172">
        <v>0</v>
      </c>
      <c r="BG26" s="166">
        <v>0</v>
      </c>
      <c r="BH26" s="169">
        <v>0</v>
      </c>
      <c r="BI26" s="171">
        <v>0</v>
      </c>
      <c r="BJ26" s="166">
        <v>0</v>
      </c>
      <c r="BK26" s="166">
        <v>0</v>
      </c>
      <c r="BL26" s="169">
        <v>0</v>
      </c>
      <c r="BM26" s="171">
        <v>0</v>
      </c>
      <c r="BN26" s="166">
        <v>0</v>
      </c>
      <c r="BO26" s="166">
        <v>0</v>
      </c>
      <c r="BP26" s="169">
        <v>0</v>
      </c>
      <c r="BQ26" s="167">
        <v>0</v>
      </c>
      <c r="BR26" s="166">
        <v>0</v>
      </c>
      <c r="BS26" s="166">
        <v>0</v>
      </c>
      <c r="BT26" s="169">
        <v>0</v>
      </c>
      <c r="BU26" s="173">
        <v>0</v>
      </c>
      <c r="BV26" s="171">
        <v>0</v>
      </c>
      <c r="BW26" s="166">
        <v>0</v>
      </c>
      <c r="BX26" s="166">
        <v>0</v>
      </c>
      <c r="BY26" s="168">
        <v>0</v>
      </c>
      <c r="BZ26" s="167">
        <v>0</v>
      </c>
      <c r="CA26" s="166">
        <v>0</v>
      </c>
      <c r="CB26" s="166">
        <v>0</v>
      </c>
      <c r="CC26" s="174">
        <v>0</v>
      </c>
      <c r="CD26" s="173">
        <v>0</v>
      </c>
      <c r="CE26" s="182">
        <v>0</v>
      </c>
      <c r="CF26" s="183">
        <v>0</v>
      </c>
      <c r="CG26" s="175">
        <v>0</v>
      </c>
      <c r="CH26" s="173">
        <v>0</v>
      </c>
      <c r="CI26" s="184">
        <v>0</v>
      </c>
      <c r="CJ26" s="175">
        <v>70</v>
      </c>
      <c r="CK26" s="175">
        <v>70</v>
      </c>
      <c r="CL26" s="173">
        <v>60</v>
      </c>
      <c r="CM26" s="184">
        <v>270</v>
      </c>
      <c r="CN26" s="175">
        <v>270</v>
      </c>
      <c r="CO26" s="175">
        <v>260</v>
      </c>
      <c r="CP26" s="173">
        <v>260</v>
      </c>
      <c r="CQ26" s="184">
        <v>170</v>
      </c>
      <c r="CR26" s="175">
        <v>170</v>
      </c>
      <c r="CS26" s="175">
        <v>160</v>
      </c>
      <c r="CT26" s="176">
        <v>0</v>
      </c>
      <c r="CU26" s="173">
        <v>160</v>
      </c>
      <c r="CV26" s="184">
        <v>150</v>
      </c>
      <c r="CW26" s="175">
        <v>150</v>
      </c>
      <c r="CX26" s="175">
        <v>150</v>
      </c>
      <c r="CY26" s="173">
        <v>150</v>
      </c>
      <c r="CZ26" s="184">
        <v>210</v>
      </c>
      <c r="DA26" s="175">
        <v>210</v>
      </c>
      <c r="DB26" s="175">
        <v>210</v>
      </c>
      <c r="DC26" s="173">
        <v>210</v>
      </c>
      <c r="DD26" s="184">
        <v>230</v>
      </c>
      <c r="DE26" s="175">
        <v>220</v>
      </c>
      <c r="DF26" s="176">
        <v>0</v>
      </c>
      <c r="DG26" s="175">
        <v>220</v>
      </c>
      <c r="DH26" s="173">
        <v>220</v>
      </c>
      <c r="DI26" s="184">
        <v>150</v>
      </c>
      <c r="DJ26" s="175">
        <v>150</v>
      </c>
      <c r="DK26" s="175">
        <v>150</v>
      </c>
      <c r="DL26" s="173">
        <v>160</v>
      </c>
      <c r="DM26" s="184">
        <v>70</v>
      </c>
      <c r="DN26" s="175">
        <v>70</v>
      </c>
      <c r="DO26" s="175">
        <v>70</v>
      </c>
      <c r="DP26" s="175">
        <v>70</v>
      </c>
      <c r="DQ26" s="173">
        <v>60</v>
      </c>
      <c r="DR26" s="184">
        <v>90</v>
      </c>
      <c r="DS26" s="175">
        <v>90</v>
      </c>
      <c r="DT26" s="175">
        <v>80</v>
      </c>
      <c r="DU26" s="173">
        <v>80</v>
      </c>
      <c r="DV26" s="171">
        <v>125</v>
      </c>
      <c r="DW26" s="175">
        <v>125</v>
      </c>
      <c r="DX26" s="175">
        <v>125</v>
      </c>
      <c r="DY26" s="173">
        <v>125</v>
      </c>
      <c r="DZ26" s="184">
        <v>70</v>
      </c>
      <c r="EA26" s="175">
        <v>60</v>
      </c>
      <c r="EB26" s="175">
        <v>60</v>
      </c>
      <c r="EC26" s="218">
        <v>60</v>
      </c>
      <c r="ED26" s="239">
        <v>60</v>
      </c>
      <c r="EE26" s="184"/>
      <c r="EF26" s="175"/>
      <c r="EG26" s="218"/>
      <c r="EH26" s="239"/>
      <c r="EI26" s="184"/>
      <c r="EJ26" s="175"/>
      <c r="EK26" s="175"/>
      <c r="EL26" s="173"/>
      <c r="EM26" s="184"/>
      <c r="EN26" s="175"/>
      <c r="EO26" s="175"/>
      <c r="EP26" s="173"/>
      <c r="EQ26" s="184"/>
      <c r="ER26" s="175"/>
      <c r="ES26" s="175"/>
      <c r="ET26" s="173"/>
    </row>
    <row r="27" spans="1:150" s="25" customFormat="1" ht="27.75" customHeight="1" thickBot="1">
      <c r="A27" s="26" t="s">
        <v>12</v>
      </c>
      <c r="B27" s="31"/>
      <c r="C27" s="644"/>
      <c r="D27" s="179"/>
      <c r="E27" s="180"/>
      <c r="F27" s="181"/>
      <c r="G27" s="120" t="s">
        <v>18</v>
      </c>
      <c r="H27" s="121">
        <v>0</v>
      </c>
      <c r="I27" s="122">
        <f t="shared" ref="I27" si="432">H27+I26</f>
        <v>0</v>
      </c>
      <c r="J27" s="122">
        <f t="shared" ref="J27" si="433">I27+J26</f>
        <v>0</v>
      </c>
      <c r="K27" s="122">
        <f t="shared" ref="K27" si="434">J27+K26</f>
        <v>0</v>
      </c>
      <c r="L27" s="122">
        <f t="shared" ref="L27" si="435">K27+L26</f>
        <v>0</v>
      </c>
      <c r="M27" s="123">
        <f t="shared" ref="M27" si="436">L27+M26</f>
        <v>0</v>
      </c>
      <c r="N27" s="122">
        <f t="shared" ref="N27" si="437">M27+N26</f>
        <v>0</v>
      </c>
      <c r="O27" s="123">
        <f t="shared" ref="O27" si="438">N27+O26</f>
        <v>0</v>
      </c>
      <c r="P27" s="123">
        <f t="shared" ref="P27" si="439">O27+P26</f>
        <v>0</v>
      </c>
      <c r="Q27" s="123">
        <f t="shared" ref="Q27" si="440">P27+Q26</f>
        <v>0</v>
      </c>
      <c r="R27" s="122">
        <f t="shared" ref="R27:V27" si="441">Q27+R26</f>
        <v>0</v>
      </c>
      <c r="S27" s="122">
        <f t="shared" si="441"/>
        <v>0</v>
      </c>
      <c r="T27" s="123">
        <f t="shared" si="441"/>
        <v>200</v>
      </c>
      <c r="U27" s="123">
        <f t="shared" si="441"/>
        <v>1260</v>
      </c>
      <c r="V27" s="123">
        <f t="shared" si="441"/>
        <v>1920</v>
      </c>
      <c r="W27" s="123">
        <f>V27+W26</f>
        <v>2520</v>
      </c>
      <c r="X27" s="123">
        <f t="shared" ref="X27" si="442">W27+X26</f>
        <v>3360</v>
      </c>
      <c r="Y27" s="123">
        <f t="shared" ref="Y27:AB27" si="443">X27+Y26</f>
        <v>4250</v>
      </c>
      <c r="Z27" s="123">
        <f t="shared" si="443"/>
        <v>4860</v>
      </c>
      <c r="AA27" s="123">
        <f t="shared" si="443"/>
        <v>5200</v>
      </c>
      <c r="AB27" s="123">
        <f t="shared" si="443"/>
        <v>5540</v>
      </c>
      <c r="AC27" s="227">
        <f t="shared" ref="AC27:AH27" si="444">AB27+AC26</f>
        <v>6040</v>
      </c>
      <c r="AD27" s="136">
        <f t="shared" si="444"/>
        <v>6350</v>
      </c>
      <c r="AE27" s="145">
        <f t="shared" si="444"/>
        <v>6350</v>
      </c>
      <c r="AF27" s="137">
        <f t="shared" si="444"/>
        <v>6350</v>
      </c>
      <c r="AG27" s="137">
        <f t="shared" si="444"/>
        <v>6350</v>
      </c>
      <c r="AH27" s="146">
        <f t="shared" si="444"/>
        <v>6350</v>
      </c>
      <c r="AI27" s="124">
        <v>0</v>
      </c>
      <c r="AJ27" s="124">
        <f t="shared" ref="AJ27" si="445">AI27+AJ26</f>
        <v>0</v>
      </c>
      <c r="AK27" s="124">
        <f t="shared" ref="AK27" si="446">AJ27+AK26</f>
        <v>0</v>
      </c>
      <c r="AL27" s="126">
        <f t="shared" ref="AL27" si="447">AK27+AL26</f>
        <v>0</v>
      </c>
      <c r="AM27" s="124">
        <f t="shared" ref="AM27" si="448">AL27+AM26</f>
        <v>0</v>
      </c>
      <c r="AN27" s="124">
        <f t="shared" ref="AN27" si="449">AM27+AN26</f>
        <v>0</v>
      </c>
      <c r="AO27" s="124">
        <f t="shared" ref="AO27" si="450">AN27+AO26</f>
        <v>0</v>
      </c>
      <c r="AP27" s="133">
        <f t="shared" ref="AP27" si="451">AO27+AP26</f>
        <v>0</v>
      </c>
      <c r="AQ27" s="124">
        <f>AP27+AQ26</f>
        <v>0</v>
      </c>
      <c r="AR27" s="124">
        <f t="shared" ref="AR27" si="452">AQ27+AR26</f>
        <v>0</v>
      </c>
      <c r="AS27" s="124">
        <f t="shared" ref="AS27" si="453">AR27+AS26</f>
        <v>0</v>
      </c>
      <c r="AT27" s="125">
        <f t="shared" ref="AT27" si="454">AS27+AT26</f>
        <v>0</v>
      </c>
      <c r="AU27" s="134">
        <f>AT27+AU26</f>
        <v>0</v>
      </c>
      <c r="AV27" s="124">
        <f t="shared" ref="AV27" si="455">AU27+AV26</f>
        <v>0</v>
      </c>
      <c r="AW27" s="124">
        <f t="shared" ref="AW27" si="456">AV27+AW26</f>
        <v>0</v>
      </c>
      <c r="AX27" s="124">
        <f t="shared" ref="AX27" si="457">AW27+AX26</f>
        <v>0</v>
      </c>
      <c r="AY27" s="125">
        <f t="shared" ref="AY27" si="458">AX27+AY26</f>
        <v>0</v>
      </c>
      <c r="AZ27" s="121">
        <f>AY27+AZ26</f>
        <v>0</v>
      </c>
      <c r="BA27" s="124">
        <f t="shared" ref="BA27" si="459">AZ27+BA26</f>
        <v>0</v>
      </c>
      <c r="BB27" s="124">
        <f t="shared" ref="BB27" si="460">BA27+BB26</f>
        <v>0</v>
      </c>
      <c r="BC27" s="125">
        <f t="shared" ref="BC27" si="461">BB27+BC26</f>
        <v>0</v>
      </c>
      <c r="BD27" s="121">
        <f t="shared" ref="BD27" si="462">BC27+BD26</f>
        <v>0</v>
      </c>
      <c r="BE27" s="124">
        <f t="shared" ref="BE27" si="463">BD27+BE26</f>
        <v>0</v>
      </c>
      <c r="BF27" s="124">
        <f t="shared" ref="BF27" si="464">BE27+BF26</f>
        <v>0</v>
      </c>
      <c r="BG27" s="124">
        <f t="shared" ref="BG27" si="465">BF27+BG26</f>
        <v>0</v>
      </c>
      <c r="BH27" s="125">
        <f t="shared" ref="BH27" si="466">BG27+BH26</f>
        <v>0</v>
      </c>
      <c r="BI27" s="121">
        <f>BH27+BI26</f>
        <v>0</v>
      </c>
      <c r="BJ27" s="124">
        <f t="shared" ref="BJ27" si="467">BI27+BJ26</f>
        <v>0</v>
      </c>
      <c r="BK27" s="124">
        <f t="shared" ref="BK27" si="468">BJ27+BK26</f>
        <v>0</v>
      </c>
      <c r="BL27" s="125">
        <f t="shared" ref="BL27" si="469">BK27+BL26</f>
        <v>0</v>
      </c>
      <c r="BM27" s="121">
        <f t="shared" ref="BM27" si="470">BL27+BM26</f>
        <v>0</v>
      </c>
      <c r="BN27" s="124">
        <f t="shared" ref="BN27" si="471">BM27+BN26</f>
        <v>0</v>
      </c>
      <c r="BO27" s="124">
        <f t="shared" ref="BO27" si="472">BN27+BO26</f>
        <v>0</v>
      </c>
      <c r="BP27" s="125">
        <f t="shared" ref="BP27" si="473">BO27+BP26</f>
        <v>0</v>
      </c>
      <c r="BQ27" s="121">
        <f>BP27+BQ26</f>
        <v>0</v>
      </c>
      <c r="BR27" s="124">
        <f t="shared" ref="BR27" si="474">BQ27+BR26</f>
        <v>0</v>
      </c>
      <c r="BS27" s="124">
        <f t="shared" ref="BS27" si="475">BR27+BS26</f>
        <v>0</v>
      </c>
      <c r="BT27" s="124">
        <f t="shared" ref="BT27" si="476">BS27+BT26</f>
        <v>0</v>
      </c>
      <c r="BU27" s="126">
        <f t="shared" ref="BU27" si="477">BT27+BU26</f>
        <v>0</v>
      </c>
      <c r="BV27" s="121">
        <f t="shared" ref="BV27" si="478">BU27+BV26</f>
        <v>0</v>
      </c>
      <c r="BW27" s="124">
        <f t="shared" ref="BW27" si="479">BV27+BW26</f>
        <v>0</v>
      </c>
      <c r="BX27" s="124">
        <f t="shared" ref="BX27" si="480">BW27+BX26</f>
        <v>0</v>
      </c>
      <c r="BY27" s="133">
        <f t="shared" ref="BY27" si="481">BX27+BY26</f>
        <v>0</v>
      </c>
      <c r="BZ27" s="121">
        <f>BY27+BZ26</f>
        <v>0</v>
      </c>
      <c r="CA27" s="124">
        <f t="shared" ref="CA27" si="482">BZ27+CA26</f>
        <v>0</v>
      </c>
      <c r="CB27" s="124">
        <f t="shared" ref="CB27" si="483">CA27+CB26</f>
        <v>0</v>
      </c>
      <c r="CC27" s="124">
        <f t="shared" ref="CC27" si="484">CB27+CC26</f>
        <v>0</v>
      </c>
      <c r="CD27" s="126">
        <f t="shared" ref="CD27" si="485">CC27+CD26</f>
        <v>0</v>
      </c>
      <c r="CE27" s="127">
        <f t="shared" ref="CE27" si="486">CD27+CE26</f>
        <v>0</v>
      </c>
      <c r="CF27" s="128">
        <f t="shared" ref="CF27" si="487">CE27+CF26</f>
        <v>0</v>
      </c>
      <c r="CG27" s="128">
        <f t="shared" ref="CG27" si="488">CF27+CG26</f>
        <v>0</v>
      </c>
      <c r="CH27" s="129">
        <f t="shared" ref="CH27" si="489">CG27+CH26</f>
        <v>0</v>
      </c>
      <c r="CI27" s="127">
        <f t="shared" ref="CI27" si="490">CH27+CI26</f>
        <v>0</v>
      </c>
      <c r="CJ27" s="128">
        <f t="shared" ref="CJ27" si="491">CI27+CJ26</f>
        <v>70</v>
      </c>
      <c r="CK27" s="128">
        <f t="shared" ref="CK27" si="492">CJ27+CK26</f>
        <v>140</v>
      </c>
      <c r="CL27" s="129">
        <f t="shared" ref="CL27" si="493">CK27+CL26</f>
        <v>200</v>
      </c>
      <c r="CM27" s="127">
        <f t="shared" ref="CM27" si="494">CL27+CM26</f>
        <v>470</v>
      </c>
      <c r="CN27" s="128">
        <f t="shared" ref="CN27" si="495">CM27+CN26</f>
        <v>740</v>
      </c>
      <c r="CO27" s="128">
        <f t="shared" ref="CO27" si="496">CN27+CO26</f>
        <v>1000</v>
      </c>
      <c r="CP27" s="129">
        <f t="shared" ref="CP27" si="497">CO27+CP26</f>
        <v>1260</v>
      </c>
      <c r="CQ27" s="127">
        <f t="shared" ref="CQ27" si="498">CP27+CQ26</f>
        <v>1430</v>
      </c>
      <c r="CR27" s="128">
        <f t="shared" ref="CR27" si="499">CQ27+CR26</f>
        <v>1600</v>
      </c>
      <c r="CS27" s="128">
        <f t="shared" ref="CS27" si="500">CR27+CS26</f>
        <v>1760</v>
      </c>
      <c r="CT27" s="128">
        <f t="shared" ref="CT27" si="501">CS27+CT26</f>
        <v>1760</v>
      </c>
      <c r="CU27" s="129">
        <f t="shared" ref="CU27" si="502">CT27+CU26</f>
        <v>1920</v>
      </c>
      <c r="CV27" s="127">
        <f t="shared" ref="CV27" si="503">CU27+CV26</f>
        <v>2070</v>
      </c>
      <c r="CW27" s="128">
        <f t="shared" ref="CW27" si="504">CV27+CW26</f>
        <v>2220</v>
      </c>
      <c r="CX27" s="128">
        <f t="shared" ref="CX27" si="505">CW27+CX26</f>
        <v>2370</v>
      </c>
      <c r="CY27" s="129">
        <f t="shared" ref="CY27" si="506">CX27+CY26</f>
        <v>2520</v>
      </c>
      <c r="CZ27" s="127">
        <f t="shared" ref="CZ27" si="507">CY27+CZ26</f>
        <v>2730</v>
      </c>
      <c r="DA27" s="128">
        <f t="shared" ref="DA27" si="508">CZ27+DA26</f>
        <v>2940</v>
      </c>
      <c r="DB27" s="128">
        <f t="shared" ref="DB27" si="509">DA27+DB26</f>
        <v>3150</v>
      </c>
      <c r="DC27" s="129">
        <f t="shared" ref="DC27" si="510">DB27+DC26</f>
        <v>3360</v>
      </c>
      <c r="DD27" s="127">
        <f t="shared" ref="DD27" si="511">DC27+DD26</f>
        <v>3590</v>
      </c>
      <c r="DE27" s="128">
        <f t="shared" ref="DE27" si="512">DD27+DE26</f>
        <v>3810</v>
      </c>
      <c r="DF27" s="128">
        <f t="shared" ref="DF27" si="513">DE27+DF26</f>
        <v>3810</v>
      </c>
      <c r="DG27" s="140">
        <f t="shared" ref="DG27:DH27" si="514">DF27+DG26</f>
        <v>4030</v>
      </c>
      <c r="DH27" s="130">
        <f t="shared" si="514"/>
        <v>4250</v>
      </c>
      <c r="DI27" s="127">
        <f t="shared" ref="DI27" si="515">DH27+DI26</f>
        <v>4400</v>
      </c>
      <c r="DJ27" s="128">
        <f t="shared" ref="DJ27" si="516">DI27+DJ26</f>
        <v>4550</v>
      </c>
      <c r="DK27" s="128">
        <f t="shared" ref="DK27" si="517">DJ27+DK26</f>
        <v>4700</v>
      </c>
      <c r="DL27" s="129">
        <f t="shared" ref="DL27" si="518">DK27+DL26</f>
        <v>4860</v>
      </c>
      <c r="DM27" s="127">
        <f t="shared" ref="DM27" si="519">DL27+DM26</f>
        <v>4930</v>
      </c>
      <c r="DN27" s="128">
        <f t="shared" ref="DN27" si="520">DM27+DN26</f>
        <v>5000</v>
      </c>
      <c r="DO27" s="128">
        <f t="shared" ref="DO27" si="521">DN27+DO26</f>
        <v>5070</v>
      </c>
      <c r="DP27" s="140">
        <f>DO27+DP26</f>
        <v>5140</v>
      </c>
      <c r="DQ27" s="130">
        <f>DP27+DQ26</f>
        <v>5200</v>
      </c>
      <c r="DR27" s="127">
        <f>DQ27+DR26</f>
        <v>5290</v>
      </c>
      <c r="DS27" s="128">
        <f t="shared" ref="DS27" si="522">DR27+DS26</f>
        <v>5380</v>
      </c>
      <c r="DT27" s="128">
        <f t="shared" ref="DT27" si="523">DS27+DT26</f>
        <v>5460</v>
      </c>
      <c r="DU27" s="129">
        <f t="shared" ref="DU27" si="524">DT27+DU26</f>
        <v>5540</v>
      </c>
      <c r="DV27" s="127">
        <f t="shared" ref="DV27" si="525">DU27+DV26</f>
        <v>5665</v>
      </c>
      <c r="DW27" s="128">
        <f t="shared" ref="DW27" si="526">DV27+DW26</f>
        <v>5790</v>
      </c>
      <c r="DX27" s="128">
        <f t="shared" ref="DX27" si="527">DW27+DX26</f>
        <v>5915</v>
      </c>
      <c r="DY27" s="129">
        <f t="shared" ref="DY27" si="528">DX27+DY26</f>
        <v>6040</v>
      </c>
      <c r="DZ27" s="127">
        <f t="shared" ref="DZ27" si="529">DY27+DZ26</f>
        <v>6110</v>
      </c>
      <c r="EA27" s="128">
        <f t="shared" ref="EA27" si="530">DZ27+EA26</f>
        <v>6170</v>
      </c>
      <c r="EB27" s="128">
        <f t="shared" ref="EB27" si="531">EA27+EB26</f>
        <v>6230</v>
      </c>
      <c r="EC27" s="139">
        <f t="shared" ref="EC27:ED27" si="532">EB27+EC26</f>
        <v>6290</v>
      </c>
      <c r="ED27" s="129">
        <f t="shared" si="532"/>
        <v>6350</v>
      </c>
      <c r="EE27" s="128">
        <f t="shared" ref="EE27" si="533">ED27+EE26</f>
        <v>6350</v>
      </c>
      <c r="EF27" s="128">
        <f t="shared" ref="EF27" si="534">EE27+EF26</f>
        <v>6350</v>
      </c>
      <c r="EG27" s="139">
        <f t="shared" ref="EG27" si="535">EF27+EG26</f>
        <v>6350</v>
      </c>
      <c r="EH27" s="129">
        <f t="shared" ref="EH27" si="536">EG27+EH26</f>
        <v>6350</v>
      </c>
      <c r="EI27" s="128">
        <f t="shared" ref="EI27" si="537">EH27+EI26</f>
        <v>6350</v>
      </c>
      <c r="EJ27" s="128">
        <f t="shared" ref="EJ27" si="538">EI27+EJ26</f>
        <v>6350</v>
      </c>
      <c r="EK27" s="128">
        <f t="shared" ref="EK27" si="539">EJ27+EK26</f>
        <v>6350</v>
      </c>
      <c r="EL27" s="129">
        <f t="shared" ref="EL27" si="540">EK27+EL26</f>
        <v>6350</v>
      </c>
      <c r="EM27" s="127">
        <f t="shared" ref="EM27" si="541">EL27+EM26</f>
        <v>6350</v>
      </c>
      <c r="EN27" s="128">
        <f t="shared" ref="EN27" si="542">EM27+EN26</f>
        <v>6350</v>
      </c>
      <c r="EO27" s="128">
        <f t="shared" ref="EO27" si="543">EN27+EO26</f>
        <v>6350</v>
      </c>
      <c r="EP27" s="129">
        <f t="shared" ref="EP27" si="544">EO27+EP26</f>
        <v>6350</v>
      </c>
      <c r="EQ27" s="127">
        <f t="shared" ref="EQ27" si="545">EP27+EQ26</f>
        <v>6350</v>
      </c>
      <c r="ER27" s="128">
        <f t="shared" ref="ER27" si="546">EQ27+ER26</f>
        <v>6350</v>
      </c>
      <c r="ES27" s="128">
        <f t="shared" ref="ES27" si="547">ER27+ES26</f>
        <v>6350</v>
      </c>
      <c r="ET27" s="129">
        <f t="shared" ref="ET27" si="548">ES27+ET26</f>
        <v>6350</v>
      </c>
    </row>
    <row r="28" spans="1:150" s="25" customFormat="1" ht="27.75" customHeight="1">
      <c r="A28" s="26" t="s">
        <v>12</v>
      </c>
      <c r="B28" s="31"/>
      <c r="C28" s="641">
        <v>5</v>
      </c>
      <c r="D28" s="213" t="s">
        <v>112</v>
      </c>
      <c r="E28" s="177" t="s">
        <v>32</v>
      </c>
      <c r="F28" s="178" t="s">
        <v>127</v>
      </c>
      <c r="G28" s="114" t="s">
        <v>17</v>
      </c>
      <c r="H28" s="119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  <c r="O28" s="118">
        <v>0</v>
      </c>
      <c r="P28" s="118">
        <v>0</v>
      </c>
      <c r="Q28" s="118">
        <v>0</v>
      </c>
      <c r="R28" s="117">
        <v>0</v>
      </c>
      <c r="S28" s="163">
        <v>0</v>
      </c>
      <c r="T28" s="164">
        <v>10</v>
      </c>
      <c r="U28" s="164">
        <v>0</v>
      </c>
      <c r="V28" s="164">
        <v>0</v>
      </c>
      <c r="W28" s="164">
        <v>0</v>
      </c>
      <c r="X28" s="164">
        <v>0</v>
      </c>
      <c r="Y28" s="164">
        <v>0</v>
      </c>
      <c r="Z28" s="164">
        <v>0</v>
      </c>
      <c r="AA28" s="164">
        <f>SUBTOTAL(9,DM28:DQ28)</f>
        <v>0</v>
      </c>
      <c r="AB28" s="164">
        <f>SUBTOTAL(9,DR28:DU28)</f>
        <v>10</v>
      </c>
      <c r="AC28" s="226">
        <f>SUBTOTAL(9,DV28:DY28)</f>
        <v>10</v>
      </c>
      <c r="AD28" s="218">
        <f>SUBTOTAL(9,DZ28:ED28)</f>
        <v>10</v>
      </c>
      <c r="AE28" s="218">
        <f>SUBTOTAL(9,EE28:EH28)</f>
        <v>0</v>
      </c>
      <c r="AF28" s="218">
        <f>SUBTOTAL(9,EI28:EL28)</f>
        <v>0</v>
      </c>
      <c r="AG28" s="218">
        <f>SUBTOTAL(9,EM28:EP28)</f>
        <v>0</v>
      </c>
      <c r="AH28" s="218">
        <f>SUBTOTAL(9,EQ28:ET28)</f>
        <v>0</v>
      </c>
      <c r="AI28" s="166">
        <v>0</v>
      </c>
      <c r="AJ28" s="166">
        <v>0</v>
      </c>
      <c r="AK28" s="166">
        <v>0</v>
      </c>
      <c r="AL28" s="165">
        <v>0</v>
      </c>
      <c r="AM28" s="167">
        <v>0</v>
      </c>
      <c r="AN28" s="166">
        <v>0</v>
      </c>
      <c r="AO28" s="166">
        <v>0</v>
      </c>
      <c r="AP28" s="168">
        <v>0</v>
      </c>
      <c r="AQ28" s="166">
        <v>0</v>
      </c>
      <c r="AR28" s="166">
        <v>0</v>
      </c>
      <c r="AS28" s="166">
        <v>0</v>
      </c>
      <c r="AT28" s="169">
        <v>0</v>
      </c>
      <c r="AU28" s="170">
        <v>0</v>
      </c>
      <c r="AV28" s="166">
        <v>0</v>
      </c>
      <c r="AW28" s="166">
        <v>0</v>
      </c>
      <c r="AX28" s="166">
        <v>0</v>
      </c>
      <c r="AY28" s="169">
        <v>0</v>
      </c>
      <c r="AZ28" s="167">
        <v>0</v>
      </c>
      <c r="BA28" s="166">
        <v>0</v>
      </c>
      <c r="BB28" s="166">
        <v>0</v>
      </c>
      <c r="BC28" s="169">
        <v>0</v>
      </c>
      <c r="BD28" s="171">
        <v>0</v>
      </c>
      <c r="BE28" s="166">
        <v>0</v>
      </c>
      <c r="BF28" s="172">
        <v>0</v>
      </c>
      <c r="BG28" s="166">
        <v>0</v>
      </c>
      <c r="BH28" s="169">
        <v>0</v>
      </c>
      <c r="BI28" s="171">
        <v>0</v>
      </c>
      <c r="BJ28" s="166">
        <v>0</v>
      </c>
      <c r="BK28" s="166">
        <v>0</v>
      </c>
      <c r="BL28" s="169">
        <v>0</v>
      </c>
      <c r="BM28" s="171">
        <v>0</v>
      </c>
      <c r="BN28" s="166">
        <v>0</v>
      </c>
      <c r="BO28" s="166">
        <v>0</v>
      </c>
      <c r="BP28" s="169">
        <v>0</v>
      </c>
      <c r="BQ28" s="167">
        <v>0</v>
      </c>
      <c r="BR28" s="166">
        <v>0</v>
      </c>
      <c r="BS28" s="166">
        <v>0</v>
      </c>
      <c r="BT28" s="169">
        <v>0</v>
      </c>
      <c r="BU28" s="173">
        <v>0</v>
      </c>
      <c r="BV28" s="171">
        <v>0</v>
      </c>
      <c r="BW28" s="166">
        <v>0</v>
      </c>
      <c r="BX28" s="166">
        <v>0</v>
      </c>
      <c r="BY28" s="168">
        <v>0</v>
      </c>
      <c r="BZ28" s="167">
        <v>0</v>
      </c>
      <c r="CA28" s="166">
        <v>0</v>
      </c>
      <c r="CB28" s="166">
        <v>0</v>
      </c>
      <c r="CC28" s="174">
        <v>0</v>
      </c>
      <c r="CD28" s="173">
        <v>0</v>
      </c>
      <c r="CE28" s="182">
        <v>0</v>
      </c>
      <c r="CF28" s="183">
        <v>0</v>
      </c>
      <c r="CG28" s="175">
        <v>0</v>
      </c>
      <c r="CH28" s="173">
        <v>0</v>
      </c>
      <c r="CI28" s="184">
        <v>0</v>
      </c>
      <c r="CJ28" s="175">
        <v>10</v>
      </c>
      <c r="CK28" s="175">
        <v>0</v>
      </c>
      <c r="CL28" s="173">
        <v>0</v>
      </c>
      <c r="CM28" s="184">
        <v>0</v>
      </c>
      <c r="CN28" s="175">
        <v>0</v>
      </c>
      <c r="CO28" s="175">
        <v>0</v>
      </c>
      <c r="CP28" s="173">
        <v>0</v>
      </c>
      <c r="CQ28" s="184">
        <v>0</v>
      </c>
      <c r="CR28" s="175">
        <v>0</v>
      </c>
      <c r="CS28" s="175">
        <v>0</v>
      </c>
      <c r="CT28" s="176">
        <v>0</v>
      </c>
      <c r="CU28" s="173">
        <v>0</v>
      </c>
      <c r="CV28" s="184">
        <v>0</v>
      </c>
      <c r="CW28" s="175">
        <v>0</v>
      </c>
      <c r="CX28" s="175">
        <v>0</v>
      </c>
      <c r="CY28" s="173">
        <v>0</v>
      </c>
      <c r="CZ28" s="184">
        <v>0</v>
      </c>
      <c r="DA28" s="175">
        <v>0</v>
      </c>
      <c r="DB28" s="175">
        <v>0</v>
      </c>
      <c r="DC28" s="173">
        <v>0</v>
      </c>
      <c r="DD28" s="184">
        <v>0</v>
      </c>
      <c r="DE28" s="175">
        <v>0</v>
      </c>
      <c r="DF28" s="176">
        <v>0</v>
      </c>
      <c r="DG28" s="175">
        <v>0</v>
      </c>
      <c r="DH28" s="173">
        <v>0</v>
      </c>
      <c r="DI28" s="184">
        <v>0</v>
      </c>
      <c r="DJ28" s="175">
        <v>0</v>
      </c>
      <c r="DK28" s="175">
        <v>0</v>
      </c>
      <c r="DL28" s="173">
        <v>0</v>
      </c>
      <c r="DM28" s="184">
        <v>0</v>
      </c>
      <c r="DN28" s="175">
        <v>0</v>
      </c>
      <c r="DO28" s="175">
        <v>0</v>
      </c>
      <c r="DP28" s="175">
        <v>0</v>
      </c>
      <c r="DQ28" s="173">
        <v>0</v>
      </c>
      <c r="DR28" s="184">
        <v>10</v>
      </c>
      <c r="DS28" s="175">
        <v>0</v>
      </c>
      <c r="DT28" s="175">
        <v>0</v>
      </c>
      <c r="DU28" s="173">
        <v>0</v>
      </c>
      <c r="DV28" s="171">
        <v>10</v>
      </c>
      <c r="DW28" s="175">
        <v>0</v>
      </c>
      <c r="DX28" s="175">
        <v>0</v>
      </c>
      <c r="DY28" s="173">
        <v>0</v>
      </c>
      <c r="DZ28" s="184">
        <v>10</v>
      </c>
      <c r="EA28" s="175">
        <v>0</v>
      </c>
      <c r="EB28" s="175">
        <v>0</v>
      </c>
      <c r="EC28" s="218">
        <v>0</v>
      </c>
      <c r="ED28" s="239">
        <v>0</v>
      </c>
      <c r="EE28" s="184"/>
      <c r="EF28" s="175"/>
      <c r="EG28" s="218"/>
      <c r="EH28" s="239"/>
      <c r="EI28" s="184"/>
      <c r="EJ28" s="175"/>
      <c r="EK28" s="175"/>
      <c r="EL28" s="173"/>
      <c r="EM28" s="184"/>
      <c r="EN28" s="175"/>
      <c r="EO28" s="175"/>
      <c r="EP28" s="173"/>
      <c r="EQ28" s="184"/>
      <c r="ER28" s="175"/>
      <c r="ES28" s="175"/>
      <c r="ET28" s="173"/>
    </row>
    <row r="29" spans="1:150" s="25" customFormat="1" ht="27.75" customHeight="1" thickBot="1">
      <c r="A29" s="26" t="s">
        <v>12</v>
      </c>
      <c r="B29" s="31"/>
      <c r="C29" s="642"/>
      <c r="D29" s="179"/>
      <c r="E29" s="180"/>
      <c r="F29" s="181"/>
      <c r="G29" s="120" t="s">
        <v>18</v>
      </c>
      <c r="H29" s="121">
        <v>0</v>
      </c>
      <c r="I29" s="122">
        <f t="shared" ref="I29" si="549">H29+I28</f>
        <v>0</v>
      </c>
      <c r="J29" s="122">
        <f t="shared" ref="J29" si="550">I29+J28</f>
        <v>0</v>
      </c>
      <c r="K29" s="122">
        <f t="shared" ref="K29" si="551">J29+K28</f>
        <v>0</v>
      </c>
      <c r="L29" s="122">
        <f t="shared" ref="L29" si="552">K29+L28</f>
        <v>0</v>
      </c>
      <c r="M29" s="123">
        <f t="shared" ref="M29" si="553">L29+M28</f>
        <v>0</v>
      </c>
      <c r="N29" s="122">
        <f t="shared" ref="N29" si="554">M29+N28</f>
        <v>0</v>
      </c>
      <c r="O29" s="123">
        <f t="shared" ref="O29" si="555">N29+O28</f>
        <v>0</v>
      </c>
      <c r="P29" s="123">
        <f t="shared" ref="P29" si="556">O29+P28</f>
        <v>0</v>
      </c>
      <c r="Q29" s="123">
        <f t="shared" ref="Q29" si="557">P29+Q28</f>
        <v>0</v>
      </c>
      <c r="R29" s="122">
        <f t="shared" ref="R29:U29" si="558">Q29+R28</f>
        <v>0</v>
      </c>
      <c r="S29" s="122">
        <f t="shared" si="558"/>
        <v>0</v>
      </c>
      <c r="T29" s="123">
        <f t="shared" si="558"/>
        <v>10</v>
      </c>
      <c r="U29" s="123">
        <f t="shared" si="558"/>
        <v>10</v>
      </c>
      <c r="V29" s="123">
        <f t="shared" ref="V29:W29" si="559">U29+V28</f>
        <v>10</v>
      </c>
      <c r="W29" s="123">
        <f t="shared" si="559"/>
        <v>10</v>
      </c>
      <c r="X29" s="123">
        <f t="shared" ref="X29" si="560">W29+X28</f>
        <v>10</v>
      </c>
      <c r="Y29" s="123">
        <f t="shared" ref="Y29:AB29" si="561">X29+Y28</f>
        <v>10</v>
      </c>
      <c r="Z29" s="123">
        <f t="shared" si="561"/>
        <v>10</v>
      </c>
      <c r="AA29" s="123">
        <f t="shared" si="561"/>
        <v>10</v>
      </c>
      <c r="AB29" s="123">
        <f t="shared" si="561"/>
        <v>20</v>
      </c>
      <c r="AC29" s="227">
        <f t="shared" ref="AC29:AH29" si="562">AB29+AC28</f>
        <v>30</v>
      </c>
      <c r="AD29" s="136">
        <f t="shared" si="562"/>
        <v>40</v>
      </c>
      <c r="AE29" s="145">
        <f t="shared" si="562"/>
        <v>40</v>
      </c>
      <c r="AF29" s="137">
        <f t="shared" si="562"/>
        <v>40</v>
      </c>
      <c r="AG29" s="137">
        <f t="shared" si="562"/>
        <v>40</v>
      </c>
      <c r="AH29" s="146">
        <f t="shared" si="562"/>
        <v>40</v>
      </c>
      <c r="AI29" s="124">
        <v>0</v>
      </c>
      <c r="AJ29" s="124">
        <f t="shared" ref="AJ29" si="563">AI29+AJ28</f>
        <v>0</v>
      </c>
      <c r="AK29" s="124">
        <f t="shared" ref="AK29" si="564">AJ29+AK28</f>
        <v>0</v>
      </c>
      <c r="AL29" s="126">
        <f t="shared" ref="AL29" si="565">AK29+AL28</f>
        <v>0</v>
      </c>
      <c r="AM29" s="124">
        <f t="shared" ref="AM29" si="566">AL29+AM28</f>
        <v>0</v>
      </c>
      <c r="AN29" s="124">
        <f t="shared" ref="AN29" si="567">AM29+AN28</f>
        <v>0</v>
      </c>
      <c r="AO29" s="124">
        <f t="shared" ref="AO29" si="568">AN29+AO28</f>
        <v>0</v>
      </c>
      <c r="AP29" s="133">
        <f t="shared" ref="AP29" si="569">AO29+AP28</f>
        <v>0</v>
      </c>
      <c r="AQ29" s="124">
        <f>AP29+AQ28</f>
        <v>0</v>
      </c>
      <c r="AR29" s="124">
        <f t="shared" ref="AR29" si="570">AQ29+AR28</f>
        <v>0</v>
      </c>
      <c r="AS29" s="124">
        <f t="shared" ref="AS29" si="571">AR29+AS28</f>
        <v>0</v>
      </c>
      <c r="AT29" s="125">
        <f t="shared" ref="AT29" si="572">AS29+AT28</f>
        <v>0</v>
      </c>
      <c r="AU29" s="134">
        <f>AT29+AU28</f>
        <v>0</v>
      </c>
      <c r="AV29" s="124">
        <f t="shared" ref="AV29" si="573">AU29+AV28</f>
        <v>0</v>
      </c>
      <c r="AW29" s="124">
        <f t="shared" ref="AW29" si="574">AV29+AW28</f>
        <v>0</v>
      </c>
      <c r="AX29" s="124">
        <f t="shared" ref="AX29" si="575">AW29+AX28</f>
        <v>0</v>
      </c>
      <c r="AY29" s="125">
        <f t="shared" ref="AY29" si="576">AX29+AY28</f>
        <v>0</v>
      </c>
      <c r="AZ29" s="121">
        <f>AY29+AZ28</f>
        <v>0</v>
      </c>
      <c r="BA29" s="124">
        <f t="shared" ref="BA29" si="577">AZ29+BA28</f>
        <v>0</v>
      </c>
      <c r="BB29" s="124">
        <f t="shared" ref="BB29" si="578">BA29+BB28</f>
        <v>0</v>
      </c>
      <c r="BC29" s="125">
        <f t="shared" ref="BC29" si="579">BB29+BC28</f>
        <v>0</v>
      </c>
      <c r="BD29" s="121">
        <f t="shared" ref="BD29" si="580">BC29+BD28</f>
        <v>0</v>
      </c>
      <c r="BE29" s="124">
        <f t="shared" ref="BE29" si="581">BD29+BE28</f>
        <v>0</v>
      </c>
      <c r="BF29" s="124">
        <f t="shared" ref="BF29" si="582">BE29+BF28</f>
        <v>0</v>
      </c>
      <c r="BG29" s="124">
        <f t="shared" ref="BG29" si="583">BF29+BG28</f>
        <v>0</v>
      </c>
      <c r="BH29" s="125">
        <f t="shared" ref="BH29" si="584">BG29+BH28</f>
        <v>0</v>
      </c>
      <c r="BI29" s="121">
        <f>BH29+BI28</f>
        <v>0</v>
      </c>
      <c r="BJ29" s="124">
        <f t="shared" ref="BJ29" si="585">BI29+BJ28</f>
        <v>0</v>
      </c>
      <c r="BK29" s="124">
        <f t="shared" ref="BK29" si="586">BJ29+BK28</f>
        <v>0</v>
      </c>
      <c r="BL29" s="125">
        <f t="shared" ref="BL29" si="587">BK29+BL28</f>
        <v>0</v>
      </c>
      <c r="BM29" s="121">
        <f t="shared" ref="BM29" si="588">BL29+BM28</f>
        <v>0</v>
      </c>
      <c r="BN29" s="124">
        <f t="shared" ref="BN29" si="589">BM29+BN28</f>
        <v>0</v>
      </c>
      <c r="BO29" s="124">
        <f t="shared" ref="BO29" si="590">BN29+BO28</f>
        <v>0</v>
      </c>
      <c r="BP29" s="125">
        <f t="shared" ref="BP29" si="591">BO29+BP28</f>
        <v>0</v>
      </c>
      <c r="BQ29" s="121">
        <f>BP29+BQ28</f>
        <v>0</v>
      </c>
      <c r="BR29" s="124">
        <f t="shared" ref="BR29" si="592">BQ29+BR28</f>
        <v>0</v>
      </c>
      <c r="BS29" s="124">
        <f t="shared" ref="BS29" si="593">BR29+BS28</f>
        <v>0</v>
      </c>
      <c r="BT29" s="124">
        <f t="shared" ref="BT29" si="594">BS29+BT28</f>
        <v>0</v>
      </c>
      <c r="BU29" s="126">
        <f t="shared" ref="BU29" si="595">BT29+BU28</f>
        <v>0</v>
      </c>
      <c r="BV29" s="121">
        <f t="shared" ref="BV29" si="596">BU29+BV28</f>
        <v>0</v>
      </c>
      <c r="BW29" s="124">
        <f t="shared" ref="BW29" si="597">BV29+BW28</f>
        <v>0</v>
      </c>
      <c r="BX29" s="124">
        <f t="shared" ref="BX29" si="598">BW29+BX28</f>
        <v>0</v>
      </c>
      <c r="BY29" s="133">
        <f t="shared" ref="BY29" si="599">BX29+BY28</f>
        <v>0</v>
      </c>
      <c r="BZ29" s="121">
        <f>BY29+BZ28</f>
        <v>0</v>
      </c>
      <c r="CA29" s="124">
        <f t="shared" ref="CA29" si="600">BZ29+CA28</f>
        <v>0</v>
      </c>
      <c r="CB29" s="124">
        <f t="shared" ref="CB29" si="601">CA29+CB28</f>
        <v>0</v>
      </c>
      <c r="CC29" s="124">
        <f t="shared" ref="CC29" si="602">CB29+CC28</f>
        <v>0</v>
      </c>
      <c r="CD29" s="126">
        <f t="shared" ref="CD29" si="603">CC29+CD28</f>
        <v>0</v>
      </c>
      <c r="CE29" s="127">
        <f t="shared" ref="CE29" si="604">CD29+CE28</f>
        <v>0</v>
      </c>
      <c r="CF29" s="128">
        <f t="shared" ref="CF29" si="605">CE29+CF28</f>
        <v>0</v>
      </c>
      <c r="CG29" s="128">
        <f t="shared" ref="CG29" si="606">CF29+CG28</f>
        <v>0</v>
      </c>
      <c r="CH29" s="129">
        <f t="shared" ref="CH29" si="607">CG29+CH28</f>
        <v>0</v>
      </c>
      <c r="CI29" s="127">
        <f t="shared" ref="CI29" si="608">CH29+CI28</f>
        <v>0</v>
      </c>
      <c r="CJ29" s="128">
        <f t="shared" ref="CJ29" si="609">CI29+CJ28</f>
        <v>10</v>
      </c>
      <c r="CK29" s="128">
        <f t="shared" ref="CK29" si="610">CJ29+CK28</f>
        <v>10</v>
      </c>
      <c r="CL29" s="129">
        <f t="shared" ref="CL29" si="611">CK29+CL28</f>
        <v>10</v>
      </c>
      <c r="CM29" s="127">
        <f t="shared" ref="CM29" si="612">CL29+CM28</f>
        <v>10</v>
      </c>
      <c r="CN29" s="128">
        <f t="shared" ref="CN29" si="613">CM29+CN28</f>
        <v>10</v>
      </c>
      <c r="CO29" s="128">
        <f t="shared" ref="CO29" si="614">CN29+CO28</f>
        <v>10</v>
      </c>
      <c r="CP29" s="129">
        <f t="shared" ref="CP29" si="615">CO29+CP28</f>
        <v>10</v>
      </c>
      <c r="CQ29" s="127">
        <f t="shared" ref="CQ29" si="616">CP29+CQ28</f>
        <v>10</v>
      </c>
      <c r="CR29" s="128">
        <f t="shared" ref="CR29" si="617">CQ29+CR28</f>
        <v>10</v>
      </c>
      <c r="CS29" s="128">
        <f t="shared" ref="CS29" si="618">CR29+CS28</f>
        <v>10</v>
      </c>
      <c r="CT29" s="128">
        <f t="shared" ref="CT29" si="619">CS29+CT28</f>
        <v>10</v>
      </c>
      <c r="CU29" s="129">
        <f t="shared" ref="CU29" si="620">CT29+CU28</f>
        <v>10</v>
      </c>
      <c r="CV29" s="127">
        <f t="shared" ref="CV29" si="621">CU29+CV28</f>
        <v>10</v>
      </c>
      <c r="CW29" s="128">
        <f t="shared" ref="CW29" si="622">CV29+CW28</f>
        <v>10</v>
      </c>
      <c r="CX29" s="128">
        <f t="shared" ref="CX29" si="623">CW29+CX28</f>
        <v>10</v>
      </c>
      <c r="CY29" s="129">
        <f t="shared" ref="CY29" si="624">CX29+CY28</f>
        <v>10</v>
      </c>
      <c r="CZ29" s="127">
        <f t="shared" ref="CZ29" si="625">CY29+CZ28</f>
        <v>10</v>
      </c>
      <c r="DA29" s="128">
        <f t="shared" ref="DA29" si="626">CZ29+DA28</f>
        <v>10</v>
      </c>
      <c r="DB29" s="128">
        <f t="shared" ref="DB29" si="627">DA29+DB28</f>
        <v>10</v>
      </c>
      <c r="DC29" s="129">
        <f t="shared" ref="DC29" si="628">DB29+DC28</f>
        <v>10</v>
      </c>
      <c r="DD29" s="127">
        <f t="shared" ref="DD29" si="629">DC29+DD28</f>
        <v>10</v>
      </c>
      <c r="DE29" s="128">
        <f t="shared" ref="DE29" si="630">DD29+DE28</f>
        <v>10</v>
      </c>
      <c r="DF29" s="128">
        <f t="shared" ref="DF29" si="631">DE29+DF28</f>
        <v>10</v>
      </c>
      <c r="DG29" s="140">
        <f t="shared" ref="DG29:DH29" si="632">DF29+DG28</f>
        <v>10</v>
      </c>
      <c r="DH29" s="130">
        <f t="shared" si="632"/>
        <v>10</v>
      </c>
      <c r="DI29" s="127">
        <f t="shared" ref="DI29" si="633">DH29+DI28</f>
        <v>10</v>
      </c>
      <c r="DJ29" s="128">
        <f t="shared" ref="DJ29" si="634">DI29+DJ28</f>
        <v>10</v>
      </c>
      <c r="DK29" s="128">
        <f t="shared" ref="DK29" si="635">DJ29+DK28</f>
        <v>10</v>
      </c>
      <c r="DL29" s="129">
        <f t="shared" ref="DL29" si="636">DK29+DL28</f>
        <v>10</v>
      </c>
      <c r="DM29" s="127">
        <f t="shared" ref="DM29" si="637">DL29+DM28</f>
        <v>10</v>
      </c>
      <c r="DN29" s="128">
        <f t="shared" ref="DN29" si="638">DM29+DN28</f>
        <v>10</v>
      </c>
      <c r="DO29" s="128">
        <f t="shared" ref="DO29" si="639">DN29+DO28</f>
        <v>10</v>
      </c>
      <c r="DP29" s="140">
        <f>DO29+DP28</f>
        <v>10</v>
      </c>
      <c r="DQ29" s="130">
        <f>DP29+DQ28</f>
        <v>10</v>
      </c>
      <c r="DR29" s="127">
        <f>DQ29+DR28</f>
        <v>20</v>
      </c>
      <c r="DS29" s="128">
        <f t="shared" ref="DS29" si="640">DR29+DS28</f>
        <v>20</v>
      </c>
      <c r="DT29" s="128">
        <f t="shared" ref="DT29" si="641">DS29+DT28</f>
        <v>20</v>
      </c>
      <c r="DU29" s="129">
        <f t="shared" ref="DU29" si="642">DT29+DU28</f>
        <v>20</v>
      </c>
      <c r="DV29" s="127">
        <f t="shared" ref="DV29" si="643">DU29+DV28</f>
        <v>30</v>
      </c>
      <c r="DW29" s="128">
        <f t="shared" ref="DW29" si="644">DV29+DW28</f>
        <v>30</v>
      </c>
      <c r="DX29" s="128">
        <f t="shared" ref="DX29" si="645">DW29+DX28</f>
        <v>30</v>
      </c>
      <c r="DY29" s="129">
        <f t="shared" ref="DY29" si="646">DX29+DY28</f>
        <v>30</v>
      </c>
      <c r="DZ29" s="127">
        <f t="shared" ref="DZ29" si="647">DY29+DZ28</f>
        <v>40</v>
      </c>
      <c r="EA29" s="128">
        <f t="shared" ref="EA29" si="648">DZ29+EA28</f>
        <v>40</v>
      </c>
      <c r="EB29" s="128">
        <f t="shared" ref="EB29" si="649">EA29+EB28</f>
        <v>40</v>
      </c>
      <c r="EC29" s="139">
        <f t="shared" ref="EC29:ED29" si="650">EB29+EC28</f>
        <v>40</v>
      </c>
      <c r="ED29" s="129">
        <f t="shared" si="650"/>
        <v>40</v>
      </c>
      <c r="EE29" s="128">
        <f t="shared" ref="EE29" si="651">ED29+EE28</f>
        <v>40</v>
      </c>
      <c r="EF29" s="128">
        <f t="shared" ref="EF29" si="652">EE29+EF28</f>
        <v>40</v>
      </c>
      <c r="EG29" s="139">
        <f t="shared" ref="EG29" si="653">EF29+EG28</f>
        <v>40</v>
      </c>
      <c r="EH29" s="129">
        <f t="shared" ref="EH29" si="654">EG29+EH28</f>
        <v>40</v>
      </c>
      <c r="EI29" s="128">
        <f t="shared" ref="EI29" si="655">EH29+EI28</f>
        <v>40</v>
      </c>
      <c r="EJ29" s="128">
        <f t="shared" ref="EJ29" si="656">EI29+EJ28</f>
        <v>40</v>
      </c>
      <c r="EK29" s="128">
        <f t="shared" ref="EK29" si="657">EJ29+EK28</f>
        <v>40</v>
      </c>
      <c r="EL29" s="129">
        <f t="shared" ref="EL29" si="658">EK29+EL28</f>
        <v>40</v>
      </c>
      <c r="EM29" s="127">
        <f t="shared" ref="EM29" si="659">EL29+EM28</f>
        <v>40</v>
      </c>
      <c r="EN29" s="128">
        <f t="shared" ref="EN29" si="660">EM29+EN28</f>
        <v>40</v>
      </c>
      <c r="EO29" s="128">
        <f t="shared" ref="EO29" si="661">EN29+EO28</f>
        <v>40</v>
      </c>
      <c r="EP29" s="129">
        <f t="shared" ref="EP29" si="662">EO29+EP28</f>
        <v>40</v>
      </c>
      <c r="EQ29" s="127">
        <f t="shared" ref="EQ29" si="663">EP29+EQ28</f>
        <v>40</v>
      </c>
      <c r="ER29" s="128">
        <f t="shared" ref="ER29" si="664">EQ29+ER28</f>
        <v>40</v>
      </c>
      <c r="ES29" s="128">
        <f t="shared" ref="ES29" si="665">ER29+ES28</f>
        <v>40</v>
      </c>
      <c r="ET29" s="129">
        <f t="shared" ref="ET29" si="666">ES29+ET28</f>
        <v>40</v>
      </c>
    </row>
    <row r="30" spans="1:150" s="25" customFormat="1" ht="27.75" customHeight="1">
      <c r="A30" s="26" t="s">
        <v>12</v>
      </c>
      <c r="B30" s="31"/>
      <c r="C30" s="643">
        <v>6</v>
      </c>
      <c r="D30" s="213" t="s">
        <v>113</v>
      </c>
      <c r="E30" s="177" t="s">
        <v>32</v>
      </c>
      <c r="F30" s="178" t="s">
        <v>126</v>
      </c>
      <c r="G30" s="114" t="s">
        <v>17</v>
      </c>
      <c r="H30" s="119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  <c r="O30" s="118">
        <v>0</v>
      </c>
      <c r="P30" s="118">
        <v>0</v>
      </c>
      <c r="Q30" s="118">
        <v>0</v>
      </c>
      <c r="R30" s="117">
        <v>0</v>
      </c>
      <c r="S30" s="163">
        <v>0</v>
      </c>
      <c r="T30" s="164">
        <v>20</v>
      </c>
      <c r="U30" s="164">
        <v>80</v>
      </c>
      <c r="V30" s="164">
        <v>70</v>
      </c>
      <c r="W30" s="164">
        <v>70</v>
      </c>
      <c r="X30" s="164">
        <v>60</v>
      </c>
      <c r="Y30" s="164">
        <v>20</v>
      </c>
      <c r="Z30" s="164">
        <v>80</v>
      </c>
      <c r="AA30" s="164">
        <f>SUBTOTAL(9,DM30:DQ30)</f>
        <v>50</v>
      </c>
      <c r="AB30" s="164">
        <f>SUBTOTAL(9,DR30:DU30)</f>
        <v>60</v>
      </c>
      <c r="AC30" s="164">
        <f>SUBTOTAL(9,DV30:DY30)</f>
        <v>60</v>
      </c>
      <c r="AD30" s="218">
        <f>SUBTOTAL(9,DZ30:ED30)</f>
        <v>30</v>
      </c>
      <c r="AE30" s="218">
        <f>SUBTOTAL(9,EE30:EH30)</f>
        <v>0</v>
      </c>
      <c r="AF30" s="218">
        <f>SUBTOTAL(9,EI30:EL30)</f>
        <v>0</v>
      </c>
      <c r="AG30" s="218">
        <f>SUBTOTAL(9,EM30:EP30)</f>
        <v>0</v>
      </c>
      <c r="AH30" s="218">
        <f>SUBTOTAL(9,EQ30:ET30)</f>
        <v>0</v>
      </c>
      <c r="AI30" s="166">
        <v>0</v>
      </c>
      <c r="AJ30" s="166">
        <v>0</v>
      </c>
      <c r="AK30" s="166">
        <v>0</v>
      </c>
      <c r="AL30" s="165">
        <v>0</v>
      </c>
      <c r="AM30" s="167">
        <v>0</v>
      </c>
      <c r="AN30" s="166">
        <v>0</v>
      </c>
      <c r="AO30" s="166">
        <v>0</v>
      </c>
      <c r="AP30" s="168">
        <v>0</v>
      </c>
      <c r="AQ30" s="166">
        <v>0</v>
      </c>
      <c r="AR30" s="166">
        <v>0</v>
      </c>
      <c r="AS30" s="166">
        <v>0</v>
      </c>
      <c r="AT30" s="169">
        <v>0</v>
      </c>
      <c r="AU30" s="170">
        <v>0</v>
      </c>
      <c r="AV30" s="166">
        <v>0</v>
      </c>
      <c r="AW30" s="166">
        <v>0</v>
      </c>
      <c r="AX30" s="166">
        <v>0</v>
      </c>
      <c r="AY30" s="169">
        <v>0</v>
      </c>
      <c r="AZ30" s="167">
        <v>0</v>
      </c>
      <c r="BA30" s="166">
        <v>0</v>
      </c>
      <c r="BB30" s="166">
        <v>0</v>
      </c>
      <c r="BC30" s="169">
        <v>0</v>
      </c>
      <c r="BD30" s="171">
        <v>0</v>
      </c>
      <c r="BE30" s="166">
        <v>0</v>
      </c>
      <c r="BF30" s="172">
        <v>0</v>
      </c>
      <c r="BG30" s="166">
        <v>0</v>
      </c>
      <c r="BH30" s="169">
        <v>0</v>
      </c>
      <c r="BI30" s="171">
        <v>0</v>
      </c>
      <c r="BJ30" s="166">
        <v>0</v>
      </c>
      <c r="BK30" s="166">
        <v>0</v>
      </c>
      <c r="BL30" s="169">
        <v>0</v>
      </c>
      <c r="BM30" s="171">
        <v>0</v>
      </c>
      <c r="BN30" s="166">
        <v>0</v>
      </c>
      <c r="BO30" s="166">
        <v>0</v>
      </c>
      <c r="BP30" s="169">
        <v>0</v>
      </c>
      <c r="BQ30" s="167">
        <v>0</v>
      </c>
      <c r="BR30" s="166">
        <v>0</v>
      </c>
      <c r="BS30" s="166">
        <v>0</v>
      </c>
      <c r="BT30" s="169">
        <v>0</v>
      </c>
      <c r="BU30" s="173">
        <v>0</v>
      </c>
      <c r="BV30" s="171">
        <v>0</v>
      </c>
      <c r="BW30" s="166">
        <v>0</v>
      </c>
      <c r="BX30" s="166">
        <v>0</v>
      </c>
      <c r="BY30" s="168">
        <v>0</v>
      </c>
      <c r="BZ30" s="167">
        <v>0</v>
      </c>
      <c r="CA30" s="166">
        <v>0</v>
      </c>
      <c r="CB30" s="166">
        <v>0</v>
      </c>
      <c r="CC30" s="174">
        <v>0</v>
      </c>
      <c r="CD30" s="173">
        <v>0</v>
      </c>
      <c r="CE30" s="182">
        <v>0</v>
      </c>
      <c r="CF30" s="183">
        <v>0</v>
      </c>
      <c r="CG30" s="175">
        <v>0</v>
      </c>
      <c r="CH30" s="173">
        <v>0</v>
      </c>
      <c r="CI30" s="184">
        <v>0</v>
      </c>
      <c r="CJ30" s="175">
        <v>20</v>
      </c>
      <c r="CK30" s="175">
        <v>0</v>
      </c>
      <c r="CL30" s="173">
        <v>0</v>
      </c>
      <c r="CM30" s="184">
        <v>20</v>
      </c>
      <c r="CN30" s="175">
        <v>20</v>
      </c>
      <c r="CO30" s="175">
        <v>20</v>
      </c>
      <c r="CP30" s="173">
        <v>20</v>
      </c>
      <c r="CQ30" s="184">
        <v>20</v>
      </c>
      <c r="CR30" s="175">
        <v>10</v>
      </c>
      <c r="CS30" s="175">
        <v>20</v>
      </c>
      <c r="CT30" s="176">
        <v>0</v>
      </c>
      <c r="CU30" s="173">
        <v>20</v>
      </c>
      <c r="CV30" s="184">
        <v>20</v>
      </c>
      <c r="CW30" s="175">
        <v>10</v>
      </c>
      <c r="CX30" s="175">
        <v>20</v>
      </c>
      <c r="CY30" s="173">
        <v>20</v>
      </c>
      <c r="CZ30" s="184">
        <v>20</v>
      </c>
      <c r="DA30" s="175">
        <v>20</v>
      </c>
      <c r="DB30" s="175">
        <v>10</v>
      </c>
      <c r="DC30" s="173">
        <v>10</v>
      </c>
      <c r="DD30" s="184">
        <v>0</v>
      </c>
      <c r="DE30" s="175">
        <v>10</v>
      </c>
      <c r="DF30" s="176">
        <v>0</v>
      </c>
      <c r="DG30" s="175">
        <v>10</v>
      </c>
      <c r="DH30" s="173">
        <v>0</v>
      </c>
      <c r="DI30" s="184">
        <v>20</v>
      </c>
      <c r="DJ30" s="175">
        <v>20</v>
      </c>
      <c r="DK30" s="175">
        <v>20</v>
      </c>
      <c r="DL30" s="173">
        <v>20</v>
      </c>
      <c r="DM30" s="184">
        <v>10</v>
      </c>
      <c r="DN30" s="175">
        <v>10</v>
      </c>
      <c r="DO30" s="175">
        <v>10</v>
      </c>
      <c r="DP30" s="175">
        <v>10</v>
      </c>
      <c r="DQ30" s="173">
        <v>10</v>
      </c>
      <c r="DR30" s="184">
        <v>20</v>
      </c>
      <c r="DS30" s="175">
        <v>20</v>
      </c>
      <c r="DT30" s="175">
        <v>20</v>
      </c>
      <c r="DU30" s="173">
        <v>0</v>
      </c>
      <c r="DV30" s="171">
        <v>20</v>
      </c>
      <c r="DW30" s="175">
        <v>20</v>
      </c>
      <c r="DX30" s="175">
        <v>20</v>
      </c>
      <c r="DY30" s="173">
        <v>0</v>
      </c>
      <c r="DZ30" s="184">
        <v>20</v>
      </c>
      <c r="EA30" s="175">
        <v>10</v>
      </c>
      <c r="EB30" s="175">
        <v>0</v>
      </c>
      <c r="EC30" s="218">
        <v>0</v>
      </c>
      <c r="ED30" s="239">
        <v>0</v>
      </c>
      <c r="EE30" s="184"/>
      <c r="EF30" s="175"/>
      <c r="EG30" s="218"/>
      <c r="EH30" s="239"/>
      <c r="EI30" s="184"/>
      <c r="EJ30" s="175"/>
      <c r="EK30" s="175"/>
      <c r="EL30" s="173"/>
      <c r="EM30" s="184"/>
      <c r="EN30" s="175"/>
      <c r="EO30" s="175"/>
      <c r="EP30" s="173"/>
      <c r="EQ30" s="184"/>
      <c r="ER30" s="175"/>
      <c r="ES30" s="175"/>
      <c r="ET30" s="173"/>
    </row>
    <row r="31" spans="1:150" s="25" customFormat="1" ht="27.75" customHeight="1" thickBot="1">
      <c r="A31" s="26" t="s">
        <v>12</v>
      </c>
      <c r="B31" s="31"/>
      <c r="C31" s="644"/>
      <c r="D31" s="179"/>
      <c r="E31" s="180"/>
      <c r="F31" s="181"/>
      <c r="G31" s="120" t="s">
        <v>18</v>
      </c>
      <c r="H31" s="121">
        <v>0</v>
      </c>
      <c r="I31" s="122">
        <f t="shared" ref="I31" si="667">H31+I30</f>
        <v>0</v>
      </c>
      <c r="J31" s="122">
        <f t="shared" ref="J31" si="668">I31+J30</f>
        <v>0</v>
      </c>
      <c r="K31" s="122">
        <f t="shared" ref="K31" si="669">J31+K30</f>
        <v>0</v>
      </c>
      <c r="L31" s="122">
        <f t="shared" ref="L31" si="670">K31+L30</f>
        <v>0</v>
      </c>
      <c r="M31" s="123">
        <f t="shared" ref="M31" si="671">L31+M30</f>
        <v>0</v>
      </c>
      <c r="N31" s="122">
        <f t="shared" ref="N31" si="672">M31+N30</f>
        <v>0</v>
      </c>
      <c r="O31" s="123">
        <f t="shared" ref="O31" si="673">N31+O30</f>
        <v>0</v>
      </c>
      <c r="P31" s="123">
        <f t="shared" ref="P31" si="674">O31+P30</f>
        <v>0</v>
      </c>
      <c r="Q31" s="123">
        <f t="shared" ref="Q31" si="675">P31+Q30</f>
        <v>0</v>
      </c>
      <c r="R31" s="122">
        <f t="shared" ref="R31:T31" si="676">Q31+R30</f>
        <v>0</v>
      </c>
      <c r="S31" s="122">
        <f t="shared" si="676"/>
        <v>0</v>
      </c>
      <c r="T31" s="123">
        <f t="shared" si="676"/>
        <v>20</v>
      </c>
      <c r="U31" s="123">
        <f t="shared" ref="U31:W31" si="677">T31+U30</f>
        <v>100</v>
      </c>
      <c r="V31" s="123">
        <f t="shared" si="677"/>
        <v>170</v>
      </c>
      <c r="W31" s="123">
        <f t="shared" si="677"/>
        <v>240</v>
      </c>
      <c r="X31" s="123">
        <f t="shared" ref="X31" si="678">W31+X30</f>
        <v>300</v>
      </c>
      <c r="Y31" s="123">
        <f t="shared" ref="Y31:AB31" si="679">X31+Y30</f>
        <v>320</v>
      </c>
      <c r="Z31" s="123">
        <f t="shared" si="679"/>
        <v>400</v>
      </c>
      <c r="AA31" s="123">
        <f t="shared" si="679"/>
        <v>450</v>
      </c>
      <c r="AB31" s="123">
        <f t="shared" si="679"/>
        <v>510</v>
      </c>
      <c r="AC31" s="138">
        <f t="shared" ref="AC31:AH31" si="680">AB31+AC30</f>
        <v>570</v>
      </c>
      <c r="AD31" s="139">
        <f t="shared" si="680"/>
        <v>600</v>
      </c>
      <c r="AE31" s="140">
        <f t="shared" si="680"/>
        <v>600</v>
      </c>
      <c r="AF31" s="138">
        <f t="shared" si="680"/>
        <v>600</v>
      </c>
      <c r="AG31" s="138">
        <f t="shared" si="680"/>
        <v>600</v>
      </c>
      <c r="AH31" s="139">
        <f t="shared" si="680"/>
        <v>600</v>
      </c>
      <c r="AI31" s="124">
        <v>0</v>
      </c>
      <c r="AJ31" s="124">
        <f t="shared" ref="AJ31" si="681">AI31+AJ30</f>
        <v>0</v>
      </c>
      <c r="AK31" s="124">
        <f t="shared" ref="AK31" si="682">AJ31+AK30</f>
        <v>0</v>
      </c>
      <c r="AL31" s="126">
        <f t="shared" ref="AL31" si="683">AK31+AL30</f>
        <v>0</v>
      </c>
      <c r="AM31" s="124">
        <f t="shared" ref="AM31" si="684">AL31+AM30</f>
        <v>0</v>
      </c>
      <c r="AN31" s="124">
        <f t="shared" ref="AN31" si="685">AM31+AN30</f>
        <v>0</v>
      </c>
      <c r="AO31" s="124">
        <f t="shared" ref="AO31" si="686">AN31+AO30</f>
        <v>0</v>
      </c>
      <c r="AP31" s="133">
        <f t="shared" ref="AP31" si="687">AO31+AP30</f>
        <v>0</v>
      </c>
      <c r="AQ31" s="124">
        <f>AP31+AQ30</f>
        <v>0</v>
      </c>
      <c r="AR31" s="124">
        <f t="shared" ref="AR31" si="688">AQ31+AR30</f>
        <v>0</v>
      </c>
      <c r="AS31" s="124">
        <f t="shared" ref="AS31" si="689">AR31+AS30</f>
        <v>0</v>
      </c>
      <c r="AT31" s="125">
        <f t="shared" ref="AT31" si="690">AS31+AT30</f>
        <v>0</v>
      </c>
      <c r="AU31" s="134">
        <f>AT31+AU30</f>
        <v>0</v>
      </c>
      <c r="AV31" s="124">
        <f t="shared" ref="AV31" si="691">AU31+AV30</f>
        <v>0</v>
      </c>
      <c r="AW31" s="124">
        <f t="shared" ref="AW31" si="692">AV31+AW30</f>
        <v>0</v>
      </c>
      <c r="AX31" s="124">
        <f t="shared" ref="AX31" si="693">AW31+AX30</f>
        <v>0</v>
      </c>
      <c r="AY31" s="125">
        <f t="shared" ref="AY31" si="694">AX31+AY30</f>
        <v>0</v>
      </c>
      <c r="AZ31" s="121">
        <f>AY31+AZ30</f>
        <v>0</v>
      </c>
      <c r="BA31" s="124">
        <f t="shared" ref="BA31" si="695">AZ31+BA30</f>
        <v>0</v>
      </c>
      <c r="BB31" s="124">
        <f t="shared" ref="BB31" si="696">BA31+BB30</f>
        <v>0</v>
      </c>
      <c r="BC31" s="125">
        <f t="shared" ref="BC31" si="697">BB31+BC30</f>
        <v>0</v>
      </c>
      <c r="BD31" s="121">
        <f t="shared" ref="BD31" si="698">BC31+BD30</f>
        <v>0</v>
      </c>
      <c r="BE31" s="124">
        <f t="shared" ref="BE31" si="699">BD31+BE30</f>
        <v>0</v>
      </c>
      <c r="BF31" s="124">
        <f t="shared" ref="BF31" si="700">BE31+BF30</f>
        <v>0</v>
      </c>
      <c r="BG31" s="124">
        <f t="shared" ref="BG31" si="701">BF31+BG30</f>
        <v>0</v>
      </c>
      <c r="BH31" s="125">
        <f t="shared" ref="BH31" si="702">BG31+BH30</f>
        <v>0</v>
      </c>
      <c r="BI31" s="121">
        <f>BH31+BI30</f>
        <v>0</v>
      </c>
      <c r="BJ31" s="124">
        <f t="shared" ref="BJ31" si="703">BI31+BJ30</f>
        <v>0</v>
      </c>
      <c r="BK31" s="124">
        <f t="shared" ref="BK31" si="704">BJ31+BK30</f>
        <v>0</v>
      </c>
      <c r="BL31" s="125">
        <f t="shared" ref="BL31" si="705">BK31+BL30</f>
        <v>0</v>
      </c>
      <c r="BM31" s="121">
        <f t="shared" ref="BM31" si="706">BL31+BM30</f>
        <v>0</v>
      </c>
      <c r="BN31" s="124">
        <f t="shared" ref="BN31" si="707">BM31+BN30</f>
        <v>0</v>
      </c>
      <c r="BO31" s="124">
        <f t="shared" ref="BO31" si="708">BN31+BO30</f>
        <v>0</v>
      </c>
      <c r="BP31" s="125">
        <f t="shared" ref="BP31" si="709">BO31+BP30</f>
        <v>0</v>
      </c>
      <c r="BQ31" s="121">
        <f>BP31+BQ30</f>
        <v>0</v>
      </c>
      <c r="BR31" s="124">
        <f t="shared" ref="BR31" si="710">BQ31+BR30</f>
        <v>0</v>
      </c>
      <c r="BS31" s="124">
        <f t="shared" ref="BS31" si="711">BR31+BS30</f>
        <v>0</v>
      </c>
      <c r="BT31" s="124">
        <f t="shared" ref="BT31" si="712">BS31+BT30</f>
        <v>0</v>
      </c>
      <c r="BU31" s="126">
        <f t="shared" ref="BU31" si="713">BT31+BU30</f>
        <v>0</v>
      </c>
      <c r="BV31" s="121">
        <f t="shared" ref="BV31" si="714">BU31+BV30</f>
        <v>0</v>
      </c>
      <c r="BW31" s="124">
        <f t="shared" ref="BW31" si="715">BV31+BW30</f>
        <v>0</v>
      </c>
      <c r="BX31" s="124">
        <f t="shared" ref="BX31" si="716">BW31+BX30</f>
        <v>0</v>
      </c>
      <c r="BY31" s="133">
        <f t="shared" ref="BY31" si="717">BX31+BY30</f>
        <v>0</v>
      </c>
      <c r="BZ31" s="121">
        <f>BY31+BZ30</f>
        <v>0</v>
      </c>
      <c r="CA31" s="124">
        <f t="shared" ref="CA31" si="718">BZ31+CA30</f>
        <v>0</v>
      </c>
      <c r="CB31" s="124">
        <f t="shared" ref="CB31" si="719">CA31+CB30</f>
        <v>0</v>
      </c>
      <c r="CC31" s="124">
        <f t="shared" ref="CC31" si="720">CB31+CC30</f>
        <v>0</v>
      </c>
      <c r="CD31" s="126">
        <f t="shared" ref="CD31" si="721">CC31+CD30</f>
        <v>0</v>
      </c>
      <c r="CE31" s="127">
        <f t="shared" ref="CE31" si="722">CD31+CE30</f>
        <v>0</v>
      </c>
      <c r="CF31" s="128">
        <f t="shared" ref="CF31" si="723">CE31+CF30</f>
        <v>0</v>
      </c>
      <c r="CG31" s="128">
        <f t="shared" ref="CG31" si="724">CF31+CG30</f>
        <v>0</v>
      </c>
      <c r="CH31" s="129">
        <f t="shared" ref="CH31" si="725">CG31+CH30</f>
        <v>0</v>
      </c>
      <c r="CI31" s="127">
        <f t="shared" ref="CI31" si="726">CH31+CI30</f>
        <v>0</v>
      </c>
      <c r="CJ31" s="128">
        <f t="shared" ref="CJ31" si="727">CI31+CJ30</f>
        <v>20</v>
      </c>
      <c r="CK31" s="128">
        <f t="shared" ref="CK31" si="728">CJ31+CK30</f>
        <v>20</v>
      </c>
      <c r="CL31" s="129">
        <f t="shared" ref="CL31" si="729">CK31+CL30</f>
        <v>20</v>
      </c>
      <c r="CM31" s="127">
        <f t="shared" ref="CM31" si="730">CL31+CM30</f>
        <v>40</v>
      </c>
      <c r="CN31" s="128">
        <f t="shared" ref="CN31" si="731">CM31+CN30</f>
        <v>60</v>
      </c>
      <c r="CO31" s="128">
        <f t="shared" ref="CO31" si="732">CN31+CO30</f>
        <v>80</v>
      </c>
      <c r="CP31" s="129">
        <f t="shared" ref="CP31" si="733">CO31+CP30</f>
        <v>100</v>
      </c>
      <c r="CQ31" s="127">
        <f t="shared" ref="CQ31" si="734">CP31+CQ30</f>
        <v>120</v>
      </c>
      <c r="CR31" s="128">
        <f t="shared" ref="CR31" si="735">CQ31+CR30</f>
        <v>130</v>
      </c>
      <c r="CS31" s="128">
        <f t="shared" ref="CS31" si="736">CR31+CS30</f>
        <v>150</v>
      </c>
      <c r="CT31" s="128">
        <f t="shared" ref="CT31" si="737">CS31+CT30</f>
        <v>150</v>
      </c>
      <c r="CU31" s="129">
        <f t="shared" ref="CU31" si="738">CT31+CU30</f>
        <v>170</v>
      </c>
      <c r="CV31" s="127">
        <f t="shared" ref="CV31" si="739">CU31+CV30</f>
        <v>190</v>
      </c>
      <c r="CW31" s="128">
        <f t="shared" ref="CW31" si="740">CV31+CW30</f>
        <v>200</v>
      </c>
      <c r="CX31" s="128">
        <f t="shared" ref="CX31" si="741">CW31+CX30</f>
        <v>220</v>
      </c>
      <c r="CY31" s="129">
        <f t="shared" ref="CY31" si="742">CX31+CY30</f>
        <v>240</v>
      </c>
      <c r="CZ31" s="127">
        <f t="shared" ref="CZ31" si="743">CY31+CZ30</f>
        <v>260</v>
      </c>
      <c r="DA31" s="128">
        <f t="shared" ref="DA31" si="744">CZ31+DA30</f>
        <v>280</v>
      </c>
      <c r="DB31" s="128">
        <f t="shared" ref="DB31" si="745">DA31+DB30</f>
        <v>290</v>
      </c>
      <c r="DC31" s="129">
        <f t="shared" ref="DC31" si="746">DB31+DC30</f>
        <v>300</v>
      </c>
      <c r="DD31" s="127">
        <f t="shared" ref="DD31" si="747">DC31+DD30</f>
        <v>300</v>
      </c>
      <c r="DE31" s="128">
        <f t="shared" ref="DE31" si="748">DD31+DE30</f>
        <v>310</v>
      </c>
      <c r="DF31" s="128">
        <f t="shared" ref="DF31" si="749">DE31+DF30</f>
        <v>310</v>
      </c>
      <c r="DG31" s="140">
        <f t="shared" ref="DG31:DH31" si="750">DF31+DG30</f>
        <v>320</v>
      </c>
      <c r="DH31" s="130">
        <f t="shared" si="750"/>
        <v>320</v>
      </c>
      <c r="DI31" s="127">
        <f t="shared" ref="DI31" si="751">DH31+DI30</f>
        <v>340</v>
      </c>
      <c r="DJ31" s="128">
        <f t="shared" ref="DJ31" si="752">DI31+DJ30</f>
        <v>360</v>
      </c>
      <c r="DK31" s="128">
        <f t="shared" ref="DK31" si="753">DJ31+DK30</f>
        <v>380</v>
      </c>
      <c r="DL31" s="129">
        <f t="shared" ref="DL31" si="754">DK31+DL30</f>
        <v>400</v>
      </c>
      <c r="DM31" s="127">
        <f t="shared" ref="DM31" si="755">DL31+DM30</f>
        <v>410</v>
      </c>
      <c r="DN31" s="128">
        <f t="shared" ref="DN31" si="756">DM31+DN30</f>
        <v>420</v>
      </c>
      <c r="DO31" s="128">
        <f t="shared" ref="DO31" si="757">DN31+DO30</f>
        <v>430</v>
      </c>
      <c r="DP31" s="140">
        <f>DO31+DP30</f>
        <v>440</v>
      </c>
      <c r="DQ31" s="130">
        <f>DP31+DQ30</f>
        <v>450</v>
      </c>
      <c r="DR31" s="127">
        <f>DQ31+DR30</f>
        <v>470</v>
      </c>
      <c r="DS31" s="128">
        <f t="shared" ref="DS31" si="758">DR31+DS30</f>
        <v>490</v>
      </c>
      <c r="DT31" s="128">
        <f t="shared" ref="DT31" si="759">DS31+DT30</f>
        <v>510</v>
      </c>
      <c r="DU31" s="129">
        <f t="shared" ref="DU31" si="760">DT31+DU30</f>
        <v>510</v>
      </c>
      <c r="DV31" s="127">
        <f t="shared" ref="DV31" si="761">DU31+DV30</f>
        <v>530</v>
      </c>
      <c r="DW31" s="128">
        <f t="shared" ref="DW31" si="762">DV31+DW30</f>
        <v>550</v>
      </c>
      <c r="DX31" s="128">
        <f t="shared" ref="DX31" si="763">DW31+DX30</f>
        <v>570</v>
      </c>
      <c r="DY31" s="129">
        <f t="shared" ref="DY31" si="764">DX31+DY30</f>
        <v>570</v>
      </c>
      <c r="DZ31" s="127">
        <f t="shared" ref="DZ31" si="765">DY31+DZ30</f>
        <v>590</v>
      </c>
      <c r="EA31" s="128">
        <f t="shared" ref="EA31" si="766">DZ31+EA30</f>
        <v>600</v>
      </c>
      <c r="EB31" s="128">
        <f t="shared" ref="EB31" si="767">EA31+EB30</f>
        <v>600</v>
      </c>
      <c r="EC31" s="139">
        <f t="shared" ref="EC31:ED31" si="768">EB31+EC30</f>
        <v>600</v>
      </c>
      <c r="ED31" s="147">
        <f t="shared" si="768"/>
        <v>600</v>
      </c>
      <c r="EE31" s="128">
        <f t="shared" ref="EE31" si="769">ED31+EE30</f>
        <v>600</v>
      </c>
      <c r="EF31" s="128">
        <f t="shared" ref="EF31" si="770">EE31+EF30</f>
        <v>600</v>
      </c>
      <c r="EG31" s="139">
        <f t="shared" ref="EG31" si="771">EF31+EG30</f>
        <v>600</v>
      </c>
      <c r="EH31" s="129">
        <f t="shared" ref="EH31" si="772">EG31+EH30</f>
        <v>600</v>
      </c>
      <c r="EI31" s="128">
        <f t="shared" ref="EI31" si="773">EH31+EI30</f>
        <v>600</v>
      </c>
      <c r="EJ31" s="128">
        <f t="shared" ref="EJ31" si="774">EI31+EJ30</f>
        <v>600</v>
      </c>
      <c r="EK31" s="128">
        <f t="shared" ref="EK31" si="775">EJ31+EK30</f>
        <v>600</v>
      </c>
      <c r="EL31" s="129">
        <f t="shared" ref="EL31" si="776">EK31+EL30</f>
        <v>600</v>
      </c>
      <c r="EM31" s="127">
        <f t="shared" ref="EM31" si="777">EL31+EM30</f>
        <v>600</v>
      </c>
      <c r="EN31" s="128">
        <f t="shared" ref="EN31" si="778">EM31+EN30</f>
        <v>600</v>
      </c>
      <c r="EO31" s="128">
        <f t="shared" ref="EO31" si="779">EN31+EO30</f>
        <v>600</v>
      </c>
      <c r="EP31" s="129">
        <f t="shared" ref="EP31" si="780">EO31+EP30</f>
        <v>600</v>
      </c>
      <c r="EQ31" s="127">
        <f t="shared" ref="EQ31" si="781">EP31+EQ30</f>
        <v>600</v>
      </c>
      <c r="ER31" s="128">
        <f t="shared" ref="ER31" si="782">EQ31+ER30</f>
        <v>600</v>
      </c>
      <c r="ES31" s="128">
        <f t="shared" ref="ES31" si="783">ER31+ES30</f>
        <v>600</v>
      </c>
      <c r="ET31" s="129">
        <f t="shared" ref="ET31" si="784">ES31+ET30</f>
        <v>600</v>
      </c>
    </row>
    <row r="32" spans="1:150" s="25" customFormat="1" ht="27.75" customHeight="1">
      <c r="A32" s="26" t="s">
        <v>12</v>
      </c>
      <c r="B32" s="31"/>
      <c r="C32" s="641">
        <v>7</v>
      </c>
      <c r="D32" s="213" t="s">
        <v>114</v>
      </c>
      <c r="E32" s="177" t="s">
        <v>32</v>
      </c>
      <c r="F32" s="178" t="s">
        <v>126</v>
      </c>
      <c r="G32" s="114" t="s">
        <v>17</v>
      </c>
      <c r="H32" s="119">
        <v>0</v>
      </c>
      <c r="I32" s="117">
        <v>0</v>
      </c>
      <c r="J32" s="117">
        <v>0</v>
      </c>
      <c r="K32" s="117">
        <v>0</v>
      </c>
      <c r="L32" s="117">
        <v>0</v>
      </c>
      <c r="M32" s="117">
        <v>0</v>
      </c>
      <c r="N32" s="117">
        <v>0</v>
      </c>
      <c r="O32" s="118">
        <v>0</v>
      </c>
      <c r="P32" s="118">
        <v>0</v>
      </c>
      <c r="Q32" s="118">
        <v>0</v>
      </c>
      <c r="R32" s="117">
        <v>0</v>
      </c>
      <c r="S32" s="163">
        <v>0</v>
      </c>
      <c r="T32" s="164">
        <v>40</v>
      </c>
      <c r="U32" s="164">
        <v>110</v>
      </c>
      <c r="V32" s="164">
        <v>70</v>
      </c>
      <c r="W32" s="164">
        <v>40</v>
      </c>
      <c r="X32" s="164">
        <v>70</v>
      </c>
      <c r="Y32" s="164">
        <v>70</v>
      </c>
      <c r="Z32" s="164">
        <v>40</v>
      </c>
      <c r="AA32" s="164">
        <f>SUBTOTAL(9,DM32:DQ32)</f>
        <v>60</v>
      </c>
      <c r="AB32" s="164">
        <f>SUBTOTAL(9,DR32:DU32)</f>
        <v>40</v>
      </c>
      <c r="AC32" s="226">
        <f>SUBTOTAL(9,DV32:DY32)</f>
        <v>110</v>
      </c>
      <c r="AD32" s="218">
        <f>SUBTOTAL(9,DZ32:ED32)</f>
        <v>50</v>
      </c>
      <c r="AE32" s="218">
        <f>SUBTOTAL(9,EE32:EH32)</f>
        <v>0</v>
      </c>
      <c r="AF32" s="218">
        <f>SUBTOTAL(9,EI32:EL32)</f>
        <v>0</v>
      </c>
      <c r="AG32" s="218">
        <f>SUBTOTAL(9,EM32:EP32)</f>
        <v>0</v>
      </c>
      <c r="AH32" s="218">
        <f>SUBTOTAL(9,EQ32:ET32)</f>
        <v>0</v>
      </c>
      <c r="AI32" s="166">
        <v>0</v>
      </c>
      <c r="AJ32" s="166">
        <v>0</v>
      </c>
      <c r="AK32" s="166">
        <v>0</v>
      </c>
      <c r="AL32" s="165">
        <v>0</v>
      </c>
      <c r="AM32" s="167">
        <v>0</v>
      </c>
      <c r="AN32" s="166">
        <v>0</v>
      </c>
      <c r="AO32" s="166">
        <v>0</v>
      </c>
      <c r="AP32" s="168">
        <v>0</v>
      </c>
      <c r="AQ32" s="166">
        <v>0</v>
      </c>
      <c r="AR32" s="166">
        <v>0</v>
      </c>
      <c r="AS32" s="166">
        <v>0</v>
      </c>
      <c r="AT32" s="169">
        <v>0</v>
      </c>
      <c r="AU32" s="170">
        <v>0</v>
      </c>
      <c r="AV32" s="166">
        <v>0</v>
      </c>
      <c r="AW32" s="166">
        <v>0</v>
      </c>
      <c r="AX32" s="166">
        <v>0</v>
      </c>
      <c r="AY32" s="169">
        <v>0</v>
      </c>
      <c r="AZ32" s="167">
        <v>0</v>
      </c>
      <c r="BA32" s="166">
        <v>0</v>
      </c>
      <c r="BB32" s="166">
        <v>0</v>
      </c>
      <c r="BC32" s="169">
        <v>0</v>
      </c>
      <c r="BD32" s="171">
        <v>0</v>
      </c>
      <c r="BE32" s="166">
        <v>0</v>
      </c>
      <c r="BF32" s="172">
        <v>0</v>
      </c>
      <c r="BG32" s="166">
        <v>0</v>
      </c>
      <c r="BH32" s="169">
        <v>0</v>
      </c>
      <c r="BI32" s="171">
        <v>0</v>
      </c>
      <c r="BJ32" s="166">
        <v>0</v>
      </c>
      <c r="BK32" s="166">
        <v>0</v>
      </c>
      <c r="BL32" s="169">
        <v>0</v>
      </c>
      <c r="BM32" s="171">
        <v>0</v>
      </c>
      <c r="BN32" s="166">
        <v>0</v>
      </c>
      <c r="BO32" s="166">
        <v>0</v>
      </c>
      <c r="BP32" s="169">
        <v>0</v>
      </c>
      <c r="BQ32" s="167">
        <v>0</v>
      </c>
      <c r="BR32" s="166">
        <v>0</v>
      </c>
      <c r="BS32" s="166">
        <v>0</v>
      </c>
      <c r="BT32" s="169">
        <v>0</v>
      </c>
      <c r="BU32" s="173">
        <v>0</v>
      </c>
      <c r="BV32" s="171">
        <v>0</v>
      </c>
      <c r="BW32" s="166">
        <v>0</v>
      </c>
      <c r="BX32" s="166">
        <v>0</v>
      </c>
      <c r="BY32" s="168">
        <v>0</v>
      </c>
      <c r="BZ32" s="167">
        <v>0</v>
      </c>
      <c r="CA32" s="166">
        <v>0</v>
      </c>
      <c r="CB32" s="166">
        <v>0</v>
      </c>
      <c r="CC32" s="174">
        <v>0</v>
      </c>
      <c r="CD32" s="173">
        <v>0</v>
      </c>
      <c r="CE32" s="182">
        <v>0</v>
      </c>
      <c r="CF32" s="183">
        <v>0</v>
      </c>
      <c r="CG32" s="175">
        <v>0</v>
      </c>
      <c r="CH32" s="173">
        <v>0</v>
      </c>
      <c r="CI32" s="184">
        <v>0</v>
      </c>
      <c r="CJ32" s="175">
        <v>40</v>
      </c>
      <c r="CK32" s="175">
        <v>0</v>
      </c>
      <c r="CL32" s="173">
        <v>0</v>
      </c>
      <c r="CM32" s="184">
        <v>30</v>
      </c>
      <c r="CN32" s="175">
        <v>30</v>
      </c>
      <c r="CO32" s="175">
        <v>30</v>
      </c>
      <c r="CP32" s="173">
        <v>20</v>
      </c>
      <c r="CQ32" s="184">
        <v>20</v>
      </c>
      <c r="CR32" s="175">
        <v>20</v>
      </c>
      <c r="CS32" s="175">
        <v>20</v>
      </c>
      <c r="CT32" s="176">
        <v>0</v>
      </c>
      <c r="CU32" s="173">
        <v>10</v>
      </c>
      <c r="CV32" s="184">
        <v>10</v>
      </c>
      <c r="CW32" s="175">
        <v>10</v>
      </c>
      <c r="CX32" s="175">
        <v>10</v>
      </c>
      <c r="CY32" s="173">
        <v>10</v>
      </c>
      <c r="CZ32" s="184">
        <v>20</v>
      </c>
      <c r="DA32" s="175">
        <v>20</v>
      </c>
      <c r="DB32" s="175">
        <v>20</v>
      </c>
      <c r="DC32" s="173">
        <v>10</v>
      </c>
      <c r="DD32" s="184">
        <v>10</v>
      </c>
      <c r="DE32" s="175">
        <v>20</v>
      </c>
      <c r="DF32" s="176">
        <v>0</v>
      </c>
      <c r="DG32" s="175">
        <v>20</v>
      </c>
      <c r="DH32" s="173">
        <v>20</v>
      </c>
      <c r="DI32" s="184">
        <v>10</v>
      </c>
      <c r="DJ32" s="175">
        <v>10</v>
      </c>
      <c r="DK32" s="175">
        <v>10</v>
      </c>
      <c r="DL32" s="173">
        <v>10</v>
      </c>
      <c r="DM32" s="184">
        <v>20</v>
      </c>
      <c r="DN32" s="175">
        <v>10</v>
      </c>
      <c r="DO32" s="175">
        <v>10</v>
      </c>
      <c r="DP32" s="175">
        <v>10</v>
      </c>
      <c r="DQ32" s="173">
        <v>10</v>
      </c>
      <c r="DR32" s="184">
        <v>20</v>
      </c>
      <c r="DS32" s="175">
        <v>20</v>
      </c>
      <c r="DT32" s="175">
        <v>0</v>
      </c>
      <c r="DU32" s="173">
        <v>0</v>
      </c>
      <c r="DV32" s="220">
        <v>50</v>
      </c>
      <c r="DW32" s="175">
        <v>30</v>
      </c>
      <c r="DX32" s="175">
        <v>30</v>
      </c>
      <c r="DY32" s="173">
        <v>0</v>
      </c>
      <c r="DZ32" s="184">
        <v>20</v>
      </c>
      <c r="EA32" s="175">
        <v>20</v>
      </c>
      <c r="EB32" s="175">
        <v>10</v>
      </c>
      <c r="EC32" s="218">
        <v>0</v>
      </c>
      <c r="ED32" s="239">
        <v>0</v>
      </c>
      <c r="EE32" s="184"/>
      <c r="EF32" s="175"/>
      <c r="EG32" s="218"/>
      <c r="EH32" s="239"/>
      <c r="EI32" s="184"/>
      <c r="EJ32" s="175"/>
      <c r="EK32" s="175"/>
      <c r="EL32" s="173"/>
      <c r="EM32" s="184"/>
      <c r="EN32" s="175"/>
      <c r="EO32" s="175"/>
      <c r="EP32" s="173"/>
      <c r="EQ32" s="184"/>
      <c r="ER32" s="175"/>
      <c r="ES32" s="175"/>
      <c r="ET32" s="173"/>
    </row>
    <row r="33" spans="1:150" s="25" customFormat="1" ht="27.75" customHeight="1" thickBot="1">
      <c r="A33" s="26" t="s">
        <v>12</v>
      </c>
      <c r="B33" s="31"/>
      <c r="C33" s="642"/>
      <c r="D33" s="179"/>
      <c r="E33" s="180"/>
      <c r="F33" s="181"/>
      <c r="G33" s="120" t="s">
        <v>18</v>
      </c>
      <c r="H33" s="121">
        <v>0</v>
      </c>
      <c r="I33" s="122">
        <f t="shared" ref="I33" si="785">H33+I32</f>
        <v>0</v>
      </c>
      <c r="J33" s="122">
        <f t="shared" ref="J33" si="786">I33+J32</f>
        <v>0</v>
      </c>
      <c r="K33" s="122">
        <f t="shared" ref="K33" si="787">J33+K32</f>
        <v>0</v>
      </c>
      <c r="L33" s="122">
        <f t="shared" ref="L33" si="788">K33+L32</f>
        <v>0</v>
      </c>
      <c r="M33" s="123">
        <f t="shared" ref="M33" si="789">L33+M32</f>
        <v>0</v>
      </c>
      <c r="N33" s="122">
        <f t="shared" ref="N33" si="790">M33+N32</f>
        <v>0</v>
      </c>
      <c r="O33" s="123">
        <f t="shared" ref="O33" si="791">N33+O32</f>
        <v>0</v>
      </c>
      <c r="P33" s="123">
        <f t="shared" ref="P33" si="792">O33+P32</f>
        <v>0</v>
      </c>
      <c r="Q33" s="123">
        <f t="shared" ref="Q33" si="793">P33+Q32</f>
        <v>0</v>
      </c>
      <c r="R33" s="122">
        <f t="shared" ref="R33:U33" si="794">Q33+R32</f>
        <v>0</v>
      </c>
      <c r="S33" s="122">
        <f t="shared" si="794"/>
        <v>0</v>
      </c>
      <c r="T33" s="123">
        <f t="shared" si="794"/>
        <v>40</v>
      </c>
      <c r="U33" s="123">
        <f t="shared" si="794"/>
        <v>150</v>
      </c>
      <c r="V33" s="123">
        <f t="shared" ref="V33:W33" si="795">U33+V32</f>
        <v>220</v>
      </c>
      <c r="W33" s="123">
        <f t="shared" si="795"/>
        <v>260</v>
      </c>
      <c r="X33" s="123">
        <f t="shared" ref="X33" si="796">W33+X32</f>
        <v>330</v>
      </c>
      <c r="Y33" s="123">
        <f t="shared" ref="Y33:AB33" si="797">X33+Y32</f>
        <v>400</v>
      </c>
      <c r="Z33" s="123">
        <f t="shared" si="797"/>
        <v>440</v>
      </c>
      <c r="AA33" s="123">
        <f t="shared" si="797"/>
        <v>500</v>
      </c>
      <c r="AB33" s="123">
        <f t="shared" si="797"/>
        <v>540</v>
      </c>
      <c r="AC33" s="227">
        <f t="shared" ref="AC33:AH33" si="798">AB33+AC32</f>
        <v>650</v>
      </c>
      <c r="AD33" s="136">
        <f t="shared" si="798"/>
        <v>700</v>
      </c>
      <c r="AE33" s="145">
        <f t="shared" si="798"/>
        <v>700</v>
      </c>
      <c r="AF33" s="137">
        <f t="shared" si="798"/>
        <v>700</v>
      </c>
      <c r="AG33" s="137">
        <f t="shared" si="798"/>
        <v>700</v>
      </c>
      <c r="AH33" s="146">
        <f t="shared" si="798"/>
        <v>700</v>
      </c>
      <c r="AI33" s="124">
        <v>0</v>
      </c>
      <c r="AJ33" s="124">
        <f t="shared" ref="AJ33" si="799">AI33+AJ32</f>
        <v>0</v>
      </c>
      <c r="AK33" s="124">
        <f t="shared" ref="AK33" si="800">AJ33+AK32</f>
        <v>0</v>
      </c>
      <c r="AL33" s="126">
        <f t="shared" ref="AL33" si="801">AK33+AL32</f>
        <v>0</v>
      </c>
      <c r="AM33" s="124">
        <f t="shared" ref="AM33" si="802">AL33+AM32</f>
        <v>0</v>
      </c>
      <c r="AN33" s="124">
        <f t="shared" ref="AN33" si="803">AM33+AN32</f>
        <v>0</v>
      </c>
      <c r="AO33" s="124">
        <f t="shared" ref="AO33" si="804">AN33+AO32</f>
        <v>0</v>
      </c>
      <c r="AP33" s="133">
        <f t="shared" ref="AP33" si="805">AO33+AP32</f>
        <v>0</v>
      </c>
      <c r="AQ33" s="124">
        <f>AP33+AQ32</f>
        <v>0</v>
      </c>
      <c r="AR33" s="124">
        <f t="shared" ref="AR33" si="806">AQ33+AR32</f>
        <v>0</v>
      </c>
      <c r="AS33" s="124">
        <f t="shared" ref="AS33" si="807">AR33+AS32</f>
        <v>0</v>
      </c>
      <c r="AT33" s="125">
        <f t="shared" ref="AT33" si="808">AS33+AT32</f>
        <v>0</v>
      </c>
      <c r="AU33" s="134">
        <f>AT33+AU32</f>
        <v>0</v>
      </c>
      <c r="AV33" s="124">
        <f t="shared" ref="AV33" si="809">AU33+AV32</f>
        <v>0</v>
      </c>
      <c r="AW33" s="124">
        <f t="shared" ref="AW33" si="810">AV33+AW32</f>
        <v>0</v>
      </c>
      <c r="AX33" s="124">
        <f t="shared" ref="AX33" si="811">AW33+AX32</f>
        <v>0</v>
      </c>
      <c r="AY33" s="125">
        <f t="shared" ref="AY33" si="812">AX33+AY32</f>
        <v>0</v>
      </c>
      <c r="AZ33" s="121">
        <f>AY33+AZ32</f>
        <v>0</v>
      </c>
      <c r="BA33" s="124">
        <f t="shared" ref="BA33" si="813">AZ33+BA32</f>
        <v>0</v>
      </c>
      <c r="BB33" s="124">
        <f t="shared" ref="BB33" si="814">BA33+BB32</f>
        <v>0</v>
      </c>
      <c r="BC33" s="125">
        <f t="shared" ref="BC33" si="815">BB33+BC32</f>
        <v>0</v>
      </c>
      <c r="BD33" s="121">
        <f t="shared" ref="BD33" si="816">BC33+BD32</f>
        <v>0</v>
      </c>
      <c r="BE33" s="124">
        <f t="shared" ref="BE33" si="817">BD33+BE32</f>
        <v>0</v>
      </c>
      <c r="BF33" s="124">
        <f t="shared" ref="BF33" si="818">BE33+BF32</f>
        <v>0</v>
      </c>
      <c r="BG33" s="124">
        <f t="shared" ref="BG33" si="819">BF33+BG32</f>
        <v>0</v>
      </c>
      <c r="BH33" s="125">
        <f t="shared" ref="BH33" si="820">BG33+BH32</f>
        <v>0</v>
      </c>
      <c r="BI33" s="121">
        <f>BH33+BI32</f>
        <v>0</v>
      </c>
      <c r="BJ33" s="124">
        <f t="shared" ref="BJ33" si="821">BI33+BJ32</f>
        <v>0</v>
      </c>
      <c r="BK33" s="124">
        <f t="shared" ref="BK33" si="822">BJ33+BK32</f>
        <v>0</v>
      </c>
      <c r="BL33" s="125">
        <f t="shared" ref="BL33" si="823">BK33+BL32</f>
        <v>0</v>
      </c>
      <c r="BM33" s="121">
        <f t="shared" ref="BM33" si="824">BL33+BM32</f>
        <v>0</v>
      </c>
      <c r="BN33" s="124">
        <f t="shared" ref="BN33" si="825">BM33+BN32</f>
        <v>0</v>
      </c>
      <c r="BO33" s="124">
        <f t="shared" ref="BO33" si="826">BN33+BO32</f>
        <v>0</v>
      </c>
      <c r="BP33" s="125">
        <f t="shared" ref="BP33" si="827">BO33+BP32</f>
        <v>0</v>
      </c>
      <c r="BQ33" s="121">
        <f>BP33+BQ32</f>
        <v>0</v>
      </c>
      <c r="BR33" s="124">
        <f t="shared" ref="BR33" si="828">BQ33+BR32</f>
        <v>0</v>
      </c>
      <c r="BS33" s="124">
        <f t="shared" ref="BS33" si="829">BR33+BS32</f>
        <v>0</v>
      </c>
      <c r="BT33" s="124">
        <f t="shared" ref="BT33" si="830">BS33+BT32</f>
        <v>0</v>
      </c>
      <c r="BU33" s="126">
        <f t="shared" ref="BU33" si="831">BT33+BU32</f>
        <v>0</v>
      </c>
      <c r="BV33" s="121">
        <f t="shared" ref="BV33" si="832">BU33+BV32</f>
        <v>0</v>
      </c>
      <c r="BW33" s="124">
        <f t="shared" ref="BW33" si="833">BV33+BW32</f>
        <v>0</v>
      </c>
      <c r="BX33" s="124">
        <f t="shared" ref="BX33" si="834">BW33+BX32</f>
        <v>0</v>
      </c>
      <c r="BY33" s="133">
        <f t="shared" ref="BY33" si="835">BX33+BY32</f>
        <v>0</v>
      </c>
      <c r="BZ33" s="121">
        <f>BY33+BZ32</f>
        <v>0</v>
      </c>
      <c r="CA33" s="124">
        <f t="shared" ref="CA33" si="836">BZ33+CA32</f>
        <v>0</v>
      </c>
      <c r="CB33" s="124">
        <f t="shared" ref="CB33" si="837">CA33+CB32</f>
        <v>0</v>
      </c>
      <c r="CC33" s="124">
        <f t="shared" ref="CC33" si="838">CB33+CC32</f>
        <v>0</v>
      </c>
      <c r="CD33" s="126">
        <f t="shared" ref="CD33" si="839">CC33+CD32</f>
        <v>0</v>
      </c>
      <c r="CE33" s="127">
        <f t="shared" ref="CE33" si="840">CD33+CE32</f>
        <v>0</v>
      </c>
      <c r="CF33" s="128">
        <f t="shared" ref="CF33" si="841">CE33+CF32</f>
        <v>0</v>
      </c>
      <c r="CG33" s="128">
        <f t="shared" ref="CG33" si="842">CF33+CG32</f>
        <v>0</v>
      </c>
      <c r="CH33" s="129">
        <f t="shared" ref="CH33" si="843">CG33+CH32</f>
        <v>0</v>
      </c>
      <c r="CI33" s="127">
        <f t="shared" ref="CI33" si="844">CH33+CI32</f>
        <v>0</v>
      </c>
      <c r="CJ33" s="128">
        <f t="shared" ref="CJ33" si="845">CI33+CJ32</f>
        <v>40</v>
      </c>
      <c r="CK33" s="128">
        <f t="shared" ref="CK33" si="846">CJ33+CK32</f>
        <v>40</v>
      </c>
      <c r="CL33" s="129">
        <f t="shared" ref="CL33" si="847">CK33+CL32</f>
        <v>40</v>
      </c>
      <c r="CM33" s="127">
        <f t="shared" ref="CM33" si="848">CL33+CM32</f>
        <v>70</v>
      </c>
      <c r="CN33" s="128">
        <f t="shared" ref="CN33" si="849">CM33+CN32</f>
        <v>100</v>
      </c>
      <c r="CO33" s="128">
        <f t="shared" ref="CO33" si="850">CN33+CO32</f>
        <v>130</v>
      </c>
      <c r="CP33" s="129">
        <f t="shared" ref="CP33" si="851">CO33+CP32</f>
        <v>150</v>
      </c>
      <c r="CQ33" s="127">
        <f t="shared" ref="CQ33" si="852">CP33+CQ32</f>
        <v>170</v>
      </c>
      <c r="CR33" s="128">
        <f t="shared" ref="CR33" si="853">CQ33+CR32</f>
        <v>190</v>
      </c>
      <c r="CS33" s="128">
        <f t="shared" ref="CS33" si="854">CR33+CS32</f>
        <v>210</v>
      </c>
      <c r="CT33" s="128">
        <f t="shared" ref="CT33" si="855">CS33+CT32</f>
        <v>210</v>
      </c>
      <c r="CU33" s="129">
        <f t="shared" ref="CU33" si="856">CT33+CU32</f>
        <v>220</v>
      </c>
      <c r="CV33" s="127">
        <f t="shared" ref="CV33" si="857">CU33+CV32</f>
        <v>230</v>
      </c>
      <c r="CW33" s="128">
        <f t="shared" ref="CW33" si="858">CV33+CW32</f>
        <v>240</v>
      </c>
      <c r="CX33" s="128">
        <f t="shared" ref="CX33" si="859">CW33+CX32</f>
        <v>250</v>
      </c>
      <c r="CY33" s="129">
        <f t="shared" ref="CY33" si="860">CX33+CY32</f>
        <v>260</v>
      </c>
      <c r="CZ33" s="127">
        <f t="shared" ref="CZ33" si="861">CY33+CZ32</f>
        <v>280</v>
      </c>
      <c r="DA33" s="128">
        <f t="shared" ref="DA33" si="862">CZ33+DA32</f>
        <v>300</v>
      </c>
      <c r="DB33" s="128">
        <f t="shared" ref="DB33" si="863">DA33+DB32</f>
        <v>320</v>
      </c>
      <c r="DC33" s="129">
        <f t="shared" ref="DC33" si="864">DB33+DC32</f>
        <v>330</v>
      </c>
      <c r="DD33" s="127">
        <f t="shared" ref="DD33" si="865">DC33+DD32</f>
        <v>340</v>
      </c>
      <c r="DE33" s="128">
        <f t="shared" ref="DE33" si="866">DD33+DE32</f>
        <v>360</v>
      </c>
      <c r="DF33" s="128">
        <f t="shared" ref="DF33" si="867">DE33+DF32</f>
        <v>360</v>
      </c>
      <c r="DG33" s="140">
        <f t="shared" ref="DG33:DH33" si="868">DF33+DG32</f>
        <v>380</v>
      </c>
      <c r="DH33" s="130">
        <f t="shared" si="868"/>
        <v>400</v>
      </c>
      <c r="DI33" s="127">
        <f t="shared" ref="DI33" si="869">DH33+DI32</f>
        <v>410</v>
      </c>
      <c r="DJ33" s="128">
        <f t="shared" ref="DJ33" si="870">DI33+DJ32</f>
        <v>420</v>
      </c>
      <c r="DK33" s="128">
        <f t="shared" ref="DK33" si="871">DJ33+DK32</f>
        <v>430</v>
      </c>
      <c r="DL33" s="129">
        <f t="shared" ref="DL33" si="872">DK33+DL32</f>
        <v>440</v>
      </c>
      <c r="DM33" s="127">
        <f t="shared" ref="DM33" si="873">DL33+DM32</f>
        <v>460</v>
      </c>
      <c r="DN33" s="128">
        <f t="shared" ref="DN33" si="874">DM33+DN32</f>
        <v>470</v>
      </c>
      <c r="DO33" s="128">
        <f t="shared" ref="DO33" si="875">DN33+DO32</f>
        <v>480</v>
      </c>
      <c r="DP33" s="140">
        <f>DO33+DP32</f>
        <v>490</v>
      </c>
      <c r="DQ33" s="130">
        <f>DP33+DQ32</f>
        <v>500</v>
      </c>
      <c r="DR33" s="127">
        <f>DQ33+DR32</f>
        <v>520</v>
      </c>
      <c r="DS33" s="128">
        <f t="shared" ref="DS33" si="876">DR33+DS32</f>
        <v>540</v>
      </c>
      <c r="DT33" s="128">
        <f t="shared" ref="DT33" si="877">DS33+DT32</f>
        <v>540</v>
      </c>
      <c r="DU33" s="140">
        <f t="shared" ref="DU33" si="878">DT33+DU32</f>
        <v>540</v>
      </c>
      <c r="DV33" s="135">
        <f t="shared" ref="DV33" si="879">DU33+DV32</f>
        <v>590</v>
      </c>
      <c r="DW33" s="128">
        <f t="shared" ref="DW33" si="880">DV33+DW32</f>
        <v>620</v>
      </c>
      <c r="DX33" s="128">
        <f t="shared" ref="DX33" si="881">DW33+DX32</f>
        <v>650</v>
      </c>
      <c r="DY33" s="129">
        <f t="shared" ref="DY33" si="882">DX33+DY32</f>
        <v>650</v>
      </c>
      <c r="DZ33" s="127">
        <f t="shared" ref="DZ33" si="883">DY33+DZ32</f>
        <v>670</v>
      </c>
      <c r="EA33" s="128">
        <f t="shared" ref="EA33" si="884">DZ33+EA32</f>
        <v>690</v>
      </c>
      <c r="EB33" s="128">
        <f t="shared" ref="EB33" si="885">EA33+EB32</f>
        <v>700</v>
      </c>
      <c r="EC33" s="139">
        <f t="shared" ref="EC33:ED33" si="886">EB33+EC32</f>
        <v>700</v>
      </c>
      <c r="ED33" s="129">
        <f t="shared" si="886"/>
        <v>700</v>
      </c>
      <c r="EE33" s="128">
        <f t="shared" ref="EE33" si="887">ED33+EE32</f>
        <v>700</v>
      </c>
      <c r="EF33" s="128">
        <f t="shared" ref="EF33" si="888">EE33+EF32</f>
        <v>700</v>
      </c>
      <c r="EG33" s="139">
        <f t="shared" ref="EG33" si="889">EF33+EG32</f>
        <v>700</v>
      </c>
      <c r="EH33" s="129">
        <f t="shared" ref="EH33" si="890">EG33+EH32</f>
        <v>700</v>
      </c>
      <c r="EI33" s="128">
        <f t="shared" ref="EI33" si="891">EH33+EI32</f>
        <v>700</v>
      </c>
      <c r="EJ33" s="128">
        <f t="shared" ref="EJ33" si="892">EI33+EJ32</f>
        <v>700</v>
      </c>
      <c r="EK33" s="128">
        <f t="shared" ref="EK33" si="893">EJ33+EK32</f>
        <v>700</v>
      </c>
      <c r="EL33" s="129">
        <f t="shared" ref="EL33" si="894">EK33+EL32</f>
        <v>700</v>
      </c>
      <c r="EM33" s="127">
        <f t="shared" ref="EM33" si="895">EL33+EM32</f>
        <v>700</v>
      </c>
      <c r="EN33" s="128">
        <f t="shared" ref="EN33" si="896">EM33+EN32</f>
        <v>700</v>
      </c>
      <c r="EO33" s="128">
        <f t="shared" ref="EO33" si="897">EN33+EO32</f>
        <v>700</v>
      </c>
      <c r="EP33" s="129">
        <f t="shared" ref="EP33" si="898">EO33+EP32</f>
        <v>700</v>
      </c>
      <c r="EQ33" s="127">
        <f t="shared" ref="EQ33" si="899">EP33+EQ32</f>
        <v>700</v>
      </c>
      <c r="ER33" s="128">
        <f t="shared" ref="ER33" si="900">EQ33+ER32</f>
        <v>700</v>
      </c>
      <c r="ES33" s="128">
        <f t="shared" ref="ES33" si="901">ER33+ES32</f>
        <v>700</v>
      </c>
      <c r="ET33" s="129">
        <f t="shared" ref="ET33" si="902">ES33+ET32</f>
        <v>700</v>
      </c>
    </row>
    <row r="34" spans="1:150" s="25" customFormat="1" ht="27.75" customHeight="1">
      <c r="A34" s="26" t="s">
        <v>12</v>
      </c>
      <c r="B34" s="31"/>
      <c r="C34" s="643">
        <v>8</v>
      </c>
      <c r="D34" s="213" t="s">
        <v>115</v>
      </c>
      <c r="E34" s="177" t="s">
        <v>32</v>
      </c>
      <c r="F34" s="178" t="s">
        <v>127</v>
      </c>
      <c r="G34" s="114" t="s">
        <v>17</v>
      </c>
      <c r="H34" s="119">
        <v>0</v>
      </c>
      <c r="I34" s="117">
        <v>0</v>
      </c>
      <c r="J34" s="117">
        <v>0</v>
      </c>
      <c r="K34" s="117">
        <v>0</v>
      </c>
      <c r="L34" s="117">
        <v>0</v>
      </c>
      <c r="M34" s="117">
        <v>0</v>
      </c>
      <c r="N34" s="117">
        <v>0</v>
      </c>
      <c r="O34" s="118">
        <v>0</v>
      </c>
      <c r="P34" s="118">
        <v>0</v>
      </c>
      <c r="Q34" s="118">
        <v>0</v>
      </c>
      <c r="R34" s="117">
        <v>0</v>
      </c>
      <c r="S34" s="163">
        <v>0</v>
      </c>
      <c r="T34" s="164">
        <v>90</v>
      </c>
      <c r="U34" s="164">
        <v>500</v>
      </c>
      <c r="V34" s="164">
        <v>610</v>
      </c>
      <c r="W34" s="164">
        <v>540</v>
      </c>
      <c r="X34" s="164">
        <v>760</v>
      </c>
      <c r="Y34" s="164">
        <v>530</v>
      </c>
      <c r="Z34" s="164">
        <v>830</v>
      </c>
      <c r="AA34" s="164">
        <f>SUBTOTAL(9,DM34:DQ34)</f>
        <v>770</v>
      </c>
      <c r="AB34" s="164">
        <f>SUBTOTAL(9,DR34:DU34)</f>
        <v>780</v>
      </c>
      <c r="AC34" s="164">
        <f>SUBTOTAL(9,DV34:DY34)</f>
        <v>680</v>
      </c>
      <c r="AD34" s="218">
        <f>SUBTOTAL(9,DZ34:ED34)</f>
        <v>640</v>
      </c>
      <c r="AE34" s="218">
        <f>SUBTOTAL(9,EE34:EH34)</f>
        <v>0</v>
      </c>
      <c r="AF34" s="218">
        <f>SUBTOTAL(9,EI34:EL34)</f>
        <v>0</v>
      </c>
      <c r="AG34" s="218">
        <f>SUBTOTAL(9,EM34:EP34)</f>
        <v>0</v>
      </c>
      <c r="AH34" s="218">
        <f>SUBTOTAL(9,EQ34:ET34)</f>
        <v>0</v>
      </c>
      <c r="AI34" s="166">
        <v>0</v>
      </c>
      <c r="AJ34" s="166">
        <v>0</v>
      </c>
      <c r="AK34" s="166">
        <v>0</v>
      </c>
      <c r="AL34" s="165">
        <v>0</v>
      </c>
      <c r="AM34" s="167">
        <v>0</v>
      </c>
      <c r="AN34" s="166">
        <v>0</v>
      </c>
      <c r="AO34" s="166">
        <v>0</v>
      </c>
      <c r="AP34" s="168">
        <v>0</v>
      </c>
      <c r="AQ34" s="166">
        <v>0</v>
      </c>
      <c r="AR34" s="166">
        <v>0</v>
      </c>
      <c r="AS34" s="166">
        <v>0</v>
      </c>
      <c r="AT34" s="169">
        <v>0</v>
      </c>
      <c r="AU34" s="170">
        <v>0</v>
      </c>
      <c r="AV34" s="166">
        <v>0</v>
      </c>
      <c r="AW34" s="166">
        <v>0</v>
      </c>
      <c r="AX34" s="166">
        <v>0</v>
      </c>
      <c r="AY34" s="169">
        <v>0</v>
      </c>
      <c r="AZ34" s="167">
        <v>0</v>
      </c>
      <c r="BA34" s="166">
        <v>0</v>
      </c>
      <c r="BB34" s="166">
        <v>0</v>
      </c>
      <c r="BC34" s="169">
        <v>0</v>
      </c>
      <c r="BD34" s="171">
        <v>0</v>
      </c>
      <c r="BE34" s="166">
        <v>0</v>
      </c>
      <c r="BF34" s="172">
        <v>0</v>
      </c>
      <c r="BG34" s="166">
        <v>0</v>
      </c>
      <c r="BH34" s="169">
        <v>0</v>
      </c>
      <c r="BI34" s="171">
        <v>0</v>
      </c>
      <c r="BJ34" s="166">
        <v>0</v>
      </c>
      <c r="BK34" s="166">
        <v>0</v>
      </c>
      <c r="BL34" s="169">
        <v>0</v>
      </c>
      <c r="BM34" s="171">
        <v>0</v>
      </c>
      <c r="BN34" s="166">
        <v>0</v>
      </c>
      <c r="BO34" s="166">
        <v>0</v>
      </c>
      <c r="BP34" s="169">
        <v>0</v>
      </c>
      <c r="BQ34" s="167">
        <v>0</v>
      </c>
      <c r="BR34" s="166">
        <v>0</v>
      </c>
      <c r="BS34" s="166">
        <v>0</v>
      </c>
      <c r="BT34" s="169">
        <v>0</v>
      </c>
      <c r="BU34" s="173">
        <v>0</v>
      </c>
      <c r="BV34" s="171">
        <v>0</v>
      </c>
      <c r="BW34" s="166">
        <v>0</v>
      </c>
      <c r="BX34" s="166">
        <v>0</v>
      </c>
      <c r="BY34" s="168">
        <v>0</v>
      </c>
      <c r="BZ34" s="167">
        <v>0</v>
      </c>
      <c r="CA34" s="166">
        <v>0</v>
      </c>
      <c r="CB34" s="166">
        <v>0</v>
      </c>
      <c r="CC34" s="174">
        <v>0</v>
      </c>
      <c r="CD34" s="173">
        <v>0</v>
      </c>
      <c r="CE34" s="182">
        <v>0</v>
      </c>
      <c r="CF34" s="183">
        <v>0</v>
      </c>
      <c r="CG34" s="175">
        <v>0</v>
      </c>
      <c r="CH34" s="173">
        <v>0</v>
      </c>
      <c r="CI34" s="184">
        <v>0</v>
      </c>
      <c r="CJ34" s="175">
        <v>30</v>
      </c>
      <c r="CK34" s="175">
        <v>30</v>
      </c>
      <c r="CL34" s="173">
        <v>30</v>
      </c>
      <c r="CM34" s="184">
        <v>120</v>
      </c>
      <c r="CN34" s="175">
        <v>120</v>
      </c>
      <c r="CO34" s="175">
        <v>130</v>
      </c>
      <c r="CP34" s="173">
        <v>130</v>
      </c>
      <c r="CQ34" s="184">
        <v>150</v>
      </c>
      <c r="CR34" s="175">
        <v>150</v>
      </c>
      <c r="CS34" s="175">
        <v>150</v>
      </c>
      <c r="CT34" s="176">
        <v>0</v>
      </c>
      <c r="CU34" s="173">
        <v>160</v>
      </c>
      <c r="CV34" s="184">
        <v>140</v>
      </c>
      <c r="CW34" s="175">
        <v>130</v>
      </c>
      <c r="CX34" s="175">
        <v>130</v>
      </c>
      <c r="CY34" s="173">
        <v>140</v>
      </c>
      <c r="CZ34" s="184">
        <v>190</v>
      </c>
      <c r="DA34" s="175">
        <v>190</v>
      </c>
      <c r="DB34" s="175">
        <v>190</v>
      </c>
      <c r="DC34" s="173">
        <v>190</v>
      </c>
      <c r="DD34" s="184">
        <v>130</v>
      </c>
      <c r="DE34" s="175">
        <v>130</v>
      </c>
      <c r="DF34" s="176">
        <v>0</v>
      </c>
      <c r="DG34" s="175">
        <v>140</v>
      </c>
      <c r="DH34" s="173">
        <v>130</v>
      </c>
      <c r="DI34" s="184">
        <v>210</v>
      </c>
      <c r="DJ34" s="175">
        <v>210</v>
      </c>
      <c r="DK34" s="175">
        <v>210</v>
      </c>
      <c r="DL34" s="173">
        <v>200</v>
      </c>
      <c r="DM34" s="184">
        <v>160</v>
      </c>
      <c r="DN34" s="175">
        <v>160</v>
      </c>
      <c r="DO34" s="175">
        <v>150</v>
      </c>
      <c r="DP34" s="175">
        <v>150</v>
      </c>
      <c r="DQ34" s="173">
        <v>150</v>
      </c>
      <c r="DR34" s="184">
        <v>200</v>
      </c>
      <c r="DS34" s="175">
        <v>200</v>
      </c>
      <c r="DT34" s="175">
        <v>190</v>
      </c>
      <c r="DU34" s="173">
        <v>190</v>
      </c>
      <c r="DV34" s="171">
        <v>180</v>
      </c>
      <c r="DW34" s="175">
        <v>180</v>
      </c>
      <c r="DX34" s="175">
        <v>180</v>
      </c>
      <c r="DY34" s="173">
        <v>140</v>
      </c>
      <c r="DZ34" s="184">
        <v>150</v>
      </c>
      <c r="EA34" s="175">
        <v>150</v>
      </c>
      <c r="EB34" s="175">
        <v>150</v>
      </c>
      <c r="EC34" s="218">
        <v>95</v>
      </c>
      <c r="ED34" s="239">
        <v>95</v>
      </c>
      <c r="EE34" s="184"/>
      <c r="EF34" s="175"/>
      <c r="EG34" s="218"/>
      <c r="EH34" s="239"/>
      <c r="EI34" s="184"/>
      <c r="EJ34" s="175"/>
      <c r="EK34" s="175"/>
      <c r="EL34" s="173"/>
      <c r="EM34" s="184"/>
      <c r="EN34" s="175"/>
      <c r="EO34" s="175"/>
      <c r="EP34" s="173"/>
      <c r="EQ34" s="184"/>
      <c r="ER34" s="175"/>
      <c r="ES34" s="175"/>
      <c r="ET34" s="173"/>
    </row>
    <row r="35" spans="1:150" s="25" customFormat="1" ht="27.75" customHeight="1" thickBot="1">
      <c r="A35" s="26" t="s">
        <v>12</v>
      </c>
      <c r="B35" s="31"/>
      <c r="C35" s="644"/>
      <c r="D35" s="179"/>
      <c r="E35" s="180"/>
      <c r="F35" s="181"/>
      <c r="G35" s="120" t="s">
        <v>18</v>
      </c>
      <c r="H35" s="121">
        <v>0</v>
      </c>
      <c r="I35" s="122">
        <f t="shared" ref="I35" si="903">H35+I34</f>
        <v>0</v>
      </c>
      <c r="J35" s="122">
        <f t="shared" ref="J35" si="904">I35+J34</f>
        <v>0</v>
      </c>
      <c r="K35" s="122">
        <f t="shared" ref="K35" si="905">J35+K34</f>
        <v>0</v>
      </c>
      <c r="L35" s="122">
        <f t="shared" ref="L35" si="906">K35+L34</f>
        <v>0</v>
      </c>
      <c r="M35" s="123">
        <f t="shared" ref="M35" si="907">L35+M34</f>
        <v>0</v>
      </c>
      <c r="N35" s="122">
        <f t="shared" ref="N35" si="908">M35+N34</f>
        <v>0</v>
      </c>
      <c r="O35" s="123">
        <f t="shared" ref="O35" si="909">N35+O34</f>
        <v>0</v>
      </c>
      <c r="P35" s="123">
        <f t="shared" ref="P35" si="910">O35+P34</f>
        <v>0</v>
      </c>
      <c r="Q35" s="123">
        <f t="shared" ref="Q35" si="911">P35+Q34</f>
        <v>0</v>
      </c>
      <c r="R35" s="122">
        <f t="shared" ref="R35:U35" si="912">Q35+R34</f>
        <v>0</v>
      </c>
      <c r="S35" s="122">
        <f t="shared" si="912"/>
        <v>0</v>
      </c>
      <c r="T35" s="123">
        <f t="shared" si="912"/>
        <v>90</v>
      </c>
      <c r="U35" s="123">
        <f t="shared" si="912"/>
        <v>590</v>
      </c>
      <c r="V35" s="123">
        <f t="shared" ref="V35:W35" si="913">U35+V34</f>
        <v>1200</v>
      </c>
      <c r="W35" s="123">
        <f t="shared" si="913"/>
        <v>1740</v>
      </c>
      <c r="X35" s="123">
        <f t="shared" ref="X35" si="914">W35+X34</f>
        <v>2500</v>
      </c>
      <c r="Y35" s="123">
        <f t="shared" ref="Y35:AB35" si="915">X35+Y34</f>
        <v>3030</v>
      </c>
      <c r="Z35" s="123">
        <f t="shared" si="915"/>
        <v>3860</v>
      </c>
      <c r="AA35" s="123">
        <f t="shared" si="915"/>
        <v>4630</v>
      </c>
      <c r="AB35" s="123">
        <f t="shared" si="915"/>
        <v>5410</v>
      </c>
      <c r="AC35" s="138">
        <f t="shared" ref="AC35:AH35" si="916">AB35+AC34</f>
        <v>6090</v>
      </c>
      <c r="AD35" s="139">
        <f t="shared" si="916"/>
        <v>6730</v>
      </c>
      <c r="AE35" s="140">
        <f t="shared" si="916"/>
        <v>6730</v>
      </c>
      <c r="AF35" s="138">
        <f t="shared" si="916"/>
        <v>6730</v>
      </c>
      <c r="AG35" s="138">
        <f t="shared" si="916"/>
        <v>6730</v>
      </c>
      <c r="AH35" s="139">
        <f t="shared" si="916"/>
        <v>6730</v>
      </c>
      <c r="AI35" s="124">
        <v>0</v>
      </c>
      <c r="AJ35" s="124">
        <f t="shared" ref="AJ35" si="917">AI35+AJ34</f>
        <v>0</v>
      </c>
      <c r="AK35" s="124">
        <f t="shared" ref="AK35" si="918">AJ35+AK34</f>
        <v>0</v>
      </c>
      <c r="AL35" s="126">
        <f t="shared" ref="AL35" si="919">AK35+AL34</f>
        <v>0</v>
      </c>
      <c r="AM35" s="124">
        <f t="shared" ref="AM35" si="920">AL35+AM34</f>
        <v>0</v>
      </c>
      <c r="AN35" s="124">
        <f t="shared" ref="AN35" si="921">AM35+AN34</f>
        <v>0</v>
      </c>
      <c r="AO35" s="124">
        <f t="shared" ref="AO35" si="922">AN35+AO34</f>
        <v>0</v>
      </c>
      <c r="AP35" s="133">
        <f t="shared" ref="AP35" si="923">AO35+AP34</f>
        <v>0</v>
      </c>
      <c r="AQ35" s="124">
        <f>AP35+AQ34</f>
        <v>0</v>
      </c>
      <c r="AR35" s="124">
        <f t="shared" ref="AR35" si="924">AQ35+AR34</f>
        <v>0</v>
      </c>
      <c r="AS35" s="124">
        <f t="shared" ref="AS35" si="925">AR35+AS34</f>
        <v>0</v>
      </c>
      <c r="AT35" s="125">
        <f t="shared" ref="AT35" si="926">AS35+AT34</f>
        <v>0</v>
      </c>
      <c r="AU35" s="134">
        <f>AT35+AU34</f>
        <v>0</v>
      </c>
      <c r="AV35" s="124">
        <f t="shared" ref="AV35" si="927">AU35+AV34</f>
        <v>0</v>
      </c>
      <c r="AW35" s="124">
        <f t="shared" ref="AW35" si="928">AV35+AW34</f>
        <v>0</v>
      </c>
      <c r="AX35" s="124">
        <f t="shared" ref="AX35" si="929">AW35+AX34</f>
        <v>0</v>
      </c>
      <c r="AY35" s="125">
        <f t="shared" ref="AY35" si="930">AX35+AY34</f>
        <v>0</v>
      </c>
      <c r="AZ35" s="121">
        <f>AY35+AZ34</f>
        <v>0</v>
      </c>
      <c r="BA35" s="124">
        <f t="shared" ref="BA35" si="931">AZ35+BA34</f>
        <v>0</v>
      </c>
      <c r="BB35" s="124">
        <f t="shared" ref="BB35" si="932">BA35+BB34</f>
        <v>0</v>
      </c>
      <c r="BC35" s="125">
        <f t="shared" ref="BC35" si="933">BB35+BC34</f>
        <v>0</v>
      </c>
      <c r="BD35" s="121">
        <f t="shared" ref="BD35" si="934">BC35+BD34</f>
        <v>0</v>
      </c>
      <c r="BE35" s="124">
        <f t="shared" ref="BE35" si="935">BD35+BE34</f>
        <v>0</v>
      </c>
      <c r="BF35" s="124">
        <f t="shared" ref="BF35" si="936">BE35+BF34</f>
        <v>0</v>
      </c>
      <c r="BG35" s="124">
        <f t="shared" ref="BG35" si="937">BF35+BG34</f>
        <v>0</v>
      </c>
      <c r="BH35" s="125">
        <f t="shared" ref="BH35" si="938">BG35+BH34</f>
        <v>0</v>
      </c>
      <c r="BI35" s="121">
        <f>BH35+BI34</f>
        <v>0</v>
      </c>
      <c r="BJ35" s="124">
        <f t="shared" ref="BJ35" si="939">BI35+BJ34</f>
        <v>0</v>
      </c>
      <c r="BK35" s="124">
        <f t="shared" ref="BK35" si="940">BJ35+BK34</f>
        <v>0</v>
      </c>
      <c r="BL35" s="125">
        <f t="shared" ref="BL35" si="941">BK35+BL34</f>
        <v>0</v>
      </c>
      <c r="BM35" s="121">
        <f t="shared" ref="BM35" si="942">BL35+BM34</f>
        <v>0</v>
      </c>
      <c r="BN35" s="124">
        <f t="shared" ref="BN35" si="943">BM35+BN34</f>
        <v>0</v>
      </c>
      <c r="BO35" s="124">
        <f t="shared" ref="BO35" si="944">BN35+BO34</f>
        <v>0</v>
      </c>
      <c r="BP35" s="125">
        <f t="shared" ref="BP35" si="945">BO35+BP34</f>
        <v>0</v>
      </c>
      <c r="BQ35" s="121">
        <f>BP35+BQ34</f>
        <v>0</v>
      </c>
      <c r="BR35" s="124">
        <f t="shared" ref="BR35" si="946">BQ35+BR34</f>
        <v>0</v>
      </c>
      <c r="BS35" s="124">
        <f t="shared" ref="BS35" si="947">BR35+BS34</f>
        <v>0</v>
      </c>
      <c r="BT35" s="124">
        <f t="shared" ref="BT35" si="948">BS35+BT34</f>
        <v>0</v>
      </c>
      <c r="BU35" s="126">
        <f t="shared" ref="BU35" si="949">BT35+BU34</f>
        <v>0</v>
      </c>
      <c r="BV35" s="121">
        <f t="shared" ref="BV35" si="950">BU35+BV34</f>
        <v>0</v>
      </c>
      <c r="BW35" s="124">
        <f t="shared" ref="BW35" si="951">BV35+BW34</f>
        <v>0</v>
      </c>
      <c r="BX35" s="124">
        <f t="shared" ref="BX35" si="952">BW35+BX34</f>
        <v>0</v>
      </c>
      <c r="BY35" s="133">
        <f t="shared" ref="BY35" si="953">BX35+BY34</f>
        <v>0</v>
      </c>
      <c r="BZ35" s="121">
        <f>BY35+BZ34</f>
        <v>0</v>
      </c>
      <c r="CA35" s="124">
        <f t="shared" ref="CA35" si="954">BZ35+CA34</f>
        <v>0</v>
      </c>
      <c r="CB35" s="124">
        <f t="shared" ref="CB35" si="955">CA35+CB34</f>
        <v>0</v>
      </c>
      <c r="CC35" s="124">
        <f t="shared" ref="CC35" si="956">CB35+CC34</f>
        <v>0</v>
      </c>
      <c r="CD35" s="126">
        <f t="shared" ref="CD35" si="957">CC35+CD34</f>
        <v>0</v>
      </c>
      <c r="CE35" s="127">
        <f t="shared" ref="CE35" si="958">CD35+CE34</f>
        <v>0</v>
      </c>
      <c r="CF35" s="128">
        <f t="shared" ref="CF35" si="959">CE35+CF34</f>
        <v>0</v>
      </c>
      <c r="CG35" s="128">
        <f t="shared" ref="CG35" si="960">CF35+CG34</f>
        <v>0</v>
      </c>
      <c r="CH35" s="129">
        <f t="shared" ref="CH35" si="961">CG35+CH34</f>
        <v>0</v>
      </c>
      <c r="CI35" s="127">
        <f t="shared" ref="CI35" si="962">CH35+CI34</f>
        <v>0</v>
      </c>
      <c r="CJ35" s="128">
        <f t="shared" ref="CJ35" si="963">CI35+CJ34</f>
        <v>30</v>
      </c>
      <c r="CK35" s="128">
        <f t="shared" ref="CK35" si="964">CJ35+CK34</f>
        <v>60</v>
      </c>
      <c r="CL35" s="129">
        <f t="shared" ref="CL35" si="965">CK35+CL34</f>
        <v>90</v>
      </c>
      <c r="CM35" s="127">
        <f t="shared" ref="CM35" si="966">CL35+CM34</f>
        <v>210</v>
      </c>
      <c r="CN35" s="128">
        <f t="shared" ref="CN35" si="967">CM35+CN34</f>
        <v>330</v>
      </c>
      <c r="CO35" s="128">
        <f t="shared" ref="CO35" si="968">CN35+CO34</f>
        <v>460</v>
      </c>
      <c r="CP35" s="129">
        <f t="shared" ref="CP35" si="969">CO35+CP34</f>
        <v>590</v>
      </c>
      <c r="CQ35" s="127">
        <f t="shared" ref="CQ35" si="970">CP35+CQ34</f>
        <v>740</v>
      </c>
      <c r="CR35" s="128">
        <f t="shared" ref="CR35" si="971">CQ35+CR34</f>
        <v>890</v>
      </c>
      <c r="CS35" s="128">
        <f t="shared" ref="CS35" si="972">CR35+CS34</f>
        <v>1040</v>
      </c>
      <c r="CT35" s="128">
        <f t="shared" ref="CT35" si="973">CS35+CT34</f>
        <v>1040</v>
      </c>
      <c r="CU35" s="129">
        <f t="shared" ref="CU35" si="974">CT35+CU34</f>
        <v>1200</v>
      </c>
      <c r="CV35" s="127">
        <f t="shared" ref="CV35" si="975">CU35+CV34</f>
        <v>1340</v>
      </c>
      <c r="CW35" s="128">
        <f t="shared" ref="CW35" si="976">CV35+CW34</f>
        <v>1470</v>
      </c>
      <c r="CX35" s="128">
        <f t="shared" ref="CX35" si="977">CW35+CX34</f>
        <v>1600</v>
      </c>
      <c r="CY35" s="129">
        <f t="shared" ref="CY35" si="978">CX35+CY34</f>
        <v>1740</v>
      </c>
      <c r="CZ35" s="127">
        <f t="shared" ref="CZ35" si="979">CY35+CZ34</f>
        <v>1930</v>
      </c>
      <c r="DA35" s="128">
        <f t="shared" ref="DA35" si="980">CZ35+DA34</f>
        <v>2120</v>
      </c>
      <c r="DB35" s="128">
        <f t="shared" ref="DB35" si="981">DA35+DB34</f>
        <v>2310</v>
      </c>
      <c r="DC35" s="129">
        <f t="shared" ref="DC35" si="982">DB35+DC34</f>
        <v>2500</v>
      </c>
      <c r="DD35" s="127">
        <f t="shared" ref="DD35" si="983">DC35+DD34</f>
        <v>2630</v>
      </c>
      <c r="DE35" s="128">
        <f t="shared" ref="DE35" si="984">DD35+DE34</f>
        <v>2760</v>
      </c>
      <c r="DF35" s="128">
        <f t="shared" ref="DF35" si="985">DE35+DF34</f>
        <v>2760</v>
      </c>
      <c r="DG35" s="140">
        <f t="shared" ref="DG35:DH35" si="986">DF35+DG34</f>
        <v>2900</v>
      </c>
      <c r="DH35" s="130">
        <f t="shared" si="986"/>
        <v>3030</v>
      </c>
      <c r="DI35" s="127">
        <f t="shared" ref="DI35" si="987">DH35+DI34</f>
        <v>3240</v>
      </c>
      <c r="DJ35" s="128">
        <f t="shared" ref="DJ35" si="988">DI35+DJ34</f>
        <v>3450</v>
      </c>
      <c r="DK35" s="128">
        <f t="shared" ref="DK35" si="989">DJ35+DK34</f>
        <v>3660</v>
      </c>
      <c r="DL35" s="129">
        <f t="shared" ref="DL35" si="990">DK35+DL34</f>
        <v>3860</v>
      </c>
      <c r="DM35" s="127">
        <f t="shared" ref="DM35" si="991">DL35+DM34</f>
        <v>4020</v>
      </c>
      <c r="DN35" s="128">
        <f t="shared" ref="DN35" si="992">DM35+DN34</f>
        <v>4180</v>
      </c>
      <c r="DO35" s="128">
        <f t="shared" ref="DO35" si="993">DN35+DO34</f>
        <v>4330</v>
      </c>
      <c r="DP35" s="140">
        <f>DO35+DP34</f>
        <v>4480</v>
      </c>
      <c r="DQ35" s="130">
        <f>DP35+DQ34</f>
        <v>4630</v>
      </c>
      <c r="DR35" s="127">
        <f>DQ35+DR34</f>
        <v>4830</v>
      </c>
      <c r="DS35" s="128">
        <f t="shared" ref="DS35" si="994">DR35+DS34</f>
        <v>5030</v>
      </c>
      <c r="DT35" s="128">
        <f t="shared" ref="DT35" si="995">DS35+DT34</f>
        <v>5220</v>
      </c>
      <c r="DU35" s="129">
        <f t="shared" ref="DU35" si="996">DT35+DU34</f>
        <v>5410</v>
      </c>
      <c r="DV35" s="127">
        <f t="shared" ref="DV35" si="997">DU35+DV34</f>
        <v>5590</v>
      </c>
      <c r="DW35" s="128">
        <f t="shared" ref="DW35" si="998">DV35+DW34</f>
        <v>5770</v>
      </c>
      <c r="DX35" s="128">
        <f t="shared" ref="DX35" si="999">DW35+DX34</f>
        <v>5950</v>
      </c>
      <c r="DY35" s="129">
        <f t="shared" ref="DY35" si="1000">DX35+DY34</f>
        <v>6090</v>
      </c>
      <c r="DZ35" s="127">
        <f t="shared" ref="DZ35" si="1001">DY35+DZ34</f>
        <v>6240</v>
      </c>
      <c r="EA35" s="128">
        <f t="shared" ref="EA35" si="1002">DZ35+EA34</f>
        <v>6390</v>
      </c>
      <c r="EB35" s="128">
        <f t="shared" ref="EB35" si="1003">EA35+EB34</f>
        <v>6540</v>
      </c>
      <c r="EC35" s="139">
        <f t="shared" ref="EC35:ED35" si="1004">EB35+EC34</f>
        <v>6635</v>
      </c>
      <c r="ED35" s="129">
        <f t="shared" si="1004"/>
        <v>6730</v>
      </c>
      <c r="EE35" s="128">
        <f t="shared" ref="EE35" si="1005">ED35+EE34</f>
        <v>6730</v>
      </c>
      <c r="EF35" s="128">
        <f t="shared" ref="EF35" si="1006">EE35+EF34</f>
        <v>6730</v>
      </c>
      <c r="EG35" s="139">
        <f t="shared" ref="EG35" si="1007">EF35+EG34</f>
        <v>6730</v>
      </c>
      <c r="EH35" s="129">
        <f t="shared" ref="EH35" si="1008">EG35+EH34</f>
        <v>6730</v>
      </c>
      <c r="EI35" s="128">
        <f t="shared" ref="EI35" si="1009">EH35+EI34</f>
        <v>6730</v>
      </c>
      <c r="EJ35" s="128">
        <f t="shared" ref="EJ35" si="1010">EI35+EJ34</f>
        <v>6730</v>
      </c>
      <c r="EK35" s="128">
        <f t="shared" ref="EK35" si="1011">EJ35+EK34</f>
        <v>6730</v>
      </c>
      <c r="EL35" s="129">
        <f t="shared" ref="EL35" si="1012">EK35+EL34</f>
        <v>6730</v>
      </c>
      <c r="EM35" s="127">
        <f t="shared" ref="EM35" si="1013">EL35+EM34</f>
        <v>6730</v>
      </c>
      <c r="EN35" s="128">
        <f t="shared" ref="EN35" si="1014">EM35+EN34</f>
        <v>6730</v>
      </c>
      <c r="EO35" s="128">
        <f t="shared" ref="EO35" si="1015">EN35+EO34</f>
        <v>6730</v>
      </c>
      <c r="EP35" s="129">
        <f t="shared" ref="EP35" si="1016">EO35+EP34</f>
        <v>6730</v>
      </c>
      <c r="EQ35" s="127">
        <f t="shared" ref="EQ35" si="1017">EP35+EQ34</f>
        <v>6730</v>
      </c>
      <c r="ER35" s="128">
        <f t="shared" ref="ER35" si="1018">EQ35+ER34</f>
        <v>6730</v>
      </c>
      <c r="ES35" s="128">
        <f t="shared" ref="ES35" si="1019">ER35+ES34</f>
        <v>6730</v>
      </c>
      <c r="ET35" s="129">
        <f t="shared" ref="ET35" si="1020">ES35+ET34</f>
        <v>6730</v>
      </c>
    </row>
    <row r="36" spans="1:150" s="25" customFormat="1" ht="27.75" customHeight="1">
      <c r="A36" s="26" t="s">
        <v>12</v>
      </c>
      <c r="B36" s="31"/>
      <c r="C36" s="641">
        <v>9</v>
      </c>
      <c r="D36" s="213" t="s">
        <v>116</v>
      </c>
      <c r="E36" s="177" t="s">
        <v>32</v>
      </c>
      <c r="F36" s="178" t="s">
        <v>125</v>
      </c>
      <c r="G36" s="114" t="s">
        <v>17</v>
      </c>
      <c r="H36" s="119">
        <v>0</v>
      </c>
      <c r="I36" s="117">
        <v>0</v>
      </c>
      <c r="J36" s="117">
        <v>0</v>
      </c>
      <c r="K36" s="117">
        <v>0</v>
      </c>
      <c r="L36" s="117">
        <v>0</v>
      </c>
      <c r="M36" s="117">
        <v>0</v>
      </c>
      <c r="N36" s="117">
        <v>0</v>
      </c>
      <c r="O36" s="118">
        <v>0</v>
      </c>
      <c r="P36" s="118">
        <v>0</v>
      </c>
      <c r="Q36" s="118">
        <v>0</v>
      </c>
      <c r="R36" s="117">
        <v>0</v>
      </c>
      <c r="S36" s="163">
        <v>0</v>
      </c>
      <c r="T36" s="164">
        <v>20</v>
      </c>
      <c r="U36" s="164">
        <v>50</v>
      </c>
      <c r="V36" s="164">
        <v>80</v>
      </c>
      <c r="W36" s="164">
        <v>80</v>
      </c>
      <c r="X36" s="164">
        <v>90</v>
      </c>
      <c r="Y36" s="164">
        <v>100</v>
      </c>
      <c r="Z36" s="164">
        <v>120</v>
      </c>
      <c r="AA36" s="164">
        <f>SUBTOTAL(9,DM36:DQ36)</f>
        <v>110</v>
      </c>
      <c r="AB36" s="164">
        <f>SUBTOTAL(9,DR36:DU36)</f>
        <v>200</v>
      </c>
      <c r="AC36" s="226">
        <f>SUBTOTAL(9,DV36:DY36)</f>
        <v>440</v>
      </c>
      <c r="AD36" s="218">
        <f>SUBTOTAL(9,DZ36:ED36)</f>
        <v>200</v>
      </c>
      <c r="AE36" s="218">
        <f>SUBTOTAL(9,EE36:EH36)</f>
        <v>0</v>
      </c>
      <c r="AF36" s="218">
        <f>SUBTOTAL(9,EI36:EL36)</f>
        <v>0</v>
      </c>
      <c r="AG36" s="218">
        <f>SUBTOTAL(9,EM36:EP36)</f>
        <v>0</v>
      </c>
      <c r="AH36" s="218">
        <f>SUBTOTAL(9,EQ36:ET36)</f>
        <v>0</v>
      </c>
      <c r="AI36" s="166">
        <v>0</v>
      </c>
      <c r="AJ36" s="166">
        <v>0</v>
      </c>
      <c r="AK36" s="166">
        <v>0</v>
      </c>
      <c r="AL36" s="165">
        <v>0</v>
      </c>
      <c r="AM36" s="167">
        <v>0</v>
      </c>
      <c r="AN36" s="166">
        <v>0</v>
      </c>
      <c r="AO36" s="166">
        <v>0</v>
      </c>
      <c r="AP36" s="168">
        <v>0</v>
      </c>
      <c r="AQ36" s="166">
        <v>0</v>
      </c>
      <c r="AR36" s="166">
        <v>0</v>
      </c>
      <c r="AS36" s="166">
        <v>0</v>
      </c>
      <c r="AT36" s="169">
        <v>0</v>
      </c>
      <c r="AU36" s="170">
        <v>0</v>
      </c>
      <c r="AV36" s="166">
        <v>0</v>
      </c>
      <c r="AW36" s="166">
        <v>0</v>
      </c>
      <c r="AX36" s="166">
        <v>0</v>
      </c>
      <c r="AY36" s="169">
        <v>0</v>
      </c>
      <c r="AZ36" s="167">
        <v>0</v>
      </c>
      <c r="BA36" s="166">
        <v>0</v>
      </c>
      <c r="BB36" s="166">
        <v>0</v>
      </c>
      <c r="BC36" s="169">
        <v>0</v>
      </c>
      <c r="BD36" s="171">
        <v>0</v>
      </c>
      <c r="BE36" s="166">
        <v>0</v>
      </c>
      <c r="BF36" s="172">
        <v>0</v>
      </c>
      <c r="BG36" s="166">
        <v>0</v>
      </c>
      <c r="BH36" s="169">
        <v>0</v>
      </c>
      <c r="BI36" s="171">
        <v>0</v>
      </c>
      <c r="BJ36" s="166">
        <v>0</v>
      </c>
      <c r="BK36" s="166">
        <v>0</v>
      </c>
      <c r="BL36" s="169">
        <v>0</v>
      </c>
      <c r="BM36" s="171">
        <v>0</v>
      </c>
      <c r="BN36" s="166">
        <v>0</v>
      </c>
      <c r="BO36" s="166">
        <v>0</v>
      </c>
      <c r="BP36" s="169">
        <v>0</v>
      </c>
      <c r="BQ36" s="167">
        <v>0</v>
      </c>
      <c r="BR36" s="166">
        <v>0</v>
      </c>
      <c r="BS36" s="166">
        <v>0</v>
      </c>
      <c r="BT36" s="169">
        <v>0</v>
      </c>
      <c r="BU36" s="173">
        <v>0</v>
      </c>
      <c r="BV36" s="171">
        <v>0</v>
      </c>
      <c r="BW36" s="166">
        <v>0</v>
      </c>
      <c r="BX36" s="166">
        <v>0</v>
      </c>
      <c r="BY36" s="168">
        <v>0</v>
      </c>
      <c r="BZ36" s="167">
        <v>0</v>
      </c>
      <c r="CA36" s="166">
        <v>0</v>
      </c>
      <c r="CB36" s="166">
        <v>0</v>
      </c>
      <c r="CC36" s="174">
        <v>0</v>
      </c>
      <c r="CD36" s="173">
        <v>0</v>
      </c>
      <c r="CE36" s="182">
        <v>0</v>
      </c>
      <c r="CF36" s="183">
        <v>0</v>
      </c>
      <c r="CG36" s="175">
        <v>0</v>
      </c>
      <c r="CH36" s="173">
        <v>0</v>
      </c>
      <c r="CI36" s="184">
        <v>0</v>
      </c>
      <c r="CJ36" s="175">
        <v>20</v>
      </c>
      <c r="CK36" s="175">
        <v>0</v>
      </c>
      <c r="CL36" s="173">
        <v>0</v>
      </c>
      <c r="CM36" s="184">
        <v>20</v>
      </c>
      <c r="CN36" s="175">
        <v>10</v>
      </c>
      <c r="CO36" s="175">
        <v>10</v>
      </c>
      <c r="CP36" s="173">
        <v>10</v>
      </c>
      <c r="CQ36" s="184">
        <v>20</v>
      </c>
      <c r="CR36" s="175">
        <v>20</v>
      </c>
      <c r="CS36" s="175">
        <v>20</v>
      </c>
      <c r="CT36" s="176">
        <v>0</v>
      </c>
      <c r="CU36" s="173">
        <v>20</v>
      </c>
      <c r="CV36" s="184">
        <v>20</v>
      </c>
      <c r="CW36" s="175">
        <v>20</v>
      </c>
      <c r="CX36" s="175">
        <v>20</v>
      </c>
      <c r="CY36" s="173">
        <v>20</v>
      </c>
      <c r="CZ36" s="184">
        <v>30</v>
      </c>
      <c r="DA36" s="175">
        <v>20</v>
      </c>
      <c r="DB36" s="175">
        <v>20</v>
      </c>
      <c r="DC36" s="173">
        <v>20</v>
      </c>
      <c r="DD36" s="184">
        <v>30</v>
      </c>
      <c r="DE36" s="175">
        <v>30</v>
      </c>
      <c r="DF36" s="176">
        <v>0</v>
      </c>
      <c r="DG36" s="175">
        <v>20</v>
      </c>
      <c r="DH36" s="173">
        <v>20</v>
      </c>
      <c r="DI36" s="184">
        <v>30</v>
      </c>
      <c r="DJ36" s="175">
        <v>30</v>
      </c>
      <c r="DK36" s="175">
        <v>30</v>
      </c>
      <c r="DL36" s="173">
        <v>30</v>
      </c>
      <c r="DM36" s="184">
        <v>30</v>
      </c>
      <c r="DN36" s="175">
        <v>20</v>
      </c>
      <c r="DO36" s="175">
        <v>20</v>
      </c>
      <c r="DP36" s="175">
        <v>20</v>
      </c>
      <c r="DQ36" s="173">
        <v>20</v>
      </c>
      <c r="DR36" s="184">
        <v>50</v>
      </c>
      <c r="DS36" s="175">
        <v>50</v>
      </c>
      <c r="DT36" s="175">
        <v>50</v>
      </c>
      <c r="DU36" s="173">
        <v>50</v>
      </c>
      <c r="DV36" s="171">
        <v>110</v>
      </c>
      <c r="DW36" s="175">
        <v>110</v>
      </c>
      <c r="DX36" s="175">
        <v>110</v>
      </c>
      <c r="DY36" s="173">
        <v>110</v>
      </c>
      <c r="DZ36" s="184">
        <v>40</v>
      </c>
      <c r="EA36" s="175">
        <v>40</v>
      </c>
      <c r="EB36" s="175">
        <v>40</v>
      </c>
      <c r="EC36" s="218">
        <v>40</v>
      </c>
      <c r="ED36" s="239">
        <v>40</v>
      </c>
      <c r="EE36" s="184"/>
      <c r="EF36" s="175"/>
      <c r="EG36" s="218"/>
      <c r="EH36" s="239"/>
      <c r="EI36" s="184"/>
      <c r="EJ36" s="175"/>
      <c r="EK36" s="175"/>
      <c r="EL36" s="173"/>
      <c r="EM36" s="184"/>
      <c r="EN36" s="175"/>
      <c r="EO36" s="175"/>
      <c r="EP36" s="173"/>
      <c r="EQ36" s="184"/>
      <c r="ER36" s="175"/>
      <c r="ES36" s="175"/>
      <c r="ET36" s="173"/>
    </row>
    <row r="37" spans="1:150" s="25" customFormat="1" ht="27.75" customHeight="1" thickBot="1">
      <c r="A37" s="26" t="s">
        <v>12</v>
      </c>
      <c r="B37" s="31"/>
      <c r="C37" s="642"/>
      <c r="D37" s="179"/>
      <c r="E37" s="180"/>
      <c r="F37" s="181"/>
      <c r="G37" s="120" t="s">
        <v>18</v>
      </c>
      <c r="H37" s="121">
        <v>0</v>
      </c>
      <c r="I37" s="122">
        <f t="shared" ref="I37" si="1021">H37+I36</f>
        <v>0</v>
      </c>
      <c r="J37" s="122">
        <f t="shared" ref="J37" si="1022">I37+J36</f>
        <v>0</v>
      </c>
      <c r="K37" s="122">
        <f t="shared" ref="K37" si="1023">J37+K36</f>
        <v>0</v>
      </c>
      <c r="L37" s="122">
        <f t="shared" ref="L37" si="1024">K37+L36</f>
        <v>0</v>
      </c>
      <c r="M37" s="123">
        <f t="shared" ref="M37" si="1025">L37+M36</f>
        <v>0</v>
      </c>
      <c r="N37" s="122">
        <f t="shared" ref="N37" si="1026">M37+N36</f>
        <v>0</v>
      </c>
      <c r="O37" s="123">
        <f t="shared" ref="O37" si="1027">N37+O36</f>
        <v>0</v>
      </c>
      <c r="P37" s="123">
        <f t="shared" ref="P37" si="1028">O37+P36</f>
        <v>0</v>
      </c>
      <c r="Q37" s="123">
        <f t="shared" ref="Q37" si="1029">P37+Q36</f>
        <v>0</v>
      </c>
      <c r="R37" s="122">
        <f t="shared" ref="R37:U37" si="1030">Q37+R36</f>
        <v>0</v>
      </c>
      <c r="S37" s="122">
        <f t="shared" si="1030"/>
        <v>0</v>
      </c>
      <c r="T37" s="123">
        <f t="shared" si="1030"/>
        <v>20</v>
      </c>
      <c r="U37" s="123">
        <f t="shared" si="1030"/>
        <v>70</v>
      </c>
      <c r="V37" s="123">
        <f t="shared" ref="V37:W37" si="1031">U37+V36</f>
        <v>150</v>
      </c>
      <c r="W37" s="123">
        <f t="shared" si="1031"/>
        <v>230</v>
      </c>
      <c r="X37" s="123">
        <f t="shared" ref="X37" si="1032">W37+X36</f>
        <v>320</v>
      </c>
      <c r="Y37" s="123">
        <f t="shared" ref="Y37:AB37" si="1033">X37+Y36</f>
        <v>420</v>
      </c>
      <c r="Z37" s="123">
        <f t="shared" si="1033"/>
        <v>540</v>
      </c>
      <c r="AA37" s="123">
        <f t="shared" si="1033"/>
        <v>650</v>
      </c>
      <c r="AB37" s="123">
        <f t="shared" si="1033"/>
        <v>850</v>
      </c>
      <c r="AC37" s="227">
        <f t="shared" ref="AC37:AH37" si="1034">AB37+AC36</f>
        <v>1290</v>
      </c>
      <c r="AD37" s="136">
        <f t="shared" si="1034"/>
        <v>1490</v>
      </c>
      <c r="AE37" s="145">
        <f t="shared" si="1034"/>
        <v>1490</v>
      </c>
      <c r="AF37" s="137">
        <f t="shared" si="1034"/>
        <v>1490</v>
      </c>
      <c r="AG37" s="137">
        <f t="shared" si="1034"/>
        <v>1490</v>
      </c>
      <c r="AH37" s="146">
        <f t="shared" si="1034"/>
        <v>1490</v>
      </c>
      <c r="AI37" s="124">
        <v>0</v>
      </c>
      <c r="AJ37" s="124">
        <f t="shared" ref="AJ37" si="1035">AI37+AJ36</f>
        <v>0</v>
      </c>
      <c r="AK37" s="124">
        <f t="shared" ref="AK37" si="1036">AJ37+AK36</f>
        <v>0</v>
      </c>
      <c r="AL37" s="126">
        <f t="shared" ref="AL37" si="1037">AK37+AL36</f>
        <v>0</v>
      </c>
      <c r="AM37" s="124">
        <f t="shared" ref="AM37" si="1038">AL37+AM36</f>
        <v>0</v>
      </c>
      <c r="AN37" s="124">
        <f t="shared" ref="AN37" si="1039">AM37+AN36</f>
        <v>0</v>
      </c>
      <c r="AO37" s="124">
        <f t="shared" ref="AO37" si="1040">AN37+AO36</f>
        <v>0</v>
      </c>
      <c r="AP37" s="133">
        <f t="shared" ref="AP37" si="1041">AO37+AP36</f>
        <v>0</v>
      </c>
      <c r="AQ37" s="124">
        <f>AP37+AQ36</f>
        <v>0</v>
      </c>
      <c r="AR37" s="124">
        <f t="shared" ref="AR37" si="1042">AQ37+AR36</f>
        <v>0</v>
      </c>
      <c r="AS37" s="124">
        <f t="shared" ref="AS37" si="1043">AR37+AS36</f>
        <v>0</v>
      </c>
      <c r="AT37" s="125">
        <f t="shared" ref="AT37" si="1044">AS37+AT36</f>
        <v>0</v>
      </c>
      <c r="AU37" s="134">
        <f>AT37+AU36</f>
        <v>0</v>
      </c>
      <c r="AV37" s="124">
        <f t="shared" ref="AV37" si="1045">AU37+AV36</f>
        <v>0</v>
      </c>
      <c r="AW37" s="124">
        <f t="shared" ref="AW37" si="1046">AV37+AW36</f>
        <v>0</v>
      </c>
      <c r="AX37" s="124">
        <f t="shared" ref="AX37" si="1047">AW37+AX36</f>
        <v>0</v>
      </c>
      <c r="AY37" s="125">
        <f t="shared" ref="AY37" si="1048">AX37+AY36</f>
        <v>0</v>
      </c>
      <c r="AZ37" s="121">
        <f>AY37+AZ36</f>
        <v>0</v>
      </c>
      <c r="BA37" s="124">
        <f t="shared" ref="BA37" si="1049">AZ37+BA36</f>
        <v>0</v>
      </c>
      <c r="BB37" s="124">
        <f t="shared" ref="BB37" si="1050">BA37+BB36</f>
        <v>0</v>
      </c>
      <c r="BC37" s="125">
        <f t="shared" ref="BC37" si="1051">BB37+BC36</f>
        <v>0</v>
      </c>
      <c r="BD37" s="121">
        <f t="shared" ref="BD37" si="1052">BC37+BD36</f>
        <v>0</v>
      </c>
      <c r="BE37" s="124">
        <f t="shared" ref="BE37" si="1053">BD37+BE36</f>
        <v>0</v>
      </c>
      <c r="BF37" s="124">
        <f t="shared" ref="BF37" si="1054">BE37+BF36</f>
        <v>0</v>
      </c>
      <c r="BG37" s="124">
        <f t="shared" ref="BG37" si="1055">BF37+BG36</f>
        <v>0</v>
      </c>
      <c r="BH37" s="125">
        <f t="shared" ref="BH37" si="1056">BG37+BH36</f>
        <v>0</v>
      </c>
      <c r="BI37" s="121">
        <f>BH37+BI36</f>
        <v>0</v>
      </c>
      <c r="BJ37" s="124">
        <f t="shared" ref="BJ37" si="1057">BI37+BJ36</f>
        <v>0</v>
      </c>
      <c r="BK37" s="124">
        <f t="shared" ref="BK37" si="1058">BJ37+BK36</f>
        <v>0</v>
      </c>
      <c r="BL37" s="125">
        <f t="shared" ref="BL37" si="1059">BK37+BL36</f>
        <v>0</v>
      </c>
      <c r="BM37" s="121">
        <f t="shared" ref="BM37" si="1060">BL37+BM36</f>
        <v>0</v>
      </c>
      <c r="BN37" s="124">
        <f t="shared" ref="BN37" si="1061">BM37+BN36</f>
        <v>0</v>
      </c>
      <c r="BO37" s="124">
        <f t="shared" ref="BO37" si="1062">BN37+BO36</f>
        <v>0</v>
      </c>
      <c r="BP37" s="125">
        <f t="shared" ref="BP37" si="1063">BO37+BP36</f>
        <v>0</v>
      </c>
      <c r="BQ37" s="121">
        <f>BP37+BQ36</f>
        <v>0</v>
      </c>
      <c r="BR37" s="124">
        <f t="shared" ref="BR37" si="1064">BQ37+BR36</f>
        <v>0</v>
      </c>
      <c r="BS37" s="124">
        <f t="shared" ref="BS37" si="1065">BR37+BS36</f>
        <v>0</v>
      </c>
      <c r="BT37" s="124">
        <f t="shared" ref="BT37" si="1066">BS37+BT36</f>
        <v>0</v>
      </c>
      <c r="BU37" s="126">
        <f t="shared" ref="BU37" si="1067">BT37+BU36</f>
        <v>0</v>
      </c>
      <c r="BV37" s="121">
        <f t="shared" ref="BV37" si="1068">BU37+BV36</f>
        <v>0</v>
      </c>
      <c r="BW37" s="124">
        <f t="shared" ref="BW37" si="1069">BV37+BW36</f>
        <v>0</v>
      </c>
      <c r="BX37" s="124">
        <f t="shared" ref="BX37" si="1070">BW37+BX36</f>
        <v>0</v>
      </c>
      <c r="BY37" s="133">
        <f t="shared" ref="BY37" si="1071">BX37+BY36</f>
        <v>0</v>
      </c>
      <c r="BZ37" s="121">
        <f>BY37+BZ36</f>
        <v>0</v>
      </c>
      <c r="CA37" s="124">
        <f t="shared" ref="CA37" si="1072">BZ37+CA36</f>
        <v>0</v>
      </c>
      <c r="CB37" s="124">
        <f t="shared" ref="CB37" si="1073">CA37+CB36</f>
        <v>0</v>
      </c>
      <c r="CC37" s="124">
        <f t="shared" ref="CC37" si="1074">CB37+CC36</f>
        <v>0</v>
      </c>
      <c r="CD37" s="126">
        <f t="shared" ref="CD37" si="1075">CC37+CD36</f>
        <v>0</v>
      </c>
      <c r="CE37" s="127">
        <f t="shared" ref="CE37" si="1076">CD37+CE36</f>
        <v>0</v>
      </c>
      <c r="CF37" s="128">
        <f t="shared" ref="CF37" si="1077">CE37+CF36</f>
        <v>0</v>
      </c>
      <c r="CG37" s="128">
        <f t="shared" ref="CG37" si="1078">CF37+CG36</f>
        <v>0</v>
      </c>
      <c r="CH37" s="129">
        <f t="shared" ref="CH37" si="1079">CG37+CH36</f>
        <v>0</v>
      </c>
      <c r="CI37" s="127">
        <f t="shared" ref="CI37" si="1080">CH37+CI36</f>
        <v>0</v>
      </c>
      <c r="CJ37" s="128">
        <f t="shared" ref="CJ37" si="1081">CI37+CJ36</f>
        <v>20</v>
      </c>
      <c r="CK37" s="128">
        <f t="shared" ref="CK37" si="1082">CJ37+CK36</f>
        <v>20</v>
      </c>
      <c r="CL37" s="129">
        <f t="shared" ref="CL37" si="1083">CK37+CL36</f>
        <v>20</v>
      </c>
      <c r="CM37" s="127">
        <f t="shared" ref="CM37" si="1084">CL37+CM36</f>
        <v>40</v>
      </c>
      <c r="CN37" s="128">
        <f t="shared" ref="CN37" si="1085">CM37+CN36</f>
        <v>50</v>
      </c>
      <c r="CO37" s="128">
        <f t="shared" ref="CO37" si="1086">CN37+CO36</f>
        <v>60</v>
      </c>
      <c r="CP37" s="129">
        <f t="shared" ref="CP37" si="1087">CO37+CP36</f>
        <v>70</v>
      </c>
      <c r="CQ37" s="127">
        <f t="shared" ref="CQ37" si="1088">CP37+CQ36</f>
        <v>90</v>
      </c>
      <c r="CR37" s="128">
        <f t="shared" ref="CR37" si="1089">CQ37+CR36</f>
        <v>110</v>
      </c>
      <c r="CS37" s="128">
        <f t="shared" ref="CS37" si="1090">CR37+CS36</f>
        <v>130</v>
      </c>
      <c r="CT37" s="128">
        <f t="shared" ref="CT37" si="1091">CS37+CT36</f>
        <v>130</v>
      </c>
      <c r="CU37" s="129">
        <f t="shared" ref="CU37" si="1092">CT37+CU36</f>
        <v>150</v>
      </c>
      <c r="CV37" s="127">
        <f t="shared" ref="CV37" si="1093">CU37+CV36</f>
        <v>170</v>
      </c>
      <c r="CW37" s="128">
        <f t="shared" ref="CW37" si="1094">CV37+CW36</f>
        <v>190</v>
      </c>
      <c r="CX37" s="128">
        <f t="shared" ref="CX37" si="1095">CW37+CX36</f>
        <v>210</v>
      </c>
      <c r="CY37" s="129">
        <f t="shared" ref="CY37" si="1096">CX37+CY36</f>
        <v>230</v>
      </c>
      <c r="CZ37" s="127">
        <f t="shared" ref="CZ37" si="1097">CY37+CZ36</f>
        <v>260</v>
      </c>
      <c r="DA37" s="128">
        <f t="shared" ref="DA37" si="1098">CZ37+DA36</f>
        <v>280</v>
      </c>
      <c r="DB37" s="128">
        <f t="shared" ref="DB37" si="1099">DA37+DB36</f>
        <v>300</v>
      </c>
      <c r="DC37" s="129">
        <f t="shared" ref="DC37" si="1100">DB37+DC36</f>
        <v>320</v>
      </c>
      <c r="DD37" s="127">
        <f t="shared" ref="DD37" si="1101">DC37+DD36</f>
        <v>350</v>
      </c>
      <c r="DE37" s="128">
        <f t="shared" ref="DE37" si="1102">DD37+DE36</f>
        <v>380</v>
      </c>
      <c r="DF37" s="128">
        <f t="shared" ref="DF37" si="1103">DE37+DF36</f>
        <v>380</v>
      </c>
      <c r="DG37" s="140">
        <f t="shared" ref="DG37:DH37" si="1104">DF37+DG36</f>
        <v>400</v>
      </c>
      <c r="DH37" s="130">
        <f t="shared" si="1104"/>
        <v>420</v>
      </c>
      <c r="DI37" s="127">
        <f t="shared" ref="DI37" si="1105">DH37+DI36</f>
        <v>450</v>
      </c>
      <c r="DJ37" s="128">
        <f t="shared" ref="DJ37" si="1106">DI37+DJ36</f>
        <v>480</v>
      </c>
      <c r="DK37" s="128">
        <f t="shared" ref="DK37" si="1107">DJ37+DK36</f>
        <v>510</v>
      </c>
      <c r="DL37" s="129">
        <f t="shared" ref="DL37" si="1108">DK37+DL36</f>
        <v>540</v>
      </c>
      <c r="DM37" s="127">
        <f t="shared" ref="DM37" si="1109">DL37+DM36</f>
        <v>570</v>
      </c>
      <c r="DN37" s="128">
        <f t="shared" ref="DN37" si="1110">DM37+DN36</f>
        <v>590</v>
      </c>
      <c r="DO37" s="128">
        <f t="shared" ref="DO37" si="1111">DN37+DO36</f>
        <v>610</v>
      </c>
      <c r="DP37" s="140">
        <f>DO37+DP36</f>
        <v>630</v>
      </c>
      <c r="DQ37" s="130">
        <f>DP37+DQ36</f>
        <v>650</v>
      </c>
      <c r="DR37" s="127">
        <f>DQ37+DR36</f>
        <v>700</v>
      </c>
      <c r="DS37" s="128">
        <f t="shared" ref="DS37:DX37" si="1112">DR37+DS36</f>
        <v>750</v>
      </c>
      <c r="DT37" s="128">
        <f t="shared" si="1112"/>
        <v>800</v>
      </c>
      <c r="DU37" s="129">
        <f t="shared" si="1112"/>
        <v>850</v>
      </c>
      <c r="DV37" s="127">
        <f t="shared" si="1112"/>
        <v>960</v>
      </c>
      <c r="DW37" s="128">
        <f t="shared" si="1112"/>
        <v>1070</v>
      </c>
      <c r="DX37" s="128">
        <f t="shared" si="1112"/>
        <v>1180</v>
      </c>
      <c r="DY37" s="129">
        <f>DX37+DY36</f>
        <v>1290</v>
      </c>
      <c r="DZ37" s="127">
        <f t="shared" ref="DZ37:EL37" si="1113">DY37+DZ36</f>
        <v>1330</v>
      </c>
      <c r="EA37" s="128">
        <f t="shared" si="1113"/>
        <v>1370</v>
      </c>
      <c r="EB37" s="128">
        <f t="shared" si="1113"/>
        <v>1410</v>
      </c>
      <c r="EC37" s="139">
        <f t="shared" si="1113"/>
        <v>1450</v>
      </c>
      <c r="ED37" s="129">
        <f t="shared" si="1113"/>
        <v>1490</v>
      </c>
      <c r="EE37" s="128">
        <f t="shared" si="1113"/>
        <v>1490</v>
      </c>
      <c r="EF37" s="128">
        <f t="shared" si="1113"/>
        <v>1490</v>
      </c>
      <c r="EG37" s="139">
        <f t="shared" si="1113"/>
        <v>1490</v>
      </c>
      <c r="EH37" s="129">
        <f t="shared" si="1113"/>
        <v>1490</v>
      </c>
      <c r="EI37" s="128">
        <f t="shared" si="1113"/>
        <v>1490</v>
      </c>
      <c r="EJ37" s="128">
        <f t="shared" si="1113"/>
        <v>1490</v>
      </c>
      <c r="EK37" s="128">
        <f t="shared" si="1113"/>
        <v>1490</v>
      </c>
      <c r="EL37" s="129">
        <f t="shared" si="1113"/>
        <v>1490</v>
      </c>
      <c r="EM37" s="127">
        <f t="shared" ref="EM37" si="1114">EL37+EM36</f>
        <v>1490</v>
      </c>
      <c r="EN37" s="128">
        <f t="shared" ref="EN37" si="1115">EM37+EN36</f>
        <v>1490</v>
      </c>
      <c r="EO37" s="128">
        <f t="shared" ref="EO37" si="1116">EN37+EO36</f>
        <v>1490</v>
      </c>
      <c r="EP37" s="129">
        <f t="shared" ref="EP37" si="1117">EO37+EP36</f>
        <v>1490</v>
      </c>
      <c r="EQ37" s="127">
        <f t="shared" ref="EQ37" si="1118">EP37+EQ36</f>
        <v>1490</v>
      </c>
      <c r="ER37" s="128">
        <f t="shared" ref="ER37" si="1119">EQ37+ER36</f>
        <v>1490</v>
      </c>
      <c r="ES37" s="128">
        <f t="shared" ref="ES37" si="1120">ER37+ES36</f>
        <v>1490</v>
      </c>
      <c r="ET37" s="129">
        <f t="shared" ref="ET37" si="1121">ES37+ET36</f>
        <v>1490</v>
      </c>
    </row>
    <row r="38" spans="1:150" s="25" customFormat="1" ht="27.75" customHeight="1">
      <c r="A38" s="26" t="s">
        <v>12</v>
      </c>
      <c r="B38" s="31"/>
      <c r="C38" s="643">
        <v>10</v>
      </c>
      <c r="D38" s="213" t="s">
        <v>117</v>
      </c>
      <c r="E38" s="177" t="s">
        <v>32</v>
      </c>
      <c r="F38" s="178" t="s">
        <v>125</v>
      </c>
      <c r="G38" s="114" t="s">
        <v>17</v>
      </c>
      <c r="H38" s="119">
        <v>0</v>
      </c>
      <c r="I38" s="117">
        <v>0</v>
      </c>
      <c r="J38" s="117">
        <v>0</v>
      </c>
      <c r="K38" s="117">
        <v>0</v>
      </c>
      <c r="L38" s="117">
        <v>0</v>
      </c>
      <c r="M38" s="117">
        <v>0</v>
      </c>
      <c r="N38" s="117">
        <v>0</v>
      </c>
      <c r="O38" s="118">
        <v>0</v>
      </c>
      <c r="P38" s="118">
        <v>0</v>
      </c>
      <c r="Q38" s="118">
        <v>0</v>
      </c>
      <c r="R38" s="117">
        <v>0</v>
      </c>
      <c r="S38" s="163">
        <v>0</v>
      </c>
      <c r="T38" s="164">
        <v>20</v>
      </c>
      <c r="U38" s="164">
        <v>70</v>
      </c>
      <c r="V38" s="164">
        <v>90</v>
      </c>
      <c r="W38" s="164">
        <v>40</v>
      </c>
      <c r="X38" s="164">
        <v>40</v>
      </c>
      <c r="Y38" s="164">
        <v>20</v>
      </c>
      <c r="Z38" s="164">
        <v>80</v>
      </c>
      <c r="AA38" s="164">
        <f>SUBTOTAL(9,DM38:DQ38)</f>
        <v>80</v>
      </c>
      <c r="AB38" s="164">
        <f>SUBTOTAL(9,DR38:DU38)</f>
        <v>90</v>
      </c>
      <c r="AC38" s="164">
        <f>SUBTOTAL(9,DV38:DY38)</f>
        <v>80</v>
      </c>
      <c r="AD38" s="218">
        <f>SUBTOTAL(9,DZ38:ED38)</f>
        <v>40</v>
      </c>
      <c r="AE38" s="218">
        <f>SUBTOTAL(9,EE38:EH38)</f>
        <v>0</v>
      </c>
      <c r="AF38" s="218">
        <f>SUBTOTAL(9,EI38:EL38)</f>
        <v>0</v>
      </c>
      <c r="AG38" s="218">
        <f>SUBTOTAL(9,EM38:EP38)</f>
        <v>0</v>
      </c>
      <c r="AH38" s="218">
        <f>SUBTOTAL(9,EQ38:ET38)</f>
        <v>0</v>
      </c>
      <c r="AI38" s="166">
        <v>0</v>
      </c>
      <c r="AJ38" s="166">
        <v>0</v>
      </c>
      <c r="AK38" s="166">
        <v>0</v>
      </c>
      <c r="AL38" s="165">
        <v>0</v>
      </c>
      <c r="AM38" s="167">
        <v>0</v>
      </c>
      <c r="AN38" s="166">
        <v>0</v>
      </c>
      <c r="AO38" s="166">
        <v>0</v>
      </c>
      <c r="AP38" s="168">
        <v>0</v>
      </c>
      <c r="AQ38" s="166">
        <v>0</v>
      </c>
      <c r="AR38" s="166">
        <v>0</v>
      </c>
      <c r="AS38" s="166">
        <v>0</v>
      </c>
      <c r="AT38" s="169">
        <v>0</v>
      </c>
      <c r="AU38" s="170">
        <v>0</v>
      </c>
      <c r="AV38" s="166">
        <v>0</v>
      </c>
      <c r="AW38" s="166">
        <v>0</v>
      </c>
      <c r="AX38" s="166">
        <v>0</v>
      </c>
      <c r="AY38" s="169">
        <v>0</v>
      </c>
      <c r="AZ38" s="167">
        <v>0</v>
      </c>
      <c r="BA38" s="166">
        <v>0</v>
      </c>
      <c r="BB38" s="166">
        <v>0</v>
      </c>
      <c r="BC38" s="169">
        <v>0</v>
      </c>
      <c r="BD38" s="171">
        <v>0</v>
      </c>
      <c r="BE38" s="166">
        <v>0</v>
      </c>
      <c r="BF38" s="172">
        <v>0</v>
      </c>
      <c r="BG38" s="166">
        <v>0</v>
      </c>
      <c r="BH38" s="169">
        <v>0</v>
      </c>
      <c r="BI38" s="171">
        <v>0</v>
      </c>
      <c r="BJ38" s="166">
        <v>0</v>
      </c>
      <c r="BK38" s="166">
        <v>0</v>
      </c>
      <c r="BL38" s="169">
        <v>0</v>
      </c>
      <c r="BM38" s="171">
        <v>0</v>
      </c>
      <c r="BN38" s="166">
        <v>0</v>
      </c>
      <c r="BO38" s="166">
        <v>0</v>
      </c>
      <c r="BP38" s="169">
        <v>0</v>
      </c>
      <c r="BQ38" s="167">
        <v>0</v>
      </c>
      <c r="BR38" s="166">
        <v>0</v>
      </c>
      <c r="BS38" s="166">
        <v>0</v>
      </c>
      <c r="BT38" s="169">
        <v>0</v>
      </c>
      <c r="BU38" s="173">
        <v>0</v>
      </c>
      <c r="BV38" s="171">
        <v>0</v>
      </c>
      <c r="BW38" s="166">
        <v>0</v>
      </c>
      <c r="BX38" s="166">
        <v>0</v>
      </c>
      <c r="BY38" s="168">
        <v>0</v>
      </c>
      <c r="BZ38" s="167">
        <v>0</v>
      </c>
      <c r="CA38" s="166">
        <v>0</v>
      </c>
      <c r="CB38" s="166">
        <v>0</v>
      </c>
      <c r="CC38" s="174">
        <v>0</v>
      </c>
      <c r="CD38" s="173">
        <v>0</v>
      </c>
      <c r="CE38" s="182">
        <v>0</v>
      </c>
      <c r="CF38" s="183">
        <v>0</v>
      </c>
      <c r="CG38" s="175">
        <v>0</v>
      </c>
      <c r="CH38" s="173">
        <v>0</v>
      </c>
      <c r="CI38" s="184">
        <v>0</v>
      </c>
      <c r="CJ38" s="175">
        <v>10</v>
      </c>
      <c r="CK38" s="175">
        <v>10</v>
      </c>
      <c r="CL38" s="173">
        <v>0</v>
      </c>
      <c r="CM38" s="184">
        <v>20</v>
      </c>
      <c r="CN38" s="175">
        <v>20</v>
      </c>
      <c r="CO38" s="175">
        <v>20</v>
      </c>
      <c r="CP38" s="173">
        <v>10</v>
      </c>
      <c r="CQ38" s="184">
        <v>20</v>
      </c>
      <c r="CR38" s="175">
        <v>20</v>
      </c>
      <c r="CS38" s="175">
        <v>20</v>
      </c>
      <c r="CT38" s="176">
        <v>0</v>
      </c>
      <c r="CU38" s="173">
        <v>30</v>
      </c>
      <c r="CV38" s="184">
        <v>10</v>
      </c>
      <c r="CW38" s="175">
        <v>10</v>
      </c>
      <c r="CX38" s="175">
        <v>10</v>
      </c>
      <c r="CY38" s="173">
        <v>10</v>
      </c>
      <c r="CZ38" s="184">
        <v>10</v>
      </c>
      <c r="DA38" s="175">
        <v>10</v>
      </c>
      <c r="DB38" s="175">
        <v>10</v>
      </c>
      <c r="DC38" s="173">
        <v>10</v>
      </c>
      <c r="DD38" s="184">
        <v>10</v>
      </c>
      <c r="DE38" s="175">
        <v>0</v>
      </c>
      <c r="DF38" s="176">
        <v>0</v>
      </c>
      <c r="DG38" s="175">
        <v>10</v>
      </c>
      <c r="DH38" s="173">
        <v>0</v>
      </c>
      <c r="DI38" s="184">
        <v>20</v>
      </c>
      <c r="DJ38" s="175">
        <v>20</v>
      </c>
      <c r="DK38" s="175">
        <v>20</v>
      </c>
      <c r="DL38" s="173">
        <v>20</v>
      </c>
      <c r="DM38" s="184">
        <v>20</v>
      </c>
      <c r="DN38" s="175">
        <v>20</v>
      </c>
      <c r="DO38" s="175">
        <v>20</v>
      </c>
      <c r="DP38" s="175">
        <v>10</v>
      </c>
      <c r="DQ38" s="173">
        <v>10</v>
      </c>
      <c r="DR38" s="184">
        <v>30</v>
      </c>
      <c r="DS38" s="175">
        <v>20</v>
      </c>
      <c r="DT38" s="175">
        <v>20</v>
      </c>
      <c r="DU38" s="173">
        <v>20</v>
      </c>
      <c r="DV38" s="171">
        <v>20</v>
      </c>
      <c r="DW38" s="175">
        <v>20</v>
      </c>
      <c r="DX38" s="175">
        <v>20</v>
      </c>
      <c r="DY38" s="173">
        <v>20</v>
      </c>
      <c r="DZ38" s="184">
        <v>20</v>
      </c>
      <c r="EA38" s="175">
        <v>20</v>
      </c>
      <c r="EB38" s="175">
        <v>0</v>
      </c>
      <c r="EC38" s="218">
        <v>0</v>
      </c>
      <c r="ED38" s="239">
        <v>0</v>
      </c>
      <c r="EE38" s="184"/>
      <c r="EF38" s="175"/>
      <c r="EG38" s="218"/>
      <c r="EH38" s="239"/>
      <c r="EI38" s="184"/>
      <c r="EJ38" s="175"/>
      <c r="EK38" s="175"/>
      <c r="EL38" s="173"/>
      <c r="EM38" s="184"/>
      <c r="EN38" s="175"/>
      <c r="EO38" s="175"/>
      <c r="EP38" s="173"/>
      <c r="EQ38" s="184"/>
      <c r="ER38" s="175"/>
      <c r="ES38" s="175"/>
      <c r="ET38" s="173"/>
    </row>
    <row r="39" spans="1:150" s="25" customFormat="1" ht="27.75" customHeight="1" thickBot="1">
      <c r="A39" s="26" t="s">
        <v>12</v>
      </c>
      <c r="B39" s="31"/>
      <c r="C39" s="644"/>
      <c r="D39" s="179"/>
      <c r="E39" s="180"/>
      <c r="F39" s="181"/>
      <c r="G39" s="120" t="s">
        <v>18</v>
      </c>
      <c r="H39" s="121">
        <v>0</v>
      </c>
      <c r="I39" s="122">
        <f t="shared" ref="I39" si="1122">H39+I38</f>
        <v>0</v>
      </c>
      <c r="J39" s="122">
        <f t="shared" ref="J39" si="1123">I39+J38</f>
        <v>0</v>
      </c>
      <c r="K39" s="122">
        <f t="shared" ref="K39" si="1124">J39+K38</f>
        <v>0</v>
      </c>
      <c r="L39" s="122">
        <f t="shared" ref="L39" si="1125">K39+L38</f>
        <v>0</v>
      </c>
      <c r="M39" s="123">
        <f t="shared" ref="M39" si="1126">L39+M38</f>
        <v>0</v>
      </c>
      <c r="N39" s="122">
        <f t="shared" ref="N39" si="1127">M39+N38</f>
        <v>0</v>
      </c>
      <c r="O39" s="123">
        <f t="shared" ref="O39" si="1128">N39+O38</f>
        <v>0</v>
      </c>
      <c r="P39" s="123">
        <f t="shared" ref="P39" si="1129">O39+P38</f>
        <v>0</v>
      </c>
      <c r="Q39" s="123">
        <f t="shared" ref="Q39" si="1130">P39+Q38</f>
        <v>0</v>
      </c>
      <c r="R39" s="122">
        <f t="shared" ref="R39:U39" si="1131">Q39+R38</f>
        <v>0</v>
      </c>
      <c r="S39" s="122">
        <f t="shared" si="1131"/>
        <v>0</v>
      </c>
      <c r="T39" s="123">
        <f t="shared" si="1131"/>
        <v>20</v>
      </c>
      <c r="U39" s="123">
        <f t="shared" si="1131"/>
        <v>90</v>
      </c>
      <c r="V39" s="123">
        <f t="shared" ref="V39:W39" si="1132">U39+V38</f>
        <v>180</v>
      </c>
      <c r="W39" s="123">
        <f t="shared" si="1132"/>
        <v>220</v>
      </c>
      <c r="X39" s="123">
        <f t="shared" ref="X39" si="1133">W39+X38</f>
        <v>260</v>
      </c>
      <c r="Y39" s="123">
        <f t="shared" ref="Y39:AB39" si="1134">X39+Y38</f>
        <v>280</v>
      </c>
      <c r="Z39" s="123">
        <f t="shared" si="1134"/>
        <v>360</v>
      </c>
      <c r="AA39" s="123">
        <f t="shared" si="1134"/>
        <v>440</v>
      </c>
      <c r="AB39" s="123">
        <f t="shared" si="1134"/>
        <v>530</v>
      </c>
      <c r="AC39" s="138">
        <f t="shared" ref="AC39:AH39" si="1135">AB39+AC38</f>
        <v>610</v>
      </c>
      <c r="AD39" s="139">
        <f t="shared" si="1135"/>
        <v>650</v>
      </c>
      <c r="AE39" s="140">
        <f t="shared" si="1135"/>
        <v>650</v>
      </c>
      <c r="AF39" s="138">
        <f t="shared" si="1135"/>
        <v>650</v>
      </c>
      <c r="AG39" s="138">
        <f t="shared" si="1135"/>
        <v>650</v>
      </c>
      <c r="AH39" s="139">
        <f t="shared" si="1135"/>
        <v>650</v>
      </c>
      <c r="AI39" s="124">
        <v>0</v>
      </c>
      <c r="AJ39" s="124">
        <f t="shared" ref="AJ39" si="1136">AI39+AJ38</f>
        <v>0</v>
      </c>
      <c r="AK39" s="124">
        <f t="shared" ref="AK39" si="1137">AJ39+AK38</f>
        <v>0</v>
      </c>
      <c r="AL39" s="126">
        <f t="shared" ref="AL39" si="1138">AK39+AL38</f>
        <v>0</v>
      </c>
      <c r="AM39" s="124">
        <f t="shared" ref="AM39" si="1139">AL39+AM38</f>
        <v>0</v>
      </c>
      <c r="AN39" s="124">
        <f t="shared" ref="AN39" si="1140">AM39+AN38</f>
        <v>0</v>
      </c>
      <c r="AO39" s="124">
        <f t="shared" ref="AO39" si="1141">AN39+AO38</f>
        <v>0</v>
      </c>
      <c r="AP39" s="133">
        <f t="shared" ref="AP39" si="1142">AO39+AP38</f>
        <v>0</v>
      </c>
      <c r="AQ39" s="124">
        <f>AP39+AQ38</f>
        <v>0</v>
      </c>
      <c r="AR39" s="124">
        <f t="shared" ref="AR39" si="1143">AQ39+AR38</f>
        <v>0</v>
      </c>
      <c r="AS39" s="124">
        <f t="shared" ref="AS39" si="1144">AR39+AS38</f>
        <v>0</v>
      </c>
      <c r="AT39" s="125">
        <f t="shared" ref="AT39" si="1145">AS39+AT38</f>
        <v>0</v>
      </c>
      <c r="AU39" s="134">
        <f>AT39+AU38</f>
        <v>0</v>
      </c>
      <c r="AV39" s="124">
        <f t="shared" ref="AV39" si="1146">AU39+AV38</f>
        <v>0</v>
      </c>
      <c r="AW39" s="124">
        <f t="shared" ref="AW39" si="1147">AV39+AW38</f>
        <v>0</v>
      </c>
      <c r="AX39" s="124">
        <f t="shared" ref="AX39" si="1148">AW39+AX38</f>
        <v>0</v>
      </c>
      <c r="AY39" s="125">
        <f t="shared" ref="AY39" si="1149">AX39+AY38</f>
        <v>0</v>
      </c>
      <c r="AZ39" s="121">
        <f>AY39+AZ38</f>
        <v>0</v>
      </c>
      <c r="BA39" s="124">
        <f t="shared" ref="BA39" si="1150">AZ39+BA38</f>
        <v>0</v>
      </c>
      <c r="BB39" s="124">
        <f t="shared" ref="BB39" si="1151">BA39+BB38</f>
        <v>0</v>
      </c>
      <c r="BC39" s="125">
        <f t="shared" ref="BC39" si="1152">BB39+BC38</f>
        <v>0</v>
      </c>
      <c r="BD39" s="121">
        <f t="shared" ref="BD39" si="1153">BC39+BD38</f>
        <v>0</v>
      </c>
      <c r="BE39" s="124">
        <f t="shared" ref="BE39" si="1154">BD39+BE38</f>
        <v>0</v>
      </c>
      <c r="BF39" s="124">
        <f t="shared" ref="BF39" si="1155">BE39+BF38</f>
        <v>0</v>
      </c>
      <c r="BG39" s="124">
        <f t="shared" ref="BG39" si="1156">BF39+BG38</f>
        <v>0</v>
      </c>
      <c r="BH39" s="125">
        <f t="shared" ref="BH39" si="1157">BG39+BH38</f>
        <v>0</v>
      </c>
      <c r="BI39" s="121">
        <f>BH39+BI38</f>
        <v>0</v>
      </c>
      <c r="BJ39" s="124">
        <f t="shared" ref="BJ39" si="1158">BI39+BJ38</f>
        <v>0</v>
      </c>
      <c r="BK39" s="124">
        <f t="shared" ref="BK39" si="1159">BJ39+BK38</f>
        <v>0</v>
      </c>
      <c r="BL39" s="125">
        <f t="shared" ref="BL39" si="1160">BK39+BL38</f>
        <v>0</v>
      </c>
      <c r="BM39" s="121">
        <f t="shared" ref="BM39" si="1161">BL39+BM38</f>
        <v>0</v>
      </c>
      <c r="BN39" s="124">
        <f t="shared" ref="BN39" si="1162">BM39+BN38</f>
        <v>0</v>
      </c>
      <c r="BO39" s="124">
        <f t="shared" ref="BO39" si="1163">BN39+BO38</f>
        <v>0</v>
      </c>
      <c r="BP39" s="125">
        <f t="shared" ref="BP39" si="1164">BO39+BP38</f>
        <v>0</v>
      </c>
      <c r="BQ39" s="121">
        <f>BP39+BQ38</f>
        <v>0</v>
      </c>
      <c r="BR39" s="124">
        <f t="shared" ref="BR39" si="1165">BQ39+BR38</f>
        <v>0</v>
      </c>
      <c r="BS39" s="124">
        <f t="shared" ref="BS39" si="1166">BR39+BS38</f>
        <v>0</v>
      </c>
      <c r="BT39" s="124">
        <f t="shared" ref="BT39" si="1167">BS39+BT38</f>
        <v>0</v>
      </c>
      <c r="BU39" s="126">
        <f t="shared" ref="BU39" si="1168">BT39+BU38</f>
        <v>0</v>
      </c>
      <c r="BV39" s="121">
        <f t="shared" ref="BV39" si="1169">BU39+BV38</f>
        <v>0</v>
      </c>
      <c r="BW39" s="124">
        <f t="shared" ref="BW39" si="1170">BV39+BW38</f>
        <v>0</v>
      </c>
      <c r="BX39" s="124">
        <f t="shared" ref="BX39" si="1171">BW39+BX38</f>
        <v>0</v>
      </c>
      <c r="BY39" s="133">
        <f t="shared" ref="BY39" si="1172">BX39+BY38</f>
        <v>0</v>
      </c>
      <c r="BZ39" s="121">
        <f>BY39+BZ38</f>
        <v>0</v>
      </c>
      <c r="CA39" s="124">
        <f t="shared" ref="CA39" si="1173">BZ39+CA38</f>
        <v>0</v>
      </c>
      <c r="CB39" s="124">
        <f t="shared" ref="CB39" si="1174">CA39+CB38</f>
        <v>0</v>
      </c>
      <c r="CC39" s="124">
        <f t="shared" ref="CC39" si="1175">CB39+CC38</f>
        <v>0</v>
      </c>
      <c r="CD39" s="126">
        <f t="shared" ref="CD39" si="1176">CC39+CD38</f>
        <v>0</v>
      </c>
      <c r="CE39" s="127">
        <f t="shared" ref="CE39" si="1177">CD39+CE38</f>
        <v>0</v>
      </c>
      <c r="CF39" s="128">
        <f t="shared" ref="CF39" si="1178">CE39+CF38</f>
        <v>0</v>
      </c>
      <c r="CG39" s="128">
        <f t="shared" ref="CG39" si="1179">CF39+CG38</f>
        <v>0</v>
      </c>
      <c r="CH39" s="129">
        <f t="shared" ref="CH39" si="1180">CG39+CH38</f>
        <v>0</v>
      </c>
      <c r="CI39" s="127">
        <f t="shared" ref="CI39" si="1181">CH39+CI38</f>
        <v>0</v>
      </c>
      <c r="CJ39" s="128">
        <f t="shared" ref="CJ39" si="1182">CI39+CJ38</f>
        <v>10</v>
      </c>
      <c r="CK39" s="128">
        <f t="shared" ref="CK39" si="1183">CJ39+CK38</f>
        <v>20</v>
      </c>
      <c r="CL39" s="129">
        <f t="shared" ref="CL39" si="1184">CK39+CL38</f>
        <v>20</v>
      </c>
      <c r="CM39" s="127">
        <f t="shared" ref="CM39" si="1185">CL39+CM38</f>
        <v>40</v>
      </c>
      <c r="CN39" s="128">
        <f t="shared" ref="CN39" si="1186">CM39+CN38</f>
        <v>60</v>
      </c>
      <c r="CO39" s="128">
        <f t="shared" ref="CO39" si="1187">CN39+CO38</f>
        <v>80</v>
      </c>
      <c r="CP39" s="129">
        <f t="shared" ref="CP39" si="1188">CO39+CP38</f>
        <v>90</v>
      </c>
      <c r="CQ39" s="127">
        <f t="shared" ref="CQ39" si="1189">CP39+CQ38</f>
        <v>110</v>
      </c>
      <c r="CR39" s="128">
        <f t="shared" ref="CR39" si="1190">CQ39+CR38</f>
        <v>130</v>
      </c>
      <c r="CS39" s="128">
        <f t="shared" ref="CS39" si="1191">CR39+CS38</f>
        <v>150</v>
      </c>
      <c r="CT39" s="128">
        <f t="shared" ref="CT39" si="1192">CS39+CT38</f>
        <v>150</v>
      </c>
      <c r="CU39" s="129">
        <f t="shared" ref="CU39" si="1193">CT39+CU38</f>
        <v>180</v>
      </c>
      <c r="CV39" s="127">
        <f t="shared" ref="CV39" si="1194">CU39+CV38</f>
        <v>190</v>
      </c>
      <c r="CW39" s="128">
        <f t="shared" ref="CW39" si="1195">CV39+CW38</f>
        <v>200</v>
      </c>
      <c r="CX39" s="128">
        <f t="shared" ref="CX39" si="1196">CW39+CX38</f>
        <v>210</v>
      </c>
      <c r="CY39" s="129">
        <f t="shared" ref="CY39" si="1197">CX39+CY38</f>
        <v>220</v>
      </c>
      <c r="CZ39" s="127">
        <f t="shared" ref="CZ39" si="1198">CY39+CZ38</f>
        <v>230</v>
      </c>
      <c r="DA39" s="128">
        <f t="shared" ref="DA39" si="1199">CZ39+DA38</f>
        <v>240</v>
      </c>
      <c r="DB39" s="128">
        <f t="shared" ref="DB39" si="1200">DA39+DB38</f>
        <v>250</v>
      </c>
      <c r="DC39" s="129">
        <f t="shared" ref="DC39" si="1201">DB39+DC38</f>
        <v>260</v>
      </c>
      <c r="DD39" s="127">
        <f t="shared" ref="DD39" si="1202">DC39+DD38</f>
        <v>270</v>
      </c>
      <c r="DE39" s="128">
        <f t="shared" ref="DE39" si="1203">DD39+DE38</f>
        <v>270</v>
      </c>
      <c r="DF39" s="128">
        <f t="shared" ref="DF39" si="1204">DE39+DF38</f>
        <v>270</v>
      </c>
      <c r="DG39" s="140">
        <f t="shared" ref="DG39:DH39" si="1205">DF39+DG38</f>
        <v>280</v>
      </c>
      <c r="DH39" s="130">
        <f t="shared" si="1205"/>
        <v>280</v>
      </c>
      <c r="DI39" s="127">
        <f t="shared" ref="DI39" si="1206">DH39+DI38</f>
        <v>300</v>
      </c>
      <c r="DJ39" s="128">
        <f t="shared" ref="DJ39" si="1207">DI39+DJ38</f>
        <v>320</v>
      </c>
      <c r="DK39" s="128">
        <f t="shared" ref="DK39" si="1208">DJ39+DK38</f>
        <v>340</v>
      </c>
      <c r="DL39" s="129">
        <f t="shared" ref="DL39" si="1209">DK39+DL38</f>
        <v>360</v>
      </c>
      <c r="DM39" s="127">
        <f t="shared" ref="DM39" si="1210">DL39+DM38</f>
        <v>380</v>
      </c>
      <c r="DN39" s="128">
        <f t="shared" ref="DN39" si="1211">DM39+DN38</f>
        <v>400</v>
      </c>
      <c r="DO39" s="128">
        <f t="shared" ref="DO39" si="1212">DN39+DO38</f>
        <v>420</v>
      </c>
      <c r="DP39" s="140">
        <f>DO39+DP38</f>
        <v>430</v>
      </c>
      <c r="DQ39" s="130">
        <f>DP39+DQ38</f>
        <v>440</v>
      </c>
      <c r="DR39" s="127">
        <f>DQ39+DR38</f>
        <v>470</v>
      </c>
      <c r="DS39" s="128">
        <f t="shared" ref="DS39" si="1213">DR39+DS38</f>
        <v>490</v>
      </c>
      <c r="DT39" s="128">
        <f t="shared" ref="DT39" si="1214">DS39+DT38</f>
        <v>510</v>
      </c>
      <c r="DU39" s="129">
        <f t="shared" ref="DU39" si="1215">DT39+DU38</f>
        <v>530</v>
      </c>
      <c r="DV39" s="127">
        <f t="shared" ref="DV39" si="1216">DU39+DV38</f>
        <v>550</v>
      </c>
      <c r="DW39" s="128">
        <f t="shared" ref="DW39" si="1217">DV39+DW38</f>
        <v>570</v>
      </c>
      <c r="DX39" s="128">
        <f t="shared" ref="DX39" si="1218">DW39+DX38</f>
        <v>590</v>
      </c>
      <c r="DY39" s="129">
        <f t="shared" ref="DY39" si="1219">DX39+DY38</f>
        <v>610</v>
      </c>
      <c r="DZ39" s="127">
        <f t="shared" ref="DZ39" si="1220">DY39+DZ38</f>
        <v>630</v>
      </c>
      <c r="EA39" s="128">
        <f t="shared" ref="EA39" si="1221">DZ39+EA38</f>
        <v>650</v>
      </c>
      <c r="EB39" s="128">
        <f t="shared" ref="EB39" si="1222">EA39+EB38</f>
        <v>650</v>
      </c>
      <c r="EC39" s="139">
        <f t="shared" ref="EC39:ED39" si="1223">EB39+EC38</f>
        <v>650</v>
      </c>
      <c r="ED39" s="129">
        <f t="shared" si="1223"/>
        <v>650</v>
      </c>
      <c r="EE39" s="128">
        <f t="shared" ref="EE39" si="1224">ED39+EE38</f>
        <v>650</v>
      </c>
      <c r="EF39" s="128">
        <f t="shared" ref="EF39" si="1225">EE39+EF38</f>
        <v>650</v>
      </c>
      <c r="EG39" s="139">
        <f t="shared" ref="EG39" si="1226">EF39+EG38</f>
        <v>650</v>
      </c>
      <c r="EH39" s="129">
        <f t="shared" ref="EH39" si="1227">EG39+EH38</f>
        <v>650</v>
      </c>
      <c r="EI39" s="128">
        <f t="shared" ref="EI39" si="1228">EH39+EI38</f>
        <v>650</v>
      </c>
      <c r="EJ39" s="128">
        <f t="shared" ref="EJ39" si="1229">EI39+EJ38</f>
        <v>650</v>
      </c>
      <c r="EK39" s="128">
        <f t="shared" ref="EK39" si="1230">EJ39+EK38</f>
        <v>650</v>
      </c>
      <c r="EL39" s="129">
        <f t="shared" ref="EL39" si="1231">EK39+EL38</f>
        <v>650</v>
      </c>
      <c r="EM39" s="127">
        <f t="shared" ref="EM39" si="1232">EL39+EM38</f>
        <v>650</v>
      </c>
      <c r="EN39" s="128">
        <f t="shared" ref="EN39" si="1233">EM39+EN38</f>
        <v>650</v>
      </c>
      <c r="EO39" s="128">
        <f t="shared" ref="EO39" si="1234">EN39+EO38</f>
        <v>650</v>
      </c>
      <c r="EP39" s="129">
        <f t="shared" ref="EP39" si="1235">EO39+EP38</f>
        <v>650</v>
      </c>
      <c r="EQ39" s="127">
        <f t="shared" ref="EQ39" si="1236">EP39+EQ38</f>
        <v>650</v>
      </c>
      <c r="ER39" s="128">
        <f t="shared" ref="ER39" si="1237">EQ39+ER38</f>
        <v>650</v>
      </c>
      <c r="ES39" s="128">
        <f t="shared" ref="ES39" si="1238">ER39+ES38</f>
        <v>650</v>
      </c>
      <c r="ET39" s="129">
        <f t="shared" ref="ET39" si="1239">ES39+ET38</f>
        <v>650</v>
      </c>
    </row>
    <row r="40" spans="1:150" s="25" customFormat="1" ht="27.75" customHeight="1">
      <c r="A40" s="26" t="s">
        <v>12</v>
      </c>
      <c r="B40" s="31"/>
      <c r="C40" s="641">
        <v>11</v>
      </c>
      <c r="D40" s="213" t="s">
        <v>118</v>
      </c>
      <c r="E40" s="177" t="s">
        <v>32</v>
      </c>
      <c r="F40" s="178" t="s">
        <v>126</v>
      </c>
      <c r="G40" s="114" t="s">
        <v>17</v>
      </c>
      <c r="H40" s="119">
        <v>0</v>
      </c>
      <c r="I40" s="117">
        <v>0</v>
      </c>
      <c r="J40" s="117">
        <v>0</v>
      </c>
      <c r="K40" s="117">
        <v>0</v>
      </c>
      <c r="L40" s="117">
        <v>0</v>
      </c>
      <c r="M40" s="117">
        <v>0</v>
      </c>
      <c r="N40" s="117">
        <v>0</v>
      </c>
      <c r="O40" s="118">
        <v>0</v>
      </c>
      <c r="P40" s="118">
        <v>0</v>
      </c>
      <c r="Q40" s="118">
        <v>0</v>
      </c>
      <c r="R40" s="117">
        <v>0</v>
      </c>
      <c r="S40" s="163">
        <v>0</v>
      </c>
      <c r="T40" s="164">
        <v>0</v>
      </c>
      <c r="U40" s="164">
        <v>0</v>
      </c>
      <c r="V40" s="164">
        <v>0</v>
      </c>
      <c r="W40" s="164">
        <v>0</v>
      </c>
      <c r="X40" s="164">
        <v>0</v>
      </c>
      <c r="Y40" s="164">
        <v>0</v>
      </c>
      <c r="Z40" s="164">
        <v>0</v>
      </c>
      <c r="AA40" s="164">
        <f>SUBTOTAL(9,DM40:DQ40)</f>
        <v>0</v>
      </c>
      <c r="AB40" s="164">
        <f>SUBTOTAL(9,DR40:DU40)</f>
        <v>0</v>
      </c>
      <c r="AC40" s="226">
        <f>SUBTOTAL(9,DV40:DY40)</f>
        <v>0</v>
      </c>
      <c r="AD40" s="218">
        <f>SUBTOTAL(9,DZ40:ED40)</f>
        <v>0</v>
      </c>
      <c r="AE40" s="218">
        <f>SUBTOTAL(9,EE40:EH40)</f>
        <v>0</v>
      </c>
      <c r="AF40" s="218">
        <f>SUBTOTAL(9,EI40:EL40)</f>
        <v>0</v>
      </c>
      <c r="AG40" s="218">
        <f>SUBTOTAL(9,EM40:EP40)</f>
        <v>0</v>
      </c>
      <c r="AH40" s="218">
        <f>SUBTOTAL(9,EQ40:ET40)</f>
        <v>0</v>
      </c>
      <c r="AI40" s="166">
        <v>0</v>
      </c>
      <c r="AJ40" s="166">
        <v>0</v>
      </c>
      <c r="AK40" s="166">
        <v>0</v>
      </c>
      <c r="AL40" s="165">
        <v>0</v>
      </c>
      <c r="AM40" s="167">
        <v>0</v>
      </c>
      <c r="AN40" s="166">
        <v>0</v>
      </c>
      <c r="AO40" s="166">
        <v>0</v>
      </c>
      <c r="AP40" s="168">
        <v>0</v>
      </c>
      <c r="AQ40" s="166">
        <v>0</v>
      </c>
      <c r="AR40" s="166">
        <v>0</v>
      </c>
      <c r="AS40" s="166">
        <v>0</v>
      </c>
      <c r="AT40" s="169">
        <v>0</v>
      </c>
      <c r="AU40" s="170">
        <v>0</v>
      </c>
      <c r="AV40" s="166">
        <v>0</v>
      </c>
      <c r="AW40" s="166">
        <v>0</v>
      </c>
      <c r="AX40" s="166">
        <v>0</v>
      </c>
      <c r="AY40" s="169">
        <v>0</v>
      </c>
      <c r="AZ40" s="167">
        <v>0</v>
      </c>
      <c r="BA40" s="166">
        <v>0</v>
      </c>
      <c r="BB40" s="166">
        <v>0</v>
      </c>
      <c r="BC40" s="169">
        <v>0</v>
      </c>
      <c r="BD40" s="171">
        <v>0</v>
      </c>
      <c r="BE40" s="166">
        <v>0</v>
      </c>
      <c r="BF40" s="172">
        <v>0</v>
      </c>
      <c r="BG40" s="166">
        <v>0</v>
      </c>
      <c r="BH40" s="169">
        <v>0</v>
      </c>
      <c r="BI40" s="171">
        <v>0</v>
      </c>
      <c r="BJ40" s="166">
        <v>0</v>
      </c>
      <c r="BK40" s="166">
        <v>0</v>
      </c>
      <c r="BL40" s="169">
        <v>0</v>
      </c>
      <c r="BM40" s="171">
        <v>0</v>
      </c>
      <c r="BN40" s="166">
        <v>0</v>
      </c>
      <c r="BO40" s="166">
        <v>0</v>
      </c>
      <c r="BP40" s="169">
        <v>0</v>
      </c>
      <c r="BQ40" s="167">
        <v>0</v>
      </c>
      <c r="BR40" s="166">
        <v>0</v>
      </c>
      <c r="BS40" s="166">
        <v>0</v>
      </c>
      <c r="BT40" s="169">
        <v>0</v>
      </c>
      <c r="BU40" s="173">
        <v>0</v>
      </c>
      <c r="BV40" s="171">
        <v>0</v>
      </c>
      <c r="BW40" s="166">
        <v>0</v>
      </c>
      <c r="BX40" s="166">
        <v>0</v>
      </c>
      <c r="BY40" s="168">
        <v>0</v>
      </c>
      <c r="BZ40" s="167">
        <v>0</v>
      </c>
      <c r="CA40" s="166">
        <v>0</v>
      </c>
      <c r="CB40" s="166">
        <v>0</v>
      </c>
      <c r="CC40" s="174">
        <v>0</v>
      </c>
      <c r="CD40" s="173">
        <v>0</v>
      </c>
      <c r="CE40" s="182">
        <v>0</v>
      </c>
      <c r="CF40" s="183">
        <v>0</v>
      </c>
      <c r="CG40" s="175">
        <v>0</v>
      </c>
      <c r="CH40" s="173">
        <v>0</v>
      </c>
      <c r="CI40" s="184">
        <v>0</v>
      </c>
      <c r="CJ40" s="175">
        <v>0</v>
      </c>
      <c r="CK40" s="175">
        <v>0</v>
      </c>
      <c r="CL40" s="173">
        <v>0</v>
      </c>
      <c r="CM40" s="184">
        <v>0</v>
      </c>
      <c r="CN40" s="175">
        <v>0</v>
      </c>
      <c r="CO40" s="175">
        <v>0</v>
      </c>
      <c r="CP40" s="173">
        <v>0</v>
      </c>
      <c r="CQ40" s="184">
        <v>0</v>
      </c>
      <c r="CR40" s="175">
        <v>0</v>
      </c>
      <c r="CS40" s="175">
        <v>0</v>
      </c>
      <c r="CT40" s="176">
        <v>0</v>
      </c>
      <c r="CU40" s="173">
        <v>0</v>
      </c>
      <c r="CV40" s="184">
        <v>0</v>
      </c>
      <c r="CW40" s="175">
        <v>0</v>
      </c>
      <c r="CX40" s="175">
        <v>0</v>
      </c>
      <c r="CY40" s="173">
        <v>0</v>
      </c>
      <c r="CZ40" s="184">
        <v>0</v>
      </c>
      <c r="DA40" s="175">
        <v>0</v>
      </c>
      <c r="DB40" s="175">
        <v>0</v>
      </c>
      <c r="DC40" s="173">
        <v>0</v>
      </c>
      <c r="DD40" s="184">
        <v>0</v>
      </c>
      <c r="DE40" s="175">
        <v>0</v>
      </c>
      <c r="DF40" s="176">
        <v>0</v>
      </c>
      <c r="DG40" s="175">
        <v>0</v>
      </c>
      <c r="DH40" s="173">
        <v>0</v>
      </c>
      <c r="DI40" s="184">
        <v>0</v>
      </c>
      <c r="DJ40" s="175">
        <v>0</v>
      </c>
      <c r="DK40" s="175">
        <v>0</v>
      </c>
      <c r="DL40" s="173">
        <v>0</v>
      </c>
      <c r="DM40" s="184"/>
      <c r="DN40" s="175"/>
      <c r="DO40" s="175"/>
      <c r="DP40" s="175"/>
      <c r="DQ40" s="173"/>
      <c r="DR40" s="184"/>
      <c r="DS40" s="175"/>
      <c r="DT40" s="175"/>
      <c r="DU40" s="173"/>
      <c r="DV40" s="171">
        <v>0</v>
      </c>
      <c r="DW40" s="175">
        <v>0</v>
      </c>
      <c r="DX40" s="175">
        <v>0</v>
      </c>
      <c r="DY40" s="173">
        <v>0</v>
      </c>
      <c r="DZ40" s="184">
        <v>0</v>
      </c>
      <c r="EA40" s="175">
        <v>0</v>
      </c>
      <c r="EB40" s="175">
        <v>0</v>
      </c>
      <c r="EC40" s="218">
        <v>0</v>
      </c>
      <c r="ED40" s="239">
        <v>0</v>
      </c>
      <c r="EE40" s="184"/>
      <c r="EF40" s="175"/>
      <c r="EG40" s="218"/>
      <c r="EH40" s="239"/>
      <c r="EI40" s="184"/>
      <c r="EJ40" s="175"/>
      <c r="EK40" s="175"/>
      <c r="EL40" s="173"/>
      <c r="EM40" s="184"/>
      <c r="EN40" s="175"/>
      <c r="EO40" s="175"/>
      <c r="EP40" s="173"/>
      <c r="EQ40" s="184"/>
      <c r="ER40" s="175"/>
      <c r="ES40" s="175"/>
      <c r="ET40" s="173"/>
    </row>
    <row r="41" spans="1:150" s="25" customFormat="1" ht="27.75" customHeight="1" thickBot="1">
      <c r="A41" s="26" t="s">
        <v>12</v>
      </c>
      <c r="B41" s="31"/>
      <c r="C41" s="642"/>
      <c r="D41" s="179"/>
      <c r="E41" s="180"/>
      <c r="F41" s="181"/>
      <c r="G41" s="120" t="s">
        <v>18</v>
      </c>
      <c r="H41" s="121">
        <v>0</v>
      </c>
      <c r="I41" s="122">
        <f t="shared" ref="I41" si="1240">H41+I40</f>
        <v>0</v>
      </c>
      <c r="J41" s="122">
        <f t="shared" ref="J41" si="1241">I41+J40</f>
        <v>0</v>
      </c>
      <c r="K41" s="122">
        <f t="shared" ref="K41" si="1242">J41+K40</f>
        <v>0</v>
      </c>
      <c r="L41" s="122">
        <f t="shared" ref="L41" si="1243">K41+L40</f>
        <v>0</v>
      </c>
      <c r="M41" s="123">
        <f t="shared" ref="M41" si="1244">L41+M40</f>
        <v>0</v>
      </c>
      <c r="N41" s="122">
        <f t="shared" ref="N41" si="1245">M41+N40</f>
        <v>0</v>
      </c>
      <c r="O41" s="123">
        <f t="shared" ref="O41" si="1246">N41+O40</f>
        <v>0</v>
      </c>
      <c r="P41" s="123">
        <f t="shared" ref="P41" si="1247">O41+P40</f>
        <v>0</v>
      </c>
      <c r="Q41" s="123">
        <f t="shared" ref="Q41" si="1248">P41+Q40</f>
        <v>0</v>
      </c>
      <c r="R41" s="122">
        <f t="shared" ref="R41:T41" si="1249">Q41+R40</f>
        <v>0</v>
      </c>
      <c r="S41" s="122">
        <f t="shared" si="1249"/>
        <v>0</v>
      </c>
      <c r="T41" s="123">
        <f t="shared" si="1249"/>
        <v>0</v>
      </c>
      <c r="U41" s="123">
        <f t="shared" ref="U41:W41" si="1250">T41+U40</f>
        <v>0</v>
      </c>
      <c r="V41" s="123">
        <f t="shared" si="1250"/>
        <v>0</v>
      </c>
      <c r="W41" s="123">
        <f t="shared" si="1250"/>
        <v>0</v>
      </c>
      <c r="X41" s="123">
        <f t="shared" ref="X41" si="1251">W41+X40</f>
        <v>0</v>
      </c>
      <c r="Y41" s="123">
        <f t="shared" ref="Y41:AB41" si="1252">X41+Y40</f>
        <v>0</v>
      </c>
      <c r="Z41" s="123">
        <f t="shared" si="1252"/>
        <v>0</v>
      </c>
      <c r="AA41" s="123">
        <f t="shared" si="1252"/>
        <v>0</v>
      </c>
      <c r="AB41" s="123">
        <f t="shared" si="1252"/>
        <v>0</v>
      </c>
      <c r="AC41" s="227">
        <f t="shared" ref="AC41:AH41" si="1253">AB41+AC40</f>
        <v>0</v>
      </c>
      <c r="AD41" s="136">
        <f t="shared" si="1253"/>
        <v>0</v>
      </c>
      <c r="AE41" s="145">
        <f t="shared" si="1253"/>
        <v>0</v>
      </c>
      <c r="AF41" s="137">
        <f t="shared" si="1253"/>
        <v>0</v>
      </c>
      <c r="AG41" s="137">
        <f t="shared" si="1253"/>
        <v>0</v>
      </c>
      <c r="AH41" s="146">
        <f t="shared" si="1253"/>
        <v>0</v>
      </c>
      <c r="AI41" s="124">
        <v>0</v>
      </c>
      <c r="AJ41" s="124">
        <f t="shared" ref="AJ41" si="1254">AI41+AJ40</f>
        <v>0</v>
      </c>
      <c r="AK41" s="124">
        <f t="shared" ref="AK41" si="1255">AJ41+AK40</f>
        <v>0</v>
      </c>
      <c r="AL41" s="126">
        <f t="shared" ref="AL41" si="1256">AK41+AL40</f>
        <v>0</v>
      </c>
      <c r="AM41" s="124">
        <f t="shared" ref="AM41" si="1257">AL41+AM40</f>
        <v>0</v>
      </c>
      <c r="AN41" s="124">
        <f t="shared" ref="AN41" si="1258">AM41+AN40</f>
        <v>0</v>
      </c>
      <c r="AO41" s="124">
        <f t="shared" ref="AO41" si="1259">AN41+AO40</f>
        <v>0</v>
      </c>
      <c r="AP41" s="133">
        <f t="shared" ref="AP41" si="1260">AO41+AP40</f>
        <v>0</v>
      </c>
      <c r="AQ41" s="124">
        <f>AP41+AQ40</f>
        <v>0</v>
      </c>
      <c r="AR41" s="124">
        <f t="shared" ref="AR41" si="1261">AQ41+AR40</f>
        <v>0</v>
      </c>
      <c r="AS41" s="124">
        <f t="shared" ref="AS41" si="1262">AR41+AS40</f>
        <v>0</v>
      </c>
      <c r="AT41" s="125">
        <f t="shared" ref="AT41" si="1263">AS41+AT40</f>
        <v>0</v>
      </c>
      <c r="AU41" s="134">
        <f>AT41+AU40</f>
        <v>0</v>
      </c>
      <c r="AV41" s="124">
        <f t="shared" ref="AV41" si="1264">AU41+AV40</f>
        <v>0</v>
      </c>
      <c r="AW41" s="124">
        <f t="shared" ref="AW41" si="1265">AV41+AW40</f>
        <v>0</v>
      </c>
      <c r="AX41" s="124">
        <f t="shared" ref="AX41" si="1266">AW41+AX40</f>
        <v>0</v>
      </c>
      <c r="AY41" s="125">
        <f t="shared" ref="AY41" si="1267">AX41+AY40</f>
        <v>0</v>
      </c>
      <c r="AZ41" s="121">
        <f>AY41+AZ40</f>
        <v>0</v>
      </c>
      <c r="BA41" s="124">
        <f t="shared" ref="BA41" si="1268">AZ41+BA40</f>
        <v>0</v>
      </c>
      <c r="BB41" s="124">
        <f t="shared" ref="BB41" si="1269">BA41+BB40</f>
        <v>0</v>
      </c>
      <c r="BC41" s="125">
        <f t="shared" ref="BC41" si="1270">BB41+BC40</f>
        <v>0</v>
      </c>
      <c r="BD41" s="121">
        <f t="shared" ref="BD41" si="1271">BC41+BD40</f>
        <v>0</v>
      </c>
      <c r="BE41" s="124">
        <f t="shared" ref="BE41" si="1272">BD41+BE40</f>
        <v>0</v>
      </c>
      <c r="BF41" s="124">
        <f t="shared" ref="BF41" si="1273">BE41+BF40</f>
        <v>0</v>
      </c>
      <c r="BG41" s="124">
        <f t="shared" ref="BG41" si="1274">BF41+BG40</f>
        <v>0</v>
      </c>
      <c r="BH41" s="125">
        <f t="shared" ref="BH41" si="1275">BG41+BH40</f>
        <v>0</v>
      </c>
      <c r="BI41" s="121">
        <f>BH41+BI40</f>
        <v>0</v>
      </c>
      <c r="BJ41" s="124">
        <f t="shared" ref="BJ41" si="1276">BI41+BJ40</f>
        <v>0</v>
      </c>
      <c r="BK41" s="124">
        <f t="shared" ref="BK41" si="1277">BJ41+BK40</f>
        <v>0</v>
      </c>
      <c r="BL41" s="125">
        <f t="shared" ref="BL41" si="1278">BK41+BL40</f>
        <v>0</v>
      </c>
      <c r="BM41" s="121">
        <f t="shared" ref="BM41" si="1279">BL41+BM40</f>
        <v>0</v>
      </c>
      <c r="BN41" s="124">
        <f t="shared" ref="BN41" si="1280">BM41+BN40</f>
        <v>0</v>
      </c>
      <c r="BO41" s="124">
        <f t="shared" ref="BO41" si="1281">BN41+BO40</f>
        <v>0</v>
      </c>
      <c r="BP41" s="125">
        <f t="shared" ref="BP41" si="1282">BO41+BP40</f>
        <v>0</v>
      </c>
      <c r="BQ41" s="121">
        <f>BP41+BQ40</f>
        <v>0</v>
      </c>
      <c r="BR41" s="124">
        <f t="shared" ref="BR41" si="1283">BQ41+BR40</f>
        <v>0</v>
      </c>
      <c r="BS41" s="124">
        <f t="shared" ref="BS41" si="1284">BR41+BS40</f>
        <v>0</v>
      </c>
      <c r="BT41" s="124">
        <f t="shared" ref="BT41" si="1285">BS41+BT40</f>
        <v>0</v>
      </c>
      <c r="BU41" s="126">
        <f t="shared" ref="BU41" si="1286">BT41+BU40</f>
        <v>0</v>
      </c>
      <c r="BV41" s="121">
        <f t="shared" ref="BV41" si="1287">BU41+BV40</f>
        <v>0</v>
      </c>
      <c r="BW41" s="124">
        <f t="shared" ref="BW41" si="1288">BV41+BW40</f>
        <v>0</v>
      </c>
      <c r="BX41" s="124">
        <f t="shared" ref="BX41" si="1289">BW41+BX40</f>
        <v>0</v>
      </c>
      <c r="BY41" s="133">
        <f t="shared" ref="BY41" si="1290">BX41+BY40</f>
        <v>0</v>
      </c>
      <c r="BZ41" s="121">
        <f>BY41+BZ40</f>
        <v>0</v>
      </c>
      <c r="CA41" s="124">
        <f t="shared" ref="CA41" si="1291">BZ41+CA40</f>
        <v>0</v>
      </c>
      <c r="CB41" s="124">
        <f t="shared" ref="CB41" si="1292">CA41+CB40</f>
        <v>0</v>
      </c>
      <c r="CC41" s="124">
        <f t="shared" ref="CC41" si="1293">CB41+CC40</f>
        <v>0</v>
      </c>
      <c r="CD41" s="126">
        <f t="shared" ref="CD41" si="1294">CC41+CD40</f>
        <v>0</v>
      </c>
      <c r="CE41" s="127">
        <f t="shared" ref="CE41" si="1295">CD41+CE40</f>
        <v>0</v>
      </c>
      <c r="CF41" s="128">
        <f t="shared" ref="CF41" si="1296">CE41+CF40</f>
        <v>0</v>
      </c>
      <c r="CG41" s="128">
        <f t="shared" ref="CG41" si="1297">CF41+CG40</f>
        <v>0</v>
      </c>
      <c r="CH41" s="129">
        <f t="shared" ref="CH41" si="1298">CG41+CH40</f>
        <v>0</v>
      </c>
      <c r="CI41" s="127">
        <f t="shared" ref="CI41" si="1299">CH41+CI40</f>
        <v>0</v>
      </c>
      <c r="CJ41" s="128">
        <f t="shared" ref="CJ41" si="1300">CI41+CJ40</f>
        <v>0</v>
      </c>
      <c r="CK41" s="128">
        <f t="shared" ref="CK41" si="1301">CJ41+CK40</f>
        <v>0</v>
      </c>
      <c r="CL41" s="129">
        <f t="shared" ref="CL41" si="1302">CK41+CL40</f>
        <v>0</v>
      </c>
      <c r="CM41" s="127">
        <f t="shared" ref="CM41" si="1303">CL41+CM40</f>
        <v>0</v>
      </c>
      <c r="CN41" s="128">
        <f t="shared" ref="CN41" si="1304">CM41+CN40</f>
        <v>0</v>
      </c>
      <c r="CO41" s="128">
        <f t="shared" ref="CO41" si="1305">CN41+CO40</f>
        <v>0</v>
      </c>
      <c r="CP41" s="129">
        <f t="shared" ref="CP41" si="1306">CO41+CP40</f>
        <v>0</v>
      </c>
      <c r="CQ41" s="127">
        <f t="shared" ref="CQ41" si="1307">CP41+CQ40</f>
        <v>0</v>
      </c>
      <c r="CR41" s="128">
        <f t="shared" ref="CR41" si="1308">CQ41+CR40</f>
        <v>0</v>
      </c>
      <c r="CS41" s="128">
        <f t="shared" ref="CS41" si="1309">CR41+CS40</f>
        <v>0</v>
      </c>
      <c r="CT41" s="128">
        <f t="shared" ref="CT41" si="1310">CS41+CT40</f>
        <v>0</v>
      </c>
      <c r="CU41" s="129">
        <f t="shared" ref="CU41" si="1311">CT41+CU40</f>
        <v>0</v>
      </c>
      <c r="CV41" s="127">
        <f t="shared" ref="CV41" si="1312">CU41+CV40</f>
        <v>0</v>
      </c>
      <c r="CW41" s="128">
        <f t="shared" ref="CW41" si="1313">CV41+CW40</f>
        <v>0</v>
      </c>
      <c r="CX41" s="128">
        <f t="shared" ref="CX41" si="1314">CW41+CX40</f>
        <v>0</v>
      </c>
      <c r="CY41" s="129">
        <f t="shared" ref="CY41" si="1315">CX41+CY40</f>
        <v>0</v>
      </c>
      <c r="CZ41" s="127">
        <f t="shared" ref="CZ41" si="1316">CY41+CZ40</f>
        <v>0</v>
      </c>
      <c r="DA41" s="128">
        <f t="shared" ref="DA41" si="1317">CZ41+DA40</f>
        <v>0</v>
      </c>
      <c r="DB41" s="128">
        <f t="shared" ref="DB41" si="1318">DA41+DB40</f>
        <v>0</v>
      </c>
      <c r="DC41" s="129">
        <f t="shared" ref="DC41" si="1319">DB41+DC40</f>
        <v>0</v>
      </c>
      <c r="DD41" s="127">
        <f t="shared" ref="DD41" si="1320">DC41+DD40</f>
        <v>0</v>
      </c>
      <c r="DE41" s="128">
        <f t="shared" ref="DE41" si="1321">DD41+DE40</f>
        <v>0</v>
      </c>
      <c r="DF41" s="128">
        <f t="shared" ref="DF41" si="1322">DE41+DF40</f>
        <v>0</v>
      </c>
      <c r="DG41" s="140">
        <f t="shared" ref="DG41:DH41" si="1323">DF41+DG40</f>
        <v>0</v>
      </c>
      <c r="DH41" s="130">
        <f t="shared" si="1323"/>
        <v>0</v>
      </c>
      <c r="DI41" s="127">
        <f t="shared" ref="DI41" si="1324">DH41+DI40</f>
        <v>0</v>
      </c>
      <c r="DJ41" s="128">
        <f t="shared" ref="DJ41" si="1325">DI41+DJ40</f>
        <v>0</v>
      </c>
      <c r="DK41" s="128">
        <f t="shared" ref="DK41" si="1326">DJ41+DK40</f>
        <v>0</v>
      </c>
      <c r="DL41" s="129">
        <f t="shared" ref="DL41" si="1327">DK41+DL40</f>
        <v>0</v>
      </c>
      <c r="DM41" s="127">
        <f t="shared" ref="DM41" si="1328">DL41+DM40</f>
        <v>0</v>
      </c>
      <c r="DN41" s="128">
        <f t="shared" ref="DN41" si="1329">DM41+DN40</f>
        <v>0</v>
      </c>
      <c r="DO41" s="128">
        <f t="shared" ref="DO41" si="1330">DN41+DO40</f>
        <v>0</v>
      </c>
      <c r="DP41" s="140">
        <f>DO41+DP40</f>
        <v>0</v>
      </c>
      <c r="DQ41" s="130">
        <f>DP41+DQ40</f>
        <v>0</v>
      </c>
      <c r="DR41" s="127">
        <f>DQ41+DR40</f>
        <v>0</v>
      </c>
      <c r="DS41" s="128">
        <f t="shared" ref="DS41" si="1331">DR41+DS40</f>
        <v>0</v>
      </c>
      <c r="DT41" s="128">
        <f t="shared" ref="DT41" si="1332">DS41+DT40</f>
        <v>0</v>
      </c>
      <c r="DU41" s="129">
        <f t="shared" ref="DU41" si="1333">DT41+DU40</f>
        <v>0</v>
      </c>
      <c r="DV41" s="127">
        <f t="shared" ref="DV41" si="1334">DU41+DV40</f>
        <v>0</v>
      </c>
      <c r="DW41" s="128">
        <f t="shared" ref="DW41" si="1335">DV41+DW40</f>
        <v>0</v>
      </c>
      <c r="DX41" s="128">
        <f t="shared" ref="DX41" si="1336">DW41+DX40</f>
        <v>0</v>
      </c>
      <c r="DY41" s="129">
        <f t="shared" ref="DY41" si="1337">DX41+DY40</f>
        <v>0</v>
      </c>
      <c r="DZ41" s="127">
        <f t="shared" ref="DZ41" si="1338">DY41+DZ40</f>
        <v>0</v>
      </c>
      <c r="EA41" s="128">
        <f t="shared" ref="EA41" si="1339">DZ41+EA40</f>
        <v>0</v>
      </c>
      <c r="EB41" s="128">
        <f t="shared" ref="EB41" si="1340">EA41+EB40</f>
        <v>0</v>
      </c>
      <c r="EC41" s="139">
        <f t="shared" ref="EC41:ED41" si="1341">EB41+EC40</f>
        <v>0</v>
      </c>
      <c r="ED41" s="129">
        <f t="shared" si="1341"/>
        <v>0</v>
      </c>
      <c r="EE41" s="128">
        <f t="shared" ref="EE41" si="1342">ED41+EE40</f>
        <v>0</v>
      </c>
      <c r="EF41" s="128">
        <f t="shared" ref="EF41" si="1343">EE41+EF40</f>
        <v>0</v>
      </c>
      <c r="EG41" s="139">
        <f t="shared" ref="EG41" si="1344">EF41+EG40</f>
        <v>0</v>
      </c>
      <c r="EH41" s="129">
        <f t="shared" ref="EH41" si="1345">EG41+EH40</f>
        <v>0</v>
      </c>
      <c r="EI41" s="144">
        <f t="shared" ref="EI41" si="1346">EH41+EI40</f>
        <v>0</v>
      </c>
      <c r="EJ41" s="128">
        <f t="shared" ref="EJ41" si="1347">EI41+EJ40</f>
        <v>0</v>
      </c>
      <c r="EK41" s="128">
        <f t="shared" ref="EK41" si="1348">EJ41+EK40</f>
        <v>0</v>
      </c>
      <c r="EL41" s="129">
        <f t="shared" ref="EL41" si="1349">EK41+EL40</f>
        <v>0</v>
      </c>
      <c r="EM41" s="127">
        <f t="shared" ref="EM41" si="1350">EL41+EM40</f>
        <v>0</v>
      </c>
      <c r="EN41" s="128">
        <f t="shared" ref="EN41" si="1351">EM41+EN40</f>
        <v>0</v>
      </c>
      <c r="EO41" s="128">
        <f t="shared" ref="EO41" si="1352">EN41+EO40</f>
        <v>0</v>
      </c>
      <c r="EP41" s="129">
        <f t="shared" ref="EP41" si="1353">EO41+EP40</f>
        <v>0</v>
      </c>
      <c r="EQ41" s="127">
        <f t="shared" ref="EQ41" si="1354">EP41+EQ40</f>
        <v>0</v>
      </c>
      <c r="ER41" s="128">
        <f t="shared" ref="ER41" si="1355">EQ41+ER40</f>
        <v>0</v>
      </c>
      <c r="ES41" s="128">
        <f t="shared" ref="ES41" si="1356">ER41+ES40</f>
        <v>0</v>
      </c>
      <c r="ET41" s="129">
        <f t="shared" ref="ET41" si="1357">ES41+ET40</f>
        <v>0</v>
      </c>
    </row>
    <row r="42" spans="1:150" s="25" customFormat="1" ht="27.75" customHeight="1">
      <c r="A42" s="26" t="s">
        <v>12</v>
      </c>
      <c r="B42" s="26"/>
      <c r="C42" s="643">
        <v>12</v>
      </c>
      <c r="D42" s="213" t="s">
        <v>62</v>
      </c>
      <c r="E42" s="177" t="s">
        <v>32</v>
      </c>
      <c r="F42" s="178" t="s">
        <v>128</v>
      </c>
      <c r="G42" s="114" t="s">
        <v>17</v>
      </c>
      <c r="H42" s="119">
        <v>930</v>
      </c>
      <c r="I42" s="117">
        <v>540</v>
      </c>
      <c r="J42" s="117">
        <v>290</v>
      </c>
      <c r="K42" s="117">
        <v>610</v>
      </c>
      <c r="L42" s="117">
        <v>500</v>
      </c>
      <c r="M42" s="117">
        <v>800</v>
      </c>
      <c r="N42" s="117">
        <v>860</v>
      </c>
      <c r="O42" s="118">
        <v>780</v>
      </c>
      <c r="P42" s="118">
        <v>1460</v>
      </c>
      <c r="Q42" s="118">
        <v>620</v>
      </c>
      <c r="R42" s="117">
        <v>500</v>
      </c>
      <c r="S42" s="163">
        <v>560</v>
      </c>
      <c r="T42" s="164">
        <v>480</v>
      </c>
      <c r="U42" s="164">
        <v>940</v>
      </c>
      <c r="V42" s="164">
        <v>620</v>
      </c>
      <c r="W42" s="164">
        <v>630</v>
      </c>
      <c r="X42" s="164">
        <v>410</v>
      </c>
      <c r="Y42" s="164">
        <v>850</v>
      </c>
      <c r="Z42" s="164">
        <v>410</v>
      </c>
      <c r="AA42" s="164">
        <f>SUBTOTAL(9,DM42:DQ42)</f>
        <v>470</v>
      </c>
      <c r="AB42" s="164">
        <f>SUBTOTAL(9,DR42:DU42)</f>
        <v>540</v>
      </c>
      <c r="AC42" s="164">
        <f>SUBTOTAL(9,DV42:DY42)</f>
        <v>430</v>
      </c>
      <c r="AD42" s="218">
        <f>SUBTOTAL(9,DZ42:ED42)</f>
        <v>420</v>
      </c>
      <c r="AE42" s="218">
        <f>SUBTOTAL(9,EE42:EH42)</f>
        <v>0</v>
      </c>
      <c r="AF42" s="218">
        <f>SUBTOTAL(9,EI42:EL42)</f>
        <v>0</v>
      </c>
      <c r="AG42" s="218">
        <f>SUBTOTAL(9,EM42:EP42)</f>
        <v>0</v>
      </c>
      <c r="AH42" s="218">
        <f>SUBTOTAL(9,EQ42:ET42)</f>
        <v>0</v>
      </c>
      <c r="AI42" s="166">
        <v>680</v>
      </c>
      <c r="AJ42" s="166">
        <v>230</v>
      </c>
      <c r="AK42" s="166">
        <v>230</v>
      </c>
      <c r="AL42" s="165">
        <v>230</v>
      </c>
      <c r="AM42" s="167">
        <v>140</v>
      </c>
      <c r="AN42" s="166">
        <v>140</v>
      </c>
      <c r="AO42" s="166">
        <v>130</v>
      </c>
      <c r="AP42" s="168">
        <v>130</v>
      </c>
      <c r="AQ42" s="166">
        <v>80</v>
      </c>
      <c r="AR42" s="166">
        <v>70</v>
      </c>
      <c r="AS42" s="166">
        <v>70</v>
      </c>
      <c r="AT42" s="169">
        <v>70</v>
      </c>
      <c r="AU42" s="170">
        <v>0</v>
      </c>
      <c r="AV42" s="166">
        <v>160</v>
      </c>
      <c r="AW42" s="166">
        <v>150</v>
      </c>
      <c r="AX42" s="166">
        <v>150</v>
      </c>
      <c r="AY42" s="169">
        <v>150</v>
      </c>
      <c r="AZ42" s="167">
        <v>120</v>
      </c>
      <c r="BA42" s="166">
        <v>120</v>
      </c>
      <c r="BB42" s="166">
        <v>130</v>
      </c>
      <c r="BC42" s="169">
        <v>130</v>
      </c>
      <c r="BD42" s="171">
        <v>200</v>
      </c>
      <c r="BE42" s="166">
        <v>200</v>
      </c>
      <c r="BF42" s="172">
        <v>0</v>
      </c>
      <c r="BG42" s="166">
        <v>200</v>
      </c>
      <c r="BH42" s="169">
        <v>200</v>
      </c>
      <c r="BI42" s="171">
        <v>220</v>
      </c>
      <c r="BJ42" s="166">
        <v>220</v>
      </c>
      <c r="BK42" s="166">
        <v>210</v>
      </c>
      <c r="BL42" s="169">
        <v>210</v>
      </c>
      <c r="BM42" s="171">
        <v>200</v>
      </c>
      <c r="BN42" s="166">
        <v>200</v>
      </c>
      <c r="BO42" s="166">
        <v>190</v>
      </c>
      <c r="BP42" s="169">
        <v>190</v>
      </c>
      <c r="BQ42" s="167">
        <v>300</v>
      </c>
      <c r="BR42" s="166">
        <v>290</v>
      </c>
      <c r="BS42" s="166">
        <v>290</v>
      </c>
      <c r="BT42" s="169">
        <v>290</v>
      </c>
      <c r="BU42" s="173">
        <v>290</v>
      </c>
      <c r="BV42" s="171">
        <v>150</v>
      </c>
      <c r="BW42" s="166">
        <v>150</v>
      </c>
      <c r="BX42" s="166">
        <v>160</v>
      </c>
      <c r="BY42" s="168">
        <v>160</v>
      </c>
      <c r="BZ42" s="167">
        <v>120</v>
      </c>
      <c r="CA42" s="166">
        <v>120</v>
      </c>
      <c r="CB42" s="166">
        <v>130</v>
      </c>
      <c r="CC42" s="174">
        <v>0</v>
      </c>
      <c r="CD42" s="173">
        <v>130</v>
      </c>
      <c r="CE42" s="182">
        <v>0</v>
      </c>
      <c r="CF42" s="183">
        <v>190</v>
      </c>
      <c r="CG42" s="175">
        <v>190</v>
      </c>
      <c r="CH42" s="173">
        <v>180</v>
      </c>
      <c r="CI42" s="184">
        <v>120</v>
      </c>
      <c r="CJ42" s="175">
        <v>120</v>
      </c>
      <c r="CK42" s="175">
        <v>120</v>
      </c>
      <c r="CL42" s="173">
        <v>120</v>
      </c>
      <c r="CM42" s="184">
        <v>230</v>
      </c>
      <c r="CN42" s="175">
        <v>240</v>
      </c>
      <c r="CO42" s="175">
        <v>230</v>
      </c>
      <c r="CP42" s="173">
        <v>240</v>
      </c>
      <c r="CQ42" s="184">
        <v>150</v>
      </c>
      <c r="CR42" s="175">
        <v>150</v>
      </c>
      <c r="CS42" s="175">
        <v>160</v>
      </c>
      <c r="CT42" s="176">
        <v>0</v>
      </c>
      <c r="CU42" s="173">
        <v>160</v>
      </c>
      <c r="CV42" s="184">
        <v>150</v>
      </c>
      <c r="CW42" s="175">
        <v>160</v>
      </c>
      <c r="CX42" s="175">
        <v>160</v>
      </c>
      <c r="CY42" s="173">
        <v>160</v>
      </c>
      <c r="CZ42" s="184">
        <v>100</v>
      </c>
      <c r="DA42" s="175">
        <v>100</v>
      </c>
      <c r="DB42" s="175">
        <v>100</v>
      </c>
      <c r="DC42" s="173">
        <v>110</v>
      </c>
      <c r="DD42" s="184">
        <v>210</v>
      </c>
      <c r="DE42" s="175">
        <v>210</v>
      </c>
      <c r="DF42" s="176">
        <v>0</v>
      </c>
      <c r="DG42" s="175">
        <v>210</v>
      </c>
      <c r="DH42" s="173">
        <v>220</v>
      </c>
      <c r="DI42" s="184">
        <v>100</v>
      </c>
      <c r="DJ42" s="175">
        <v>100</v>
      </c>
      <c r="DK42" s="175">
        <v>100</v>
      </c>
      <c r="DL42" s="173">
        <v>110</v>
      </c>
      <c r="DM42" s="184">
        <v>100</v>
      </c>
      <c r="DN42" s="175">
        <v>100</v>
      </c>
      <c r="DO42" s="175">
        <v>90</v>
      </c>
      <c r="DP42" s="175">
        <v>90</v>
      </c>
      <c r="DQ42" s="173">
        <v>90</v>
      </c>
      <c r="DR42" s="184">
        <v>140</v>
      </c>
      <c r="DS42" s="175">
        <v>140</v>
      </c>
      <c r="DT42" s="175">
        <v>130</v>
      </c>
      <c r="DU42" s="173">
        <v>130</v>
      </c>
      <c r="DV42" s="171">
        <v>110</v>
      </c>
      <c r="DW42" s="175">
        <v>110</v>
      </c>
      <c r="DX42" s="175">
        <v>110</v>
      </c>
      <c r="DY42" s="173">
        <v>100</v>
      </c>
      <c r="DZ42" s="184">
        <v>100</v>
      </c>
      <c r="EA42" s="175">
        <v>100</v>
      </c>
      <c r="EB42" s="175">
        <v>100</v>
      </c>
      <c r="EC42" s="218">
        <v>60</v>
      </c>
      <c r="ED42" s="239">
        <v>60</v>
      </c>
      <c r="EE42" s="184"/>
      <c r="EF42" s="175"/>
      <c r="EG42" s="218"/>
      <c r="EH42" s="239"/>
      <c r="EI42" s="184"/>
      <c r="EJ42" s="175"/>
      <c r="EK42" s="175"/>
      <c r="EL42" s="173"/>
      <c r="EM42" s="184"/>
      <c r="EN42" s="175"/>
      <c r="EO42" s="175"/>
      <c r="EP42" s="173"/>
      <c r="EQ42" s="184"/>
      <c r="ER42" s="175"/>
      <c r="ES42" s="175"/>
      <c r="ET42" s="173"/>
    </row>
    <row r="43" spans="1:150" s="25" customFormat="1" ht="27.75" customHeight="1" thickBot="1">
      <c r="A43" s="26" t="s">
        <v>12</v>
      </c>
      <c r="B43" s="26"/>
      <c r="C43" s="644"/>
      <c r="D43" s="179"/>
      <c r="E43" s="180"/>
      <c r="F43" s="181"/>
      <c r="G43" s="120" t="s">
        <v>18</v>
      </c>
      <c r="H43" s="135">
        <v>11864</v>
      </c>
      <c r="I43" s="136">
        <f>H43+I42</f>
        <v>12404</v>
      </c>
      <c r="J43" s="136">
        <f>I43+J42</f>
        <v>12694</v>
      </c>
      <c r="K43" s="136">
        <f t="shared" ref="K43" si="1358">J43+K42</f>
        <v>13304</v>
      </c>
      <c r="L43" s="136">
        <f t="shared" ref="L43" si="1359">K43+L42</f>
        <v>13804</v>
      </c>
      <c r="M43" s="137">
        <f t="shared" ref="M43:Q43" si="1360">L43+M42</f>
        <v>14604</v>
      </c>
      <c r="N43" s="137">
        <f t="shared" si="1360"/>
        <v>15464</v>
      </c>
      <c r="O43" s="138">
        <f t="shared" si="1360"/>
        <v>16244</v>
      </c>
      <c r="P43" s="138">
        <f t="shared" si="1360"/>
        <v>17704</v>
      </c>
      <c r="Q43" s="138">
        <f t="shared" si="1360"/>
        <v>18324</v>
      </c>
      <c r="R43" s="138">
        <f t="shared" ref="R43:T43" si="1361">Q43+R42</f>
        <v>18824</v>
      </c>
      <c r="S43" s="139">
        <f t="shared" si="1361"/>
        <v>19384</v>
      </c>
      <c r="T43" s="138">
        <f t="shared" si="1361"/>
        <v>19864</v>
      </c>
      <c r="U43" s="138">
        <f t="shared" ref="U43:W43" si="1362">T43+U42</f>
        <v>20804</v>
      </c>
      <c r="V43" s="138">
        <f t="shared" si="1362"/>
        <v>21424</v>
      </c>
      <c r="W43" s="138">
        <f t="shared" si="1362"/>
        <v>22054</v>
      </c>
      <c r="X43" s="123">
        <f t="shared" ref="X43" si="1363">W43+X42</f>
        <v>22464</v>
      </c>
      <c r="Y43" s="123">
        <f t="shared" ref="Y43:AB43" si="1364">X43+Y42</f>
        <v>23314</v>
      </c>
      <c r="Z43" s="123">
        <f t="shared" si="1364"/>
        <v>23724</v>
      </c>
      <c r="AA43" s="123">
        <f t="shared" si="1364"/>
        <v>24194</v>
      </c>
      <c r="AB43" s="123">
        <f t="shared" si="1364"/>
        <v>24734</v>
      </c>
      <c r="AC43" s="138">
        <f t="shared" ref="AC43:AH43" si="1365">AB43+AC42</f>
        <v>25164</v>
      </c>
      <c r="AD43" s="139">
        <f t="shared" si="1365"/>
        <v>25584</v>
      </c>
      <c r="AE43" s="140">
        <f t="shared" si="1365"/>
        <v>25584</v>
      </c>
      <c r="AF43" s="138">
        <f t="shared" si="1365"/>
        <v>25584</v>
      </c>
      <c r="AG43" s="138">
        <f t="shared" si="1365"/>
        <v>25584</v>
      </c>
      <c r="AH43" s="139">
        <f t="shared" si="1365"/>
        <v>25584</v>
      </c>
      <c r="AI43" s="128">
        <v>11174</v>
      </c>
      <c r="AJ43" s="128">
        <f t="shared" ref="AJ43" si="1366">AI43+AJ42</f>
        <v>11404</v>
      </c>
      <c r="AK43" s="128">
        <f t="shared" ref="AK43" si="1367">AJ43+AK42</f>
        <v>11634</v>
      </c>
      <c r="AL43" s="130">
        <f t="shared" ref="AL43" si="1368">AK43+AL42</f>
        <v>11864</v>
      </c>
      <c r="AM43" s="128">
        <f t="shared" ref="AM43" si="1369">AL43+AM42</f>
        <v>12004</v>
      </c>
      <c r="AN43" s="128">
        <f t="shared" ref="AN43" si="1370">AM43+AN42</f>
        <v>12144</v>
      </c>
      <c r="AO43" s="128">
        <f t="shared" ref="AO43" si="1371">AN43+AO42</f>
        <v>12274</v>
      </c>
      <c r="AP43" s="129">
        <f t="shared" ref="AP43" si="1372">AO43+AP42</f>
        <v>12404</v>
      </c>
      <c r="AQ43" s="128">
        <f>AP43+AQ42</f>
        <v>12484</v>
      </c>
      <c r="AR43" s="128">
        <f t="shared" ref="AR43" si="1373">AQ43+AR42</f>
        <v>12554</v>
      </c>
      <c r="AS43" s="128">
        <f t="shared" ref="AS43" si="1374">AR43+AS42</f>
        <v>12624</v>
      </c>
      <c r="AT43" s="140">
        <f t="shared" ref="AT43" si="1375">AS43+AT42</f>
        <v>12694</v>
      </c>
      <c r="AU43" s="141">
        <f>AT43+AU42</f>
        <v>12694</v>
      </c>
      <c r="AV43" s="128">
        <f t="shared" ref="AV43" si="1376">AU43+AV42</f>
        <v>12854</v>
      </c>
      <c r="AW43" s="128">
        <f t="shared" ref="AW43" si="1377">AV43+AW42</f>
        <v>13004</v>
      </c>
      <c r="AX43" s="128">
        <f t="shared" ref="AX43" si="1378">AW43+AX42</f>
        <v>13154</v>
      </c>
      <c r="AY43" s="140">
        <f t="shared" ref="AY43" si="1379">AX43+AY42</f>
        <v>13304</v>
      </c>
      <c r="AZ43" s="127">
        <f>AY43+AZ42</f>
        <v>13424</v>
      </c>
      <c r="BA43" s="128">
        <f t="shared" ref="BA43" si="1380">AZ43+BA42</f>
        <v>13544</v>
      </c>
      <c r="BB43" s="128">
        <f t="shared" ref="BB43" si="1381">BA43+BB42</f>
        <v>13674</v>
      </c>
      <c r="BC43" s="140">
        <f t="shared" ref="BC43" si="1382">BB43+BC42</f>
        <v>13804</v>
      </c>
      <c r="BD43" s="127">
        <f t="shared" ref="BD43" si="1383">BC43+BD42</f>
        <v>14004</v>
      </c>
      <c r="BE43" s="128">
        <f t="shared" ref="BE43" si="1384">BD43+BE42</f>
        <v>14204</v>
      </c>
      <c r="BF43" s="128">
        <f t="shared" ref="BF43" si="1385">BE43+BF42</f>
        <v>14204</v>
      </c>
      <c r="BG43" s="128">
        <f t="shared" ref="BG43" si="1386">BF43+BG42</f>
        <v>14404</v>
      </c>
      <c r="BH43" s="140">
        <f t="shared" ref="BH43" si="1387">BG43+BH42</f>
        <v>14604</v>
      </c>
      <c r="BI43" s="127">
        <f>BH43+BI42</f>
        <v>14824</v>
      </c>
      <c r="BJ43" s="128">
        <f t="shared" ref="BJ43" si="1388">BI43+BJ42</f>
        <v>15044</v>
      </c>
      <c r="BK43" s="128">
        <f t="shared" ref="BK43" si="1389">BJ43+BK42</f>
        <v>15254</v>
      </c>
      <c r="BL43" s="140">
        <f t="shared" ref="BL43" si="1390">BK43+BL42</f>
        <v>15464</v>
      </c>
      <c r="BM43" s="127">
        <f t="shared" ref="BM43" si="1391">BL43+BM42</f>
        <v>15664</v>
      </c>
      <c r="BN43" s="128">
        <f t="shared" ref="BN43" si="1392">BM43+BN42</f>
        <v>15864</v>
      </c>
      <c r="BO43" s="128">
        <f t="shared" ref="BO43" si="1393">BN43+BO42</f>
        <v>16054</v>
      </c>
      <c r="BP43" s="140">
        <f t="shared" ref="BP43" si="1394">BO43+BP42</f>
        <v>16244</v>
      </c>
      <c r="BQ43" s="127">
        <f>BP43+BQ42</f>
        <v>16544</v>
      </c>
      <c r="BR43" s="128">
        <f t="shared" ref="BR43" si="1395">BQ43+BR42</f>
        <v>16834</v>
      </c>
      <c r="BS43" s="128">
        <f t="shared" ref="BS43" si="1396">BR43+BS42</f>
        <v>17124</v>
      </c>
      <c r="BT43" s="128">
        <f t="shared" ref="BT43" si="1397">BS43+BT42</f>
        <v>17414</v>
      </c>
      <c r="BU43" s="130">
        <f t="shared" ref="BU43" si="1398">BT43+BU42</f>
        <v>17704</v>
      </c>
      <c r="BV43" s="127">
        <f t="shared" ref="BV43" si="1399">BU43+BV42</f>
        <v>17854</v>
      </c>
      <c r="BW43" s="128">
        <f t="shared" ref="BW43" si="1400">BV43+BW42</f>
        <v>18004</v>
      </c>
      <c r="BX43" s="128">
        <f t="shared" ref="BX43" si="1401">BW43+BX42</f>
        <v>18164</v>
      </c>
      <c r="BY43" s="129">
        <f t="shared" ref="BY43" si="1402">BX43+BY42</f>
        <v>18324</v>
      </c>
      <c r="BZ43" s="127">
        <f>BY43+BZ42</f>
        <v>18444</v>
      </c>
      <c r="CA43" s="128">
        <f t="shared" ref="CA43" si="1403">BZ43+CA42</f>
        <v>18564</v>
      </c>
      <c r="CB43" s="128">
        <f t="shared" ref="CB43" si="1404">CA43+CB42</f>
        <v>18694</v>
      </c>
      <c r="CC43" s="128">
        <f t="shared" ref="CC43" si="1405">CB43+CC42</f>
        <v>18694</v>
      </c>
      <c r="CD43" s="130">
        <f t="shared" ref="CD43" si="1406">CC43+CD42</f>
        <v>18824</v>
      </c>
      <c r="CE43" s="127">
        <f t="shared" ref="CE43" si="1407">CD43+CE42</f>
        <v>18824</v>
      </c>
      <c r="CF43" s="128">
        <f t="shared" ref="CF43" si="1408">CE43+CF42</f>
        <v>19014</v>
      </c>
      <c r="CG43" s="128">
        <f t="shared" ref="CG43" si="1409">CF43+CG42</f>
        <v>19204</v>
      </c>
      <c r="CH43" s="129">
        <f t="shared" ref="CH43" si="1410">CG43+CH42</f>
        <v>19384</v>
      </c>
      <c r="CI43" s="127">
        <f t="shared" ref="CI43" si="1411">CH43+CI42</f>
        <v>19504</v>
      </c>
      <c r="CJ43" s="128">
        <f t="shared" ref="CJ43" si="1412">CI43+CJ42</f>
        <v>19624</v>
      </c>
      <c r="CK43" s="128">
        <f t="shared" ref="CK43" si="1413">CJ43+CK42</f>
        <v>19744</v>
      </c>
      <c r="CL43" s="129">
        <f t="shared" ref="CL43" si="1414">CK43+CL42</f>
        <v>19864</v>
      </c>
      <c r="CM43" s="127">
        <f t="shared" ref="CM43" si="1415">CL43+CM42</f>
        <v>20094</v>
      </c>
      <c r="CN43" s="128">
        <f t="shared" ref="CN43" si="1416">CM43+CN42</f>
        <v>20334</v>
      </c>
      <c r="CO43" s="128">
        <f t="shared" ref="CO43" si="1417">CN43+CO42</f>
        <v>20564</v>
      </c>
      <c r="CP43" s="129">
        <f t="shared" ref="CP43" si="1418">CO43+CP42</f>
        <v>20804</v>
      </c>
      <c r="CQ43" s="127">
        <f t="shared" ref="CQ43" si="1419">CP43+CQ42</f>
        <v>20954</v>
      </c>
      <c r="CR43" s="128">
        <f t="shared" ref="CR43" si="1420">CQ43+CR42</f>
        <v>21104</v>
      </c>
      <c r="CS43" s="128">
        <f t="shared" ref="CS43" si="1421">CR43+CS42</f>
        <v>21264</v>
      </c>
      <c r="CT43" s="128">
        <f t="shared" ref="CT43:CU43" si="1422">CS43+CT42</f>
        <v>21264</v>
      </c>
      <c r="CU43" s="129">
        <f t="shared" si="1422"/>
        <v>21424</v>
      </c>
      <c r="CV43" s="127">
        <f t="shared" ref="CV43" si="1423">CU43+CV42</f>
        <v>21574</v>
      </c>
      <c r="CW43" s="128">
        <f t="shared" ref="CW43" si="1424">CV43+CW42</f>
        <v>21734</v>
      </c>
      <c r="CX43" s="128">
        <f t="shared" ref="CX43" si="1425">CW43+CX42</f>
        <v>21894</v>
      </c>
      <c r="CY43" s="129">
        <f t="shared" ref="CY43" si="1426">CX43+CY42</f>
        <v>22054</v>
      </c>
      <c r="CZ43" s="127">
        <f t="shared" ref="CZ43" si="1427">CY43+CZ42</f>
        <v>22154</v>
      </c>
      <c r="DA43" s="128">
        <f t="shared" ref="DA43" si="1428">CZ43+DA42</f>
        <v>22254</v>
      </c>
      <c r="DB43" s="128">
        <f t="shared" ref="DB43" si="1429">DA43+DB42</f>
        <v>22354</v>
      </c>
      <c r="DC43" s="129">
        <f t="shared" ref="DC43" si="1430">DB43+DC42</f>
        <v>22464</v>
      </c>
      <c r="DD43" s="127">
        <f t="shared" ref="DD43" si="1431">DC43+DD42</f>
        <v>22674</v>
      </c>
      <c r="DE43" s="128">
        <f t="shared" ref="DE43" si="1432">DD43+DE42</f>
        <v>22884</v>
      </c>
      <c r="DF43" s="128">
        <f t="shared" ref="DF43" si="1433">DE43+DF42</f>
        <v>22884</v>
      </c>
      <c r="DG43" s="140">
        <f t="shared" ref="DG43:DH43" si="1434">DF43+DG42</f>
        <v>23094</v>
      </c>
      <c r="DH43" s="130">
        <f t="shared" si="1434"/>
        <v>23314</v>
      </c>
      <c r="DI43" s="127">
        <f t="shared" ref="DI43" si="1435">DH43+DI42</f>
        <v>23414</v>
      </c>
      <c r="DJ43" s="128">
        <f t="shared" ref="DJ43" si="1436">DI43+DJ42</f>
        <v>23514</v>
      </c>
      <c r="DK43" s="128">
        <f t="shared" ref="DK43" si="1437">DJ43+DK42</f>
        <v>23614</v>
      </c>
      <c r="DL43" s="129">
        <f t="shared" ref="DL43" si="1438">DK43+DL42</f>
        <v>23724</v>
      </c>
      <c r="DM43" s="127">
        <f t="shared" ref="DM43" si="1439">DL43+DM42</f>
        <v>23824</v>
      </c>
      <c r="DN43" s="128">
        <f t="shared" ref="DN43" si="1440">DM43+DN42</f>
        <v>23924</v>
      </c>
      <c r="DO43" s="128">
        <f t="shared" ref="DO43" si="1441">DN43+DO42</f>
        <v>24014</v>
      </c>
      <c r="DP43" s="140">
        <f>DO43+DP42</f>
        <v>24104</v>
      </c>
      <c r="DQ43" s="130">
        <f>DP43+DQ42</f>
        <v>24194</v>
      </c>
      <c r="DR43" s="127">
        <f>DQ43+DR42</f>
        <v>24334</v>
      </c>
      <c r="DS43" s="128">
        <f t="shared" ref="DS43" si="1442">DR43+DS42</f>
        <v>24474</v>
      </c>
      <c r="DT43" s="128">
        <f t="shared" ref="DT43" si="1443">DS43+DT42</f>
        <v>24604</v>
      </c>
      <c r="DU43" s="129">
        <f t="shared" ref="DU43" si="1444">DT43+DU42</f>
        <v>24734</v>
      </c>
      <c r="DV43" s="127">
        <f t="shared" ref="DV43" si="1445">DU43+DV42</f>
        <v>24844</v>
      </c>
      <c r="DW43" s="128">
        <f t="shared" ref="DW43" si="1446">DV43+DW42</f>
        <v>24954</v>
      </c>
      <c r="DX43" s="128">
        <f t="shared" ref="DX43" si="1447">DW43+DX42</f>
        <v>25064</v>
      </c>
      <c r="DY43" s="129">
        <f t="shared" ref="DY43" si="1448">DX43+DY42</f>
        <v>25164</v>
      </c>
      <c r="DZ43" s="127">
        <f t="shared" ref="DZ43" si="1449">DY43+DZ42</f>
        <v>25264</v>
      </c>
      <c r="EA43" s="128">
        <f t="shared" ref="EA43" si="1450">DZ43+EA42</f>
        <v>25364</v>
      </c>
      <c r="EB43" s="128">
        <f t="shared" ref="EB43" si="1451">EA43+EB42</f>
        <v>25464</v>
      </c>
      <c r="EC43" s="139">
        <f t="shared" ref="EC43:ED43" si="1452">EB43+EC42</f>
        <v>25524</v>
      </c>
      <c r="ED43" s="129">
        <f t="shared" si="1452"/>
        <v>25584</v>
      </c>
      <c r="EE43" s="128">
        <f t="shared" ref="EE43" si="1453">ED43+EE42</f>
        <v>25584</v>
      </c>
      <c r="EF43" s="128">
        <f t="shared" ref="EF43" si="1454">EE43+EF42</f>
        <v>25584</v>
      </c>
      <c r="EG43" s="139">
        <f t="shared" ref="EG43" si="1455">EF43+EG42</f>
        <v>25584</v>
      </c>
      <c r="EH43" s="129">
        <f t="shared" ref="EH43" si="1456">EG43+EH42</f>
        <v>25584</v>
      </c>
      <c r="EI43" s="128">
        <f t="shared" ref="EI43" si="1457">EH43+EI42</f>
        <v>25584</v>
      </c>
      <c r="EJ43" s="128">
        <f t="shared" ref="EJ43" si="1458">EI43+EJ42</f>
        <v>25584</v>
      </c>
      <c r="EK43" s="128">
        <f t="shared" ref="EK43" si="1459">EJ43+EK42</f>
        <v>25584</v>
      </c>
      <c r="EL43" s="129">
        <f t="shared" ref="EL43" si="1460">EK43+EL42</f>
        <v>25584</v>
      </c>
      <c r="EM43" s="127">
        <f t="shared" ref="EM43" si="1461">EL43+EM42</f>
        <v>25584</v>
      </c>
      <c r="EN43" s="128">
        <f t="shared" ref="EN43" si="1462">EM43+EN42</f>
        <v>25584</v>
      </c>
      <c r="EO43" s="128">
        <f t="shared" ref="EO43" si="1463">EN43+EO42</f>
        <v>25584</v>
      </c>
      <c r="EP43" s="129">
        <f t="shared" ref="EP43" si="1464">EO43+EP42</f>
        <v>25584</v>
      </c>
      <c r="EQ43" s="127">
        <f t="shared" ref="EQ43" si="1465">EP43+EQ42</f>
        <v>25584</v>
      </c>
      <c r="ER43" s="128">
        <f t="shared" ref="ER43" si="1466">EQ43+ER42</f>
        <v>25584</v>
      </c>
      <c r="ES43" s="128">
        <f t="shared" ref="ES43" si="1467">ER43+ES42</f>
        <v>25584</v>
      </c>
      <c r="ET43" s="129">
        <f t="shared" ref="ET43" si="1468">ES43+ET42</f>
        <v>25584</v>
      </c>
    </row>
    <row r="44" spans="1:150" s="25" customFormat="1" ht="27.75" customHeight="1">
      <c r="A44" s="26" t="s">
        <v>12</v>
      </c>
      <c r="B44" s="31"/>
      <c r="C44" s="641">
        <v>13</v>
      </c>
      <c r="D44" s="213" t="s">
        <v>119</v>
      </c>
      <c r="E44" s="177" t="s">
        <v>32</v>
      </c>
      <c r="F44" s="178" t="s">
        <v>127</v>
      </c>
      <c r="G44" s="114" t="s">
        <v>17</v>
      </c>
      <c r="H44" s="119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  <c r="O44" s="118">
        <v>0</v>
      </c>
      <c r="P44" s="118">
        <v>0</v>
      </c>
      <c r="Q44" s="118">
        <v>0</v>
      </c>
      <c r="R44" s="142">
        <v>0</v>
      </c>
      <c r="S44" s="163">
        <v>0</v>
      </c>
      <c r="T44" s="195">
        <v>70</v>
      </c>
      <c r="U44" s="195">
        <v>430</v>
      </c>
      <c r="V44" s="164">
        <v>630</v>
      </c>
      <c r="W44" s="196">
        <v>420</v>
      </c>
      <c r="X44" s="164">
        <v>710</v>
      </c>
      <c r="Y44" s="164">
        <v>440</v>
      </c>
      <c r="Z44" s="164">
        <v>820</v>
      </c>
      <c r="AA44" s="164">
        <f>SUBTOTAL(9,DM44:DQ44)</f>
        <v>620</v>
      </c>
      <c r="AB44" s="164">
        <f>SUBTOTAL(9,DR44:DU44)</f>
        <v>610</v>
      </c>
      <c r="AC44" s="226">
        <f>SUBTOTAL(9,DV44:DY44)</f>
        <v>490</v>
      </c>
      <c r="AD44" s="218">
        <f>SUBTOTAL(9,DZ44:ED44)</f>
        <v>440</v>
      </c>
      <c r="AE44" s="218">
        <f>SUBTOTAL(9,EE44:EH44)</f>
        <v>0</v>
      </c>
      <c r="AF44" s="218">
        <f>SUBTOTAL(9,EI44:EL44)</f>
        <v>0</v>
      </c>
      <c r="AG44" s="218">
        <f>SUBTOTAL(9,EM44:EP44)</f>
        <v>0</v>
      </c>
      <c r="AH44" s="218">
        <f>SUBTOTAL(9,EQ44:ET44)</f>
        <v>0</v>
      </c>
      <c r="AI44" s="166">
        <v>0</v>
      </c>
      <c r="AJ44" s="166">
        <v>0</v>
      </c>
      <c r="AK44" s="166">
        <v>0</v>
      </c>
      <c r="AL44" s="165">
        <v>0</v>
      </c>
      <c r="AM44" s="167">
        <v>0</v>
      </c>
      <c r="AN44" s="166">
        <v>0</v>
      </c>
      <c r="AO44" s="166">
        <v>0</v>
      </c>
      <c r="AP44" s="168">
        <v>0</v>
      </c>
      <c r="AQ44" s="166">
        <v>0</v>
      </c>
      <c r="AR44" s="166">
        <v>0</v>
      </c>
      <c r="AS44" s="166">
        <v>0</v>
      </c>
      <c r="AT44" s="169">
        <v>0</v>
      </c>
      <c r="AU44" s="170">
        <v>0</v>
      </c>
      <c r="AV44" s="166">
        <v>0</v>
      </c>
      <c r="AW44" s="166">
        <v>0</v>
      </c>
      <c r="AX44" s="166">
        <v>0</v>
      </c>
      <c r="AY44" s="169">
        <v>0</v>
      </c>
      <c r="AZ44" s="167">
        <v>0</v>
      </c>
      <c r="BA44" s="166">
        <v>0</v>
      </c>
      <c r="BB44" s="166">
        <v>0</v>
      </c>
      <c r="BC44" s="169">
        <v>0</v>
      </c>
      <c r="BD44" s="171">
        <v>0</v>
      </c>
      <c r="BE44" s="166">
        <v>0</v>
      </c>
      <c r="BF44" s="172">
        <v>0</v>
      </c>
      <c r="BG44" s="166">
        <v>0</v>
      </c>
      <c r="BH44" s="169">
        <v>0</v>
      </c>
      <c r="BI44" s="171">
        <v>0</v>
      </c>
      <c r="BJ44" s="166">
        <v>0</v>
      </c>
      <c r="BK44" s="166">
        <v>0</v>
      </c>
      <c r="BL44" s="169">
        <v>0</v>
      </c>
      <c r="BM44" s="171">
        <v>0</v>
      </c>
      <c r="BN44" s="166">
        <v>0</v>
      </c>
      <c r="BO44" s="166">
        <v>0</v>
      </c>
      <c r="BP44" s="169">
        <v>0</v>
      </c>
      <c r="BQ44" s="167">
        <v>0</v>
      </c>
      <c r="BR44" s="166">
        <v>0</v>
      </c>
      <c r="BS44" s="166">
        <v>0</v>
      </c>
      <c r="BT44" s="169">
        <v>0</v>
      </c>
      <c r="BU44" s="173">
        <v>0</v>
      </c>
      <c r="BV44" s="171">
        <v>0</v>
      </c>
      <c r="BW44" s="166">
        <v>0</v>
      </c>
      <c r="BX44" s="166">
        <v>0</v>
      </c>
      <c r="BY44" s="168">
        <v>0</v>
      </c>
      <c r="BZ44" s="167">
        <v>0</v>
      </c>
      <c r="CA44" s="166">
        <v>0</v>
      </c>
      <c r="CB44" s="166">
        <v>0</v>
      </c>
      <c r="CC44" s="174">
        <v>0</v>
      </c>
      <c r="CD44" s="173">
        <v>0</v>
      </c>
      <c r="CE44" s="182">
        <v>0</v>
      </c>
      <c r="CF44" s="183">
        <v>0</v>
      </c>
      <c r="CG44" s="175">
        <v>0</v>
      </c>
      <c r="CH44" s="173">
        <v>0</v>
      </c>
      <c r="CI44" s="184">
        <v>0</v>
      </c>
      <c r="CJ44" s="175">
        <v>30</v>
      </c>
      <c r="CK44" s="175">
        <v>20</v>
      </c>
      <c r="CL44" s="173">
        <v>20</v>
      </c>
      <c r="CM44" s="184">
        <v>110</v>
      </c>
      <c r="CN44" s="175">
        <v>110</v>
      </c>
      <c r="CO44" s="175">
        <v>110</v>
      </c>
      <c r="CP44" s="173">
        <v>100</v>
      </c>
      <c r="CQ44" s="184">
        <v>160</v>
      </c>
      <c r="CR44" s="175">
        <v>160</v>
      </c>
      <c r="CS44" s="175">
        <v>160</v>
      </c>
      <c r="CT44" s="176">
        <v>0</v>
      </c>
      <c r="CU44" s="173">
        <v>150</v>
      </c>
      <c r="CV44" s="184">
        <v>110</v>
      </c>
      <c r="CW44" s="175">
        <v>110</v>
      </c>
      <c r="CX44" s="175">
        <v>100</v>
      </c>
      <c r="CY44" s="173">
        <v>100</v>
      </c>
      <c r="CZ44" s="184">
        <v>170</v>
      </c>
      <c r="DA44" s="175">
        <v>180</v>
      </c>
      <c r="DB44" s="175">
        <v>180</v>
      </c>
      <c r="DC44" s="173">
        <v>180</v>
      </c>
      <c r="DD44" s="184">
        <v>110</v>
      </c>
      <c r="DE44" s="175">
        <v>110</v>
      </c>
      <c r="DF44" s="176">
        <v>0</v>
      </c>
      <c r="DG44" s="175">
        <v>110</v>
      </c>
      <c r="DH44" s="173">
        <v>110</v>
      </c>
      <c r="DI44" s="184">
        <v>200</v>
      </c>
      <c r="DJ44" s="175">
        <v>210</v>
      </c>
      <c r="DK44" s="175">
        <v>200</v>
      </c>
      <c r="DL44" s="173">
        <v>210</v>
      </c>
      <c r="DM44" s="184">
        <v>130</v>
      </c>
      <c r="DN44" s="175">
        <v>130</v>
      </c>
      <c r="DO44" s="175">
        <v>120</v>
      </c>
      <c r="DP44" s="175">
        <v>120</v>
      </c>
      <c r="DQ44" s="173">
        <v>120</v>
      </c>
      <c r="DR44" s="184">
        <v>160</v>
      </c>
      <c r="DS44" s="175">
        <v>150</v>
      </c>
      <c r="DT44" s="175">
        <v>150</v>
      </c>
      <c r="DU44" s="173">
        <v>150</v>
      </c>
      <c r="DV44" s="171">
        <v>130</v>
      </c>
      <c r="DW44" s="175">
        <v>120</v>
      </c>
      <c r="DX44" s="175">
        <v>120</v>
      </c>
      <c r="DY44" s="173">
        <v>120</v>
      </c>
      <c r="DZ44" s="184">
        <v>100</v>
      </c>
      <c r="EA44" s="175">
        <v>100</v>
      </c>
      <c r="EB44" s="175">
        <v>100</v>
      </c>
      <c r="EC44" s="218">
        <v>70</v>
      </c>
      <c r="ED44" s="239">
        <v>70</v>
      </c>
      <c r="EE44" s="184"/>
      <c r="EF44" s="175"/>
      <c r="EG44" s="218"/>
      <c r="EH44" s="239"/>
      <c r="EI44" s="184"/>
      <c r="EJ44" s="175"/>
      <c r="EK44" s="175"/>
      <c r="EL44" s="173"/>
      <c r="EM44" s="184"/>
      <c r="EN44" s="175"/>
      <c r="EO44" s="175"/>
      <c r="EP44" s="173"/>
      <c r="EQ44" s="184"/>
      <c r="ER44" s="175"/>
      <c r="ES44" s="175"/>
      <c r="ET44" s="173"/>
    </row>
    <row r="45" spans="1:150" s="25" customFormat="1" ht="27.75" customHeight="1" thickBot="1">
      <c r="A45" s="26" t="s">
        <v>12</v>
      </c>
      <c r="B45" s="31"/>
      <c r="C45" s="642"/>
      <c r="D45" s="179"/>
      <c r="E45" s="180"/>
      <c r="F45" s="181"/>
      <c r="G45" s="120" t="s">
        <v>18</v>
      </c>
      <c r="H45" s="121">
        <v>0</v>
      </c>
      <c r="I45" s="122">
        <f t="shared" ref="I45" si="1469">H45+I44</f>
        <v>0</v>
      </c>
      <c r="J45" s="122">
        <f t="shared" ref="J45" si="1470">I45+J44</f>
        <v>0</v>
      </c>
      <c r="K45" s="122">
        <f t="shared" ref="K45" si="1471">J45+K44</f>
        <v>0</v>
      </c>
      <c r="L45" s="122">
        <f t="shared" ref="L45" si="1472">K45+L44</f>
        <v>0</v>
      </c>
      <c r="M45" s="123">
        <f t="shared" ref="M45" si="1473">L45+M44</f>
        <v>0</v>
      </c>
      <c r="N45" s="122">
        <f t="shared" ref="N45" si="1474">M45+N44</f>
        <v>0</v>
      </c>
      <c r="O45" s="123">
        <f t="shared" ref="O45" si="1475">N45+O44</f>
        <v>0</v>
      </c>
      <c r="P45" s="123">
        <f t="shared" ref="P45" si="1476">O45+P44</f>
        <v>0</v>
      </c>
      <c r="Q45" s="123">
        <f t="shared" ref="Q45" si="1477">P45+Q44</f>
        <v>0</v>
      </c>
      <c r="R45" s="122">
        <f t="shared" ref="R45:T45" si="1478">Q45+R44</f>
        <v>0</v>
      </c>
      <c r="S45" s="122">
        <f t="shared" si="1478"/>
        <v>0</v>
      </c>
      <c r="T45" s="123">
        <f t="shared" si="1478"/>
        <v>70</v>
      </c>
      <c r="U45" s="123">
        <f t="shared" ref="U45:W45" si="1479">T45+U44</f>
        <v>500</v>
      </c>
      <c r="V45" s="123">
        <f t="shared" si="1479"/>
        <v>1130</v>
      </c>
      <c r="W45" s="123">
        <f t="shared" si="1479"/>
        <v>1550</v>
      </c>
      <c r="X45" s="123">
        <f t="shared" ref="X45" si="1480">W45+X44</f>
        <v>2260</v>
      </c>
      <c r="Y45" s="123">
        <f t="shared" ref="Y45:AB45" si="1481">X45+Y44</f>
        <v>2700</v>
      </c>
      <c r="Z45" s="123">
        <f t="shared" si="1481"/>
        <v>3520</v>
      </c>
      <c r="AA45" s="123">
        <f t="shared" si="1481"/>
        <v>4140</v>
      </c>
      <c r="AB45" s="123">
        <f t="shared" si="1481"/>
        <v>4750</v>
      </c>
      <c r="AC45" s="227">
        <f t="shared" ref="AC45:AH45" si="1482">AB45+AC44</f>
        <v>5240</v>
      </c>
      <c r="AD45" s="136">
        <f t="shared" si="1482"/>
        <v>5680</v>
      </c>
      <c r="AE45" s="145">
        <f t="shared" si="1482"/>
        <v>5680</v>
      </c>
      <c r="AF45" s="137">
        <f t="shared" si="1482"/>
        <v>5680</v>
      </c>
      <c r="AG45" s="137">
        <f t="shared" si="1482"/>
        <v>5680</v>
      </c>
      <c r="AH45" s="146">
        <f t="shared" si="1482"/>
        <v>5680</v>
      </c>
      <c r="AI45" s="124">
        <v>0</v>
      </c>
      <c r="AJ45" s="124">
        <f t="shared" ref="AJ45" si="1483">AI45+AJ44</f>
        <v>0</v>
      </c>
      <c r="AK45" s="124">
        <f t="shared" ref="AK45" si="1484">AJ45+AK44</f>
        <v>0</v>
      </c>
      <c r="AL45" s="126">
        <f t="shared" ref="AL45" si="1485">AK45+AL44</f>
        <v>0</v>
      </c>
      <c r="AM45" s="124">
        <f t="shared" ref="AM45" si="1486">AL45+AM44</f>
        <v>0</v>
      </c>
      <c r="AN45" s="124">
        <f t="shared" ref="AN45" si="1487">AM45+AN44</f>
        <v>0</v>
      </c>
      <c r="AO45" s="124">
        <f t="shared" ref="AO45" si="1488">AN45+AO44</f>
        <v>0</v>
      </c>
      <c r="AP45" s="133">
        <f t="shared" ref="AP45" si="1489">AO45+AP44</f>
        <v>0</v>
      </c>
      <c r="AQ45" s="124">
        <f>AP45+AQ44</f>
        <v>0</v>
      </c>
      <c r="AR45" s="124">
        <f t="shared" ref="AR45" si="1490">AQ45+AR44</f>
        <v>0</v>
      </c>
      <c r="AS45" s="124">
        <f t="shared" ref="AS45" si="1491">AR45+AS44</f>
        <v>0</v>
      </c>
      <c r="AT45" s="125">
        <f t="shared" ref="AT45" si="1492">AS45+AT44</f>
        <v>0</v>
      </c>
      <c r="AU45" s="134">
        <f>AT45+AU44</f>
        <v>0</v>
      </c>
      <c r="AV45" s="124">
        <f t="shared" ref="AV45" si="1493">AU45+AV44</f>
        <v>0</v>
      </c>
      <c r="AW45" s="124">
        <f t="shared" ref="AW45" si="1494">AV45+AW44</f>
        <v>0</v>
      </c>
      <c r="AX45" s="124">
        <f t="shared" ref="AX45" si="1495">AW45+AX44</f>
        <v>0</v>
      </c>
      <c r="AY45" s="125">
        <f t="shared" ref="AY45" si="1496">AX45+AY44</f>
        <v>0</v>
      </c>
      <c r="AZ45" s="121">
        <f>AY45+AZ44</f>
        <v>0</v>
      </c>
      <c r="BA45" s="124">
        <f t="shared" ref="BA45" si="1497">AZ45+BA44</f>
        <v>0</v>
      </c>
      <c r="BB45" s="124">
        <f t="shared" ref="BB45" si="1498">BA45+BB44</f>
        <v>0</v>
      </c>
      <c r="BC45" s="125">
        <f t="shared" ref="BC45" si="1499">BB45+BC44</f>
        <v>0</v>
      </c>
      <c r="BD45" s="121">
        <f t="shared" ref="BD45" si="1500">BC45+BD44</f>
        <v>0</v>
      </c>
      <c r="BE45" s="124">
        <f t="shared" ref="BE45" si="1501">BD45+BE44</f>
        <v>0</v>
      </c>
      <c r="BF45" s="124">
        <f t="shared" ref="BF45" si="1502">BE45+BF44</f>
        <v>0</v>
      </c>
      <c r="BG45" s="124">
        <f t="shared" ref="BG45" si="1503">BF45+BG44</f>
        <v>0</v>
      </c>
      <c r="BH45" s="125">
        <f t="shared" ref="BH45" si="1504">BG45+BH44</f>
        <v>0</v>
      </c>
      <c r="BI45" s="121">
        <f>BH45+BI44</f>
        <v>0</v>
      </c>
      <c r="BJ45" s="124">
        <f t="shared" ref="BJ45" si="1505">BI45+BJ44</f>
        <v>0</v>
      </c>
      <c r="BK45" s="124">
        <f t="shared" ref="BK45" si="1506">BJ45+BK44</f>
        <v>0</v>
      </c>
      <c r="BL45" s="125">
        <f t="shared" ref="BL45" si="1507">BK45+BL44</f>
        <v>0</v>
      </c>
      <c r="BM45" s="121">
        <f t="shared" ref="BM45" si="1508">BL45+BM44</f>
        <v>0</v>
      </c>
      <c r="BN45" s="124">
        <f t="shared" ref="BN45" si="1509">BM45+BN44</f>
        <v>0</v>
      </c>
      <c r="BO45" s="124">
        <f t="shared" ref="BO45" si="1510">BN45+BO44</f>
        <v>0</v>
      </c>
      <c r="BP45" s="125">
        <f t="shared" ref="BP45" si="1511">BO45+BP44</f>
        <v>0</v>
      </c>
      <c r="BQ45" s="121">
        <f>BP45+BQ44</f>
        <v>0</v>
      </c>
      <c r="BR45" s="124">
        <f t="shared" ref="BR45" si="1512">BQ45+BR44</f>
        <v>0</v>
      </c>
      <c r="BS45" s="124">
        <f t="shared" ref="BS45" si="1513">BR45+BS44</f>
        <v>0</v>
      </c>
      <c r="BT45" s="124">
        <f t="shared" ref="BT45" si="1514">BS45+BT44</f>
        <v>0</v>
      </c>
      <c r="BU45" s="126">
        <f t="shared" ref="BU45" si="1515">BT45+BU44</f>
        <v>0</v>
      </c>
      <c r="BV45" s="121">
        <f t="shared" ref="BV45" si="1516">BU45+BV44</f>
        <v>0</v>
      </c>
      <c r="BW45" s="124">
        <f t="shared" ref="BW45" si="1517">BV45+BW44</f>
        <v>0</v>
      </c>
      <c r="BX45" s="124">
        <f t="shared" ref="BX45" si="1518">BW45+BX44</f>
        <v>0</v>
      </c>
      <c r="BY45" s="133">
        <f t="shared" ref="BY45" si="1519">BX45+BY44</f>
        <v>0</v>
      </c>
      <c r="BZ45" s="121">
        <f>BY45+BZ44</f>
        <v>0</v>
      </c>
      <c r="CA45" s="124">
        <f t="shared" ref="CA45" si="1520">BZ45+CA44</f>
        <v>0</v>
      </c>
      <c r="CB45" s="124">
        <f t="shared" ref="CB45" si="1521">CA45+CB44</f>
        <v>0</v>
      </c>
      <c r="CC45" s="124">
        <f t="shared" ref="CC45" si="1522">CB45+CC44</f>
        <v>0</v>
      </c>
      <c r="CD45" s="126">
        <f t="shared" ref="CD45" si="1523">CC45+CD44</f>
        <v>0</v>
      </c>
      <c r="CE45" s="127">
        <f t="shared" ref="CE45" si="1524">CD45+CE44</f>
        <v>0</v>
      </c>
      <c r="CF45" s="128">
        <f t="shared" ref="CF45" si="1525">CE45+CF44</f>
        <v>0</v>
      </c>
      <c r="CG45" s="128">
        <f t="shared" ref="CG45" si="1526">CF45+CG44</f>
        <v>0</v>
      </c>
      <c r="CH45" s="129">
        <f t="shared" ref="CH45" si="1527">CG45+CH44</f>
        <v>0</v>
      </c>
      <c r="CI45" s="127">
        <f t="shared" ref="CI45" si="1528">CH45+CI44</f>
        <v>0</v>
      </c>
      <c r="CJ45" s="128">
        <f t="shared" ref="CJ45" si="1529">CI45+CJ44</f>
        <v>30</v>
      </c>
      <c r="CK45" s="128">
        <f t="shared" ref="CK45" si="1530">CJ45+CK44</f>
        <v>50</v>
      </c>
      <c r="CL45" s="129">
        <f t="shared" ref="CL45" si="1531">CK45+CL44</f>
        <v>70</v>
      </c>
      <c r="CM45" s="127">
        <f t="shared" ref="CM45" si="1532">CL45+CM44</f>
        <v>180</v>
      </c>
      <c r="CN45" s="128">
        <f t="shared" ref="CN45" si="1533">CM45+CN44</f>
        <v>290</v>
      </c>
      <c r="CO45" s="128">
        <f t="shared" ref="CO45" si="1534">CN45+CO44</f>
        <v>400</v>
      </c>
      <c r="CP45" s="129">
        <f t="shared" ref="CP45" si="1535">CO45+CP44</f>
        <v>500</v>
      </c>
      <c r="CQ45" s="127">
        <f t="shared" ref="CQ45" si="1536">CP45+CQ44</f>
        <v>660</v>
      </c>
      <c r="CR45" s="128">
        <f t="shared" ref="CR45" si="1537">CQ45+CR44</f>
        <v>820</v>
      </c>
      <c r="CS45" s="128">
        <f t="shared" ref="CS45" si="1538">CR45+CS44</f>
        <v>980</v>
      </c>
      <c r="CT45" s="128">
        <f t="shared" ref="CT45" si="1539">CS45+CT44</f>
        <v>980</v>
      </c>
      <c r="CU45" s="129">
        <f t="shared" ref="CU45" si="1540">CT45+CU44</f>
        <v>1130</v>
      </c>
      <c r="CV45" s="127">
        <f t="shared" ref="CV45" si="1541">CU45+CV44</f>
        <v>1240</v>
      </c>
      <c r="CW45" s="128">
        <f t="shared" ref="CW45" si="1542">CV45+CW44</f>
        <v>1350</v>
      </c>
      <c r="CX45" s="128">
        <f t="shared" ref="CX45" si="1543">CW45+CX44</f>
        <v>1450</v>
      </c>
      <c r="CY45" s="129">
        <f t="shared" ref="CY45" si="1544">CX45+CY44</f>
        <v>1550</v>
      </c>
      <c r="CZ45" s="127">
        <f t="shared" ref="CZ45" si="1545">CY45+CZ44</f>
        <v>1720</v>
      </c>
      <c r="DA45" s="128">
        <f t="shared" ref="DA45" si="1546">CZ45+DA44</f>
        <v>1900</v>
      </c>
      <c r="DB45" s="128">
        <f t="shared" ref="DB45" si="1547">DA45+DB44</f>
        <v>2080</v>
      </c>
      <c r="DC45" s="129">
        <f t="shared" ref="DC45" si="1548">DB45+DC44</f>
        <v>2260</v>
      </c>
      <c r="DD45" s="127">
        <f t="shared" ref="DD45" si="1549">DC45+DD44</f>
        <v>2370</v>
      </c>
      <c r="DE45" s="128">
        <f t="shared" ref="DE45" si="1550">DD45+DE44</f>
        <v>2480</v>
      </c>
      <c r="DF45" s="128">
        <f t="shared" ref="DF45" si="1551">DE45+DF44</f>
        <v>2480</v>
      </c>
      <c r="DG45" s="140">
        <f t="shared" ref="DG45:DH45" si="1552">DF45+DG44</f>
        <v>2590</v>
      </c>
      <c r="DH45" s="130">
        <f t="shared" si="1552"/>
        <v>2700</v>
      </c>
      <c r="DI45" s="127">
        <f t="shared" ref="DI45" si="1553">DH45+DI44</f>
        <v>2900</v>
      </c>
      <c r="DJ45" s="128">
        <f t="shared" ref="DJ45" si="1554">DI45+DJ44</f>
        <v>3110</v>
      </c>
      <c r="DK45" s="128">
        <f t="shared" ref="DK45" si="1555">DJ45+DK44</f>
        <v>3310</v>
      </c>
      <c r="DL45" s="129">
        <f t="shared" ref="DL45" si="1556">DK45+DL44</f>
        <v>3520</v>
      </c>
      <c r="DM45" s="127">
        <f t="shared" ref="DM45" si="1557">DL45+DM44</f>
        <v>3650</v>
      </c>
      <c r="DN45" s="128">
        <f t="shared" ref="DN45" si="1558">DM45+DN44</f>
        <v>3780</v>
      </c>
      <c r="DO45" s="128">
        <f t="shared" ref="DO45" si="1559">DN45+DO44</f>
        <v>3900</v>
      </c>
      <c r="DP45" s="140">
        <f>DO45+DP44</f>
        <v>4020</v>
      </c>
      <c r="DQ45" s="130">
        <f>DP45+DQ44</f>
        <v>4140</v>
      </c>
      <c r="DR45" s="127">
        <f>DQ45+DR44</f>
        <v>4300</v>
      </c>
      <c r="DS45" s="128">
        <f t="shared" ref="DS45" si="1560">DR45+DS44</f>
        <v>4450</v>
      </c>
      <c r="DT45" s="128">
        <f t="shared" ref="DT45" si="1561">DS45+DT44</f>
        <v>4600</v>
      </c>
      <c r="DU45" s="129">
        <f t="shared" ref="DU45" si="1562">DT45+DU44</f>
        <v>4750</v>
      </c>
      <c r="DV45" s="127">
        <f t="shared" ref="DV45" si="1563">DU45+DV44</f>
        <v>4880</v>
      </c>
      <c r="DW45" s="128">
        <f t="shared" ref="DW45" si="1564">DV45+DW44</f>
        <v>5000</v>
      </c>
      <c r="DX45" s="128">
        <f t="shared" ref="DX45" si="1565">DW45+DX44</f>
        <v>5120</v>
      </c>
      <c r="DY45" s="129">
        <f t="shared" ref="DY45" si="1566">DX45+DY44</f>
        <v>5240</v>
      </c>
      <c r="DZ45" s="127">
        <f t="shared" ref="DZ45" si="1567">DY45+DZ44</f>
        <v>5340</v>
      </c>
      <c r="EA45" s="128">
        <f t="shared" ref="EA45" si="1568">DZ45+EA44</f>
        <v>5440</v>
      </c>
      <c r="EB45" s="128">
        <f t="shared" ref="EB45" si="1569">EA45+EB44</f>
        <v>5540</v>
      </c>
      <c r="EC45" s="139">
        <f t="shared" ref="EC45:ED45" si="1570">EB45+EC44</f>
        <v>5610</v>
      </c>
      <c r="ED45" s="129">
        <f t="shared" si="1570"/>
        <v>5680</v>
      </c>
      <c r="EE45" s="128">
        <f t="shared" ref="EE45" si="1571">ED45+EE44</f>
        <v>5680</v>
      </c>
      <c r="EF45" s="128">
        <f t="shared" ref="EF45" si="1572">EE45+EF44</f>
        <v>5680</v>
      </c>
      <c r="EG45" s="136">
        <f t="shared" ref="EG45" si="1573">EF45+EG44</f>
        <v>5680</v>
      </c>
      <c r="EH45" s="129">
        <f t="shared" ref="EH45" si="1574">EG45+EH44</f>
        <v>5680</v>
      </c>
      <c r="EI45" s="128">
        <f t="shared" ref="EI45" si="1575">EH45+EI44</f>
        <v>5680</v>
      </c>
      <c r="EJ45" s="128">
        <f t="shared" ref="EJ45" si="1576">EI45+EJ44</f>
        <v>5680</v>
      </c>
      <c r="EK45" s="128">
        <f t="shared" ref="EK45" si="1577">EJ45+EK44</f>
        <v>5680</v>
      </c>
      <c r="EL45" s="129">
        <f t="shared" ref="EL45" si="1578">EK45+EL44</f>
        <v>5680</v>
      </c>
      <c r="EM45" s="127">
        <f t="shared" ref="EM45" si="1579">EL45+EM44</f>
        <v>5680</v>
      </c>
      <c r="EN45" s="128">
        <f t="shared" ref="EN45" si="1580">EM45+EN44</f>
        <v>5680</v>
      </c>
      <c r="EO45" s="128">
        <f t="shared" ref="EO45" si="1581">EN45+EO44</f>
        <v>5680</v>
      </c>
      <c r="EP45" s="129">
        <f t="shared" ref="EP45" si="1582">EO45+EP44</f>
        <v>5680</v>
      </c>
      <c r="EQ45" s="127">
        <f t="shared" ref="EQ45" si="1583">EP45+EQ44</f>
        <v>5680</v>
      </c>
      <c r="ER45" s="128">
        <f t="shared" ref="ER45" si="1584">EQ45+ER44</f>
        <v>5680</v>
      </c>
      <c r="ES45" s="128">
        <f t="shared" ref="ES45" si="1585">ER45+ES44</f>
        <v>5680</v>
      </c>
      <c r="ET45" s="129">
        <f t="shared" ref="ET45" si="1586">ES45+ET44</f>
        <v>5680</v>
      </c>
    </row>
    <row r="46" spans="1:150" s="25" customFormat="1" ht="27.75" customHeight="1">
      <c r="A46" s="26" t="s">
        <v>12</v>
      </c>
      <c r="B46" s="26"/>
      <c r="C46" s="643">
        <v>14</v>
      </c>
      <c r="D46" s="213" t="s">
        <v>120</v>
      </c>
      <c r="E46" s="177" t="s">
        <v>32</v>
      </c>
      <c r="F46" s="178" t="s">
        <v>126</v>
      </c>
      <c r="G46" s="114" t="s">
        <v>17</v>
      </c>
      <c r="H46" s="119">
        <v>930</v>
      </c>
      <c r="I46" s="117">
        <v>540</v>
      </c>
      <c r="J46" s="117">
        <v>290</v>
      </c>
      <c r="K46" s="117">
        <v>0</v>
      </c>
      <c r="L46" s="117">
        <v>0</v>
      </c>
      <c r="M46" s="117">
        <v>560</v>
      </c>
      <c r="N46" s="117">
        <v>550</v>
      </c>
      <c r="O46" s="132">
        <v>400</v>
      </c>
      <c r="P46" s="132">
        <v>650</v>
      </c>
      <c r="Q46" s="142"/>
      <c r="R46" s="142">
        <v>0</v>
      </c>
      <c r="S46" s="163">
        <v>0</v>
      </c>
      <c r="T46" s="164">
        <v>30</v>
      </c>
      <c r="U46" s="164">
        <v>120</v>
      </c>
      <c r="V46" s="164">
        <v>170</v>
      </c>
      <c r="W46" s="164">
        <v>170</v>
      </c>
      <c r="X46" s="164">
        <v>120</v>
      </c>
      <c r="Y46" s="164">
        <v>70</v>
      </c>
      <c r="Z46" s="164">
        <v>80</v>
      </c>
      <c r="AA46" s="164">
        <f>SUBTOTAL(9,DM46:DQ46)</f>
        <v>80</v>
      </c>
      <c r="AB46" s="164">
        <f>SUBTOTAL(9,DR46:DU46)</f>
        <v>120</v>
      </c>
      <c r="AC46" s="164">
        <f>SUBTOTAL(9,DV46:DY46)</f>
        <v>130</v>
      </c>
      <c r="AD46" s="218">
        <f>SUBTOTAL(9,DZ46:ED46)</f>
        <v>50</v>
      </c>
      <c r="AE46" s="218">
        <f>SUBTOTAL(9,EE46:EH46)</f>
        <v>0</v>
      </c>
      <c r="AF46" s="218">
        <f>SUBTOTAL(9,EI46:EL46)</f>
        <v>0</v>
      </c>
      <c r="AG46" s="218">
        <f>SUBTOTAL(9,EM46:EP46)</f>
        <v>0</v>
      </c>
      <c r="AH46" s="218">
        <f>SUBTOTAL(9,EQ46:ET46)</f>
        <v>0</v>
      </c>
      <c r="AI46" s="166">
        <v>680</v>
      </c>
      <c r="AJ46" s="166">
        <v>230</v>
      </c>
      <c r="AK46" s="166">
        <v>230</v>
      </c>
      <c r="AL46" s="165">
        <v>230</v>
      </c>
      <c r="AM46" s="167">
        <v>140</v>
      </c>
      <c r="AN46" s="166">
        <v>140</v>
      </c>
      <c r="AO46" s="166">
        <v>130</v>
      </c>
      <c r="AP46" s="168">
        <v>130</v>
      </c>
      <c r="AQ46" s="166">
        <v>80</v>
      </c>
      <c r="AR46" s="166">
        <v>70</v>
      </c>
      <c r="AS46" s="166">
        <v>70</v>
      </c>
      <c r="AT46" s="169">
        <v>70</v>
      </c>
      <c r="AU46" s="170">
        <v>0</v>
      </c>
      <c r="AV46" s="166">
        <v>0</v>
      </c>
      <c r="AW46" s="166">
        <v>0</v>
      </c>
      <c r="AX46" s="166">
        <v>0</v>
      </c>
      <c r="AY46" s="169">
        <v>0</v>
      </c>
      <c r="AZ46" s="167">
        <v>0</v>
      </c>
      <c r="BA46" s="166">
        <v>0</v>
      </c>
      <c r="BB46" s="166">
        <v>0</v>
      </c>
      <c r="BC46" s="169">
        <v>0</v>
      </c>
      <c r="BD46" s="171">
        <v>140</v>
      </c>
      <c r="BE46" s="166">
        <v>140</v>
      </c>
      <c r="BF46" s="172">
        <v>0</v>
      </c>
      <c r="BG46" s="166">
        <v>140</v>
      </c>
      <c r="BH46" s="169">
        <v>140</v>
      </c>
      <c r="BI46" s="171">
        <v>140</v>
      </c>
      <c r="BJ46" s="166">
        <v>140</v>
      </c>
      <c r="BK46" s="166">
        <v>140</v>
      </c>
      <c r="BL46" s="169">
        <v>130</v>
      </c>
      <c r="BM46" s="171">
        <v>100</v>
      </c>
      <c r="BN46" s="166">
        <v>100</v>
      </c>
      <c r="BO46" s="166">
        <v>100</v>
      </c>
      <c r="BP46" s="169">
        <v>100</v>
      </c>
      <c r="BQ46" s="167">
        <v>130</v>
      </c>
      <c r="BR46" s="166">
        <v>130</v>
      </c>
      <c r="BS46" s="166">
        <v>130</v>
      </c>
      <c r="BT46" s="169">
        <v>130</v>
      </c>
      <c r="BU46" s="173">
        <v>130</v>
      </c>
      <c r="BV46" s="171">
        <v>130</v>
      </c>
      <c r="BW46" s="166">
        <v>130</v>
      </c>
      <c r="BX46" s="166">
        <v>140</v>
      </c>
      <c r="BY46" s="168">
        <v>140</v>
      </c>
      <c r="BZ46" s="167">
        <v>0</v>
      </c>
      <c r="CA46" s="166">
        <v>0</v>
      </c>
      <c r="CB46" s="166">
        <v>0</v>
      </c>
      <c r="CC46" s="174">
        <v>0</v>
      </c>
      <c r="CD46" s="173">
        <v>0</v>
      </c>
      <c r="CE46" s="182">
        <v>0</v>
      </c>
      <c r="CF46" s="183">
        <v>0</v>
      </c>
      <c r="CG46" s="175">
        <v>0</v>
      </c>
      <c r="CH46" s="173">
        <v>0</v>
      </c>
      <c r="CI46" s="184">
        <v>0</v>
      </c>
      <c r="CJ46" s="175">
        <v>10</v>
      </c>
      <c r="CK46" s="175">
        <v>10</v>
      </c>
      <c r="CL46" s="173">
        <v>10</v>
      </c>
      <c r="CM46" s="184">
        <v>30</v>
      </c>
      <c r="CN46" s="175">
        <v>30</v>
      </c>
      <c r="CO46" s="175">
        <v>30</v>
      </c>
      <c r="CP46" s="173">
        <v>30</v>
      </c>
      <c r="CQ46" s="184">
        <v>40</v>
      </c>
      <c r="CR46" s="175">
        <v>40</v>
      </c>
      <c r="CS46" s="175">
        <v>40</v>
      </c>
      <c r="CT46" s="176">
        <v>0</v>
      </c>
      <c r="CU46" s="173">
        <v>50</v>
      </c>
      <c r="CV46" s="184">
        <v>40</v>
      </c>
      <c r="CW46" s="175">
        <v>50</v>
      </c>
      <c r="CX46" s="175">
        <v>40</v>
      </c>
      <c r="CY46" s="173">
        <v>40</v>
      </c>
      <c r="CZ46" s="184">
        <v>30</v>
      </c>
      <c r="DA46" s="175">
        <v>30</v>
      </c>
      <c r="DB46" s="175">
        <v>30</v>
      </c>
      <c r="DC46" s="173">
        <v>30</v>
      </c>
      <c r="DD46" s="184">
        <v>10</v>
      </c>
      <c r="DE46" s="175">
        <v>20</v>
      </c>
      <c r="DF46" s="176">
        <v>0</v>
      </c>
      <c r="DG46" s="175">
        <v>20</v>
      </c>
      <c r="DH46" s="173">
        <v>20</v>
      </c>
      <c r="DI46" s="184">
        <v>20</v>
      </c>
      <c r="DJ46" s="175">
        <v>20</v>
      </c>
      <c r="DK46" s="175">
        <v>20</v>
      </c>
      <c r="DL46" s="173">
        <v>20</v>
      </c>
      <c r="DM46" s="184">
        <v>20</v>
      </c>
      <c r="DN46" s="175">
        <v>20</v>
      </c>
      <c r="DO46" s="175">
        <v>20</v>
      </c>
      <c r="DP46" s="175">
        <v>10</v>
      </c>
      <c r="DQ46" s="173">
        <v>10</v>
      </c>
      <c r="DR46" s="184">
        <v>30</v>
      </c>
      <c r="DS46" s="175">
        <v>30</v>
      </c>
      <c r="DT46" s="175">
        <v>30</v>
      </c>
      <c r="DU46" s="173">
        <v>30</v>
      </c>
      <c r="DV46" s="171">
        <v>40</v>
      </c>
      <c r="DW46" s="175">
        <v>30</v>
      </c>
      <c r="DX46" s="175">
        <v>30</v>
      </c>
      <c r="DY46" s="173">
        <v>30</v>
      </c>
      <c r="DZ46" s="184">
        <v>30</v>
      </c>
      <c r="EA46" s="175">
        <v>10</v>
      </c>
      <c r="EB46" s="175">
        <v>10</v>
      </c>
      <c r="EC46" s="218">
        <v>0</v>
      </c>
      <c r="ED46" s="239">
        <v>0</v>
      </c>
      <c r="EE46" s="184"/>
      <c r="EF46" s="175"/>
      <c r="EG46" s="218"/>
      <c r="EH46" s="239"/>
      <c r="EI46" s="184"/>
      <c r="EJ46" s="175"/>
      <c r="EK46" s="175"/>
      <c r="EL46" s="173"/>
      <c r="EM46" s="184"/>
      <c r="EN46" s="175"/>
      <c r="EO46" s="175"/>
      <c r="EP46" s="173"/>
      <c r="EQ46" s="184"/>
      <c r="ER46" s="175"/>
      <c r="ES46" s="175"/>
      <c r="ET46" s="173"/>
    </row>
    <row r="47" spans="1:150" s="25" customFormat="1" ht="27.75" customHeight="1" thickBot="1">
      <c r="A47" s="26" t="s">
        <v>12</v>
      </c>
      <c r="B47" s="26"/>
      <c r="C47" s="644"/>
      <c r="D47" s="179"/>
      <c r="E47" s="180"/>
      <c r="F47" s="181"/>
      <c r="G47" s="120" t="s">
        <v>18</v>
      </c>
      <c r="H47" s="135">
        <v>11864</v>
      </c>
      <c r="I47" s="136">
        <f>H47+I46</f>
        <v>12404</v>
      </c>
      <c r="J47" s="136">
        <f>I47+J46</f>
        <v>12694</v>
      </c>
      <c r="K47" s="136">
        <v>0</v>
      </c>
      <c r="L47" s="136">
        <f t="shared" ref="L47" si="1587">K47+L46</f>
        <v>0</v>
      </c>
      <c r="M47" s="137">
        <f t="shared" ref="M47" si="1588">L47+M46</f>
        <v>560</v>
      </c>
      <c r="N47" s="137">
        <f t="shared" ref="N47" si="1589">M47+N46</f>
        <v>1110</v>
      </c>
      <c r="O47" s="137">
        <f t="shared" ref="O47" si="1590">N47+O46</f>
        <v>1510</v>
      </c>
      <c r="P47" s="137">
        <f t="shared" ref="P47" si="1591">O47+P46</f>
        <v>2160</v>
      </c>
      <c r="Q47" s="137">
        <v>0</v>
      </c>
      <c r="R47" s="122">
        <f t="shared" ref="R47:U47" si="1592">Q47+R46</f>
        <v>0</v>
      </c>
      <c r="S47" s="122">
        <f t="shared" si="1592"/>
        <v>0</v>
      </c>
      <c r="T47" s="123">
        <f t="shared" si="1592"/>
        <v>30</v>
      </c>
      <c r="U47" s="123">
        <f t="shared" si="1592"/>
        <v>150</v>
      </c>
      <c r="V47" s="123">
        <f t="shared" ref="V47:W47" si="1593">U47+V46</f>
        <v>320</v>
      </c>
      <c r="W47" s="123">
        <f t="shared" si="1593"/>
        <v>490</v>
      </c>
      <c r="X47" s="123">
        <f t="shared" ref="X47" si="1594">W47+X46</f>
        <v>610</v>
      </c>
      <c r="Y47" s="123">
        <f t="shared" ref="Y47:AB47" si="1595">X47+Y46</f>
        <v>680</v>
      </c>
      <c r="Z47" s="123">
        <f t="shared" si="1595"/>
        <v>760</v>
      </c>
      <c r="AA47" s="123">
        <f t="shared" si="1595"/>
        <v>840</v>
      </c>
      <c r="AB47" s="123">
        <f t="shared" si="1595"/>
        <v>960</v>
      </c>
      <c r="AC47" s="123">
        <f t="shared" ref="AC47:AH47" si="1596">AB47+AC46</f>
        <v>1090</v>
      </c>
      <c r="AD47" s="136">
        <f t="shared" si="1596"/>
        <v>1140</v>
      </c>
      <c r="AE47" s="125">
        <f t="shared" si="1596"/>
        <v>1140</v>
      </c>
      <c r="AF47" s="123">
        <f t="shared" si="1596"/>
        <v>1140</v>
      </c>
      <c r="AG47" s="123">
        <f t="shared" si="1596"/>
        <v>1140</v>
      </c>
      <c r="AH47" s="136">
        <f t="shared" si="1596"/>
        <v>1140</v>
      </c>
      <c r="AI47" s="124">
        <v>11174</v>
      </c>
      <c r="AJ47" s="124">
        <f t="shared" ref="AJ47" si="1597">AI47+AJ46</f>
        <v>11404</v>
      </c>
      <c r="AK47" s="124">
        <f t="shared" ref="AK47" si="1598">AJ47+AK46</f>
        <v>11634</v>
      </c>
      <c r="AL47" s="126">
        <f t="shared" ref="AL47" si="1599">AK47+AL46</f>
        <v>11864</v>
      </c>
      <c r="AM47" s="124">
        <f t="shared" ref="AM47" si="1600">AL47+AM46</f>
        <v>12004</v>
      </c>
      <c r="AN47" s="124">
        <f t="shared" ref="AN47" si="1601">AM47+AN46</f>
        <v>12144</v>
      </c>
      <c r="AO47" s="124">
        <f t="shared" ref="AO47" si="1602">AN47+AO46</f>
        <v>12274</v>
      </c>
      <c r="AP47" s="133">
        <f t="shared" ref="AP47" si="1603">AO47+AP46</f>
        <v>12404</v>
      </c>
      <c r="AQ47" s="124">
        <f>AP47+AQ46</f>
        <v>12484</v>
      </c>
      <c r="AR47" s="124">
        <f t="shared" ref="AR47" si="1604">AQ47+AR46</f>
        <v>12554</v>
      </c>
      <c r="AS47" s="124">
        <f t="shared" ref="AS47" si="1605">AR47+AS46</f>
        <v>12624</v>
      </c>
      <c r="AT47" s="125">
        <f t="shared" ref="AT47" si="1606">AS47+AT46</f>
        <v>12694</v>
      </c>
      <c r="AU47" s="143">
        <v>0</v>
      </c>
      <c r="AV47" s="144">
        <f t="shared" ref="AV47" si="1607">AU47+AV46</f>
        <v>0</v>
      </c>
      <c r="AW47" s="144">
        <f t="shared" ref="AW47" si="1608">AV47+AW46</f>
        <v>0</v>
      </c>
      <c r="AX47" s="144">
        <f t="shared" ref="AX47" si="1609">AW47+AX46</f>
        <v>0</v>
      </c>
      <c r="AY47" s="145">
        <f t="shared" ref="AY47" si="1610">AX47+AY46</f>
        <v>0</v>
      </c>
      <c r="AZ47" s="135">
        <f>AY47+AZ46</f>
        <v>0</v>
      </c>
      <c r="BA47" s="144">
        <f t="shared" ref="BA47" si="1611">AZ47+BA46</f>
        <v>0</v>
      </c>
      <c r="BB47" s="144">
        <f t="shared" ref="BB47" si="1612">BA47+BB46</f>
        <v>0</v>
      </c>
      <c r="BC47" s="145">
        <f t="shared" ref="BC47" si="1613">BB47+BC46</f>
        <v>0</v>
      </c>
      <c r="BD47" s="135">
        <f t="shared" ref="BD47" si="1614">BC47+BD46</f>
        <v>140</v>
      </c>
      <c r="BE47" s="144">
        <f t="shared" ref="BE47" si="1615">BD47+BE46</f>
        <v>280</v>
      </c>
      <c r="BF47" s="144">
        <f t="shared" ref="BF47" si="1616">BE47+BF46</f>
        <v>280</v>
      </c>
      <c r="BG47" s="144">
        <f t="shared" ref="BG47" si="1617">BF47+BG46</f>
        <v>420</v>
      </c>
      <c r="BH47" s="145">
        <f t="shared" ref="BH47" si="1618">BG47+BH46</f>
        <v>560</v>
      </c>
      <c r="BI47" s="135">
        <f>BH47+BI46</f>
        <v>700</v>
      </c>
      <c r="BJ47" s="144">
        <f t="shared" ref="BJ47" si="1619">BI47+BJ46</f>
        <v>840</v>
      </c>
      <c r="BK47" s="144">
        <f t="shared" ref="BK47" si="1620">BJ47+BK46</f>
        <v>980</v>
      </c>
      <c r="BL47" s="145">
        <f t="shared" ref="BL47" si="1621">BK47+BL46</f>
        <v>1110</v>
      </c>
      <c r="BM47" s="135">
        <f t="shared" ref="BM47" si="1622">BL47+BM46</f>
        <v>1210</v>
      </c>
      <c r="BN47" s="144">
        <f t="shared" ref="BN47" si="1623">BM47+BN46</f>
        <v>1310</v>
      </c>
      <c r="BO47" s="144">
        <f t="shared" ref="BO47" si="1624">BN47+BO46</f>
        <v>1410</v>
      </c>
      <c r="BP47" s="145">
        <f t="shared" ref="BP47" si="1625">BO47+BP46</f>
        <v>1510</v>
      </c>
      <c r="BQ47" s="135">
        <f>BP47+BQ46</f>
        <v>1640</v>
      </c>
      <c r="BR47" s="144">
        <f t="shared" ref="BR47" si="1626">BQ47+BR46</f>
        <v>1770</v>
      </c>
      <c r="BS47" s="144">
        <f t="shared" ref="BS47" si="1627">BR47+BS46</f>
        <v>1900</v>
      </c>
      <c r="BT47" s="144">
        <f t="shared" ref="BT47" si="1628">BS47+BT46</f>
        <v>2030</v>
      </c>
      <c r="BU47" s="146">
        <f t="shared" ref="BU47" si="1629">BT47+BU46</f>
        <v>2160</v>
      </c>
      <c r="BV47" s="135">
        <f t="shared" ref="BV47" si="1630">BU47+BV46</f>
        <v>2290</v>
      </c>
      <c r="BW47" s="144">
        <f t="shared" ref="BW47" si="1631">BV47+BW46</f>
        <v>2420</v>
      </c>
      <c r="BX47" s="144">
        <f t="shared" ref="BX47" si="1632">BW47+BX46</f>
        <v>2560</v>
      </c>
      <c r="BY47" s="147">
        <f t="shared" ref="BY47" si="1633">BX47+BY46</f>
        <v>2700</v>
      </c>
      <c r="BZ47" s="135">
        <v>0</v>
      </c>
      <c r="CA47" s="144">
        <f t="shared" ref="CA47" si="1634">BZ47+CA46</f>
        <v>0</v>
      </c>
      <c r="CB47" s="144">
        <f t="shared" ref="CB47" si="1635">CA47+CB46</f>
        <v>0</v>
      </c>
      <c r="CC47" s="144">
        <f t="shared" ref="CC47" si="1636">CB47+CC46</f>
        <v>0</v>
      </c>
      <c r="CD47" s="146">
        <f t="shared" ref="CD47" si="1637">CC47+CD46</f>
        <v>0</v>
      </c>
      <c r="CE47" s="135">
        <f>CD47+CE46</f>
        <v>0</v>
      </c>
      <c r="CF47" s="144">
        <f t="shared" ref="CF47" si="1638">CE47+CF46</f>
        <v>0</v>
      </c>
      <c r="CG47" s="144">
        <f t="shared" ref="CG47" si="1639">CF47+CG46</f>
        <v>0</v>
      </c>
      <c r="CH47" s="147">
        <f t="shared" ref="CH47" si="1640">CG47+CH46</f>
        <v>0</v>
      </c>
      <c r="CI47" s="135">
        <f t="shared" ref="CI47" si="1641">CH47+CI46</f>
        <v>0</v>
      </c>
      <c r="CJ47" s="144">
        <f t="shared" ref="CJ47" si="1642">CI47+CJ46</f>
        <v>10</v>
      </c>
      <c r="CK47" s="144">
        <f t="shared" ref="CK47" si="1643">CJ47+CK46</f>
        <v>20</v>
      </c>
      <c r="CL47" s="147">
        <f t="shared" ref="CL47" si="1644">CK47+CL46</f>
        <v>30</v>
      </c>
      <c r="CM47" s="135">
        <f t="shared" ref="CM47" si="1645">CL47+CM46</f>
        <v>60</v>
      </c>
      <c r="CN47" s="144">
        <f t="shared" ref="CN47" si="1646">CM47+CN46</f>
        <v>90</v>
      </c>
      <c r="CO47" s="144">
        <f t="shared" ref="CO47" si="1647">CN47+CO46</f>
        <v>120</v>
      </c>
      <c r="CP47" s="147">
        <f t="shared" ref="CP47" si="1648">CO47+CP46</f>
        <v>150</v>
      </c>
      <c r="CQ47" s="135">
        <f t="shared" ref="CQ47" si="1649">CP47+CQ46</f>
        <v>190</v>
      </c>
      <c r="CR47" s="144">
        <f t="shared" ref="CR47" si="1650">CQ47+CR46</f>
        <v>230</v>
      </c>
      <c r="CS47" s="144">
        <f t="shared" ref="CS47" si="1651">CR47+CS46</f>
        <v>270</v>
      </c>
      <c r="CT47" s="144">
        <f t="shared" ref="CT47" si="1652">CS47+CT46</f>
        <v>270</v>
      </c>
      <c r="CU47" s="147">
        <f t="shared" ref="CU47" si="1653">CT47+CU46</f>
        <v>320</v>
      </c>
      <c r="CV47" s="135">
        <f t="shared" ref="CV47" si="1654">CU47+CV46</f>
        <v>360</v>
      </c>
      <c r="CW47" s="144">
        <f t="shared" ref="CW47" si="1655">CV47+CW46</f>
        <v>410</v>
      </c>
      <c r="CX47" s="144">
        <f t="shared" ref="CX47" si="1656">CW47+CX46</f>
        <v>450</v>
      </c>
      <c r="CY47" s="147">
        <f t="shared" ref="CY47" si="1657">CX47+CY46</f>
        <v>490</v>
      </c>
      <c r="CZ47" s="135">
        <f t="shared" ref="CZ47" si="1658">CY47+CZ46</f>
        <v>520</v>
      </c>
      <c r="DA47" s="144">
        <f t="shared" ref="DA47" si="1659">CZ47+DA46</f>
        <v>550</v>
      </c>
      <c r="DB47" s="144">
        <f t="shared" ref="DB47" si="1660">DA47+DB46</f>
        <v>580</v>
      </c>
      <c r="DC47" s="147">
        <f t="shared" ref="DC47" si="1661">DB47+DC46</f>
        <v>610</v>
      </c>
      <c r="DD47" s="135">
        <f t="shared" ref="DD47" si="1662">DC47+DD46</f>
        <v>620</v>
      </c>
      <c r="DE47" s="144">
        <f t="shared" ref="DE47" si="1663">DD47+DE46</f>
        <v>640</v>
      </c>
      <c r="DF47" s="144">
        <f t="shared" ref="DF47" si="1664">DE47+DF46</f>
        <v>640</v>
      </c>
      <c r="DG47" s="145">
        <f t="shared" ref="DG47:DH47" si="1665">DF47+DG46</f>
        <v>660</v>
      </c>
      <c r="DH47" s="146">
        <f t="shared" si="1665"/>
        <v>680</v>
      </c>
      <c r="DI47" s="135">
        <f t="shared" ref="DI47" si="1666">DH47+DI46</f>
        <v>700</v>
      </c>
      <c r="DJ47" s="144">
        <f t="shared" ref="DJ47" si="1667">DI47+DJ46</f>
        <v>720</v>
      </c>
      <c r="DK47" s="144">
        <f t="shared" ref="DK47" si="1668">DJ47+DK46</f>
        <v>740</v>
      </c>
      <c r="DL47" s="147">
        <f t="shared" ref="DL47" si="1669">DK47+DL46</f>
        <v>760</v>
      </c>
      <c r="DM47" s="135">
        <f t="shared" ref="DM47" si="1670">DL47+DM46</f>
        <v>780</v>
      </c>
      <c r="DN47" s="144">
        <f t="shared" ref="DN47" si="1671">DM47+DN46</f>
        <v>800</v>
      </c>
      <c r="DO47" s="144">
        <f t="shared" ref="DO47" si="1672">DN47+DO46</f>
        <v>820</v>
      </c>
      <c r="DP47" s="145">
        <f>DO47+DP46</f>
        <v>830</v>
      </c>
      <c r="DQ47" s="146">
        <f>DP47+DQ46</f>
        <v>840</v>
      </c>
      <c r="DR47" s="135">
        <f>DQ47+DR46</f>
        <v>870</v>
      </c>
      <c r="DS47" s="144">
        <f t="shared" ref="DS47" si="1673">DR47+DS46</f>
        <v>900</v>
      </c>
      <c r="DT47" s="144">
        <f t="shared" ref="DT47" si="1674">DS47+DT46</f>
        <v>930</v>
      </c>
      <c r="DU47" s="147">
        <f t="shared" ref="DU47" si="1675">DT47+DU46</f>
        <v>960</v>
      </c>
      <c r="DV47" s="135">
        <f t="shared" ref="DV47" si="1676">DU47+DV46</f>
        <v>1000</v>
      </c>
      <c r="DW47" s="144">
        <f t="shared" ref="DW47" si="1677">DV47+DW46</f>
        <v>1030</v>
      </c>
      <c r="DX47" s="144">
        <f t="shared" ref="DX47" si="1678">DW47+DX46</f>
        <v>1060</v>
      </c>
      <c r="DY47" s="147">
        <f t="shared" ref="DY47" si="1679">DX47+DY46</f>
        <v>1090</v>
      </c>
      <c r="DZ47" s="135">
        <f t="shared" ref="DZ47" si="1680">DY47+DZ46</f>
        <v>1120</v>
      </c>
      <c r="EA47" s="144">
        <f t="shared" ref="EA47" si="1681">DZ47+EA46</f>
        <v>1130</v>
      </c>
      <c r="EB47" s="144">
        <f t="shared" ref="EB47" si="1682">EA47+EB46</f>
        <v>1140</v>
      </c>
      <c r="EC47" s="136">
        <f t="shared" ref="EC47:ED47" si="1683">EB47+EC46</f>
        <v>1140</v>
      </c>
      <c r="ED47" s="147">
        <f t="shared" si="1683"/>
        <v>1140</v>
      </c>
      <c r="EE47" s="144">
        <f t="shared" ref="EE47" si="1684">ED47+EE46</f>
        <v>1140</v>
      </c>
      <c r="EF47" s="144">
        <f t="shared" ref="EF47" si="1685">EE47+EF46</f>
        <v>1140</v>
      </c>
      <c r="EG47" s="136">
        <f t="shared" ref="EG47" si="1686">EF47+EG46</f>
        <v>1140</v>
      </c>
      <c r="EH47" s="147">
        <f t="shared" ref="EH47" si="1687">EG47+EH46</f>
        <v>1140</v>
      </c>
      <c r="EI47" s="144">
        <f t="shared" ref="EI47" si="1688">EH47+EI46</f>
        <v>1140</v>
      </c>
      <c r="EJ47" s="144">
        <f t="shared" ref="EJ47" si="1689">EI47+EJ46</f>
        <v>1140</v>
      </c>
      <c r="EK47" s="144">
        <f t="shared" ref="EK47" si="1690">EJ47+EK46</f>
        <v>1140</v>
      </c>
      <c r="EL47" s="147">
        <f t="shared" ref="EL47" si="1691">EK47+EL46</f>
        <v>1140</v>
      </c>
      <c r="EM47" s="135">
        <f t="shared" ref="EM47" si="1692">EL47+EM46</f>
        <v>1140</v>
      </c>
      <c r="EN47" s="144">
        <f t="shared" ref="EN47" si="1693">EM47+EN46</f>
        <v>1140</v>
      </c>
      <c r="EO47" s="144">
        <f t="shared" ref="EO47" si="1694">EN47+EO46</f>
        <v>1140</v>
      </c>
      <c r="EP47" s="147">
        <f t="shared" ref="EP47" si="1695">EO47+EP46</f>
        <v>1140</v>
      </c>
      <c r="EQ47" s="135">
        <f t="shared" ref="EQ47" si="1696">EP47+EQ46</f>
        <v>1140</v>
      </c>
      <c r="ER47" s="144">
        <f t="shared" ref="ER47" si="1697">EQ47+ER46</f>
        <v>1140</v>
      </c>
      <c r="ES47" s="144">
        <f t="shared" ref="ES47" si="1698">ER47+ES46</f>
        <v>1140</v>
      </c>
      <c r="ET47" s="147">
        <f t="shared" ref="ET47" si="1699">ES47+ET46</f>
        <v>1140</v>
      </c>
    </row>
    <row r="48" spans="1:150" s="25" customFormat="1" ht="27.75" customHeight="1">
      <c r="A48" s="27" t="s">
        <v>12</v>
      </c>
      <c r="B48" s="28"/>
      <c r="C48" s="148"/>
      <c r="D48" s="148"/>
      <c r="E48" s="148"/>
      <c r="F48" s="148"/>
      <c r="G48" s="149" t="s">
        <v>17</v>
      </c>
      <c r="H48" s="150">
        <v>4630</v>
      </c>
      <c r="I48" s="150">
        <f t="shared" ref="I48:Q48" si="1700">SUMIF($G$20:$G$45,$G$48,I20:I45)</f>
        <v>540</v>
      </c>
      <c r="J48" s="150">
        <f t="shared" si="1700"/>
        <v>300</v>
      </c>
      <c r="K48" s="150">
        <f t="shared" si="1700"/>
        <v>830</v>
      </c>
      <c r="L48" s="150">
        <f t="shared" si="1700"/>
        <v>750</v>
      </c>
      <c r="M48" s="150">
        <f t="shared" si="1700"/>
        <v>1020</v>
      </c>
      <c r="N48" s="151">
        <f t="shared" si="1700"/>
        <v>1170</v>
      </c>
      <c r="O48" s="150">
        <f t="shared" si="1700"/>
        <v>1010</v>
      </c>
      <c r="P48" s="150">
        <f t="shared" si="1700"/>
        <v>1780</v>
      </c>
      <c r="Q48" s="150">
        <f t="shared" si="1700"/>
        <v>620</v>
      </c>
      <c r="R48" s="151">
        <f t="shared" ref="R48:BA48" si="1701">SUMIF($G$20:$G$47,$G$48,R20:R47)</f>
        <v>500</v>
      </c>
      <c r="S48" s="151">
        <f t="shared" si="1701"/>
        <v>560</v>
      </c>
      <c r="T48" s="151">
        <f t="shared" si="1701"/>
        <v>1265</v>
      </c>
      <c r="U48" s="151">
        <f t="shared" si="1701"/>
        <v>4460</v>
      </c>
      <c r="V48" s="151">
        <f t="shared" si="1701"/>
        <v>4280</v>
      </c>
      <c r="W48" s="150">
        <f t="shared" si="1701"/>
        <v>3446</v>
      </c>
      <c r="X48" s="150">
        <f t="shared" si="1701"/>
        <v>4220</v>
      </c>
      <c r="Y48" s="150">
        <f t="shared" si="1701"/>
        <v>3336</v>
      </c>
      <c r="Z48" s="150">
        <f t="shared" si="1701"/>
        <v>4130</v>
      </c>
      <c r="AA48" s="150">
        <f t="shared" si="1701"/>
        <v>3720</v>
      </c>
      <c r="AB48" s="150">
        <f t="shared" si="1701"/>
        <v>4150</v>
      </c>
      <c r="AC48" s="150">
        <f t="shared" si="1701"/>
        <v>4176</v>
      </c>
      <c r="AD48" s="150">
        <f t="shared" ref="AD48:AE48" si="1702">SUMIF($G$20:$G$47,$G$48,AD20:AD47)</f>
        <v>2790</v>
      </c>
      <c r="AE48" s="150">
        <f t="shared" si="1702"/>
        <v>0</v>
      </c>
      <c r="AF48" s="150">
        <f>SUMIF($G$20:$G$47,$G$48,AF20:AF47)</f>
        <v>0</v>
      </c>
      <c r="AG48" s="150">
        <f>SUMIF($G$20:$G$47,$G$48,AG20:AG47)</f>
        <v>0</v>
      </c>
      <c r="AH48" s="153">
        <f>SUMIF($G$20:$G$47,$G$48,AH20:AH47)</f>
        <v>0</v>
      </c>
      <c r="AI48" s="162">
        <f t="shared" si="1701"/>
        <v>1460</v>
      </c>
      <c r="AJ48" s="151">
        <f t="shared" si="1701"/>
        <v>540</v>
      </c>
      <c r="AK48" s="151">
        <f t="shared" si="1701"/>
        <v>540</v>
      </c>
      <c r="AL48" s="151">
        <f t="shared" si="1701"/>
        <v>540</v>
      </c>
      <c r="AM48" s="151">
        <f t="shared" si="1701"/>
        <v>280</v>
      </c>
      <c r="AN48" s="151">
        <f t="shared" si="1701"/>
        <v>280</v>
      </c>
      <c r="AO48" s="151">
        <f t="shared" si="1701"/>
        <v>260</v>
      </c>
      <c r="AP48" s="151">
        <f t="shared" si="1701"/>
        <v>260</v>
      </c>
      <c r="AQ48" s="151">
        <f t="shared" si="1701"/>
        <v>170</v>
      </c>
      <c r="AR48" s="151">
        <f t="shared" si="1701"/>
        <v>140</v>
      </c>
      <c r="AS48" s="151">
        <f t="shared" si="1701"/>
        <v>140</v>
      </c>
      <c r="AT48" s="151">
        <f t="shared" si="1701"/>
        <v>140</v>
      </c>
      <c r="AU48" s="151">
        <f t="shared" si="1701"/>
        <v>0</v>
      </c>
      <c r="AV48" s="151">
        <f t="shared" si="1701"/>
        <v>220</v>
      </c>
      <c r="AW48" s="151">
        <f t="shared" si="1701"/>
        <v>210</v>
      </c>
      <c r="AX48" s="151">
        <f t="shared" si="1701"/>
        <v>200</v>
      </c>
      <c r="AY48" s="151">
        <f t="shared" si="1701"/>
        <v>200</v>
      </c>
      <c r="AZ48" s="151">
        <f t="shared" si="1701"/>
        <v>190</v>
      </c>
      <c r="BA48" s="151">
        <f t="shared" si="1701"/>
        <v>180</v>
      </c>
      <c r="BB48" s="151">
        <f t="shared" ref="BB48:CG48" si="1703">SUMIF($G$20:$G$47,$G$48,BB20:BB47)</f>
        <v>190</v>
      </c>
      <c r="BC48" s="151">
        <f t="shared" si="1703"/>
        <v>190</v>
      </c>
      <c r="BD48" s="151">
        <f t="shared" si="1703"/>
        <v>400</v>
      </c>
      <c r="BE48" s="151">
        <f t="shared" si="1703"/>
        <v>400</v>
      </c>
      <c r="BF48" s="151">
        <f t="shared" si="1703"/>
        <v>0</v>
      </c>
      <c r="BG48" s="151">
        <f t="shared" si="1703"/>
        <v>390</v>
      </c>
      <c r="BH48" s="151">
        <f t="shared" si="1703"/>
        <v>390</v>
      </c>
      <c r="BI48" s="151">
        <f t="shared" si="1703"/>
        <v>440</v>
      </c>
      <c r="BJ48" s="151">
        <f t="shared" si="1703"/>
        <v>440</v>
      </c>
      <c r="BK48" s="151">
        <f t="shared" si="1703"/>
        <v>430</v>
      </c>
      <c r="BL48" s="151">
        <f t="shared" si="1703"/>
        <v>410</v>
      </c>
      <c r="BM48" s="151">
        <f t="shared" si="1703"/>
        <v>360</v>
      </c>
      <c r="BN48" s="151">
        <f t="shared" si="1703"/>
        <v>360</v>
      </c>
      <c r="BO48" s="151">
        <f t="shared" si="1703"/>
        <v>350</v>
      </c>
      <c r="BP48" s="151">
        <f t="shared" si="1703"/>
        <v>340</v>
      </c>
      <c r="BQ48" s="151">
        <f t="shared" si="1703"/>
        <v>510</v>
      </c>
      <c r="BR48" s="151">
        <f t="shared" si="1703"/>
        <v>480</v>
      </c>
      <c r="BS48" s="151">
        <f t="shared" si="1703"/>
        <v>480</v>
      </c>
      <c r="BT48" s="151">
        <f t="shared" si="1703"/>
        <v>480</v>
      </c>
      <c r="BU48" s="151">
        <f t="shared" si="1703"/>
        <v>480</v>
      </c>
      <c r="BV48" s="151">
        <f t="shared" si="1703"/>
        <v>360</v>
      </c>
      <c r="BW48" s="151">
        <f t="shared" si="1703"/>
        <v>360</v>
      </c>
      <c r="BX48" s="151">
        <f t="shared" si="1703"/>
        <v>360</v>
      </c>
      <c r="BY48" s="150">
        <f t="shared" si="1703"/>
        <v>360</v>
      </c>
      <c r="BZ48" s="152">
        <f t="shared" si="1703"/>
        <v>120</v>
      </c>
      <c r="CA48" s="151">
        <f t="shared" si="1703"/>
        <v>120</v>
      </c>
      <c r="CB48" s="151">
        <f t="shared" si="1703"/>
        <v>130</v>
      </c>
      <c r="CC48" s="151">
        <f t="shared" si="1703"/>
        <v>0</v>
      </c>
      <c r="CD48" s="151">
        <f t="shared" si="1703"/>
        <v>130</v>
      </c>
      <c r="CE48" s="151">
        <f t="shared" si="1703"/>
        <v>0</v>
      </c>
      <c r="CF48" s="151">
        <f t="shared" si="1703"/>
        <v>190</v>
      </c>
      <c r="CG48" s="151">
        <f t="shared" si="1703"/>
        <v>190</v>
      </c>
      <c r="CH48" s="151">
        <f t="shared" ref="CH48:DL48" si="1704">SUMIF($G$20:$G$47,$G$48,CH20:CH47)</f>
        <v>180</v>
      </c>
      <c r="CI48" s="151">
        <f t="shared" si="1704"/>
        <v>120</v>
      </c>
      <c r="CJ48" s="151">
        <f t="shared" si="1704"/>
        <v>465</v>
      </c>
      <c r="CK48" s="151">
        <f t="shared" si="1704"/>
        <v>350</v>
      </c>
      <c r="CL48" s="151">
        <f t="shared" si="1704"/>
        <v>330</v>
      </c>
      <c r="CM48" s="151">
        <f t="shared" si="1704"/>
        <v>1090</v>
      </c>
      <c r="CN48" s="151">
        <f t="shared" si="1704"/>
        <v>1090</v>
      </c>
      <c r="CO48" s="151">
        <f t="shared" si="1704"/>
        <v>1150</v>
      </c>
      <c r="CP48" s="151">
        <f t="shared" si="1704"/>
        <v>1130</v>
      </c>
      <c r="CQ48" s="151">
        <f t="shared" si="1704"/>
        <v>1070</v>
      </c>
      <c r="CR48" s="151">
        <f t="shared" si="1704"/>
        <v>1070</v>
      </c>
      <c r="CS48" s="151">
        <f t="shared" si="1704"/>
        <v>1070</v>
      </c>
      <c r="CT48" s="151">
        <f t="shared" si="1704"/>
        <v>0</v>
      </c>
      <c r="CU48" s="151">
        <f t="shared" si="1704"/>
        <v>1070</v>
      </c>
      <c r="CV48" s="151">
        <f t="shared" si="1704"/>
        <v>866</v>
      </c>
      <c r="CW48" s="151">
        <f t="shared" si="1704"/>
        <v>860</v>
      </c>
      <c r="CX48" s="151">
        <f t="shared" si="1704"/>
        <v>860</v>
      </c>
      <c r="CY48" s="153">
        <f t="shared" si="1704"/>
        <v>860</v>
      </c>
      <c r="CZ48" s="151">
        <f t="shared" si="1704"/>
        <v>1070</v>
      </c>
      <c r="DA48" s="151">
        <f t="shared" si="1704"/>
        <v>1060</v>
      </c>
      <c r="DB48" s="151">
        <f t="shared" si="1704"/>
        <v>1050</v>
      </c>
      <c r="DC48" s="153">
        <f t="shared" si="1704"/>
        <v>1040</v>
      </c>
      <c r="DD48" s="151">
        <f t="shared" si="1704"/>
        <v>836</v>
      </c>
      <c r="DE48" s="151">
        <f t="shared" si="1704"/>
        <v>840</v>
      </c>
      <c r="DF48" s="151">
        <f t="shared" si="1704"/>
        <v>0</v>
      </c>
      <c r="DG48" s="150">
        <f t="shared" si="1704"/>
        <v>840</v>
      </c>
      <c r="DH48" s="153">
        <f t="shared" si="1704"/>
        <v>820</v>
      </c>
      <c r="DI48" s="151">
        <f t="shared" si="1704"/>
        <v>1030</v>
      </c>
      <c r="DJ48" s="151">
        <f t="shared" si="1704"/>
        <v>1040</v>
      </c>
      <c r="DK48" s="151">
        <f t="shared" si="1704"/>
        <v>1020</v>
      </c>
      <c r="DL48" s="153">
        <f t="shared" si="1704"/>
        <v>1040</v>
      </c>
      <c r="DM48" s="151">
        <f>SUMIF($G$20:$G$47,$G$48,DM20:DM47)</f>
        <v>790</v>
      </c>
      <c r="DN48" s="151">
        <f t="shared" ref="DN48:ED48" si="1705">SUMIF($G$20:$G$47,$G$48,DN20:DN47)</f>
        <v>770</v>
      </c>
      <c r="DO48" s="151">
        <f t="shared" si="1705"/>
        <v>740</v>
      </c>
      <c r="DP48" s="150">
        <f t="shared" si="1705"/>
        <v>720</v>
      </c>
      <c r="DQ48" s="153">
        <f t="shared" si="1705"/>
        <v>700</v>
      </c>
      <c r="DR48" s="151">
        <f t="shared" si="1705"/>
        <v>1100</v>
      </c>
      <c r="DS48" s="151">
        <f t="shared" si="1705"/>
        <v>1060</v>
      </c>
      <c r="DT48" s="151">
        <f t="shared" si="1705"/>
        <v>1010</v>
      </c>
      <c r="DU48" s="150">
        <f t="shared" si="1705"/>
        <v>980</v>
      </c>
      <c r="DV48" s="151">
        <f t="shared" si="1705"/>
        <v>1121</v>
      </c>
      <c r="DW48" s="151">
        <f t="shared" si="1705"/>
        <v>1055</v>
      </c>
      <c r="DX48" s="151">
        <f t="shared" si="1705"/>
        <v>1055</v>
      </c>
      <c r="DY48" s="153">
        <f t="shared" si="1705"/>
        <v>945</v>
      </c>
      <c r="DZ48" s="151">
        <f t="shared" si="1705"/>
        <v>680</v>
      </c>
      <c r="EA48" s="151">
        <f t="shared" si="1705"/>
        <v>630</v>
      </c>
      <c r="EB48" s="151">
        <f t="shared" si="1705"/>
        <v>590</v>
      </c>
      <c r="EC48" s="151">
        <f t="shared" si="1705"/>
        <v>445</v>
      </c>
      <c r="ED48" s="240">
        <f t="shared" si="1705"/>
        <v>445</v>
      </c>
      <c r="EE48" s="162">
        <f t="shared" ref="EE48:EH48" si="1706">SUMIF($G$20:$G$47,$G$48,EE20:EE47)</f>
        <v>0</v>
      </c>
      <c r="EF48" s="151">
        <f t="shared" si="1706"/>
        <v>0</v>
      </c>
      <c r="EG48" s="151">
        <f t="shared" si="1706"/>
        <v>0</v>
      </c>
      <c r="EH48" s="240">
        <f t="shared" si="1706"/>
        <v>0</v>
      </c>
      <c r="EI48" s="162">
        <f>SUMIF($G$20:$G$47,$G$48,EI20:EI47)</f>
        <v>0</v>
      </c>
      <c r="EJ48" s="151">
        <f t="shared" ref="EJ48:EL48" si="1707">SUMIF($G$20:$G$47,$G$48,EJ20:EJ47)</f>
        <v>0</v>
      </c>
      <c r="EK48" s="151">
        <f t="shared" si="1707"/>
        <v>0</v>
      </c>
      <c r="EL48" s="153">
        <f t="shared" si="1707"/>
        <v>0</v>
      </c>
      <c r="EM48" s="151">
        <f t="shared" ref="EM48:EP48" si="1708">SUMIF($G$20:$G$47,$G$48,EM20:EM47)</f>
        <v>0</v>
      </c>
      <c r="EN48" s="151">
        <f t="shared" si="1708"/>
        <v>0</v>
      </c>
      <c r="EO48" s="151">
        <f t="shared" si="1708"/>
        <v>0</v>
      </c>
      <c r="EP48" s="153">
        <f t="shared" si="1708"/>
        <v>0</v>
      </c>
      <c r="EQ48" s="151">
        <f t="shared" ref="EQ48:ET48" si="1709">SUMIF($G$20:$G$47,$G$48,EQ20:EQ47)</f>
        <v>0</v>
      </c>
      <c r="ER48" s="151">
        <f t="shared" si="1709"/>
        <v>0</v>
      </c>
      <c r="ES48" s="151">
        <f t="shared" si="1709"/>
        <v>0</v>
      </c>
      <c r="ET48" s="153">
        <f t="shared" si="1709"/>
        <v>0</v>
      </c>
    </row>
    <row r="49" spans="1:150" s="25" customFormat="1" ht="27.75" customHeight="1" thickBot="1">
      <c r="A49" s="29" t="s">
        <v>13</v>
      </c>
      <c r="B49" s="30" t="s">
        <v>12</v>
      </c>
      <c r="C49" s="154"/>
      <c r="D49" s="154"/>
      <c r="E49" s="154"/>
      <c r="F49" s="154"/>
      <c r="G49" s="155" t="s">
        <v>18</v>
      </c>
      <c r="H49" s="156">
        <v>51186</v>
      </c>
      <c r="I49" s="156">
        <f t="shared" ref="I49:Q49" si="1710">SUMIF($G$20:$G$45,$G$49,I20:I45)</f>
        <v>15474</v>
      </c>
      <c r="J49" s="156">
        <f t="shared" si="1710"/>
        <v>15774</v>
      </c>
      <c r="K49" s="156">
        <f t="shared" si="1710"/>
        <v>16604</v>
      </c>
      <c r="L49" s="156">
        <f t="shared" si="1710"/>
        <v>17354</v>
      </c>
      <c r="M49" s="156">
        <f t="shared" si="1710"/>
        <v>18374</v>
      </c>
      <c r="N49" s="157">
        <f t="shared" si="1710"/>
        <v>19544</v>
      </c>
      <c r="O49" s="156">
        <f t="shared" si="1710"/>
        <v>20554</v>
      </c>
      <c r="P49" s="156">
        <f t="shared" si="1710"/>
        <v>22334</v>
      </c>
      <c r="Q49" s="156">
        <f t="shared" si="1710"/>
        <v>18324</v>
      </c>
      <c r="R49" s="158">
        <f t="shared" ref="R49:BA49" si="1711">SUMIF($G$20:$G$47,$G$49,R20:R47)</f>
        <v>18824</v>
      </c>
      <c r="S49" s="158">
        <f t="shared" si="1711"/>
        <v>19384</v>
      </c>
      <c r="T49" s="158">
        <f t="shared" si="1711"/>
        <v>20649</v>
      </c>
      <c r="U49" s="158">
        <f t="shared" si="1711"/>
        <v>25109</v>
      </c>
      <c r="V49" s="158">
        <f t="shared" si="1711"/>
        <v>29389</v>
      </c>
      <c r="W49" s="161">
        <f t="shared" si="1711"/>
        <v>32835</v>
      </c>
      <c r="X49" s="161">
        <f t="shared" si="1711"/>
        <v>37055</v>
      </c>
      <c r="Y49" s="161">
        <f t="shared" si="1711"/>
        <v>40391</v>
      </c>
      <c r="Z49" s="161">
        <f t="shared" si="1711"/>
        <v>44521</v>
      </c>
      <c r="AA49" s="161">
        <f t="shared" si="1711"/>
        <v>48241</v>
      </c>
      <c r="AB49" s="161">
        <f t="shared" si="1711"/>
        <v>52391</v>
      </c>
      <c r="AC49" s="161">
        <f t="shared" si="1711"/>
        <v>56567</v>
      </c>
      <c r="AD49" s="161">
        <f t="shared" ref="AD49:AE49" si="1712">SUMIF($G$20:$G$47,$G$49,AD20:AD47)</f>
        <v>59357</v>
      </c>
      <c r="AE49" s="219">
        <f t="shared" si="1712"/>
        <v>59357</v>
      </c>
      <c r="AF49" s="219">
        <f t="shared" si="1711"/>
        <v>59357</v>
      </c>
      <c r="AG49" s="219">
        <f>SUMIF($G$20:$G$47,$G$49,AG20:AG47)</f>
        <v>59357</v>
      </c>
      <c r="AH49" s="217">
        <f>SUMIF($G$20:$G$47,$G$49,AH20:AH47)</f>
        <v>59357</v>
      </c>
      <c r="AI49" s="231">
        <f t="shared" si="1711"/>
        <v>25268</v>
      </c>
      <c r="AJ49" s="232">
        <f t="shared" si="1711"/>
        <v>25718</v>
      </c>
      <c r="AK49" s="232">
        <f t="shared" si="1711"/>
        <v>26258</v>
      </c>
      <c r="AL49" s="232">
        <f t="shared" si="1711"/>
        <v>26798</v>
      </c>
      <c r="AM49" s="232">
        <f t="shared" si="1711"/>
        <v>26998</v>
      </c>
      <c r="AN49" s="232">
        <f t="shared" si="1711"/>
        <v>27278</v>
      </c>
      <c r="AO49" s="232">
        <f t="shared" si="1711"/>
        <v>27538</v>
      </c>
      <c r="AP49" s="232">
        <f t="shared" si="1711"/>
        <v>27798</v>
      </c>
      <c r="AQ49" s="232">
        <f t="shared" si="1711"/>
        <v>27968</v>
      </c>
      <c r="AR49" s="232">
        <f t="shared" si="1711"/>
        <v>28108</v>
      </c>
      <c r="AS49" s="232">
        <f t="shared" si="1711"/>
        <v>28248</v>
      </c>
      <c r="AT49" s="232">
        <f t="shared" si="1711"/>
        <v>28388</v>
      </c>
      <c r="AU49" s="232">
        <f t="shared" si="1711"/>
        <v>15694</v>
      </c>
      <c r="AV49" s="232">
        <f t="shared" si="1711"/>
        <v>15914</v>
      </c>
      <c r="AW49" s="232">
        <f t="shared" si="1711"/>
        <v>16124</v>
      </c>
      <c r="AX49" s="232">
        <f t="shared" si="1711"/>
        <v>16324</v>
      </c>
      <c r="AY49" s="232">
        <f t="shared" si="1711"/>
        <v>16474</v>
      </c>
      <c r="AZ49" s="232">
        <f t="shared" si="1711"/>
        <v>16664</v>
      </c>
      <c r="BA49" s="232">
        <f t="shared" si="1711"/>
        <v>16844</v>
      </c>
      <c r="BB49" s="232">
        <f t="shared" ref="BB49:CG49" si="1713">SUMIF($G$20:$G$47,$G$49,BB20:BB47)</f>
        <v>16974</v>
      </c>
      <c r="BC49" s="232">
        <f t="shared" si="1713"/>
        <v>17164</v>
      </c>
      <c r="BD49" s="232">
        <f t="shared" si="1713"/>
        <v>17564</v>
      </c>
      <c r="BE49" s="232">
        <f t="shared" si="1713"/>
        <v>17904</v>
      </c>
      <c r="BF49" s="232">
        <f t="shared" si="1713"/>
        <v>17904</v>
      </c>
      <c r="BG49" s="232">
        <f t="shared" si="1713"/>
        <v>18294</v>
      </c>
      <c r="BH49" s="232">
        <f t="shared" si="1713"/>
        <v>18634</v>
      </c>
      <c r="BI49" s="232">
        <f t="shared" si="1713"/>
        <v>19074</v>
      </c>
      <c r="BJ49" s="232">
        <f t="shared" si="1713"/>
        <v>19514</v>
      </c>
      <c r="BK49" s="232">
        <f t="shared" si="1713"/>
        <v>19864</v>
      </c>
      <c r="BL49" s="232">
        <f t="shared" si="1713"/>
        <v>20274</v>
      </c>
      <c r="BM49" s="232">
        <f t="shared" si="1713"/>
        <v>20634</v>
      </c>
      <c r="BN49" s="232">
        <f t="shared" si="1713"/>
        <v>20934</v>
      </c>
      <c r="BO49" s="232">
        <f t="shared" si="1713"/>
        <v>21284</v>
      </c>
      <c r="BP49" s="232">
        <f t="shared" si="1713"/>
        <v>21624</v>
      </c>
      <c r="BQ49" s="232">
        <f t="shared" si="1713"/>
        <v>22084</v>
      </c>
      <c r="BR49" s="232">
        <f t="shared" si="1713"/>
        <v>22564</v>
      </c>
      <c r="BS49" s="232">
        <f t="shared" si="1713"/>
        <v>23044</v>
      </c>
      <c r="BT49" s="232">
        <f t="shared" si="1713"/>
        <v>23464</v>
      </c>
      <c r="BU49" s="232">
        <f t="shared" si="1713"/>
        <v>23944</v>
      </c>
      <c r="BV49" s="232">
        <f t="shared" si="1713"/>
        <v>24304</v>
      </c>
      <c r="BW49" s="232">
        <f t="shared" si="1713"/>
        <v>24594</v>
      </c>
      <c r="BX49" s="232">
        <f t="shared" si="1713"/>
        <v>24954</v>
      </c>
      <c r="BY49" s="233">
        <f t="shared" si="1713"/>
        <v>25314</v>
      </c>
      <c r="BZ49" s="234">
        <f t="shared" si="1713"/>
        <v>22674</v>
      </c>
      <c r="CA49" s="235">
        <f t="shared" si="1713"/>
        <v>22794</v>
      </c>
      <c r="CB49" s="235">
        <f t="shared" si="1713"/>
        <v>22924</v>
      </c>
      <c r="CC49" s="235">
        <f t="shared" si="1713"/>
        <v>22924</v>
      </c>
      <c r="CD49" s="235">
        <f t="shared" si="1713"/>
        <v>23054</v>
      </c>
      <c r="CE49" s="235">
        <f t="shared" si="1713"/>
        <v>22954</v>
      </c>
      <c r="CF49" s="235">
        <f t="shared" si="1713"/>
        <v>23144</v>
      </c>
      <c r="CG49" s="235">
        <f t="shared" si="1713"/>
        <v>23334</v>
      </c>
      <c r="CH49" s="235">
        <f t="shared" ref="CH49:DM49" si="1714">SUMIF($G$20:$G$47,$G$49,CH20:CH47)</f>
        <v>23514</v>
      </c>
      <c r="CI49" s="235">
        <f t="shared" si="1714"/>
        <v>23634</v>
      </c>
      <c r="CJ49" s="235">
        <f t="shared" si="1714"/>
        <v>24099</v>
      </c>
      <c r="CK49" s="235">
        <f t="shared" si="1714"/>
        <v>24449</v>
      </c>
      <c r="CL49" s="235">
        <f t="shared" si="1714"/>
        <v>24759</v>
      </c>
      <c r="CM49" s="235">
        <f t="shared" si="1714"/>
        <v>25849</v>
      </c>
      <c r="CN49" s="235">
        <f t="shared" si="1714"/>
        <v>26939</v>
      </c>
      <c r="CO49" s="235">
        <f t="shared" si="1714"/>
        <v>28089</v>
      </c>
      <c r="CP49" s="235">
        <f t="shared" si="1714"/>
        <v>29219</v>
      </c>
      <c r="CQ49" s="235">
        <f t="shared" si="1714"/>
        <v>30289</v>
      </c>
      <c r="CR49" s="235">
        <f t="shared" si="1714"/>
        <v>31289</v>
      </c>
      <c r="CS49" s="235">
        <f t="shared" si="1714"/>
        <v>32359</v>
      </c>
      <c r="CT49" s="235">
        <f t="shared" si="1714"/>
        <v>32359</v>
      </c>
      <c r="CU49" s="235">
        <f t="shared" si="1714"/>
        <v>33429</v>
      </c>
      <c r="CV49" s="235">
        <f t="shared" si="1714"/>
        <v>34295</v>
      </c>
      <c r="CW49" s="235">
        <f t="shared" si="1714"/>
        <v>35155</v>
      </c>
      <c r="CX49" s="235">
        <f t="shared" si="1714"/>
        <v>35965</v>
      </c>
      <c r="CY49" s="217">
        <f t="shared" si="1714"/>
        <v>36825</v>
      </c>
      <c r="CZ49" s="235">
        <f t="shared" si="1714"/>
        <v>37895</v>
      </c>
      <c r="DA49" s="235">
        <f t="shared" si="1714"/>
        <v>38895</v>
      </c>
      <c r="DB49" s="235">
        <f t="shared" si="1714"/>
        <v>39945</v>
      </c>
      <c r="DC49" s="217">
        <f t="shared" si="1714"/>
        <v>40985</v>
      </c>
      <c r="DD49" s="235">
        <f t="shared" si="1714"/>
        <v>41771</v>
      </c>
      <c r="DE49" s="235">
        <f t="shared" si="1714"/>
        <v>42611</v>
      </c>
      <c r="DF49" s="235">
        <f t="shared" si="1714"/>
        <v>42611</v>
      </c>
      <c r="DG49" s="219">
        <f t="shared" si="1714"/>
        <v>43451</v>
      </c>
      <c r="DH49" s="217">
        <f t="shared" si="1714"/>
        <v>44271</v>
      </c>
      <c r="DI49" s="235">
        <f t="shared" si="1714"/>
        <v>45301</v>
      </c>
      <c r="DJ49" s="235">
        <f t="shared" si="1714"/>
        <v>46271</v>
      </c>
      <c r="DK49" s="235">
        <f t="shared" si="1714"/>
        <v>47291</v>
      </c>
      <c r="DL49" s="217">
        <f t="shared" si="1714"/>
        <v>48331</v>
      </c>
      <c r="DM49" s="235">
        <f t="shared" si="1714"/>
        <v>49051</v>
      </c>
      <c r="DN49" s="235">
        <f t="shared" ref="DN49:ED49" si="1715">SUMIF($G$20:$G$47,$G$49,DN20:DN47)</f>
        <v>49821</v>
      </c>
      <c r="DO49" s="235">
        <f t="shared" si="1715"/>
        <v>50561</v>
      </c>
      <c r="DP49" s="219">
        <f t="shared" si="1715"/>
        <v>51201</v>
      </c>
      <c r="DQ49" s="217">
        <f t="shared" si="1715"/>
        <v>51901</v>
      </c>
      <c r="DR49" s="235">
        <f t="shared" si="1715"/>
        <v>53001</v>
      </c>
      <c r="DS49" s="235">
        <f t="shared" si="1715"/>
        <v>53941</v>
      </c>
      <c r="DT49" s="235">
        <f t="shared" si="1715"/>
        <v>54951</v>
      </c>
      <c r="DU49" s="219">
        <f t="shared" si="1715"/>
        <v>55931</v>
      </c>
      <c r="DV49" s="236">
        <f t="shared" si="1715"/>
        <v>57052</v>
      </c>
      <c r="DW49" s="235">
        <f t="shared" si="1715"/>
        <v>58107</v>
      </c>
      <c r="DX49" s="235">
        <f t="shared" si="1715"/>
        <v>59162</v>
      </c>
      <c r="DY49" s="217">
        <f t="shared" si="1715"/>
        <v>60107</v>
      </c>
      <c r="DZ49" s="235">
        <f t="shared" si="1715"/>
        <v>60787</v>
      </c>
      <c r="EA49" s="158">
        <f t="shared" si="1715"/>
        <v>61417</v>
      </c>
      <c r="EB49" s="158">
        <f t="shared" si="1715"/>
        <v>62007</v>
      </c>
      <c r="EC49" s="158">
        <f t="shared" si="1715"/>
        <v>62452</v>
      </c>
      <c r="ED49" s="241">
        <f t="shared" si="1715"/>
        <v>62897</v>
      </c>
      <c r="EE49" s="225">
        <f t="shared" ref="EE49:EH49" si="1716">SUMIF($G$20:$G$47,$G$49,EE20:EE47)</f>
        <v>62897</v>
      </c>
      <c r="EF49" s="158">
        <f t="shared" si="1716"/>
        <v>62897</v>
      </c>
      <c r="EG49" s="158">
        <f t="shared" si="1716"/>
        <v>62897</v>
      </c>
      <c r="EH49" s="241">
        <f t="shared" si="1716"/>
        <v>62897</v>
      </c>
      <c r="EI49" s="225">
        <f t="shared" ref="EI49:EL49" si="1717">SUMIF($G$20:$G$47,$G$49,EI20:EI47)</f>
        <v>62897</v>
      </c>
      <c r="EJ49" s="158">
        <f t="shared" si="1717"/>
        <v>62897</v>
      </c>
      <c r="EK49" s="158">
        <f t="shared" si="1717"/>
        <v>62897</v>
      </c>
      <c r="EL49" s="159">
        <f t="shared" si="1717"/>
        <v>62897</v>
      </c>
      <c r="EM49" s="158">
        <f t="shared" ref="EM49:EP49" si="1718">SUMIF($G$20:$G$47,$G$49,EM20:EM47)</f>
        <v>62897</v>
      </c>
      <c r="EN49" s="158">
        <f t="shared" si="1718"/>
        <v>62897</v>
      </c>
      <c r="EO49" s="158">
        <f t="shared" si="1718"/>
        <v>62897</v>
      </c>
      <c r="EP49" s="159">
        <f t="shared" si="1718"/>
        <v>62897</v>
      </c>
      <c r="EQ49" s="158">
        <f t="shared" ref="EQ49:ET49" si="1719">SUMIF($G$20:$G$47,$G$49,EQ20:EQ47)</f>
        <v>62897</v>
      </c>
      <c r="ER49" s="158">
        <f t="shared" si="1719"/>
        <v>62897</v>
      </c>
      <c r="ES49" s="158">
        <f t="shared" si="1719"/>
        <v>62897</v>
      </c>
      <c r="ET49" s="159">
        <f t="shared" si="1719"/>
        <v>62897</v>
      </c>
    </row>
    <row r="50" spans="1:150" ht="20.25" customHeight="1" thickTop="1">
      <c r="D50" s="58" t="s">
        <v>41</v>
      </c>
      <c r="E50" s="58" t="s">
        <v>32</v>
      </c>
      <c r="DV50" s="221"/>
      <c r="EH50" s="221"/>
    </row>
    <row r="51" spans="1:150">
      <c r="D51" s="58" t="s">
        <v>40</v>
      </c>
      <c r="E51" s="58" t="s">
        <v>31</v>
      </c>
    </row>
    <row r="52" spans="1:150" ht="13.15" customHeight="1">
      <c r="D52" s="659" t="s">
        <v>33</v>
      </c>
      <c r="E52" s="659"/>
      <c r="G52" s="12" t="s">
        <v>46</v>
      </c>
    </row>
    <row r="53" spans="1:150" s="46" customFormat="1" ht="15" customHeight="1">
      <c r="D53" s="659" t="s">
        <v>34</v>
      </c>
      <c r="E53" s="659"/>
      <c r="F53" s="49"/>
      <c r="G53" s="46" t="s">
        <v>47</v>
      </c>
      <c r="EH53" s="216"/>
    </row>
    <row r="54" spans="1:150" s="46" customFormat="1" ht="15" customHeight="1">
      <c r="D54" s="58" t="s">
        <v>42</v>
      </c>
      <c r="E54" s="57"/>
      <c r="F54" s="49"/>
      <c r="EH54" s="216"/>
    </row>
    <row r="55" spans="1:150" s="46" customFormat="1" ht="15" customHeight="1">
      <c r="D55" s="58" t="s">
        <v>43</v>
      </c>
      <c r="E55" s="57"/>
      <c r="F55" s="49"/>
      <c r="DJ55" s="216"/>
    </row>
    <row r="56" spans="1:150" s="47" customFormat="1" ht="14.25"/>
    <row r="57" spans="1:150" s="47" customFormat="1" ht="14.25">
      <c r="B57" s="646" t="s">
        <v>32</v>
      </c>
      <c r="C57" s="649" t="s">
        <v>35</v>
      </c>
      <c r="D57" s="51" t="s">
        <v>29</v>
      </c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</row>
    <row r="58" spans="1:150" s="47" customFormat="1" ht="85.5">
      <c r="B58" s="647"/>
      <c r="C58" s="650"/>
      <c r="D58" s="59" t="s">
        <v>45</v>
      </c>
      <c r="E58" s="52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160"/>
      <c r="Y58" s="160"/>
      <c r="Z58" s="160"/>
      <c r="AA58" s="160"/>
      <c r="AB58" s="160"/>
      <c r="AC58" s="214"/>
      <c r="AD58" s="215"/>
      <c r="AE58" s="215"/>
      <c r="AF58" s="215"/>
      <c r="AG58" s="215"/>
      <c r="AH58" s="215"/>
      <c r="DD58" s="160"/>
      <c r="DE58" s="160"/>
    </row>
    <row r="59" spans="1:150" s="47" customFormat="1" ht="14.25">
      <c r="B59" s="647"/>
      <c r="C59" s="650"/>
      <c r="D59" s="54" t="s">
        <v>30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160"/>
      <c r="Y59" s="160"/>
      <c r="Z59" s="160"/>
      <c r="AA59" s="160"/>
      <c r="AB59" s="160"/>
      <c r="AC59" s="214"/>
      <c r="AD59" s="215"/>
      <c r="AE59" s="215"/>
      <c r="AF59" s="215"/>
      <c r="AG59" s="215"/>
      <c r="AH59" s="215"/>
      <c r="DD59" s="160"/>
      <c r="DE59" s="160"/>
    </row>
    <row r="60" spans="1:150" s="47" customFormat="1" ht="14.25">
      <c r="B60" s="647"/>
      <c r="C60" s="651"/>
      <c r="D60" s="54" t="s">
        <v>37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160"/>
      <c r="Y60" s="160"/>
      <c r="Z60" s="160"/>
      <c r="AA60" s="160"/>
      <c r="AB60" s="160"/>
      <c r="AC60" s="160"/>
      <c r="AD60" s="215"/>
      <c r="AE60" s="215"/>
      <c r="AF60" s="215"/>
      <c r="AG60" s="215"/>
      <c r="AH60" s="215"/>
      <c r="DD60" s="160"/>
      <c r="DE60" s="160"/>
    </row>
    <row r="61" spans="1:150" s="47" customFormat="1" ht="14.25">
      <c r="B61" s="647"/>
      <c r="C61" s="652" t="s">
        <v>36</v>
      </c>
      <c r="D61" s="51" t="s">
        <v>29</v>
      </c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160"/>
      <c r="Y61" s="160"/>
      <c r="Z61" s="160"/>
      <c r="AA61" s="160"/>
      <c r="AB61" s="160"/>
      <c r="AC61" s="160"/>
      <c r="AD61" s="215"/>
      <c r="AE61" s="215"/>
      <c r="AF61" s="215"/>
      <c r="AG61" s="215"/>
      <c r="AH61" s="215"/>
      <c r="DD61" s="160"/>
      <c r="DE61" s="160"/>
    </row>
    <row r="62" spans="1:150" s="47" customFormat="1" ht="90" customHeight="1">
      <c r="B62" s="647"/>
      <c r="C62" s="650"/>
      <c r="D62" s="59" t="s">
        <v>45</v>
      </c>
      <c r="E62" s="54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160"/>
      <c r="Y62" s="160"/>
      <c r="Z62" s="160"/>
      <c r="AA62" s="160"/>
      <c r="AB62" s="160"/>
      <c r="AC62" s="160"/>
      <c r="AD62" s="215"/>
      <c r="AE62" s="215"/>
      <c r="AF62" s="215"/>
      <c r="AG62" s="215"/>
      <c r="AH62" s="215"/>
      <c r="DD62" s="160"/>
      <c r="DE62" s="160"/>
    </row>
    <row r="63" spans="1:150" s="47" customFormat="1" ht="14.25">
      <c r="B63" s="647"/>
      <c r="C63" s="650"/>
      <c r="D63" s="54" t="s">
        <v>30</v>
      </c>
      <c r="E63" s="54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</row>
    <row r="64" spans="1:150" s="47" customFormat="1" ht="14.25">
      <c r="B64" s="648"/>
      <c r="C64" s="653"/>
      <c r="D64" s="55" t="s">
        <v>37</v>
      </c>
      <c r="E64" s="55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160"/>
      <c r="Y64" s="160"/>
      <c r="Z64" s="160"/>
      <c r="AA64" s="160"/>
      <c r="AB64" s="160"/>
      <c r="AC64" s="160"/>
      <c r="AD64" s="160"/>
      <c r="AE64" s="160"/>
      <c r="AF64" s="160"/>
      <c r="AG64" s="160"/>
      <c r="AH64" s="160"/>
    </row>
    <row r="65" spans="2:34" s="47" customFormat="1" ht="14.25" hidden="1">
      <c r="B65" s="50"/>
      <c r="C65" s="50"/>
      <c r="D65" s="48"/>
      <c r="E65" s="48"/>
    </row>
    <row r="66" spans="2:34" s="47" customFormat="1" ht="14.25" hidden="1">
      <c r="B66" s="50"/>
      <c r="C66" s="50"/>
      <c r="D66" s="48"/>
      <c r="E66" s="48"/>
    </row>
    <row r="67" spans="2:34" s="47" customFormat="1" ht="14.25" hidden="1">
      <c r="B67" s="654" t="s">
        <v>31</v>
      </c>
      <c r="C67" s="649" t="s">
        <v>35</v>
      </c>
      <c r="D67" s="51" t="s">
        <v>29</v>
      </c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</row>
    <row r="68" spans="2:34" s="47" customFormat="1" ht="14.25" hidden="1">
      <c r="B68" s="655"/>
      <c r="C68" s="650"/>
      <c r="D68" s="52" t="s">
        <v>44</v>
      </c>
      <c r="E68" s="52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0"/>
    </row>
    <row r="69" spans="2:34" s="47" customFormat="1" ht="14.25" hidden="1">
      <c r="B69" s="655"/>
      <c r="C69" s="650"/>
      <c r="D69" s="54" t="s">
        <v>30</v>
      </c>
      <c r="E69" s="54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</row>
    <row r="70" spans="2:34" s="47" customFormat="1" ht="14.25" hidden="1">
      <c r="B70" s="655"/>
      <c r="C70" s="651"/>
      <c r="D70" s="54" t="s">
        <v>37</v>
      </c>
      <c r="E70" s="54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160"/>
      <c r="Y70" s="160"/>
      <c r="Z70" s="160"/>
      <c r="AA70" s="160"/>
      <c r="AB70" s="160"/>
      <c r="AC70" s="160"/>
      <c r="AD70" s="160"/>
      <c r="AE70" s="160"/>
      <c r="AF70" s="160"/>
      <c r="AG70" s="160"/>
      <c r="AH70" s="160"/>
    </row>
    <row r="71" spans="2:34" s="47" customFormat="1" ht="14.25" hidden="1">
      <c r="B71" s="655"/>
      <c r="C71" s="652" t="s">
        <v>36</v>
      </c>
      <c r="D71" s="51" t="s">
        <v>29</v>
      </c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160"/>
      <c r="Y71" s="160"/>
      <c r="Z71" s="160"/>
      <c r="AA71" s="160"/>
      <c r="AB71" s="160"/>
      <c r="AC71" s="160"/>
      <c r="AD71" s="160"/>
      <c r="AE71" s="160"/>
      <c r="AF71" s="160"/>
      <c r="AG71" s="160"/>
      <c r="AH71" s="160"/>
    </row>
    <row r="72" spans="2:34" s="47" customFormat="1" ht="14.25" hidden="1">
      <c r="B72" s="655"/>
      <c r="C72" s="650"/>
      <c r="D72" s="52" t="s">
        <v>44</v>
      </c>
      <c r="E72" s="54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160"/>
      <c r="Y72" s="160"/>
      <c r="Z72" s="160"/>
      <c r="AA72" s="160"/>
      <c r="AB72" s="160"/>
      <c r="AC72" s="160"/>
      <c r="AD72" s="160"/>
      <c r="AE72" s="160"/>
      <c r="AF72" s="160"/>
      <c r="AG72" s="160"/>
      <c r="AH72" s="160"/>
    </row>
    <row r="73" spans="2:34" s="47" customFormat="1" ht="14.25" hidden="1">
      <c r="B73" s="655"/>
      <c r="C73" s="650"/>
      <c r="D73" s="54" t="s">
        <v>30</v>
      </c>
      <c r="E73" s="54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</row>
    <row r="74" spans="2:34" s="47" customFormat="1" ht="14.25" hidden="1">
      <c r="B74" s="656"/>
      <c r="C74" s="653"/>
      <c r="D74" s="55" t="s">
        <v>37</v>
      </c>
      <c r="E74" s="55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</row>
    <row r="75" spans="2:34" s="47" customFormat="1" ht="14.25" hidden="1"/>
    <row r="76" spans="2:34" s="47" customFormat="1" ht="14.25" hidden="1">
      <c r="B76" s="645"/>
      <c r="C76" s="645"/>
    </row>
    <row r="77" spans="2:34" s="47" customFormat="1" ht="14.25" hidden="1"/>
    <row r="78" spans="2:34" s="43" customFormat="1" ht="14.25" hidden="1"/>
    <row r="79" spans="2:34" s="44" customFormat="1" ht="15.75" hidden="1"/>
    <row r="80" spans="2:34" s="44" customFormat="1" ht="15.75" hidden="1"/>
    <row r="81" s="44" customFormat="1" ht="15.75" hidden="1"/>
    <row r="82" s="44" customFormat="1" ht="15.75" hidden="1"/>
    <row r="83" s="44" customFormat="1" ht="15.75" hidden="1"/>
    <row r="84" s="44" customFormat="1" ht="15.75" hidden="1"/>
    <row r="85" s="44" customFormat="1" ht="15.75" hidden="1"/>
    <row r="86" s="44" customFormat="1" ht="15.75" hidden="1"/>
    <row r="87" s="44" customFormat="1" ht="15.75" hidden="1"/>
    <row r="88" s="44" customFormat="1" ht="15.75" hidden="1"/>
    <row r="89" s="44" customFormat="1" ht="15.75" hidden="1"/>
    <row r="90" s="44" customFormat="1" ht="15.75" hidden="1"/>
    <row r="91" s="44" customFormat="1" ht="15.75" hidden="1"/>
    <row r="92" s="44" customFormat="1" ht="15.75" hidden="1"/>
    <row r="93" s="44" customFormat="1" ht="15.75" hidden="1"/>
    <row r="94" s="44" customFormat="1" ht="15.75" hidden="1"/>
    <row r="95" s="44" customFormat="1" ht="15.75" hidden="1"/>
    <row r="96" s="44" customFormat="1" ht="15.75" hidden="1"/>
    <row r="97" s="44" customFormat="1" ht="15.75" hidden="1"/>
    <row r="98" s="44" customFormat="1" ht="15.75" hidden="1"/>
    <row r="99" s="44" customFormat="1" ht="15.75" hidden="1"/>
    <row r="100" s="44" customFormat="1" ht="15.75" hidden="1"/>
    <row r="101" s="44" customFormat="1" ht="15.75" hidden="1"/>
    <row r="102" s="44" customFormat="1" ht="15.75" hidden="1"/>
    <row r="103" s="44" customFormat="1" ht="15.75" hidden="1"/>
    <row r="104" s="44" customFormat="1" ht="15.75" hidden="1"/>
    <row r="105" s="44" customFormat="1" ht="15.75" hidden="1"/>
    <row r="106" s="44" customFormat="1" ht="15.75" hidden="1"/>
    <row r="107" s="44" customFormat="1" ht="15.75" hidden="1"/>
    <row r="108" s="44" customFormat="1" ht="15.75" hidden="1"/>
    <row r="109" s="44" customFormat="1" ht="15.75" hidden="1"/>
    <row r="110" s="44" customFormat="1" ht="15.75" hidden="1"/>
    <row r="111" s="44" customFormat="1" ht="15.75" hidden="1"/>
    <row r="112" s="44" customFormat="1" ht="15.75" hidden="1"/>
    <row r="113" s="44" customFormat="1" ht="15.75"/>
    <row r="114" s="44" customFormat="1" ht="15.75"/>
    <row r="115" s="44" customFormat="1" ht="15.75"/>
    <row r="116" s="44" customFormat="1" ht="15.75"/>
    <row r="117" s="44" customFormat="1" ht="15.75"/>
    <row r="118" s="44" customFormat="1" ht="15.75"/>
    <row r="119" s="44" customFormat="1" ht="15.75"/>
    <row r="120" s="44" customFormat="1" ht="15.75"/>
    <row r="121" s="44" customFormat="1" ht="15.75"/>
    <row r="122" s="44" customFormat="1" ht="15.75"/>
    <row r="123" s="44" customFormat="1" ht="15.75"/>
    <row r="124" s="44" customFormat="1" ht="15.75"/>
    <row r="125" s="44" customFormat="1" ht="15.75"/>
    <row r="126" s="44" customFormat="1" ht="15.75"/>
    <row r="127" s="44" customFormat="1" ht="15.75"/>
    <row r="128" s="44" customFormat="1" ht="15.75"/>
    <row r="129" s="44" customFormat="1" ht="15.75"/>
    <row r="130" s="44" customFormat="1" ht="15.75"/>
    <row r="131" s="45" customFormat="1" ht="13.5"/>
  </sheetData>
  <autoFilter ref="C19:G55"/>
  <mergeCells count="25">
    <mergeCell ref="B20:B24"/>
    <mergeCell ref="C26:C27"/>
    <mergeCell ref="C24:C25"/>
    <mergeCell ref="D52:E52"/>
    <mergeCell ref="D53:E53"/>
    <mergeCell ref="C32:C33"/>
    <mergeCell ref="C34:C35"/>
    <mergeCell ref="C36:C37"/>
    <mergeCell ref="C28:C29"/>
    <mergeCell ref="A20:A21"/>
    <mergeCell ref="C20:C21"/>
    <mergeCell ref="C22:C23"/>
    <mergeCell ref="B76:C76"/>
    <mergeCell ref="C40:C41"/>
    <mergeCell ref="C42:C43"/>
    <mergeCell ref="C46:C47"/>
    <mergeCell ref="B57:B64"/>
    <mergeCell ref="C57:C60"/>
    <mergeCell ref="C61:C64"/>
    <mergeCell ref="B67:B74"/>
    <mergeCell ref="C67:C70"/>
    <mergeCell ref="C71:C74"/>
    <mergeCell ref="C38:C39"/>
    <mergeCell ref="C44:C45"/>
    <mergeCell ref="C30:C31"/>
  </mergeCells>
  <phoneticPr fontId="42" type="noConversion"/>
  <dataValidations count="1">
    <dataValidation allowBlank="1" showInputMessage="1" showErrorMessage="1" promptTitle="&lt;SR-QTY&gt;" sqref="H34:ET34 H38:ET38 H32:ET32 H40:ET40 H20:ET20 H28:ET28 H36:ET36 H24:ET24 H30:ET30 H42:ET42 H44:ET44 H22:ET22 H26:ET26 H46:ET46"/>
  </dataValidations>
  <printOptions horizontalCentered="1" verticalCentered="1"/>
  <pageMargins left="0" right="0" top="0" bottom="0" header="0" footer="0"/>
  <pageSetup paperSize="8" scale="65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3">
    <tabColor rgb="FF66FF99"/>
  </sheetPr>
  <dimension ref="A1:KN131"/>
  <sheetViews>
    <sheetView showGridLines="0" tabSelected="1" view="pageBreakPreview" topLeftCell="A4" zoomScale="90" zoomScaleNormal="60" zoomScaleSheetLayoutView="90" zoomScalePageLayoutView="70" workbookViewId="0">
      <pane xSplit="52" ySplit="16" topLeftCell="JN44" activePane="bottomRight" state="frozen"/>
      <selection activeCell="A4" sqref="A4"/>
      <selection pane="topRight" activeCell="BA4" sqref="BA4"/>
      <selection pane="bottomLeft" activeCell="A20" sqref="A20"/>
      <selection pane="bottomRight" activeCell="JS20" activeCellId="2" sqref="JS36:JV36 JS48 JS20:JV20"/>
    </sheetView>
  </sheetViews>
  <sheetFormatPr defaultColWidth="6.42578125" defaultRowHeight="14.25" outlineLevelRow="1"/>
  <cols>
    <col min="1" max="1" width="8" style="454" customWidth="1"/>
    <col min="2" max="2" width="7.85546875" style="454" customWidth="1"/>
    <col min="3" max="3" width="5.7109375" style="454" customWidth="1"/>
    <col min="4" max="4" width="23.5703125" style="454" customWidth="1"/>
    <col min="5" max="5" width="6.5703125" style="454" hidden="1" customWidth="1"/>
    <col min="6" max="6" width="6.140625" style="454" customWidth="1"/>
    <col min="7" max="7" width="5.85546875" style="454" customWidth="1"/>
    <col min="8" max="23" width="8" style="454" hidden="1" customWidth="1"/>
    <col min="24" max="24" width="8.85546875" style="454" hidden="1" customWidth="1"/>
    <col min="25" max="36" width="8" style="454" hidden="1" customWidth="1"/>
    <col min="37" max="37" width="0.85546875" style="454" hidden="1" customWidth="1"/>
    <col min="38" max="51" width="8" style="454" hidden="1" customWidth="1"/>
    <col min="52" max="56" width="9" style="454" hidden="1" customWidth="1"/>
    <col min="57" max="62" width="9" style="454" customWidth="1"/>
    <col min="63" max="252" width="8.140625" style="454" hidden="1" customWidth="1"/>
    <col min="253" max="273" width="8.85546875" style="454" hidden="1" customWidth="1"/>
    <col min="274" max="300" width="8.85546875" style="454" customWidth="1"/>
    <col min="301" max="16384" width="6.42578125" style="454"/>
  </cols>
  <sheetData>
    <row r="1" spans="1:300" s="249" customFormat="1" outlineLevel="1">
      <c r="A1" s="246" t="s">
        <v>0</v>
      </c>
      <c r="B1" s="247"/>
      <c r="C1" s="247"/>
      <c r="D1" s="246" t="s">
        <v>1</v>
      </c>
      <c r="E1" s="246"/>
      <c r="F1" s="246"/>
      <c r="G1" s="246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  <c r="AR1" s="248"/>
      <c r="AS1" s="248"/>
      <c r="AT1" s="248"/>
      <c r="AU1" s="248"/>
      <c r="AV1" s="248"/>
      <c r="AW1" s="248"/>
      <c r="AX1" s="248"/>
      <c r="AY1" s="248"/>
      <c r="AZ1" s="248"/>
      <c r="BA1" s="248"/>
      <c r="BB1" s="248"/>
      <c r="BC1" s="248"/>
      <c r="BD1" s="248"/>
      <c r="BE1" s="248"/>
      <c r="BF1" s="248"/>
      <c r="BG1" s="248"/>
      <c r="BH1" s="248"/>
      <c r="BI1" s="248"/>
      <c r="BJ1" s="248"/>
    </row>
    <row r="2" spans="1:300" s="249" customFormat="1" outlineLevel="1">
      <c r="A2" s="250"/>
      <c r="B2" s="251"/>
      <c r="C2" s="251"/>
      <c r="D2" s="250"/>
      <c r="E2" s="250"/>
      <c r="F2" s="250"/>
      <c r="G2" s="250"/>
    </row>
    <row r="3" spans="1:300" s="249" customFormat="1" outlineLevel="1">
      <c r="A3" s="252" t="s">
        <v>2</v>
      </c>
      <c r="B3" s="253"/>
      <c r="C3" s="253"/>
      <c r="D3" s="252" t="s">
        <v>3</v>
      </c>
      <c r="E3" s="252"/>
      <c r="F3" s="252"/>
      <c r="G3" s="252"/>
    </row>
    <row r="4" spans="1:300" s="249" customFormat="1" outlineLevel="1"/>
    <row r="5" spans="1:300" s="249" customFormat="1" outlineLevel="1">
      <c r="A5" s="249" t="s">
        <v>4</v>
      </c>
      <c r="C5" s="249" t="s">
        <v>5</v>
      </c>
    </row>
    <row r="6" spans="1:300" s="249" customFormat="1" outlineLevel="1"/>
    <row r="7" spans="1:300" s="249" customFormat="1">
      <c r="B7" s="254" t="s">
        <v>6</v>
      </c>
      <c r="C7" s="255"/>
      <c r="D7" s="256" t="s">
        <v>212</v>
      </c>
      <c r="E7" s="257"/>
    </row>
    <row r="8" spans="1:300" s="249" customFormat="1" ht="14.25" customHeight="1">
      <c r="B8" s="258"/>
      <c r="C8" s="257"/>
      <c r="D8" s="257"/>
      <c r="E8" s="257"/>
    </row>
    <row r="9" spans="1:300" s="249" customFormat="1">
      <c r="B9" s="254" t="s">
        <v>14</v>
      </c>
      <c r="C9" s="255"/>
      <c r="D9" s="259" t="s">
        <v>22</v>
      </c>
      <c r="E9" s="257"/>
      <c r="R9" s="249" t="s">
        <v>107</v>
      </c>
    </row>
    <row r="10" spans="1:300" s="249" customFormat="1" ht="12" customHeight="1">
      <c r="B10" s="254" t="s">
        <v>7</v>
      </c>
      <c r="C10" s="255"/>
      <c r="D10" s="259" t="s">
        <v>19</v>
      </c>
      <c r="E10" s="257"/>
    </row>
    <row r="11" spans="1:300" s="249" customFormat="1" ht="15.75" customHeight="1">
      <c r="B11" s="254" t="s">
        <v>23</v>
      </c>
      <c r="C11" s="255"/>
      <c r="D11" s="259" t="s">
        <v>24</v>
      </c>
      <c r="E11" s="257"/>
      <c r="AZ11" s="664"/>
      <c r="BA11" s="664"/>
    </row>
    <row r="12" spans="1:300" s="249" customFormat="1" ht="15.75" customHeight="1" thickBot="1">
      <c r="B12" s="260" t="s">
        <v>8</v>
      </c>
      <c r="C12" s="255"/>
      <c r="D12" s="259" t="s">
        <v>25</v>
      </c>
      <c r="E12" s="257"/>
      <c r="AZ12" s="664"/>
      <c r="BA12" s="664"/>
      <c r="JA12" s="262"/>
      <c r="JB12" s="261" t="s">
        <v>156</v>
      </c>
      <c r="JF12" s="262"/>
      <c r="JJ12" s="262"/>
      <c r="JN12" s="262"/>
      <c r="JS12" s="262"/>
      <c r="JW12" s="262"/>
      <c r="KA12" s="262"/>
      <c r="KF12" s="262"/>
      <c r="KJ12" s="262"/>
    </row>
    <row r="13" spans="1:300" s="265" customFormat="1" ht="15.75" customHeight="1" thickBot="1">
      <c r="A13" s="263"/>
      <c r="B13" s="264"/>
      <c r="C13" s="264"/>
      <c r="BK13" s="266" t="s">
        <v>81</v>
      </c>
      <c r="BL13" s="267"/>
      <c r="BM13" s="267"/>
      <c r="BN13" s="268"/>
      <c r="BO13" s="266" t="s">
        <v>81</v>
      </c>
      <c r="BP13" s="267"/>
      <c r="BQ13" s="267"/>
      <c r="BR13" s="268"/>
      <c r="BS13" s="266" t="s">
        <v>98</v>
      </c>
      <c r="BT13" s="267"/>
      <c r="BU13" s="267"/>
      <c r="BV13" s="268"/>
      <c r="BW13" s="266" t="s">
        <v>98</v>
      </c>
      <c r="BX13" s="267"/>
      <c r="BY13" s="267"/>
      <c r="BZ13" s="267"/>
      <c r="CA13" s="267"/>
      <c r="CB13" s="266" t="s">
        <v>98</v>
      </c>
      <c r="CC13" s="267"/>
      <c r="CD13" s="267"/>
      <c r="CE13" s="267"/>
      <c r="CF13" s="266" t="s">
        <v>98</v>
      </c>
      <c r="CG13" s="267"/>
      <c r="CH13" s="267"/>
      <c r="CI13" s="267"/>
      <c r="CJ13" s="268"/>
      <c r="CK13" s="266" t="s">
        <v>98</v>
      </c>
      <c r="CL13" s="267"/>
      <c r="CM13" s="267"/>
      <c r="CN13" s="268"/>
      <c r="CO13" s="266" t="s">
        <v>98</v>
      </c>
      <c r="CP13" s="267"/>
      <c r="CQ13" s="267"/>
      <c r="CR13" s="268"/>
      <c r="CS13" s="266" t="s">
        <v>98</v>
      </c>
      <c r="CT13" s="267"/>
      <c r="CU13" s="267"/>
      <c r="CV13" s="267"/>
      <c r="CW13" s="268"/>
      <c r="CX13" s="266" t="s">
        <v>98</v>
      </c>
      <c r="CY13" s="267"/>
      <c r="CZ13" s="267"/>
      <c r="DA13" s="268"/>
      <c r="DB13" s="266" t="s">
        <v>98</v>
      </c>
      <c r="DC13" s="267"/>
      <c r="DD13" s="267"/>
      <c r="DE13" s="267"/>
      <c r="DF13" s="268"/>
      <c r="DG13" s="266" t="s">
        <v>98</v>
      </c>
      <c r="DH13" s="267"/>
      <c r="DI13" s="267"/>
      <c r="DJ13" s="268"/>
      <c r="DK13" s="266" t="s">
        <v>98</v>
      </c>
      <c r="DL13" s="267"/>
      <c r="DM13" s="267"/>
      <c r="DN13" s="268"/>
      <c r="DO13" s="266" t="s">
        <v>98</v>
      </c>
      <c r="DP13" s="267"/>
      <c r="DQ13" s="267"/>
      <c r="DR13" s="268"/>
      <c r="DS13" s="266" t="s">
        <v>98</v>
      </c>
      <c r="DT13" s="267"/>
      <c r="DU13" s="267"/>
      <c r="DV13" s="267"/>
      <c r="DW13" s="268"/>
      <c r="DX13" s="266" t="s">
        <v>98</v>
      </c>
      <c r="DY13" s="267"/>
      <c r="DZ13" s="267"/>
      <c r="EA13" s="268"/>
      <c r="EB13" s="266" t="s">
        <v>98</v>
      </c>
      <c r="EC13" s="267"/>
      <c r="ED13" s="267"/>
      <c r="EE13" s="268"/>
      <c r="EF13" s="266" t="s">
        <v>98</v>
      </c>
      <c r="EG13" s="267"/>
      <c r="EH13" s="267"/>
      <c r="EI13" s="267"/>
      <c r="EJ13" s="268"/>
      <c r="EK13" s="266" t="s">
        <v>98</v>
      </c>
      <c r="EL13" s="267"/>
      <c r="EM13" s="267"/>
      <c r="EN13" s="268"/>
      <c r="EO13" s="266" t="s">
        <v>98</v>
      </c>
      <c r="EP13" s="267"/>
      <c r="EQ13" s="267"/>
      <c r="ER13" s="267"/>
      <c r="ES13" s="268"/>
      <c r="ET13" s="266" t="s">
        <v>98</v>
      </c>
      <c r="EU13" s="267"/>
      <c r="EV13" s="267"/>
      <c r="EW13" s="268"/>
      <c r="EX13" s="266" t="s">
        <v>98</v>
      </c>
      <c r="EY13" s="267"/>
      <c r="EZ13" s="267"/>
      <c r="FA13" s="268"/>
      <c r="FB13" s="266" t="s">
        <v>98</v>
      </c>
      <c r="FC13" s="267"/>
      <c r="FD13" s="267"/>
      <c r="FE13" s="267"/>
      <c r="FF13" s="268"/>
      <c r="FG13" s="266" t="s">
        <v>98</v>
      </c>
      <c r="FH13" s="267"/>
      <c r="FI13" s="267"/>
      <c r="FJ13" s="267"/>
      <c r="FK13" s="266" t="s">
        <v>98</v>
      </c>
      <c r="FL13" s="267"/>
      <c r="FM13" s="267"/>
      <c r="FN13" s="268"/>
      <c r="FO13" s="266" t="s">
        <v>98</v>
      </c>
      <c r="FP13" s="267"/>
      <c r="FQ13" s="267"/>
      <c r="FR13" s="268"/>
      <c r="FS13" s="266" t="s">
        <v>98</v>
      </c>
      <c r="FT13" s="267"/>
      <c r="FU13" s="267"/>
      <c r="FV13" s="267"/>
      <c r="FW13" s="268"/>
      <c r="FX13" s="266" t="s">
        <v>98</v>
      </c>
      <c r="FY13" s="267"/>
      <c r="FZ13" s="267"/>
      <c r="GA13" s="267"/>
      <c r="GB13" s="266" t="s">
        <v>98</v>
      </c>
      <c r="GC13" s="267"/>
      <c r="GD13" s="267"/>
      <c r="GE13" s="267"/>
      <c r="GF13" s="266" t="s">
        <v>98</v>
      </c>
      <c r="GG13" s="267"/>
      <c r="GH13" s="267"/>
      <c r="GI13" s="267"/>
      <c r="GJ13" s="268"/>
      <c r="GK13" s="266" t="s">
        <v>98</v>
      </c>
      <c r="GL13" s="267"/>
      <c r="GM13" s="267"/>
      <c r="GN13" s="268"/>
      <c r="GO13" s="269" t="s">
        <v>98</v>
      </c>
      <c r="GP13" s="270"/>
      <c r="GQ13" s="270"/>
      <c r="GR13" s="270"/>
      <c r="GS13" s="271"/>
      <c r="GT13" s="266" t="s">
        <v>98</v>
      </c>
      <c r="GU13" s="270"/>
      <c r="GV13" s="270"/>
      <c r="GW13" s="271"/>
      <c r="GX13" s="266" t="s">
        <v>98</v>
      </c>
      <c r="GY13" s="270"/>
      <c r="GZ13" s="270"/>
      <c r="HA13" s="271"/>
      <c r="HB13" s="266" t="s">
        <v>98</v>
      </c>
      <c r="HC13" s="270"/>
      <c r="HD13" s="270"/>
      <c r="HE13" s="270"/>
      <c r="HF13" s="271"/>
      <c r="HG13" s="266" t="s">
        <v>98</v>
      </c>
      <c r="HH13" s="270"/>
      <c r="HI13" s="270"/>
      <c r="HJ13" s="271"/>
      <c r="HK13" s="266" t="s">
        <v>98</v>
      </c>
      <c r="HL13" s="267"/>
      <c r="HM13" s="267"/>
      <c r="HN13" s="268"/>
      <c r="HO13" s="266" t="s">
        <v>98</v>
      </c>
      <c r="HP13" s="267"/>
      <c r="HQ13" s="267"/>
      <c r="HR13" s="268"/>
      <c r="HS13" s="266" t="s">
        <v>98</v>
      </c>
      <c r="HT13" s="267"/>
      <c r="HU13" s="267"/>
      <c r="HV13" s="268"/>
      <c r="HW13" s="266" t="s">
        <v>98</v>
      </c>
      <c r="HX13" s="267"/>
      <c r="HY13" s="267"/>
      <c r="HZ13" s="267"/>
      <c r="IA13" s="268"/>
      <c r="IB13" s="266" t="s">
        <v>98</v>
      </c>
      <c r="IC13" s="267"/>
      <c r="ID13" s="267"/>
      <c r="IE13" s="268"/>
      <c r="IF13" s="266" t="s">
        <v>98</v>
      </c>
      <c r="IG13" s="267"/>
      <c r="IH13" s="267"/>
      <c r="II13" s="267"/>
      <c r="IJ13" s="267"/>
      <c r="IK13" s="266" t="s">
        <v>98</v>
      </c>
      <c r="IL13" s="267"/>
      <c r="IM13" s="267"/>
      <c r="IN13" s="268"/>
      <c r="IO13" s="266" t="s">
        <v>98</v>
      </c>
      <c r="IP13" s="267"/>
      <c r="IQ13" s="267"/>
      <c r="IR13" s="268"/>
      <c r="IS13" s="266" t="s">
        <v>98</v>
      </c>
      <c r="IT13" s="270"/>
      <c r="IU13" s="270"/>
      <c r="IV13" s="270"/>
      <c r="IW13" s="269" t="s">
        <v>98</v>
      </c>
      <c r="IX13" s="270"/>
      <c r="IY13" s="270"/>
      <c r="IZ13" s="270"/>
      <c r="JA13" s="270"/>
      <c r="JB13" s="266" t="s">
        <v>98</v>
      </c>
      <c r="JC13" s="270"/>
      <c r="JD13" s="270"/>
      <c r="JE13" s="270"/>
      <c r="JF13" s="266" t="s">
        <v>98</v>
      </c>
      <c r="JG13" s="270"/>
      <c r="JH13" s="270"/>
      <c r="JI13" s="270"/>
      <c r="JJ13" s="266" t="s">
        <v>98</v>
      </c>
      <c r="JK13" s="270"/>
      <c r="JL13" s="270"/>
      <c r="JM13" s="270"/>
      <c r="JN13" s="266" t="s">
        <v>98</v>
      </c>
      <c r="JO13" s="267"/>
      <c r="JP13" s="267"/>
      <c r="JQ13" s="267"/>
      <c r="JR13" s="267"/>
      <c r="JS13" s="266" t="s">
        <v>98</v>
      </c>
      <c r="JT13" s="270"/>
      <c r="JU13" s="270"/>
      <c r="JV13" s="270"/>
      <c r="JW13" s="272" t="s">
        <v>78</v>
      </c>
      <c r="JX13" s="273"/>
      <c r="JY13" s="273"/>
      <c r="JZ13" s="274"/>
      <c r="KA13" s="272" t="s">
        <v>78</v>
      </c>
      <c r="KB13" s="273"/>
      <c r="KC13" s="273"/>
      <c r="KD13" s="273"/>
      <c r="KE13" s="274"/>
      <c r="KF13" s="272" t="s">
        <v>78</v>
      </c>
      <c r="KG13" s="273"/>
      <c r="KH13" s="273"/>
      <c r="KI13" s="274"/>
      <c r="KJ13" s="272" t="s">
        <v>78</v>
      </c>
      <c r="KK13" s="273"/>
      <c r="KL13" s="273"/>
      <c r="KM13" s="273"/>
      <c r="KN13" s="274"/>
    </row>
    <row r="14" spans="1:300" s="249" customFormat="1" ht="21" customHeight="1" thickBot="1">
      <c r="A14" s="275"/>
      <c r="B14" s="275"/>
      <c r="C14" s="275"/>
      <c r="D14" s="276"/>
      <c r="E14" s="277"/>
      <c r="F14" s="277"/>
      <c r="G14" s="278"/>
      <c r="H14" s="279"/>
      <c r="I14" s="280"/>
      <c r="J14" s="281"/>
      <c r="K14" s="281"/>
      <c r="L14" s="280"/>
      <c r="M14" s="280"/>
      <c r="N14" s="281"/>
      <c r="O14" s="281"/>
      <c r="P14" s="281"/>
      <c r="Q14" s="281"/>
      <c r="R14" s="281"/>
      <c r="S14" s="282"/>
      <c r="T14" s="282"/>
      <c r="U14" s="282"/>
      <c r="V14" s="282"/>
      <c r="W14" s="283"/>
      <c r="X14" s="275"/>
      <c r="Y14" s="284"/>
      <c r="Z14" s="282"/>
      <c r="AA14" s="282"/>
      <c r="AC14" s="282"/>
      <c r="AE14" s="282"/>
      <c r="AG14" s="282"/>
      <c r="AH14" s="282"/>
      <c r="AI14" s="285"/>
      <c r="AJ14" s="285"/>
      <c r="AK14" s="285" t="s">
        <v>143</v>
      </c>
      <c r="AL14" s="286"/>
      <c r="AM14" s="286"/>
      <c r="AN14" s="286"/>
      <c r="AO14" s="286"/>
      <c r="AP14" s="286"/>
      <c r="AQ14" s="286"/>
      <c r="AR14" s="286"/>
      <c r="AS14" s="286"/>
      <c r="AT14" s="286"/>
      <c r="AU14" s="286"/>
      <c r="AV14" s="286"/>
      <c r="AW14" s="286"/>
      <c r="AX14" s="286"/>
      <c r="AY14" s="286"/>
      <c r="AZ14" s="286"/>
      <c r="BA14" s="286"/>
      <c r="BB14" s="286"/>
      <c r="BC14" s="286"/>
      <c r="BD14" s="286"/>
      <c r="BE14" s="286"/>
      <c r="BF14" s="286"/>
      <c r="BG14" s="286"/>
      <c r="BH14" s="286"/>
      <c r="BI14" s="286"/>
      <c r="BJ14" s="287"/>
      <c r="BK14" s="288" t="str">
        <f>H19</f>
        <v>3</v>
      </c>
      <c r="BL14" s="289"/>
      <c r="BM14" s="289"/>
      <c r="BN14" s="290"/>
      <c r="BO14" s="291" t="s">
        <v>67</v>
      </c>
      <c r="BP14" s="289"/>
      <c r="BQ14" s="289"/>
      <c r="BR14" s="290"/>
      <c r="BS14" s="292" t="s">
        <v>72</v>
      </c>
      <c r="BT14" s="289"/>
      <c r="BU14" s="289"/>
      <c r="BV14" s="289"/>
      <c r="BW14" s="291" t="s">
        <v>77</v>
      </c>
      <c r="BX14" s="289"/>
      <c r="BY14" s="289"/>
      <c r="BZ14" s="289"/>
      <c r="CA14" s="289"/>
      <c r="CB14" s="291" t="s">
        <v>82</v>
      </c>
      <c r="CC14" s="289"/>
      <c r="CD14" s="289"/>
      <c r="CE14" s="290"/>
      <c r="CF14" s="291" t="s">
        <v>85</v>
      </c>
      <c r="CG14" s="289"/>
      <c r="CH14" s="289"/>
      <c r="CI14" s="289"/>
      <c r="CJ14" s="289"/>
      <c r="CK14" s="291" t="s">
        <v>97</v>
      </c>
      <c r="CL14" s="289"/>
      <c r="CM14" s="289"/>
      <c r="CN14" s="290"/>
      <c r="CO14" s="291" t="s">
        <v>99</v>
      </c>
      <c r="CP14" s="289"/>
      <c r="CQ14" s="289"/>
      <c r="CR14" s="289"/>
      <c r="CS14" s="291" t="s">
        <v>101</v>
      </c>
      <c r="CT14" s="289"/>
      <c r="CU14" s="289"/>
      <c r="CV14" s="289"/>
      <c r="CW14" s="290"/>
      <c r="CX14" s="291" t="s">
        <v>104</v>
      </c>
      <c r="CY14" s="289"/>
      <c r="CZ14" s="289"/>
      <c r="DA14" s="290"/>
      <c r="DB14" s="291" t="s">
        <v>121</v>
      </c>
      <c r="DC14" s="289"/>
      <c r="DD14" s="289"/>
      <c r="DE14" s="289"/>
      <c r="DF14" s="290"/>
      <c r="DG14" s="291" t="s">
        <v>106</v>
      </c>
      <c r="DH14" s="289"/>
      <c r="DI14" s="289"/>
      <c r="DJ14" s="290"/>
      <c r="DK14" s="291" t="s">
        <v>63</v>
      </c>
      <c r="DL14" s="289"/>
      <c r="DM14" s="289"/>
      <c r="DN14" s="290"/>
      <c r="DO14" s="291" t="s">
        <v>67</v>
      </c>
      <c r="DP14" s="289"/>
      <c r="DQ14" s="289"/>
      <c r="DR14" s="290"/>
      <c r="DS14" s="291" t="s">
        <v>72</v>
      </c>
      <c r="DT14" s="289"/>
      <c r="DU14" s="289"/>
      <c r="DV14" s="289"/>
      <c r="DW14" s="290"/>
      <c r="DX14" s="291" t="s">
        <v>77</v>
      </c>
      <c r="DY14" s="289"/>
      <c r="DZ14" s="289"/>
      <c r="EA14" s="290"/>
      <c r="EB14" s="291" t="s">
        <v>82</v>
      </c>
      <c r="EC14" s="289"/>
      <c r="ED14" s="289"/>
      <c r="EE14" s="290"/>
      <c r="EF14" s="291" t="s">
        <v>85</v>
      </c>
      <c r="EG14" s="289"/>
      <c r="EH14" s="289"/>
      <c r="EI14" s="289"/>
      <c r="EJ14" s="290"/>
      <c r="EK14" s="291" t="s">
        <v>97</v>
      </c>
      <c r="EL14" s="289"/>
      <c r="EM14" s="289"/>
      <c r="EN14" s="290"/>
      <c r="EO14" s="291" t="s">
        <v>99</v>
      </c>
      <c r="EP14" s="289"/>
      <c r="EQ14" s="289"/>
      <c r="ER14" s="289"/>
      <c r="ES14" s="290"/>
      <c r="ET14" s="291" t="s">
        <v>101</v>
      </c>
      <c r="EU14" s="289"/>
      <c r="EV14" s="289"/>
      <c r="EW14" s="290"/>
      <c r="EX14" s="291" t="s">
        <v>104</v>
      </c>
      <c r="EY14" s="289"/>
      <c r="EZ14" s="289"/>
      <c r="FA14" s="290"/>
      <c r="FB14" s="291" t="s">
        <v>133</v>
      </c>
      <c r="FC14" s="289"/>
      <c r="FD14" s="289"/>
      <c r="FE14" s="289"/>
      <c r="FG14" s="291" t="s">
        <v>106</v>
      </c>
      <c r="FH14" s="289"/>
      <c r="FI14" s="289"/>
      <c r="FK14" s="291" t="s">
        <v>63</v>
      </c>
      <c r="FL14" s="289"/>
      <c r="FM14" s="289"/>
      <c r="FN14" s="290"/>
      <c r="FO14" s="291" t="s">
        <v>67</v>
      </c>
      <c r="FP14" s="289"/>
      <c r="FQ14" s="289"/>
      <c r="FR14" s="290"/>
      <c r="FS14" s="291" t="s">
        <v>135</v>
      </c>
      <c r="FT14" s="289"/>
      <c r="FU14" s="289"/>
      <c r="FV14" s="289"/>
      <c r="FW14" s="283"/>
      <c r="FX14" s="291" t="s">
        <v>77</v>
      </c>
      <c r="FY14" s="289"/>
      <c r="FZ14" s="289"/>
      <c r="GA14" s="290"/>
      <c r="GB14" s="291" t="s">
        <v>123</v>
      </c>
      <c r="GC14" s="289"/>
      <c r="GD14" s="289"/>
      <c r="GE14" s="290"/>
      <c r="GF14" s="291" t="s">
        <v>142</v>
      </c>
      <c r="GG14" s="289"/>
      <c r="GH14" s="289"/>
      <c r="GI14" s="289"/>
      <c r="GJ14" s="292"/>
      <c r="GK14" s="293">
        <v>9</v>
      </c>
      <c r="GL14" s="289"/>
      <c r="GM14" s="289"/>
      <c r="GN14" s="294"/>
      <c r="GO14" s="295">
        <v>10</v>
      </c>
      <c r="GP14" s="296"/>
      <c r="GQ14" s="296"/>
      <c r="GR14" s="296"/>
      <c r="GS14" s="297"/>
      <c r="GT14" s="298">
        <v>11</v>
      </c>
      <c r="GU14" s="299"/>
      <c r="GV14" s="299"/>
      <c r="GW14" s="300"/>
      <c r="GX14" s="291" t="s">
        <v>104</v>
      </c>
      <c r="GY14" s="289"/>
      <c r="GZ14" s="289"/>
      <c r="HA14" s="294"/>
      <c r="HB14" s="291" t="s">
        <v>121</v>
      </c>
      <c r="HC14" s="292"/>
      <c r="HD14" s="292"/>
      <c r="HE14" s="301"/>
      <c r="HF14" s="294"/>
      <c r="HG14" s="291" t="s">
        <v>106</v>
      </c>
      <c r="HH14" s="292"/>
      <c r="HI14" s="292"/>
      <c r="HJ14" s="294"/>
      <c r="HK14" s="302" t="s">
        <v>150</v>
      </c>
      <c r="HL14" s="303"/>
      <c r="HM14" s="303"/>
      <c r="HN14" s="304"/>
      <c r="HO14" s="302" t="s">
        <v>67</v>
      </c>
      <c r="HP14" s="303"/>
      <c r="HQ14" s="303"/>
      <c r="HR14" s="304"/>
      <c r="HS14" s="302" t="s">
        <v>72</v>
      </c>
      <c r="HT14" s="303"/>
      <c r="HU14" s="303"/>
      <c r="HV14" s="304"/>
      <c r="HW14" s="305" t="s">
        <v>77</v>
      </c>
      <c r="HX14" s="306"/>
      <c r="HY14" s="306"/>
      <c r="HZ14" s="306"/>
      <c r="IA14" s="306"/>
      <c r="IB14" s="305" t="s">
        <v>82</v>
      </c>
      <c r="IC14" s="306"/>
      <c r="ID14" s="306"/>
      <c r="IE14" s="306"/>
      <c r="IF14" s="305" t="s">
        <v>85</v>
      </c>
      <c r="IG14" s="306"/>
      <c r="IH14" s="306"/>
      <c r="II14" s="306"/>
      <c r="IJ14" s="306"/>
      <c r="IK14" s="305" t="s">
        <v>97</v>
      </c>
      <c r="IL14" s="306"/>
      <c r="IM14" s="306"/>
      <c r="IN14" s="307"/>
      <c r="IO14" s="305" t="s">
        <v>99</v>
      </c>
      <c r="IP14" s="306"/>
      <c r="IQ14" s="306"/>
      <c r="IR14" s="307"/>
      <c r="IS14" s="308" t="s">
        <v>101</v>
      </c>
      <c r="IT14" s="309"/>
      <c r="IU14" s="309"/>
      <c r="IV14" s="309"/>
      <c r="IW14" s="308" t="s">
        <v>104</v>
      </c>
      <c r="IX14" s="309"/>
      <c r="IY14" s="309"/>
      <c r="IZ14" s="309"/>
      <c r="JA14" s="310"/>
      <c r="JB14" s="603" t="s">
        <v>121</v>
      </c>
      <c r="JC14" s="309"/>
      <c r="JD14" s="309"/>
      <c r="JE14" s="310"/>
      <c r="JF14" s="308" t="s">
        <v>106</v>
      </c>
      <c r="JG14" s="309"/>
      <c r="JH14" s="309"/>
      <c r="JI14" s="310"/>
      <c r="JJ14" s="308" t="s">
        <v>63</v>
      </c>
      <c r="JK14" s="309"/>
      <c r="JL14" s="309"/>
      <c r="JM14" s="310"/>
      <c r="JN14" s="308" t="s">
        <v>67</v>
      </c>
      <c r="JO14" s="309"/>
      <c r="JP14" s="309"/>
      <c r="JQ14" s="309"/>
      <c r="JR14" s="310"/>
      <c r="JS14" s="603" t="s">
        <v>72</v>
      </c>
      <c r="JT14" s="309"/>
      <c r="JU14" s="309"/>
      <c r="JV14" s="310"/>
      <c r="JW14" s="603" t="s">
        <v>77</v>
      </c>
      <c r="JX14" s="309"/>
      <c r="JY14" s="309"/>
      <c r="JZ14" s="310"/>
      <c r="KA14" s="603" t="s">
        <v>82</v>
      </c>
      <c r="KB14" s="309"/>
      <c r="KC14" s="309"/>
      <c r="KD14" s="309"/>
      <c r="KE14" s="310"/>
      <c r="KF14" s="603" t="s">
        <v>85</v>
      </c>
      <c r="KG14" s="309"/>
      <c r="KH14" s="309"/>
      <c r="KI14" s="310"/>
      <c r="KJ14" s="603" t="s">
        <v>97</v>
      </c>
      <c r="KK14" s="309"/>
      <c r="KL14" s="309"/>
      <c r="KM14" s="309"/>
      <c r="KN14" s="310"/>
    </row>
    <row r="15" spans="1:300" s="249" customFormat="1" ht="21" customHeight="1">
      <c r="A15" s="311"/>
      <c r="B15" s="311"/>
      <c r="C15" s="311"/>
      <c r="D15" s="312"/>
      <c r="G15" s="313"/>
      <c r="H15" s="314"/>
      <c r="I15" s="315"/>
      <c r="J15" s="315"/>
      <c r="K15" s="315"/>
      <c r="L15" s="315"/>
      <c r="M15" s="316"/>
      <c r="N15" s="315"/>
      <c r="O15" s="315"/>
      <c r="P15" s="315"/>
      <c r="Q15" s="315"/>
      <c r="R15" s="315"/>
      <c r="S15" s="317"/>
      <c r="T15" s="317"/>
      <c r="U15" s="317"/>
      <c r="V15" s="317"/>
      <c r="W15" s="318"/>
      <c r="X15" s="311"/>
      <c r="Y15" s="319"/>
      <c r="Z15" s="317"/>
      <c r="AA15" s="317"/>
      <c r="AC15" s="317"/>
      <c r="AE15" s="317"/>
      <c r="AG15" s="317"/>
      <c r="AH15" s="317"/>
      <c r="AI15" s="320"/>
      <c r="AJ15" s="320"/>
      <c r="AK15" s="320" t="s">
        <v>144</v>
      </c>
      <c r="AL15" s="321"/>
      <c r="AM15" s="321"/>
      <c r="AN15" s="321"/>
      <c r="AO15" s="321"/>
      <c r="AP15" s="321"/>
      <c r="AQ15" s="321"/>
      <c r="AR15" s="321"/>
      <c r="AS15" s="321"/>
      <c r="AT15" s="321"/>
      <c r="AU15" s="321"/>
      <c r="AV15" s="321"/>
      <c r="AW15" s="321"/>
      <c r="AX15" s="321"/>
      <c r="AY15" s="321"/>
      <c r="AZ15" s="321"/>
      <c r="BA15" s="321"/>
      <c r="BB15" s="321"/>
      <c r="BC15" s="321"/>
      <c r="BD15" s="321"/>
      <c r="BE15" s="321"/>
      <c r="BF15" s="321"/>
      <c r="BG15" s="321"/>
      <c r="BH15" s="321"/>
      <c r="BI15" s="321"/>
      <c r="BJ15" s="322"/>
      <c r="BK15" s="323">
        <v>44602</v>
      </c>
      <c r="BL15" s="323">
        <f t="shared" ref="BL15:CQ15" si="0">BK15+7</f>
        <v>44609</v>
      </c>
      <c r="BM15" s="323">
        <f t="shared" si="0"/>
        <v>44616</v>
      </c>
      <c r="BN15" s="324">
        <f t="shared" si="0"/>
        <v>44623</v>
      </c>
      <c r="BO15" s="325">
        <f t="shared" si="0"/>
        <v>44630</v>
      </c>
      <c r="BP15" s="323">
        <f t="shared" si="0"/>
        <v>44637</v>
      </c>
      <c r="BQ15" s="323">
        <f t="shared" si="0"/>
        <v>44644</v>
      </c>
      <c r="BR15" s="326">
        <f t="shared" si="0"/>
        <v>44651</v>
      </c>
      <c r="BS15" s="323">
        <f t="shared" si="0"/>
        <v>44658</v>
      </c>
      <c r="BT15" s="323">
        <f t="shared" si="0"/>
        <v>44665</v>
      </c>
      <c r="BU15" s="323">
        <f t="shared" si="0"/>
        <v>44672</v>
      </c>
      <c r="BV15" s="327">
        <f t="shared" si="0"/>
        <v>44679</v>
      </c>
      <c r="BW15" s="328">
        <f t="shared" si="0"/>
        <v>44686</v>
      </c>
      <c r="BX15" s="323">
        <f t="shared" si="0"/>
        <v>44693</v>
      </c>
      <c r="BY15" s="323">
        <f t="shared" si="0"/>
        <v>44700</v>
      </c>
      <c r="BZ15" s="323">
        <f t="shared" si="0"/>
        <v>44707</v>
      </c>
      <c r="CA15" s="327">
        <f t="shared" si="0"/>
        <v>44714</v>
      </c>
      <c r="CB15" s="325">
        <f t="shared" si="0"/>
        <v>44721</v>
      </c>
      <c r="CC15" s="323">
        <f t="shared" si="0"/>
        <v>44728</v>
      </c>
      <c r="CD15" s="323">
        <f t="shared" si="0"/>
        <v>44735</v>
      </c>
      <c r="CE15" s="326">
        <f t="shared" si="0"/>
        <v>44742</v>
      </c>
      <c r="CF15" s="325">
        <f t="shared" si="0"/>
        <v>44749</v>
      </c>
      <c r="CG15" s="323">
        <f t="shared" si="0"/>
        <v>44756</v>
      </c>
      <c r="CH15" s="329">
        <f t="shared" si="0"/>
        <v>44763</v>
      </c>
      <c r="CI15" s="323">
        <f t="shared" si="0"/>
        <v>44770</v>
      </c>
      <c r="CJ15" s="327">
        <f t="shared" si="0"/>
        <v>44777</v>
      </c>
      <c r="CK15" s="325">
        <f t="shared" si="0"/>
        <v>44784</v>
      </c>
      <c r="CL15" s="323">
        <f t="shared" si="0"/>
        <v>44791</v>
      </c>
      <c r="CM15" s="323">
        <f t="shared" si="0"/>
        <v>44798</v>
      </c>
      <c r="CN15" s="326">
        <f t="shared" si="0"/>
        <v>44805</v>
      </c>
      <c r="CO15" s="327">
        <f t="shared" si="0"/>
        <v>44812</v>
      </c>
      <c r="CP15" s="330">
        <f t="shared" si="0"/>
        <v>44819</v>
      </c>
      <c r="CQ15" s="330">
        <f t="shared" si="0"/>
        <v>44826</v>
      </c>
      <c r="CR15" s="330">
        <f t="shared" ref="CR15:DW15" si="1">CQ15+7</f>
        <v>44833</v>
      </c>
      <c r="CS15" s="331">
        <f t="shared" si="1"/>
        <v>44840</v>
      </c>
      <c r="CT15" s="330">
        <f t="shared" si="1"/>
        <v>44847</v>
      </c>
      <c r="CU15" s="332">
        <f t="shared" si="1"/>
        <v>44854</v>
      </c>
      <c r="CV15" s="327">
        <f t="shared" si="1"/>
        <v>44861</v>
      </c>
      <c r="CW15" s="324">
        <f t="shared" si="1"/>
        <v>44868</v>
      </c>
      <c r="CX15" s="327">
        <f t="shared" si="1"/>
        <v>44875</v>
      </c>
      <c r="CY15" s="330">
        <f t="shared" si="1"/>
        <v>44882</v>
      </c>
      <c r="CZ15" s="330">
        <f t="shared" si="1"/>
        <v>44889</v>
      </c>
      <c r="DA15" s="324">
        <f t="shared" si="1"/>
        <v>44896</v>
      </c>
      <c r="DB15" s="331">
        <f t="shared" si="1"/>
        <v>44903</v>
      </c>
      <c r="DC15" s="330">
        <f t="shared" si="1"/>
        <v>44910</v>
      </c>
      <c r="DD15" s="332">
        <f t="shared" si="1"/>
        <v>44917</v>
      </c>
      <c r="DE15" s="329">
        <f t="shared" si="1"/>
        <v>44924</v>
      </c>
      <c r="DF15" s="324">
        <f t="shared" si="1"/>
        <v>44931</v>
      </c>
      <c r="DG15" s="328">
        <f t="shared" si="1"/>
        <v>44938</v>
      </c>
      <c r="DH15" s="333">
        <f t="shared" si="1"/>
        <v>44945</v>
      </c>
      <c r="DI15" s="330">
        <f t="shared" si="1"/>
        <v>44952</v>
      </c>
      <c r="DJ15" s="324">
        <f t="shared" si="1"/>
        <v>44959</v>
      </c>
      <c r="DK15" s="332">
        <f t="shared" si="1"/>
        <v>44966</v>
      </c>
      <c r="DL15" s="333">
        <f t="shared" si="1"/>
        <v>44973</v>
      </c>
      <c r="DM15" s="330">
        <f t="shared" si="1"/>
        <v>44980</v>
      </c>
      <c r="DN15" s="324">
        <f t="shared" si="1"/>
        <v>44987</v>
      </c>
      <c r="DO15" s="332">
        <f t="shared" si="1"/>
        <v>44994</v>
      </c>
      <c r="DP15" s="333">
        <f t="shared" si="1"/>
        <v>45001</v>
      </c>
      <c r="DQ15" s="330">
        <f t="shared" si="1"/>
        <v>45008</v>
      </c>
      <c r="DR15" s="324">
        <f t="shared" si="1"/>
        <v>45015</v>
      </c>
      <c r="DS15" s="332">
        <f t="shared" si="1"/>
        <v>45022</v>
      </c>
      <c r="DT15" s="333">
        <f t="shared" si="1"/>
        <v>45029</v>
      </c>
      <c r="DU15" s="330">
        <f t="shared" si="1"/>
        <v>45036</v>
      </c>
      <c r="DV15" s="334">
        <f t="shared" si="1"/>
        <v>45043</v>
      </c>
      <c r="DW15" s="324">
        <f t="shared" si="1"/>
        <v>45050</v>
      </c>
      <c r="DX15" s="332">
        <f t="shared" ref="DX15:FC15" si="2">DW15+7</f>
        <v>45057</v>
      </c>
      <c r="DY15" s="333">
        <f t="shared" si="2"/>
        <v>45064</v>
      </c>
      <c r="DZ15" s="330">
        <f t="shared" si="2"/>
        <v>45071</v>
      </c>
      <c r="EA15" s="324">
        <f t="shared" si="2"/>
        <v>45078</v>
      </c>
      <c r="EB15" s="332">
        <f t="shared" si="2"/>
        <v>45085</v>
      </c>
      <c r="EC15" s="333">
        <f t="shared" si="2"/>
        <v>45092</v>
      </c>
      <c r="ED15" s="330">
        <f t="shared" si="2"/>
        <v>45099</v>
      </c>
      <c r="EE15" s="324">
        <f t="shared" si="2"/>
        <v>45106</v>
      </c>
      <c r="EF15" s="332">
        <f t="shared" si="2"/>
        <v>45113</v>
      </c>
      <c r="EG15" s="333">
        <f t="shared" si="2"/>
        <v>45120</v>
      </c>
      <c r="EH15" s="335">
        <f t="shared" si="2"/>
        <v>45127</v>
      </c>
      <c r="EI15" s="330">
        <f t="shared" si="2"/>
        <v>45134</v>
      </c>
      <c r="EJ15" s="324">
        <f t="shared" si="2"/>
        <v>45141</v>
      </c>
      <c r="EK15" s="332">
        <f t="shared" si="2"/>
        <v>45148</v>
      </c>
      <c r="EL15" s="333">
        <f t="shared" si="2"/>
        <v>45155</v>
      </c>
      <c r="EM15" s="330">
        <f t="shared" si="2"/>
        <v>45162</v>
      </c>
      <c r="EN15" s="324">
        <f t="shared" si="2"/>
        <v>45169</v>
      </c>
      <c r="EO15" s="332">
        <f t="shared" si="2"/>
        <v>45176</v>
      </c>
      <c r="EP15" s="333">
        <f t="shared" si="2"/>
        <v>45183</v>
      </c>
      <c r="EQ15" s="330">
        <f t="shared" si="2"/>
        <v>45190</v>
      </c>
      <c r="ER15" s="330">
        <f t="shared" si="2"/>
        <v>45197</v>
      </c>
      <c r="ES15" s="324">
        <f t="shared" si="2"/>
        <v>45204</v>
      </c>
      <c r="ET15" s="332">
        <f t="shared" si="2"/>
        <v>45211</v>
      </c>
      <c r="EU15" s="333">
        <f t="shared" si="2"/>
        <v>45218</v>
      </c>
      <c r="EV15" s="330">
        <f t="shared" si="2"/>
        <v>45225</v>
      </c>
      <c r="EW15" s="324">
        <f t="shared" si="2"/>
        <v>45232</v>
      </c>
      <c r="EX15" s="332">
        <f t="shared" si="2"/>
        <v>45239</v>
      </c>
      <c r="EY15" s="333">
        <f t="shared" si="2"/>
        <v>45246</v>
      </c>
      <c r="EZ15" s="330">
        <f t="shared" si="2"/>
        <v>45253</v>
      </c>
      <c r="FA15" s="324">
        <f t="shared" si="2"/>
        <v>45260</v>
      </c>
      <c r="FB15" s="336">
        <f t="shared" si="2"/>
        <v>45267</v>
      </c>
      <c r="FC15" s="337">
        <f t="shared" si="2"/>
        <v>45274</v>
      </c>
      <c r="FD15" s="338">
        <f t="shared" ref="FD15:FS15" si="3">FC15+7</f>
        <v>45281</v>
      </c>
      <c r="FE15" s="332">
        <f t="shared" si="3"/>
        <v>45288</v>
      </c>
      <c r="FF15" s="324">
        <f t="shared" si="3"/>
        <v>45295</v>
      </c>
      <c r="FG15" s="323">
        <f t="shared" si="3"/>
        <v>45302</v>
      </c>
      <c r="FH15" s="333">
        <f t="shared" si="3"/>
        <v>45309</v>
      </c>
      <c r="FI15" s="332">
        <f t="shared" si="3"/>
        <v>45316</v>
      </c>
      <c r="FJ15" s="339">
        <f t="shared" si="3"/>
        <v>45323</v>
      </c>
      <c r="FK15" s="323">
        <f t="shared" si="3"/>
        <v>45330</v>
      </c>
      <c r="FL15" s="333">
        <f t="shared" si="3"/>
        <v>45337</v>
      </c>
      <c r="FM15" s="330">
        <f t="shared" si="3"/>
        <v>45344</v>
      </c>
      <c r="FN15" s="324">
        <f t="shared" si="3"/>
        <v>45351</v>
      </c>
      <c r="FO15" s="332">
        <f t="shared" si="3"/>
        <v>45358</v>
      </c>
      <c r="FP15" s="333">
        <f t="shared" si="3"/>
        <v>45365</v>
      </c>
      <c r="FQ15" s="330">
        <f t="shared" si="3"/>
        <v>45372</v>
      </c>
      <c r="FR15" s="324">
        <f t="shared" si="3"/>
        <v>45379</v>
      </c>
      <c r="FS15" s="332">
        <f t="shared" si="3"/>
        <v>45386</v>
      </c>
      <c r="FT15" s="340">
        <f t="shared" ref="FT15:FW15" si="4">FS15+7</f>
        <v>45393</v>
      </c>
      <c r="FU15" s="332">
        <f t="shared" si="4"/>
        <v>45400</v>
      </c>
      <c r="FV15" s="332">
        <f t="shared" si="4"/>
        <v>45407</v>
      </c>
      <c r="FW15" s="324">
        <f t="shared" si="4"/>
        <v>45414</v>
      </c>
      <c r="FX15" s="323">
        <f t="shared" ref="FX15:FX18" si="5">FW15+7</f>
        <v>45421</v>
      </c>
      <c r="FY15" s="333">
        <f t="shared" ref="FY15:FY18" si="6">FX15+7</f>
        <v>45428</v>
      </c>
      <c r="FZ15" s="330">
        <f t="shared" ref="FZ15:FZ18" si="7">FY15+7</f>
        <v>45435</v>
      </c>
      <c r="GA15" s="324">
        <f t="shared" ref="GA15:GA18" si="8">FZ15+7</f>
        <v>45442</v>
      </c>
      <c r="GB15" s="323">
        <f t="shared" ref="GB15:GB18" si="9">GA15+7</f>
        <v>45449</v>
      </c>
      <c r="GC15" s="333">
        <f t="shared" ref="GC15:GC18" si="10">GB15+7</f>
        <v>45456</v>
      </c>
      <c r="GD15" s="330">
        <f t="shared" ref="GD15:GD18" si="11">GC15+7</f>
        <v>45463</v>
      </c>
      <c r="GE15" s="324">
        <f t="shared" ref="GE15:GE18" si="12">GD15+7</f>
        <v>45470</v>
      </c>
      <c r="GF15" s="323">
        <f t="shared" ref="GF15:GF18" si="13">GE15+7</f>
        <v>45477</v>
      </c>
      <c r="GG15" s="333">
        <f t="shared" ref="GG15:GG18" si="14">GF15+7</f>
        <v>45484</v>
      </c>
      <c r="GH15" s="330">
        <f t="shared" ref="GH15:GH18" si="15">GG15+7</f>
        <v>45491</v>
      </c>
      <c r="GI15" s="340">
        <f t="shared" ref="GI15:GI18" si="16">GH15+7</f>
        <v>45498</v>
      </c>
      <c r="GJ15" s="327">
        <f t="shared" ref="GJ15:GJ18" si="17">GI15+7</f>
        <v>45505</v>
      </c>
      <c r="GK15" s="341">
        <f t="shared" ref="GK15:GK18" si="18">GJ15+7</f>
        <v>45512</v>
      </c>
      <c r="GL15" s="342">
        <f t="shared" ref="GL15:GL18" si="19">GK15+7</f>
        <v>45519</v>
      </c>
      <c r="GM15" s="332">
        <f t="shared" ref="GM15:GM18" si="20">GL15+7</f>
        <v>45526</v>
      </c>
      <c r="GN15" s="343">
        <f t="shared" ref="GN15:GN18" si="21">GM15+7</f>
        <v>45533</v>
      </c>
      <c r="GO15" s="344">
        <f t="shared" ref="GO15:GO18" si="22">GN15+7</f>
        <v>45540</v>
      </c>
      <c r="GP15" s="342">
        <f t="shared" ref="GP15:GP18" si="23">GO15+7</f>
        <v>45547</v>
      </c>
      <c r="GQ15" s="345">
        <f t="shared" ref="GQ15:GQ18" si="24">GP15+7</f>
        <v>45554</v>
      </c>
      <c r="GR15" s="342">
        <f t="shared" ref="GR15:GR18" si="25">GQ15+7</f>
        <v>45561</v>
      </c>
      <c r="GS15" s="346">
        <f t="shared" ref="GS15:GS18" si="26">GR15+7</f>
        <v>45568</v>
      </c>
      <c r="GT15" s="333">
        <f t="shared" ref="GT15:GT18" si="27">GS15+7</f>
        <v>45575</v>
      </c>
      <c r="GU15" s="330">
        <f t="shared" ref="GU15:GU18" si="28">GT15+7</f>
        <v>45582</v>
      </c>
      <c r="GV15" s="340">
        <f t="shared" ref="GV15:GV18" si="29">GU15+7</f>
        <v>45589</v>
      </c>
      <c r="GW15" s="326">
        <f t="shared" ref="GW15:GW18" si="30">GV15+7</f>
        <v>45596</v>
      </c>
      <c r="GX15" s="325">
        <f t="shared" ref="GX15:GX18" si="31">GW15+7</f>
        <v>45603</v>
      </c>
      <c r="GY15" s="333">
        <f t="shared" ref="GY15:GY18" si="32">GX15+7</f>
        <v>45610</v>
      </c>
      <c r="GZ15" s="332">
        <f t="shared" ref="GZ15:HA18" si="33">GY15+7</f>
        <v>45617</v>
      </c>
      <c r="HA15" s="326">
        <f t="shared" si="33"/>
        <v>45624</v>
      </c>
      <c r="HB15" s="325">
        <f t="shared" ref="HB15:HB18" si="34">HA15+7</f>
        <v>45631</v>
      </c>
      <c r="HC15" s="332">
        <f t="shared" ref="HC15:HC18" si="35">HB15+7</f>
        <v>45638</v>
      </c>
      <c r="HD15" s="332">
        <f t="shared" ref="HD15:HD18" si="36">HC15+7</f>
        <v>45645</v>
      </c>
      <c r="HE15" s="332">
        <f t="shared" ref="HE15:HE18" si="37">HD15+7</f>
        <v>45652</v>
      </c>
      <c r="HF15" s="324">
        <f t="shared" ref="HF15:HF18" si="38">HE15+7</f>
        <v>45659</v>
      </c>
      <c r="HG15" s="347">
        <f t="shared" ref="HG15:HG18" si="39">HF15+7</f>
        <v>45666</v>
      </c>
      <c r="HH15" s="348">
        <f t="shared" ref="HH15:HH18" si="40">HG15+7</f>
        <v>45673</v>
      </c>
      <c r="HI15" s="332">
        <f t="shared" ref="HI15:HI18" si="41">HH15+7</f>
        <v>45680</v>
      </c>
      <c r="HJ15" s="324">
        <f t="shared" ref="HJ15:HJ18" si="42">HI15+7</f>
        <v>45687</v>
      </c>
      <c r="HK15" s="349">
        <v>45334</v>
      </c>
      <c r="HL15" s="350">
        <v>45341</v>
      </c>
      <c r="HM15" s="350">
        <v>45348</v>
      </c>
      <c r="HN15" s="351">
        <v>45356</v>
      </c>
      <c r="HO15" s="349">
        <v>45363</v>
      </c>
      <c r="HP15" s="350">
        <v>45370</v>
      </c>
      <c r="HQ15" s="350">
        <v>45377</v>
      </c>
      <c r="HR15" s="351">
        <v>45384</v>
      </c>
      <c r="HS15" s="349">
        <v>45391</v>
      </c>
      <c r="HT15" s="350">
        <v>45398</v>
      </c>
      <c r="HU15" s="350">
        <v>45405</v>
      </c>
      <c r="HV15" s="351">
        <v>45412</v>
      </c>
      <c r="HW15" s="352">
        <v>45419</v>
      </c>
      <c r="HX15" s="353">
        <v>45426</v>
      </c>
      <c r="HY15" s="353">
        <v>45433</v>
      </c>
      <c r="HZ15" s="354">
        <v>45440</v>
      </c>
      <c r="IA15" s="355">
        <v>45812</v>
      </c>
      <c r="IB15" s="356">
        <v>45819</v>
      </c>
      <c r="IC15" s="353">
        <v>45826</v>
      </c>
      <c r="ID15" s="354">
        <v>45833</v>
      </c>
      <c r="IE15" s="355">
        <v>45840</v>
      </c>
      <c r="IF15" s="357">
        <v>45847</v>
      </c>
      <c r="IG15" s="353">
        <v>45854</v>
      </c>
      <c r="IH15" s="354">
        <v>45861</v>
      </c>
      <c r="II15" s="350">
        <v>45868</v>
      </c>
      <c r="IJ15" s="358">
        <v>45875</v>
      </c>
      <c r="IK15" s="352">
        <v>45882</v>
      </c>
      <c r="IL15" s="359">
        <v>45889</v>
      </c>
      <c r="IM15" s="360">
        <v>45896</v>
      </c>
      <c r="IN15" s="361">
        <v>45903</v>
      </c>
      <c r="IO15" s="362">
        <v>45910</v>
      </c>
      <c r="IP15" s="359">
        <v>45917</v>
      </c>
      <c r="IQ15" s="360">
        <v>45924</v>
      </c>
      <c r="IR15" s="361">
        <v>45931</v>
      </c>
      <c r="IS15" s="362">
        <v>45939</v>
      </c>
      <c r="IT15" s="359">
        <v>45946</v>
      </c>
      <c r="IU15" s="360">
        <v>45953</v>
      </c>
      <c r="IV15" s="363">
        <v>45960</v>
      </c>
      <c r="IW15" s="364">
        <v>45967</v>
      </c>
      <c r="IX15" s="357">
        <v>45974</v>
      </c>
      <c r="IY15" s="353">
        <v>45981</v>
      </c>
      <c r="IZ15" s="354">
        <v>45988</v>
      </c>
      <c r="JA15" s="351">
        <v>45995</v>
      </c>
      <c r="JB15" s="356">
        <v>46002</v>
      </c>
      <c r="JC15" s="353">
        <v>46009</v>
      </c>
      <c r="JD15" s="354">
        <v>46016</v>
      </c>
      <c r="JE15" s="351">
        <v>45658</v>
      </c>
      <c r="JF15" s="356">
        <v>45665</v>
      </c>
      <c r="JG15" s="353">
        <v>45672</v>
      </c>
      <c r="JH15" s="354">
        <v>45679</v>
      </c>
      <c r="JI15" s="351">
        <v>45686</v>
      </c>
      <c r="JJ15" s="365">
        <v>45693</v>
      </c>
      <c r="JK15" s="353">
        <v>45700</v>
      </c>
      <c r="JL15" s="360">
        <v>45707</v>
      </c>
      <c r="JM15" s="351">
        <v>45714</v>
      </c>
      <c r="JN15" s="356">
        <v>45721</v>
      </c>
      <c r="JO15" s="353">
        <v>45728</v>
      </c>
      <c r="JP15" s="360">
        <v>45735</v>
      </c>
      <c r="JQ15" s="606">
        <v>45742</v>
      </c>
      <c r="JR15" s="351">
        <v>45749</v>
      </c>
      <c r="JS15" s="360">
        <v>45756</v>
      </c>
      <c r="JT15" s="353">
        <v>45763</v>
      </c>
      <c r="JU15" s="360">
        <v>45770</v>
      </c>
      <c r="JV15" s="351">
        <v>45777</v>
      </c>
      <c r="JW15" s="360">
        <v>45784</v>
      </c>
      <c r="JX15" s="353">
        <v>45791</v>
      </c>
      <c r="JY15" s="360">
        <v>45798</v>
      </c>
      <c r="JZ15" s="351">
        <v>45805</v>
      </c>
      <c r="KA15" s="360">
        <v>46177</v>
      </c>
      <c r="KB15" s="353">
        <v>46184</v>
      </c>
      <c r="KC15" s="360">
        <v>46191</v>
      </c>
      <c r="KD15" s="358">
        <v>46198</v>
      </c>
      <c r="KE15" s="351">
        <v>46205</v>
      </c>
      <c r="KF15" s="629">
        <v>46212</v>
      </c>
      <c r="KG15" s="353">
        <v>46219</v>
      </c>
      <c r="KH15" s="360">
        <v>46226</v>
      </c>
      <c r="KI15" s="351">
        <v>46233</v>
      </c>
      <c r="KJ15" s="632">
        <v>46240</v>
      </c>
      <c r="KK15" s="353">
        <v>46247</v>
      </c>
      <c r="KL15" s="360">
        <v>46254</v>
      </c>
      <c r="KM15" s="360">
        <v>46261</v>
      </c>
      <c r="KN15" s="351">
        <v>46268</v>
      </c>
    </row>
    <row r="16" spans="1:300" s="249" customFormat="1" ht="21" customHeight="1">
      <c r="A16" s="311"/>
      <c r="B16" s="311"/>
      <c r="C16" s="311"/>
      <c r="D16" s="312"/>
      <c r="G16" s="313"/>
      <c r="H16" s="314"/>
      <c r="I16" s="315"/>
      <c r="J16" s="315"/>
      <c r="K16" s="315"/>
      <c r="L16" s="315"/>
      <c r="M16" s="366"/>
      <c r="N16" s="315"/>
      <c r="O16" s="315"/>
      <c r="P16" s="315"/>
      <c r="Q16" s="315"/>
      <c r="R16" s="315"/>
      <c r="S16" s="367"/>
      <c r="T16" s="367"/>
      <c r="U16" s="367"/>
      <c r="V16" s="367"/>
      <c r="W16" s="318"/>
      <c r="X16" s="311"/>
      <c r="Y16" s="368"/>
      <c r="Z16" s="367"/>
      <c r="AA16" s="367"/>
      <c r="AC16" s="367"/>
      <c r="AE16" s="367"/>
      <c r="AG16" s="367"/>
      <c r="AH16" s="367"/>
      <c r="AI16" s="369"/>
      <c r="AJ16" s="369"/>
      <c r="AK16" s="369" t="s">
        <v>145</v>
      </c>
      <c r="AL16" s="370"/>
      <c r="AM16" s="370"/>
      <c r="AN16" s="370"/>
      <c r="AO16" s="370"/>
      <c r="AP16" s="370"/>
      <c r="AQ16" s="370"/>
      <c r="AR16" s="370"/>
      <c r="AS16" s="370"/>
      <c r="AT16" s="370"/>
      <c r="AU16" s="370"/>
      <c r="AV16" s="370"/>
      <c r="AW16" s="370"/>
      <c r="AX16" s="370"/>
      <c r="AY16" s="370"/>
      <c r="AZ16" s="370"/>
      <c r="BA16" s="370"/>
      <c r="BB16" s="370"/>
      <c r="BC16" s="370"/>
      <c r="BD16" s="370"/>
      <c r="BE16" s="370"/>
      <c r="BF16" s="370"/>
      <c r="BG16" s="370"/>
      <c r="BH16" s="370"/>
      <c r="BI16" s="370"/>
      <c r="BJ16" s="371"/>
      <c r="BK16" s="323">
        <v>44604</v>
      </c>
      <c r="BL16" s="323">
        <f t="shared" ref="BL16:CQ16" si="43">BK16+7</f>
        <v>44611</v>
      </c>
      <c r="BM16" s="323">
        <f t="shared" si="43"/>
        <v>44618</v>
      </c>
      <c r="BN16" s="324">
        <f t="shared" si="43"/>
        <v>44625</v>
      </c>
      <c r="BO16" s="325">
        <f t="shared" si="43"/>
        <v>44632</v>
      </c>
      <c r="BP16" s="323">
        <f t="shared" si="43"/>
        <v>44639</v>
      </c>
      <c r="BQ16" s="323">
        <f t="shared" si="43"/>
        <v>44646</v>
      </c>
      <c r="BR16" s="326">
        <f t="shared" si="43"/>
        <v>44653</v>
      </c>
      <c r="BS16" s="323">
        <f t="shared" si="43"/>
        <v>44660</v>
      </c>
      <c r="BT16" s="323">
        <f t="shared" si="43"/>
        <v>44667</v>
      </c>
      <c r="BU16" s="323">
        <f t="shared" si="43"/>
        <v>44674</v>
      </c>
      <c r="BV16" s="327">
        <f t="shared" si="43"/>
        <v>44681</v>
      </c>
      <c r="BW16" s="328">
        <f t="shared" si="43"/>
        <v>44688</v>
      </c>
      <c r="BX16" s="323">
        <f t="shared" si="43"/>
        <v>44695</v>
      </c>
      <c r="BY16" s="323">
        <f t="shared" si="43"/>
        <v>44702</v>
      </c>
      <c r="BZ16" s="323">
        <f t="shared" si="43"/>
        <v>44709</v>
      </c>
      <c r="CA16" s="327">
        <f t="shared" si="43"/>
        <v>44716</v>
      </c>
      <c r="CB16" s="325">
        <f t="shared" si="43"/>
        <v>44723</v>
      </c>
      <c r="CC16" s="323">
        <f t="shared" si="43"/>
        <v>44730</v>
      </c>
      <c r="CD16" s="323">
        <f t="shared" si="43"/>
        <v>44737</v>
      </c>
      <c r="CE16" s="326">
        <f t="shared" si="43"/>
        <v>44744</v>
      </c>
      <c r="CF16" s="325">
        <f t="shared" si="43"/>
        <v>44751</v>
      </c>
      <c r="CG16" s="323">
        <f t="shared" si="43"/>
        <v>44758</v>
      </c>
      <c r="CH16" s="329">
        <f t="shared" si="43"/>
        <v>44765</v>
      </c>
      <c r="CI16" s="323">
        <f t="shared" si="43"/>
        <v>44772</v>
      </c>
      <c r="CJ16" s="327">
        <f t="shared" si="43"/>
        <v>44779</v>
      </c>
      <c r="CK16" s="325">
        <f t="shared" si="43"/>
        <v>44786</v>
      </c>
      <c r="CL16" s="323">
        <f t="shared" si="43"/>
        <v>44793</v>
      </c>
      <c r="CM16" s="323">
        <f t="shared" si="43"/>
        <v>44800</v>
      </c>
      <c r="CN16" s="326">
        <f t="shared" si="43"/>
        <v>44807</v>
      </c>
      <c r="CO16" s="327">
        <f t="shared" si="43"/>
        <v>44814</v>
      </c>
      <c r="CP16" s="330">
        <f t="shared" si="43"/>
        <v>44821</v>
      </c>
      <c r="CQ16" s="330">
        <f t="shared" si="43"/>
        <v>44828</v>
      </c>
      <c r="CR16" s="330">
        <f t="shared" ref="CR16:DW16" si="44">CQ16+7</f>
        <v>44835</v>
      </c>
      <c r="CS16" s="331">
        <f t="shared" si="44"/>
        <v>44842</v>
      </c>
      <c r="CT16" s="330">
        <f t="shared" si="44"/>
        <v>44849</v>
      </c>
      <c r="CU16" s="332">
        <f t="shared" si="44"/>
        <v>44856</v>
      </c>
      <c r="CV16" s="327">
        <f t="shared" si="44"/>
        <v>44863</v>
      </c>
      <c r="CW16" s="324">
        <f t="shared" si="44"/>
        <v>44870</v>
      </c>
      <c r="CX16" s="327">
        <f t="shared" si="44"/>
        <v>44877</v>
      </c>
      <c r="CY16" s="330">
        <f t="shared" si="44"/>
        <v>44884</v>
      </c>
      <c r="CZ16" s="330">
        <f t="shared" si="44"/>
        <v>44891</v>
      </c>
      <c r="DA16" s="324">
        <f t="shared" si="44"/>
        <v>44898</v>
      </c>
      <c r="DB16" s="331">
        <f t="shared" si="44"/>
        <v>44905</v>
      </c>
      <c r="DC16" s="330">
        <f t="shared" si="44"/>
        <v>44912</v>
      </c>
      <c r="DD16" s="332">
        <f t="shared" si="44"/>
        <v>44919</v>
      </c>
      <c r="DE16" s="329">
        <f t="shared" si="44"/>
        <v>44926</v>
      </c>
      <c r="DF16" s="324">
        <f t="shared" si="44"/>
        <v>44933</v>
      </c>
      <c r="DG16" s="328">
        <f t="shared" si="44"/>
        <v>44940</v>
      </c>
      <c r="DH16" s="333">
        <f t="shared" si="44"/>
        <v>44947</v>
      </c>
      <c r="DI16" s="330">
        <f t="shared" si="44"/>
        <v>44954</v>
      </c>
      <c r="DJ16" s="324">
        <f t="shared" si="44"/>
        <v>44961</v>
      </c>
      <c r="DK16" s="332">
        <f t="shared" si="44"/>
        <v>44968</v>
      </c>
      <c r="DL16" s="333">
        <f t="shared" si="44"/>
        <v>44975</v>
      </c>
      <c r="DM16" s="330">
        <f t="shared" si="44"/>
        <v>44982</v>
      </c>
      <c r="DN16" s="324">
        <f t="shared" si="44"/>
        <v>44989</v>
      </c>
      <c r="DO16" s="332">
        <f t="shared" si="44"/>
        <v>44996</v>
      </c>
      <c r="DP16" s="333">
        <f t="shared" si="44"/>
        <v>45003</v>
      </c>
      <c r="DQ16" s="330">
        <f t="shared" si="44"/>
        <v>45010</v>
      </c>
      <c r="DR16" s="324">
        <f t="shared" si="44"/>
        <v>45017</v>
      </c>
      <c r="DS16" s="332">
        <f t="shared" si="44"/>
        <v>45024</v>
      </c>
      <c r="DT16" s="333">
        <f t="shared" si="44"/>
        <v>45031</v>
      </c>
      <c r="DU16" s="330">
        <f t="shared" si="44"/>
        <v>45038</v>
      </c>
      <c r="DV16" s="334">
        <f t="shared" si="44"/>
        <v>45045</v>
      </c>
      <c r="DW16" s="324">
        <f t="shared" si="44"/>
        <v>45052</v>
      </c>
      <c r="DX16" s="332">
        <f t="shared" ref="DX16:FC16" si="45">DW16+7</f>
        <v>45059</v>
      </c>
      <c r="DY16" s="333">
        <f t="shared" si="45"/>
        <v>45066</v>
      </c>
      <c r="DZ16" s="330">
        <f t="shared" si="45"/>
        <v>45073</v>
      </c>
      <c r="EA16" s="324">
        <f t="shared" si="45"/>
        <v>45080</v>
      </c>
      <c r="EB16" s="332">
        <f t="shared" si="45"/>
        <v>45087</v>
      </c>
      <c r="EC16" s="333">
        <f t="shared" si="45"/>
        <v>45094</v>
      </c>
      <c r="ED16" s="330">
        <f t="shared" si="45"/>
        <v>45101</v>
      </c>
      <c r="EE16" s="324">
        <f t="shared" si="45"/>
        <v>45108</v>
      </c>
      <c r="EF16" s="332">
        <f t="shared" si="45"/>
        <v>45115</v>
      </c>
      <c r="EG16" s="333">
        <f t="shared" si="45"/>
        <v>45122</v>
      </c>
      <c r="EH16" s="335">
        <f t="shared" si="45"/>
        <v>45129</v>
      </c>
      <c r="EI16" s="330">
        <f t="shared" si="45"/>
        <v>45136</v>
      </c>
      <c r="EJ16" s="324">
        <f t="shared" si="45"/>
        <v>45143</v>
      </c>
      <c r="EK16" s="332">
        <f t="shared" si="45"/>
        <v>45150</v>
      </c>
      <c r="EL16" s="333">
        <f t="shared" si="45"/>
        <v>45157</v>
      </c>
      <c r="EM16" s="330">
        <f t="shared" si="45"/>
        <v>45164</v>
      </c>
      <c r="EN16" s="324">
        <f t="shared" si="45"/>
        <v>45171</v>
      </c>
      <c r="EO16" s="332">
        <f t="shared" si="45"/>
        <v>45178</v>
      </c>
      <c r="EP16" s="333">
        <f t="shared" si="45"/>
        <v>45185</v>
      </c>
      <c r="EQ16" s="330">
        <f t="shared" si="45"/>
        <v>45192</v>
      </c>
      <c r="ER16" s="330">
        <f t="shared" si="45"/>
        <v>45199</v>
      </c>
      <c r="ES16" s="324">
        <f t="shared" si="45"/>
        <v>45206</v>
      </c>
      <c r="ET16" s="332">
        <f t="shared" si="45"/>
        <v>45213</v>
      </c>
      <c r="EU16" s="333">
        <f t="shared" si="45"/>
        <v>45220</v>
      </c>
      <c r="EV16" s="330">
        <f t="shared" si="45"/>
        <v>45227</v>
      </c>
      <c r="EW16" s="324">
        <f t="shared" si="45"/>
        <v>45234</v>
      </c>
      <c r="EX16" s="332">
        <f t="shared" si="45"/>
        <v>45241</v>
      </c>
      <c r="EY16" s="333">
        <f t="shared" si="45"/>
        <v>45248</v>
      </c>
      <c r="EZ16" s="330">
        <f t="shared" si="45"/>
        <v>45255</v>
      </c>
      <c r="FA16" s="324">
        <f t="shared" si="45"/>
        <v>45262</v>
      </c>
      <c r="FB16" s="332">
        <f t="shared" si="45"/>
        <v>45269</v>
      </c>
      <c r="FC16" s="333">
        <f t="shared" si="45"/>
        <v>45276</v>
      </c>
      <c r="FD16" s="330">
        <f t="shared" ref="FD16:FS16" si="46">FC16+7</f>
        <v>45283</v>
      </c>
      <c r="FE16" s="332">
        <f t="shared" si="46"/>
        <v>45290</v>
      </c>
      <c r="FF16" s="324">
        <f t="shared" si="46"/>
        <v>45297</v>
      </c>
      <c r="FG16" s="323">
        <f t="shared" si="46"/>
        <v>45304</v>
      </c>
      <c r="FH16" s="333">
        <f t="shared" si="46"/>
        <v>45311</v>
      </c>
      <c r="FI16" s="332">
        <f t="shared" si="46"/>
        <v>45318</v>
      </c>
      <c r="FJ16" s="339">
        <f t="shared" si="46"/>
        <v>45325</v>
      </c>
      <c r="FK16" s="323">
        <f t="shared" si="46"/>
        <v>45332</v>
      </c>
      <c r="FL16" s="333">
        <f t="shared" si="46"/>
        <v>45339</v>
      </c>
      <c r="FM16" s="330">
        <f t="shared" si="46"/>
        <v>45346</v>
      </c>
      <c r="FN16" s="324">
        <f t="shared" si="46"/>
        <v>45353</v>
      </c>
      <c r="FO16" s="332">
        <f t="shared" si="46"/>
        <v>45360</v>
      </c>
      <c r="FP16" s="333">
        <f t="shared" si="46"/>
        <v>45367</v>
      </c>
      <c r="FQ16" s="330">
        <f t="shared" si="46"/>
        <v>45374</v>
      </c>
      <c r="FR16" s="324">
        <f t="shared" si="46"/>
        <v>45381</v>
      </c>
      <c r="FS16" s="332">
        <f t="shared" si="46"/>
        <v>45388</v>
      </c>
      <c r="FT16" s="340">
        <f t="shared" ref="FT16:FW16" si="47">FS16+7</f>
        <v>45395</v>
      </c>
      <c r="FU16" s="332">
        <f t="shared" si="47"/>
        <v>45402</v>
      </c>
      <c r="FV16" s="332">
        <f t="shared" si="47"/>
        <v>45409</v>
      </c>
      <c r="FW16" s="324">
        <f t="shared" si="47"/>
        <v>45416</v>
      </c>
      <c r="FX16" s="323">
        <f t="shared" si="5"/>
        <v>45423</v>
      </c>
      <c r="FY16" s="333">
        <f t="shared" si="6"/>
        <v>45430</v>
      </c>
      <c r="FZ16" s="330">
        <f t="shared" si="7"/>
        <v>45437</v>
      </c>
      <c r="GA16" s="324">
        <f t="shared" si="8"/>
        <v>45444</v>
      </c>
      <c r="GB16" s="323">
        <f t="shared" si="9"/>
        <v>45451</v>
      </c>
      <c r="GC16" s="333">
        <f t="shared" si="10"/>
        <v>45458</v>
      </c>
      <c r="GD16" s="330">
        <f t="shared" si="11"/>
        <v>45465</v>
      </c>
      <c r="GE16" s="324">
        <f t="shared" si="12"/>
        <v>45472</v>
      </c>
      <c r="GF16" s="323">
        <f t="shared" si="13"/>
        <v>45479</v>
      </c>
      <c r="GG16" s="333">
        <f t="shared" si="14"/>
        <v>45486</v>
      </c>
      <c r="GH16" s="330">
        <f t="shared" si="15"/>
        <v>45493</v>
      </c>
      <c r="GI16" s="340">
        <f t="shared" si="16"/>
        <v>45500</v>
      </c>
      <c r="GJ16" s="327">
        <f t="shared" si="17"/>
        <v>45507</v>
      </c>
      <c r="GK16" s="341">
        <f t="shared" si="18"/>
        <v>45514</v>
      </c>
      <c r="GL16" s="330">
        <f t="shared" si="19"/>
        <v>45521</v>
      </c>
      <c r="GM16" s="332">
        <f t="shared" si="20"/>
        <v>45528</v>
      </c>
      <c r="GN16" s="343">
        <f t="shared" si="21"/>
        <v>45535</v>
      </c>
      <c r="GO16" s="344">
        <f t="shared" si="22"/>
        <v>45542</v>
      </c>
      <c r="GP16" s="342">
        <f t="shared" si="23"/>
        <v>45549</v>
      </c>
      <c r="GQ16" s="345">
        <f t="shared" si="24"/>
        <v>45556</v>
      </c>
      <c r="GR16" s="342">
        <f t="shared" si="25"/>
        <v>45563</v>
      </c>
      <c r="GS16" s="346">
        <f t="shared" si="26"/>
        <v>45570</v>
      </c>
      <c r="GT16" s="333">
        <f t="shared" si="27"/>
        <v>45577</v>
      </c>
      <c r="GU16" s="330">
        <f t="shared" si="28"/>
        <v>45584</v>
      </c>
      <c r="GV16" s="340">
        <f t="shared" si="29"/>
        <v>45591</v>
      </c>
      <c r="GW16" s="326">
        <f t="shared" si="30"/>
        <v>45598</v>
      </c>
      <c r="GX16" s="325">
        <f t="shared" si="31"/>
        <v>45605</v>
      </c>
      <c r="GY16" s="333">
        <f t="shared" si="32"/>
        <v>45612</v>
      </c>
      <c r="GZ16" s="332">
        <f t="shared" si="33"/>
        <v>45619</v>
      </c>
      <c r="HA16" s="326">
        <f t="shared" si="33"/>
        <v>45626</v>
      </c>
      <c r="HB16" s="325">
        <f t="shared" si="34"/>
        <v>45633</v>
      </c>
      <c r="HC16" s="332">
        <f t="shared" si="35"/>
        <v>45640</v>
      </c>
      <c r="HD16" s="332">
        <f t="shared" si="36"/>
        <v>45647</v>
      </c>
      <c r="HE16" s="332">
        <f t="shared" si="37"/>
        <v>45654</v>
      </c>
      <c r="HF16" s="324">
        <f t="shared" si="38"/>
        <v>45661</v>
      </c>
      <c r="HG16" s="347">
        <f t="shared" si="39"/>
        <v>45668</v>
      </c>
      <c r="HH16" s="348">
        <f t="shared" si="40"/>
        <v>45675</v>
      </c>
      <c r="HI16" s="332">
        <f t="shared" si="41"/>
        <v>45682</v>
      </c>
      <c r="HJ16" s="324">
        <f t="shared" si="42"/>
        <v>45689</v>
      </c>
      <c r="HK16" s="372">
        <f t="shared" ref="HK16:HM17" si="48">HK15+3</f>
        <v>45337</v>
      </c>
      <c r="HL16" s="373">
        <f t="shared" si="48"/>
        <v>45344</v>
      </c>
      <c r="HM16" s="373">
        <v>45717</v>
      </c>
      <c r="HN16" s="374">
        <f t="shared" ref="HN16:HN17" si="49">HN15+3</f>
        <v>45359</v>
      </c>
      <c r="HO16" s="372">
        <v>45366</v>
      </c>
      <c r="HP16" s="373">
        <v>45373</v>
      </c>
      <c r="HQ16" s="373">
        <v>45380</v>
      </c>
      <c r="HR16" s="374">
        <v>45387</v>
      </c>
      <c r="HS16" s="372">
        <v>45394</v>
      </c>
      <c r="HT16" s="373">
        <v>45401</v>
      </c>
      <c r="HU16" s="373">
        <v>45408</v>
      </c>
      <c r="HV16" s="374">
        <v>45415</v>
      </c>
      <c r="HW16" s="375">
        <v>45422</v>
      </c>
      <c r="HX16" s="373">
        <v>45429</v>
      </c>
      <c r="HY16" s="373">
        <v>45436</v>
      </c>
      <c r="HZ16" s="376">
        <v>45443</v>
      </c>
      <c r="IA16" s="374">
        <v>45815</v>
      </c>
      <c r="IB16" s="372">
        <v>45822</v>
      </c>
      <c r="IC16" s="373">
        <v>45829</v>
      </c>
      <c r="ID16" s="376">
        <v>45836</v>
      </c>
      <c r="IE16" s="374">
        <v>45843</v>
      </c>
      <c r="IF16" s="377">
        <v>45850</v>
      </c>
      <c r="IG16" s="373">
        <v>45857</v>
      </c>
      <c r="IH16" s="376">
        <v>45864</v>
      </c>
      <c r="II16" s="373">
        <v>45871</v>
      </c>
      <c r="IJ16" s="376">
        <v>45878</v>
      </c>
      <c r="IK16" s="375">
        <v>45885</v>
      </c>
      <c r="IL16" s="378">
        <v>45892</v>
      </c>
      <c r="IM16" s="379">
        <v>45899</v>
      </c>
      <c r="IN16" s="380">
        <v>45906</v>
      </c>
      <c r="IO16" s="381">
        <v>45913</v>
      </c>
      <c r="IP16" s="378">
        <v>45920</v>
      </c>
      <c r="IQ16" s="379">
        <v>45927</v>
      </c>
      <c r="IR16" s="380">
        <v>45934</v>
      </c>
      <c r="IS16" s="381">
        <v>45941</v>
      </c>
      <c r="IT16" s="378">
        <v>45948</v>
      </c>
      <c r="IU16" s="379">
        <v>45955</v>
      </c>
      <c r="IV16" s="379">
        <v>45962</v>
      </c>
      <c r="IW16" s="381">
        <v>45969</v>
      </c>
      <c r="IX16" s="377">
        <v>45976</v>
      </c>
      <c r="IY16" s="373">
        <v>45983</v>
      </c>
      <c r="IZ16" s="376">
        <v>45990</v>
      </c>
      <c r="JA16" s="374">
        <v>45997</v>
      </c>
      <c r="JB16" s="372">
        <v>46004</v>
      </c>
      <c r="JC16" s="373">
        <v>46011</v>
      </c>
      <c r="JD16" s="376">
        <v>46018</v>
      </c>
      <c r="JE16" s="374">
        <v>45660</v>
      </c>
      <c r="JF16" s="372">
        <v>45667</v>
      </c>
      <c r="JG16" s="373">
        <v>45674</v>
      </c>
      <c r="JH16" s="376">
        <v>45681</v>
      </c>
      <c r="JI16" s="374">
        <v>45688</v>
      </c>
      <c r="JJ16" s="382">
        <v>45695</v>
      </c>
      <c r="JK16" s="373">
        <v>45702</v>
      </c>
      <c r="JL16" s="379">
        <v>45709</v>
      </c>
      <c r="JM16" s="374">
        <v>45716</v>
      </c>
      <c r="JN16" s="372">
        <v>45723</v>
      </c>
      <c r="JO16" s="373">
        <v>45730</v>
      </c>
      <c r="JP16" s="379">
        <v>45737</v>
      </c>
      <c r="JQ16" s="382">
        <v>45744</v>
      </c>
      <c r="JR16" s="374">
        <v>45751</v>
      </c>
      <c r="JS16" s="379">
        <v>45758</v>
      </c>
      <c r="JT16" s="373">
        <v>45765</v>
      </c>
      <c r="JU16" s="379">
        <v>45772</v>
      </c>
      <c r="JV16" s="374">
        <v>45779</v>
      </c>
      <c r="JW16" s="379">
        <v>45786</v>
      </c>
      <c r="JX16" s="373">
        <v>45793</v>
      </c>
      <c r="JY16" s="379">
        <v>45800</v>
      </c>
      <c r="JZ16" s="374">
        <v>45807</v>
      </c>
      <c r="KA16" s="379">
        <v>46179</v>
      </c>
      <c r="KB16" s="373">
        <v>46186</v>
      </c>
      <c r="KC16" s="379">
        <v>46193</v>
      </c>
      <c r="KD16" s="376">
        <v>46200</v>
      </c>
      <c r="KE16" s="374">
        <v>46207</v>
      </c>
      <c r="KF16" s="630">
        <v>46218</v>
      </c>
      <c r="KG16" s="373">
        <v>46225</v>
      </c>
      <c r="KH16" s="379">
        <v>46232</v>
      </c>
      <c r="KI16" s="374">
        <v>46239</v>
      </c>
      <c r="KJ16" s="633">
        <v>46242</v>
      </c>
      <c r="KK16" s="373">
        <v>46249</v>
      </c>
      <c r="KL16" s="379">
        <v>46256</v>
      </c>
      <c r="KM16" s="379">
        <v>46263</v>
      </c>
      <c r="KN16" s="374">
        <v>46270</v>
      </c>
    </row>
    <row r="17" spans="1:300" s="249" customFormat="1" ht="21" customHeight="1">
      <c r="A17" s="383" t="s">
        <v>15</v>
      </c>
      <c r="B17" s="383" t="s">
        <v>16</v>
      </c>
      <c r="C17" s="311"/>
      <c r="D17" s="312"/>
      <c r="G17" s="313"/>
      <c r="H17" s="314"/>
      <c r="I17" s="315"/>
      <c r="J17" s="315"/>
      <c r="K17" s="315"/>
      <c r="L17" s="315"/>
      <c r="M17" s="316"/>
      <c r="N17" s="315"/>
      <c r="O17" s="315"/>
      <c r="P17" s="315"/>
      <c r="Q17" s="315"/>
      <c r="R17" s="315"/>
      <c r="S17" s="317"/>
      <c r="T17" s="317"/>
      <c r="U17" s="317"/>
      <c r="V17" s="317"/>
      <c r="W17" s="318"/>
      <c r="X17" s="311"/>
      <c r="Y17" s="319"/>
      <c r="Z17" s="317"/>
      <c r="AA17" s="317"/>
      <c r="AC17" s="317"/>
      <c r="AE17" s="317"/>
      <c r="AG17" s="317"/>
      <c r="AH17" s="317"/>
      <c r="AI17" s="320"/>
      <c r="AJ17" s="320"/>
      <c r="AK17" s="320" t="s">
        <v>146</v>
      </c>
      <c r="AL17" s="321"/>
      <c r="AM17" s="321"/>
      <c r="AN17" s="321"/>
      <c r="AO17" s="321"/>
      <c r="AP17" s="321"/>
      <c r="AQ17" s="321"/>
      <c r="AR17" s="321"/>
      <c r="AS17" s="321"/>
      <c r="AT17" s="321"/>
      <c r="AU17" s="321"/>
      <c r="AV17" s="321"/>
      <c r="AW17" s="321"/>
      <c r="AX17" s="321"/>
      <c r="AY17" s="321"/>
      <c r="AZ17" s="321"/>
      <c r="BA17" s="321"/>
      <c r="BB17" s="321"/>
      <c r="BC17" s="321"/>
      <c r="BD17" s="321"/>
      <c r="BE17" s="321"/>
      <c r="BF17" s="321"/>
      <c r="BG17" s="321"/>
      <c r="BH17" s="321"/>
      <c r="BI17" s="321"/>
      <c r="BJ17" s="322"/>
      <c r="BK17" s="323">
        <v>44612</v>
      </c>
      <c r="BL17" s="323">
        <f t="shared" ref="BL17:CQ17" si="50">BK17+7</f>
        <v>44619</v>
      </c>
      <c r="BM17" s="323">
        <f t="shared" si="50"/>
        <v>44626</v>
      </c>
      <c r="BN17" s="324">
        <f t="shared" si="50"/>
        <v>44633</v>
      </c>
      <c r="BO17" s="325">
        <f t="shared" si="50"/>
        <v>44640</v>
      </c>
      <c r="BP17" s="323">
        <f t="shared" si="50"/>
        <v>44647</v>
      </c>
      <c r="BQ17" s="323">
        <f t="shared" si="50"/>
        <v>44654</v>
      </c>
      <c r="BR17" s="326">
        <f t="shared" si="50"/>
        <v>44661</v>
      </c>
      <c r="BS17" s="323">
        <f t="shared" si="50"/>
        <v>44668</v>
      </c>
      <c r="BT17" s="323">
        <f t="shared" si="50"/>
        <v>44675</v>
      </c>
      <c r="BU17" s="323">
        <f t="shared" si="50"/>
        <v>44682</v>
      </c>
      <c r="BV17" s="327">
        <f t="shared" si="50"/>
        <v>44689</v>
      </c>
      <c r="BW17" s="328">
        <f t="shared" si="50"/>
        <v>44696</v>
      </c>
      <c r="BX17" s="323">
        <f t="shared" si="50"/>
        <v>44703</v>
      </c>
      <c r="BY17" s="323">
        <f t="shared" si="50"/>
        <v>44710</v>
      </c>
      <c r="BZ17" s="323">
        <f t="shared" si="50"/>
        <v>44717</v>
      </c>
      <c r="CA17" s="327">
        <f t="shared" si="50"/>
        <v>44724</v>
      </c>
      <c r="CB17" s="325">
        <f t="shared" si="50"/>
        <v>44731</v>
      </c>
      <c r="CC17" s="323">
        <f t="shared" si="50"/>
        <v>44738</v>
      </c>
      <c r="CD17" s="323">
        <f t="shared" si="50"/>
        <v>44745</v>
      </c>
      <c r="CE17" s="326">
        <f t="shared" si="50"/>
        <v>44752</v>
      </c>
      <c r="CF17" s="325">
        <f t="shared" si="50"/>
        <v>44759</v>
      </c>
      <c r="CG17" s="323">
        <f t="shared" si="50"/>
        <v>44766</v>
      </c>
      <c r="CH17" s="329">
        <f t="shared" si="50"/>
        <v>44773</v>
      </c>
      <c r="CI17" s="323">
        <f t="shared" si="50"/>
        <v>44780</v>
      </c>
      <c r="CJ17" s="327">
        <f t="shared" si="50"/>
        <v>44787</v>
      </c>
      <c r="CK17" s="325">
        <f t="shared" si="50"/>
        <v>44794</v>
      </c>
      <c r="CL17" s="323">
        <f t="shared" si="50"/>
        <v>44801</v>
      </c>
      <c r="CM17" s="323">
        <f t="shared" si="50"/>
        <v>44808</v>
      </c>
      <c r="CN17" s="326">
        <f t="shared" si="50"/>
        <v>44815</v>
      </c>
      <c r="CO17" s="327">
        <f t="shared" si="50"/>
        <v>44822</v>
      </c>
      <c r="CP17" s="330">
        <f t="shared" si="50"/>
        <v>44829</v>
      </c>
      <c r="CQ17" s="330">
        <f t="shared" si="50"/>
        <v>44836</v>
      </c>
      <c r="CR17" s="330">
        <f t="shared" ref="CR17:DW17" si="51">CQ17+7</f>
        <v>44843</v>
      </c>
      <c r="CS17" s="331">
        <f t="shared" si="51"/>
        <v>44850</v>
      </c>
      <c r="CT17" s="330">
        <f t="shared" si="51"/>
        <v>44857</v>
      </c>
      <c r="CU17" s="332">
        <f t="shared" si="51"/>
        <v>44864</v>
      </c>
      <c r="CV17" s="327">
        <f t="shared" si="51"/>
        <v>44871</v>
      </c>
      <c r="CW17" s="324">
        <f t="shared" si="51"/>
        <v>44878</v>
      </c>
      <c r="CX17" s="327">
        <f t="shared" si="51"/>
        <v>44885</v>
      </c>
      <c r="CY17" s="330">
        <f t="shared" si="51"/>
        <v>44892</v>
      </c>
      <c r="CZ17" s="330">
        <f t="shared" si="51"/>
        <v>44899</v>
      </c>
      <c r="DA17" s="324">
        <f t="shared" si="51"/>
        <v>44906</v>
      </c>
      <c r="DB17" s="331">
        <f t="shared" si="51"/>
        <v>44913</v>
      </c>
      <c r="DC17" s="330">
        <f t="shared" si="51"/>
        <v>44920</v>
      </c>
      <c r="DD17" s="332">
        <f t="shared" si="51"/>
        <v>44927</v>
      </c>
      <c r="DE17" s="329">
        <f t="shared" si="51"/>
        <v>44934</v>
      </c>
      <c r="DF17" s="324">
        <f t="shared" si="51"/>
        <v>44941</v>
      </c>
      <c r="DG17" s="328">
        <f t="shared" si="51"/>
        <v>44948</v>
      </c>
      <c r="DH17" s="333">
        <f t="shared" si="51"/>
        <v>44955</v>
      </c>
      <c r="DI17" s="330">
        <f t="shared" si="51"/>
        <v>44962</v>
      </c>
      <c r="DJ17" s="324">
        <f t="shared" si="51"/>
        <v>44969</v>
      </c>
      <c r="DK17" s="332">
        <f t="shared" si="51"/>
        <v>44976</v>
      </c>
      <c r="DL17" s="333">
        <f t="shared" si="51"/>
        <v>44983</v>
      </c>
      <c r="DM17" s="330">
        <f t="shared" si="51"/>
        <v>44990</v>
      </c>
      <c r="DN17" s="324">
        <f t="shared" si="51"/>
        <v>44997</v>
      </c>
      <c r="DO17" s="332">
        <f t="shared" si="51"/>
        <v>45004</v>
      </c>
      <c r="DP17" s="333">
        <f t="shared" si="51"/>
        <v>45011</v>
      </c>
      <c r="DQ17" s="330">
        <f t="shared" si="51"/>
        <v>45018</v>
      </c>
      <c r="DR17" s="324">
        <f t="shared" si="51"/>
        <v>45025</v>
      </c>
      <c r="DS17" s="332">
        <f t="shared" si="51"/>
        <v>45032</v>
      </c>
      <c r="DT17" s="333">
        <f t="shared" si="51"/>
        <v>45039</v>
      </c>
      <c r="DU17" s="330">
        <f t="shared" si="51"/>
        <v>45046</v>
      </c>
      <c r="DV17" s="334">
        <f t="shared" si="51"/>
        <v>45053</v>
      </c>
      <c r="DW17" s="324">
        <f t="shared" si="51"/>
        <v>45060</v>
      </c>
      <c r="DX17" s="332">
        <f t="shared" ref="DX17:FC17" si="52">DW17+7</f>
        <v>45067</v>
      </c>
      <c r="DY17" s="333">
        <f t="shared" si="52"/>
        <v>45074</v>
      </c>
      <c r="DZ17" s="330">
        <f t="shared" si="52"/>
        <v>45081</v>
      </c>
      <c r="EA17" s="324">
        <f t="shared" si="52"/>
        <v>45088</v>
      </c>
      <c r="EB17" s="332">
        <f t="shared" si="52"/>
        <v>45095</v>
      </c>
      <c r="EC17" s="333">
        <f t="shared" si="52"/>
        <v>45102</v>
      </c>
      <c r="ED17" s="330">
        <f t="shared" si="52"/>
        <v>45109</v>
      </c>
      <c r="EE17" s="324">
        <f t="shared" si="52"/>
        <v>45116</v>
      </c>
      <c r="EF17" s="332">
        <f t="shared" si="52"/>
        <v>45123</v>
      </c>
      <c r="EG17" s="333">
        <f t="shared" si="52"/>
        <v>45130</v>
      </c>
      <c r="EH17" s="335">
        <f t="shared" si="52"/>
        <v>45137</v>
      </c>
      <c r="EI17" s="330">
        <f t="shared" si="52"/>
        <v>45144</v>
      </c>
      <c r="EJ17" s="324">
        <f t="shared" si="52"/>
        <v>45151</v>
      </c>
      <c r="EK17" s="332">
        <f t="shared" si="52"/>
        <v>45158</v>
      </c>
      <c r="EL17" s="333">
        <f t="shared" si="52"/>
        <v>45165</v>
      </c>
      <c r="EM17" s="330">
        <f t="shared" si="52"/>
        <v>45172</v>
      </c>
      <c r="EN17" s="324">
        <f t="shared" si="52"/>
        <v>45179</v>
      </c>
      <c r="EO17" s="332">
        <f t="shared" si="52"/>
        <v>45186</v>
      </c>
      <c r="EP17" s="333">
        <f t="shared" si="52"/>
        <v>45193</v>
      </c>
      <c r="EQ17" s="330">
        <f t="shared" si="52"/>
        <v>45200</v>
      </c>
      <c r="ER17" s="330">
        <f t="shared" si="52"/>
        <v>45207</v>
      </c>
      <c r="ES17" s="324">
        <f t="shared" si="52"/>
        <v>45214</v>
      </c>
      <c r="ET17" s="332">
        <f t="shared" si="52"/>
        <v>45221</v>
      </c>
      <c r="EU17" s="333">
        <f t="shared" si="52"/>
        <v>45228</v>
      </c>
      <c r="EV17" s="330">
        <f t="shared" si="52"/>
        <v>45235</v>
      </c>
      <c r="EW17" s="324">
        <f t="shared" si="52"/>
        <v>45242</v>
      </c>
      <c r="EX17" s="332">
        <f t="shared" si="52"/>
        <v>45249</v>
      </c>
      <c r="EY17" s="333">
        <f t="shared" si="52"/>
        <v>45256</v>
      </c>
      <c r="EZ17" s="330">
        <f t="shared" si="52"/>
        <v>45263</v>
      </c>
      <c r="FA17" s="324">
        <f t="shared" si="52"/>
        <v>45270</v>
      </c>
      <c r="FB17" s="332">
        <f t="shared" si="52"/>
        <v>45277</v>
      </c>
      <c r="FC17" s="333">
        <f t="shared" si="52"/>
        <v>45284</v>
      </c>
      <c r="FD17" s="330">
        <f t="shared" ref="FD17:FS17" si="53">FC17+7</f>
        <v>45291</v>
      </c>
      <c r="FE17" s="332">
        <f t="shared" si="53"/>
        <v>45298</v>
      </c>
      <c r="FF17" s="324">
        <f t="shared" si="53"/>
        <v>45305</v>
      </c>
      <c r="FG17" s="323">
        <f t="shared" si="53"/>
        <v>45312</v>
      </c>
      <c r="FH17" s="333">
        <f t="shared" si="53"/>
        <v>45319</v>
      </c>
      <c r="FI17" s="332">
        <f t="shared" si="53"/>
        <v>45326</v>
      </c>
      <c r="FJ17" s="339">
        <f t="shared" si="53"/>
        <v>45333</v>
      </c>
      <c r="FK17" s="323">
        <f t="shared" si="53"/>
        <v>45340</v>
      </c>
      <c r="FL17" s="333">
        <f t="shared" si="53"/>
        <v>45347</v>
      </c>
      <c r="FM17" s="330">
        <f t="shared" si="53"/>
        <v>45354</v>
      </c>
      <c r="FN17" s="324">
        <f t="shared" si="53"/>
        <v>45361</v>
      </c>
      <c r="FO17" s="332">
        <f t="shared" si="53"/>
        <v>45368</v>
      </c>
      <c r="FP17" s="333">
        <f t="shared" si="53"/>
        <v>45375</v>
      </c>
      <c r="FQ17" s="330">
        <f t="shared" si="53"/>
        <v>45382</v>
      </c>
      <c r="FR17" s="324">
        <f t="shared" si="53"/>
        <v>45389</v>
      </c>
      <c r="FS17" s="332">
        <f t="shared" si="53"/>
        <v>45396</v>
      </c>
      <c r="FT17" s="340">
        <f t="shared" ref="FT17:FW17" si="54">FS17+7</f>
        <v>45403</v>
      </c>
      <c r="FU17" s="332">
        <f t="shared" si="54"/>
        <v>45410</v>
      </c>
      <c r="FV17" s="332">
        <f t="shared" si="54"/>
        <v>45417</v>
      </c>
      <c r="FW17" s="324">
        <f t="shared" si="54"/>
        <v>45424</v>
      </c>
      <c r="FX17" s="323">
        <f t="shared" si="5"/>
        <v>45431</v>
      </c>
      <c r="FY17" s="333">
        <f t="shared" si="6"/>
        <v>45438</v>
      </c>
      <c r="FZ17" s="330">
        <f t="shared" si="7"/>
        <v>45445</v>
      </c>
      <c r="GA17" s="324">
        <f t="shared" si="8"/>
        <v>45452</v>
      </c>
      <c r="GB17" s="323">
        <f t="shared" si="9"/>
        <v>45459</v>
      </c>
      <c r="GC17" s="333">
        <f t="shared" si="10"/>
        <v>45466</v>
      </c>
      <c r="GD17" s="330">
        <f t="shared" si="11"/>
        <v>45473</v>
      </c>
      <c r="GE17" s="324">
        <f t="shared" si="12"/>
        <v>45480</v>
      </c>
      <c r="GF17" s="323">
        <f t="shared" si="13"/>
        <v>45487</v>
      </c>
      <c r="GG17" s="333">
        <f t="shared" si="14"/>
        <v>45494</v>
      </c>
      <c r="GH17" s="330">
        <f t="shared" si="15"/>
        <v>45501</v>
      </c>
      <c r="GI17" s="340">
        <f t="shared" si="16"/>
        <v>45508</v>
      </c>
      <c r="GJ17" s="327">
        <f t="shared" si="17"/>
        <v>45515</v>
      </c>
      <c r="GK17" s="341">
        <f t="shared" si="18"/>
        <v>45522</v>
      </c>
      <c r="GL17" s="330">
        <f t="shared" si="19"/>
        <v>45529</v>
      </c>
      <c r="GM17" s="332">
        <f t="shared" si="20"/>
        <v>45536</v>
      </c>
      <c r="GN17" s="343">
        <f t="shared" si="21"/>
        <v>45543</v>
      </c>
      <c r="GO17" s="344">
        <f t="shared" si="22"/>
        <v>45550</v>
      </c>
      <c r="GP17" s="342">
        <f t="shared" si="23"/>
        <v>45557</v>
      </c>
      <c r="GQ17" s="345">
        <f t="shared" si="24"/>
        <v>45564</v>
      </c>
      <c r="GR17" s="342">
        <f t="shared" si="25"/>
        <v>45571</v>
      </c>
      <c r="GS17" s="346">
        <f t="shared" si="26"/>
        <v>45578</v>
      </c>
      <c r="GT17" s="333">
        <f t="shared" si="27"/>
        <v>45585</v>
      </c>
      <c r="GU17" s="330">
        <f t="shared" si="28"/>
        <v>45592</v>
      </c>
      <c r="GV17" s="340">
        <f t="shared" si="29"/>
        <v>45599</v>
      </c>
      <c r="GW17" s="326">
        <f t="shared" si="30"/>
        <v>45606</v>
      </c>
      <c r="GX17" s="325">
        <f t="shared" si="31"/>
        <v>45613</v>
      </c>
      <c r="GY17" s="333">
        <f t="shared" si="32"/>
        <v>45620</v>
      </c>
      <c r="GZ17" s="332">
        <f t="shared" si="33"/>
        <v>45627</v>
      </c>
      <c r="HA17" s="326">
        <f t="shared" si="33"/>
        <v>45634</v>
      </c>
      <c r="HB17" s="325">
        <f t="shared" si="34"/>
        <v>45641</v>
      </c>
      <c r="HC17" s="332">
        <f t="shared" si="35"/>
        <v>45648</v>
      </c>
      <c r="HD17" s="332">
        <f t="shared" si="36"/>
        <v>45655</v>
      </c>
      <c r="HE17" s="332">
        <f t="shared" si="37"/>
        <v>45662</v>
      </c>
      <c r="HF17" s="324">
        <f t="shared" si="38"/>
        <v>45669</v>
      </c>
      <c r="HG17" s="347">
        <f t="shared" si="39"/>
        <v>45676</v>
      </c>
      <c r="HH17" s="348">
        <f t="shared" si="40"/>
        <v>45683</v>
      </c>
      <c r="HI17" s="332">
        <f t="shared" si="41"/>
        <v>45690</v>
      </c>
      <c r="HJ17" s="324">
        <f t="shared" si="42"/>
        <v>45697</v>
      </c>
      <c r="HK17" s="372">
        <f t="shared" si="48"/>
        <v>45340</v>
      </c>
      <c r="HL17" s="373">
        <f t="shared" si="48"/>
        <v>45347</v>
      </c>
      <c r="HM17" s="373">
        <f t="shared" si="48"/>
        <v>45720</v>
      </c>
      <c r="HN17" s="374">
        <f t="shared" si="49"/>
        <v>45362</v>
      </c>
      <c r="HO17" s="372">
        <v>45369</v>
      </c>
      <c r="HP17" s="373">
        <v>45376</v>
      </c>
      <c r="HQ17" s="373">
        <v>45383</v>
      </c>
      <c r="HR17" s="374">
        <v>45390</v>
      </c>
      <c r="HS17" s="372">
        <v>45397</v>
      </c>
      <c r="HT17" s="373">
        <v>45404</v>
      </c>
      <c r="HU17" s="373">
        <v>45411</v>
      </c>
      <c r="HV17" s="374">
        <v>45418</v>
      </c>
      <c r="HW17" s="375">
        <v>45425</v>
      </c>
      <c r="HX17" s="373">
        <v>45432</v>
      </c>
      <c r="HY17" s="373">
        <v>45439</v>
      </c>
      <c r="HZ17" s="376">
        <v>45446</v>
      </c>
      <c r="IA17" s="374">
        <v>45818</v>
      </c>
      <c r="IB17" s="372">
        <v>45825</v>
      </c>
      <c r="IC17" s="373">
        <v>45832</v>
      </c>
      <c r="ID17" s="376">
        <v>45839</v>
      </c>
      <c r="IE17" s="374">
        <v>45846</v>
      </c>
      <c r="IF17" s="377">
        <v>45853</v>
      </c>
      <c r="IG17" s="373">
        <v>45860</v>
      </c>
      <c r="IH17" s="376">
        <v>45867</v>
      </c>
      <c r="II17" s="373">
        <v>45874</v>
      </c>
      <c r="IJ17" s="376">
        <v>45881</v>
      </c>
      <c r="IK17" s="375">
        <v>45888</v>
      </c>
      <c r="IL17" s="378">
        <v>45895</v>
      </c>
      <c r="IM17" s="379">
        <v>45902</v>
      </c>
      <c r="IN17" s="380">
        <v>45909</v>
      </c>
      <c r="IO17" s="381">
        <v>45916</v>
      </c>
      <c r="IP17" s="378">
        <v>45923</v>
      </c>
      <c r="IQ17" s="379">
        <v>45930</v>
      </c>
      <c r="IR17" s="380">
        <v>45937</v>
      </c>
      <c r="IS17" s="381">
        <v>45949</v>
      </c>
      <c r="IT17" s="378">
        <v>45956</v>
      </c>
      <c r="IU17" s="379">
        <v>45963</v>
      </c>
      <c r="IV17" s="379">
        <v>45970</v>
      </c>
      <c r="IW17" s="381">
        <v>45977</v>
      </c>
      <c r="IX17" s="377">
        <v>45984</v>
      </c>
      <c r="IY17" s="373">
        <v>45991</v>
      </c>
      <c r="IZ17" s="376">
        <v>45998</v>
      </c>
      <c r="JA17" s="374">
        <v>46005</v>
      </c>
      <c r="JB17" s="372">
        <v>46012</v>
      </c>
      <c r="JC17" s="373">
        <v>46019</v>
      </c>
      <c r="JD17" s="376">
        <v>45661</v>
      </c>
      <c r="JE17" s="374">
        <v>45668</v>
      </c>
      <c r="JF17" s="372">
        <v>45675</v>
      </c>
      <c r="JG17" s="373">
        <v>45682</v>
      </c>
      <c r="JH17" s="376">
        <v>45689</v>
      </c>
      <c r="JI17" s="374">
        <v>45696</v>
      </c>
      <c r="JJ17" s="382">
        <v>45703</v>
      </c>
      <c r="JK17" s="373">
        <v>45710</v>
      </c>
      <c r="JL17" s="379">
        <v>45717</v>
      </c>
      <c r="JM17" s="374">
        <v>45724</v>
      </c>
      <c r="JN17" s="372">
        <v>45731</v>
      </c>
      <c r="JO17" s="373">
        <v>45738</v>
      </c>
      <c r="JP17" s="379">
        <v>45745</v>
      </c>
      <c r="JQ17" s="382">
        <v>45752</v>
      </c>
      <c r="JR17" s="374">
        <v>45759</v>
      </c>
      <c r="JS17" s="379">
        <v>45766</v>
      </c>
      <c r="JT17" s="373">
        <v>45773</v>
      </c>
      <c r="JU17" s="604">
        <v>45780</v>
      </c>
      <c r="JV17" s="374">
        <v>45787</v>
      </c>
      <c r="JW17" s="379">
        <v>45794</v>
      </c>
      <c r="JX17" s="373">
        <v>45801</v>
      </c>
      <c r="JY17" s="604">
        <v>45808</v>
      </c>
      <c r="JZ17" s="374">
        <v>45815</v>
      </c>
      <c r="KA17" s="379">
        <v>46187</v>
      </c>
      <c r="KB17" s="373">
        <v>46194</v>
      </c>
      <c r="KC17" s="604">
        <v>46201</v>
      </c>
      <c r="KD17" s="376">
        <v>46208</v>
      </c>
      <c r="KE17" s="374">
        <v>46215</v>
      </c>
      <c r="KF17" s="630">
        <v>46220</v>
      </c>
      <c r="KG17" s="373">
        <v>46227</v>
      </c>
      <c r="KH17" s="604">
        <v>46234</v>
      </c>
      <c r="KI17" s="374">
        <v>46241</v>
      </c>
      <c r="KJ17" s="633">
        <v>46250</v>
      </c>
      <c r="KK17" s="373">
        <v>46257</v>
      </c>
      <c r="KL17" s="604">
        <v>46264</v>
      </c>
      <c r="KM17" s="604">
        <v>46271</v>
      </c>
      <c r="KN17" s="374">
        <v>46278</v>
      </c>
    </row>
    <row r="18" spans="1:300" s="249" customFormat="1" ht="21" customHeight="1">
      <c r="A18" s="383" t="s">
        <v>27</v>
      </c>
      <c r="B18" s="383"/>
      <c r="C18" s="311"/>
      <c r="D18" s="312"/>
      <c r="G18" s="313"/>
      <c r="H18" s="314"/>
      <c r="I18" s="315"/>
      <c r="J18" s="315"/>
      <c r="K18" s="315"/>
      <c r="L18" s="315"/>
      <c r="M18" s="316"/>
      <c r="N18" s="315"/>
      <c r="O18" s="315"/>
      <c r="P18" s="315"/>
      <c r="Q18" s="315"/>
      <c r="R18" s="315"/>
      <c r="S18" s="317"/>
      <c r="T18" s="317"/>
      <c r="U18" s="317"/>
      <c r="V18" s="317"/>
      <c r="W18" s="318"/>
      <c r="X18" s="384"/>
      <c r="Y18" s="319"/>
      <c r="Z18" s="317"/>
      <c r="AA18" s="317"/>
      <c r="AC18" s="317"/>
      <c r="AE18" s="317"/>
      <c r="AG18" s="317"/>
      <c r="AH18" s="317"/>
      <c r="AI18" s="320"/>
      <c r="AJ18" s="320"/>
      <c r="AK18" s="320" t="s">
        <v>147</v>
      </c>
      <c r="AL18" s="321"/>
      <c r="AM18" s="321"/>
      <c r="AN18" s="321"/>
      <c r="AO18" s="321"/>
      <c r="AP18" s="321"/>
      <c r="AQ18" s="321"/>
      <c r="AR18" s="321"/>
      <c r="AS18" s="321"/>
      <c r="AT18" s="321"/>
      <c r="AU18" s="321"/>
      <c r="AV18" s="321"/>
      <c r="AW18" s="321"/>
      <c r="AX18" s="321"/>
      <c r="AY18" s="321"/>
      <c r="AZ18" s="321"/>
      <c r="BA18" s="321"/>
      <c r="BB18" s="321"/>
      <c r="BC18" s="321"/>
      <c r="BD18" s="321"/>
      <c r="BE18" s="321"/>
      <c r="BF18" s="321"/>
      <c r="BG18" s="321"/>
      <c r="BH18" s="321"/>
      <c r="BI18" s="321"/>
      <c r="BJ18" s="322"/>
      <c r="BK18" s="385">
        <v>44614</v>
      </c>
      <c r="BL18" s="385">
        <f t="shared" ref="BL18:CQ18" si="55">BK18+7</f>
        <v>44621</v>
      </c>
      <c r="BM18" s="385">
        <f t="shared" si="55"/>
        <v>44628</v>
      </c>
      <c r="BN18" s="386">
        <f t="shared" si="55"/>
        <v>44635</v>
      </c>
      <c r="BO18" s="387">
        <f t="shared" si="55"/>
        <v>44642</v>
      </c>
      <c r="BP18" s="385">
        <f t="shared" si="55"/>
        <v>44649</v>
      </c>
      <c r="BQ18" s="385">
        <f t="shared" si="55"/>
        <v>44656</v>
      </c>
      <c r="BR18" s="388">
        <f t="shared" si="55"/>
        <v>44663</v>
      </c>
      <c r="BS18" s="385">
        <f t="shared" si="55"/>
        <v>44670</v>
      </c>
      <c r="BT18" s="385">
        <f t="shared" si="55"/>
        <v>44677</v>
      </c>
      <c r="BU18" s="385">
        <f t="shared" si="55"/>
        <v>44684</v>
      </c>
      <c r="BV18" s="389">
        <f t="shared" si="55"/>
        <v>44691</v>
      </c>
      <c r="BW18" s="390">
        <f t="shared" si="55"/>
        <v>44698</v>
      </c>
      <c r="BX18" s="385">
        <f t="shared" si="55"/>
        <v>44705</v>
      </c>
      <c r="BY18" s="385">
        <f t="shared" si="55"/>
        <v>44712</v>
      </c>
      <c r="BZ18" s="385">
        <f t="shared" si="55"/>
        <v>44719</v>
      </c>
      <c r="CA18" s="389">
        <f t="shared" si="55"/>
        <v>44726</v>
      </c>
      <c r="CB18" s="387">
        <f t="shared" si="55"/>
        <v>44733</v>
      </c>
      <c r="CC18" s="385">
        <f t="shared" si="55"/>
        <v>44740</v>
      </c>
      <c r="CD18" s="385">
        <f t="shared" si="55"/>
        <v>44747</v>
      </c>
      <c r="CE18" s="388">
        <f t="shared" si="55"/>
        <v>44754</v>
      </c>
      <c r="CF18" s="387">
        <f t="shared" si="55"/>
        <v>44761</v>
      </c>
      <c r="CG18" s="385">
        <f t="shared" si="55"/>
        <v>44768</v>
      </c>
      <c r="CH18" s="391">
        <f t="shared" si="55"/>
        <v>44775</v>
      </c>
      <c r="CI18" s="385">
        <f t="shared" si="55"/>
        <v>44782</v>
      </c>
      <c r="CJ18" s="389">
        <f t="shared" si="55"/>
        <v>44789</v>
      </c>
      <c r="CK18" s="387">
        <f t="shared" si="55"/>
        <v>44796</v>
      </c>
      <c r="CL18" s="385">
        <f t="shared" si="55"/>
        <v>44803</v>
      </c>
      <c r="CM18" s="385">
        <f t="shared" si="55"/>
        <v>44810</v>
      </c>
      <c r="CN18" s="388">
        <f t="shared" si="55"/>
        <v>44817</v>
      </c>
      <c r="CO18" s="389">
        <f t="shared" si="55"/>
        <v>44824</v>
      </c>
      <c r="CP18" s="330">
        <f t="shared" si="55"/>
        <v>44831</v>
      </c>
      <c r="CQ18" s="330">
        <f t="shared" si="55"/>
        <v>44838</v>
      </c>
      <c r="CR18" s="330">
        <f t="shared" ref="CR18:DW18" si="56">CQ18+7</f>
        <v>44845</v>
      </c>
      <c r="CS18" s="392">
        <f t="shared" si="56"/>
        <v>44852</v>
      </c>
      <c r="CT18" s="330">
        <f t="shared" si="56"/>
        <v>44859</v>
      </c>
      <c r="CU18" s="332">
        <f t="shared" si="56"/>
        <v>44866</v>
      </c>
      <c r="CV18" s="389">
        <f t="shared" si="56"/>
        <v>44873</v>
      </c>
      <c r="CW18" s="386">
        <f t="shared" si="56"/>
        <v>44880</v>
      </c>
      <c r="CX18" s="389">
        <f t="shared" si="56"/>
        <v>44887</v>
      </c>
      <c r="CY18" s="330">
        <f t="shared" si="56"/>
        <v>44894</v>
      </c>
      <c r="CZ18" s="330">
        <f t="shared" si="56"/>
        <v>44901</v>
      </c>
      <c r="DA18" s="324">
        <f t="shared" si="56"/>
        <v>44908</v>
      </c>
      <c r="DB18" s="392">
        <f t="shared" si="56"/>
        <v>44915</v>
      </c>
      <c r="DC18" s="330">
        <f t="shared" si="56"/>
        <v>44922</v>
      </c>
      <c r="DD18" s="332">
        <f t="shared" si="56"/>
        <v>44929</v>
      </c>
      <c r="DE18" s="391">
        <f t="shared" si="56"/>
        <v>44936</v>
      </c>
      <c r="DF18" s="386">
        <f t="shared" si="56"/>
        <v>44943</v>
      </c>
      <c r="DG18" s="328">
        <f t="shared" si="56"/>
        <v>44950</v>
      </c>
      <c r="DH18" s="393">
        <f t="shared" si="56"/>
        <v>44957</v>
      </c>
      <c r="DI18" s="330">
        <f t="shared" si="56"/>
        <v>44964</v>
      </c>
      <c r="DJ18" s="324">
        <f t="shared" si="56"/>
        <v>44971</v>
      </c>
      <c r="DK18" s="332">
        <f t="shared" si="56"/>
        <v>44978</v>
      </c>
      <c r="DL18" s="393">
        <f t="shared" si="56"/>
        <v>44985</v>
      </c>
      <c r="DM18" s="330">
        <f t="shared" si="56"/>
        <v>44992</v>
      </c>
      <c r="DN18" s="324">
        <f t="shared" si="56"/>
        <v>44999</v>
      </c>
      <c r="DO18" s="332">
        <f t="shared" si="56"/>
        <v>45006</v>
      </c>
      <c r="DP18" s="393">
        <f t="shared" si="56"/>
        <v>45013</v>
      </c>
      <c r="DQ18" s="330">
        <f t="shared" si="56"/>
        <v>45020</v>
      </c>
      <c r="DR18" s="324">
        <f t="shared" si="56"/>
        <v>45027</v>
      </c>
      <c r="DS18" s="332">
        <f t="shared" si="56"/>
        <v>45034</v>
      </c>
      <c r="DT18" s="393">
        <f t="shared" si="56"/>
        <v>45041</v>
      </c>
      <c r="DU18" s="330">
        <f t="shared" si="56"/>
        <v>45048</v>
      </c>
      <c r="DV18" s="334">
        <f t="shared" si="56"/>
        <v>45055</v>
      </c>
      <c r="DW18" s="324">
        <f t="shared" si="56"/>
        <v>45062</v>
      </c>
      <c r="DX18" s="332">
        <f t="shared" ref="DX18:FC18" si="57">DW18+7</f>
        <v>45069</v>
      </c>
      <c r="DY18" s="393">
        <f t="shared" si="57"/>
        <v>45076</v>
      </c>
      <c r="DZ18" s="330">
        <f t="shared" si="57"/>
        <v>45083</v>
      </c>
      <c r="EA18" s="324">
        <f t="shared" si="57"/>
        <v>45090</v>
      </c>
      <c r="EB18" s="332">
        <f t="shared" si="57"/>
        <v>45097</v>
      </c>
      <c r="EC18" s="393">
        <f t="shared" si="57"/>
        <v>45104</v>
      </c>
      <c r="ED18" s="330">
        <f t="shared" si="57"/>
        <v>45111</v>
      </c>
      <c r="EE18" s="324">
        <f t="shared" si="57"/>
        <v>45118</v>
      </c>
      <c r="EF18" s="332">
        <f t="shared" si="57"/>
        <v>45125</v>
      </c>
      <c r="EG18" s="393">
        <f t="shared" si="57"/>
        <v>45132</v>
      </c>
      <c r="EH18" s="335">
        <f t="shared" si="57"/>
        <v>45139</v>
      </c>
      <c r="EI18" s="330">
        <f t="shared" si="57"/>
        <v>45146</v>
      </c>
      <c r="EJ18" s="324">
        <f t="shared" si="57"/>
        <v>45153</v>
      </c>
      <c r="EK18" s="332">
        <f t="shared" si="57"/>
        <v>45160</v>
      </c>
      <c r="EL18" s="393">
        <f t="shared" si="57"/>
        <v>45167</v>
      </c>
      <c r="EM18" s="330">
        <f t="shared" si="57"/>
        <v>45174</v>
      </c>
      <c r="EN18" s="324">
        <f t="shared" si="57"/>
        <v>45181</v>
      </c>
      <c r="EO18" s="332">
        <f t="shared" si="57"/>
        <v>45188</v>
      </c>
      <c r="EP18" s="393">
        <f t="shared" si="57"/>
        <v>45195</v>
      </c>
      <c r="EQ18" s="330">
        <f t="shared" si="57"/>
        <v>45202</v>
      </c>
      <c r="ER18" s="330">
        <f t="shared" si="57"/>
        <v>45209</v>
      </c>
      <c r="ES18" s="324">
        <f t="shared" si="57"/>
        <v>45216</v>
      </c>
      <c r="ET18" s="332">
        <f t="shared" si="57"/>
        <v>45223</v>
      </c>
      <c r="EU18" s="393">
        <f t="shared" si="57"/>
        <v>45230</v>
      </c>
      <c r="EV18" s="330">
        <f t="shared" si="57"/>
        <v>45237</v>
      </c>
      <c r="EW18" s="324">
        <f t="shared" si="57"/>
        <v>45244</v>
      </c>
      <c r="EX18" s="332">
        <f t="shared" si="57"/>
        <v>45251</v>
      </c>
      <c r="EY18" s="393">
        <f t="shared" si="57"/>
        <v>45258</v>
      </c>
      <c r="EZ18" s="330">
        <f t="shared" si="57"/>
        <v>45265</v>
      </c>
      <c r="FA18" s="324">
        <f t="shared" si="57"/>
        <v>45272</v>
      </c>
      <c r="FB18" s="332">
        <f t="shared" si="57"/>
        <v>45279</v>
      </c>
      <c r="FC18" s="394">
        <f t="shared" si="57"/>
        <v>45286</v>
      </c>
      <c r="FD18" s="330">
        <f t="shared" ref="FD18:FS18" si="58">FC18+7</f>
        <v>45293</v>
      </c>
      <c r="FE18" s="332">
        <f t="shared" si="58"/>
        <v>45300</v>
      </c>
      <c r="FF18" s="324">
        <f t="shared" si="58"/>
        <v>45307</v>
      </c>
      <c r="FG18" s="323">
        <f t="shared" si="58"/>
        <v>45314</v>
      </c>
      <c r="FH18" s="393">
        <f t="shared" si="58"/>
        <v>45321</v>
      </c>
      <c r="FI18" s="332">
        <f t="shared" si="58"/>
        <v>45328</v>
      </c>
      <c r="FJ18" s="339">
        <f t="shared" si="58"/>
        <v>45335</v>
      </c>
      <c r="FK18" s="323">
        <f t="shared" si="58"/>
        <v>45342</v>
      </c>
      <c r="FL18" s="393">
        <f t="shared" si="58"/>
        <v>45349</v>
      </c>
      <c r="FM18" s="330">
        <f t="shared" si="58"/>
        <v>45356</v>
      </c>
      <c r="FN18" s="324">
        <f t="shared" si="58"/>
        <v>45363</v>
      </c>
      <c r="FO18" s="332">
        <f t="shared" si="58"/>
        <v>45370</v>
      </c>
      <c r="FP18" s="393">
        <f t="shared" si="58"/>
        <v>45377</v>
      </c>
      <c r="FQ18" s="330">
        <f t="shared" si="58"/>
        <v>45384</v>
      </c>
      <c r="FR18" s="324">
        <f t="shared" si="58"/>
        <v>45391</v>
      </c>
      <c r="FS18" s="332">
        <f t="shared" si="58"/>
        <v>45398</v>
      </c>
      <c r="FT18" s="340">
        <f t="shared" ref="FT18:FW18" si="59">FS18+7</f>
        <v>45405</v>
      </c>
      <c r="FU18" s="332">
        <f t="shared" si="59"/>
        <v>45412</v>
      </c>
      <c r="FV18" s="332">
        <f t="shared" si="59"/>
        <v>45419</v>
      </c>
      <c r="FW18" s="324">
        <f t="shared" si="59"/>
        <v>45426</v>
      </c>
      <c r="FX18" s="323">
        <f t="shared" si="5"/>
        <v>45433</v>
      </c>
      <c r="FY18" s="393">
        <f t="shared" si="6"/>
        <v>45440</v>
      </c>
      <c r="FZ18" s="330">
        <f t="shared" si="7"/>
        <v>45447</v>
      </c>
      <c r="GA18" s="324">
        <f t="shared" si="8"/>
        <v>45454</v>
      </c>
      <c r="GB18" s="323">
        <f t="shared" si="9"/>
        <v>45461</v>
      </c>
      <c r="GC18" s="393">
        <f t="shared" si="10"/>
        <v>45468</v>
      </c>
      <c r="GD18" s="330">
        <f t="shared" si="11"/>
        <v>45475</v>
      </c>
      <c r="GE18" s="324">
        <f t="shared" si="12"/>
        <v>45482</v>
      </c>
      <c r="GF18" s="323">
        <f t="shared" si="13"/>
        <v>45489</v>
      </c>
      <c r="GG18" s="393">
        <f t="shared" si="14"/>
        <v>45496</v>
      </c>
      <c r="GH18" s="330">
        <f t="shared" si="15"/>
        <v>45503</v>
      </c>
      <c r="GI18" s="340">
        <f t="shared" si="16"/>
        <v>45510</v>
      </c>
      <c r="GJ18" s="327">
        <f t="shared" si="17"/>
        <v>45517</v>
      </c>
      <c r="GK18" s="395">
        <f t="shared" si="18"/>
        <v>45524</v>
      </c>
      <c r="GL18" s="330">
        <f t="shared" si="19"/>
        <v>45531</v>
      </c>
      <c r="GM18" s="332">
        <f t="shared" si="20"/>
        <v>45538</v>
      </c>
      <c r="GN18" s="343">
        <f t="shared" si="21"/>
        <v>45545</v>
      </c>
      <c r="GO18" s="396">
        <f t="shared" si="22"/>
        <v>45552</v>
      </c>
      <c r="GP18" s="342">
        <f t="shared" si="23"/>
        <v>45559</v>
      </c>
      <c r="GQ18" s="345">
        <f t="shared" si="24"/>
        <v>45566</v>
      </c>
      <c r="GR18" s="342">
        <f t="shared" si="25"/>
        <v>45573</v>
      </c>
      <c r="GS18" s="346">
        <f t="shared" si="26"/>
        <v>45580</v>
      </c>
      <c r="GT18" s="393">
        <f t="shared" si="27"/>
        <v>45587</v>
      </c>
      <c r="GU18" s="330">
        <f t="shared" si="28"/>
        <v>45594</v>
      </c>
      <c r="GV18" s="340">
        <f t="shared" si="29"/>
        <v>45601</v>
      </c>
      <c r="GW18" s="326">
        <f t="shared" si="30"/>
        <v>45608</v>
      </c>
      <c r="GX18" s="325">
        <f t="shared" si="31"/>
        <v>45615</v>
      </c>
      <c r="GY18" s="393">
        <f t="shared" si="32"/>
        <v>45622</v>
      </c>
      <c r="GZ18" s="332">
        <f t="shared" si="33"/>
        <v>45629</v>
      </c>
      <c r="HA18" s="326">
        <f t="shared" si="33"/>
        <v>45636</v>
      </c>
      <c r="HB18" s="325">
        <f t="shared" si="34"/>
        <v>45643</v>
      </c>
      <c r="HC18" s="332">
        <f t="shared" si="35"/>
        <v>45650</v>
      </c>
      <c r="HD18" s="332">
        <f t="shared" si="36"/>
        <v>45657</v>
      </c>
      <c r="HE18" s="332">
        <f t="shared" si="37"/>
        <v>45664</v>
      </c>
      <c r="HF18" s="324">
        <f t="shared" si="38"/>
        <v>45671</v>
      </c>
      <c r="HG18" s="347">
        <f t="shared" si="39"/>
        <v>45678</v>
      </c>
      <c r="HH18" s="348">
        <f t="shared" si="40"/>
        <v>45685</v>
      </c>
      <c r="HI18" s="332">
        <f t="shared" si="41"/>
        <v>45692</v>
      </c>
      <c r="HJ18" s="324">
        <f t="shared" si="42"/>
        <v>45699</v>
      </c>
      <c r="HK18" s="372">
        <f t="shared" ref="HK18:HN18" si="60">HK17+2</f>
        <v>45342</v>
      </c>
      <c r="HL18" s="373">
        <f t="shared" si="60"/>
        <v>45349</v>
      </c>
      <c r="HM18" s="373">
        <f t="shared" si="60"/>
        <v>45722</v>
      </c>
      <c r="HN18" s="374">
        <f t="shared" si="60"/>
        <v>45364</v>
      </c>
      <c r="HO18" s="372">
        <v>45371</v>
      </c>
      <c r="HP18" s="373">
        <v>45378</v>
      </c>
      <c r="HQ18" s="373">
        <v>45385</v>
      </c>
      <c r="HR18" s="374">
        <v>45392</v>
      </c>
      <c r="HS18" s="372">
        <v>45399</v>
      </c>
      <c r="HT18" s="373">
        <v>45406</v>
      </c>
      <c r="HU18" s="373">
        <v>45413</v>
      </c>
      <c r="HV18" s="374">
        <v>45420</v>
      </c>
      <c r="HW18" s="375">
        <v>45427</v>
      </c>
      <c r="HX18" s="373">
        <v>45434</v>
      </c>
      <c r="HY18" s="373">
        <v>45441</v>
      </c>
      <c r="HZ18" s="376">
        <v>45448</v>
      </c>
      <c r="IA18" s="374">
        <v>45820</v>
      </c>
      <c r="IB18" s="372">
        <v>45827</v>
      </c>
      <c r="IC18" s="373">
        <v>45834</v>
      </c>
      <c r="ID18" s="376">
        <v>45841</v>
      </c>
      <c r="IE18" s="374">
        <v>45848</v>
      </c>
      <c r="IF18" s="377">
        <v>45855</v>
      </c>
      <c r="IG18" s="373">
        <v>45862</v>
      </c>
      <c r="IH18" s="376">
        <v>45869</v>
      </c>
      <c r="II18" s="373">
        <v>45876</v>
      </c>
      <c r="IJ18" s="376">
        <v>45883</v>
      </c>
      <c r="IK18" s="375">
        <v>45890</v>
      </c>
      <c r="IL18" s="378">
        <v>45897</v>
      </c>
      <c r="IM18" s="379">
        <v>45904</v>
      </c>
      <c r="IN18" s="380">
        <v>45911</v>
      </c>
      <c r="IO18" s="381">
        <v>45918</v>
      </c>
      <c r="IP18" s="378">
        <v>45925</v>
      </c>
      <c r="IQ18" s="379">
        <v>45932</v>
      </c>
      <c r="IR18" s="380">
        <v>45939</v>
      </c>
      <c r="IS18" s="381">
        <v>45951</v>
      </c>
      <c r="IT18" s="378">
        <v>45958</v>
      </c>
      <c r="IU18" s="379">
        <v>45965</v>
      </c>
      <c r="IV18" s="379">
        <v>45972</v>
      </c>
      <c r="IW18" s="381">
        <v>45979</v>
      </c>
      <c r="IX18" s="377">
        <v>45986</v>
      </c>
      <c r="IY18" s="373">
        <v>45993</v>
      </c>
      <c r="IZ18" s="376">
        <v>46000</v>
      </c>
      <c r="JA18" s="374">
        <v>46007</v>
      </c>
      <c r="JB18" s="372">
        <v>46014</v>
      </c>
      <c r="JC18" s="373">
        <v>46021</v>
      </c>
      <c r="JD18" s="376">
        <v>45663</v>
      </c>
      <c r="JE18" s="374">
        <v>45670</v>
      </c>
      <c r="JF18" s="372">
        <v>45677</v>
      </c>
      <c r="JG18" s="373">
        <v>45684</v>
      </c>
      <c r="JH18" s="376">
        <v>45691</v>
      </c>
      <c r="JI18" s="374">
        <v>45698</v>
      </c>
      <c r="JJ18" s="382">
        <v>45705</v>
      </c>
      <c r="JK18" s="373">
        <v>45712</v>
      </c>
      <c r="JL18" s="379">
        <v>45719</v>
      </c>
      <c r="JM18" s="374">
        <v>45726</v>
      </c>
      <c r="JN18" s="372">
        <v>45733</v>
      </c>
      <c r="JO18" s="373">
        <v>45740</v>
      </c>
      <c r="JP18" s="379">
        <v>45747</v>
      </c>
      <c r="JQ18" s="382">
        <v>45754</v>
      </c>
      <c r="JR18" s="374">
        <v>45761</v>
      </c>
      <c r="JS18" s="379">
        <v>45768</v>
      </c>
      <c r="JT18" s="373">
        <v>45775</v>
      </c>
      <c r="JU18" s="379">
        <v>45782</v>
      </c>
      <c r="JV18" s="374">
        <v>45789</v>
      </c>
      <c r="JW18" s="379">
        <v>45796</v>
      </c>
      <c r="JX18" s="373">
        <v>45803</v>
      </c>
      <c r="JY18" s="379">
        <v>45810</v>
      </c>
      <c r="JZ18" s="374">
        <v>45817</v>
      </c>
      <c r="KA18" s="379">
        <v>46189</v>
      </c>
      <c r="KB18" s="373">
        <v>46196</v>
      </c>
      <c r="KC18" s="379">
        <v>46203</v>
      </c>
      <c r="KD18" s="376">
        <v>46210</v>
      </c>
      <c r="KE18" s="374">
        <v>46217</v>
      </c>
      <c r="KF18" s="630">
        <v>46224</v>
      </c>
      <c r="KG18" s="373">
        <v>46231</v>
      </c>
      <c r="KH18" s="379">
        <v>46238</v>
      </c>
      <c r="KI18" s="374">
        <v>46245</v>
      </c>
      <c r="KJ18" s="633">
        <v>46252</v>
      </c>
      <c r="KK18" s="373">
        <v>46259</v>
      </c>
      <c r="KL18" s="379">
        <v>46266</v>
      </c>
      <c r="KM18" s="379">
        <v>46273</v>
      </c>
      <c r="KN18" s="374">
        <v>46280</v>
      </c>
    </row>
    <row r="19" spans="1:300" s="249" customFormat="1" ht="21" customHeight="1" thickBot="1">
      <c r="A19" s="397" t="s">
        <v>28</v>
      </c>
      <c r="B19" s="397" t="s">
        <v>9</v>
      </c>
      <c r="C19" s="398" t="s">
        <v>10</v>
      </c>
      <c r="D19" s="399" t="s">
        <v>11</v>
      </c>
      <c r="E19" s="400"/>
      <c r="F19" s="400" t="s">
        <v>26</v>
      </c>
      <c r="G19" s="401"/>
      <c r="H19" s="402" t="s">
        <v>63</v>
      </c>
      <c r="I19" s="403" t="s">
        <v>67</v>
      </c>
      <c r="J19" s="403" t="s">
        <v>72</v>
      </c>
      <c r="K19" s="403" t="s">
        <v>77</v>
      </c>
      <c r="L19" s="403" t="s">
        <v>82</v>
      </c>
      <c r="M19" s="404" t="s">
        <v>85</v>
      </c>
      <c r="N19" s="403" t="s">
        <v>96</v>
      </c>
      <c r="O19" s="405" t="s">
        <v>99</v>
      </c>
      <c r="P19" s="406" t="s">
        <v>101</v>
      </c>
      <c r="Q19" s="403" t="s">
        <v>104</v>
      </c>
      <c r="R19" s="407" t="s">
        <v>105</v>
      </c>
      <c r="S19" s="408" t="s">
        <v>106</v>
      </c>
      <c r="T19" s="409" t="s">
        <v>63</v>
      </c>
      <c r="U19" s="409" t="s">
        <v>67</v>
      </c>
      <c r="V19" s="409" t="s">
        <v>72</v>
      </c>
      <c r="W19" s="409" t="s">
        <v>77</v>
      </c>
      <c r="X19" s="409" t="s">
        <v>123</v>
      </c>
      <c r="Y19" s="409" t="s">
        <v>85</v>
      </c>
      <c r="Z19" s="409" t="s">
        <v>97</v>
      </c>
      <c r="AA19" s="409" t="s">
        <v>99</v>
      </c>
      <c r="AB19" s="409" t="s">
        <v>101</v>
      </c>
      <c r="AC19" s="409" t="s">
        <v>104</v>
      </c>
      <c r="AD19" s="409" t="s">
        <v>121</v>
      </c>
      <c r="AE19" s="409" t="s">
        <v>106</v>
      </c>
      <c r="AF19" s="409" t="s">
        <v>63</v>
      </c>
      <c r="AG19" s="408" t="s">
        <v>136</v>
      </c>
      <c r="AH19" s="409" t="s">
        <v>135</v>
      </c>
      <c r="AI19" s="410" t="s">
        <v>77</v>
      </c>
      <c r="AJ19" s="411" t="s">
        <v>123</v>
      </c>
      <c r="AK19" s="408" t="s">
        <v>85</v>
      </c>
      <c r="AL19" s="408" t="s">
        <v>97</v>
      </c>
      <c r="AM19" s="412" t="s">
        <v>99</v>
      </c>
      <c r="AN19" s="412" t="s">
        <v>101</v>
      </c>
      <c r="AO19" s="412" t="s">
        <v>104</v>
      </c>
      <c r="AP19" s="412" t="s">
        <v>121</v>
      </c>
      <c r="AQ19" s="413" t="s">
        <v>106</v>
      </c>
      <c r="AR19" s="413" t="s">
        <v>63</v>
      </c>
      <c r="AS19" s="413" t="s">
        <v>67</v>
      </c>
      <c r="AT19" s="413" t="s">
        <v>72</v>
      </c>
      <c r="AU19" s="413" t="s">
        <v>77</v>
      </c>
      <c r="AV19" s="413" t="s">
        <v>82</v>
      </c>
      <c r="AW19" s="413" t="s">
        <v>85</v>
      </c>
      <c r="AX19" s="413" t="s">
        <v>97</v>
      </c>
      <c r="AY19" s="413" t="s">
        <v>99</v>
      </c>
      <c r="AZ19" s="413" t="s">
        <v>101</v>
      </c>
      <c r="BA19" s="413" t="s">
        <v>104</v>
      </c>
      <c r="BB19" s="413" t="s">
        <v>121</v>
      </c>
      <c r="BC19" s="413" t="s">
        <v>106</v>
      </c>
      <c r="BD19" s="413" t="s">
        <v>63</v>
      </c>
      <c r="BE19" s="409" t="s">
        <v>67</v>
      </c>
      <c r="BF19" s="610" t="s">
        <v>72</v>
      </c>
      <c r="BG19" s="610" t="s">
        <v>77</v>
      </c>
      <c r="BH19" s="610" t="s">
        <v>82</v>
      </c>
      <c r="BI19" s="610" t="s">
        <v>85</v>
      </c>
      <c r="BJ19" s="605" t="s">
        <v>97</v>
      </c>
      <c r="BK19" s="407" t="s">
        <v>64</v>
      </c>
      <c r="BL19" s="407" t="s">
        <v>65</v>
      </c>
      <c r="BM19" s="407" t="s">
        <v>66</v>
      </c>
      <c r="BN19" s="410" t="s">
        <v>21</v>
      </c>
      <c r="BO19" s="411" t="s">
        <v>64</v>
      </c>
      <c r="BP19" s="407" t="s">
        <v>65</v>
      </c>
      <c r="BQ19" s="407" t="s">
        <v>66</v>
      </c>
      <c r="BR19" s="414" t="s">
        <v>71</v>
      </c>
      <c r="BS19" s="407" t="s">
        <v>64</v>
      </c>
      <c r="BT19" s="407" t="s">
        <v>65</v>
      </c>
      <c r="BU19" s="407" t="s">
        <v>66</v>
      </c>
      <c r="BV19" s="415" t="s">
        <v>71</v>
      </c>
      <c r="BW19" s="416" t="s">
        <v>64</v>
      </c>
      <c r="BX19" s="407" t="s">
        <v>65</v>
      </c>
      <c r="BY19" s="407" t="s">
        <v>20</v>
      </c>
      <c r="BZ19" s="407" t="s">
        <v>21</v>
      </c>
      <c r="CA19" s="415" t="s">
        <v>50</v>
      </c>
      <c r="CB19" s="411" t="s">
        <v>83</v>
      </c>
      <c r="CC19" s="407" t="s">
        <v>84</v>
      </c>
      <c r="CD19" s="407" t="s">
        <v>20</v>
      </c>
      <c r="CE19" s="414" t="s">
        <v>21</v>
      </c>
      <c r="CF19" s="411" t="s">
        <v>83</v>
      </c>
      <c r="CG19" s="407" t="s">
        <v>84</v>
      </c>
      <c r="CH19" s="417" t="s">
        <v>20</v>
      </c>
      <c r="CI19" s="407" t="s">
        <v>21</v>
      </c>
      <c r="CJ19" s="414" t="s">
        <v>50</v>
      </c>
      <c r="CK19" s="411" t="s">
        <v>83</v>
      </c>
      <c r="CL19" s="407" t="s">
        <v>84</v>
      </c>
      <c r="CM19" s="407" t="s">
        <v>20</v>
      </c>
      <c r="CN19" s="414" t="s">
        <v>21</v>
      </c>
      <c r="CO19" s="411" t="s">
        <v>83</v>
      </c>
      <c r="CP19" s="407" t="s">
        <v>84</v>
      </c>
      <c r="CQ19" s="407" t="s">
        <v>20</v>
      </c>
      <c r="CR19" s="415" t="s">
        <v>21</v>
      </c>
      <c r="CS19" s="411" t="s">
        <v>83</v>
      </c>
      <c r="CT19" s="407" t="s">
        <v>84</v>
      </c>
      <c r="CU19" s="407" t="s">
        <v>20</v>
      </c>
      <c r="CV19" s="415" t="s">
        <v>21</v>
      </c>
      <c r="CW19" s="410" t="s">
        <v>102</v>
      </c>
      <c r="CX19" s="411" t="s">
        <v>83</v>
      </c>
      <c r="CY19" s="407" t="s">
        <v>84</v>
      </c>
      <c r="CZ19" s="407" t="s">
        <v>20</v>
      </c>
      <c r="DA19" s="414" t="s">
        <v>21</v>
      </c>
      <c r="DB19" s="411" t="s">
        <v>83</v>
      </c>
      <c r="DC19" s="407" t="s">
        <v>84</v>
      </c>
      <c r="DD19" s="407" t="s">
        <v>20</v>
      </c>
      <c r="DE19" s="417" t="s">
        <v>21</v>
      </c>
      <c r="DF19" s="410" t="s">
        <v>102</v>
      </c>
      <c r="DG19" s="416" t="s">
        <v>83</v>
      </c>
      <c r="DH19" s="418" t="s">
        <v>84</v>
      </c>
      <c r="DI19" s="407" t="s">
        <v>20</v>
      </c>
      <c r="DJ19" s="414" t="s">
        <v>21</v>
      </c>
      <c r="DK19" s="407" t="s">
        <v>83</v>
      </c>
      <c r="DL19" s="418" t="s">
        <v>84</v>
      </c>
      <c r="DM19" s="407" t="s">
        <v>20</v>
      </c>
      <c r="DN19" s="414" t="s">
        <v>21</v>
      </c>
      <c r="DO19" s="407" t="s">
        <v>83</v>
      </c>
      <c r="DP19" s="418" t="s">
        <v>84</v>
      </c>
      <c r="DQ19" s="407" t="s">
        <v>20</v>
      </c>
      <c r="DR19" s="414" t="s">
        <v>21</v>
      </c>
      <c r="DS19" s="407" t="s">
        <v>83</v>
      </c>
      <c r="DT19" s="418" t="s">
        <v>84</v>
      </c>
      <c r="DU19" s="407" t="s">
        <v>20</v>
      </c>
      <c r="DV19" s="417" t="s">
        <v>21</v>
      </c>
      <c r="DW19" s="414" t="s">
        <v>21</v>
      </c>
      <c r="DX19" s="407" t="s">
        <v>83</v>
      </c>
      <c r="DY19" s="418" t="s">
        <v>84</v>
      </c>
      <c r="DZ19" s="407" t="s">
        <v>20</v>
      </c>
      <c r="EA19" s="414" t="s">
        <v>21</v>
      </c>
      <c r="EB19" s="407" t="s">
        <v>83</v>
      </c>
      <c r="EC19" s="418" t="s">
        <v>84</v>
      </c>
      <c r="ED19" s="407" t="s">
        <v>20</v>
      </c>
      <c r="EE19" s="414" t="s">
        <v>21</v>
      </c>
      <c r="EF19" s="407" t="s">
        <v>83</v>
      </c>
      <c r="EG19" s="418" t="s">
        <v>84</v>
      </c>
      <c r="EH19" s="417" t="s">
        <v>20</v>
      </c>
      <c r="EI19" s="415" t="s">
        <v>21</v>
      </c>
      <c r="EJ19" s="410" t="s">
        <v>102</v>
      </c>
      <c r="EK19" s="407" t="s">
        <v>83</v>
      </c>
      <c r="EL19" s="418" t="s">
        <v>84</v>
      </c>
      <c r="EM19" s="407" t="s">
        <v>20</v>
      </c>
      <c r="EN19" s="414" t="s">
        <v>21</v>
      </c>
      <c r="EO19" s="407" t="s">
        <v>83</v>
      </c>
      <c r="EP19" s="418" t="s">
        <v>84</v>
      </c>
      <c r="EQ19" s="407" t="s">
        <v>20</v>
      </c>
      <c r="ER19" s="415" t="s">
        <v>21</v>
      </c>
      <c r="ES19" s="410" t="s">
        <v>102</v>
      </c>
      <c r="ET19" s="407" t="s">
        <v>83</v>
      </c>
      <c r="EU19" s="418" t="s">
        <v>84</v>
      </c>
      <c r="EV19" s="407" t="s">
        <v>20</v>
      </c>
      <c r="EW19" s="414" t="s">
        <v>21</v>
      </c>
      <c r="EX19" s="407" t="s">
        <v>83</v>
      </c>
      <c r="EY19" s="418" t="s">
        <v>84</v>
      </c>
      <c r="EZ19" s="407" t="s">
        <v>20</v>
      </c>
      <c r="FA19" s="414" t="s">
        <v>21</v>
      </c>
      <c r="FB19" s="407" t="s">
        <v>83</v>
      </c>
      <c r="FC19" s="418" t="s">
        <v>84</v>
      </c>
      <c r="FD19" s="407" t="s">
        <v>20</v>
      </c>
      <c r="FE19" s="408" t="s">
        <v>21</v>
      </c>
      <c r="FF19" s="410" t="s">
        <v>102</v>
      </c>
      <c r="FG19" s="407" t="s">
        <v>64</v>
      </c>
      <c r="FH19" s="418" t="s">
        <v>65</v>
      </c>
      <c r="FI19" s="407" t="s">
        <v>20</v>
      </c>
      <c r="FJ19" s="419" t="s">
        <v>21</v>
      </c>
      <c r="FK19" s="411" t="s">
        <v>64</v>
      </c>
      <c r="FL19" s="418" t="s">
        <v>65</v>
      </c>
      <c r="FM19" s="407" t="s">
        <v>66</v>
      </c>
      <c r="FN19" s="414" t="s">
        <v>71</v>
      </c>
      <c r="FO19" s="407" t="s">
        <v>83</v>
      </c>
      <c r="FP19" s="418" t="s">
        <v>84</v>
      </c>
      <c r="FQ19" s="407" t="s">
        <v>20</v>
      </c>
      <c r="FR19" s="414" t="s">
        <v>21</v>
      </c>
      <c r="FS19" s="407" t="s">
        <v>64</v>
      </c>
      <c r="FT19" s="420" t="s">
        <v>65</v>
      </c>
      <c r="FU19" s="407" t="s">
        <v>66</v>
      </c>
      <c r="FV19" s="407" t="s">
        <v>71</v>
      </c>
      <c r="FW19" s="410" t="s">
        <v>102</v>
      </c>
      <c r="FX19" s="407" t="s">
        <v>64</v>
      </c>
      <c r="FY19" s="418" t="s">
        <v>65</v>
      </c>
      <c r="FZ19" s="407" t="s">
        <v>66</v>
      </c>
      <c r="GA19" s="414" t="s">
        <v>71</v>
      </c>
      <c r="GB19" s="407" t="s">
        <v>83</v>
      </c>
      <c r="GC19" s="418" t="s">
        <v>84</v>
      </c>
      <c r="GD19" s="407" t="s">
        <v>20</v>
      </c>
      <c r="GE19" s="414" t="s">
        <v>21</v>
      </c>
      <c r="GF19" s="407" t="s">
        <v>83</v>
      </c>
      <c r="GG19" s="418" t="s">
        <v>84</v>
      </c>
      <c r="GH19" s="407" t="s">
        <v>20</v>
      </c>
      <c r="GI19" s="421" t="s">
        <v>21</v>
      </c>
      <c r="GJ19" s="415" t="s">
        <v>50</v>
      </c>
      <c r="GK19" s="411" t="s">
        <v>83</v>
      </c>
      <c r="GL19" s="418" t="s">
        <v>84</v>
      </c>
      <c r="GM19" s="407" t="s">
        <v>20</v>
      </c>
      <c r="GN19" s="422" t="s">
        <v>21</v>
      </c>
      <c r="GO19" s="423" t="s">
        <v>83</v>
      </c>
      <c r="GP19" s="424" t="s">
        <v>84</v>
      </c>
      <c r="GQ19" s="424" t="s">
        <v>20</v>
      </c>
      <c r="GR19" s="425" t="s">
        <v>21</v>
      </c>
      <c r="GS19" s="426" t="s">
        <v>102</v>
      </c>
      <c r="GT19" s="418" t="s">
        <v>64</v>
      </c>
      <c r="GU19" s="407" t="s">
        <v>65</v>
      </c>
      <c r="GV19" s="421" t="s">
        <v>66</v>
      </c>
      <c r="GW19" s="414" t="s">
        <v>71</v>
      </c>
      <c r="GX19" s="411" t="s">
        <v>83</v>
      </c>
      <c r="GY19" s="418" t="s">
        <v>84</v>
      </c>
      <c r="GZ19" s="408" t="s">
        <v>20</v>
      </c>
      <c r="HA19" s="414" t="s">
        <v>21</v>
      </c>
      <c r="HB19" s="411" t="s">
        <v>83</v>
      </c>
      <c r="HC19" s="408" t="s">
        <v>84</v>
      </c>
      <c r="HD19" s="408" t="s">
        <v>20</v>
      </c>
      <c r="HE19" s="408" t="s">
        <v>21</v>
      </c>
      <c r="HF19" s="410" t="s">
        <v>102</v>
      </c>
      <c r="HG19" s="427" t="s">
        <v>64</v>
      </c>
      <c r="HH19" s="428" t="s">
        <v>65</v>
      </c>
      <c r="HI19" s="408" t="s">
        <v>66</v>
      </c>
      <c r="HJ19" s="410" t="s">
        <v>71</v>
      </c>
      <c r="HK19" s="402" t="s">
        <v>83</v>
      </c>
      <c r="HL19" s="403" t="s">
        <v>84</v>
      </c>
      <c r="HM19" s="403" t="s">
        <v>20</v>
      </c>
      <c r="HN19" s="429" t="s">
        <v>21</v>
      </c>
      <c r="HO19" s="402" t="s">
        <v>83</v>
      </c>
      <c r="HP19" s="403" t="s">
        <v>84</v>
      </c>
      <c r="HQ19" s="403" t="s">
        <v>20</v>
      </c>
      <c r="HR19" s="429" t="s">
        <v>21</v>
      </c>
      <c r="HS19" s="402" t="s">
        <v>83</v>
      </c>
      <c r="HT19" s="403" t="s">
        <v>84</v>
      </c>
      <c r="HU19" s="403" t="s">
        <v>20</v>
      </c>
      <c r="HV19" s="429" t="s">
        <v>21</v>
      </c>
      <c r="HW19" s="430" t="s">
        <v>83</v>
      </c>
      <c r="HX19" s="403" t="s">
        <v>84</v>
      </c>
      <c r="HY19" s="403" t="s">
        <v>20</v>
      </c>
      <c r="HZ19" s="406" t="s">
        <v>21</v>
      </c>
      <c r="IA19" s="429" t="s">
        <v>102</v>
      </c>
      <c r="IB19" s="402" t="s">
        <v>83</v>
      </c>
      <c r="IC19" s="403" t="s">
        <v>84</v>
      </c>
      <c r="ID19" s="403" t="s">
        <v>20</v>
      </c>
      <c r="IE19" s="429" t="s">
        <v>21</v>
      </c>
      <c r="IF19" s="431" t="s">
        <v>64</v>
      </c>
      <c r="IG19" s="431" t="s">
        <v>84</v>
      </c>
      <c r="IH19" s="431" t="s">
        <v>20</v>
      </c>
      <c r="II19" s="431" t="s">
        <v>21</v>
      </c>
      <c r="IJ19" s="432" t="s">
        <v>50</v>
      </c>
      <c r="IK19" s="430" t="s">
        <v>64</v>
      </c>
      <c r="IL19" s="433" t="s">
        <v>84</v>
      </c>
      <c r="IM19" s="434" t="s">
        <v>20</v>
      </c>
      <c r="IN19" s="435" t="s">
        <v>21</v>
      </c>
      <c r="IO19" s="436" t="s">
        <v>64</v>
      </c>
      <c r="IP19" s="433" t="s">
        <v>84</v>
      </c>
      <c r="IQ19" s="434" t="s">
        <v>20</v>
      </c>
      <c r="IR19" s="435" t="s">
        <v>21</v>
      </c>
      <c r="IS19" s="436" t="s">
        <v>64</v>
      </c>
      <c r="IT19" s="433" t="s">
        <v>84</v>
      </c>
      <c r="IU19" s="434" t="s">
        <v>20</v>
      </c>
      <c r="IV19" s="434" t="s">
        <v>21</v>
      </c>
      <c r="IW19" s="436" t="s">
        <v>83</v>
      </c>
      <c r="IX19" s="437" t="s">
        <v>84</v>
      </c>
      <c r="IY19" s="433" t="s">
        <v>20</v>
      </c>
      <c r="IZ19" s="434" t="s">
        <v>71</v>
      </c>
      <c r="JA19" s="435" t="s">
        <v>83</v>
      </c>
      <c r="JB19" s="436" t="s">
        <v>84</v>
      </c>
      <c r="JC19" s="433" t="s">
        <v>20</v>
      </c>
      <c r="JD19" s="434" t="s">
        <v>21</v>
      </c>
      <c r="JE19" s="435" t="s">
        <v>102</v>
      </c>
      <c r="JF19" s="436" t="s">
        <v>64</v>
      </c>
      <c r="JG19" s="433" t="s">
        <v>84</v>
      </c>
      <c r="JH19" s="434" t="s">
        <v>66</v>
      </c>
      <c r="JI19" s="435" t="s">
        <v>21</v>
      </c>
      <c r="JJ19" s="438" t="s">
        <v>64</v>
      </c>
      <c r="JK19" s="433" t="s">
        <v>84</v>
      </c>
      <c r="JL19" s="434" t="s">
        <v>66</v>
      </c>
      <c r="JM19" s="435" t="s">
        <v>21</v>
      </c>
      <c r="JN19" s="436" t="s">
        <v>64</v>
      </c>
      <c r="JO19" s="433" t="s">
        <v>84</v>
      </c>
      <c r="JP19" s="434" t="s">
        <v>66</v>
      </c>
      <c r="JQ19" s="438" t="s">
        <v>21</v>
      </c>
      <c r="JR19" s="602" t="s">
        <v>102</v>
      </c>
      <c r="JS19" s="434" t="s">
        <v>64</v>
      </c>
      <c r="JT19" s="433" t="s">
        <v>84</v>
      </c>
      <c r="JU19" s="434" t="s">
        <v>66</v>
      </c>
      <c r="JV19" s="435" t="s">
        <v>21</v>
      </c>
      <c r="JW19" s="434" t="s">
        <v>64</v>
      </c>
      <c r="JX19" s="433" t="s">
        <v>84</v>
      </c>
      <c r="JY19" s="434" t="s">
        <v>66</v>
      </c>
      <c r="JZ19" s="435" t="s">
        <v>21</v>
      </c>
      <c r="KA19" s="434" t="s">
        <v>64</v>
      </c>
      <c r="KB19" s="433" t="s">
        <v>84</v>
      </c>
      <c r="KC19" s="434" t="s">
        <v>66</v>
      </c>
      <c r="KD19" s="434" t="s">
        <v>21</v>
      </c>
      <c r="KE19" s="625" t="s">
        <v>210</v>
      </c>
      <c r="KF19" s="631" t="s">
        <v>64</v>
      </c>
      <c r="KG19" s="433" t="s">
        <v>84</v>
      </c>
      <c r="KH19" s="434" t="s">
        <v>66</v>
      </c>
      <c r="KI19" s="435" t="s">
        <v>21</v>
      </c>
      <c r="KJ19" s="634" t="s">
        <v>64</v>
      </c>
      <c r="KK19" s="433" t="s">
        <v>84</v>
      </c>
      <c r="KL19" s="434" t="s">
        <v>66</v>
      </c>
      <c r="KM19" s="433" t="s">
        <v>21</v>
      </c>
      <c r="KN19" s="435" t="s">
        <v>50</v>
      </c>
    </row>
    <row r="20" spans="1:300" ht="36.75" customHeight="1">
      <c r="A20" s="660" t="s">
        <v>48</v>
      </c>
      <c r="B20" s="662" t="s">
        <v>49</v>
      </c>
      <c r="C20" s="667">
        <v>1</v>
      </c>
      <c r="D20" s="595" t="s">
        <v>151</v>
      </c>
      <c r="E20" s="439" t="s">
        <v>32</v>
      </c>
      <c r="F20" s="598" t="s">
        <v>153</v>
      </c>
      <c r="G20" s="440" t="s">
        <v>17</v>
      </c>
      <c r="H20" s="482">
        <v>930</v>
      </c>
      <c r="I20" s="441">
        <v>540</v>
      </c>
      <c r="J20" s="441">
        <v>290</v>
      </c>
      <c r="K20" s="441">
        <v>610</v>
      </c>
      <c r="L20" s="441">
        <v>500</v>
      </c>
      <c r="M20" s="441">
        <v>800</v>
      </c>
      <c r="N20" s="441">
        <v>860</v>
      </c>
      <c r="O20" s="442">
        <v>780</v>
      </c>
      <c r="P20" s="442">
        <v>1460</v>
      </c>
      <c r="Q20" s="442">
        <v>620</v>
      </c>
      <c r="R20" s="441">
        <v>500</v>
      </c>
      <c r="S20" s="443">
        <v>560</v>
      </c>
      <c r="T20" s="444">
        <v>480</v>
      </c>
      <c r="U20" s="444">
        <v>940</v>
      </c>
      <c r="V20" s="444">
        <v>620</v>
      </c>
      <c r="W20" s="444">
        <v>630</v>
      </c>
      <c r="X20" s="444">
        <v>410</v>
      </c>
      <c r="Y20" s="444">
        <v>850</v>
      </c>
      <c r="Z20" s="444">
        <v>410</v>
      </c>
      <c r="AA20" s="444">
        <f>SUBTOTAL(9,EO20:ES20)</f>
        <v>470</v>
      </c>
      <c r="AB20" s="444">
        <f>SUBTOTAL(9,ET20:EW20)</f>
        <v>540</v>
      </c>
      <c r="AC20" s="483">
        <f>SUBTOTAL(9,EX20:FA20)</f>
        <v>430</v>
      </c>
      <c r="AD20" s="445">
        <f>SUBTOTAL(9,FB20:FF20)</f>
        <v>380</v>
      </c>
      <c r="AE20" s="445">
        <f>SUBTOTAL(9,FG20:FJ20)</f>
        <v>460</v>
      </c>
      <c r="AF20" s="445">
        <f>SUBTOTAL(9,FK20:FN20)</f>
        <v>390</v>
      </c>
      <c r="AG20" s="445">
        <f>SUBTOTAL(9,FO20:FR20)</f>
        <v>350</v>
      </c>
      <c r="AH20" s="445">
        <f>SUBTOTAL(9,FS20:FW20)</f>
        <v>500</v>
      </c>
      <c r="AI20" s="445">
        <f>SUBTOTAL(9,FX20:GA20)</f>
        <v>440</v>
      </c>
      <c r="AJ20" s="445">
        <f>SUBTOTAL(9,GB20:GE20)</f>
        <v>470</v>
      </c>
      <c r="AK20" s="445">
        <f>SUBTOTAL(9,GF20:GJ20)</f>
        <v>830</v>
      </c>
      <c r="AL20" s="446">
        <f>SUBTOTAL(9,GK20:GN20)</f>
        <v>360</v>
      </c>
      <c r="AM20" s="447">
        <f>SUBTOTAL(9,GO20:GS20)</f>
        <v>6</v>
      </c>
      <c r="AN20" s="448">
        <f>SUBTOTAL(9,GT20:GW20)</f>
        <v>0</v>
      </c>
      <c r="AO20" s="449">
        <f>SUM(GX20:HA20)</f>
        <v>0</v>
      </c>
      <c r="AP20" s="450">
        <f>SUM(HB20:HF20)</f>
        <v>0</v>
      </c>
      <c r="AQ20" s="450">
        <f>SUM(HG20:HJ20)</f>
        <v>0</v>
      </c>
      <c r="AR20" s="450">
        <f>SUM(HK20:HN20)</f>
        <v>0</v>
      </c>
      <c r="AS20" s="450">
        <f>SUM(HO20:HR20)</f>
        <v>0</v>
      </c>
      <c r="AT20" s="450">
        <f>SUM(HS20:HV20)</f>
        <v>0</v>
      </c>
      <c r="AU20" s="450">
        <f>SUM(HW20:IA20)</f>
        <v>0</v>
      </c>
      <c r="AV20" s="445">
        <f>SUM(IB20:IE20)</f>
        <v>0</v>
      </c>
      <c r="AW20" s="445">
        <f t="shared" ref="AW20" si="61">SUM(IF20:IJ20)</f>
        <v>0</v>
      </c>
      <c r="AX20" s="446">
        <f t="shared" ref="AX20" si="62">SUM(IK20:IN20)</f>
        <v>0</v>
      </c>
      <c r="AY20" s="446">
        <f t="shared" ref="AY20" si="63">SUM(IO20:IR20)</f>
        <v>144</v>
      </c>
      <c r="AZ20" s="446">
        <f>SUM(IS20:IV20)</f>
        <v>90</v>
      </c>
      <c r="BA20" s="446">
        <f>SUM(IW20:JA20)</f>
        <v>66</v>
      </c>
      <c r="BB20" s="446">
        <f>SUM(JB20:JE20)</f>
        <v>6</v>
      </c>
      <c r="BC20" s="446">
        <f>SUM(JF20:JI20)</f>
        <v>18</v>
      </c>
      <c r="BD20" s="446">
        <f>SUM(JJ20:JM20)</f>
        <v>42</v>
      </c>
      <c r="BE20" s="446">
        <f>SUM(JN20:JR20)</f>
        <v>54</v>
      </c>
      <c r="BF20" s="446">
        <f>SUM(JS20:JV20)</f>
        <v>42</v>
      </c>
      <c r="BG20" s="446">
        <f>SUM(JW20:JZ20)</f>
        <v>42</v>
      </c>
      <c r="BH20" s="446">
        <f>SUM(KA20:KE20)</f>
        <v>36</v>
      </c>
      <c r="BI20" s="446">
        <f>SUM(KF20:KI20)</f>
        <v>36</v>
      </c>
      <c r="BJ20" s="446">
        <f>SUM(KJ20:KN20)</f>
        <v>42</v>
      </c>
      <c r="BK20" s="469">
        <v>680</v>
      </c>
      <c r="BL20" s="471">
        <v>230</v>
      </c>
      <c r="BM20" s="471">
        <v>230</v>
      </c>
      <c r="BN20" s="471">
        <v>230</v>
      </c>
      <c r="BO20" s="471">
        <v>140</v>
      </c>
      <c r="BP20" s="471">
        <v>140</v>
      </c>
      <c r="BQ20" s="471">
        <v>130</v>
      </c>
      <c r="BR20" s="471">
        <v>130</v>
      </c>
      <c r="BS20" s="471">
        <v>80</v>
      </c>
      <c r="BT20" s="471">
        <v>70</v>
      </c>
      <c r="BU20" s="471">
        <v>70</v>
      </c>
      <c r="BV20" s="471">
        <v>70</v>
      </c>
      <c r="BW20" s="501">
        <v>0</v>
      </c>
      <c r="BX20" s="471">
        <v>160</v>
      </c>
      <c r="BY20" s="471">
        <v>150</v>
      </c>
      <c r="BZ20" s="471">
        <v>150</v>
      </c>
      <c r="CA20" s="471">
        <v>150</v>
      </c>
      <c r="CB20" s="471">
        <v>120</v>
      </c>
      <c r="CC20" s="471">
        <v>120</v>
      </c>
      <c r="CD20" s="471">
        <v>130</v>
      </c>
      <c r="CE20" s="471">
        <v>130</v>
      </c>
      <c r="CF20" s="471">
        <v>200</v>
      </c>
      <c r="CG20" s="471">
        <v>200</v>
      </c>
      <c r="CH20" s="471">
        <v>0</v>
      </c>
      <c r="CI20" s="471">
        <v>200</v>
      </c>
      <c r="CJ20" s="471">
        <v>200</v>
      </c>
      <c r="CK20" s="471">
        <v>220</v>
      </c>
      <c r="CL20" s="471">
        <v>220</v>
      </c>
      <c r="CM20" s="471">
        <v>210</v>
      </c>
      <c r="CN20" s="471">
        <v>210</v>
      </c>
      <c r="CO20" s="471">
        <v>200</v>
      </c>
      <c r="CP20" s="471">
        <v>200</v>
      </c>
      <c r="CQ20" s="471">
        <v>190</v>
      </c>
      <c r="CR20" s="471">
        <v>190</v>
      </c>
      <c r="CS20" s="471">
        <v>300</v>
      </c>
      <c r="CT20" s="471">
        <v>290</v>
      </c>
      <c r="CU20" s="471">
        <v>290</v>
      </c>
      <c r="CV20" s="471">
        <v>290</v>
      </c>
      <c r="CW20" s="471">
        <v>290</v>
      </c>
      <c r="CX20" s="471">
        <v>150</v>
      </c>
      <c r="CY20" s="471">
        <v>150</v>
      </c>
      <c r="CZ20" s="471">
        <v>160</v>
      </c>
      <c r="DA20" s="471">
        <v>160</v>
      </c>
      <c r="DB20" s="471">
        <v>120</v>
      </c>
      <c r="DC20" s="471">
        <v>120</v>
      </c>
      <c r="DD20" s="471">
        <v>130</v>
      </c>
      <c r="DE20" s="471">
        <v>0</v>
      </c>
      <c r="DF20" s="471">
        <v>130</v>
      </c>
      <c r="DG20" s="471">
        <v>0</v>
      </c>
      <c r="DH20" s="471">
        <v>190</v>
      </c>
      <c r="DI20" s="471">
        <v>190</v>
      </c>
      <c r="DJ20" s="471">
        <v>180</v>
      </c>
      <c r="DK20" s="471">
        <v>120</v>
      </c>
      <c r="DL20" s="471">
        <v>120</v>
      </c>
      <c r="DM20" s="471">
        <v>120</v>
      </c>
      <c r="DN20" s="471">
        <v>120</v>
      </c>
      <c r="DO20" s="471">
        <v>230</v>
      </c>
      <c r="DP20" s="471">
        <v>240</v>
      </c>
      <c r="DQ20" s="471">
        <v>230</v>
      </c>
      <c r="DR20" s="471">
        <v>240</v>
      </c>
      <c r="DS20" s="471">
        <v>150</v>
      </c>
      <c r="DT20" s="471">
        <v>150</v>
      </c>
      <c r="DU20" s="471">
        <v>160</v>
      </c>
      <c r="DV20" s="471">
        <v>0</v>
      </c>
      <c r="DW20" s="471">
        <v>160</v>
      </c>
      <c r="DX20" s="471">
        <v>150</v>
      </c>
      <c r="DY20" s="471">
        <v>160</v>
      </c>
      <c r="DZ20" s="471">
        <v>160</v>
      </c>
      <c r="EA20" s="471">
        <v>160</v>
      </c>
      <c r="EB20" s="471">
        <v>100</v>
      </c>
      <c r="EC20" s="471">
        <v>100</v>
      </c>
      <c r="ED20" s="471">
        <v>100</v>
      </c>
      <c r="EE20" s="471">
        <v>110</v>
      </c>
      <c r="EF20" s="471">
        <v>210</v>
      </c>
      <c r="EG20" s="471">
        <v>210</v>
      </c>
      <c r="EH20" s="471">
        <v>0</v>
      </c>
      <c r="EI20" s="471">
        <v>210</v>
      </c>
      <c r="EJ20" s="471">
        <v>220</v>
      </c>
      <c r="EK20" s="471">
        <v>100</v>
      </c>
      <c r="EL20" s="471">
        <v>100</v>
      </c>
      <c r="EM20" s="471">
        <v>100</v>
      </c>
      <c r="EN20" s="471">
        <v>110</v>
      </c>
      <c r="EO20" s="471">
        <v>100</v>
      </c>
      <c r="EP20" s="471">
        <v>100</v>
      </c>
      <c r="EQ20" s="471">
        <v>90</v>
      </c>
      <c r="ER20" s="471">
        <v>90</v>
      </c>
      <c r="ES20" s="471">
        <v>90</v>
      </c>
      <c r="ET20" s="471">
        <v>140</v>
      </c>
      <c r="EU20" s="471">
        <v>140</v>
      </c>
      <c r="EV20" s="471">
        <v>130</v>
      </c>
      <c r="EW20" s="495">
        <v>130</v>
      </c>
      <c r="EX20" s="447">
        <v>110</v>
      </c>
      <c r="EY20" s="445">
        <v>110</v>
      </c>
      <c r="EZ20" s="445">
        <v>110</v>
      </c>
      <c r="FA20" s="502">
        <v>100</v>
      </c>
      <c r="FB20" s="447">
        <v>100</v>
      </c>
      <c r="FC20" s="445">
        <v>100</v>
      </c>
      <c r="FD20" s="445">
        <v>100</v>
      </c>
      <c r="FE20" s="445">
        <v>80</v>
      </c>
      <c r="FF20" s="502">
        <v>0</v>
      </c>
      <c r="FG20" s="448">
        <v>160</v>
      </c>
      <c r="FH20" s="445">
        <v>150</v>
      </c>
      <c r="FI20" s="445">
        <v>150</v>
      </c>
      <c r="FJ20" s="502">
        <v>0</v>
      </c>
      <c r="FK20" s="448">
        <v>100</v>
      </c>
      <c r="FL20" s="445">
        <v>100</v>
      </c>
      <c r="FM20" s="445">
        <v>90</v>
      </c>
      <c r="FN20" s="502">
        <v>100</v>
      </c>
      <c r="FO20" s="448">
        <v>80</v>
      </c>
      <c r="FP20" s="445">
        <v>110</v>
      </c>
      <c r="FQ20" s="445">
        <v>80</v>
      </c>
      <c r="FR20" s="502">
        <v>80</v>
      </c>
      <c r="FS20" s="448">
        <v>120</v>
      </c>
      <c r="FT20" s="445">
        <v>0</v>
      </c>
      <c r="FU20" s="445">
        <v>130</v>
      </c>
      <c r="FV20" s="445">
        <v>130</v>
      </c>
      <c r="FW20" s="502">
        <v>120</v>
      </c>
      <c r="FX20" s="448">
        <v>100</v>
      </c>
      <c r="FY20" s="445">
        <v>100</v>
      </c>
      <c r="FZ20" s="445">
        <v>100</v>
      </c>
      <c r="GA20" s="502">
        <v>140</v>
      </c>
      <c r="GB20" s="448">
        <v>100</v>
      </c>
      <c r="GC20" s="445">
        <v>120</v>
      </c>
      <c r="GD20" s="445">
        <v>120</v>
      </c>
      <c r="GE20" s="502">
        <v>130</v>
      </c>
      <c r="GF20" s="448">
        <v>210</v>
      </c>
      <c r="GG20" s="445">
        <v>210</v>
      </c>
      <c r="GH20" s="445">
        <v>206</v>
      </c>
      <c r="GI20" s="445">
        <v>0</v>
      </c>
      <c r="GJ20" s="503">
        <v>204</v>
      </c>
      <c r="GK20" s="447">
        <v>96</v>
      </c>
      <c r="GL20" s="445">
        <v>96</v>
      </c>
      <c r="GM20" s="445">
        <v>96</v>
      </c>
      <c r="GN20" s="504">
        <v>72</v>
      </c>
      <c r="GO20" s="505">
        <v>6</v>
      </c>
      <c r="GP20" s="506">
        <v>0</v>
      </c>
      <c r="GQ20" s="506">
        <v>0</v>
      </c>
      <c r="GR20" s="507">
        <v>0</v>
      </c>
      <c r="GS20" s="508">
        <v>0</v>
      </c>
      <c r="GT20" s="448">
        <v>0</v>
      </c>
      <c r="GU20" s="445">
        <v>0</v>
      </c>
      <c r="GV20" s="445">
        <v>0</v>
      </c>
      <c r="GW20" s="504">
        <v>0</v>
      </c>
      <c r="GX20" s="447"/>
      <c r="GY20" s="445"/>
      <c r="GZ20" s="445"/>
      <c r="HA20" s="504"/>
      <c r="HB20" s="447"/>
      <c r="HC20" s="445"/>
      <c r="HD20" s="445"/>
      <c r="HE20" s="445"/>
      <c r="HF20" s="502"/>
      <c r="HG20" s="447"/>
      <c r="HH20" s="450"/>
      <c r="HI20" s="445"/>
      <c r="HJ20" s="502"/>
      <c r="HK20" s="447"/>
      <c r="HL20" s="445"/>
      <c r="HM20" s="445"/>
      <c r="HN20" s="502"/>
      <c r="HO20" s="447"/>
      <c r="HP20" s="445"/>
      <c r="HQ20" s="445"/>
      <c r="HR20" s="502"/>
      <c r="HS20" s="447"/>
      <c r="HT20" s="445"/>
      <c r="HU20" s="445"/>
      <c r="HV20" s="502"/>
      <c r="HW20" s="451"/>
      <c r="HX20" s="445"/>
      <c r="HY20" s="445"/>
      <c r="HZ20" s="445"/>
      <c r="IA20" s="502"/>
      <c r="IB20" s="448"/>
      <c r="IC20" s="445"/>
      <c r="ID20" s="445"/>
      <c r="IE20" s="502"/>
      <c r="IF20" s="448"/>
      <c r="IG20" s="445"/>
      <c r="IH20" s="445"/>
      <c r="II20" s="445"/>
      <c r="IJ20" s="446"/>
      <c r="IK20" s="451"/>
      <c r="IL20" s="509">
        <v>0</v>
      </c>
      <c r="IM20" s="509">
        <v>0</v>
      </c>
      <c r="IN20" s="510">
        <v>0</v>
      </c>
      <c r="IO20" s="511">
        <v>42</v>
      </c>
      <c r="IP20" s="509">
        <v>42</v>
      </c>
      <c r="IQ20" s="509">
        <v>30</v>
      </c>
      <c r="IR20" s="510">
        <v>30</v>
      </c>
      <c r="IS20" s="511">
        <v>18</v>
      </c>
      <c r="IT20" s="509">
        <v>18</v>
      </c>
      <c r="IU20" s="509">
        <v>36</v>
      </c>
      <c r="IV20" s="512">
        <v>18</v>
      </c>
      <c r="IW20" s="511">
        <v>12</v>
      </c>
      <c r="IX20" s="448">
        <v>12</v>
      </c>
      <c r="IY20" s="448">
        <v>12</v>
      </c>
      <c r="IZ20" s="448">
        <v>12</v>
      </c>
      <c r="JA20" s="502">
        <v>18</v>
      </c>
      <c r="JB20" s="511">
        <v>6</v>
      </c>
      <c r="JC20" s="445">
        <v>0</v>
      </c>
      <c r="JD20" s="445">
        <v>0</v>
      </c>
      <c r="JE20" s="502">
        <v>0</v>
      </c>
      <c r="JF20" s="447">
        <v>18</v>
      </c>
      <c r="JG20" s="445">
        <v>0</v>
      </c>
      <c r="JH20" s="445">
        <v>0</v>
      </c>
      <c r="JI20" s="502">
        <v>0</v>
      </c>
      <c r="JJ20" s="451">
        <v>0</v>
      </c>
      <c r="JK20" s="445">
        <v>24</v>
      </c>
      <c r="JL20" s="445">
        <v>18</v>
      </c>
      <c r="JM20" s="502">
        <v>0</v>
      </c>
      <c r="JN20" s="447">
        <v>18</v>
      </c>
      <c r="JO20" s="445">
        <v>18</v>
      </c>
      <c r="JP20" s="445">
        <v>18</v>
      </c>
      <c r="JQ20" s="449">
        <v>0</v>
      </c>
      <c r="JR20" s="502">
        <v>0</v>
      </c>
      <c r="JS20" s="447">
        <v>18</v>
      </c>
      <c r="JT20" s="445">
        <v>12</v>
      </c>
      <c r="JU20" s="445">
        <v>12</v>
      </c>
      <c r="JV20" s="502">
        <v>0</v>
      </c>
      <c r="JW20" s="447">
        <v>24</v>
      </c>
      <c r="JX20" s="445">
        <v>18</v>
      </c>
      <c r="JY20" s="445">
        <v>0</v>
      </c>
      <c r="JZ20" s="502">
        <v>0</v>
      </c>
      <c r="KA20" s="447">
        <v>18</v>
      </c>
      <c r="KB20" s="445">
        <v>18</v>
      </c>
      <c r="KC20" s="445">
        <v>0</v>
      </c>
      <c r="KD20" s="446">
        <v>0</v>
      </c>
      <c r="KE20" s="502">
        <v>0</v>
      </c>
      <c r="KF20" s="447">
        <v>18</v>
      </c>
      <c r="KG20" s="445">
        <v>18</v>
      </c>
      <c r="KH20" s="445">
        <v>0</v>
      </c>
      <c r="KI20" s="502">
        <v>0</v>
      </c>
      <c r="KJ20" s="451">
        <v>0</v>
      </c>
      <c r="KK20" s="445">
        <v>24</v>
      </c>
      <c r="KL20" s="445">
        <v>18</v>
      </c>
      <c r="KM20" s="445">
        <v>0</v>
      </c>
      <c r="KN20" s="502">
        <v>0</v>
      </c>
    </row>
    <row r="21" spans="1:300" ht="36.75" customHeight="1" thickBot="1">
      <c r="A21" s="661"/>
      <c r="B21" s="663"/>
      <c r="C21" s="668"/>
      <c r="D21" s="596" t="s">
        <v>155</v>
      </c>
      <c r="E21" s="455"/>
      <c r="F21" s="599"/>
      <c r="G21" s="456" t="s">
        <v>18</v>
      </c>
      <c r="H21" s="463">
        <v>11864</v>
      </c>
      <c r="I21" s="461">
        <f t="shared" ref="I21:AB21" si="64">H21+I20</f>
        <v>12404</v>
      </c>
      <c r="J21" s="461">
        <f t="shared" si="64"/>
        <v>12694</v>
      </c>
      <c r="K21" s="461">
        <f t="shared" si="64"/>
        <v>13304</v>
      </c>
      <c r="L21" s="461">
        <f t="shared" si="64"/>
        <v>13804</v>
      </c>
      <c r="M21" s="460">
        <f t="shared" si="64"/>
        <v>14604</v>
      </c>
      <c r="N21" s="460">
        <f t="shared" si="64"/>
        <v>15464</v>
      </c>
      <c r="O21" s="473">
        <f t="shared" si="64"/>
        <v>16244</v>
      </c>
      <c r="P21" s="473">
        <f t="shared" si="64"/>
        <v>17704</v>
      </c>
      <c r="Q21" s="473">
        <f t="shared" si="64"/>
        <v>18324</v>
      </c>
      <c r="R21" s="473">
        <f t="shared" si="64"/>
        <v>18824</v>
      </c>
      <c r="S21" s="491">
        <f t="shared" si="64"/>
        <v>19384</v>
      </c>
      <c r="T21" s="473">
        <f t="shared" si="64"/>
        <v>19864</v>
      </c>
      <c r="U21" s="473">
        <f t="shared" si="64"/>
        <v>20804</v>
      </c>
      <c r="V21" s="473">
        <f t="shared" si="64"/>
        <v>21424</v>
      </c>
      <c r="W21" s="473">
        <f t="shared" si="64"/>
        <v>22054</v>
      </c>
      <c r="X21" s="459">
        <f t="shared" si="64"/>
        <v>22464</v>
      </c>
      <c r="Y21" s="459">
        <f t="shared" si="64"/>
        <v>23314</v>
      </c>
      <c r="Z21" s="459">
        <f t="shared" si="64"/>
        <v>23724</v>
      </c>
      <c r="AA21" s="459">
        <f t="shared" si="64"/>
        <v>24194</v>
      </c>
      <c r="AB21" s="459">
        <f t="shared" si="64"/>
        <v>24734</v>
      </c>
      <c r="AC21" s="460">
        <f t="shared" ref="AC21" si="65">AB21+AC20</f>
        <v>25164</v>
      </c>
      <c r="AD21" s="461">
        <f t="shared" ref="AD21" si="66">AC21+AD20</f>
        <v>25544</v>
      </c>
      <c r="AE21" s="461">
        <f t="shared" ref="AE21" si="67">AD21+AE20</f>
        <v>26004</v>
      </c>
      <c r="AF21" s="461">
        <f t="shared" ref="AF21" si="68">AE21+AF20</f>
        <v>26394</v>
      </c>
      <c r="AG21" s="461">
        <f t="shared" ref="AG21:AH21" si="69">AF21+AG20</f>
        <v>26744</v>
      </c>
      <c r="AH21" s="461">
        <f t="shared" si="69"/>
        <v>27244</v>
      </c>
      <c r="AI21" s="462">
        <f>GA21</f>
        <v>27684</v>
      </c>
      <c r="AJ21" s="461">
        <f t="shared" ref="AJ21" si="70">AI21+AJ20</f>
        <v>28154</v>
      </c>
      <c r="AK21" s="461">
        <f t="shared" ref="AK21" si="71">AJ21+AK20</f>
        <v>28984</v>
      </c>
      <c r="AL21" s="460">
        <f t="shared" ref="AL21:AM21" si="72">AK21+AL20</f>
        <v>29344</v>
      </c>
      <c r="AM21" s="463">
        <f t="shared" si="72"/>
        <v>29350</v>
      </c>
      <c r="AN21" s="464">
        <f t="shared" ref="AN21" si="73">AM21+AN20</f>
        <v>29350</v>
      </c>
      <c r="AO21" s="465">
        <f t="shared" ref="AO21" si="74">AN21+AO20</f>
        <v>29350</v>
      </c>
      <c r="AP21" s="466">
        <f t="shared" ref="AP21:AR21" si="75">AO21+AP20</f>
        <v>29350</v>
      </c>
      <c r="AQ21" s="466">
        <f t="shared" si="75"/>
        <v>29350</v>
      </c>
      <c r="AR21" s="466">
        <f t="shared" si="75"/>
        <v>29350</v>
      </c>
      <c r="AS21" s="466">
        <f t="shared" ref="AS21:BC21" si="76">AR21+AS20</f>
        <v>29350</v>
      </c>
      <c r="AT21" s="466">
        <f t="shared" si="76"/>
        <v>29350</v>
      </c>
      <c r="AU21" s="466">
        <f t="shared" si="76"/>
        <v>29350</v>
      </c>
      <c r="AV21" s="466">
        <v>0</v>
      </c>
      <c r="AW21" s="466">
        <f t="shared" si="76"/>
        <v>0</v>
      </c>
      <c r="AX21" s="466">
        <f t="shared" si="76"/>
        <v>0</v>
      </c>
      <c r="AY21" s="466">
        <f t="shared" si="76"/>
        <v>144</v>
      </c>
      <c r="AZ21" s="466">
        <f>AY21+AZ20</f>
        <v>234</v>
      </c>
      <c r="BA21" s="466">
        <f t="shared" si="76"/>
        <v>300</v>
      </c>
      <c r="BB21" s="466">
        <f t="shared" si="76"/>
        <v>306</v>
      </c>
      <c r="BC21" s="466">
        <f t="shared" si="76"/>
        <v>324</v>
      </c>
      <c r="BD21" s="466">
        <f>BC21+BD20</f>
        <v>366</v>
      </c>
      <c r="BE21" s="466">
        <f t="shared" ref="BE21" si="77">BD21+BE20</f>
        <v>420</v>
      </c>
      <c r="BF21" s="466">
        <f>BE21+BF20</f>
        <v>462</v>
      </c>
      <c r="BG21" s="466">
        <f t="shared" ref="BG21" si="78">BF21+BG20</f>
        <v>504</v>
      </c>
      <c r="BH21" s="466">
        <f>BG21+BH20</f>
        <v>540</v>
      </c>
      <c r="BI21" s="466">
        <f>BH21+BI20</f>
        <v>576</v>
      </c>
      <c r="BJ21" s="466">
        <f>BI21+BJ20</f>
        <v>618</v>
      </c>
      <c r="BK21" s="464">
        <v>11174</v>
      </c>
      <c r="BL21" s="464">
        <f t="shared" ref="BL21:CQ21" si="79">BK21+BL20</f>
        <v>11404</v>
      </c>
      <c r="BM21" s="464">
        <f t="shared" si="79"/>
        <v>11634</v>
      </c>
      <c r="BN21" s="492">
        <f t="shared" si="79"/>
        <v>11864</v>
      </c>
      <c r="BO21" s="464">
        <f t="shared" si="79"/>
        <v>12004</v>
      </c>
      <c r="BP21" s="464">
        <f t="shared" si="79"/>
        <v>12144</v>
      </c>
      <c r="BQ21" s="464">
        <f t="shared" si="79"/>
        <v>12274</v>
      </c>
      <c r="BR21" s="497">
        <f t="shared" si="79"/>
        <v>12404</v>
      </c>
      <c r="BS21" s="464">
        <f t="shared" si="79"/>
        <v>12484</v>
      </c>
      <c r="BT21" s="464">
        <f t="shared" si="79"/>
        <v>12554</v>
      </c>
      <c r="BU21" s="464">
        <f t="shared" si="79"/>
        <v>12624</v>
      </c>
      <c r="BV21" s="496">
        <f t="shared" si="79"/>
        <v>12694</v>
      </c>
      <c r="BW21" s="513">
        <f t="shared" si="79"/>
        <v>12694</v>
      </c>
      <c r="BX21" s="464">
        <f t="shared" si="79"/>
        <v>12854</v>
      </c>
      <c r="BY21" s="464">
        <f t="shared" si="79"/>
        <v>13004</v>
      </c>
      <c r="BZ21" s="464">
        <f t="shared" si="79"/>
        <v>13154</v>
      </c>
      <c r="CA21" s="496">
        <f t="shared" si="79"/>
        <v>13304</v>
      </c>
      <c r="CB21" s="463">
        <f t="shared" si="79"/>
        <v>13424</v>
      </c>
      <c r="CC21" s="464">
        <f t="shared" si="79"/>
        <v>13544</v>
      </c>
      <c r="CD21" s="464">
        <f t="shared" si="79"/>
        <v>13674</v>
      </c>
      <c r="CE21" s="496">
        <f t="shared" si="79"/>
        <v>13804</v>
      </c>
      <c r="CF21" s="463">
        <f t="shared" si="79"/>
        <v>14004</v>
      </c>
      <c r="CG21" s="464">
        <f t="shared" si="79"/>
        <v>14204</v>
      </c>
      <c r="CH21" s="464">
        <f t="shared" si="79"/>
        <v>14204</v>
      </c>
      <c r="CI21" s="464">
        <f t="shared" si="79"/>
        <v>14404</v>
      </c>
      <c r="CJ21" s="496">
        <f t="shared" si="79"/>
        <v>14604</v>
      </c>
      <c r="CK21" s="463">
        <f t="shared" si="79"/>
        <v>14824</v>
      </c>
      <c r="CL21" s="464">
        <f t="shared" si="79"/>
        <v>15044</v>
      </c>
      <c r="CM21" s="464">
        <f t="shared" si="79"/>
        <v>15254</v>
      </c>
      <c r="CN21" s="496">
        <f t="shared" si="79"/>
        <v>15464</v>
      </c>
      <c r="CO21" s="463">
        <f t="shared" si="79"/>
        <v>15664</v>
      </c>
      <c r="CP21" s="464">
        <f t="shared" si="79"/>
        <v>15864</v>
      </c>
      <c r="CQ21" s="464">
        <f t="shared" si="79"/>
        <v>16054</v>
      </c>
      <c r="CR21" s="496">
        <f t="shared" ref="CR21:DW21" si="80">CQ21+CR20</f>
        <v>16244</v>
      </c>
      <c r="CS21" s="463">
        <f t="shared" si="80"/>
        <v>16544</v>
      </c>
      <c r="CT21" s="464">
        <f t="shared" si="80"/>
        <v>16834</v>
      </c>
      <c r="CU21" s="464">
        <f t="shared" si="80"/>
        <v>17124</v>
      </c>
      <c r="CV21" s="464">
        <f t="shared" si="80"/>
        <v>17414</v>
      </c>
      <c r="CW21" s="492">
        <f t="shared" si="80"/>
        <v>17704</v>
      </c>
      <c r="CX21" s="463">
        <f t="shared" si="80"/>
        <v>17854</v>
      </c>
      <c r="CY21" s="464">
        <f t="shared" si="80"/>
        <v>18004</v>
      </c>
      <c r="CZ21" s="464">
        <f t="shared" si="80"/>
        <v>18164</v>
      </c>
      <c r="DA21" s="497">
        <f t="shared" si="80"/>
        <v>18324</v>
      </c>
      <c r="DB21" s="463">
        <f t="shared" si="80"/>
        <v>18444</v>
      </c>
      <c r="DC21" s="464">
        <f t="shared" si="80"/>
        <v>18564</v>
      </c>
      <c r="DD21" s="464">
        <f t="shared" si="80"/>
        <v>18694</v>
      </c>
      <c r="DE21" s="464">
        <f t="shared" si="80"/>
        <v>18694</v>
      </c>
      <c r="DF21" s="492">
        <f t="shared" si="80"/>
        <v>18824</v>
      </c>
      <c r="DG21" s="463">
        <f t="shared" si="80"/>
        <v>18824</v>
      </c>
      <c r="DH21" s="464">
        <f t="shared" si="80"/>
        <v>19014</v>
      </c>
      <c r="DI21" s="464">
        <f t="shared" si="80"/>
        <v>19204</v>
      </c>
      <c r="DJ21" s="497">
        <f t="shared" si="80"/>
        <v>19384</v>
      </c>
      <c r="DK21" s="463">
        <f t="shared" si="80"/>
        <v>19504</v>
      </c>
      <c r="DL21" s="464">
        <f t="shared" si="80"/>
        <v>19624</v>
      </c>
      <c r="DM21" s="464">
        <f t="shared" si="80"/>
        <v>19744</v>
      </c>
      <c r="DN21" s="497">
        <f t="shared" si="80"/>
        <v>19864</v>
      </c>
      <c r="DO21" s="463">
        <f t="shared" si="80"/>
        <v>20094</v>
      </c>
      <c r="DP21" s="464">
        <f t="shared" si="80"/>
        <v>20334</v>
      </c>
      <c r="DQ21" s="464">
        <f t="shared" si="80"/>
        <v>20564</v>
      </c>
      <c r="DR21" s="497">
        <f t="shared" si="80"/>
        <v>20804</v>
      </c>
      <c r="DS21" s="463">
        <f t="shared" si="80"/>
        <v>20954</v>
      </c>
      <c r="DT21" s="464">
        <f t="shared" si="80"/>
        <v>21104</v>
      </c>
      <c r="DU21" s="464">
        <f t="shared" si="80"/>
        <v>21264</v>
      </c>
      <c r="DV21" s="464">
        <f t="shared" si="80"/>
        <v>21264</v>
      </c>
      <c r="DW21" s="497">
        <f t="shared" si="80"/>
        <v>21424</v>
      </c>
      <c r="DX21" s="463">
        <f t="shared" ref="DX21:EX21" si="81">DW21+DX20</f>
        <v>21574</v>
      </c>
      <c r="DY21" s="464">
        <f t="shared" si="81"/>
        <v>21734</v>
      </c>
      <c r="DZ21" s="464">
        <f t="shared" si="81"/>
        <v>21894</v>
      </c>
      <c r="EA21" s="497">
        <f t="shared" si="81"/>
        <v>22054</v>
      </c>
      <c r="EB21" s="463">
        <f t="shared" si="81"/>
        <v>22154</v>
      </c>
      <c r="EC21" s="464">
        <f t="shared" si="81"/>
        <v>22254</v>
      </c>
      <c r="ED21" s="464">
        <f t="shared" si="81"/>
        <v>22354</v>
      </c>
      <c r="EE21" s="497">
        <f t="shared" si="81"/>
        <v>22464</v>
      </c>
      <c r="EF21" s="463">
        <f t="shared" si="81"/>
        <v>22674</v>
      </c>
      <c r="EG21" s="464">
        <f t="shared" si="81"/>
        <v>22884</v>
      </c>
      <c r="EH21" s="464">
        <f t="shared" si="81"/>
        <v>22884</v>
      </c>
      <c r="EI21" s="496">
        <f t="shared" si="81"/>
        <v>23094</v>
      </c>
      <c r="EJ21" s="492">
        <f t="shared" si="81"/>
        <v>23314</v>
      </c>
      <c r="EK21" s="463">
        <f t="shared" si="81"/>
        <v>23414</v>
      </c>
      <c r="EL21" s="464">
        <f t="shared" si="81"/>
        <v>23514</v>
      </c>
      <c r="EM21" s="464">
        <f t="shared" si="81"/>
        <v>23614</v>
      </c>
      <c r="EN21" s="497">
        <f t="shared" si="81"/>
        <v>23724</v>
      </c>
      <c r="EO21" s="463">
        <f t="shared" si="81"/>
        <v>23824</v>
      </c>
      <c r="EP21" s="464">
        <f t="shared" si="81"/>
        <v>23924</v>
      </c>
      <c r="EQ21" s="464">
        <f t="shared" si="81"/>
        <v>24014</v>
      </c>
      <c r="ER21" s="496">
        <f t="shared" si="81"/>
        <v>24104</v>
      </c>
      <c r="ES21" s="492">
        <f t="shared" si="81"/>
        <v>24194</v>
      </c>
      <c r="ET21" s="463">
        <f t="shared" si="81"/>
        <v>24334</v>
      </c>
      <c r="EU21" s="464">
        <f t="shared" si="81"/>
        <v>24474</v>
      </c>
      <c r="EV21" s="464">
        <f t="shared" si="81"/>
        <v>24604</v>
      </c>
      <c r="EW21" s="496">
        <f t="shared" si="81"/>
        <v>24734</v>
      </c>
      <c r="EX21" s="463">
        <f t="shared" si="81"/>
        <v>24844</v>
      </c>
      <c r="EY21" s="461">
        <f t="shared" ref="EY21" si="82">EX21+EY20</f>
        <v>24954</v>
      </c>
      <c r="EZ21" s="461">
        <f t="shared" ref="EZ21" si="83">EY21+EZ20</f>
        <v>25064</v>
      </c>
      <c r="FA21" s="492">
        <f t="shared" ref="FA21" si="84">EZ21+FA20</f>
        <v>25164</v>
      </c>
      <c r="FB21" s="463">
        <f t="shared" ref="FB21" si="85">FA21+FB20</f>
        <v>25264</v>
      </c>
      <c r="FC21" s="461">
        <f t="shared" ref="FC21" si="86">FB21+FC20</f>
        <v>25364</v>
      </c>
      <c r="FD21" s="461">
        <f t="shared" ref="FD21" si="87">FC21+FD20</f>
        <v>25464</v>
      </c>
      <c r="FE21" s="461">
        <f t="shared" ref="FE21" si="88">FD21+FE20</f>
        <v>25544</v>
      </c>
      <c r="FF21" s="492">
        <f t="shared" ref="FF21" si="89">FE21+FF20</f>
        <v>25544</v>
      </c>
      <c r="FG21" s="464">
        <f t="shared" ref="FG21" si="90">FF21+FG20</f>
        <v>25704</v>
      </c>
      <c r="FH21" s="461">
        <f t="shared" ref="FH21" si="91">FG21+FH20</f>
        <v>25854</v>
      </c>
      <c r="FI21" s="461">
        <f t="shared" ref="FI21" si="92">FH21+FI20</f>
        <v>26004</v>
      </c>
      <c r="FJ21" s="492">
        <f t="shared" ref="FJ21" si="93">FI21+FJ20</f>
        <v>26004</v>
      </c>
      <c r="FK21" s="464">
        <f t="shared" ref="FK21" si="94">FJ21+FK20</f>
        <v>26104</v>
      </c>
      <c r="FL21" s="461">
        <f t="shared" ref="FL21" si="95">FK21+FL20</f>
        <v>26204</v>
      </c>
      <c r="FM21" s="461">
        <f t="shared" ref="FM21" si="96">FL21+FM20</f>
        <v>26294</v>
      </c>
      <c r="FN21" s="492">
        <f t="shared" ref="FN21" si="97">FM21+FN20</f>
        <v>26394</v>
      </c>
      <c r="FO21" s="464">
        <f t="shared" ref="FO21" si="98">FN21+FO20</f>
        <v>26474</v>
      </c>
      <c r="FP21" s="461">
        <f t="shared" ref="FP21" si="99">FO21+FP20</f>
        <v>26584</v>
      </c>
      <c r="FQ21" s="461">
        <f t="shared" ref="FQ21" si="100">FP21+FQ20</f>
        <v>26664</v>
      </c>
      <c r="FR21" s="492">
        <f t="shared" ref="FR21" si="101">FQ21+FR20</f>
        <v>26744</v>
      </c>
      <c r="FS21" s="464">
        <f>FR21+FS20</f>
        <v>26864</v>
      </c>
      <c r="FT21" s="461">
        <f t="shared" ref="FT21" si="102">FS21+FT20</f>
        <v>26864</v>
      </c>
      <c r="FU21" s="461">
        <f t="shared" ref="FU21" si="103">FT21+FU20</f>
        <v>26994</v>
      </c>
      <c r="FV21" s="461">
        <f t="shared" ref="FV21:FW21" si="104">FU21+FV20</f>
        <v>27124</v>
      </c>
      <c r="FW21" s="492">
        <f t="shared" si="104"/>
        <v>27244</v>
      </c>
      <c r="FX21" s="464">
        <f t="shared" ref="FX21" si="105">FW21+FX20</f>
        <v>27344</v>
      </c>
      <c r="FY21" s="461">
        <f t="shared" ref="FY21" si="106">FX21+FY20</f>
        <v>27444</v>
      </c>
      <c r="FZ21" s="461">
        <f t="shared" ref="FZ21" si="107">FY21+FZ20</f>
        <v>27544</v>
      </c>
      <c r="GA21" s="492">
        <f t="shared" ref="GA21" si="108">FZ21+GA20</f>
        <v>27684</v>
      </c>
      <c r="GB21" s="464">
        <f t="shared" ref="GB21" si="109">GA21+GB20</f>
        <v>27784</v>
      </c>
      <c r="GC21" s="461">
        <f t="shared" ref="GC21" si="110">GB21+GC20</f>
        <v>27904</v>
      </c>
      <c r="GD21" s="461">
        <f t="shared" ref="GD21" si="111">GC21+GD20</f>
        <v>28024</v>
      </c>
      <c r="GE21" s="492">
        <f t="shared" ref="GE21" si="112">GD21+GE20</f>
        <v>28154</v>
      </c>
      <c r="GF21" s="464">
        <f t="shared" ref="GF21" si="113">GE21+GF20</f>
        <v>28364</v>
      </c>
      <c r="GG21" s="461">
        <f t="shared" ref="GG21" si="114">GF21+GG20</f>
        <v>28574</v>
      </c>
      <c r="GH21" s="461">
        <f t="shared" ref="GH21" si="115">GG21+GH20</f>
        <v>28780</v>
      </c>
      <c r="GI21" s="461">
        <f t="shared" ref="GI21" si="116">GH21+GI20</f>
        <v>28780</v>
      </c>
      <c r="GJ21" s="496">
        <f t="shared" ref="GJ21" si="117">GI21+GJ20</f>
        <v>28984</v>
      </c>
      <c r="GK21" s="463">
        <f t="shared" ref="GK21" si="118">GJ21+GK20</f>
        <v>29080</v>
      </c>
      <c r="GL21" s="461">
        <f t="shared" ref="GL21" si="119">GK21+GL20</f>
        <v>29176</v>
      </c>
      <c r="GM21" s="461">
        <f t="shared" ref="GM21" si="120">GL21+GM20</f>
        <v>29272</v>
      </c>
      <c r="GN21" s="497">
        <f t="shared" ref="GN21" si="121">GM21+GN20</f>
        <v>29344</v>
      </c>
      <c r="GO21" s="463">
        <f t="shared" ref="GO21" si="122">GN21+GO20</f>
        <v>29350</v>
      </c>
      <c r="GP21" s="461">
        <f t="shared" ref="GP21" si="123">GO21+GP20</f>
        <v>29350</v>
      </c>
      <c r="GQ21" s="461">
        <f t="shared" ref="GQ21" si="124">GP21+GQ20</f>
        <v>29350</v>
      </c>
      <c r="GR21" s="460">
        <f t="shared" ref="GR21" si="125">GQ21+GR20</f>
        <v>29350</v>
      </c>
      <c r="GS21" s="492">
        <f t="shared" ref="GS21" si="126">GR21+GS20</f>
        <v>29350</v>
      </c>
      <c r="GT21" s="464">
        <f t="shared" ref="GT21" si="127">GS21+GT20</f>
        <v>29350</v>
      </c>
      <c r="GU21" s="461">
        <f t="shared" ref="GU21" si="128">GT21+GU20</f>
        <v>29350</v>
      </c>
      <c r="GV21" s="461">
        <f t="shared" ref="GV21" si="129">GU21+GV20</f>
        <v>29350</v>
      </c>
      <c r="GW21" s="497">
        <f t="shared" ref="GW21" si="130">GV21+GW20</f>
        <v>29350</v>
      </c>
      <c r="GX21" s="498">
        <f t="shared" ref="GX21" si="131">GW21+GX20</f>
        <v>29350</v>
      </c>
      <c r="GY21" s="466">
        <f t="shared" ref="GY21" si="132">GX21+GY20</f>
        <v>29350</v>
      </c>
      <c r="GZ21" s="466">
        <f t="shared" ref="GZ21" si="133">GY21+GZ20</f>
        <v>29350</v>
      </c>
      <c r="HA21" s="499">
        <f t="shared" ref="HA21" si="134">GZ21+HA20</f>
        <v>29350</v>
      </c>
      <c r="HB21" s="498">
        <f t="shared" ref="HB21" si="135">HA21+HB20</f>
        <v>29350</v>
      </c>
      <c r="HC21" s="466">
        <f t="shared" ref="HC21" si="136">HB21+HC20</f>
        <v>29350</v>
      </c>
      <c r="HD21" s="466">
        <f t="shared" ref="HD21" si="137">HC21+HD20</f>
        <v>29350</v>
      </c>
      <c r="HE21" s="466">
        <f t="shared" ref="HE21" si="138">HD21+HE20</f>
        <v>29350</v>
      </c>
      <c r="HF21" s="500">
        <f t="shared" ref="HF21" si="139">HE21+HF20</f>
        <v>29350</v>
      </c>
      <c r="HG21" s="498">
        <f t="shared" ref="HG21" si="140">HF21+HG20</f>
        <v>29350</v>
      </c>
      <c r="HH21" s="466">
        <f t="shared" ref="HH21" si="141">HG21+HH20</f>
        <v>29350</v>
      </c>
      <c r="HI21" s="466">
        <f t="shared" ref="HI21" si="142">HH21+HI20</f>
        <v>29350</v>
      </c>
      <c r="HJ21" s="500">
        <f t="shared" ref="HJ21:HN21" si="143">HI21+HJ20</f>
        <v>29350</v>
      </c>
      <c r="HK21" s="476">
        <f t="shared" si="143"/>
        <v>29350</v>
      </c>
      <c r="HL21" s="477">
        <f t="shared" si="143"/>
        <v>29350</v>
      </c>
      <c r="HM21" s="477">
        <f t="shared" si="143"/>
        <v>29350</v>
      </c>
      <c r="HN21" s="478">
        <f t="shared" si="143"/>
        <v>29350</v>
      </c>
      <c r="HO21" s="476">
        <f t="shared" ref="HO21" si="144">HN21+HO20</f>
        <v>29350</v>
      </c>
      <c r="HP21" s="477">
        <f t="shared" ref="HP21" si="145">HO21+HP20</f>
        <v>29350</v>
      </c>
      <c r="HQ21" s="477">
        <f t="shared" ref="HQ21" si="146">HP21+HQ20</f>
        <v>29350</v>
      </c>
      <c r="HR21" s="478">
        <f t="shared" ref="HR21" si="147">HQ21+HR20</f>
        <v>29350</v>
      </c>
      <c r="HS21" s="476">
        <f t="shared" ref="HS21" si="148">HR21+HS20</f>
        <v>29350</v>
      </c>
      <c r="HT21" s="477">
        <f t="shared" ref="HT21" si="149">HS21+HT20</f>
        <v>29350</v>
      </c>
      <c r="HU21" s="477">
        <f t="shared" ref="HU21" si="150">HT21+HU20</f>
        <v>29350</v>
      </c>
      <c r="HV21" s="478">
        <f t="shared" ref="HV21" si="151">HU21+HV20</f>
        <v>29350</v>
      </c>
      <c r="HW21" s="476">
        <f t="shared" ref="HW21" si="152">HV21+HW20</f>
        <v>29350</v>
      </c>
      <c r="HX21" s="477">
        <f t="shared" ref="HX21" si="153">HW21+HX20</f>
        <v>29350</v>
      </c>
      <c r="HY21" s="477">
        <f t="shared" ref="HY21" si="154">HX21+HY20</f>
        <v>29350</v>
      </c>
      <c r="HZ21" s="477">
        <f t="shared" ref="HZ21" si="155">HY21+HZ20</f>
        <v>29350</v>
      </c>
      <c r="IA21" s="478">
        <f t="shared" ref="IA21" si="156">HZ21+IA20</f>
        <v>29350</v>
      </c>
      <c r="IB21" s="479">
        <v>0</v>
      </c>
      <c r="IC21" s="477">
        <f t="shared" ref="IC21" si="157">IB21+IC20</f>
        <v>0</v>
      </c>
      <c r="ID21" s="477">
        <f t="shared" ref="ID21" si="158">IC21+ID20</f>
        <v>0</v>
      </c>
      <c r="IE21" s="478">
        <f>ID21+IE20</f>
        <v>0</v>
      </c>
      <c r="IF21" s="479">
        <f t="shared" ref="IF21" si="159">IE21+IF20</f>
        <v>0</v>
      </c>
      <c r="IG21" s="477">
        <f t="shared" ref="IG21" si="160">IF21+IG20</f>
        <v>0</v>
      </c>
      <c r="IH21" s="477">
        <f t="shared" ref="IH21" si="161">IG21+IH20</f>
        <v>0</v>
      </c>
      <c r="II21" s="477">
        <f t="shared" ref="II21" si="162">IH21+II20</f>
        <v>0</v>
      </c>
      <c r="IJ21" s="480">
        <f t="shared" ref="IJ21" si="163">II21+IJ20</f>
        <v>0</v>
      </c>
      <c r="IK21" s="476">
        <f t="shared" ref="IK21" si="164">IJ21+IK20</f>
        <v>0</v>
      </c>
      <c r="IL21" s="477">
        <f t="shared" ref="IL21" si="165">IK21+IL20</f>
        <v>0</v>
      </c>
      <c r="IM21" s="477">
        <f t="shared" ref="IM21" si="166">IL21+IM20</f>
        <v>0</v>
      </c>
      <c r="IN21" s="478">
        <f t="shared" ref="IN21" si="167">IM21+IN20</f>
        <v>0</v>
      </c>
      <c r="IO21" s="476">
        <f t="shared" ref="IO21" si="168">IN21+IO20</f>
        <v>42</v>
      </c>
      <c r="IP21" s="477">
        <f t="shared" ref="IP21" si="169">IO21+IP20</f>
        <v>84</v>
      </c>
      <c r="IQ21" s="477">
        <f t="shared" ref="IQ21" si="170">IP21+IQ20</f>
        <v>114</v>
      </c>
      <c r="IR21" s="478">
        <f t="shared" ref="IR21" si="171">IQ21+IR20</f>
        <v>144</v>
      </c>
      <c r="IS21" s="476">
        <f t="shared" ref="IS21" si="172">IR21+IS20</f>
        <v>162</v>
      </c>
      <c r="IT21" s="477">
        <f t="shared" ref="IT21" si="173">IS21+IT20</f>
        <v>180</v>
      </c>
      <c r="IU21" s="477">
        <f t="shared" ref="IU21" si="174">IT21+IU20</f>
        <v>216</v>
      </c>
      <c r="IV21" s="480">
        <f t="shared" ref="IV21:IW21" si="175">IU21+IV20</f>
        <v>234</v>
      </c>
      <c r="IW21" s="476">
        <f t="shared" si="175"/>
        <v>246</v>
      </c>
      <c r="IX21" s="479">
        <f t="shared" ref="IX21" si="176">IW21+IX20</f>
        <v>258</v>
      </c>
      <c r="IY21" s="477">
        <f t="shared" ref="IY21" si="177">IX21+IY20</f>
        <v>270</v>
      </c>
      <c r="IZ21" s="480">
        <f t="shared" ref="IZ21" si="178">IY21+IZ20</f>
        <v>282</v>
      </c>
      <c r="JA21" s="478">
        <f t="shared" ref="JA21" si="179">IZ21+JA20</f>
        <v>300</v>
      </c>
      <c r="JB21" s="476">
        <f>JA21+JB20</f>
        <v>306</v>
      </c>
      <c r="JC21" s="477">
        <f t="shared" ref="JC21" si="180">JB21+JC20</f>
        <v>306</v>
      </c>
      <c r="JD21" s="477">
        <f t="shared" ref="JD21" si="181">JC21+JD20</f>
        <v>306</v>
      </c>
      <c r="JE21" s="478">
        <f t="shared" ref="JE21" si="182">JD21+JE20</f>
        <v>306</v>
      </c>
      <c r="JF21" s="476">
        <f>JE21+JF20</f>
        <v>324</v>
      </c>
      <c r="JG21" s="477">
        <f t="shared" ref="JG21" si="183">JF21+JG20</f>
        <v>324</v>
      </c>
      <c r="JH21" s="477">
        <f t="shared" ref="JH21" si="184">JG21+JH20</f>
        <v>324</v>
      </c>
      <c r="JI21" s="478">
        <f t="shared" ref="JI21" si="185">JH21+JI20</f>
        <v>324</v>
      </c>
      <c r="JJ21" s="611">
        <f>JI21+JJ20</f>
        <v>324</v>
      </c>
      <c r="JK21" s="477">
        <f t="shared" ref="JK21" si="186">JJ21+JK20</f>
        <v>348</v>
      </c>
      <c r="JL21" s="477">
        <f t="shared" ref="JL21" si="187">JK21+JL20</f>
        <v>366</v>
      </c>
      <c r="JM21" s="478">
        <f t="shared" ref="JM21" si="188">JL21+JM20</f>
        <v>366</v>
      </c>
      <c r="JN21" s="476">
        <f>JM21+JN20</f>
        <v>384</v>
      </c>
      <c r="JO21" s="477">
        <f>JN21+JO20</f>
        <v>402</v>
      </c>
      <c r="JP21" s="477">
        <f>JO21+JP20</f>
        <v>420</v>
      </c>
      <c r="JQ21" s="613">
        <f t="shared" ref="JQ21" si="189">JP21+JQ20</f>
        <v>420</v>
      </c>
      <c r="JR21" s="478">
        <f t="shared" ref="JR21" si="190">JQ21+JR20</f>
        <v>420</v>
      </c>
      <c r="JS21" s="476">
        <f>JR21+JS20</f>
        <v>438</v>
      </c>
      <c r="JT21" s="477">
        <f>JS21+JT20</f>
        <v>450</v>
      </c>
      <c r="JU21" s="477">
        <f>JT21+JU20</f>
        <v>462</v>
      </c>
      <c r="JV21" s="478">
        <f t="shared" ref="JV21" si="191">JU21+JV20</f>
        <v>462</v>
      </c>
      <c r="JW21" s="476">
        <f>JV21+JW20</f>
        <v>486</v>
      </c>
      <c r="JX21" s="477">
        <f>JW21+JX20</f>
        <v>504</v>
      </c>
      <c r="JY21" s="477">
        <f>JX21+JY20</f>
        <v>504</v>
      </c>
      <c r="JZ21" s="478">
        <f t="shared" ref="JZ21" si="192">JY21+JZ20</f>
        <v>504</v>
      </c>
      <c r="KA21" s="476">
        <f t="shared" ref="KA21:KI21" si="193">JZ21+KA20</f>
        <v>522</v>
      </c>
      <c r="KB21" s="477">
        <f t="shared" si="193"/>
        <v>540</v>
      </c>
      <c r="KC21" s="477">
        <f t="shared" si="193"/>
        <v>540</v>
      </c>
      <c r="KD21" s="480">
        <f t="shared" si="193"/>
        <v>540</v>
      </c>
      <c r="KE21" s="478">
        <f t="shared" si="193"/>
        <v>540</v>
      </c>
      <c r="KF21" s="476">
        <f t="shared" si="193"/>
        <v>558</v>
      </c>
      <c r="KG21" s="477">
        <f t="shared" si="193"/>
        <v>576</v>
      </c>
      <c r="KH21" s="477">
        <f t="shared" si="193"/>
        <v>576</v>
      </c>
      <c r="KI21" s="478">
        <f t="shared" si="193"/>
        <v>576</v>
      </c>
      <c r="KJ21" s="611">
        <f t="shared" ref="KJ21" si="194">KI21+KJ20</f>
        <v>576</v>
      </c>
      <c r="KK21" s="477">
        <f t="shared" ref="KK21" si="195">KJ21+KK20</f>
        <v>600</v>
      </c>
      <c r="KL21" s="477">
        <f t="shared" ref="KL21:KM21" si="196">KK21+KL20</f>
        <v>618</v>
      </c>
      <c r="KM21" s="477">
        <f t="shared" si="196"/>
        <v>618</v>
      </c>
      <c r="KN21" s="478">
        <f t="shared" ref="KN21" si="197">KL21+KN20</f>
        <v>618</v>
      </c>
    </row>
    <row r="22" spans="1:300" ht="36.75" customHeight="1">
      <c r="A22" s="481" t="s">
        <v>12</v>
      </c>
      <c r="B22" s="494"/>
      <c r="C22" s="665">
        <v>2</v>
      </c>
      <c r="D22" s="595" t="s">
        <v>206</v>
      </c>
      <c r="E22" s="439" t="s">
        <v>32</v>
      </c>
      <c r="F22" s="598" t="s">
        <v>154</v>
      </c>
      <c r="G22" s="440" t="s">
        <v>17</v>
      </c>
      <c r="H22" s="482">
        <v>0</v>
      </c>
      <c r="I22" s="441">
        <v>0</v>
      </c>
      <c r="J22" s="441">
        <v>0</v>
      </c>
      <c r="K22" s="441">
        <v>0</v>
      </c>
      <c r="L22" s="441">
        <v>0</v>
      </c>
      <c r="M22" s="441">
        <v>0</v>
      </c>
      <c r="N22" s="441">
        <v>0</v>
      </c>
      <c r="O22" s="442">
        <v>0</v>
      </c>
      <c r="P22" s="442">
        <v>0</v>
      </c>
      <c r="Q22" s="442">
        <v>0</v>
      </c>
      <c r="R22" s="514">
        <v>0</v>
      </c>
      <c r="S22" s="443">
        <v>0</v>
      </c>
      <c r="T22" s="515">
        <v>70</v>
      </c>
      <c r="U22" s="515">
        <v>430</v>
      </c>
      <c r="V22" s="444">
        <v>630</v>
      </c>
      <c r="W22" s="516">
        <v>420</v>
      </c>
      <c r="X22" s="444">
        <v>710</v>
      </c>
      <c r="Y22" s="444">
        <v>440</v>
      </c>
      <c r="Z22" s="444">
        <v>820</v>
      </c>
      <c r="AA22" s="444">
        <f>SUBTOTAL(9,EO22:ES22)</f>
        <v>620</v>
      </c>
      <c r="AB22" s="444">
        <f>SUBTOTAL(9,ET22:EW22)</f>
        <v>610</v>
      </c>
      <c r="AC22" s="483">
        <f>SUBTOTAL(9,EX22:FA22)</f>
        <v>490</v>
      </c>
      <c r="AD22" s="445">
        <f>SUBTOTAL(9,FB22:FF22)</f>
        <v>450</v>
      </c>
      <c r="AE22" s="445">
        <f>SUBTOTAL(9,FG22:FJ22)</f>
        <v>490</v>
      </c>
      <c r="AF22" s="445">
        <f>SUBTOTAL(9,FK22:FN22)</f>
        <v>430</v>
      </c>
      <c r="AG22" s="445">
        <f>SUBTOTAL(9,FO22:FR22)</f>
        <v>350</v>
      </c>
      <c r="AH22" s="445">
        <f>SUBTOTAL(9,FS22:FW22)</f>
        <v>360</v>
      </c>
      <c r="AI22" s="445">
        <f>SUBTOTAL(9,FX22:GA22)</f>
        <v>420</v>
      </c>
      <c r="AJ22" s="445">
        <f>SUBTOTAL(9,GB22:GE22)</f>
        <v>580</v>
      </c>
      <c r="AK22" s="445">
        <f>SUBTOTAL(9,GF22:GJ22)</f>
        <v>580</v>
      </c>
      <c r="AL22" s="445">
        <f>SUBTOTAL(9,GK22:GN22)</f>
        <v>402</v>
      </c>
      <c r="AM22" s="443">
        <f>SUBTOTAL(9,GO22:GS22)</f>
        <v>294</v>
      </c>
      <c r="AN22" s="493">
        <f>SUBTOTAL(9,GT22:GW22)</f>
        <v>0</v>
      </c>
      <c r="AO22" s="449">
        <f>SUM(GX22:HA22)</f>
        <v>0</v>
      </c>
      <c r="AP22" s="450">
        <f>SUM(HB22:HF22)</f>
        <v>0</v>
      </c>
      <c r="AQ22" s="450">
        <f>SUM(HG22:HJ22)</f>
        <v>0</v>
      </c>
      <c r="AR22" s="450">
        <f>SUM(HK22:HN22)</f>
        <v>0</v>
      </c>
      <c r="AS22" s="450">
        <f>SUM(HO22:HR22)</f>
        <v>0</v>
      </c>
      <c r="AT22" s="450">
        <f>SUM(HS22:HV22)</f>
        <v>0</v>
      </c>
      <c r="AU22" s="450">
        <f>SUM(HW22:IA22)</f>
        <v>0</v>
      </c>
      <c r="AV22" s="445">
        <f>SUM(IB22:IE22)</f>
        <v>0</v>
      </c>
      <c r="AW22" s="445">
        <f t="shared" ref="AW22" si="198">SUM(IF22:IJ22)</f>
        <v>0</v>
      </c>
      <c r="AX22" s="446">
        <f t="shared" ref="AX22" si="199">SUM(IK22:IN22)</f>
        <v>0</v>
      </c>
      <c r="AY22" s="446">
        <f t="shared" ref="AY22" si="200">SUM(IO22:IR22)</f>
        <v>72</v>
      </c>
      <c r="AZ22" s="446">
        <f t="shared" ref="AZ22" si="201">SUM(IS22:IV22)</f>
        <v>42</v>
      </c>
      <c r="BA22" s="446">
        <f t="shared" ref="BA22" si="202">SUM(IW22:JA22)</f>
        <v>84</v>
      </c>
      <c r="BB22" s="446">
        <f t="shared" ref="BB22" si="203">SUM(JB22:JE22)</f>
        <v>60</v>
      </c>
      <c r="BC22" s="446">
        <f t="shared" ref="BC22" si="204">SUM(JF22:JI22)</f>
        <v>36</v>
      </c>
      <c r="BD22" s="446">
        <f t="shared" ref="BD22" si="205">SUM(JJ22:JM22)</f>
        <v>0</v>
      </c>
      <c r="BE22" s="449">
        <f t="shared" ref="BE22" si="206">SUM(JN22:JR22)</f>
        <v>0</v>
      </c>
      <c r="BF22" s="449">
        <f t="shared" ref="BF22" si="207">SUM(JS22:JV22)</f>
        <v>0</v>
      </c>
      <c r="BG22" s="449">
        <f t="shared" ref="BG22" si="208">SUM(JW22:JZ22)</f>
        <v>0</v>
      </c>
      <c r="BH22" s="449">
        <f t="shared" ref="BH22" si="209">SUM(KA22:KE22)</f>
        <v>0</v>
      </c>
      <c r="BI22" s="449">
        <f t="shared" ref="BI22" si="210">SUM(KF22:KI22)</f>
        <v>0</v>
      </c>
      <c r="BJ22" s="449">
        <f t="shared" ref="BJ22" si="211">SUM(KJ22:KN22)</f>
        <v>0</v>
      </c>
      <c r="BK22" s="635">
        <v>0</v>
      </c>
      <c r="BL22" s="636">
        <v>0</v>
      </c>
      <c r="BM22" s="636">
        <v>0</v>
      </c>
      <c r="BN22" s="636">
        <v>0</v>
      </c>
      <c r="BO22" s="636">
        <v>0</v>
      </c>
      <c r="BP22" s="636">
        <v>0</v>
      </c>
      <c r="BQ22" s="636">
        <v>0</v>
      </c>
      <c r="BR22" s="636">
        <v>0</v>
      </c>
      <c r="BS22" s="636">
        <v>0</v>
      </c>
      <c r="BT22" s="636">
        <v>0</v>
      </c>
      <c r="BU22" s="636">
        <v>0</v>
      </c>
      <c r="BV22" s="636">
        <v>0</v>
      </c>
      <c r="BW22" s="636">
        <v>0</v>
      </c>
      <c r="BX22" s="636">
        <v>0</v>
      </c>
      <c r="BY22" s="636">
        <v>0</v>
      </c>
      <c r="BZ22" s="636">
        <v>0</v>
      </c>
      <c r="CA22" s="636">
        <v>0</v>
      </c>
      <c r="CB22" s="636">
        <v>0</v>
      </c>
      <c r="CC22" s="636">
        <v>0</v>
      </c>
      <c r="CD22" s="636">
        <v>0</v>
      </c>
      <c r="CE22" s="636">
        <v>0</v>
      </c>
      <c r="CF22" s="636">
        <v>0</v>
      </c>
      <c r="CG22" s="636">
        <v>0</v>
      </c>
      <c r="CH22" s="636">
        <v>0</v>
      </c>
      <c r="CI22" s="636">
        <v>0</v>
      </c>
      <c r="CJ22" s="636">
        <v>0</v>
      </c>
      <c r="CK22" s="636">
        <v>0</v>
      </c>
      <c r="CL22" s="636">
        <v>0</v>
      </c>
      <c r="CM22" s="636">
        <v>0</v>
      </c>
      <c r="CN22" s="636">
        <v>0</v>
      </c>
      <c r="CO22" s="636">
        <v>0</v>
      </c>
      <c r="CP22" s="636">
        <v>0</v>
      </c>
      <c r="CQ22" s="636">
        <v>0</v>
      </c>
      <c r="CR22" s="636">
        <v>0</v>
      </c>
      <c r="CS22" s="636">
        <v>0</v>
      </c>
      <c r="CT22" s="636">
        <v>0</v>
      </c>
      <c r="CU22" s="636">
        <v>0</v>
      </c>
      <c r="CV22" s="636">
        <v>0</v>
      </c>
      <c r="CW22" s="636">
        <v>0</v>
      </c>
      <c r="CX22" s="636">
        <v>0</v>
      </c>
      <c r="CY22" s="636">
        <v>0</v>
      </c>
      <c r="CZ22" s="636">
        <v>0</v>
      </c>
      <c r="DA22" s="636">
        <v>0</v>
      </c>
      <c r="DB22" s="636">
        <v>0</v>
      </c>
      <c r="DC22" s="636">
        <v>0</v>
      </c>
      <c r="DD22" s="636">
        <v>0</v>
      </c>
      <c r="DE22" s="636">
        <v>0</v>
      </c>
      <c r="DF22" s="636">
        <v>0</v>
      </c>
      <c r="DG22" s="636">
        <v>0</v>
      </c>
      <c r="DH22" s="636">
        <v>0</v>
      </c>
      <c r="DI22" s="636">
        <v>0</v>
      </c>
      <c r="DJ22" s="636">
        <v>0</v>
      </c>
      <c r="DK22" s="636">
        <v>0</v>
      </c>
      <c r="DL22" s="636">
        <v>30</v>
      </c>
      <c r="DM22" s="636">
        <v>20</v>
      </c>
      <c r="DN22" s="636">
        <v>20</v>
      </c>
      <c r="DO22" s="636">
        <v>110</v>
      </c>
      <c r="DP22" s="636">
        <v>110</v>
      </c>
      <c r="DQ22" s="636">
        <v>110</v>
      </c>
      <c r="DR22" s="636">
        <v>100</v>
      </c>
      <c r="DS22" s="636">
        <v>160</v>
      </c>
      <c r="DT22" s="636">
        <v>160</v>
      </c>
      <c r="DU22" s="636">
        <v>160</v>
      </c>
      <c r="DV22" s="636">
        <v>0</v>
      </c>
      <c r="DW22" s="636">
        <v>150</v>
      </c>
      <c r="DX22" s="636">
        <v>110</v>
      </c>
      <c r="DY22" s="636">
        <v>110</v>
      </c>
      <c r="DZ22" s="636">
        <v>100</v>
      </c>
      <c r="EA22" s="636">
        <v>100</v>
      </c>
      <c r="EB22" s="636">
        <v>170</v>
      </c>
      <c r="EC22" s="636">
        <v>180</v>
      </c>
      <c r="ED22" s="636">
        <v>180</v>
      </c>
      <c r="EE22" s="636">
        <v>180</v>
      </c>
      <c r="EF22" s="636">
        <v>110</v>
      </c>
      <c r="EG22" s="636">
        <v>110</v>
      </c>
      <c r="EH22" s="636">
        <v>0</v>
      </c>
      <c r="EI22" s="636">
        <v>110</v>
      </c>
      <c r="EJ22" s="636">
        <v>110</v>
      </c>
      <c r="EK22" s="636">
        <v>200</v>
      </c>
      <c r="EL22" s="636">
        <v>210</v>
      </c>
      <c r="EM22" s="636">
        <v>200</v>
      </c>
      <c r="EN22" s="636">
        <v>210</v>
      </c>
      <c r="EO22" s="636">
        <v>130</v>
      </c>
      <c r="EP22" s="636">
        <v>130</v>
      </c>
      <c r="EQ22" s="636">
        <v>120</v>
      </c>
      <c r="ER22" s="636">
        <v>120</v>
      </c>
      <c r="ES22" s="636">
        <v>120</v>
      </c>
      <c r="ET22" s="636">
        <v>160</v>
      </c>
      <c r="EU22" s="636">
        <v>150</v>
      </c>
      <c r="EV22" s="636">
        <v>150</v>
      </c>
      <c r="EW22" s="637">
        <v>150</v>
      </c>
      <c r="EX22" s="451">
        <v>130</v>
      </c>
      <c r="EY22" s="450">
        <v>120</v>
      </c>
      <c r="EZ22" s="450">
        <v>120</v>
      </c>
      <c r="FA22" s="452">
        <v>120</v>
      </c>
      <c r="FB22" s="451">
        <v>90</v>
      </c>
      <c r="FC22" s="450">
        <v>90</v>
      </c>
      <c r="FD22" s="450">
        <v>90</v>
      </c>
      <c r="FE22" s="450">
        <v>90</v>
      </c>
      <c r="FF22" s="452">
        <v>90</v>
      </c>
      <c r="FG22" s="453">
        <v>160</v>
      </c>
      <c r="FH22" s="450">
        <v>160</v>
      </c>
      <c r="FI22" s="450">
        <v>170</v>
      </c>
      <c r="FJ22" s="452">
        <v>0</v>
      </c>
      <c r="FK22" s="453">
        <v>100</v>
      </c>
      <c r="FL22" s="450">
        <v>110</v>
      </c>
      <c r="FM22" s="450">
        <v>120</v>
      </c>
      <c r="FN22" s="452">
        <v>100</v>
      </c>
      <c r="FO22" s="453">
        <v>100</v>
      </c>
      <c r="FP22" s="450">
        <v>100</v>
      </c>
      <c r="FQ22" s="450">
        <v>100</v>
      </c>
      <c r="FR22" s="452">
        <v>50</v>
      </c>
      <c r="FS22" s="453">
        <v>100</v>
      </c>
      <c r="FT22" s="450">
        <v>0</v>
      </c>
      <c r="FU22" s="450">
        <v>100</v>
      </c>
      <c r="FV22" s="450">
        <v>80</v>
      </c>
      <c r="FW22" s="452">
        <v>80</v>
      </c>
      <c r="FX22" s="453">
        <v>140</v>
      </c>
      <c r="FY22" s="450">
        <v>140</v>
      </c>
      <c r="FZ22" s="450">
        <v>140</v>
      </c>
      <c r="GA22" s="452">
        <v>0</v>
      </c>
      <c r="GB22" s="453">
        <v>140</v>
      </c>
      <c r="GC22" s="450">
        <v>150</v>
      </c>
      <c r="GD22" s="450">
        <v>150</v>
      </c>
      <c r="GE22" s="452">
        <v>140</v>
      </c>
      <c r="GF22" s="453">
        <v>148</v>
      </c>
      <c r="GG22" s="450">
        <v>144</v>
      </c>
      <c r="GH22" s="450">
        <v>144</v>
      </c>
      <c r="GI22" s="450">
        <v>0</v>
      </c>
      <c r="GJ22" s="484">
        <v>144</v>
      </c>
      <c r="GK22" s="451">
        <v>96</v>
      </c>
      <c r="GL22" s="450">
        <v>78</v>
      </c>
      <c r="GM22" s="450">
        <v>78</v>
      </c>
      <c r="GN22" s="485">
        <v>150</v>
      </c>
      <c r="GO22" s="451">
        <v>150</v>
      </c>
      <c r="GP22" s="450">
        <v>144</v>
      </c>
      <c r="GQ22" s="450">
        <v>0</v>
      </c>
      <c r="GR22" s="449"/>
      <c r="GS22" s="452">
        <v>0</v>
      </c>
      <c r="GT22" s="453">
        <v>0</v>
      </c>
      <c r="GU22" s="450">
        <v>0</v>
      </c>
      <c r="GV22" s="450">
        <v>0</v>
      </c>
      <c r="GW22" s="485">
        <v>0</v>
      </c>
      <c r="GX22" s="451"/>
      <c r="GY22" s="450"/>
      <c r="GZ22" s="450"/>
      <c r="HA22" s="485"/>
      <c r="HB22" s="451"/>
      <c r="HC22" s="450"/>
      <c r="HD22" s="450"/>
      <c r="HE22" s="450"/>
      <c r="HF22" s="452"/>
      <c r="HG22" s="451"/>
      <c r="HH22" s="450"/>
      <c r="HI22" s="450"/>
      <c r="HJ22" s="452"/>
      <c r="HK22" s="451"/>
      <c r="HL22" s="450"/>
      <c r="HM22" s="450"/>
      <c r="HN22" s="452"/>
      <c r="HO22" s="451"/>
      <c r="HP22" s="450"/>
      <c r="HQ22" s="450"/>
      <c r="HR22" s="452"/>
      <c r="HS22" s="451"/>
      <c r="HT22" s="450"/>
      <c r="HU22" s="450"/>
      <c r="HV22" s="452"/>
      <c r="HW22" s="451"/>
      <c r="HX22" s="450"/>
      <c r="HY22" s="450"/>
      <c r="HZ22" s="450"/>
      <c r="IA22" s="452"/>
      <c r="IB22" s="453"/>
      <c r="IC22" s="450"/>
      <c r="ID22" s="450"/>
      <c r="IE22" s="452"/>
      <c r="IF22" s="453"/>
      <c r="IG22" s="450"/>
      <c r="IH22" s="450"/>
      <c r="II22" s="450"/>
      <c r="IJ22" s="449"/>
      <c r="IK22" s="451"/>
      <c r="IL22" s="450"/>
      <c r="IM22" s="450"/>
      <c r="IN22" s="452"/>
      <c r="IO22" s="451">
        <v>24</v>
      </c>
      <c r="IP22" s="450">
        <v>24</v>
      </c>
      <c r="IQ22" s="450">
        <v>12</v>
      </c>
      <c r="IR22" s="452">
        <v>12</v>
      </c>
      <c r="IS22" s="451">
        <v>18</v>
      </c>
      <c r="IT22" s="450">
        <v>12</v>
      </c>
      <c r="IU22" s="450">
        <v>12</v>
      </c>
      <c r="IV22" s="449">
        <v>0</v>
      </c>
      <c r="IW22" s="451">
        <v>0</v>
      </c>
      <c r="IX22" s="453">
        <v>24</v>
      </c>
      <c r="IY22" s="450">
        <v>18</v>
      </c>
      <c r="IZ22" s="453">
        <v>18</v>
      </c>
      <c r="JA22" s="452">
        <v>24</v>
      </c>
      <c r="JB22" s="451">
        <v>24</v>
      </c>
      <c r="JC22" s="450">
        <v>18</v>
      </c>
      <c r="JD22" s="450">
        <v>18</v>
      </c>
      <c r="JE22" s="452">
        <v>0</v>
      </c>
      <c r="JF22" s="451">
        <v>18</v>
      </c>
      <c r="JG22" s="450">
        <v>18</v>
      </c>
      <c r="JH22" s="450">
        <v>0</v>
      </c>
      <c r="JI22" s="452">
        <v>0</v>
      </c>
      <c r="JJ22" s="451">
        <v>0</v>
      </c>
      <c r="JK22" s="450">
        <v>0</v>
      </c>
      <c r="JL22" s="450">
        <v>0</v>
      </c>
      <c r="JM22" s="452">
        <v>0</v>
      </c>
      <c r="JN22" s="451">
        <v>0</v>
      </c>
      <c r="JO22" s="450">
        <v>0</v>
      </c>
      <c r="JP22" s="450">
        <v>0</v>
      </c>
      <c r="JQ22" s="449">
        <v>0</v>
      </c>
      <c r="JR22" s="452">
        <v>0</v>
      </c>
      <c r="JS22" s="451">
        <v>0</v>
      </c>
      <c r="JT22" s="450">
        <v>0</v>
      </c>
      <c r="JU22" s="450">
        <v>0</v>
      </c>
      <c r="JV22" s="452">
        <v>0</v>
      </c>
      <c r="JW22" s="451">
        <v>0</v>
      </c>
      <c r="JX22" s="450">
        <v>0</v>
      </c>
      <c r="JY22" s="450">
        <v>0</v>
      </c>
      <c r="JZ22" s="452">
        <v>0</v>
      </c>
      <c r="KA22" s="451">
        <v>0</v>
      </c>
      <c r="KB22" s="450">
        <v>0</v>
      </c>
      <c r="KC22" s="450">
        <v>0</v>
      </c>
      <c r="KD22" s="449">
        <v>0</v>
      </c>
      <c r="KE22" s="452">
        <v>0</v>
      </c>
      <c r="KF22" s="451">
        <v>0</v>
      </c>
      <c r="KG22" s="450">
        <v>0</v>
      </c>
      <c r="KH22" s="450">
        <v>0</v>
      </c>
      <c r="KI22" s="452">
        <v>0</v>
      </c>
      <c r="KJ22" s="451">
        <v>0</v>
      </c>
      <c r="KK22" s="450">
        <v>0</v>
      </c>
      <c r="KL22" s="450">
        <v>0</v>
      </c>
      <c r="KM22" s="450">
        <v>0</v>
      </c>
      <c r="KN22" s="452">
        <v>0</v>
      </c>
    </row>
    <row r="23" spans="1:300" ht="36.75" customHeight="1" thickBot="1">
      <c r="A23" s="481" t="s">
        <v>12</v>
      </c>
      <c r="B23" s="494"/>
      <c r="C23" s="666"/>
      <c r="D23" s="597" t="s">
        <v>164</v>
      </c>
      <c r="E23" s="455"/>
      <c r="F23" s="599"/>
      <c r="G23" s="456" t="s">
        <v>18</v>
      </c>
      <c r="H23" s="457">
        <v>0</v>
      </c>
      <c r="I23" s="458">
        <f t="shared" ref="I23:AB23" si="212">H23+I22</f>
        <v>0</v>
      </c>
      <c r="J23" s="458">
        <f t="shared" si="212"/>
        <v>0</v>
      </c>
      <c r="K23" s="458">
        <f t="shared" si="212"/>
        <v>0</v>
      </c>
      <c r="L23" s="458">
        <f t="shared" si="212"/>
        <v>0</v>
      </c>
      <c r="M23" s="459">
        <f t="shared" si="212"/>
        <v>0</v>
      </c>
      <c r="N23" s="458">
        <f t="shared" si="212"/>
        <v>0</v>
      </c>
      <c r="O23" s="459">
        <f t="shared" si="212"/>
        <v>0</v>
      </c>
      <c r="P23" s="459">
        <f t="shared" si="212"/>
        <v>0</v>
      </c>
      <c r="Q23" s="459">
        <f t="shared" si="212"/>
        <v>0</v>
      </c>
      <c r="R23" s="458">
        <f t="shared" si="212"/>
        <v>0</v>
      </c>
      <c r="S23" s="458">
        <f t="shared" si="212"/>
        <v>0</v>
      </c>
      <c r="T23" s="459">
        <f t="shared" si="212"/>
        <v>70</v>
      </c>
      <c r="U23" s="459">
        <f t="shared" si="212"/>
        <v>500</v>
      </c>
      <c r="V23" s="459">
        <f t="shared" si="212"/>
        <v>1130</v>
      </c>
      <c r="W23" s="459">
        <f t="shared" si="212"/>
        <v>1550</v>
      </c>
      <c r="X23" s="459">
        <f t="shared" si="212"/>
        <v>2260</v>
      </c>
      <c r="Y23" s="459">
        <f t="shared" si="212"/>
        <v>2700</v>
      </c>
      <c r="Z23" s="459">
        <f t="shared" si="212"/>
        <v>3520</v>
      </c>
      <c r="AA23" s="459">
        <f t="shared" si="212"/>
        <v>4140</v>
      </c>
      <c r="AB23" s="459">
        <f t="shared" si="212"/>
        <v>4750</v>
      </c>
      <c r="AC23" s="460">
        <f t="shared" ref="AC23" si="213">AB23+AC22</f>
        <v>5240</v>
      </c>
      <c r="AD23" s="461">
        <f t="shared" ref="AD23" si="214">AC23+AD22</f>
        <v>5690</v>
      </c>
      <c r="AE23" s="461">
        <f t="shared" ref="AE23" si="215">AD23+AE22</f>
        <v>6180</v>
      </c>
      <c r="AF23" s="461">
        <f t="shared" ref="AF23" si="216">AE23+AF22</f>
        <v>6610</v>
      </c>
      <c r="AG23" s="461">
        <f t="shared" ref="AG23:AH23" si="217">AF23+AG22</f>
        <v>6960</v>
      </c>
      <c r="AH23" s="461">
        <f t="shared" si="217"/>
        <v>7320</v>
      </c>
      <c r="AI23" s="462">
        <f>GA23</f>
        <v>7740</v>
      </c>
      <c r="AJ23" s="461">
        <f t="shared" ref="AJ23" si="218">AI23+AJ22</f>
        <v>8320</v>
      </c>
      <c r="AK23" s="461">
        <f t="shared" ref="AK23" si="219">AJ23+AK22</f>
        <v>8900</v>
      </c>
      <c r="AL23" s="461">
        <f t="shared" ref="AL23:AM23" si="220">AK23+AL22</f>
        <v>9302</v>
      </c>
      <c r="AM23" s="491">
        <f t="shared" si="220"/>
        <v>9596</v>
      </c>
      <c r="AN23" s="467">
        <f t="shared" ref="AN23" si="221">AM23+AN22</f>
        <v>9596</v>
      </c>
      <c r="AO23" s="495">
        <f t="shared" ref="AO23" si="222">AN23+AO22</f>
        <v>9596</v>
      </c>
      <c r="AP23" s="471">
        <f t="shared" ref="AP23:AR23" si="223">AO23+AP22</f>
        <v>9596</v>
      </c>
      <c r="AQ23" s="471">
        <f t="shared" si="223"/>
        <v>9596</v>
      </c>
      <c r="AR23" s="471">
        <f t="shared" si="223"/>
        <v>9596</v>
      </c>
      <c r="AS23" s="471">
        <f t="shared" ref="AS23:AZ23" si="224">AR23+AS22</f>
        <v>9596</v>
      </c>
      <c r="AT23" s="466">
        <f t="shared" si="224"/>
        <v>9596</v>
      </c>
      <c r="AU23" s="466">
        <f t="shared" si="224"/>
        <v>9596</v>
      </c>
      <c r="AV23" s="466">
        <v>0</v>
      </c>
      <c r="AW23" s="466">
        <f t="shared" si="224"/>
        <v>0</v>
      </c>
      <c r="AX23" s="466">
        <f t="shared" si="224"/>
        <v>0</v>
      </c>
      <c r="AY23" s="466">
        <f t="shared" si="224"/>
        <v>72</v>
      </c>
      <c r="AZ23" s="466">
        <f t="shared" si="224"/>
        <v>114</v>
      </c>
      <c r="BA23" s="466">
        <f t="shared" ref="BA23" si="225">AZ23+BA22</f>
        <v>198</v>
      </c>
      <c r="BB23" s="466">
        <f t="shared" ref="BB23" si="226">BA23+BB22</f>
        <v>258</v>
      </c>
      <c r="BC23" s="466">
        <f t="shared" ref="BC23:BD23" si="227">BB23+BC22</f>
        <v>294</v>
      </c>
      <c r="BD23" s="466">
        <f t="shared" si="227"/>
        <v>294</v>
      </c>
      <c r="BE23" s="466">
        <f t="shared" ref="BE23:BF23" si="228">BD23+BE22</f>
        <v>294</v>
      </c>
      <c r="BF23" s="466">
        <f t="shared" si="228"/>
        <v>294</v>
      </c>
      <c r="BG23" s="466">
        <f t="shared" ref="BG23:BJ23" si="229">BF23+BG22</f>
        <v>294</v>
      </c>
      <c r="BH23" s="466">
        <f t="shared" si="229"/>
        <v>294</v>
      </c>
      <c r="BI23" s="466">
        <f t="shared" si="229"/>
        <v>294</v>
      </c>
      <c r="BJ23" s="466">
        <f t="shared" si="229"/>
        <v>294</v>
      </c>
      <c r="BK23" s="486">
        <v>0</v>
      </c>
      <c r="BL23" s="486">
        <f t="shared" ref="BL23:CQ23" si="230">BK23+BL22</f>
        <v>0</v>
      </c>
      <c r="BM23" s="486">
        <f t="shared" si="230"/>
        <v>0</v>
      </c>
      <c r="BN23" s="487">
        <f t="shared" si="230"/>
        <v>0</v>
      </c>
      <c r="BO23" s="486">
        <f t="shared" si="230"/>
        <v>0</v>
      </c>
      <c r="BP23" s="486">
        <f t="shared" si="230"/>
        <v>0</v>
      </c>
      <c r="BQ23" s="486">
        <f t="shared" si="230"/>
        <v>0</v>
      </c>
      <c r="BR23" s="488">
        <f t="shared" si="230"/>
        <v>0</v>
      </c>
      <c r="BS23" s="486">
        <f t="shared" si="230"/>
        <v>0</v>
      </c>
      <c r="BT23" s="486">
        <f t="shared" si="230"/>
        <v>0</v>
      </c>
      <c r="BU23" s="486">
        <f t="shared" si="230"/>
        <v>0</v>
      </c>
      <c r="BV23" s="489">
        <f t="shared" si="230"/>
        <v>0</v>
      </c>
      <c r="BW23" s="490">
        <f t="shared" si="230"/>
        <v>0</v>
      </c>
      <c r="BX23" s="486">
        <f t="shared" si="230"/>
        <v>0</v>
      </c>
      <c r="BY23" s="486">
        <f t="shared" si="230"/>
        <v>0</v>
      </c>
      <c r="BZ23" s="486">
        <f t="shared" si="230"/>
        <v>0</v>
      </c>
      <c r="CA23" s="489">
        <f t="shared" si="230"/>
        <v>0</v>
      </c>
      <c r="CB23" s="457">
        <f t="shared" si="230"/>
        <v>0</v>
      </c>
      <c r="CC23" s="486">
        <f t="shared" si="230"/>
        <v>0</v>
      </c>
      <c r="CD23" s="486">
        <f t="shared" si="230"/>
        <v>0</v>
      </c>
      <c r="CE23" s="489">
        <f t="shared" si="230"/>
        <v>0</v>
      </c>
      <c r="CF23" s="457">
        <f t="shared" si="230"/>
        <v>0</v>
      </c>
      <c r="CG23" s="486">
        <f t="shared" si="230"/>
        <v>0</v>
      </c>
      <c r="CH23" s="486">
        <f t="shared" si="230"/>
        <v>0</v>
      </c>
      <c r="CI23" s="486">
        <f t="shared" si="230"/>
        <v>0</v>
      </c>
      <c r="CJ23" s="489">
        <f t="shared" si="230"/>
        <v>0</v>
      </c>
      <c r="CK23" s="457">
        <f t="shared" si="230"/>
        <v>0</v>
      </c>
      <c r="CL23" s="486">
        <f t="shared" si="230"/>
        <v>0</v>
      </c>
      <c r="CM23" s="486">
        <f t="shared" si="230"/>
        <v>0</v>
      </c>
      <c r="CN23" s="489">
        <f t="shared" si="230"/>
        <v>0</v>
      </c>
      <c r="CO23" s="457">
        <f t="shared" si="230"/>
        <v>0</v>
      </c>
      <c r="CP23" s="486">
        <f t="shared" si="230"/>
        <v>0</v>
      </c>
      <c r="CQ23" s="486">
        <f t="shared" si="230"/>
        <v>0</v>
      </c>
      <c r="CR23" s="489">
        <f t="shared" ref="CR23:DW23" si="231">CQ23+CR22</f>
        <v>0</v>
      </c>
      <c r="CS23" s="457">
        <f t="shared" si="231"/>
        <v>0</v>
      </c>
      <c r="CT23" s="486">
        <f t="shared" si="231"/>
        <v>0</v>
      </c>
      <c r="CU23" s="486">
        <f t="shared" si="231"/>
        <v>0</v>
      </c>
      <c r="CV23" s="486">
        <f t="shared" si="231"/>
        <v>0</v>
      </c>
      <c r="CW23" s="487">
        <f t="shared" si="231"/>
        <v>0</v>
      </c>
      <c r="CX23" s="457">
        <f t="shared" si="231"/>
        <v>0</v>
      </c>
      <c r="CY23" s="486">
        <f t="shared" si="231"/>
        <v>0</v>
      </c>
      <c r="CZ23" s="486">
        <f t="shared" si="231"/>
        <v>0</v>
      </c>
      <c r="DA23" s="488">
        <f t="shared" si="231"/>
        <v>0</v>
      </c>
      <c r="DB23" s="457">
        <f t="shared" si="231"/>
        <v>0</v>
      </c>
      <c r="DC23" s="486">
        <f t="shared" si="231"/>
        <v>0</v>
      </c>
      <c r="DD23" s="486">
        <f t="shared" si="231"/>
        <v>0</v>
      </c>
      <c r="DE23" s="486">
        <f t="shared" si="231"/>
        <v>0</v>
      </c>
      <c r="DF23" s="487">
        <f t="shared" si="231"/>
        <v>0</v>
      </c>
      <c r="DG23" s="468">
        <f t="shared" si="231"/>
        <v>0</v>
      </c>
      <c r="DH23" s="467">
        <f t="shared" si="231"/>
        <v>0</v>
      </c>
      <c r="DI23" s="467">
        <f t="shared" si="231"/>
        <v>0</v>
      </c>
      <c r="DJ23" s="470">
        <f t="shared" si="231"/>
        <v>0</v>
      </c>
      <c r="DK23" s="468">
        <f t="shared" si="231"/>
        <v>0</v>
      </c>
      <c r="DL23" s="467">
        <f t="shared" si="231"/>
        <v>30</v>
      </c>
      <c r="DM23" s="467">
        <f t="shared" si="231"/>
        <v>50</v>
      </c>
      <c r="DN23" s="470">
        <f t="shared" si="231"/>
        <v>70</v>
      </c>
      <c r="DO23" s="468">
        <f t="shared" si="231"/>
        <v>180</v>
      </c>
      <c r="DP23" s="467">
        <f t="shared" si="231"/>
        <v>290</v>
      </c>
      <c r="DQ23" s="467">
        <f t="shared" si="231"/>
        <v>400</v>
      </c>
      <c r="DR23" s="470">
        <f t="shared" si="231"/>
        <v>500</v>
      </c>
      <c r="DS23" s="468">
        <f t="shared" si="231"/>
        <v>660</v>
      </c>
      <c r="DT23" s="467">
        <f t="shared" si="231"/>
        <v>820</v>
      </c>
      <c r="DU23" s="467">
        <f t="shared" si="231"/>
        <v>980</v>
      </c>
      <c r="DV23" s="467">
        <f t="shared" si="231"/>
        <v>980</v>
      </c>
      <c r="DW23" s="470">
        <f t="shared" si="231"/>
        <v>1130</v>
      </c>
      <c r="DX23" s="468">
        <f t="shared" ref="DX23:EW23" si="232">DW23+DX22</f>
        <v>1240</v>
      </c>
      <c r="DY23" s="467">
        <f t="shared" si="232"/>
        <v>1350</v>
      </c>
      <c r="DZ23" s="467">
        <f t="shared" si="232"/>
        <v>1450</v>
      </c>
      <c r="EA23" s="470">
        <f t="shared" si="232"/>
        <v>1550</v>
      </c>
      <c r="EB23" s="468">
        <f t="shared" si="232"/>
        <v>1720</v>
      </c>
      <c r="EC23" s="467">
        <f t="shared" si="232"/>
        <v>1900</v>
      </c>
      <c r="ED23" s="467">
        <f t="shared" si="232"/>
        <v>2080</v>
      </c>
      <c r="EE23" s="470">
        <f t="shared" si="232"/>
        <v>2260</v>
      </c>
      <c r="EF23" s="468">
        <f t="shared" si="232"/>
        <v>2370</v>
      </c>
      <c r="EG23" s="467">
        <f t="shared" si="232"/>
        <v>2480</v>
      </c>
      <c r="EH23" s="467">
        <f t="shared" si="232"/>
        <v>2480</v>
      </c>
      <c r="EI23" s="472">
        <f t="shared" si="232"/>
        <v>2590</v>
      </c>
      <c r="EJ23" s="474">
        <f t="shared" si="232"/>
        <v>2700</v>
      </c>
      <c r="EK23" s="468">
        <f t="shared" si="232"/>
        <v>2900</v>
      </c>
      <c r="EL23" s="467">
        <f t="shared" si="232"/>
        <v>3110</v>
      </c>
      <c r="EM23" s="467">
        <f t="shared" si="232"/>
        <v>3310</v>
      </c>
      <c r="EN23" s="470">
        <f t="shared" si="232"/>
        <v>3520</v>
      </c>
      <c r="EO23" s="468">
        <f t="shared" si="232"/>
        <v>3650</v>
      </c>
      <c r="EP23" s="467">
        <f t="shared" si="232"/>
        <v>3780</v>
      </c>
      <c r="EQ23" s="467">
        <f t="shared" si="232"/>
        <v>3900</v>
      </c>
      <c r="ER23" s="472">
        <f t="shared" si="232"/>
        <v>4020</v>
      </c>
      <c r="ES23" s="474">
        <f t="shared" si="232"/>
        <v>4140</v>
      </c>
      <c r="ET23" s="468">
        <f t="shared" si="232"/>
        <v>4300</v>
      </c>
      <c r="EU23" s="467">
        <f t="shared" si="232"/>
        <v>4450</v>
      </c>
      <c r="EV23" s="467">
        <f t="shared" si="232"/>
        <v>4600</v>
      </c>
      <c r="EW23" s="472">
        <f t="shared" si="232"/>
        <v>4750</v>
      </c>
      <c r="EX23" s="463">
        <f t="shared" ref="EX23" si="233">EW23+EX22</f>
        <v>4880</v>
      </c>
      <c r="EY23" s="461">
        <f t="shared" ref="EY23" si="234">EX23+EY22</f>
        <v>5000</v>
      </c>
      <c r="EZ23" s="461">
        <f t="shared" ref="EZ23" si="235">EY23+EZ22</f>
        <v>5120</v>
      </c>
      <c r="FA23" s="492">
        <f t="shared" ref="FA23" si="236">EZ23+FA22</f>
        <v>5240</v>
      </c>
      <c r="FB23" s="463">
        <f t="shared" ref="FB23" si="237">FA23+FB22</f>
        <v>5330</v>
      </c>
      <c r="FC23" s="461">
        <f t="shared" ref="FC23" si="238">FB23+FC22</f>
        <v>5420</v>
      </c>
      <c r="FD23" s="461">
        <f t="shared" ref="FD23" si="239">FC23+FD22</f>
        <v>5510</v>
      </c>
      <c r="FE23" s="461">
        <f t="shared" ref="FE23" si="240">FD23+FE22</f>
        <v>5600</v>
      </c>
      <c r="FF23" s="492">
        <f t="shared" ref="FF23" si="241">FE23+FF22</f>
        <v>5690</v>
      </c>
      <c r="FG23" s="464">
        <f t="shared" ref="FG23" si="242">FF23+FG22</f>
        <v>5850</v>
      </c>
      <c r="FH23" s="461">
        <f t="shared" ref="FH23" si="243">FG23+FH22</f>
        <v>6010</v>
      </c>
      <c r="FI23" s="461">
        <f t="shared" ref="FI23" si="244">FH23+FI22</f>
        <v>6180</v>
      </c>
      <c r="FJ23" s="492">
        <f t="shared" ref="FJ23" si="245">FI23+FJ22</f>
        <v>6180</v>
      </c>
      <c r="FK23" s="464">
        <f t="shared" ref="FK23" si="246">FJ23+FK22</f>
        <v>6280</v>
      </c>
      <c r="FL23" s="461">
        <f t="shared" ref="FL23" si="247">FK23+FL22</f>
        <v>6390</v>
      </c>
      <c r="FM23" s="461">
        <f t="shared" ref="FM23" si="248">FL23+FM22</f>
        <v>6510</v>
      </c>
      <c r="FN23" s="492">
        <f t="shared" ref="FN23" si="249">FM23+FN22</f>
        <v>6610</v>
      </c>
      <c r="FO23" s="464">
        <f t="shared" ref="FO23" si="250">FN23+FO22</f>
        <v>6710</v>
      </c>
      <c r="FP23" s="461">
        <f t="shared" ref="FP23" si="251">FO23+FP22</f>
        <v>6810</v>
      </c>
      <c r="FQ23" s="461">
        <f t="shared" ref="FQ23" si="252">FP23+FQ22</f>
        <v>6910</v>
      </c>
      <c r="FR23" s="492">
        <f t="shared" ref="FR23" si="253">FQ23+FR22</f>
        <v>6960</v>
      </c>
      <c r="FS23" s="464">
        <f t="shared" ref="FS23" si="254">FR23+FS22</f>
        <v>7060</v>
      </c>
      <c r="FT23" s="461">
        <f t="shared" ref="FT23" si="255">FS23+FT22</f>
        <v>7060</v>
      </c>
      <c r="FU23" s="461">
        <f t="shared" ref="FU23" si="256">FT23+FU22</f>
        <v>7160</v>
      </c>
      <c r="FV23" s="461">
        <f t="shared" ref="FV23:FW23" si="257">FU23+FV22</f>
        <v>7240</v>
      </c>
      <c r="FW23" s="492">
        <f t="shared" si="257"/>
        <v>7320</v>
      </c>
      <c r="FX23" s="464">
        <f t="shared" ref="FX23" si="258">FW23+FX22</f>
        <v>7460</v>
      </c>
      <c r="FY23" s="461">
        <f t="shared" ref="FY23" si="259">FX23+FY22</f>
        <v>7600</v>
      </c>
      <c r="FZ23" s="461">
        <f t="shared" ref="FZ23" si="260">FY23+FZ22</f>
        <v>7740</v>
      </c>
      <c r="GA23" s="492">
        <f t="shared" ref="GA23" si="261">FZ23+GA22</f>
        <v>7740</v>
      </c>
      <c r="GB23" s="464">
        <f t="shared" ref="GB23" si="262">GA23+GB22</f>
        <v>7880</v>
      </c>
      <c r="GC23" s="461">
        <f t="shared" ref="GC23" si="263">GB23+GC22</f>
        <v>8030</v>
      </c>
      <c r="GD23" s="461">
        <f t="shared" ref="GD23" si="264">GC23+GD22</f>
        <v>8180</v>
      </c>
      <c r="GE23" s="492">
        <f t="shared" ref="GE23" si="265">GD23+GE22</f>
        <v>8320</v>
      </c>
      <c r="GF23" s="464">
        <f t="shared" ref="GF23" si="266">GE23+GF22</f>
        <v>8468</v>
      </c>
      <c r="GG23" s="461">
        <f t="shared" ref="GG23" si="267">GF23+GG22</f>
        <v>8612</v>
      </c>
      <c r="GH23" s="461">
        <f t="shared" ref="GH23" si="268">GG23+GH22</f>
        <v>8756</v>
      </c>
      <c r="GI23" s="461">
        <f t="shared" ref="GI23" si="269">GH23+GI22</f>
        <v>8756</v>
      </c>
      <c r="GJ23" s="496">
        <f t="shared" ref="GJ23" si="270">GI23+GJ22</f>
        <v>8900</v>
      </c>
      <c r="GK23" s="463">
        <f t="shared" ref="GK23" si="271">GJ23+GK22</f>
        <v>8996</v>
      </c>
      <c r="GL23" s="461">
        <f t="shared" ref="GL23" si="272">GK23+GL22</f>
        <v>9074</v>
      </c>
      <c r="GM23" s="461">
        <f t="shared" ref="GM23" si="273">GL23+GM22</f>
        <v>9152</v>
      </c>
      <c r="GN23" s="497">
        <f t="shared" ref="GN23" si="274">GM23+GN22</f>
        <v>9302</v>
      </c>
      <c r="GO23" s="463">
        <f t="shared" ref="GO23" si="275">GN23+GO22</f>
        <v>9452</v>
      </c>
      <c r="GP23" s="461">
        <f t="shared" ref="GP23" si="276">GO23+GP22</f>
        <v>9596</v>
      </c>
      <c r="GQ23" s="461">
        <f t="shared" ref="GQ23" si="277">GP23+GQ22</f>
        <v>9596</v>
      </c>
      <c r="GR23" s="460">
        <f t="shared" ref="GR23" si="278">GQ23+GR22</f>
        <v>9596</v>
      </c>
      <c r="GS23" s="492">
        <f t="shared" ref="GS23" si="279">GR23+GS22</f>
        <v>9596</v>
      </c>
      <c r="GT23" s="464">
        <f t="shared" ref="GT23" si="280">GS23+GT22</f>
        <v>9596</v>
      </c>
      <c r="GU23" s="461">
        <f t="shared" ref="GU23" si="281">GT23+GU22</f>
        <v>9596</v>
      </c>
      <c r="GV23" s="461">
        <f t="shared" ref="GV23" si="282">GU23+GV22</f>
        <v>9596</v>
      </c>
      <c r="GW23" s="497">
        <f t="shared" ref="GW23" si="283">GV23+GW22</f>
        <v>9596</v>
      </c>
      <c r="GX23" s="498">
        <f t="shared" ref="GX23" si="284">GW23+GX22</f>
        <v>9596</v>
      </c>
      <c r="GY23" s="466">
        <f t="shared" ref="GY23" si="285">GX23+GY22</f>
        <v>9596</v>
      </c>
      <c r="GZ23" s="466">
        <f t="shared" ref="GZ23" si="286">GY23+GZ22</f>
        <v>9596</v>
      </c>
      <c r="HA23" s="499">
        <f t="shared" ref="HA23" si="287">GZ23+HA22</f>
        <v>9596</v>
      </c>
      <c r="HB23" s="498">
        <f t="shared" ref="HB23" si="288">HA23+HB22</f>
        <v>9596</v>
      </c>
      <c r="HC23" s="466">
        <f t="shared" ref="HC23" si="289">HB23+HC22</f>
        <v>9596</v>
      </c>
      <c r="HD23" s="466">
        <f t="shared" ref="HD23" si="290">HC23+HD22</f>
        <v>9596</v>
      </c>
      <c r="HE23" s="466">
        <f t="shared" ref="HE23" si="291">HD23+HE22</f>
        <v>9596</v>
      </c>
      <c r="HF23" s="500">
        <f t="shared" ref="HF23" si="292">HE23+HF22</f>
        <v>9596</v>
      </c>
      <c r="HG23" s="498">
        <f t="shared" ref="HG23" si="293">HF23+HG22</f>
        <v>9596</v>
      </c>
      <c r="HH23" s="466">
        <f t="shared" ref="HH23" si="294">HG23+HH22</f>
        <v>9596</v>
      </c>
      <c r="HI23" s="466">
        <f t="shared" ref="HI23" si="295">HH23+HI22</f>
        <v>9596</v>
      </c>
      <c r="HJ23" s="500">
        <f t="shared" ref="HJ23:HN23" si="296">HI23+HJ22</f>
        <v>9596</v>
      </c>
      <c r="HK23" s="476">
        <f t="shared" si="296"/>
        <v>9596</v>
      </c>
      <c r="HL23" s="477">
        <f t="shared" si="296"/>
        <v>9596</v>
      </c>
      <c r="HM23" s="477">
        <f t="shared" si="296"/>
        <v>9596</v>
      </c>
      <c r="HN23" s="478">
        <f t="shared" si="296"/>
        <v>9596</v>
      </c>
      <c r="HO23" s="476">
        <f t="shared" ref="HO23" si="297">HN23+HO22</f>
        <v>9596</v>
      </c>
      <c r="HP23" s="477">
        <f t="shared" ref="HP23" si="298">HO23+HP22</f>
        <v>9596</v>
      </c>
      <c r="HQ23" s="477">
        <f t="shared" ref="HQ23" si="299">HP23+HQ22</f>
        <v>9596</v>
      </c>
      <c r="HR23" s="478">
        <f t="shared" ref="HR23" si="300">HQ23+HR22</f>
        <v>9596</v>
      </c>
      <c r="HS23" s="476">
        <f t="shared" ref="HS23" si="301">HR23+HS22</f>
        <v>9596</v>
      </c>
      <c r="HT23" s="477">
        <f t="shared" ref="HT23" si="302">HS23+HT22</f>
        <v>9596</v>
      </c>
      <c r="HU23" s="477">
        <f t="shared" ref="HU23" si="303">HT23+HU22</f>
        <v>9596</v>
      </c>
      <c r="HV23" s="478">
        <f t="shared" ref="HV23" si="304">HU23+HV22</f>
        <v>9596</v>
      </c>
      <c r="HW23" s="476">
        <f t="shared" ref="HW23" si="305">HV23+HW22</f>
        <v>9596</v>
      </c>
      <c r="HX23" s="477">
        <f t="shared" ref="HX23" si="306">HW23+HX22</f>
        <v>9596</v>
      </c>
      <c r="HY23" s="477">
        <f t="shared" ref="HY23" si="307">HX23+HY22</f>
        <v>9596</v>
      </c>
      <c r="HZ23" s="477">
        <f t="shared" ref="HZ23" si="308">HY23+HZ22</f>
        <v>9596</v>
      </c>
      <c r="IA23" s="478">
        <f t="shared" ref="IA23" si="309">HZ23+IA22</f>
        <v>9596</v>
      </c>
      <c r="IB23" s="479">
        <v>0</v>
      </c>
      <c r="IC23" s="477">
        <f t="shared" ref="IC23" si="310">IB23+IC22</f>
        <v>0</v>
      </c>
      <c r="ID23" s="477">
        <f t="shared" ref="ID23" si="311">IC23+ID22</f>
        <v>0</v>
      </c>
      <c r="IE23" s="478">
        <f>ID23+IE22</f>
        <v>0</v>
      </c>
      <c r="IF23" s="479">
        <f t="shared" ref="IF23" si="312">IE23+IF22</f>
        <v>0</v>
      </c>
      <c r="IG23" s="477">
        <f t="shared" ref="IG23" si="313">IF23+IG22</f>
        <v>0</v>
      </c>
      <c r="IH23" s="477">
        <f t="shared" ref="IH23" si="314">IG23+IH22</f>
        <v>0</v>
      </c>
      <c r="II23" s="477">
        <f t="shared" ref="II23" si="315">IH23+II22</f>
        <v>0</v>
      </c>
      <c r="IJ23" s="480">
        <f t="shared" ref="IJ23" si="316">II23+IJ22</f>
        <v>0</v>
      </c>
      <c r="IK23" s="476">
        <f t="shared" ref="IK23" si="317">IJ23+IK22</f>
        <v>0</v>
      </c>
      <c r="IL23" s="477">
        <f t="shared" ref="IL23" si="318">IK23+IL22</f>
        <v>0</v>
      </c>
      <c r="IM23" s="477">
        <f t="shared" ref="IM23" si="319">IL23+IM22</f>
        <v>0</v>
      </c>
      <c r="IN23" s="478">
        <f>IM23+IN22</f>
        <v>0</v>
      </c>
      <c r="IO23" s="476">
        <f t="shared" ref="IO23" si="320">IN23+IO22</f>
        <v>24</v>
      </c>
      <c r="IP23" s="477">
        <f t="shared" ref="IP23" si="321">IO23+IP22</f>
        <v>48</v>
      </c>
      <c r="IQ23" s="477">
        <f t="shared" ref="IQ23" si="322">IP23+IQ22</f>
        <v>60</v>
      </c>
      <c r="IR23" s="478">
        <f t="shared" ref="IR23" si="323">IQ23+IR22</f>
        <v>72</v>
      </c>
      <c r="IS23" s="476">
        <f t="shared" ref="IS23" si="324">IR23+IS22</f>
        <v>90</v>
      </c>
      <c r="IT23" s="477">
        <f t="shared" ref="IT23" si="325">IS23+IT22</f>
        <v>102</v>
      </c>
      <c r="IU23" s="477">
        <f t="shared" ref="IU23" si="326">IT23+IU22</f>
        <v>114</v>
      </c>
      <c r="IV23" s="480">
        <f t="shared" ref="IV23:IW23" si="327">IU23+IV22</f>
        <v>114</v>
      </c>
      <c r="IW23" s="476">
        <f t="shared" si="327"/>
        <v>114</v>
      </c>
      <c r="IX23" s="479">
        <f t="shared" ref="IX23" si="328">IW23+IX22</f>
        <v>138</v>
      </c>
      <c r="IY23" s="477">
        <f t="shared" ref="IY23" si="329">IX23+IY22</f>
        <v>156</v>
      </c>
      <c r="IZ23" s="480">
        <f t="shared" ref="IZ23" si="330">IY23+IZ22</f>
        <v>174</v>
      </c>
      <c r="JA23" s="478">
        <f t="shared" ref="JA23" si="331">IZ23+JA22</f>
        <v>198</v>
      </c>
      <c r="JB23" s="476">
        <f t="shared" ref="JB23" si="332">JA23+JB22</f>
        <v>222</v>
      </c>
      <c r="JC23" s="477">
        <f t="shared" ref="JC23" si="333">JB23+JC22</f>
        <v>240</v>
      </c>
      <c r="JD23" s="477">
        <f t="shared" ref="JD23" si="334">JC23+JD22</f>
        <v>258</v>
      </c>
      <c r="JE23" s="478">
        <f t="shared" ref="JE23" si="335">JD23+JE22</f>
        <v>258</v>
      </c>
      <c r="JF23" s="476">
        <f t="shared" ref="JF23" si="336">JE23+JF22</f>
        <v>276</v>
      </c>
      <c r="JG23" s="477">
        <f t="shared" ref="JG23" si="337">JF23+JG22</f>
        <v>294</v>
      </c>
      <c r="JH23" s="477">
        <f t="shared" ref="JH23" si="338">JG23+JH22</f>
        <v>294</v>
      </c>
      <c r="JI23" s="478">
        <f t="shared" ref="JI23" si="339">JH23+JI22</f>
        <v>294</v>
      </c>
      <c r="JJ23" s="611">
        <f t="shared" ref="JJ23" si="340">JI23+JJ22</f>
        <v>294</v>
      </c>
      <c r="JK23" s="477">
        <f t="shared" ref="JK23" si="341">JJ23+JK22</f>
        <v>294</v>
      </c>
      <c r="JL23" s="477">
        <f t="shared" ref="JL23" si="342">JK23+JL22</f>
        <v>294</v>
      </c>
      <c r="JM23" s="478">
        <f t="shared" ref="JM23" si="343">JL23+JM22</f>
        <v>294</v>
      </c>
      <c r="JN23" s="476">
        <f>JM23+JN22</f>
        <v>294</v>
      </c>
      <c r="JO23" s="477">
        <f>JN23+JO22</f>
        <v>294</v>
      </c>
      <c r="JP23" s="477">
        <f>JO23+JP22</f>
        <v>294</v>
      </c>
      <c r="JQ23" s="477">
        <f t="shared" ref="JQ23" si="344">JP23+JQ22</f>
        <v>294</v>
      </c>
      <c r="JR23" s="478">
        <f t="shared" ref="JR23" si="345">JQ23+JR22</f>
        <v>294</v>
      </c>
      <c r="JS23" s="476">
        <f>JR23+JS22</f>
        <v>294</v>
      </c>
      <c r="JT23" s="477">
        <f>JS23+JT22</f>
        <v>294</v>
      </c>
      <c r="JU23" s="477">
        <f>JT23+JU22</f>
        <v>294</v>
      </c>
      <c r="JV23" s="478">
        <f t="shared" ref="JV23" si="346">JU23+JV22</f>
        <v>294</v>
      </c>
      <c r="JW23" s="476">
        <f>JV23+JW22</f>
        <v>294</v>
      </c>
      <c r="JX23" s="477">
        <f>JW23+JX22</f>
        <v>294</v>
      </c>
      <c r="JY23" s="477">
        <f>JX23+JY22</f>
        <v>294</v>
      </c>
      <c r="JZ23" s="478">
        <f t="shared" ref="JZ23:KE23" si="347">JY23+JZ22</f>
        <v>294</v>
      </c>
      <c r="KA23" s="476">
        <f t="shared" si="347"/>
        <v>294</v>
      </c>
      <c r="KB23" s="477">
        <f t="shared" si="347"/>
        <v>294</v>
      </c>
      <c r="KC23" s="477">
        <f t="shared" si="347"/>
        <v>294</v>
      </c>
      <c r="KD23" s="480">
        <f t="shared" si="347"/>
        <v>294</v>
      </c>
      <c r="KE23" s="478">
        <f t="shared" si="347"/>
        <v>294</v>
      </c>
      <c r="KF23" s="476">
        <f t="shared" ref="KF23" si="348">KE23+KF22</f>
        <v>294</v>
      </c>
      <c r="KG23" s="477">
        <f t="shared" ref="KG23" si="349">KF23+KG22</f>
        <v>294</v>
      </c>
      <c r="KH23" s="477">
        <f t="shared" ref="KH23" si="350">KG23+KH22</f>
        <v>294</v>
      </c>
      <c r="KI23" s="478">
        <f t="shared" ref="KI23" si="351">KH23+KI22</f>
        <v>294</v>
      </c>
      <c r="KJ23" s="477">
        <f t="shared" ref="KJ23" si="352">KI23+KJ22</f>
        <v>294</v>
      </c>
      <c r="KK23" s="477">
        <f t="shared" ref="KK23" si="353">KJ23+KK22</f>
        <v>294</v>
      </c>
      <c r="KL23" s="477">
        <f t="shared" ref="KL23:KM23" si="354">KK23+KL22</f>
        <v>294</v>
      </c>
      <c r="KM23" s="477">
        <f t="shared" si="354"/>
        <v>294</v>
      </c>
      <c r="KN23" s="478">
        <f t="shared" ref="KN23" si="355">KL23+KN22</f>
        <v>294</v>
      </c>
    </row>
    <row r="24" spans="1:300" ht="36.75" customHeight="1">
      <c r="A24" s="481"/>
      <c r="B24" s="494"/>
      <c r="C24" s="667">
        <v>3</v>
      </c>
      <c r="D24" s="595" t="s">
        <v>152</v>
      </c>
      <c r="E24" s="439" t="s">
        <v>32</v>
      </c>
      <c r="F24" s="598" t="s">
        <v>154</v>
      </c>
      <c r="G24" s="440" t="s">
        <v>17</v>
      </c>
      <c r="H24" s="482">
        <v>930</v>
      </c>
      <c r="I24" s="441">
        <v>540</v>
      </c>
      <c r="J24" s="441">
        <v>290</v>
      </c>
      <c r="K24" s="441">
        <v>0</v>
      </c>
      <c r="L24" s="441">
        <v>0</v>
      </c>
      <c r="M24" s="441">
        <v>560</v>
      </c>
      <c r="N24" s="441">
        <v>550</v>
      </c>
      <c r="O24" s="517">
        <v>400</v>
      </c>
      <c r="P24" s="517">
        <v>650</v>
      </c>
      <c r="Q24" s="514"/>
      <c r="R24" s="514">
        <v>0</v>
      </c>
      <c r="S24" s="443">
        <v>0</v>
      </c>
      <c r="T24" s="444">
        <v>30</v>
      </c>
      <c r="U24" s="444">
        <v>120</v>
      </c>
      <c r="V24" s="444">
        <v>170</v>
      </c>
      <c r="W24" s="444">
        <v>170</v>
      </c>
      <c r="X24" s="444">
        <v>120</v>
      </c>
      <c r="Y24" s="444">
        <v>70</v>
      </c>
      <c r="Z24" s="444">
        <v>80</v>
      </c>
      <c r="AA24" s="444">
        <f>SUBTOTAL(9,EO24:ES24)</f>
        <v>80</v>
      </c>
      <c r="AB24" s="444">
        <f>SUBTOTAL(9,ET24:EW24)</f>
        <v>120</v>
      </c>
      <c r="AC24" s="483">
        <f>SUBTOTAL(9,EX24:FA24)</f>
        <v>130</v>
      </c>
      <c r="AD24" s="445">
        <f>SUBTOTAL(9,FB24:FF24)</f>
        <v>60</v>
      </c>
      <c r="AE24" s="445">
        <f>SUBTOTAL(9,FG24:FJ24)</f>
        <v>70</v>
      </c>
      <c r="AF24" s="445">
        <f>SUBTOTAL(9,FK24:FN24)</f>
        <v>50</v>
      </c>
      <c r="AG24" s="445">
        <f>SUBTOTAL(9,FO24:FR24)</f>
        <v>36</v>
      </c>
      <c r="AH24" s="445">
        <f>SUBTOTAL(9,FS24:FW24)</f>
        <v>0</v>
      </c>
      <c r="AI24" s="445">
        <f>SUBTOTAL(9,FX24:GA24)</f>
        <v>0</v>
      </c>
      <c r="AJ24" s="445">
        <f>SUBTOTAL(9,GB24:GE24)</f>
        <v>0</v>
      </c>
      <c r="AK24" s="445">
        <f>SUBTOTAL(9,GF24:GJ24)</f>
        <v>0</v>
      </c>
      <c r="AL24" s="446">
        <f>SUBTOTAL(9,GK24:GN24)</f>
        <v>0</v>
      </c>
      <c r="AM24" s="447">
        <f>SUBTOTAL(9,GO24:GS24)</f>
        <v>0</v>
      </c>
      <c r="AN24" s="448">
        <f>SUBTOTAL(9,GT24:GW24)</f>
        <v>0</v>
      </c>
      <c r="AO24" s="449">
        <f>SUM(GX24:HA24)</f>
        <v>0</v>
      </c>
      <c r="AP24" s="450">
        <f>SUM(HB24:HF24)</f>
        <v>0</v>
      </c>
      <c r="AQ24" s="450">
        <f>SUM(HG24:HJ24)</f>
        <v>0</v>
      </c>
      <c r="AR24" s="450">
        <f>SUM(HK24:HN24)</f>
        <v>0</v>
      </c>
      <c r="AS24" s="450">
        <f>SUM(HO24:HR24)</f>
        <v>0</v>
      </c>
      <c r="AT24" s="450">
        <f>SUM(HS24:HV24)</f>
        <v>0</v>
      </c>
      <c r="AU24" s="450">
        <f>SUM(HW24:IA24)</f>
        <v>0</v>
      </c>
      <c r="AV24" s="445">
        <f>SUM(IB24:IE24)</f>
        <v>0</v>
      </c>
      <c r="AW24" s="445">
        <f t="shared" ref="AW24" si="356">SUM(IF24:IJ24)</f>
        <v>0</v>
      </c>
      <c r="AX24" s="446">
        <f t="shared" ref="AX24" si="357">SUM(IK24:IN24)</f>
        <v>0</v>
      </c>
      <c r="AY24" s="446">
        <f t="shared" ref="AY24" si="358">SUM(IO24:IR24)</f>
        <v>576</v>
      </c>
      <c r="AZ24" s="446">
        <f t="shared" ref="AZ24" si="359">SUM(IS24:IV24)</f>
        <v>426</v>
      </c>
      <c r="BA24" s="446">
        <f t="shared" ref="BA24" si="360">SUM(IW24:JA24)</f>
        <v>570</v>
      </c>
      <c r="BB24" s="446">
        <f t="shared" ref="BB24" si="361">SUM(JB24:JE24)</f>
        <v>336</v>
      </c>
      <c r="BC24" s="446">
        <f t="shared" ref="BC24" si="362">SUM(JF24:JI24)</f>
        <v>192</v>
      </c>
      <c r="BD24" s="446">
        <f t="shared" ref="BD24" si="363">SUM(JJ24:JM24)</f>
        <v>16</v>
      </c>
      <c r="BE24" s="449">
        <f t="shared" ref="BE24" si="364">SUM(JN24:JR24)</f>
        <v>0</v>
      </c>
      <c r="BF24" s="449">
        <f t="shared" ref="BF24" si="365">SUM(JS24:JV24)</f>
        <v>0</v>
      </c>
      <c r="BG24" s="449">
        <f t="shared" ref="BG24" si="366">SUM(JW24:JZ24)</f>
        <v>0</v>
      </c>
      <c r="BH24" s="449">
        <f t="shared" ref="BH24" si="367">SUM(KA24:KE24)</f>
        <v>0</v>
      </c>
      <c r="BI24" s="449">
        <f t="shared" ref="BI24" si="368">SUM(KF24:KI24)</f>
        <v>0</v>
      </c>
      <c r="BJ24" s="449">
        <f t="shared" ref="BJ24" si="369">SUM(KJ24:KN24)</f>
        <v>0</v>
      </c>
      <c r="BK24" s="635">
        <v>680</v>
      </c>
      <c r="BL24" s="636">
        <v>230</v>
      </c>
      <c r="BM24" s="636">
        <v>230</v>
      </c>
      <c r="BN24" s="636">
        <v>230</v>
      </c>
      <c r="BO24" s="636">
        <v>140</v>
      </c>
      <c r="BP24" s="636">
        <v>140</v>
      </c>
      <c r="BQ24" s="636">
        <v>130</v>
      </c>
      <c r="BR24" s="636">
        <v>130</v>
      </c>
      <c r="BS24" s="636">
        <v>80</v>
      </c>
      <c r="BT24" s="636">
        <v>70</v>
      </c>
      <c r="BU24" s="636">
        <v>70</v>
      </c>
      <c r="BV24" s="636">
        <v>70</v>
      </c>
      <c r="BW24" s="636">
        <v>0</v>
      </c>
      <c r="BX24" s="636">
        <v>0</v>
      </c>
      <c r="BY24" s="636">
        <v>0</v>
      </c>
      <c r="BZ24" s="636">
        <v>0</v>
      </c>
      <c r="CA24" s="636">
        <v>0</v>
      </c>
      <c r="CB24" s="636">
        <v>0</v>
      </c>
      <c r="CC24" s="636">
        <v>0</v>
      </c>
      <c r="CD24" s="636">
        <v>0</v>
      </c>
      <c r="CE24" s="636">
        <v>0</v>
      </c>
      <c r="CF24" s="636">
        <v>140</v>
      </c>
      <c r="CG24" s="636">
        <v>140</v>
      </c>
      <c r="CH24" s="636">
        <v>0</v>
      </c>
      <c r="CI24" s="636">
        <v>140</v>
      </c>
      <c r="CJ24" s="636">
        <v>140</v>
      </c>
      <c r="CK24" s="636">
        <v>140</v>
      </c>
      <c r="CL24" s="636">
        <v>140</v>
      </c>
      <c r="CM24" s="636">
        <v>140</v>
      </c>
      <c r="CN24" s="636">
        <v>130</v>
      </c>
      <c r="CO24" s="636">
        <v>100</v>
      </c>
      <c r="CP24" s="636">
        <v>100</v>
      </c>
      <c r="CQ24" s="636">
        <v>100</v>
      </c>
      <c r="CR24" s="636">
        <v>100</v>
      </c>
      <c r="CS24" s="636">
        <v>130</v>
      </c>
      <c r="CT24" s="636">
        <v>130</v>
      </c>
      <c r="CU24" s="636">
        <v>130</v>
      </c>
      <c r="CV24" s="636">
        <v>130</v>
      </c>
      <c r="CW24" s="636">
        <v>130</v>
      </c>
      <c r="CX24" s="636">
        <v>130</v>
      </c>
      <c r="CY24" s="636">
        <v>130</v>
      </c>
      <c r="CZ24" s="636">
        <v>140</v>
      </c>
      <c r="DA24" s="636">
        <v>140</v>
      </c>
      <c r="DB24" s="636">
        <v>0</v>
      </c>
      <c r="DC24" s="636">
        <v>0</v>
      </c>
      <c r="DD24" s="636">
        <v>0</v>
      </c>
      <c r="DE24" s="636">
        <v>0</v>
      </c>
      <c r="DF24" s="636">
        <v>0</v>
      </c>
      <c r="DG24" s="636">
        <v>0</v>
      </c>
      <c r="DH24" s="636">
        <v>0</v>
      </c>
      <c r="DI24" s="636">
        <v>0</v>
      </c>
      <c r="DJ24" s="636">
        <v>0</v>
      </c>
      <c r="DK24" s="636">
        <v>0</v>
      </c>
      <c r="DL24" s="636">
        <v>10</v>
      </c>
      <c r="DM24" s="636">
        <v>10</v>
      </c>
      <c r="DN24" s="636">
        <v>10</v>
      </c>
      <c r="DO24" s="636">
        <v>30</v>
      </c>
      <c r="DP24" s="636">
        <v>30</v>
      </c>
      <c r="DQ24" s="636">
        <v>30</v>
      </c>
      <c r="DR24" s="636">
        <v>30</v>
      </c>
      <c r="DS24" s="636">
        <v>40</v>
      </c>
      <c r="DT24" s="636">
        <v>40</v>
      </c>
      <c r="DU24" s="636">
        <v>40</v>
      </c>
      <c r="DV24" s="636">
        <v>0</v>
      </c>
      <c r="DW24" s="636">
        <v>50</v>
      </c>
      <c r="DX24" s="636">
        <v>40</v>
      </c>
      <c r="DY24" s="636">
        <v>50</v>
      </c>
      <c r="DZ24" s="636">
        <v>40</v>
      </c>
      <c r="EA24" s="636">
        <v>40</v>
      </c>
      <c r="EB24" s="636">
        <v>30</v>
      </c>
      <c r="EC24" s="636">
        <v>30</v>
      </c>
      <c r="ED24" s="636">
        <v>30</v>
      </c>
      <c r="EE24" s="636">
        <v>30</v>
      </c>
      <c r="EF24" s="636">
        <v>10</v>
      </c>
      <c r="EG24" s="636">
        <v>20</v>
      </c>
      <c r="EH24" s="636">
        <v>2</v>
      </c>
      <c r="EI24" s="636">
        <v>20</v>
      </c>
      <c r="EJ24" s="636">
        <v>20</v>
      </c>
      <c r="EK24" s="636">
        <v>20</v>
      </c>
      <c r="EL24" s="636">
        <v>20</v>
      </c>
      <c r="EM24" s="636">
        <v>20</v>
      </c>
      <c r="EN24" s="636">
        <v>20</v>
      </c>
      <c r="EO24" s="636">
        <v>20</v>
      </c>
      <c r="EP24" s="636">
        <v>20</v>
      </c>
      <c r="EQ24" s="636">
        <v>20</v>
      </c>
      <c r="ER24" s="636">
        <v>10</v>
      </c>
      <c r="ES24" s="636">
        <v>10</v>
      </c>
      <c r="ET24" s="636">
        <v>30</v>
      </c>
      <c r="EU24" s="636">
        <v>30</v>
      </c>
      <c r="EV24" s="636">
        <v>30</v>
      </c>
      <c r="EW24" s="637">
        <v>30</v>
      </c>
      <c r="EX24" s="451">
        <v>40</v>
      </c>
      <c r="EY24" s="450">
        <v>30</v>
      </c>
      <c r="EZ24" s="450">
        <v>30</v>
      </c>
      <c r="FA24" s="452">
        <v>30</v>
      </c>
      <c r="FB24" s="451">
        <v>0</v>
      </c>
      <c r="FC24" s="450">
        <v>20</v>
      </c>
      <c r="FD24" s="450">
        <v>20</v>
      </c>
      <c r="FE24" s="450">
        <v>10</v>
      </c>
      <c r="FF24" s="452">
        <v>10</v>
      </c>
      <c r="FG24" s="453">
        <v>20</v>
      </c>
      <c r="FH24" s="450">
        <v>30</v>
      </c>
      <c r="FI24" s="450">
        <v>20</v>
      </c>
      <c r="FJ24" s="452">
        <v>0</v>
      </c>
      <c r="FK24" s="453">
        <v>20</v>
      </c>
      <c r="FL24" s="450">
        <v>10</v>
      </c>
      <c r="FM24" s="450">
        <v>20</v>
      </c>
      <c r="FN24" s="452">
        <v>0</v>
      </c>
      <c r="FO24" s="453">
        <v>10</v>
      </c>
      <c r="FP24" s="450">
        <v>0</v>
      </c>
      <c r="FQ24" s="450">
        <v>0</v>
      </c>
      <c r="FR24" s="452">
        <v>26</v>
      </c>
      <c r="FS24" s="453">
        <v>0</v>
      </c>
      <c r="FT24" s="450">
        <v>0</v>
      </c>
      <c r="FU24" s="450">
        <v>0</v>
      </c>
      <c r="FV24" s="450">
        <v>0</v>
      </c>
      <c r="FW24" s="452">
        <v>0</v>
      </c>
      <c r="FX24" s="453">
        <v>0</v>
      </c>
      <c r="FY24" s="450">
        <v>0</v>
      </c>
      <c r="FZ24" s="450">
        <v>0</v>
      </c>
      <c r="GA24" s="452">
        <v>0</v>
      </c>
      <c r="GB24" s="453">
        <v>0</v>
      </c>
      <c r="GC24" s="450">
        <v>0</v>
      </c>
      <c r="GD24" s="450">
        <v>0</v>
      </c>
      <c r="GE24" s="452">
        <v>0</v>
      </c>
      <c r="GF24" s="453">
        <v>0</v>
      </c>
      <c r="GG24" s="450">
        <v>0</v>
      </c>
      <c r="GH24" s="450">
        <v>0</v>
      </c>
      <c r="GI24" s="450">
        <v>0</v>
      </c>
      <c r="GJ24" s="484">
        <v>0</v>
      </c>
      <c r="GK24" s="451">
        <v>0</v>
      </c>
      <c r="GL24" s="450">
        <v>0</v>
      </c>
      <c r="GM24" s="450">
        <v>0</v>
      </c>
      <c r="GN24" s="485">
        <v>0</v>
      </c>
      <c r="GO24" s="451">
        <v>0</v>
      </c>
      <c r="GP24" s="450">
        <v>0</v>
      </c>
      <c r="GQ24" s="450">
        <v>0</v>
      </c>
      <c r="GR24" s="449">
        <v>0</v>
      </c>
      <c r="GS24" s="452"/>
      <c r="GT24" s="453">
        <v>0</v>
      </c>
      <c r="GU24" s="450">
        <v>0</v>
      </c>
      <c r="GV24" s="450">
        <v>0</v>
      </c>
      <c r="GW24" s="485">
        <v>0</v>
      </c>
      <c r="GX24" s="451"/>
      <c r="GY24" s="450"/>
      <c r="GZ24" s="450"/>
      <c r="HA24" s="485"/>
      <c r="HB24" s="451"/>
      <c r="HC24" s="450"/>
      <c r="HD24" s="450"/>
      <c r="HE24" s="450"/>
      <c r="HF24" s="452"/>
      <c r="HG24" s="451"/>
      <c r="HH24" s="450"/>
      <c r="HI24" s="450"/>
      <c r="HJ24" s="452"/>
      <c r="HK24" s="451"/>
      <c r="HL24" s="450"/>
      <c r="HM24" s="450"/>
      <c r="HN24" s="452"/>
      <c r="HO24" s="451"/>
      <c r="HP24" s="450"/>
      <c r="HQ24" s="450"/>
      <c r="HR24" s="452"/>
      <c r="HS24" s="451"/>
      <c r="HT24" s="450"/>
      <c r="HU24" s="450"/>
      <c r="HV24" s="452"/>
      <c r="HW24" s="451"/>
      <c r="HX24" s="450"/>
      <c r="HY24" s="450"/>
      <c r="HZ24" s="450"/>
      <c r="IA24" s="452"/>
      <c r="IB24" s="453"/>
      <c r="IC24" s="450"/>
      <c r="ID24" s="450"/>
      <c r="IE24" s="452"/>
      <c r="IF24" s="453"/>
      <c r="IG24" s="450"/>
      <c r="IH24" s="450"/>
      <c r="II24" s="450"/>
      <c r="IJ24" s="449"/>
      <c r="IK24" s="451"/>
      <c r="IL24" s="450"/>
      <c r="IM24" s="450"/>
      <c r="IN24" s="452"/>
      <c r="IO24" s="451">
        <v>186</v>
      </c>
      <c r="IP24" s="450">
        <v>186</v>
      </c>
      <c r="IQ24" s="450">
        <v>102</v>
      </c>
      <c r="IR24" s="452">
        <v>102</v>
      </c>
      <c r="IS24" s="451">
        <v>108</v>
      </c>
      <c r="IT24" s="450">
        <v>108</v>
      </c>
      <c r="IU24" s="450">
        <v>108</v>
      </c>
      <c r="IV24" s="449">
        <v>102</v>
      </c>
      <c r="IW24" s="451">
        <v>102</v>
      </c>
      <c r="IX24" s="453">
        <v>114</v>
      </c>
      <c r="IY24" s="450">
        <v>114</v>
      </c>
      <c r="IZ24" s="449">
        <v>114</v>
      </c>
      <c r="JA24" s="452">
        <v>126</v>
      </c>
      <c r="JB24" s="451">
        <v>84</v>
      </c>
      <c r="JC24" s="450">
        <v>84</v>
      </c>
      <c r="JD24" s="450">
        <v>84</v>
      </c>
      <c r="JE24" s="452">
        <v>84</v>
      </c>
      <c r="JF24" s="451">
        <v>48</v>
      </c>
      <c r="JG24" s="450">
        <v>48</v>
      </c>
      <c r="JH24" s="450">
        <v>48</v>
      </c>
      <c r="JI24" s="452">
        <v>48</v>
      </c>
      <c r="JJ24" s="451">
        <v>0</v>
      </c>
      <c r="JK24" s="450">
        <v>16</v>
      </c>
      <c r="JL24" s="450">
        <v>0</v>
      </c>
      <c r="JM24" s="452">
        <v>0</v>
      </c>
      <c r="JN24" s="451">
        <v>0</v>
      </c>
      <c r="JO24" s="450">
        <v>0</v>
      </c>
      <c r="JP24" s="450">
        <v>0</v>
      </c>
      <c r="JQ24" s="449">
        <v>0</v>
      </c>
      <c r="JR24" s="452">
        <v>0</v>
      </c>
      <c r="JS24" s="451">
        <v>0</v>
      </c>
      <c r="JT24" s="450">
        <v>0</v>
      </c>
      <c r="JU24" s="450">
        <v>0</v>
      </c>
      <c r="JV24" s="452">
        <v>0</v>
      </c>
      <c r="JW24" s="451">
        <v>0</v>
      </c>
      <c r="JX24" s="450">
        <v>0</v>
      </c>
      <c r="JY24" s="450">
        <v>0</v>
      </c>
      <c r="JZ24" s="452">
        <v>0</v>
      </c>
      <c r="KA24" s="451">
        <v>0</v>
      </c>
      <c r="KB24" s="450">
        <v>0</v>
      </c>
      <c r="KC24" s="450">
        <v>0</v>
      </c>
      <c r="KD24" s="449">
        <v>0</v>
      </c>
      <c r="KE24" s="452">
        <v>0</v>
      </c>
      <c r="KF24" s="451">
        <v>0</v>
      </c>
      <c r="KG24" s="450">
        <v>0</v>
      </c>
      <c r="KH24" s="450">
        <v>0</v>
      </c>
      <c r="KI24" s="452">
        <v>0</v>
      </c>
      <c r="KJ24" s="451">
        <v>0</v>
      </c>
      <c r="KK24" s="450">
        <v>0</v>
      </c>
      <c r="KL24" s="450">
        <v>0</v>
      </c>
      <c r="KM24" s="450">
        <v>0</v>
      </c>
      <c r="KN24" s="452">
        <v>0</v>
      </c>
    </row>
    <row r="25" spans="1:300" ht="36.75" customHeight="1" thickBot="1">
      <c r="A25" s="481"/>
      <c r="B25" s="494"/>
      <c r="C25" s="668"/>
      <c r="D25" s="597" t="s">
        <v>164</v>
      </c>
      <c r="E25" s="455"/>
      <c r="F25" s="599"/>
      <c r="G25" s="456" t="s">
        <v>18</v>
      </c>
      <c r="H25" s="463">
        <v>11864</v>
      </c>
      <c r="I25" s="461">
        <f>H25+I24</f>
        <v>12404</v>
      </c>
      <c r="J25" s="461">
        <f>I25+J24</f>
        <v>12694</v>
      </c>
      <c r="K25" s="461">
        <v>0</v>
      </c>
      <c r="L25" s="461">
        <f>K25+L24</f>
        <v>0</v>
      </c>
      <c r="M25" s="460">
        <f>L25+M24</f>
        <v>560</v>
      </c>
      <c r="N25" s="460">
        <f>M25+N24</f>
        <v>1110</v>
      </c>
      <c r="O25" s="460">
        <f>N25+O24</f>
        <v>1510</v>
      </c>
      <c r="P25" s="460">
        <f>O25+P24</f>
        <v>2160</v>
      </c>
      <c r="Q25" s="460">
        <v>0</v>
      </c>
      <c r="R25" s="458">
        <f t="shared" ref="R25:AB25" si="370">Q25+R24</f>
        <v>0</v>
      </c>
      <c r="S25" s="458">
        <f t="shared" si="370"/>
        <v>0</v>
      </c>
      <c r="T25" s="459">
        <f t="shared" si="370"/>
        <v>30</v>
      </c>
      <c r="U25" s="459">
        <f t="shared" si="370"/>
        <v>150</v>
      </c>
      <c r="V25" s="459">
        <f t="shared" si="370"/>
        <v>320</v>
      </c>
      <c r="W25" s="459">
        <f t="shared" si="370"/>
        <v>490</v>
      </c>
      <c r="X25" s="459">
        <f t="shared" si="370"/>
        <v>610</v>
      </c>
      <c r="Y25" s="459">
        <f t="shared" si="370"/>
        <v>680</v>
      </c>
      <c r="Z25" s="459">
        <f t="shared" si="370"/>
        <v>760</v>
      </c>
      <c r="AA25" s="459">
        <f t="shared" si="370"/>
        <v>840</v>
      </c>
      <c r="AB25" s="459">
        <f t="shared" si="370"/>
        <v>960</v>
      </c>
      <c r="AC25" s="460">
        <f t="shared" ref="AC25" si="371">AB25+AC24</f>
        <v>1090</v>
      </c>
      <c r="AD25" s="461">
        <f t="shared" ref="AD25" si="372">AC25+AD24</f>
        <v>1150</v>
      </c>
      <c r="AE25" s="461">
        <f t="shared" ref="AE25" si="373">AD25+AE24</f>
        <v>1220</v>
      </c>
      <c r="AF25" s="461">
        <f t="shared" ref="AF25" si="374">AE25+AF24</f>
        <v>1270</v>
      </c>
      <c r="AG25" s="461">
        <f t="shared" ref="AG25:AH25" si="375">AF25+AG24</f>
        <v>1306</v>
      </c>
      <c r="AH25" s="461">
        <f t="shared" si="375"/>
        <v>1306</v>
      </c>
      <c r="AI25" s="462">
        <f>GA25</f>
        <v>1308</v>
      </c>
      <c r="AJ25" s="461">
        <f t="shared" ref="AJ25" si="376">AI25+AJ24</f>
        <v>1308</v>
      </c>
      <c r="AK25" s="461">
        <f t="shared" ref="AK25" si="377">AJ25+AK24</f>
        <v>1308</v>
      </c>
      <c r="AL25" s="460">
        <f t="shared" ref="AL25:AM25" si="378">AK25+AL24</f>
        <v>1308</v>
      </c>
      <c r="AM25" s="463">
        <f t="shared" si="378"/>
        <v>1308</v>
      </c>
      <c r="AN25" s="464">
        <f t="shared" ref="AN25" si="379">AM25+AN24</f>
        <v>1308</v>
      </c>
      <c r="AO25" s="465">
        <f t="shared" ref="AO25" si="380">AN25+AO24</f>
        <v>1308</v>
      </c>
      <c r="AP25" s="466">
        <f t="shared" ref="AP25:AR25" si="381">AO25+AP24</f>
        <v>1308</v>
      </c>
      <c r="AQ25" s="466">
        <f t="shared" si="381"/>
        <v>1308</v>
      </c>
      <c r="AR25" s="466">
        <f t="shared" si="381"/>
        <v>1308</v>
      </c>
      <c r="AS25" s="466">
        <f t="shared" ref="AS25:AZ25" si="382">AR25+AS24</f>
        <v>1308</v>
      </c>
      <c r="AT25" s="466">
        <f t="shared" si="382"/>
        <v>1308</v>
      </c>
      <c r="AU25" s="466">
        <f t="shared" si="382"/>
        <v>1308</v>
      </c>
      <c r="AV25" s="466">
        <v>0</v>
      </c>
      <c r="AW25" s="466">
        <f t="shared" si="382"/>
        <v>0</v>
      </c>
      <c r="AX25" s="466">
        <f t="shared" si="382"/>
        <v>0</v>
      </c>
      <c r="AY25" s="466">
        <f t="shared" si="382"/>
        <v>576</v>
      </c>
      <c r="AZ25" s="466">
        <f t="shared" si="382"/>
        <v>1002</v>
      </c>
      <c r="BA25" s="466">
        <f t="shared" ref="BA25" si="383">AZ25+BA24</f>
        <v>1572</v>
      </c>
      <c r="BB25" s="466">
        <f t="shared" ref="BB25" si="384">BA25+BB24</f>
        <v>1908</v>
      </c>
      <c r="BC25" s="466">
        <f t="shared" ref="BC25:BD25" si="385">BB25+BC24</f>
        <v>2100</v>
      </c>
      <c r="BD25" s="466">
        <f t="shared" si="385"/>
        <v>2116</v>
      </c>
      <c r="BE25" s="466">
        <f t="shared" ref="BE25:BF25" si="386">BD25+BE24</f>
        <v>2116</v>
      </c>
      <c r="BF25" s="466">
        <f t="shared" si="386"/>
        <v>2116</v>
      </c>
      <c r="BG25" s="466">
        <f t="shared" ref="BG25:BJ25" si="387">BF25+BG24</f>
        <v>2116</v>
      </c>
      <c r="BH25" s="466">
        <f t="shared" si="387"/>
        <v>2116</v>
      </c>
      <c r="BI25" s="466">
        <f t="shared" si="387"/>
        <v>2116</v>
      </c>
      <c r="BJ25" s="466">
        <f t="shared" si="387"/>
        <v>2116</v>
      </c>
      <c r="BK25" s="518">
        <v>11174</v>
      </c>
      <c r="BL25" s="519">
        <f t="shared" ref="BL25:BV25" si="388">BK25+BL24</f>
        <v>11404</v>
      </c>
      <c r="BM25" s="519">
        <f t="shared" si="388"/>
        <v>11634</v>
      </c>
      <c r="BN25" s="519">
        <f t="shared" si="388"/>
        <v>11864</v>
      </c>
      <c r="BO25" s="519">
        <f t="shared" si="388"/>
        <v>12004</v>
      </c>
      <c r="BP25" s="519">
        <f t="shared" si="388"/>
        <v>12144</v>
      </c>
      <c r="BQ25" s="519">
        <f t="shared" si="388"/>
        <v>12274</v>
      </c>
      <c r="BR25" s="519">
        <f t="shared" si="388"/>
        <v>12404</v>
      </c>
      <c r="BS25" s="519">
        <f t="shared" si="388"/>
        <v>12484</v>
      </c>
      <c r="BT25" s="519">
        <f t="shared" si="388"/>
        <v>12554</v>
      </c>
      <c r="BU25" s="519">
        <f t="shared" si="388"/>
        <v>12624</v>
      </c>
      <c r="BV25" s="519">
        <f t="shared" si="388"/>
        <v>12694</v>
      </c>
      <c r="BW25" s="520">
        <v>0</v>
      </c>
      <c r="BX25" s="519">
        <f t="shared" ref="BX25:DA25" si="389">BW25+BX24</f>
        <v>0</v>
      </c>
      <c r="BY25" s="519">
        <f t="shared" si="389"/>
        <v>0</v>
      </c>
      <c r="BZ25" s="519">
        <f t="shared" si="389"/>
        <v>0</v>
      </c>
      <c r="CA25" s="519">
        <f t="shared" si="389"/>
        <v>0</v>
      </c>
      <c r="CB25" s="519">
        <f t="shared" si="389"/>
        <v>0</v>
      </c>
      <c r="CC25" s="519">
        <f t="shared" si="389"/>
        <v>0</v>
      </c>
      <c r="CD25" s="519">
        <f t="shared" si="389"/>
        <v>0</v>
      </c>
      <c r="CE25" s="519">
        <f t="shared" si="389"/>
        <v>0</v>
      </c>
      <c r="CF25" s="519">
        <f t="shared" si="389"/>
        <v>140</v>
      </c>
      <c r="CG25" s="519">
        <f t="shared" si="389"/>
        <v>280</v>
      </c>
      <c r="CH25" s="519">
        <f t="shared" si="389"/>
        <v>280</v>
      </c>
      <c r="CI25" s="519">
        <f t="shared" si="389"/>
        <v>420</v>
      </c>
      <c r="CJ25" s="519">
        <f t="shared" si="389"/>
        <v>560</v>
      </c>
      <c r="CK25" s="519">
        <f t="shared" si="389"/>
        <v>700</v>
      </c>
      <c r="CL25" s="519">
        <f t="shared" si="389"/>
        <v>840</v>
      </c>
      <c r="CM25" s="519">
        <f t="shared" si="389"/>
        <v>980</v>
      </c>
      <c r="CN25" s="519">
        <f t="shared" si="389"/>
        <v>1110</v>
      </c>
      <c r="CO25" s="519">
        <f t="shared" si="389"/>
        <v>1210</v>
      </c>
      <c r="CP25" s="519">
        <f t="shared" si="389"/>
        <v>1310</v>
      </c>
      <c r="CQ25" s="519">
        <f t="shared" si="389"/>
        <v>1410</v>
      </c>
      <c r="CR25" s="519">
        <f t="shared" si="389"/>
        <v>1510</v>
      </c>
      <c r="CS25" s="519">
        <f t="shared" si="389"/>
        <v>1640</v>
      </c>
      <c r="CT25" s="519">
        <f t="shared" si="389"/>
        <v>1770</v>
      </c>
      <c r="CU25" s="519">
        <f t="shared" si="389"/>
        <v>1900</v>
      </c>
      <c r="CV25" s="519">
        <f t="shared" si="389"/>
        <v>2030</v>
      </c>
      <c r="CW25" s="519">
        <f t="shared" si="389"/>
        <v>2160</v>
      </c>
      <c r="CX25" s="519">
        <f t="shared" si="389"/>
        <v>2290</v>
      </c>
      <c r="CY25" s="519">
        <f t="shared" si="389"/>
        <v>2420</v>
      </c>
      <c r="CZ25" s="519">
        <f t="shared" si="389"/>
        <v>2560</v>
      </c>
      <c r="DA25" s="519">
        <f t="shared" si="389"/>
        <v>2700</v>
      </c>
      <c r="DB25" s="519">
        <v>0</v>
      </c>
      <c r="DC25" s="519">
        <f t="shared" ref="DC25:EH25" si="390">DB25+DC24</f>
        <v>0</v>
      </c>
      <c r="DD25" s="519">
        <f t="shared" si="390"/>
        <v>0</v>
      </c>
      <c r="DE25" s="519">
        <f t="shared" si="390"/>
        <v>0</v>
      </c>
      <c r="DF25" s="519">
        <f t="shared" si="390"/>
        <v>0</v>
      </c>
      <c r="DG25" s="519">
        <f t="shared" si="390"/>
        <v>0</v>
      </c>
      <c r="DH25" s="519">
        <f t="shared" si="390"/>
        <v>0</v>
      </c>
      <c r="DI25" s="519">
        <f t="shared" si="390"/>
        <v>0</v>
      </c>
      <c r="DJ25" s="519">
        <f t="shared" si="390"/>
        <v>0</v>
      </c>
      <c r="DK25" s="519">
        <f t="shared" si="390"/>
        <v>0</v>
      </c>
      <c r="DL25" s="519">
        <f t="shared" si="390"/>
        <v>10</v>
      </c>
      <c r="DM25" s="519">
        <f t="shared" si="390"/>
        <v>20</v>
      </c>
      <c r="DN25" s="519">
        <f t="shared" si="390"/>
        <v>30</v>
      </c>
      <c r="DO25" s="519">
        <f t="shared" si="390"/>
        <v>60</v>
      </c>
      <c r="DP25" s="519">
        <f t="shared" si="390"/>
        <v>90</v>
      </c>
      <c r="DQ25" s="519">
        <f t="shared" si="390"/>
        <v>120</v>
      </c>
      <c r="DR25" s="519">
        <f t="shared" si="390"/>
        <v>150</v>
      </c>
      <c r="DS25" s="519">
        <f t="shared" si="390"/>
        <v>190</v>
      </c>
      <c r="DT25" s="519">
        <f t="shared" si="390"/>
        <v>230</v>
      </c>
      <c r="DU25" s="519">
        <f t="shared" si="390"/>
        <v>270</v>
      </c>
      <c r="DV25" s="519">
        <f t="shared" si="390"/>
        <v>270</v>
      </c>
      <c r="DW25" s="519">
        <f t="shared" si="390"/>
        <v>320</v>
      </c>
      <c r="DX25" s="519">
        <f t="shared" si="390"/>
        <v>360</v>
      </c>
      <c r="DY25" s="519">
        <f t="shared" si="390"/>
        <v>410</v>
      </c>
      <c r="DZ25" s="519">
        <f t="shared" si="390"/>
        <v>450</v>
      </c>
      <c r="EA25" s="519">
        <f t="shared" si="390"/>
        <v>490</v>
      </c>
      <c r="EB25" s="519">
        <f t="shared" si="390"/>
        <v>520</v>
      </c>
      <c r="EC25" s="519">
        <f t="shared" si="390"/>
        <v>550</v>
      </c>
      <c r="ED25" s="519">
        <f t="shared" si="390"/>
        <v>580</v>
      </c>
      <c r="EE25" s="519">
        <f t="shared" si="390"/>
        <v>610</v>
      </c>
      <c r="EF25" s="519">
        <f t="shared" si="390"/>
        <v>620</v>
      </c>
      <c r="EG25" s="519">
        <f t="shared" si="390"/>
        <v>640</v>
      </c>
      <c r="EH25" s="519">
        <f t="shared" si="390"/>
        <v>642</v>
      </c>
      <c r="EI25" s="519">
        <f t="shared" ref="EI25:EW25" si="391">EH25+EI24</f>
        <v>662</v>
      </c>
      <c r="EJ25" s="519">
        <f t="shared" si="391"/>
        <v>682</v>
      </c>
      <c r="EK25" s="519">
        <f t="shared" si="391"/>
        <v>702</v>
      </c>
      <c r="EL25" s="519">
        <f t="shared" si="391"/>
        <v>722</v>
      </c>
      <c r="EM25" s="519">
        <f t="shared" si="391"/>
        <v>742</v>
      </c>
      <c r="EN25" s="519">
        <f t="shared" si="391"/>
        <v>762</v>
      </c>
      <c r="EO25" s="519">
        <f t="shared" si="391"/>
        <v>782</v>
      </c>
      <c r="EP25" s="519">
        <f t="shared" si="391"/>
        <v>802</v>
      </c>
      <c r="EQ25" s="519">
        <f t="shared" si="391"/>
        <v>822</v>
      </c>
      <c r="ER25" s="519">
        <f t="shared" si="391"/>
        <v>832</v>
      </c>
      <c r="ES25" s="519">
        <f t="shared" si="391"/>
        <v>842</v>
      </c>
      <c r="ET25" s="519">
        <f t="shared" si="391"/>
        <v>872</v>
      </c>
      <c r="EU25" s="519">
        <f t="shared" si="391"/>
        <v>902</v>
      </c>
      <c r="EV25" s="519">
        <f t="shared" si="391"/>
        <v>932</v>
      </c>
      <c r="EW25" s="521">
        <f t="shared" si="391"/>
        <v>962</v>
      </c>
      <c r="EX25" s="463">
        <f t="shared" ref="EX25" si="392">EW25+EX24</f>
        <v>1002</v>
      </c>
      <c r="EY25" s="461">
        <f t="shared" ref="EY25" si="393">EX25+EY24</f>
        <v>1032</v>
      </c>
      <c r="EZ25" s="461">
        <f t="shared" ref="EZ25" si="394">EY25+EZ24</f>
        <v>1062</v>
      </c>
      <c r="FA25" s="492">
        <f t="shared" ref="FA25" si="395">EZ25+FA24</f>
        <v>1092</v>
      </c>
      <c r="FB25" s="463">
        <f t="shared" ref="FB25" si="396">FA25+FB24</f>
        <v>1092</v>
      </c>
      <c r="FC25" s="461">
        <f t="shared" ref="FC25" si="397">FB25+FC24</f>
        <v>1112</v>
      </c>
      <c r="FD25" s="461">
        <f t="shared" ref="FD25" si="398">FC25+FD24</f>
        <v>1132</v>
      </c>
      <c r="FE25" s="461">
        <f t="shared" ref="FE25" si="399">FD25+FE24</f>
        <v>1142</v>
      </c>
      <c r="FF25" s="492">
        <f t="shared" ref="FF25" si="400">FE25+FF24</f>
        <v>1152</v>
      </c>
      <c r="FG25" s="464">
        <f t="shared" ref="FG25" si="401">FF25+FG24</f>
        <v>1172</v>
      </c>
      <c r="FH25" s="461">
        <f t="shared" ref="FH25" si="402">FG25+FH24</f>
        <v>1202</v>
      </c>
      <c r="FI25" s="461">
        <f t="shared" ref="FI25" si="403">FH25+FI24</f>
        <v>1222</v>
      </c>
      <c r="FJ25" s="492">
        <f t="shared" ref="FJ25" si="404">FI25+FJ24</f>
        <v>1222</v>
      </c>
      <c r="FK25" s="464">
        <f t="shared" ref="FK25" si="405">FJ25+FK24</f>
        <v>1242</v>
      </c>
      <c r="FL25" s="461">
        <f t="shared" ref="FL25" si="406">FK25+FL24</f>
        <v>1252</v>
      </c>
      <c r="FM25" s="461">
        <f t="shared" ref="FM25" si="407">FL25+FM24</f>
        <v>1272</v>
      </c>
      <c r="FN25" s="492">
        <f t="shared" ref="FN25" si="408">FM25+FN24</f>
        <v>1272</v>
      </c>
      <c r="FO25" s="464">
        <f t="shared" ref="FO25" si="409">FN25+FO24</f>
        <v>1282</v>
      </c>
      <c r="FP25" s="461">
        <f t="shared" ref="FP25" si="410">FO25+FP24</f>
        <v>1282</v>
      </c>
      <c r="FQ25" s="461">
        <f t="shared" ref="FQ25" si="411">FP25+FQ24</f>
        <v>1282</v>
      </c>
      <c r="FR25" s="492">
        <f t="shared" ref="FR25" si="412">FQ25+FR24</f>
        <v>1308</v>
      </c>
      <c r="FS25" s="464">
        <f t="shared" ref="FS25" si="413">FR25+FS24</f>
        <v>1308</v>
      </c>
      <c r="FT25" s="461">
        <f t="shared" ref="FT25" si="414">FS25+FT24</f>
        <v>1308</v>
      </c>
      <c r="FU25" s="461">
        <f t="shared" ref="FU25" si="415">FT25+FU24</f>
        <v>1308</v>
      </c>
      <c r="FV25" s="461">
        <f t="shared" ref="FV25:FW25" si="416">FU25+FV24</f>
        <v>1308</v>
      </c>
      <c r="FW25" s="492">
        <f t="shared" si="416"/>
        <v>1308</v>
      </c>
      <c r="FX25" s="464">
        <f t="shared" ref="FX25" si="417">FW25+FX24</f>
        <v>1308</v>
      </c>
      <c r="FY25" s="461">
        <f t="shared" ref="FY25" si="418">FX25+FY24</f>
        <v>1308</v>
      </c>
      <c r="FZ25" s="461">
        <f t="shared" ref="FZ25" si="419">FY25+FZ24</f>
        <v>1308</v>
      </c>
      <c r="GA25" s="492">
        <f t="shared" ref="GA25" si="420">FZ25+GA24</f>
        <v>1308</v>
      </c>
      <c r="GB25" s="464">
        <f t="shared" ref="GB25" si="421">GA25+GB24</f>
        <v>1308</v>
      </c>
      <c r="GC25" s="461">
        <f t="shared" ref="GC25" si="422">GB25+GC24</f>
        <v>1308</v>
      </c>
      <c r="GD25" s="461">
        <f t="shared" ref="GD25" si="423">GC25+GD24</f>
        <v>1308</v>
      </c>
      <c r="GE25" s="492">
        <f t="shared" ref="GE25" si="424">GD25+GE24</f>
        <v>1308</v>
      </c>
      <c r="GF25" s="464">
        <f t="shared" ref="GF25" si="425">GE25+GF24</f>
        <v>1308</v>
      </c>
      <c r="GG25" s="461">
        <f t="shared" ref="GG25" si="426">GF25+GG24</f>
        <v>1308</v>
      </c>
      <c r="GH25" s="461">
        <f t="shared" ref="GH25" si="427">GG25+GH24</f>
        <v>1308</v>
      </c>
      <c r="GI25" s="461">
        <f t="shared" ref="GI25" si="428">GH25+GI24</f>
        <v>1308</v>
      </c>
      <c r="GJ25" s="496">
        <f t="shared" ref="GJ25" si="429">GI25+GJ24</f>
        <v>1308</v>
      </c>
      <c r="GK25" s="463">
        <f t="shared" ref="GK25" si="430">GJ25+GK24</f>
        <v>1308</v>
      </c>
      <c r="GL25" s="461">
        <f t="shared" ref="GL25" si="431">GK25+GL24</f>
        <v>1308</v>
      </c>
      <c r="GM25" s="461">
        <f t="shared" ref="GM25" si="432">GL25+GM24</f>
        <v>1308</v>
      </c>
      <c r="GN25" s="497">
        <f t="shared" ref="GN25" si="433">GM25+GN24</f>
        <v>1308</v>
      </c>
      <c r="GO25" s="463">
        <f t="shared" ref="GO25" si="434">GN25+GO24</f>
        <v>1308</v>
      </c>
      <c r="GP25" s="461">
        <f t="shared" ref="GP25" si="435">GO25+GP24</f>
        <v>1308</v>
      </c>
      <c r="GQ25" s="461">
        <f t="shared" ref="GQ25" si="436">GP25+GQ24</f>
        <v>1308</v>
      </c>
      <c r="GR25" s="460">
        <f t="shared" ref="GR25" si="437">GQ25+GR24</f>
        <v>1308</v>
      </c>
      <c r="GS25" s="492">
        <f t="shared" ref="GS25" si="438">GR25+GS24</f>
        <v>1308</v>
      </c>
      <c r="GT25" s="464">
        <f t="shared" ref="GT25" si="439">GS25+GT24</f>
        <v>1308</v>
      </c>
      <c r="GU25" s="461">
        <f t="shared" ref="GU25" si="440">GT25+GU24</f>
        <v>1308</v>
      </c>
      <c r="GV25" s="461">
        <f t="shared" ref="GV25" si="441">GU25+GV24</f>
        <v>1308</v>
      </c>
      <c r="GW25" s="497">
        <f t="shared" ref="GW25" si="442">GV25+GW24</f>
        <v>1308</v>
      </c>
      <c r="GX25" s="498">
        <f t="shared" ref="GX25" si="443">GW25+GX24</f>
        <v>1308</v>
      </c>
      <c r="GY25" s="466">
        <f t="shared" ref="GY25" si="444">GX25+GY24</f>
        <v>1308</v>
      </c>
      <c r="GZ25" s="466">
        <f t="shared" ref="GZ25" si="445">GY25+GZ24</f>
        <v>1308</v>
      </c>
      <c r="HA25" s="499">
        <f t="shared" ref="HA25" si="446">GZ25+HA24</f>
        <v>1308</v>
      </c>
      <c r="HB25" s="498">
        <f t="shared" ref="HB25" si="447">HA25+HB24</f>
        <v>1308</v>
      </c>
      <c r="HC25" s="466">
        <f t="shared" ref="HC25" si="448">HB25+HC24</f>
        <v>1308</v>
      </c>
      <c r="HD25" s="466">
        <f t="shared" ref="HD25" si="449">HC25+HD24</f>
        <v>1308</v>
      </c>
      <c r="HE25" s="466">
        <f t="shared" ref="HE25" si="450">HD25+HE24</f>
        <v>1308</v>
      </c>
      <c r="HF25" s="500">
        <f t="shared" ref="HF25" si="451">HE25+HF24</f>
        <v>1308</v>
      </c>
      <c r="HG25" s="498">
        <f t="shared" ref="HG25" si="452">HF25+HG24</f>
        <v>1308</v>
      </c>
      <c r="HH25" s="466">
        <f t="shared" ref="HH25" si="453">HG25+HH24</f>
        <v>1308</v>
      </c>
      <c r="HI25" s="466">
        <f t="shared" ref="HI25" si="454">HH25+HI24</f>
        <v>1308</v>
      </c>
      <c r="HJ25" s="500">
        <f t="shared" ref="HJ25:HN25" si="455">HI25+HJ24</f>
        <v>1308</v>
      </c>
      <c r="HK25" s="476">
        <f t="shared" si="455"/>
        <v>1308</v>
      </c>
      <c r="HL25" s="477">
        <f t="shared" si="455"/>
        <v>1308</v>
      </c>
      <c r="HM25" s="477">
        <f t="shared" si="455"/>
        <v>1308</v>
      </c>
      <c r="HN25" s="478">
        <f t="shared" si="455"/>
        <v>1308</v>
      </c>
      <c r="HO25" s="476">
        <f t="shared" ref="HO25" si="456">HN25+HO24</f>
        <v>1308</v>
      </c>
      <c r="HP25" s="477">
        <f t="shared" ref="HP25" si="457">HO25+HP24</f>
        <v>1308</v>
      </c>
      <c r="HQ25" s="477">
        <f t="shared" ref="HQ25" si="458">HP25+HQ24</f>
        <v>1308</v>
      </c>
      <c r="HR25" s="478">
        <f t="shared" ref="HR25" si="459">HQ25+HR24</f>
        <v>1308</v>
      </c>
      <c r="HS25" s="476">
        <f t="shared" ref="HS25" si="460">HR25+HS24</f>
        <v>1308</v>
      </c>
      <c r="HT25" s="477">
        <f t="shared" ref="HT25" si="461">HS25+HT24</f>
        <v>1308</v>
      </c>
      <c r="HU25" s="477">
        <f t="shared" ref="HU25" si="462">HT25+HU24</f>
        <v>1308</v>
      </c>
      <c r="HV25" s="478">
        <f t="shared" ref="HV25" si="463">HU25+HV24</f>
        <v>1308</v>
      </c>
      <c r="HW25" s="476">
        <f t="shared" ref="HW25" si="464">HV25+HW24</f>
        <v>1308</v>
      </c>
      <c r="HX25" s="477">
        <f t="shared" ref="HX25" si="465">HW25+HX24</f>
        <v>1308</v>
      </c>
      <c r="HY25" s="477">
        <f t="shared" ref="HY25" si="466">HX25+HY24</f>
        <v>1308</v>
      </c>
      <c r="HZ25" s="477">
        <f t="shared" ref="HZ25" si="467">HY25+HZ24</f>
        <v>1308</v>
      </c>
      <c r="IA25" s="478">
        <f t="shared" ref="IA25" si="468">HZ25+IA24</f>
        <v>1308</v>
      </c>
      <c r="IB25" s="479">
        <v>0</v>
      </c>
      <c r="IC25" s="477">
        <f t="shared" ref="IC25" si="469">IB25+IC24</f>
        <v>0</v>
      </c>
      <c r="ID25" s="477">
        <f t="shared" ref="ID25" si="470">IC25+ID24</f>
        <v>0</v>
      </c>
      <c r="IE25" s="478">
        <f>ID25+IE24</f>
        <v>0</v>
      </c>
      <c r="IF25" s="479">
        <f t="shared" ref="IF25" si="471">IE25+IF24</f>
        <v>0</v>
      </c>
      <c r="IG25" s="477">
        <f t="shared" ref="IG25" si="472">IF25+IG24</f>
        <v>0</v>
      </c>
      <c r="IH25" s="477">
        <f t="shared" ref="IH25" si="473">IG25+IH24</f>
        <v>0</v>
      </c>
      <c r="II25" s="477">
        <f t="shared" ref="II25" si="474">IH25+II24</f>
        <v>0</v>
      </c>
      <c r="IJ25" s="480">
        <f t="shared" ref="IJ25" si="475">II25+IJ24</f>
        <v>0</v>
      </c>
      <c r="IK25" s="476">
        <f t="shared" ref="IK25" si="476">IJ25+IK24</f>
        <v>0</v>
      </c>
      <c r="IL25" s="477">
        <f t="shared" ref="IL25" si="477">IK25+IL24</f>
        <v>0</v>
      </c>
      <c r="IM25" s="477">
        <f t="shared" ref="IM25" si="478">IL25+IM24</f>
        <v>0</v>
      </c>
      <c r="IN25" s="478">
        <f t="shared" ref="IN25" si="479">IM25+IN24</f>
        <v>0</v>
      </c>
      <c r="IO25" s="476">
        <f t="shared" ref="IO25" si="480">IN25+IO24</f>
        <v>186</v>
      </c>
      <c r="IP25" s="477">
        <f t="shared" ref="IP25" si="481">IO25+IP24</f>
        <v>372</v>
      </c>
      <c r="IQ25" s="477">
        <f t="shared" ref="IQ25" si="482">IP25+IQ24</f>
        <v>474</v>
      </c>
      <c r="IR25" s="478">
        <f t="shared" ref="IR25" si="483">IQ25+IR24</f>
        <v>576</v>
      </c>
      <c r="IS25" s="476">
        <f t="shared" ref="IS25" si="484">IR25+IS24</f>
        <v>684</v>
      </c>
      <c r="IT25" s="477">
        <f t="shared" ref="IT25" si="485">IS25+IT24</f>
        <v>792</v>
      </c>
      <c r="IU25" s="477">
        <f t="shared" ref="IU25" si="486">IT25+IU24</f>
        <v>900</v>
      </c>
      <c r="IV25" s="480">
        <f t="shared" ref="IV25:IW25" si="487">IU25+IV24</f>
        <v>1002</v>
      </c>
      <c r="IW25" s="476">
        <f t="shared" si="487"/>
        <v>1104</v>
      </c>
      <c r="IX25" s="479">
        <f t="shared" ref="IX25" si="488">IW25+IX24</f>
        <v>1218</v>
      </c>
      <c r="IY25" s="477">
        <f t="shared" ref="IY25" si="489">IX25+IY24</f>
        <v>1332</v>
      </c>
      <c r="IZ25" s="480">
        <f t="shared" ref="IZ25" si="490">IY25+IZ24</f>
        <v>1446</v>
      </c>
      <c r="JA25" s="478">
        <f t="shared" ref="JA25" si="491">IZ25+JA24</f>
        <v>1572</v>
      </c>
      <c r="JB25" s="476">
        <f t="shared" ref="JB25" si="492">JA25+JB24</f>
        <v>1656</v>
      </c>
      <c r="JC25" s="477">
        <f t="shared" ref="JC25" si="493">JB25+JC24</f>
        <v>1740</v>
      </c>
      <c r="JD25" s="477">
        <f t="shared" ref="JD25" si="494">JC25+JD24</f>
        <v>1824</v>
      </c>
      <c r="JE25" s="478">
        <f t="shared" ref="JE25" si="495">JD25+JE24</f>
        <v>1908</v>
      </c>
      <c r="JF25" s="476">
        <f t="shared" ref="JF25" si="496">JE25+JF24</f>
        <v>1956</v>
      </c>
      <c r="JG25" s="477">
        <f t="shared" ref="JG25" si="497">JF25+JG24</f>
        <v>2004</v>
      </c>
      <c r="JH25" s="477">
        <f t="shared" ref="JH25" si="498">JG25+JH24</f>
        <v>2052</v>
      </c>
      <c r="JI25" s="478">
        <f t="shared" ref="JI25" si="499">JH25+JI24</f>
        <v>2100</v>
      </c>
      <c r="JJ25" s="611">
        <f t="shared" ref="JJ25" si="500">JI25+JJ24</f>
        <v>2100</v>
      </c>
      <c r="JK25" s="477">
        <f t="shared" ref="JK25" si="501">JJ25+JK24</f>
        <v>2116</v>
      </c>
      <c r="JL25" s="477">
        <f t="shared" ref="JL25" si="502">JK25+JL24</f>
        <v>2116</v>
      </c>
      <c r="JM25" s="478">
        <f t="shared" ref="JM25" si="503">JL25+JM24</f>
        <v>2116</v>
      </c>
      <c r="JN25" s="476">
        <f>JM25+JN24</f>
        <v>2116</v>
      </c>
      <c r="JO25" s="477">
        <f>JN25+JO24</f>
        <v>2116</v>
      </c>
      <c r="JP25" s="477">
        <f>JO25+JP24</f>
        <v>2116</v>
      </c>
      <c r="JQ25" s="477">
        <f t="shared" ref="JQ25" si="504">JP25+JQ24</f>
        <v>2116</v>
      </c>
      <c r="JR25" s="478">
        <f t="shared" ref="JR25" si="505">JQ25+JR24</f>
        <v>2116</v>
      </c>
      <c r="JS25" s="476">
        <f>JR25+JS24</f>
        <v>2116</v>
      </c>
      <c r="JT25" s="477">
        <f>JS25+JT24</f>
        <v>2116</v>
      </c>
      <c r="JU25" s="477">
        <f>JT25+JU24</f>
        <v>2116</v>
      </c>
      <c r="JV25" s="478">
        <f t="shared" ref="JV25" si="506">JU25+JV24</f>
        <v>2116</v>
      </c>
      <c r="JW25" s="476">
        <f>JV25+JW24</f>
        <v>2116</v>
      </c>
      <c r="JX25" s="477">
        <f>JW25+JX24</f>
        <v>2116</v>
      </c>
      <c r="JY25" s="477">
        <f>JX25+JY24</f>
        <v>2116</v>
      </c>
      <c r="JZ25" s="478">
        <f t="shared" ref="JZ25:KE25" si="507">JY25+JZ24</f>
        <v>2116</v>
      </c>
      <c r="KA25" s="476">
        <f t="shared" si="507"/>
        <v>2116</v>
      </c>
      <c r="KB25" s="477">
        <f t="shared" si="507"/>
        <v>2116</v>
      </c>
      <c r="KC25" s="477">
        <f t="shared" si="507"/>
        <v>2116</v>
      </c>
      <c r="KD25" s="480">
        <f t="shared" si="507"/>
        <v>2116</v>
      </c>
      <c r="KE25" s="478">
        <f t="shared" si="507"/>
        <v>2116</v>
      </c>
      <c r="KF25" s="476">
        <f t="shared" ref="KF25" si="508">KE25+KF24</f>
        <v>2116</v>
      </c>
      <c r="KG25" s="477">
        <f t="shared" ref="KG25" si="509">KF25+KG24</f>
        <v>2116</v>
      </c>
      <c r="KH25" s="477">
        <f t="shared" ref="KH25" si="510">KG25+KH24</f>
        <v>2116</v>
      </c>
      <c r="KI25" s="478">
        <f t="shared" ref="KI25" si="511">KH25+KI24</f>
        <v>2116</v>
      </c>
      <c r="KJ25" s="477">
        <f t="shared" ref="KJ25" si="512">KI25+KJ24</f>
        <v>2116</v>
      </c>
      <c r="KK25" s="477">
        <f t="shared" ref="KK25" si="513">KJ25+KK24</f>
        <v>2116</v>
      </c>
      <c r="KL25" s="477">
        <f t="shared" ref="KL25:KM25" si="514">KK25+KL24</f>
        <v>2116</v>
      </c>
      <c r="KM25" s="477">
        <f t="shared" si="514"/>
        <v>2116</v>
      </c>
      <c r="KN25" s="478">
        <f t="shared" ref="KN25" si="515">KL25+KN24</f>
        <v>2116</v>
      </c>
    </row>
    <row r="26" spans="1:300" ht="36.75" customHeight="1">
      <c r="A26" s="481"/>
      <c r="B26" s="494"/>
      <c r="C26" s="665">
        <v>4</v>
      </c>
      <c r="D26" s="595" t="s">
        <v>170</v>
      </c>
      <c r="E26" s="439" t="s">
        <v>32</v>
      </c>
      <c r="F26" s="598" t="s">
        <v>154</v>
      </c>
      <c r="G26" s="440" t="s">
        <v>17</v>
      </c>
      <c r="H26" s="475"/>
      <c r="I26" s="471"/>
      <c r="J26" s="471"/>
      <c r="K26" s="471"/>
      <c r="L26" s="471"/>
      <c r="M26" s="495"/>
      <c r="N26" s="495"/>
      <c r="O26" s="495"/>
      <c r="P26" s="495"/>
      <c r="Q26" s="495"/>
      <c r="R26" s="471"/>
      <c r="S26" s="471"/>
      <c r="T26" s="495"/>
      <c r="U26" s="495"/>
      <c r="V26" s="495"/>
      <c r="W26" s="495"/>
      <c r="X26" s="495"/>
      <c r="Y26" s="495"/>
      <c r="Z26" s="495"/>
      <c r="AA26" s="495"/>
      <c r="AB26" s="495"/>
      <c r="AC26" s="483">
        <f>SUBTOTAL(9,EX26:FA26)</f>
        <v>0</v>
      </c>
      <c r="AD26" s="445">
        <f>SUBTOTAL(9,FB26:FF26)</f>
        <v>0</v>
      </c>
      <c r="AE26" s="445">
        <f>SUBTOTAL(9,FG26:FJ26)</f>
        <v>0</v>
      </c>
      <c r="AF26" s="445">
        <f>SUBTOTAL(9,FK26:FN26)</f>
        <v>0</v>
      </c>
      <c r="AG26" s="445">
        <f>SUBTOTAL(9,FO26:FR26)</f>
        <v>0</v>
      </c>
      <c r="AH26" s="445">
        <f>SUBTOTAL(9,FS26:FW26)</f>
        <v>0</v>
      </c>
      <c r="AI26" s="445">
        <f>SUBTOTAL(9,FX26:GA26)</f>
        <v>0</v>
      </c>
      <c r="AJ26" s="445">
        <f>SUBTOTAL(9,GB26:GE26)</f>
        <v>0</v>
      </c>
      <c r="AK26" s="445">
        <f>SUBTOTAL(9,GF26:GJ26)</f>
        <v>0</v>
      </c>
      <c r="AL26" s="446">
        <f>SUBTOTAL(9,GK26:GN26)</f>
        <v>0</v>
      </c>
      <c r="AM26" s="447">
        <f>SUBTOTAL(9,GO26:GS26)</f>
        <v>0</v>
      </c>
      <c r="AN26" s="448">
        <f>SUBTOTAL(9,GT26:GW26)</f>
        <v>0</v>
      </c>
      <c r="AO26" s="446">
        <f>SUM(GX26:HA26)</f>
        <v>0</v>
      </c>
      <c r="AP26" s="445">
        <f>SUM(HB26:HF26)</f>
        <v>0</v>
      </c>
      <c r="AQ26" s="445">
        <f>SUM(HG26:HJ26)</f>
        <v>0</v>
      </c>
      <c r="AR26" s="445">
        <f>SUM(HK26:HN26)</f>
        <v>0</v>
      </c>
      <c r="AS26" s="445">
        <f>SUM(HO26:HR26)</f>
        <v>0</v>
      </c>
      <c r="AT26" s="445">
        <f>SUM(HS26:HV26)</f>
        <v>0</v>
      </c>
      <c r="AU26" s="445">
        <f>SUM(HW26:IA26)</f>
        <v>0</v>
      </c>
      <c r="AV26" s="445">
        <f>SUM(IB26:IE26)</f>
        <v>0</v>
      </c>
      <c r="AW26" s="445">
        <f t="shared" ref="AW26" si="516">SUM(IF26:IJ26)</f>
        <v>0</v>
      </c>
      <c r="AX26" s="446">
        <f t="shared" ref="AX26" si="517">SUM(IK26:IN26)</f>
        <v>0</v>
      </c>
      <c r="AY26" s="446">
        <f t="shared" ref="AY26" si="518">SUM(IO26:IR26)</f>
        <v>0</v>
      </c>
      <c r="AZ26" s="446">
        <f t="shared" ref="AZ26" si="519">SUM(IS26:IV26)</f>
        <v>0</v>
      </c>
      <c r="BA26" s="446">
        <f t="shared" ref="BA26" si="520">SUM(IW26:JA26)</f>
        <v>0</v>
      </c>
      <c r="BB26" s="446">
        <f t="shared" ref="BB26" si="521">SUM(JB26:JE26)</f>
        <v>0</v>
      </c>
      <c r="BC26" s="446">
        <f t="shared" ref="BC26" si="522">SUM(JF26:JI26)</f>
        <v>18</v>
      </c>
      <c r="BD26" s="446">
        <f t="shared" ref="BD26" si="523">SUM(JJ26:JM26)</f>
        <v>48</v>
      </c>
      <c r="BE26" s="446">
        <f t="shared" ref="BE26" si="524">SUM(JN26:JR26)</f>
        <v>42</v>
      </c>
      <c r="BF26" s="446">
        <f t="shared" ref="BF26" si="525">SUM(JS26:JV26)</f>
        <v>54</v>
      </c>
      <c r="BG26" s="446">
        <f t="shared" ref="BG26" si="526">SUM(JW26:JZ26)</f>
        <v>36</v>
      </c>
      <c r="BH26" s="446">
        <f t="shared" ref="BH26" si="527">SUM(KA26:KE26)</f>
        <v>42</v>
      </c>
      <c r="BI26" s="446">
        <f t="shared" ref="BI26" si="528">SUM(KF26:KI26)</f>
        <v>48</v>
      </c>
      <c r="BJ26" s="446">
        <f t="shared" ref="BJ26" si="529">SUM(KJ26:KN26)</f>
        <v>48</v>
      </c>
      <c r="BK26" s="469"/>
      <c r="BL26" s="471"/>
      <c r="BM26" s="471"/>
      <c r="BN26" s="471"/>
      <c r="BO26" s="471"/>
      <c r="BP26" s="471"/>
      <c r="BQ26" s="471"/>
      <c r="BR26" s="471"/>
      <c r="BS26" s="471"/>
      <c r="BT26" s="471"/>
      <c r="BU26" s="471"/>
      <c r="BV26" s="471"/>
      <c r="BW26" s="501"/>
      <c r="BX26" s="471"/>
      <c r="BY26" s="471"/>
      <c r="BZ26" s="471"/>
      <c r="CA26" s="471"/>
      <c r="CB26" s="471"/>
      <c r="CC26" s="471"/>
      <c r="CD26" s="471"/>
      <c r="CE26" s="471"/>
      <c r="CF26" s="471"/>
      <c r="CG26" s="471"/>
      <c r="CH26" s="471"/>
      <c r="CI26" s="471"/>
      <c r="CJ26" s="471"/>
      <c r="CK26" s="471"/>
      <c r="CL26" s="471"/>
      <c r="CM26" s="471"/>
      <c r="CN26" s="471"/>
      <c r="CO26" s="471"/>
      <c r="CP26" s="471"/>
      <c r="CQ26" s="471"/>
      <c r="CR26" s="471"/>
      <c r="CS26" s="471"/>
      <c r="CT26" s="471"/>
      <c r="CU26" s="471"/>
      <c r="CV26" s="471"/>
      <c r="CW26" s="471"/>
      <c r="CX26" s="471"/>
      <c r="CY26" s="471"/>
      <c r="CZ26" s="471"/>
      <c r="DA26" s="471"/>
      <c r="DB26" s="471"/>
      <c r="DC26" s="471"/>
      <c r="DD26" s="471"/>
      <c r="DE26" s="471"/>
      <c r="DF26" s="471"/>
      <c r="DG26" s="471"/>
      <c r="DH26" s="471"/>
      <c r="DI26" s="471"/>
      <c r="DJ26" s="471"/>
      <c r="DK26" s="471"/>
      <c r="DL26" s="471"/>
      <c r="DM26" s="471"/>
      <c r="DN26" s="471"/>
      <c r="DO26" s="471"/>
      <c r="DP26" s="471"/>
      <c r="DQ26" s="471"/>
      <c r="DR26" s="471"/>
      <c r="DS26" s="471"/>
      <c r="DT26" s="471"/>
      <c r="DU26" s="471"/>
      <c r="DV26" s="471"/>
      <c r="DW26" s="471"/>
      <c r="DX26" s="471"/>
      <c r="DY26" s="471"/>
      <c r="DZ26" s="471"/>
      <c r="EA26" s="471"/>
      <c r="EB26" s="471"/>
      <c r="EC26" s="471"/>
      <c r="ED26" s="471"/>
      <c r="EE26" s="471"/>
      <c r="EF26" s="471"/>
      <c r="EG26" s="471"/>
      <c r="EH26" s="471"/>
      <c r="EI26" s="471"/>
      <c r="EJ26" s="471"/>
      <c r="EK26" s="471"/>
      <c r="EL26" s="471"/>
      <c r="EM26" s="471"/>
      <c r="EN26" s="471"/>
      <c r="EO26" s="471"/>
      <c r="EP26" s="471"/>
      <c r="EQ26" s="471"/>
      <c r="ER26" s="471"/>
      <c r="ES26" s="471"/>
      <c r="ET26" s="471"/>
      <c r="EU26" s="471"/>
      <c r="EV26" s="471"/>
      <c r="EW26" s="495"/>
      <c r="EX26" s="447"/>
      <c r="EY26" s="445"/>
      <c r="EZ26" s="445"/>
      <c r="FA26" s="502"/>
      <c r="FB26" s="447"/>
      <c r="FC26" s="445"/>
      <c r="FD26" s="445"/>
      <c r="FE26" s="445"/>
      <c r="FF26" s="502"/>
      <c r="FG26" s="448"/>
      <c r="FH26" s="445"/>
      <c r="FI26" s="445"/>
      <c r="FJ26" s="502"/>
      <c r="FK26" s="448"/>
      <c r="FL26" s="445"/>
      <c r="FM26" s="445"/>
      <c r="FN26" s="502"/>
      <c r="FO26" s="448"/>
      <c r="FP26" s="445"/>
      <c r="FQ26" s="445"/>
      <c r="FR26" s="502"/>
      <c r="FS26" s="448"/>
      <c r="FT26" s="445"/>
      <c r="FU26" s="445"/>
      <c r="FV26" s="445"/>
      <c r="FW26" s="502"/>
      <c r="FX26" s="448"/>
      <c r="FY26" s="445"/>
      <c r="FZ26" s="445"/>
      <c r="GA26" s="502"/>
      <c r="GB26" s="448"/>
      <c r="GC26" s="445"/>
      <c r="GD26" s="445"/>
      <c r="GE26" s="502"/>
      <c r="GF26" s="448"/>
      <c r="GG26" s="445"/>
      <c r="GH26" s="445"/>
      <c r="GI26" s="445"/>
      <c r="GJ26" s="503"/>
      <c r="GK26" s="447"/>
      <c r="GL26" s="445"/>
      <c r="GM26" s="445"/>
      <c r="GN26" s="504"/>
      <c r="GO26" s="505"/>
      <c r="GP26" s="506"/>
      <c r="GQ26" s="506"/>
      <c r="GR26" s="507"/>
      <c r="GS26" s="508"/>
      <c r="GT26" s="448"/>
      <c r="GU26" s="445"/>
      <c r="GV26" s="445"/>
      <c r="GW26" s="504"/>
      <c r="GX26" s="447"/>
      <c r="GY26" s="445"/>
      <c r="GZ26" s="445"/>
      <c r="HA26" s="504"/>
      <c r="HB26" s="447"/>
      <c r="HC26" s="445"/>
      <c r="HD26" s="445"/>
      <c r="HE26" s="445"/>
      <c r="HF26" s="502"/>
      <c r="HG26" s="447"/>
      <c r="HH26" s="450"/>
      <c r="HI26" s="445"/>
      <c r="HJ26" s="502"/>
      <c r="HK26" s="447"/>
      <c r="HL26" s="445"/>
      <c r="HM26" s="445"/>
      <c r="HN26" s="502"/>
      <c r="HO26" s="447"/>
      <c r="HP26" s="445"/>
      <c r="HQ26" s="445"/>
      <c r="HR26" s="502"/>
      <c r="HS26" s="447"/>
      <c r="HT26" s="445"/>
      <c r="HU26" s="445"/>
      <c r="HV26" s="502"/>
      <c r="HW26" s="451"/>
      <c r="HX26" s="445"/>
      <c r="HY26" s="445"/>
      <c r="HZ26" s="445"/>
      <c r="IA26" s="502"/>
      <c r="IB26" s="448"/>
      <c r="IC26" s="445"/>
      <c r="ID26" s="445"/>
      <c r="IE26" s="502"/>
      <c r="IF26" s="448"/>
      <c r="IG26" s="445"/>
      <c r="IH26" s="445"/>
      <c r="II26" s="445"/>
      <c r="IJ26" s="446"/>
      <c r="IK26" s="451"/>
      <c r="IL26" s="445"/>
      <c r="IM26" s="445"/>
      <c r="IN26" s="502"/>
      <c r="IO26" s="447"/>
      <c r="IP26" s="445"/>
      <c r="IQ26" s="445"/>
      <c r="IR26" s="502"/>
      <c r="IS26" s="447"/>
      <c r="IT26" s="445"/>
      <c r="IU26" s="445"/>
      <c r="IV26" s="512"/>
      <c r="IW26" s="511"/>
      <c r="IX26" s="522"/>
      <c r="IY26" s="509"/>
      <c r="IZ26" s="512"/>
      <c r="JA26" s="502"/>
      <c r="JB26" s="511"/>
      <c r="JC26" s="509"/>
      <c r="JD26" s="509"/>
      <c r="JE26" s="510"/>
      <c r="JF26" s="511">
        <v>18</v>
      </c>
      <c r="JG26" s="509">
        <v>0</v>
      </c>
      <c r="JH26" s="445">
        <v>0</v>
      </c>
      <c r="JI26" s="502">
        <v>0</v>
      </c>
      <c r="JJ26" s="451">
        <v>0</v>
      </c>
      <c r="JK26" s="445">
        <v>24</v>
      </c>
      <c r="JL26" s="445">
        <v>24</v>
      </c>
      <c r="JM26" s="502">
        <v>0</v>
      </c>
      <c r="JN26" s="447">
        <v>24</v>
      </c>
      <c r="JO26" s="445">
        <v>18</v>
      </c>
      <c r="JP26" s="445">
        <v>0</v>
      </c>
      <c r="JQ26" s="449">
        <v>0</v>
      </c>
      <c r="JR26" s="502">
        <v>0</v>
      </c>
      <c r="JS26" s="447">
        <v>18</v>
      </c>
      <c r="JT26" s="445">
        <v>18</v>
      </c>
      <c r="JU26" s="445">
        <v>18</v>
      </c>
      <c r="JV26" s="502">
        <v>0</v>
      </c>
      <c r="JW26" s="447">
        <v>18</v>
      </c>
      <c r="JX26" s="445">
        <v>18</v>
      </c>
      <c r="JY26" s="445">
        <v>0</v>
      </c>
      <c r="JZ26" s="502">
        <v>0</v>
      </c>
      <c r="KA26" s="447">
        <v>24</v>
      </c>
      <c r="KB26" s="445">
        <v>18</v>
      </c>
      <c r="KC26" s="445">
        <v>0</v>
      </c>
      <c r="KD26" s="446">
        <v>0</v>
      </c>
      <c r="KE26" s="502">
        <v>0</v>
      </c>
      <c r="KF26" s="447">
        <v>24</v>
      </c>
      <c r="KG26" s="445">
        <v>24</v>
      </c>
      <c r="KH26" s="445">
        <v>0</v>
      </c>
      <c r="KI26" s="502">
        <v>0</v>
      </c>
      <c r="KJ26" s="451">
        <v>0</v>
      </c>
      <c r="KK26" s="445">
        <v>24</v>
      </c>
      <c r="KL26" s="445">
        <v>24</v>
      </c>
      <c r="KM26" s="445">
        <v>0</v>
      </c>
      <c r="KN26" s="502">
        <v>0</v>
      </c>
    </row>
    <row r="27" spans="1:300" ht="36.75" customHeight="1" thickBot="1">
      <c r="A27" s="481"/>
      <c r="B27" s="494"/>
      <c r="C27" s="666"/>
      <c r="D27" s="596" t="s">
        <v>172</v>
      </c>
      <c r="E27" s="455"/>
      <c r="F27" s="599"/>
      <c r="G27" s="456" t="s">
        <v>18</v>
      </c>
      <c r="H27" s="475"/>
      <c r="I27" s="471"/>
      <c r="J27" s="471"/>
      <c r="K27" s="471"/>
      <c r="L27" s="471"/>
      <c r="M27" s="495"/>
      <c r="N27" s="495"/>
      <c r="O27" s="495"/>
      <c r="P27" s="495"/>
      <c r="Q27" s="495"/>
      <c r="R27" s="471"/>
      <c r="S27" s="471"/>
      <c r="T27" s="495"/>
      <c r="U27" s="495"/>
      <c r="V27" s="495"/>
      <c r="W27" s="495"/>
      <c r="X27" s="495"/>
      <c r="Y27" s="495"/>
      <c r="Z27" s="495"/>
      <c r="AA27" s="495"/>
      <c r="AB27" s="495"/>
      <c r="AC27" s="460">
        <f t="shared" ref="AC27" si="530">AB27+AC26</f>
        <v>0</v>
      </c>
      <c r="AD27" s="461">
        <f t="shared" ref="AD27" si="531">AC27+AD26</f>
        <v>0</v>
      </c>
      <c r="AE27" s="461">
        <f t="shared" ref="AE27" si="532">AD27+AE26</f>
        <v>0</v>
      </c>
      <c r="AF27" s="461">
        <f t="shared" ref="AF27" si="533">AE27+AF26</f>
        <v>0</v>
      </c>
      <c r="AG27" s="461">
        <f t="shared" ref="AG27" si="534">AF27+AG26</f>
        <v>0</v>
      </c>
      <c r="AH27" s="461">
        <f t="shared" ref="AH27" si="535">AG27+AH26</f>
        <v>0</v>
      </c>
      <c r="AI27" s="462">
        <f>GA27</f>
        <v>0</v>
      </c>
      <c r="AJ27" s="461">
        <f t="shared" ref="AJ27" si="536">AI27+AJ26</f>
        <v>0</v>
      </c>
      <c r="AK27" s="461">
        <f t="shared" ref="AK27" si="537">AJ27+AK26</f>
        <v>0</v>
      </c>
      <c r="AL27" s="460">
        <f t="shared" ref="AL27" si="538">AK27+AL26</f>
        <v>0</v>
      </c>
      <c r="AM27" s="463">
        <f t="shared" ref="AM27" si="539">AL27+AM26</f>
        <v>0</v>
      </c>
      <c r="AN27" s="464">
        <f t="shared" ref="AN27" si="540">AM27+AN26</f>
        <v>0</v>
      </c>
      <c r="AO27" s="465">
        <f t="shared" ref="AO27" si="541">AN27+AO26</f>
        <v>0</v>
      </c>
      <c r="AP27" s="466">
        <f>AO27+AP26</f>
        <v>0</v>
      </c>
      <c r="AQ27" s="466">
        <f t="shared" ref="AQ27" si="542">AP27+AQ26</f>
        <v>0</v>
      </c>
      <c r="AR27" s="466">
        <f t="shared" ref="AR27" si="543">AQ27+AR26</f>
        <v>0</v>
      </c>
      <c r="AS27" s="466">
        <f t="shared" ref="AS27" si="544">AR27+AS26</f>
        <v>0</v>
      </c>
      <c r="AT27" s="466">
        <f t="shared" ref="AT27" si="545">AS27+AT26</f>
        <v>0</v>
      </c>
      <c r="AU27" s="466">
        <f t="shared" ref="AU27" si="546">AT27+AU26</f>
        <v>0</v>
      </c>
      <c r="AV27" s="466">
        <f t="shared" ref="AV27" si="547">AU27+AV26</f>
        <v>0</v>
      </c>
      <c r="AW27" s="466">
        <f t="shared" ref="AW27" si="548">AV27+AW26</f>
        <v>0</v>
      </c>
      <c r="AX27" s="466">
        <f t="shared" ref="AX27" si="549">AW27+AX26</f>
        <v>0</v>
      </c>
      <c r="AY27" s="466">
        <f t="shared" ref="AY27" si="550">AX27+AY26</f>
        <v>0</v>
      </c>
      <c r="AZ27" s="466">
        <f t="shared" ref="AZ27" si="551">AY27+AZ26</f>
        <v>0</v>
      </c>
      <c r="BA27" s="466">
        <f t="shared" ref="BA27" si="552">AZ27+BA26</f>
        <v>0</v>
      </c>
      <c r="BB27" s="466">
        <f t="shared" ref="BB27" si="553">BA27+BB26</f>
        <v>0</v>
      </c>
      <c r="BC27" s="466">
        <f t="shared" ref="BC27:BD27" si="554">BB27+BC26</f>
        <v>18</v>
      </c>
      <c r="BD27" s="466">
        <f t="shared" si="554"/>
        <v>66</v>
      </c>
      <c r="BE27" s="466">
        <f t="shared" ref="BE27:BF27" si="555">BD27+BE26</f>
        <v>108</v>
      </c>
      <c r="BF27" s="466">
        <f t="shared" si="555"/>
        <v>162</v>
      </c>
      <c r="BG27" s="466">
        <f t="shared" ref="BG27:BJ27" si="556">BF27+BG26</f>
        <v>198</v>
      </c>
      <c r="BH27" s="466">
        <f t="shared" si="556"/>
        <v>240</v>
      </c>
      <c r="BI27" s="466">
        <f t="shared" si="556"/>
        <v>288</v>
      </c>
      <c r="BJ27" s="466">
        <f t="shared" si="556"/>
        <v>336</v>
      </c>
      <c r="BK27" s="469"/>
      <c r="BL27" s="471"/>
      <c r="BM27" s="471"/>
      <c r="BN27" s="471"/>
      <c r="BO27" s="471"/>
      <c r="BP27" s="471"/>
      <c r="BQ27" s="471"/>
      <c r="BR27" s="471"/>
      <c r="BS27" s="471"/>
      <c r="BT27" s="471"/>
      <c r="BU27" s="471"/>
      <c r="BV27" s="471"/>
      <c r="BW27" s="501"/>
      <c r="BX27" s="471"/>
      <c r="BY27" s="471"/>
      <c r="BZ27" s="471"/>
      <c r="CA27" s="471"/>
      <c r="CB27" s="471"/>
      <c r="CC27" s="471"/>
      <c r="CD27" s="471"/>
      <c r="CE27" s="471"/>
      <c r="CF27" s="471"/>
      <c r="CG27" s="471"/>
      <c r="CH27" s="471"/>
      <c r="CI27" s="471"/>
      <c r="CJ27" s="471"/>
      <c r="CK27" s="471"/>
      <c r="CL27" s="471"/>
      <c r="CM27" s="471"/>
      <c r="CN27" s="471"/>
      <c r="CO27" s="471"/>
      <c r="CP27" s="471"/>
      <c r="CQ27" s="471"/>
      <c r="CR27" s="471"/>
      <c r="CS27" s="471"/>
      <c r="CT27" s="471"/>
      <c r="CU27" s="471"/>
      <c r="CV27" s="471"/>
      <c r="CW27" s="471"/>
      <c r="CX27" s="471"/>
      <c r="CY27" s="471"/>
      <c r="CZ27" s="471"/>
      <c r="DA27" s="471"/>
      <c r="DB27" s="471"/>
      <c r="DC27" s="471"/>
      <c r="DD27" s="471"/>
      <c r="DE27" s="471"/>
      <c r="DF27" s="471"/>
      <c r="DG27" s="471"/>
      <c r="DH27" s="471"/>
      <c r="DI27" s="471"/>
      <c r="DJ27" s="471"/>
      <c r="DK27" s="471"/>
      <c r="DL27" s="471"/>
      <c r="DM27" s="471"/>
      <c r="DN27" s="471"/>
      <c r="DO27" s="471"/>
      <c r="DP27" s="471"/>
      <c r="DQ27" s="471"/>
      <c r="DR27" s="471"/>
      <c r="DS27" s="471"/>
      <c r="DT27" s="471"/>
      <c r="DU27" s="471"/>
      <c r="DV27" s="471"/>
      <c r="DW27" s="471"/>
      <c r="DX27" s="471"/>
      <c r="DY27" s="471"/>
      <c r="DZ27" s="471"/>
      <c r="EA27" s="471"/>
      <c r="EB27" s="471"/>
      <c r="EC27" s="471"/>
      <c r="ED27" s="471"/>
      <c r="EE27" s="471"/>
      <c r="EF27" s="471"/>
      <c r="EG27" s="471"/>
      <c r="EH27" s="471"/>
      <c r="EI27" s="471"/>
      <c r="EJ27" s="471"/>
      <c r="EK27" s="471"/>
      <c r="EL27" s="471"/>
      <c r="EM27" s="471"/>
      <c r="EN27" s="471"/>
      <c r="EO27" s="471"/>
      <c r="EP27" s="471"/>
      <c r="EQ27" s="471"/>
      <c r="ER27" s="471"/>
      <c r="ES27" s="471"/>
      <c r="ET27" s="471"/>
      <c r="EU27" s="471"/>
      <c r="EV27" s="471"/>
      <c r="EW27" s="495"/>
      <c r="EX27" s="463">
        <f t="shared" ref="EX27" si="557">EW27+EX26</f>
        <v>0</v>
      </c>
      <c r="EY27" s="461">
        <f t="shared" ref="EY27" si="558">EX27+EY26</f>
        <v>0</v>
      </c>
      <c r="EZ27" s="461">
        <f t="shared" ref="EZ27" si="559">EY27+EZ26</f>
        <v>0</v>
      </c>
      <c r="FA27" s="492">
        <f t="shared" ref="FA27" si="560">EZ27+FA26</f>
        <v>0</v>
      </c>
      <c r="FB27" s="463">
        <f t="shared" ref="FB27" si="561">FA27+FB26</f>
        <v>0</v>
      </c>
      <c r="FC27" s="461">
        <f t="shared" ref="FC27" si="562">FB27+FC26</f>
        <v>0</v>
      </c>
      <c r="FD27" s="461">
        <f t="shared" ref="FD27" si="563">FC27+FD26</f>
        <v>0</v>
      </c>
      <c r="FE27" s="461">
        <f t="shared" ref="FE27" si="564">FD27+FE26</f>
        <v>0</v>
      </c>
      <c r="FF27" s="492">
        <f t="shared" ref="FF27" si="565">FE27+FF26</f>
        <v>0</v>
      </c>
      <c r="FG27" s="464">
        <f t="shared" ref="FG27" si="566">FF27+FG26</f>
        <v>0</v>
      </c>
      <c r="FH27" s="461">
        <f t="shared" ref="FH27" si="567">FG27+FH26</f>
        <v>0</v>
      </c>
      <c r="FI27" s="461">
        <f t="shared" ref="FI27" si="568">FH27+FI26</f>
        <v>0</v>
      </c>
      <c r="FJ27" s="492">
        <f t="shared" ref="FJ27" si="569">FI27+FJ26</f>
        <v>0</v>
      </c>
      <c r="FK27" s="464">
        <f t="shared" ref="FK27" si="570">FJ27+FK26</f>
        <v>0</v>
      </c>
      <c r="FL27" s="461">
        <f t="shared" ref="FL27" si="571">FK27+FL26</f>
        <v>0</v>
      </c>
      <c r="FM27" s="461">
        <f t="shared" ref="FM27" si="572">FL27+FM26</f>
        <v>0</v>
      </c>
      <c r="FN27" s="492">
        <f t="shared" ref="FN27" si="573">FM27+FN26</f>
        <v>0</v>
      </c>
      <c r="FO27" s="464">
        <f t="shared" ref="FO27" si="574">FN27+FO26</f>
        <v>0</v>
      </c>
      <c r="FP27" s="461">
        <f t="shared" ref="FP27" si="575">FO27+FP26</f>
        <v>0</v>
      </c>
      <c r="FQ27" s="461">
        <f t="shared" ref="FQ27" si="576">FP27+FQ26</f>
        <v>0</v>
      </c>
      <c r="FR27" s="492">
        <f t="shared" ref="FR27" si="577">FQ27+FR26</f>
        <v>0</v>
      </c>
      <c r="FS27" s="464">
        <f t="shared" ref="FS27" si="578">FR27+FS26</f>
        <v>0</v>
      </c>
      <c r="FT27" s="461">
        <f t="shared" ref="FT27" si="579">FS27+FT26</f>
        <v>0</v>
      </c>
      <c r="FU27" s="461">
        <f t="shared" ref="FU27" si="580">FT27+FU26</f>
        <v>0</v>
      </c>
      <c r="FV27" s="461">
        <f t="shared" ref="FV27" si="581">FU27+FV26</f>
        <v>0</v>
      </c>
      <c r="FW27" s="492">
        <f t="shared" ref="FW27" si="582">FV27+FW26</f>
        <v>0</v>
      </c>
      <c r="FX27" s="464">
        <f t="shared" ref="FX27" si="583">FW27+FX26</f>
        <v>0</v>
      </c>
      <c r="FY27" s="461">
        <f t="shared" ref="FY27" si="584">FX27+FY26</f>
        <v>0</v>
      </c>
      <c r="FZ27" s="461">
        <f t="shared" ref="FZ27" si="585">FY27+FZ26</f>
        <v>0</v>
      </c>
      <c r="GA27" s="492">
        <f t="shared" ref="GA27" si="586">FZ27+GA26</f>
        <v>0</v>
      </c>
      <c r="GB27" s="464">
        <f t="shared" ref="GB27" si="587">GA27+GB26</f>
        <v>0</v>
      </c>
      <c r="GC27" s="461">
        <f t="shared" ref="GC27" si="588">GB27+GC26</f>
        <v>0</v>
      </c>
      <c r="GD27" s="461">
        <f t="shared" ref="GD27" si="589">GC27+GD26</f>
        <v>0</v>
      </c>
      <c r="GE27" s="492">
        <f t="shared" ref="GE27" si="590">GD27+GE26</f>
        <v>0</v>
      </c>
      <c r="GF27" s="464">
        <f t="shared" ref="GF27" si="591">GE27+GF26</f>
        <v>0</v>
      </c>
      <c r="GG27" s="461">
        <f t="shared" ref="GG27" si="592">GF27+GG26</f>
        <v>0</v>
      </c>
      <c r="GH27" s="461">
        <f t="shared" ref="GH27" si="593">GG27+GH26</f>
        <v>0</v>
      </c>
      <c r="GI27" s="461">
        <f t="shared" ref="GI27" si="594">GH27+GI26</f>
        <v>0</v>
      </c>
      <c r="GJ27" s="496">
        <f t="shared" ref="GJ27" si="595">GI27+GJ26</f>
        <v>0</v>
      </c>
      <c r="GK27" s="463">
        <f t="shared" ref="GK27" si="596">GJ27+GK26</f>
        <v>0</v>
      </c>
      <c r="GL27" s="461">
        <f t="shared" ref="GL27" si="597">GK27+GL26</f>
        <v>0</v>
      </c>
      <c r="GM27" s="461">
        <f t="shared" ref="GM27" si="598">GL27+GM26</f>
        <v>0</v>
      </c>
      <c r="GN27" s="497">
        <f t="shared" ref="GN27" si="599">GM27+GN26</f>
        <v>0</v>
      </c>
      <c r="GO27" s="463">
        <f t="shared" ref="GO27" si="600">GN27+GO26</f>
        <v>0</v>
      </c>
      <c r="GP27" s="461">
        <f t="shared" ref="GP27" si="601">GO27+GP26</f>
        <v>0</v>
      </c>
      <c r="GQ27" s="461">
        <f t="shared" ref="GQ27" si="602">GP27+GQ26</f>
        <v>0</v>
      </c>
      <c r="GR27" s="460">
        <f t="shared" ref="GR27" si="603">GQ27+GR26</f>
        <v>0</v>
      </c>
      <c r="GS27" s="492">
        <f t="shared" ref="GS27" si="604">GR27+GS26</f>
        <v>0</v>
      </c>
      <c r="GT27" s="464">
        <f t="shared" ref="GT27" si="605">GS27+GT26</f>
        <v>0</v>
      </c>
      <c r="GU27" s="461">
        <f t="shared" ref="GU27" si="606">GT27+GU26</f>
        <v>0</v>
      </c>
      <c r="GV27" s="461">
        <f t="shared" ref="GV27" si="607">GU27+GV26</f>
        <v>0</v>
      </c>
      <c r="GW27" s="497">
        <f t="shared" ref="GW27" si="608">GV27+GW26</f>
        <v>0</v>
      </c>
      <c r="GX27" s="498">
        <f t="shared" ref="GX27" si="609">GW27+GX26</f>
        <v>0</v>
      </c>
      <c r="GY27" s="466">
        <f t="shared" ref="GY27" si="610">GX27+GY26</f>
        <v>0</v>
      </c>
      <c r="GZ27" s="466">
        <f t="shared" ref="GZ27" si="611">GY27+GZ26</f>
        <v>0</v>
      </c>
      <c r="HA27" s="499">
        <f t="shared" ref="HA27" si="612">GZ27+HA26</f>
        <v>0</v>
      </c>
      <c r="HB27" s="498">
        <f t="shared" ref="HB27" si="613">HA27+HB26</f>
        <v>0</v>
      </c>
      <c r="HC27" s="466">
        <f t="shared" ref="HC27" si="614">HB27+HC26</f>
        <v>0</v>
      </c>
      <c r="HD27" s="466">
        <f t="shared" ref="HD27" si="615">HC27+HD26</f>
        <v>0</v>
      </c>
      <c r="HE27" s="466">
        <f t="shared" ref="HE27" si="616">HD27+HE26</f>
        <v>0</v>
      </c>
      <c r="HF27" s="500">
        <f t="shared" ref="HF27" si="617">HE27+HF26</f>
        <v>0</v>
      </c>
      <c r="HG27" s="498">
        <f t="shared" ref="HG27" si="618">HF27+HG26</f>
        <v>0</v>
      </c>
      <c r="HH27" s="466">
        <f t="shared" ref="HH27" si="619">HG27+HH26</f>
        <v>0</v>
      </c>
      <c r="HI27" s="466">
        <f t="shared" ref="HI27" si="620">HH27+HI26</f>
        <v>0</v>
      </c>
      <c r="HJ27" s="500">
        <f t="shared" ref="HJ27" si="621">HI27+HJ26</f>
        <v>0</v>
      </c>
      <c r="HK27" s="476">
        <f t="shared" ref="HK27" si="622">HJ27+HK26</f>
        <v>0</v>
      </c>
      <c r="HL27" s="477">
        <f t="shared" ref="HL27" si="623">HK27+HL26</f>
        <v>0</v>
      </c>
      <c r="HM27" s="477">
        <f t="shared" ref="HM27" si="624">HL27+HM26</f>
        <v>0</v>
      </c>
      <c r="HN27" s="478">
        <f t="shared" ref="HN27" si="625">HM27+HN26</f>
        <v>0</v>
      </c>
      <c r="HO27" s="476">
        <f t="shared" ref="HO27" si="626">HN27+HO26</f>
        <v>0</v>
      </c>
      <c r="HP27" s="477">
        <f t="shared" ref="HP27" si="627">HO27+HP26</f>
        <v>0</v>
      </c>
      <c r="HQ27" s="477">
        <f t="shared" ref="HQ27" si="628">HP27+HQ26</f>
        <v>0</v>
      </c>
      <c r="HR27" s="478">
        <f t="shared" ref="HR27" si="629">HQ27+HR26</f>
        <v>0</v>
      </c>
      <c r="HS27" s="476">
        <f>HR27+HS26</f>
        <v>0</v>
      </c>
      <c r="HT27" s="477">
        <f>HS27+HT26</f>
        <v>0</v>
      </c>
      <c r="HU27" s="477">
        <f t="shared" ref="HU27" si="630">HT27+HU26</f>
        <v>0</v>
      </c>
      <c r="HV27" s="478">
        <f t="shared" ref="HV27" si="631">HU27+HV26</f>
        <v>0</v>
      </c>
      <c r="HW27" s="476">
        <f>HV27+HW26</f>
        <v>0</v>
      </c>
      <c r="HX27" s="477">
        <f>HW27+HX26</f>
        <v>0</v>
      </c>
      <c r="HY27" s="477">
        <f t="shared" ref="HY27" si="632">HX27+HY26</f>
        <v>0</v>
      </c>
      <c r="HZ27" s="477">
        <f t="shared" ref="HZ27" si="633">HY27+HZ26</f>
        <v>0</v>
      </c>
      <c r="IA27" s="478">
        <f>HZ27+IA26</f>
        <v>0</v>
      </c>
      <c r="IB27" s="479">
        <f>IA27+IB26</f>
        <v>0</v>
      </c>
      <c r="IC27" s="477">
        <f t="shared" ref="IC27" si="634">IB27+IC26</f>
        <v>0</v>
      </c>
      <c r="ID27" s="477">
        <f t="shared" ref="ID27" si="635">IC27+ID26</f>
        <v>0</v>
      </c>
      <c r="IE27" s="478">
        <f>ID27+IE26</f>
        <v>0</v>
      </c>
      <c r="IF27" s="479">
        <f>IE27+IF26</f>
        <v>0</v>
      </c>
      <c r="IG27" s="477">
        <f t="shared" ref="IG27" si="636">IF27+IG26</f>
        <v>0</v>
      </c>
      <c r="IH27" s="477">
        <f>IG27+IH26</f>
        <v>0</v>
      </c>
      <c r="II27" s="477">
        <f t="shared" ref="II27" si="637">IH27+II26</f>
        <v>0</v>
      </c>
      <c r="IJ27" s="480">
        <f t="shared" ref="IJ27" si="638">II27+IJ26</f>
        <v>0</v>
      </c>
      <c r="IK27" s="476">
        <f>IJ27+IK26</f>
        <v>0</v>
      </c>
      <c r="IL27" s="477">
        <f t="shared" ref="IL27" si="639">IK27+IL26</f>
        <v>0</v>
      </c>
      <c r="IM27" s="477">
        <f>IL27+IM26</f>
        <v>0</v>
      </c>
      <c r="IN27" s="478">
        <f t="shared" ref="IN27" si="640">IM27+IN26</f>
        <v>0</v>
      </c>
      <c r="IO27" s="476">
        <f>IN27+IO26</f>
        <v>0</v>
      </c>
      <c r="IP27" s="477">
        <f t="shared" ref="IP27" si="641">IO27+IP26</f>
        <v>0</v>
      </c>
      <c r="IQ27" s="477">
        <f>IP27+IQ26</f>
        <v>0</v>
      </c>
      <c r="IR27" s="478">
        <f t="shared" ref="IR27" si="642">IQ27+IR26</f>
        <v>0</v>
      </c>
      <c r="IS27" s="476">
        <f>IR27+IS26</f>
        <v>0</v>
      </c>
      <c r="IT27" s="477">
        <f t="shared" ref="IT27" si="643">IS27+IT26</f>
        <v>0</v>
      </c>
      <c r="IU27" s="477">
        <f>IT27+IU26</f>
        <v>0</v>
      </c>
      <c r="IV27" s="480">
        <f t="shared" ref="IV27" si="644">IU27+IV26</f>
        <v>0</v>
      </c>
      <c r="IW27" s="476">
        <f t="shared" ref="IW27" si="645">IV27+IW26</f>
        <v>0</v>
      </c>
      <c r="IX27" s="479">
        <f>IW27+IX26</f>
        <v>0</v>
      </c>
      <c r="IY27" s="477">
        <f t="shared" ref="IY27" si="646">IX27+IY26</f>
        <v>0</v>
      </c>
      <c r="IZ27" s="480">
        <f>IY27+IZ26</f>
        <v>0</v>
      </c>
      <c r="JA27" s="478">
        <f t="shared" ref="JA27" si="647">IZ27+JA26</f>
        <v>0</v>
      </c>
      <c r="JB27" s="476">
        <f>JA27+JB26</f>
        <v>0</v>
      </c>
      <c r="JC27" s="477">
        <f t="shared" ref="JC27" si="648">JB27+JC26</f>
        <v>0</v>
      </c>
      <c r="JD27" s="477">
        <f>JC27+JD26</f>
        <v>0</v>
      </c>
      <c r="JE27" s="478">
        <f t="shared" ref="JE27" si="649">JD27+JE26</f>
        <v>0</v>
      </c>
      <c r="JF27" s="476">
        <f>JE27+JF26</f>
        <v>18</v>
      </c>
      <c r="JG27" s="477">
        <f t="shared" ref="JG27" si="650">JF27+JG26</f>
        <v>18</v>
      </c>
      <c r="JH27" s="477">
        <f>JG27+JH26</f>
        <v>18</v>
      </c>
      <c r="JI27" s="478">
        <f t="shared" ref="JI27" si="651">JH27+JI26</f>
        <v>18</v>
      </c>
      <c r="JJ27" s="611">
        <f>JI27+JJ26</f>
        <v>18</v>
      </c>
      <c r="JK27" s="477">
        <f t="shared" ref="JK27" si="652">JJ27+JK26</f>
        <v>42</v>
      </c>
      <c r="JL27" s="477">
        <f>JK27+JL26</f>
        <v>66</v>
      </c>
      <c r="JM27" s="478">
        <f t="shared" ref="JM27" si="653">JL27+JM26</f>
        <v>66</v>
      </c>
      <c r="JN27" s="476">
        <f>JM27+JN26</f>
        <v>90</v>
      </c>
      <c r="JO27" s="477">
        <f>JN27+JO26</f>
        <v>108</v>
      </c>
      <c r="JP27" s="477">
        <f>JO27+JP26</f>
        <v>108</v>
      </c>
      <c r="JQ27" s="613">
        <f t="shared" ref="JQ27" si="654">JP27+JQ26</f>
        <v>108</v>
      </c>
      <c r="JR27" s="478">
        <f t="shared" ref="JR27" si="655">JQ27+JR26</f>
        <v>108</v>
      </c>
      <c r="JS27" s="476">
        <f>JR27+JS26</f>
        <v>126</v>
      </c>
      <c r="JT27" s="477">
        <f>JS27+JT26</f>
        <v>144</v>
      </c>
      <c r="JU27" s="477">
        <f>JT27+JU26</f>
        <v>162</v>
      </c>
      <c r="JV27" s="478">
        <f t="shared" ref="JV27" si="656">JU27+JV26</f>
        <v>162</v>
      </c>
      <c r="JW27" s="476">
        <f>JV27+JW26</f>
        <v>180</v>
      </c>
      <c r="JX27" s="477">
        <f>JW27+JX26</f>
        <v>198</v>
      </c>
      <c r="JY27" s="477">
        <f>JX27+JY26</f>
        <v>198</v>
      </c>
      <c r="JZ27" s="478">
        <f t="shared" ref="JZ27:KE27" si="657">JY27+JZ26</f>
        <v>198</v>
      </c>
      <c r="KA27" s="476">
        <f t="shared" si="657"/>
        <v>222</v>
      </c>
      <c r="KB27" s="477">
        <f t="shared" si="657"/>
        <v>240</v>
      </c>
      <c r="KC27" s="477">
        <f t="shared" si="657"/>
        <v>240</v>
      </c>
      <c r="KD27" s="480">
        <f t="shared" si="657"/>
        <v>240</v>
      </c>
      <c r="KE27" s="478">
        <f t="shared" si="657"/>
        <v>240</v>
      </c>
      <c r="KF27" s="476">
        <f t="shared" ref="KF27" si="658">KE27+KF26</f>
        <v>264</v>
      </c>
      <c r="KG27" s="477">
        <f t="shared" ref="KG27" si="659">KF27+KG26</f>
        <v>288</v>
      </c>
      <c r="KH27" s="477">
        <f t="shared" ref="KH27" si="660">KG27+KH26</f>
        <v>288</v>
      </c>
      <c r="KI27" s="478">
        <f t="shared" ref="KI27" si="661">KH27+KI26</f>
        <v>288</v>
      </c>
      <c r="KJ27" s="611">
        <f t="shared" ref="KJ27" si="662">KI27+KJ26</f>
        <v>288</v>
      </c>
      <c r="KK27" s="477">
        <f t="shared" ref="KK27" si="663">KJ27+KK26</f>
        <v>312</v>
      </c>
      <c r="KL27" s="477">
        <f t="shared" ref="KL27:KM27" si="664">KK27+KL26</f>
        <v>336</v>
      </c>
      <c r="KM27" s="477">
        <f t="shared" si="664"/>
        <v>336</v>
      </c>
      <c r="KN27" s="478">
        <f t="shared" ref="KN27" si="665">KL27+KN26</f>
        <v>336</v>
      </c>
    </row>
    <row r="28" spans="1:300" ht="36.75" customHeight="1">
      <c r="A28" s="481"/>
      <c r="B28" s="494"/>
      <c r="C28" s="665">
        <v>4</v>
      </c>
      <c r="D28" s="595" t="s">
        <v>171</v>
      </c>
      <c r="E28" s="439" t="s">
        <v>32</v>
      </c>
      <c r="F28" s="598" t="s">
        <v>154</v>
      </c>
      <c r="G28" s="440" t="s">
        <v>17</v>
      </c>
      <c r="H28" s="475"/>
      <c r="I28" s="471"/>
      <c r="J28" s="471"/>
      <c r="K28" s="471"/>
      <c r="L28" s="471"/>
      <c r="M28" s="495"/>
      <c r="N28" s="495"/>
      <c r="O28" s="495"/>
      <c r="P28" s="495"/>
      <c r="Q28" s="495"/>
      <c r="R28" s="471"/>
      <c r="S28" s="471"/>
      <c r="T28" s="495"/>
      <c r="U28" s="495"/>
      <c r="V28" s="495"/>
      <c r="W28" s="495"/>
      <c r="X28" s="495"/>
      <c r="Y28" s="495"/>
      <c r="Z28" s="495"/>
      <c r="AA28" s="495"/>
      <c r="AB28" s="495"/>
      <c r="AC28" s="483">
        <f>SUBTOTAL(9,EX28:FA28)</f>
        <v>0</v>
      </c>
      <c r="AD28" s="445">
        <f>SUBTOTAL(9,FB28:FF28)</f>
        <v>0</v>
      </c>
      <c r="AE28" s="445">
        <f>SUBTOTAL(9,FG28:FJ28)</f>
        <v>0</v>
      </c>
      <c r="AF28" s="445">
        <f>SUBTOTAL(9,FK28:FN28)</f>
        <v>0</v>
      </c>
      <c r="AG28" s="445">
        <f>SUBTOTAL(9,FO28:FR28)</f>
        <v>0</v>
      </c>
      <c r="AH28" s="445">
        <f>SUBTOTAL(9,FS28:FW28)</f>
        <v>0</v>
      </c>
      <c r="AI28" s="445">
        <f>SUBTOTAL(9,FX28:GA28)</f>
        <v>0</v>
      </c>
      <c r="AJ28" s="445">
        <f>SUBTOTAL(9,GB28:GE28)</f>
        <v>0</v>
      </c>
      <c r="AK28" s="445">
        <f>SUBTOTAL(9,GF28:GJ28)</f>
        <v>0</v>
      </c>
      <c r="AL28" s="446">
        <f>SUBTOTAL(9,GK28:GN28)</f>
        <v>0</v>
      </c>
      <c r="AM28" s="447">
        <f>SUBTOTAL(9,GO28:GS28)</f>
        <v>0</v>
      </c>
      <c r="AN28" s="448">
        <f>SUBTOTAL(9,GT28:GW28)</f>
        <v>0</v>
      </c>
      <c r="AO28" s="446">
        <f>SUM(GX28:HA28)</f>
        <v>0</v>
      </c>
      <c r="AP28" s="445">
        <f>SUM(HB28:HF28)</f>
        <v>0</v>
      </c>
      <c r="AQ28" s="445">
        <f>SUM(HG28:HJ28)</f>
        <v>0</v>
      </c>
      <c r="AR28" s="445">
        <f>SUM(HK28:HN28)</f>
        <v>0</v>
      </c>
      <c r="AS28" s="445">
        <f>SUM(HO28:HR28)</f>
        <v>0</v>
      </c>
      <c r="AT28" s="445">
        <f>SUM(HS28:HV28)</f>
        <v>0</v>
      </c>
      <c r="AU28" s="445">
        <f>SUM(HW28:IA28)</f>
        <v>0</v>
      </c>
      <c r="AV28" s="445">
        <f>SUM(IB28:IE28)</f>
        <v>0</v>
      </c>
      <c r="AW28" s="445">
        <f t="shared" ref="AW28" si="666">SUM(IF28:IJ28)</f>
        <v>0</v>
      </c>
      <c r="AX28" s="446">
        <f t="shared" ref="AX28" si="667">SUM(IK28:IN28)</f>
        <v>0</v>
      </c>
      <c r="AY28" s="446">
        <f t="shared" ref="AY28" si="668">SUM(IO28:IR28)</f>
        <v>0</v>
      </c>
      <c r="AZ28" s="446">
        <f t="shared" ref="AZ28" si="669">SUM(IS28:IV28)</f>
        <v>0</v>
      </c>
      <c r="BA28" s="446">
        <f t="shared" ref="BA28" si="670">SUM(IW28:JA28)</f>
        <v>0</v>
      </c>
      <c r="BB28" s="446">
        <f t="shared" ref="BB28" si="671">SUM(JB28:JE28)</f>
        <v>0</v>
      </c>
      <c r="BC28" s="446">
        <f t="shared" ref="BC28" si="672">SUM(JF28:JI28)</f>
        <v>240</v>
      </c>
      <c r="BD28" s="446">
        <f>SUM(JJ28:JM28)</f>
        <v>372</v>
      </c>
      <c r="BE28" s="446">
        <f>SUM(JN28:JR28)</f>
        <v>12</v>
      </c>
      <c r="BF28" s="446">
        <f t="shared" ref="BF28" si="673">SUM(JS28:JV28)</f>
        <v>204</v>
      </c>
      <c r="BG28" s="446">
        <f t="shared" ref="BG28" si="674">SUM(JW28:JZ28)</f>
        <v>222</v>
      </c>
      <c r="BH28" s="446">
        <f t="shared" ref="BH28" si="675">SUM(KA28:KE28)</f>
        <v>210</v>
      </c>
      <c r="BI28" s="446">
        <f t="shared" ref="BI28" si="676">SUM(KF28:KI28)</f>
        <v>264</v>
      </c>
      <c r="BJ28" s="446">
        <f t="shared" ref="BJ28" si="677">SUM(KJ28:KN28)</f>
        <v>282</v>
      </c>
      <c r="BK28" s="469"/>
      <c r="BL28" s="471"/>
      <c r="BM28" s="471"/>
      <c r="BN28" s="471"/>
      <c r="BO28" s="471"/>
      <c r="BP28" s="471"/>
      <c r="BQ28" s="471"/>
      <c r="BR28" s="471"/>
      <c r="BS28" s="471"/>
      <c r="BT28" s="471"/>
      <c r="BU28" s="471"/>
      <c r="BV28" s="471"/>
      <c r="BW28" s="501"/>
      <c r="BX28" s="471"/>
      <c r="BY28" s="471"/>
      <c r="BZ28" s="471"/>
      <c r="CA28" s="471"/>
      <c r="CB28" s="471"/>
      <c r="CC28" s="471"/>
      <c r="CD28" s="471"/>
      <c r="CE28" s="471"/>
      <c r="CF28" s="471"/>
      <c r="CG28" s="471"/>
      <c r="CH28" s="471"/>
      <c r="CI28" s="471"/>
      <c r="CJ28" s="471"/>
      <c r="CK28" s="471"/>
      <c r="CL28" s="471"/>
      <c r="CM28" s="471"/>
      <c r="CN28" s="471"/>
      <c r="CO28" s="471"/>
      <c r="CP28" s="471"/>
      <c r="CQ28" s="471"/>
      <c r="CR28" s="471"/>
      <c r="CS28" s="471"/>
      <c r="CT28" s="471"/>
      <c r="CU28" s="471"/>
      <c r="CV28" s="471"/>
      <c r="CW28" s="471"/>
      <c r="CX28" s="471"/>
      <c r="CY28" s="471"/>
      <c r="CZ28" s="471"/>
      <c r="DA28" s="471"/>
      <c r="DB28" s="471"/>
      <c r="DC28" s="471"/>
      <c r="DD28" s="471"/>
      <c r="DE28" s="471"/>
      <c r="DF28" s="471"/>
      <c r="DG28" s="471"/>
      <c r="DH28" s="471"/>
      <c r="DI28" s="471"/>
      <c r="DJ28" s="471"/>
      <c r="DK28" s="471"/>
      <c r="DL28" s="471"/>
      <c r="DM28" s="471"/>
      <c r="DN28" s="471"/>
      <c r="DO28" s="471"/>
      <c r="DP28" s="471"/>
      <c r="DQ28" s="471"/>
      <c r="DR28" s="471"/>
      <c r="DS28" s="471"/>
      <c r="DT28" s="471"/>
      <c r="DU28" s="471"/>
      <c r="DV28" s="471"/>
      <c r="DW28" s="471"/>
      <c r="DX28" s="471"/>
      <c r="DY28" s="471"/>
      <c r="DZ28" s="471"/>
      <c r="EA28" s="471"/>
      <c r="EB28" s="471"/>
      <c r="EC28" s="471"/>
      <c r="ED28" s="471"/>
      <c r="EE28" s="471"/>
      <c r="EF28" s="471"/>
      <c r="EG28" s="471"/>
      <c r="EH28" s="471"/>
      <c r="EI28" s="471"/>
      <c r="EJ28" s="471"/>
      <c r="EK28" s="471"/>
      <c r="EL28" s="471"/>
      <c r="EM28" s="471"/>
      <c r="EN28" s="471"/>
      <c r="EO28" s="471"/>
      <c r="EP28" s="471"/>
      <c r="EQ28" s="471"/>
      <c r="ER28" s="471"/>
      <c r="ES28" s="471"/>
      <c r="ET28" s="471"/>
      <c r="EU28" s="471"/>
      <c r="EV28" s="471"/>
      <c r="EW28" s="495"/>
      <c r="EX28" s="447"/>
      <c r="EY28" s="445"/>
      <c r="EZ28" s="445"/>
      <c r="FA28" s="502"/>
      <c r="FB28" s="447"/>
      <c r="FC28" s="445"/>
      <c r="FD28" s="445"/>
      <c r="FE28" s="445"/>
      <c r="FF28" s="502"/>
      <c r="FG28" s="448"/>
      <c r="FH28" s="445"/>
      <c r="FI28" s="445"/>
      <c r="FJ28" s="502"/>
      <c r="FK28" s="448"/>
      <c r="FL28" s="445"/>
      <c r="FM28" s="445"/>
      <c r="FN28" s="502"/>
      <c r="FO28" s="448"/>
      <c r="FP28" s="445"/>
      <c r="FQ28" s="445"/>
      <c r="FR28" s="502"/>
      <c r="FS28" s="448"/>
      <c r="FT28" s="445"/>
      <c r="FU28" s="445"/>
      <c r="FV28" s="445"/>
      <c r="FW28" s="502"/>
      <c r="FX28" s="448"/>
      <c r="FY28" s="445"/>
      <c r="FZ28" s="445"/>
      <c r="GA28" s="502"/>
      <c r="GB28" s="448"/>
      <c r="GC28" s="445"/>
      <c r="GD28" s="445"/>
      <c r="GE28" s="502"/>
      <c r="GF28" s="448"/>
      <c r="GG28" s="445"/>
      <c r="GH28" s="445"/>
      <c r="GI28" s="445"/>
      <c r="GJ28" s="503"/>
      <c r="GK28" s="447"/>
      <c r="GL28" s="445"/>
      <c r="GM28" s="445"/>
      <c r="GN28" s="504"/>
      <c r="GO28" s="505"/>
      <c r="GP28" s="506"/>
      <c r="GQ28" s="506"/>
      <c r="GR28" s="507"/>
      <c r="GS28" s="508"/>
      <c r="GT28" s="448"/>
      <c r="GU28" s="445"/>
      <c r="GV28" s="445"/>
      <c r="GW28" s="504"/>
      <c r="GX28" s="447"/>
      <c r="GY28" s="445"/>
      <c r="GZ28" s="445"/>
      <c r="HA28" s="504"/>
      <c r="HB28" s="447"/>
      <c r="HC28" s="445"/>
      <c r="HD28" s="445"/>
      <c r="HE28" s="445"/>
      <c r="HF28" s="502"/>
      <c r="HG28" s="447"/>
      <c r="HH28" s="450"/>
      <c r="HI28" s="445"/>
      <c r="HJ28" s="502"/>
      <c r="HK28" s="447"/>
      <c r="HL28" s="445"/>
      <c r="HM28" s="445"/>
      <c r="HN28" s="502"/>
      <c r="HO28" s="447"/>
      <c r="HP28" s="445"/>
      <c r="HQ28" s="445"/>
      <c r="HR28" s="502"/>
      <c r="HS28" s="447"/>
      <c r="HT28" s="445"/>
      <c r="HU28" s="445"/>
      <c r="HV28" s="502"/>
      <c r="HW28" s="451"/>
      <c r="HX28" s="445"/>
      <c r="HY28" s="445"/>
      <c r="HZ28" s="445"/>
      <c r="IA28" s="502"/>
      <c r="IB28" s="448"/>
      <c r="IC28" s="445"/>
      <c r="ID28" s="445"/>
      <c r="IE28" s="502"/>
      <c r="IF28" s="448"/>
      <c r="IG28" s="445"/>
      <c r="IH28" s="445"/>
      <c r="II28" s="445"/>
      <c r="IJ28" s="446"/>
      <c r="IK28" s="451"/>
      <c r="IL28" s="445"/>
      <c r="IM28" s="445"/>
      <c r="IN28" s="502"/>
      <c r="IO28" s="447"/>
      <c r="IP28" s="445"/>
      <c r="IQ28" s="445"/>
      <c r="IR28" s="502"/>
      <c r="IS28" s="447"/>
      <c r="IT28" s="445"/>
      <c r="IU28" s="445"/>
      <c r="IV28" s="512"/>
      <c r="IW28" s="511"/>
      <c r="IX28" s="522"/>
      <c r="IY28" s="509"/>
      <c r="IZ28" s="512"/>
      <c r="JA28" s="502"/>
      <c r="JB28" s="511"/>
      <c r="JC28" s="509"/>
      <c r="JD28" s="509"/>
      <c r="JE28" s="510"/>
      <c r="JF28" s="511">
        <v>60</v>
      </c>
      <c r="JG28" s="509">
        <v>60</v>
      </c>
      <c r="JH28" s="445">
        <v>60</v>
      </c>
      <c r="JI28" s="502">
        <v>60</v>
      </c>
      <c r="JJ28" s="451">
        <v>0</v>
      </c>
      <c r="JK28" s="445">
        <v>126</v>
      </c>
      <c r="JL28" s="445">
        <v>126</v>
      </c>
      <c r="JM28" s="502">
        <v>120</v>
      </c>
      <c r="JN28" s="447">
        <v>12</v>
      </c>
      <c r="JO28" s="445">
        <v>0</v>
      </c>
      <c r="JP28" s="445">
        <v>0</v>
      </c>
      <c r="JQ28" s="449">
        <v>0</v>
      </c>
      <c r="JR28" s="502">
        <v>0</v>
      </c>
      <c r="JS28" s="447">
        <v>54</v>
      </c>
      <c r="JT28" s="445">
        <v>54</v>
      </c>
      <c r="JU28" s="445">
        <v>48</v>
      </c>
      <c r="JV28" s="502">
        <v>48</v>
      </c>
      <c r="JW28" s="447">
        <v>60</v>
      </c>
      <c r="JX28" s="445">
        <v>54</v>
      </c>
      <c r="JY28" s="445">
        <v>54</v>
      </c>
      <c r="JZ28" s="502">
        <v>54</v>
      </c>
      <c r="KA28" s="447">
        <v>42</v>
      </c>
      <c r="KB28" s="445">
        <v>42</v>
      </c>
      <c r="KC28" s="445">
        <v>42</v>
      </c>
      <c r="KD28" s="446">
        <v>42</v>
      </c>
      <c r="KE28" s="502">
        <v>42</v>
      </c>
      <c r="KF28" s="447">
        <v>66</v>
      </c>
      <c r="KG28" s="445">
        <v>66</v>
      </c>
      <c r="KH28" s="445">
        <v>66</v>
      </c>
      <c r="KI28" s="502">
        <v>66</v>
      </c>
      <c r="KJ28" s="451">
        <v>0</v>
      </c>
      <c r="KK28" s="445">
        <v>72</v>
      </c>
      <c r="KL28" s="445">
        <v>72</v>
      </c>
      <c r="KM28" s="445">
        <v>72</v>
      </c>
      <c r="KN28" s="502">
        <v>66</v>
      </c>
    </row>
    <row r="29" spans="1:300" ht="36.75" customHeight="1" thickBot="1">
      <c r="A29" s="481"/>
      <c r="B29" s="494"/>
      <c r="C29" s="666"/>
      <c r="D29" s="596" t="s">
        <v>172</v>
      </c>
      <c r="E29" s="455"/>
      <c r="F29" s="599"/>
      <c r="G29" s="456" t="s">
        <v>18</v>
      </c>
      <c r="H29" s="475"/>
      <c r="I29" s="471"/>
      <c r="J29" s="471"/>
      <c r="K29" s="471"/>
      <c r="L29" s="471"/>
      <c r="M29" s="495"/>
      <c r="N29" s="495"/>
      <c r="O29" s="495"/>
      <c r="P29" s="495"/>
      <c r="Q29" s="495"/>
      <c r="R29" s="471"/>
      <c r="S29" s="471"/>
      <c r="T29" s="495"/>
      <c r="U29" s="495"/>
      <c r="V29" s="495"/>
      <c r="W29" s="495"/>
      <c r="X29" s="495"/>
      <c r="Y29" s="495"/>
      <c r="Z29" s="495"/>
      <c r="AA29" s="495"/>
      <c r="AB29" s="495"/>
      <c r="AC29" s="460">
        <f t="shared" ref="AC29" si="678">AB29+AC28</f>
        <v>0</v>
      </c>
      <c r="AD29" s="461">
        <f t="shared" ref="AD29" si="679">AC29+AD28</f>
        <v>0</v>
      </c>
      <c r="AE29" s="461">
        <f t="shared" ref="AE29" si="680">AD29+AE28</f>
        <v>0</v>
      </c>
      <c r="AF29" s="461">
        <f t="shared" ref="AF29" si="681">AE29+AF28</f>
        <v>0</v>
      </c>
      <c r="AG29" s="461">
        <f t="shared" ref="AG29" si="682">AF29+AG28</f>
        <v>0</v>
      </c>
      <c r="AH29" s="461">
        <f t="shared" ref="AH29" si="683">AG29+AH28</f>
        <v>0</v>
      </c>
      <c r="AI29" s="462">
        <f>GA29</f>
        <v>0</v>
      </c>
      <c r="AJ29" s="461">
        <f t="shared" ref="AJ29" si="684">AI29+AJ28</f>
        <v>0</v>
      </c>
      <c r="AK29" s="461">
        <f t="shared" ref="AK29" si="685">AJ29+AK28</f>
        <v>0</v>
      </c>
      <c r="AL29" s="460">
        <f t="shared" ref="AL29" si="686">AK29+AL28</f>
        <v>0</v>
      </c>
      <c r="AM29" s="463">
        <f t="shared" ref="AM29" si="687">AL29+AM28</f>
        <v>0</v>
      </c>
      <c r="AN29" s="464">
        <f t="shared" ref="AN29" si="688">AM29+AN28</f>
        <v>0</v>
      </c>
      <c r="AO29" s="465">
        <f t="shared" ref="AO29" si="689">AN29+AO28</f>
        <v>0</v>
      </c>
      <c r="AP29" s="466">
        <f>AO29+AP28</f>
        <v>0</v>
      </c>
      <c r="AQ29" s="466">
        <f t="shared" ref="AQ29" si="690">AP29+AQ28</f>
        <v>0</v>
      </c>
      <c r="AR29" s="466">
        <f t="shared" ref="AR29" si="691">AQ29+AR28</f>
        <v>0</v>
      </c>
      <c r="AS29" s="466">
        <f t="shared" ref="AS29" si="692">AR29+AS28</f>
        <v>0</v>
      </c>
      <c r="AT29" s="466">
        <f t="shared" ref="AT29" si="693">AS29+AT28</f>
        <v>0</v>
      </c>
      <c r="AU29" s="466">
        <f t="shared" ref="AU29" si="694">AT29+AU28</f>
        <v>0</v>
      </c>
      <c r="AV29" s="466">
        <f t="shared" ref="AV29" si="695">AU29+AV28</f>
        <v>0</v>
      </c>
      <c r="AW29" s="466">
        <f t="shared" ref="AW29" si="696">AV29+AW28</f>
        <v>0</v>
      </c>
      <c r="AX29" s="466">
        <f t="shared" ref="AX29" si="697">AW29+AX28</f>
        <v>0</v>
      </c>
      <c r="AY29" s="466">
        <f t="shared" ref="AY29" si="698">AX29+AY28</f>
        <v>0</v>
      </c>
      <c r="AZ29" s="466">
        <f t="shared" ref="AZ29" si="699">AY29+AZ28</f>
        <v>0</v>
      </c>
      <c r="BA29" s="466">
        <f t="shared" ref="BA29" si="700">AZ29+BA28</f>
        <v>0</v>
      </c>
      <c r="BB29" s="466">
        <f t="shared" ref="BB29" si="701">BA29+BB28</f>
        <v>0</v>
      </c>
      <c r="BC29" s="466">
        <f t="shared" ref="BC29:BD29" si="702">BB29+BC28</f>
        <v>240</v>
      </c>
      <c r="BD29" s="466">
        <f t="shared" si="702"/>
        <v>612</v>
      </c>
      <c r="BE29" s="466">
        <f>BD29+BE28</f>
        <v>624</v>
      </c>
      <c r="BF29" s="466">
        <f t="shared" ref="BF29" si="703">BE29+BF28</f>
        <v>828</v>
      </c>
      <c r="BG29" s="466">
        <f t="shared" ref="BG29:BJ29" si="704">BF29+BG28</f>
        <v>1050</v>
      </c>
      <c r="BH29" s="466">
        <f t="shared" si="704"/>
        <v>1260</v>
      </c>
      <c r="BI29" s="466">
        <f t="shared" si="704"/>
        <v>1524</v>
      </c>
      <c r="BJ29" s="466">
        <f t="shared" si="704"/>
        <v>1806</v>
      </c>
      <c r="BK29" s="469"/>
      <c r="BL29" s="471"/>
      <c r="BM29" s="471"/>
      <c r="BN29" s="471"/>
      <c r="BO29" s="471"/>
      <c r="BP29" s="471"/>
      <c r="BQ29" s="471"/>
      <c r="BR29" s="471"/>
      <c r="BS29" s="471"/>
      <c r="BT29" s="471"/>
      <c r="BU29" s="471"/>
      <c r="BV29" s="471"/>
      <c r="BW29" s="501"/>
      <c r="BX29" s="471"/>
      <c r="BY29" s="471"/>
      <c r="BZ29" s="471"/>
      <c r="CA29" s="471"/>
      <c r="CB29" s="471"/>
      <c r="CC29" s="471"/>
      <c r="CD29" s="471"/>
      <c r="CE29" s="471"/>
      <c r="CF29" s="471"/>
      <c r="CG29" s="471"/>
      <c r="CH29" s="471"/>
      <c r="CI29" s="471"/>
      <c r="CJ29" s="471"/>
      <c r="CK29" s="471"/>
      <c r="CL29" s="471"/>
      <c r="CM29" s="471"/>
      <c r="CN29" s="471"/>
      <c r="CO29" s="471"/>
      <c r="CP29" s="471"/>
      <c r="CQ29" s="471"/>
      <c r="CR29" s="471"/>
      <c r="CS29" s="471"/>
      <c r="CT29" s="471"/>
      <c r="CU29" s="471"/>
      <c r="CV29" s="471"/>
      <c r="CW29" s="471"/>
      <c r="CX29" s="471"/>
      <c r="CY29" s="471"/>
      <c r="CZ29" s="471"/>
      <c r="DA29" s="471"/>
      <c r="DB29" s="471"/>
      <c r="DC29" s="471"/>
      <c r="DD29" s="471"/>
      <c r="DE29" s="471"/>
      <c r="DF29" s="471"/>
      <c r="DG29" s="471"/>
      <c r="DH29" s="471"/>
      <c r="DI29" s="471"/>
      <c r="DJ29" s="471"/>
      <c r="DK29" s="471"/>
      <c r="DL29" s="471"/>
      <c r="DM29" s="471"/>
      <c r="DN29" s="471"/>
      <c r="DO29" s="471"/>
      <c r="DP29" s="471"/>
      <c r="DQ29" s="471"/>
      <c r="DR29" s="471"/>
      <c r="DS29" s="471"/>
      <c r="DT29" s="471"/>
      <c r="DU29" s="471"/>
      <c r="DV29" s="471"/>
      <c r="DW29" s="471"/>
      <c r="DX29" s="471"/>
      <c r="DY29" s="471"/>
      <c r="DZ29" s="471"/>
      <c r="EA29" s="471"/>
      <c r="EB29" s="471"/>
      <c r="EC29" s="471"/>
      <c r="ED29" s="471"/>
      <c r="EE29" s="471"/>
      <c r="EF29" s="471"/>
      <c r="EG29" s="471"/>
      <c r="EH29" s="471"/>
      <c r="EI29" s="471"/>
      <c r="EJ29" s="471"/>
      <c r="EK29" s="471"/>
      <c r="EL29" s="471"/>
      <c r="EM29" s="471"/>
      <c r="EN29" s="471"/>
      <c r="EO29" s="471"/>
      <c r="EP29" s="471"/>
      <c r="EQ29" s="471"/>
      <c r="ER29" s="471"/>
      <c r="ES29" s="471"/>
      <c r="ET29" s="471"/>
      <c r="EU29" s="471"/>
      <c r="EV29" s="471"/>
      <c r="EW29" s="495"/>
      <c r="EX29" s="463">
        <f t="shared" ref="EX29" si="705">EW29+EX28</f>
        <v>0</v>
      </c>
      <c r="EY29" s="461">
        <f t="shared" ref="EY29" si="706">EX29+EY28</f>
        <v>0</v>
      </c>
      <c r="EZ29" s="461">
        <f t="shared" ref="EZ29" si="707">EY29+EZ28</f>
        <v>0</v>
      </c>
      <c r="FA29" s="492">
        <f t="shared" ref="FA29" si="708">EZ29+FA28</f>
        <v>0</v>
      </c>
      <c r="FB29" s="463">
        <f t="shared" ref="FB29" si="709">FA29+FB28</f>
        <v>0</v>
      </c>
      <c r="FC29" s="461">
        <f t="shared" ref="FC29" si="710">FB29+FC28</f>
        <v>0</v>
      </c>
      <c r="FD29" s="461">
        <f t="shared" ref="FD29" si="711">FC29+FD28</f>
        <v>0</v>
      </c>
      <c r="FE29" s="461">
        <f t="shared" ref="FE29" si="712">FD29+FE28</f>
        <v>0</v>
      </c>
      <c r="FF29" s="492">
        <f t="shared" ref="FF29" si="713">FE29+FF28</f>
        <v>0</v>
      </c>
      <c r="FG29" s="464">
        <f t="shared" ref="FG29" si="714">FF29+FG28</f>
        <v>0</v>
      </c>
      <c r="FH29" s="461">
        <f t="shared" ref="FH29" si="715">FG29+FH28</f>
        <v>0</v>
      </c>
      <c r="FI29" s="461">
        <f t="shared" ref="FI29" si="716">FH29+FI28</f>
        <v>0</v>
      </c>
      <c r="FJ29" s="492">
        <f t="shared" ref="FJ29" si="717">FI29+FJ28</f>
        <v>0</v>
      </c>
      <c r="FK29" s="464">
        <f t="shared" ref="FK29" si="718">FJ29+FK28</f>
        <v>0</v>
      </c>
      <c r="FL29" s="461">
        <f t="shared" ref="FL29" si="719">FK29+FL28</f>
        <v>0</v>
      </c>
      <c r="FM29" s="461">
        <f t="shared" ref="FM29" si="720">FL29+FM28</f>
        <v>0</v>
      </c>
      <c r="FN29" s="492">
        <f t="shared" ref="FN29" si="721">FM29+FN28</f>
        <v>0</v>
      </c>
      <c r="FO29" s="464">
        <f t="shared" ref="FO29" si="722">FN29+FO28</f>
        <v>0</v>
      </c>
      <c r="FP29" s="461">
        <f t="shared" ref="FP29" si="723">FO29+FP28</f>
        <v>0</v>
      </c>
      <c r="FQ29" s="461">
        <f t="shared" ref="FQ29" si="724">FP29+FQ28</f>
        <v>0</v>
      </c>
      <c r="FR29" s="492">
        <f t="shared" ref="FR29" si="725">FQ29+FR28</f>
        <v>0</v>
      </c>
      <c r="FS29" s="464">
        <f t="shared" ref="FS29" si="726">FR29+FS28</f>
        <v>0</v>
      </c>
      <c r="FT29" s="461">
        <f t="shared" ref="FT29" si="727">FS29+FT28</f>
        <v>0</v>
      </c>
      <c r="FU29" s="461">
        <f t="shared" ref="FU29" si="728">FT29+FU28</f>
        <v>0</v>
      </c>
      <c r="FV29" s="461">
        <f t="shared" ref="FV29" si="729">FU29+FV28</f>
        <v>0</v>
      </c>
      <c r="FW29" s="492">
        <f t="shared" ref="FW29" si="730">FV29+FW28</f>
        <v>0</v>
      </c>
      <c r="FX29" s="464">
        <f t="shared" ref="FX29" si="731">FW29+FX28</f>
        <v>0</v>
      </c>
      <c r="FY29" s="461">
        <f t="shared" ref="FY29" si="732">FX29+FY28</f>
        <v>0</v>
      </c>
      <c r="FZ29" s="461">
        <f t="shared" ref="FZ29" si="733">FY29+FZ28</f>
        <v>0</v>
      </c>
      <c r="GA29" s="492">
        <f t="shared" ref="GA29" si="734">FZ29+GA28</f>
        <v>0</v>
      </c>
      <c r="GB29" s="464">
        <f t="shared" ref="GB29" si="735">GA29+GB28</f>
        <v>0</v>
      </c>
      <c r="GC29" s="461">
        <f t="shared" ref="GC29" si="736">GB29+GC28</f>
        <v>0</v>
      </c>
      <c r="GD29" s="461">
        <f t="shared" ref="GD29" si="737">GC29+GD28</f>
        <v>0</v>
      </c>
      <c r="GE29" s="492">
        <f t="shared" ref="GE29" si="738">GD29+GE28</f>
        <v>0</v>
      </c>
      <c r="GF29" s="464">
        <f t="shared" ref="GF29" si="739">GE29+GF28</f>
        <v>0</v>
      </c>
      <c r="GG29" s="461">
        <f t="shared" ref="GG29" si="740">GF29+GG28</f>
        <v>0</v>
      </c>
      <c r="GH29" s="461">
        <f t="shared" ref="GH29" si="741">GG29+GH28</f>
        <v>0</v>
      </c>
      <c r="GI29" s="461">
        <f t="shared" ref="GI29" si="742">GH29+GI28</f>
        <v>0</v>
      </c>
      <c r="GJ29" s="496">
        <f t="shared" ref="GJ29" si="743">GI29+GJ28</f>
        <v>0</v>
      </c>
      <c r="GK29" s="463">
        <f t="shared" ref="GK29" si="744">GJ29+GK28</f>
        <v>0</v>
      </c>
      <c r="GL29" s="461">
        <f t="shared" ref="GL29" si="745">GK29+GL28</f>
        <v>0</v>
      </c>
      <c r="GM29" s="461">
        <f t="shared" ref="GM29" si="746">GL29+GM28</f>
        <v>0</v>
      </c>
      <c r="GN29" s="497">
        <f t="shared" ref="GN29" si="747">GM29+GN28</f>
        <v>0</v>
      </c>
      <c r="GO29" s="463">
        <f t="shared" ref="GO29" si="748">GN29+GO28</f>
        <v>0</v>
      </c>
      <c r="GP29" s="461">
        <f t="shared" ref="GP29" si="749">GO29+GP28</f>
        <v>0</v>
      </c>
      <c r="GQ29" s="461">
        <f t="shared" ref="GQ29" si="750">GP29+GQ28</f>
        <v>0</v>
      </c>
      <c r="GR29" s="460">
        <f t="shared" ref="GR29" si="751">GQ29+GR28</f>
        <v>0</v>
      </c>
      <c r="GS29" s="492">
        <f t="shared" ref="GS29" si="752">GR29+GS28</f>
        <v>0</v>
      </c>
      <c r="GT29" s="464">
        <f t="shared" ref="GT29" si="753">GS29+GT28</f>
        <v>0</v>
      </c>
      <c r="GU29" s="461">
        <f t="shared" ref="GU29" si="754">GT29+GU28</f>
        <v>0</v>
      </c>
      <c r="GV29" s="461">
        <f t="shared" ref="GV29" si="755">GU29+GV28</f>
        <v>0</v>
      </c>
      <c r="GW29" s="497">
        <f t="shared" ref="GW29" si="756">GV29+GW28</f>
        <v>0</v>
      </c>
      <c r="GX29" s="498">
        <f t="shared" ref="GX29" si="757">GW29+GX28</f>
        <v>0</v>
      </c>
      <c r="GY29" s="466">
        <f t="shared" ref="GY29" si="758">GX29+GY28</f>
        <v>0</v>
      </c>
      <c r="GZ29" s="466">
        <f t="shared" ref="GZ29" si="759">GY29+GZ28</f>
        <v>0</v>
      </c>
      <c r="HA29" s="499">
        <f t="shared" ref="HA29" si="760">GZ29+HA28</f>
        <v>0</v>
      </c>
      <c r="HB29" s="498">
        <f t="shared" ref="HB29" si="761">HA29+HB28</f>
        <v>0</v>
      </c>
      <c r="HC29" s="466">
        <f t="shared" ref="HC29" si="762">HB29+HC28</f>
        <v>0</v>
      </c>
      <c r="HD29" s="466">
        <f t="shared" ref="HD29" si="763">HC29+HD28</f>
        <v>0</v>
      </c>
      <c r="HE29" s="466">
        <f t="shared" ref="HE29" si="764">HD29+HE28</f>
        <v>0</v>
      </c>
      <c r="HF29" s="500">
        <f t="shared" ref="HF29" si="765">HE29+HF28</f>
        <v>0</v>
      </c>
      <c r="HG29" s="498">
        <f t="shared" ref="HG29" si="766">HF29+HG28</f>
        <v>0</v>
      </c>
      <c r="HH29" s="466">
        <f t="shared" ref="HH29" si="767">HG29+HH28</f>
        <v>0</v>
      </c>
      <c r="HI29" s="466">
        <f t="shared" ref="HI29" si="768">HH29+HI28</f>
        <v>0</v>
      </c>
      <c r="HJ29" s="500">
        <f t="shared" ref="HJ29" si="769">HI29+HJ28</f>
        <v>0</v>
      </c>
      <c r="HK29" s="476">
        <f t="shared" ref="HK29" si="770">HJ29+HK28</f>
        <v>0</v>
      </c>
      <c r="HL29" s="477">
        <f t="shared" ref="HL29" si="771">HK29+HL28</f>
        <v>0</v>
      </c>
      <c r="HM29" s="477">
        <f t="shared" ref="HM29" si="772">HL29+HM28</f>
        <v>0</v>
      </c>
      <c r="HN29" s="478">
        <f t="shared" ref="HN29" si="773">HM29+HN28</f>
        <v>0</v>
      </c>
      <c r="HO29" s="476">
        <f t="shared" ref="HO29" si="774">HN29+HO28</f>
        <v>0</v>
      </c>
      <c r="HP29" s="477">
        <f t="shared" ref="HP29" si="775">HO29+HP28</f>
        <v>0</v>
      </c>
      <c r="HQ29" s="477">
        <f t="shared" ref="HQ29" si="776">HP29+HQ28</f>
        <v>0</v>
      </c>
      <c r="HR29" s="478">
        <f t="shared" ref="HR29" si="777">HQ29+HR28</f>
        <v>0</v>
      </c>
      <c r="HS29" s="476">
        <f>HR29+HS28</f>
        <v>0</v>
      </c>
      <c r="HT29" s="477">
        <f>HS29+HT28</f>
        <v>0</v>
      </c>
      <c r="HU29" s="477">
        <f t="shared" ref="HU29" si="778">HT29+HU28</f>
        <v>0</v>
      </c>
      <c r="HV29" s="478">
        <f t="shared" ref="HV29" si="779">HU29+HV28</f>
        <v>0</v>
      </c>
      <c r="HW29" s="476">
        <f>HV29+HW28</f>
        <v>0</v>
      </c>
      <c r="HX29" s="477">
        <f>HW29+HX28</f>
        <v>0</v>
      </c>
      <c r="HY29" s="477">
        <f t="shared" ref="HY29" si="780">HX29+HY28</f>
        <v>0</v>
      </c>
      <c r="HZ29" s="477">
        <f t="shared" ref="HZ29" si="781">HY29+HZ28</f>
        <v>0</v>
      </c>
      <c r="IA29" s="478">
        <f>HZ29+IA28</f>
        <v>0</v>
      </c>
      <c r="IB29" s="479">
        <f>IA29+IB28</f>
        <v>0</v>
      </c>
      <c r="IC29" s="477">
        <f t="shared" ref="IC29" si="782">IB29+IC28</f>
        <v>0</v>
      </c>
      <c r="ID29" s="477">
        <f t="shared" ref="ID29" si="783">IC29+ID28</f>
        <v>0</v>
      </c>
      <c r="IE29" s="478">
        <f>ID29+IE28</f>
        <v>0</v>
      </c>
      <c r="IF29" s="479">
        <f>IE29+IF28</f>
        <v>0</v>
      </c>
      <c r="IG29" s="477">
        <f t="shared" ref="IG29" si="784">IF29+IG28</f>
        <v>0</v>
      </c>
      <c r="IH29" s="477">
        <f>IG29+IH28</f>
        <v>0</v>
      </c>
      <c r="II29" s="477">
        <f t="shared" ref="II29" si="785">IH29+II28</f>
        <v>0</v>
      </c>
      <c r="IJ29" s="480">
        <f t="shared" ref="IJ29" si="786">II29+IJ28</f>
        <v>0</v>
      </c>
      <c r="IK29" s="476">
        <f>IJ29+IK28</f>
        <v>0</v>
      </c>
      <c r="IL29" s="477">
        <f t="shared" ref="IL29" si="787">IK29+IL28</f>
        <v>0</v>
      </c>
      <c r="IM29" s="477">
        <f>IL29+IM28</f>
        <v>0</v>
      </c>
      <c r="IN29" s="478">
        <f t="shared" ref="IN29" si="788">IM29+IN28</f>
        <v>0</v>
      </c>
      <c r="IO29" s="476">
        <f>IN29+IO28</f>
        <v>0</v>
      </c>
      <c r="IP29" s="477">
        <f t="shared" ref="IP29" si="789">IO29+IP28</f>
        <v>0</v>
      </c>
      <c r="IQ29" s="477">
        <f>IP29+IQ28</f>
        <v>0</v>
      </c>
      <c r="IR29" s="478">
        <f t="shared" ref="IR29" si="790">IQ29+IR28</f>
        <v>0</v>
      </c>
      <c r="IS29" s="476">
        <f>IR29+IS28</f>
        <v>0</v>
      </c>
      <c r="IT29" s="477">
        <f t="shared" ref="IT29" si="791">IS29+IT28</f>
        <v>0</v>
      </c>
      <c r="IU29" s="477">
        <f>IT29+IU28</f>
        <v>0</v>
      </c>
      <c r="IV29" s="480">
        <f t="shared" ref="IV29" si="792">IU29+IV28</f>
        <v>0</v>
      </c>
      <c r="IW29" s="476">
        <f t="shared" ref="IW29" si="793">IV29+IW28</f>
        <v>0</v>
      </c>
      <c r="IX29" s="479">
        <f>IW29+IX28</f>
        <v>0</v>
      </c>
      <c r="IY29" s="477">
        <f t="shared" ref="IY29" si="794">IX29+IY28</f>
        <v>0</v>
      </c>
      <c r="IZ29" s="480">
        <f>IY29+IZ28</f>
        <v>0</v>
      </c>
      <c r="JA29" s="478">
        <f t="shared" ref="JA29" si="795">IZ29+JA28</f>
        <v>0</v>
      </c>
      <c r="JB29" s="476">
        <f>JA29+JB28</f>
        <v>0</v>
      </c>
      <c r="JC29" s="477">
        <f t="shared" ref="JC29" si="796">JB29+JC28</f>
        <v>0</v>
      </c>
      <c r="JD29" s="477">
        <f>JC29+JD28</f>
        <v>0</v>
      </c>
      <c r="JE29" s="478">
        <f t="shared" ref="JE29" si="797">JD29+JE28</f>
        <v>0</v>
      </c>
      <c r="JF29" s="476">
        <f>JE29+JF28</f>
        <v>60</v>
      </c>
      <c r="JG29" s="477">
        <f t="shared" ref="JG29" si="798">JF29+JG28</f>
        <v>120</v>
      </c>
      <c r="JH29" s="477">
        <f>JG29+JH28</f>
        <v>180</v>
      </c>
      <c r="JI29" s="478">
        <f t="shared" ref="JI29" si="799">JH29+JI28</f>
        <v>240</v>
      </c>
      <c r="JJ29" s="611">
        <f>JI29+JJ28</f>
        <v>240</v>
      </c>
      <c r="JK29" s="477">
        <f t="shared" ref="JK29" si="800">JJ29+JK28</f>
        <v>366</v>
      </c>
      <c r="JL29" s="477">
        <f>JK29+JL28</f>
        <v>492</v>
      </c>
      <c r="JM29" s="478">
        <f t="shared" ref="JM29" si="801">JL29+JM28</f>
        <v>612</v>
      </c>
      <c r="JN29" s="476">
        <f>JM29+JN28</f>
        <v>624</v>
      </c>
      <c r="JO29" s="477">
        <f>JN29+JO28</f>
        <v>624</v>
      </c>
      <c r="JP29" s="477">
        <f>JO29+JP28</f>
        <v>624</v>
      </c>
      <c r="JQ29" s="614">
        <f t="shared" ref="JQ29:JR29" si="802">JP29+JQ28</f>
        <v>624</v>
      </c>
      <c r="JR29" s="477">
        <f t="shared" si="802"/>
        <v>624</v>
      </c>
      <c r="JS29" s="476">
        <f>JR29+JS28</f>
        <v>678</v>
      </c>
      <c r="JT29" s="477">
        <f>JS29+JT28</f>
        <v>732</v>
      </c>
      <c r="JU29" s="477">
        <f>JT29+JU28</f>
        <v>780</v>
      </c>
      <c r="JV29" s="478">
        <f t="shared" ref="JV29" si="803">JU29+JV28</f>
        <v>828</v>
      </c>
      <c r="JW29" s="476">
        <f>JV29+JW28</f>
        <v>888</v>
      </c>
      <c r="JX29" s="477">
        <f>JW29+JX28</f>
        <v>942</v>
      </c>
      <c r="JY29" s="477">
        <f>JX29+JY28</f>
        <v>996</v>
      </c>
      <c r="JZ29" s="478">
        <f t="shared" ref="JZ29:KE29" si="804">JY29+JZ28</f>
        <v>1050</v>
      </c>
      <c r="KA29" s="476">
        <f t="shared" si="804"/>
        <v>1092</v>
      </c>
      <c r="KB29" s="477">
        <f t="shared" si="804"/>
        <v>1134</v>
      </c>
      <c r="KC29" s="477">
        <f t="shared" si="804"/>
        <v>1176</v>
      </c>
      <c r="KD29" s="480">
        <f t="shared" si="804"/>
        <v>1218</v>
      </c>
      <c r="KE29" s="478">
        <f t="shared" si="804"/>
        <v>1260</v>
      </c>
      <c r="KF29" s="476">
        <f t="shared" ref="KF29" si="805">KE29+KF28</f>
        <v>1326</v>
      </c>
      <c r="KG29" s="477">
        <f t="shared" ref="KG29" si="806">KF29+KG28</f>
        <v>1392</v>
      </c>
      <c r="KH29" s="477">
        <f t="shared" ref="KH29" si="807">KG29+KH28</f>
        <v>1458</v>
      </c>
      <c r="KI29" s="478">
        <f t="shared" ref="KI29" si="808">KH29+KI28</f>
        <v>1524</v>
      </c>
      <c r="KJ29" s="611">
        <f t="shared" ref="KJ29" si="809">KI29+KJ28</f>
        <v>1524</v>
      </c>
      <c r="KK29" s="477">
        <f t="shared" ref="KK29" si="810">KJ29+KK28</f>
        <v>1596</v>
      </c>
      <c r="KL29" s="477">
        <f t="shared" ref="KL29:KM29" si="811">KK29+KL28</f>
        <v>1668</v>
      </c>
      <c r="KM29" s="477">
        <f t="shared" si="811"/>
        <v>1740</v>
      </c>
      <c r="KN29" s="478">
        <f t="shared" ref="KN29" si="812">KL29+KN28</f>
        <v>1734</v>
      </c>
    </row>
    <row r="30" spans="1:300" ht="36.75" customHeight="1">
      <c r="A30" s="481"/>
      <c r="B30" s="494"/>
      <c r="C30" s="665">
        <v>4</v>
      </c>
      <c r="D30" s="595" t="s">
        <v>139</v>
      </c>
      <c r="E30" s="439" t="s">
        <v>32</v>
      </c>
      <c r="F30" s="598" t="s">
        <v>148</v>
      </c>
      <c r="G30" s="440" t="s">
        <v>17</v>
      </c>
      <c r="H30" s="475"/>
      <c r="I30" s="471"/>
      <c r="J30" s="471"/>
      <c r="K30" s="471"/>
      <c r="L30" s="471"/>
      <c r="M30" s="495"/>
      <c r="N30" s="495"/>
      <c r="O30" s="495"/>
      <c r="P30" s="495"/>
      <c r="Q30" s="495"/>
      <c r="R30" s="471"/>
      <c r="S30" s="471"/>
      <c r="T30" s="495"/>
      <c r="U30" s="495"/>
      <c r="V30" s="495"/>
      <c r="W30" s="495"/>
      <c r="X30" s="495"/>
      <c r="Y30" s="495"/>
      <c r="Z30" s="495"/>
      <c r="AA30" s="495"/>
      <c r="AB30" s="495"/>
      <c r="AC30" s="483">
        <f>SUBTOTAL(9,EX30:FA30)</f>
        <v>0</v>
      </c>
      <c r="AD30" s="445">
        <f>SUBTOTAL(9,FB30:FF30)</f>
        <v>0</v>
      </c>
      <c r="AE30" s="445">
        <f>SUBTOTAL(9,FG30:FJ30)</f>
        <v>0</v>
      </c>
      <c r="AF30" s="445">
        <f>SUBTOTAL(9,FK30:FN30)</f>
        <v>0</v>
      </c>
      <c r="AG30" s="445">
        <f>SUBTOTAL(9,FO30:FR30)</f>
        <v>0</v>
      </c>
      <c r="AH30" s="445">
        <f>SUBTOTAL(9,FS30:FW30)</f>
        <v>0</v>
      </c>
      <c r="AI30" s="445">
        <f>SUBTOTAL(9,FX30:GA30)</f>
        <v>0</v>
      </c>
      <c r="AJ30" s="445">
        <f>SUBTOTAL(9,GB30:GE30)</f>
        <v>0</v>
      </c>
      <c r="AK30" s="445">
        <f>SUBTOTAL(9,GF30:GJ30)</f>
        <v>0</v>
      </c>
      <c r="AL30" s="446">
        <f>SUBTOTAL(9,GK30:GN30)</f>
        <v>0</v>
      </c>
      <c r="AM30" s="447">
        <f>SUBTOTAL(9,GO30:GS30)</f>
        <v>336</v>
      </c>
      <c r="AN30" s="448">
        <f>SUBTOTAL(9,GT30:GW30)</f>
        <v>612</v>
      </c>
      <c r="AO30" s="446">
        <f>SUM(GX30:HA30)</f>
        <v>618</v>
      </c>
      <c r="AP30" s="445">
        <f>SUM(HB30:HF30)</f>
        <v>540</v>
      </c>
      <c r="AQ30" s="445">
        <f>SUM(HG30:HJ30)</f>
        <v>960</v>
      </c>
      <c r="AR30" s="445">
        <f>SUM(HK30:HN30)</f>
        <v>636</v>
      </c>
      <c r="AS30" s="445">
        <f>SUM(HO30:HR30)</f>
        <v>540</v>
      </c>
      <c r="AT30" s="445">
        <f>SUM(HS30:HV30)</f>
        <v>0</v>
      </c>
      <c r="AU30" s="445">
        <f>SUM(HW30:IA30)</f>
        <v>186</v>
      </c>
      <c r="AV30" s="445">
        <f>SUM(IB30:IE30)</f>
        <v>240</v>
      </c>
      <c r="AW30" s="445">
        <f t="shared" ref="AW30" si="813">SUM(IF30:IJ30)</f>
        <v>204</v>
      </c>
      <c r="AX30" s="446">
        <f t="shared" ref="AX30" si="814">SUM(IK30:IN30)</f>
        <v>300</v>
      </c>
      <c r="AY30" s="446">
        <f t="shared" ref="AY30" si="815">SUM(IO30:IR30)</f>
        <v>348</v>
      </c>
      <c r="AZ30" s="446">
        <f t="shared" ref="AZ30" si="816">SUM(IS30:IV30)</f>
        <v>486</v>
      </c>
      <c r="BA30" s="446">
        <f t="shared" ref="BA30" si="817">SUM(IW30:JA30)</f>
        <v>510</v>
      </c>
      <c r="BB30" s="446">
        <f t="shared" ref="BB30" si="818">SUM(JB30:JE30)</f>
        <v>444</v>
      </c>
      <c r="BC30" s="446">
        <f t="shared" ref="BC30" si="819">SUM(JF30:JI30)</f>
        <v>390</v>
      </c>
      <c r="BD30" s="446">
        <f t="shared" ref="BD30" si="820">SUM(JJ30:JM30)</f>
        <v>378</v>
      </c>
      <c r="BE30" s="446">
        <f t="shared" ref="BE30" si="821">SUM(JN30:JR30)</f>
        <v>348</v>
      </c>
      <c r="BF30" s="446">
        <f t="shared" ref="BF30" si="822">SUM(JS30:JV30)</f>
        <v>0</v>
      </c>
      <c r="BG30" s="446">
        <f t="shared" ref="BG30" si="823">SUM(JW30:JZ30)</f>
        <v>78</v>
      </c>
      <c r="BH30" s="446">
        <f t="shared" ref="BH30" si="824">SUM(KA30:KE30)</f>
        <v>156</v>
      </c>
      <c r="BI30" s="446">
        <f t="shared" ref="BI30" si="825">SUM(KF30:KI30)</f>
        <v>168</v>
      </c>
      <c r="BJ30" s="446">
        <f t="shared" ref="BJ30" si="826">SUM(KJ30:KN30)</f>
        <v>186</v>
      </c>
      <c r="BK30" s="469"/>
      <c r="BL30" s="471"/>
      <c r="BM30" s="471"/>
      <c r="BN30" s="471"/>
      <c r="BO30" s="471"/>
      <c r="BP30" s="471"/>
      <c r="BQ30" s="471"/>
      <c r="BR30" s="471"/>
      <c r="BS30" s="471"/>
      <c r="BT30" s="471"/>
      <c r="BU30" s="471"/>
      <c r="BV30" s="471"/>
      <c r="BW30" s="501"/>
      <c r="BX30" s="471"/>
      <c r="BY30" s="471"/>
      <c r="BZ30" s="471"/>
      <c r="CA30" s="471"/>
      <c r="CB30" s="471"/>
      <c r="CC30" s="471"/>
      <c r="CD30" s="471"/>
      <c r="CE30" s="471"/>
      <c r="CF30" s="471"/>
      <c r="CG30" s="471"/>
      <c r="CH30" s="471"/>
      <c r="CI30" s="471"/>
      <c r="CJ30" s="471"/>
      <c r="CK30" s="471"/>
      <c r="CL30" s="471"/>
      <c r="CM30" s="471"/>
      <c r="CN30" s="471"/>
      <c r="CO30" s="471"/>
      <c r="CP30" s="471"/>
      <c r="CQ30" s="471"/>
      <c r="CR30" s="471"/>
      <c r="CS30" s="471"/>
      <c r="CT30" s="471"/>
      <c r="CU30" s="471"/>
      <c r="CV30" s="471"/>
      <c r="CW30" s="471"/>
      <c r="CX30" s="471"/>
      <c r="CY30" s="471"/>
      <c r="CZ30" s="471"/>
      <c r="DA30" s="471"/>
      <c r="DB30" s="471"/>
      <c r="DC30" s="471"/>
      <c r="DD30" s="471"/>
      <c r="DE30" s="471"/>
      <c r="DF30" s="471"/>
      <c r="DG30" s="471"/>
      <c r="DH30" s="471"/>
      <c r="DI30" s="471"/>
      <c r="DJ30" s="471"/>
      <c r="DK30" s="471"/>
      <c r="DL30" s="471"/>
      <c r="DM30" s="471"/>
      <c r="DN30" s="471"/>
      <c r="DO30" s="471"/>
      <c r="DP30" s="471"/>
      <c r="DQ30" s="471"/>
      <c r="DR30" s="471"/>
      <c r="DS30" s="471"/>
      <c r="DT30" s="471"/>
      <c r="DU30" s="471"/>
      <c r="DV30" s="471"/>
      <c r="DW30" s="471"/>
      <c r="DX30" s="471"/>
      <c r="DY30" s="471"/>
      <c r="DZ30" s="471"/>
      <c r="EA30" s="471"/>
      <c r="EB30" s="471"/>
      <c r="EC30" s="471"/>
      <c r="ED30" s="471"/>
      <c r="EE30" s="471"/>
      <c r="EF30" s="471"/>
      <c r="EG30" s="471"/>
      <c r="EH30" s="471"/>
      <c r="EI30" s="471"/>
      <c r="EJ30" s="471"/>
      <c r="EK30" s="471"/>
      <c r="EL30" s="471"/>
      <c r="EM30" s="471"/>
      <c r="EN30" s="471"/>
      <c r="EO30" s="471"/>
      <c r="EP30" s="471"/>
      <c r="EQ30" s="471"/>
      <c r="ER30" s="471"/>
      <c r="ES30" s="471"/>
      <c r="ET30" s="471"/>
      <c r="EU30" s="471"/>
      <c r="EV30" s="471"/>
      <c r="EW30" s="495"/>
      <c r="EX30" s="447">
        <v>0</v>
      </c>
      <c r="EY30" s="445">
        <v>0</v>
      </c>
      <c r="EZ30" s="445">
        <v>0</v>
      </c>
      <c r="FA30" s="502">
        <v>0</v>
      </c>
      <c r="FB30" s="447">
        <v>0</v>
      </c>
      <c r="FC30" s="445">
        <v>0</v>
      </c>
      <c r="FD30" s="445">
        <v>0</v>
      </c>
      <c r="FE30" s="445">
        <v>0</v>
      </c>
      <c r="FF30" s="502">
        <v>0</v>
      </c>
      <c r="FG30" s="448">
        <v>0</v>
      </c>
      <c r="FH30" s="445">
        <v>0</v>
      </c>
      <c r="FI30" s="445">
        <v>0</v>
      </c>
      <c r="FJ30" s="502">
        <v>0</v>
      </c>
      <c r="FK30" s="448">
        <v>0</v>
      </c>
      <c r="FL30" s="445">
        <v>0</v>
      </c>
      <c r="FM30" s="445">
        <v>0</v>
      </c>
      <c r="FN30" s="502">
        <v>0</v>
      </c>
      <c r="FO30" s="448">
        <v>0</v>
      </c>
      <c r="FP30" s="445">
        <v>0</v>
      </c>
      <c r="FQ30" s="445">
        <v>0</v>
      </c>
      <c r="FR30" s="502">
        <v>0</v>
      </c>
      <c r="FS30" s="448">
        <v>0</v>
      </c>
      <c r="FT30" s="445">
        <v>0</v>
      </c>
      <c r="FU30" s="445">
        <v>0</v>
      </c>
      <c r="FV30" s="445">
        <v>0</v>
      </c>
      <c r="FW30" s="502">
        <v>0</v>
      </c>
      <c r="FX30" s="448">
        <v>0</v>
      </c>
      <c r="FY30" s="445">
        <v>0</v>
      </c>
      <c r="FZ30" s="445">
        <v>0</v>
      </c>
      <c r="GA30" s="502">
        <v>0</v>
      </c>
      <c r="GB30" s="448">
        <v>0</v>
      </c>
      <c r="GC30" s="445">
        <v>0</v>
      </c>
      <c r="GD30" s="445">
        <v>0</v>
      </c>
      <c r="GE30" s="502">
        <v>0</v>
      </c>
      <c r="GF30" s="448">
        <v>0</v>
      </c>
      <c r="GG30" s="445">
        <v>0</v>
      </c>
      <c r="GH30" s="445">
        <v>0</v>
      </c>
      <c r="GI30" s="445">
        <v>0</v>
      </c>
      <c r="GJ30" s="503">
        <v>0</v>
      </c>
      <c r="GK30" s="447">
        <v>0</v>
      </c>
      <c r="GL30" s="445">
        <v>0</v>
      </c>
      <c r="GM30" s="445">
        <v>0</v>
      </c>
      <c r="GN30" s="504">
        <v>0</v>
      </c>
      <c r="GO30" s="505">
        <v>68</v>
      </c>
      <c r="GP30" s="506">
        <v>67</v>
      </c>
      <c r="GQ30" s="506">
        <v>67</v>
      </c>
      <c r="GR30" s="507">
        <v>67</v>
      </c>
      <c r="GS30" s="508">
        <v>67</v>
      </c>
      <c r="GT30" s="448">
        <v>156</v>
      </c>
      <c r="GU30" s="445">
        <v>156</v>
      </c>
      <c r="GV30" s="445">
        <v>150</v>
      </c>
      <c r="GW30" s="504">
        <v>150</v>
      </c>
      <c r="GX30" s="447">
        <v>156</v>
      </c>
      <c r="GY30" s="445">
        <v>156</v>
      </c>
      <c r="GZ30" s="445">
        <v>156</v>
      </c>
      <c r="HA30" s="504">
        <v>150</v>
      </c>
      <c r="HB30" s="447">
        <v>108</v>
      </c>
      <c r="HC30" s="445">
        <v>108</v>
      </c>
      <c r="HD30" s="445">
        <v>108</v>
      </c>
      <c r="HE30" s="445">
        <v>108</v>
      </c>
      <c r="HF30" s="502">
        <v>108</v>
      </c>
      <c r="HG30" s="447">
        <v>324</v>
      </c>
      <c r="HH30" s="450"/>
      <c r="HI30" s="445">
        <v>318</v>
      </c>
      <c r="HJ30" s="502">
        <v>318</v>
      </c>
      <c r="HK30" s="447">
        <v>162</v>
      </c>
      <c r="HL30" s="445">
        <v>162</v>
      </c>
      <c r="HM30" s="445">
        <v>156</v>
      </c>
      <c r="HN30" s="502">
        <v>156</v>
      </c>
      <c r="HO30" s="447">
        <v>138</v>
      </c>
      <c r="HP30" s="445">
        <v>138</v>
      </c>
      <c r="HQ30" s="445">
        <v>132</v>
      </c>
      <c r="HR30" s="502">
        <v>132</v>
      </c>
      <c r="HS30" s="447">
        <v>0</v>
      </c>
      <c r="HT30" s="445">
        <v>0</v>
      </c>
      <c r="HU30" s="445">
        <v>0</v>
      </c>
      <c r="HV30" s="502">
        <v>0</v>
      </c>
      <c r="HW30" s="451"/>
      <c r="HX30" s="445">
        <v>48</v>
      </c>
      <c r="HY30" s="445">
        <v>48</v>
      </c>
      <c r="HZ30" s="445">
        <v>48</v>
      </c>
      <c r="IA30" s="502">
        <v>42</v>
      </c>
      <c r="IB30" s="448">
        <v>60</v>
      </c>
      <c r="IC30" s="445">
        <v>60</v>
      </c>
      <c r="ID30" s="445">
        <v>60</v>
      </c>
      <c r="IE30" s="502">
        <v>60</v>
      </c>
      <c r="IF30" s="448">
        <v>42</v>
      </c>
      <c r="IG30" s="445">
        <v>42</v>
      </c>
      <c r="IH30" s="445">
        <v>42</v>
      </c>
      <c r="II30" s="445">
        <v>42</v>
      </c>
      <c r="IJ30" s="446">
        <v>36</v>
      </c>
      <c r="IK30" s="451"/>
      <c r="IL30" s="445">
        <v>102</v>
      </c>
      <c r="IM30" s="445">
        <v>102</v>
      </c>
      <c r="IN30" s="502">
        <v>96</v>
      </c>
      <c r="IO30" s="447">
        <v>90</v>
      </c>
      <c r="IP30" s="445">
        <v>90</v>
      </c>
      <c r="IQ30" s="445">
        <v>84</v>
      </c>
      <c r="IR30" s="502">
        <v>84</v>
      </c>
      <c r="IS30" s="447">
        <v>108</v>
      </c>
      <c r="IT30" s="445">
        <v>108</v>
      </c>
      <c r="IU30" s="445">
        <v>108</v>
      </c>
      <c r="IV30" s="512">
        <v>162</v>
      </c>
      <c r="IW30" s="511">
        <v>48</v>
      </c>
      <c r="IX30" s="448">
        <v>120</v>
      </c>
      <c r="IY30" s="445">
        <v>120</v>
      </c>
      <c r="IZ30" s="446">
        <v>126</v>
      </c>
      <c r="JA30" s="502">
        <v>96</v>
      </c>
      <c r="JB30" s="511">
        <v>114</v>
      </c>
      <c r="JC30" s="509">
        <v>114</v>
      </c>
      <c r="JD30" s="509">
        <v>108</v>
      </c>
      <c r="JE30" s="510">
        <v>108</v>
      </c>
      <c r="JF30" s="511">
        <v>102</v>
      </c>
      <c r="JG30" s="509">
        <v>96</v>
      </c>
      <c r="JH30" s="445">
        <v>96</v>
      </c>
      <c r="JI30" s="502">
        <v>96</v>
      </c>
      <c r="JJ30" s="451">
        <v>0</v>
      </c>
      <c r="JK30" s="445">
        <v>126</v>
      </c>
      <c r="JL30" s="445">
        <v>126</v>
      </c>
      <c r="JM30" s="502">
        <v>126</v>
      </c>
      <c r="JN30" s="447">
        <v>90</v>
      </c>
      <c r="JO30" s="445">
        <v>90</v>
      </c>
      <c r="JP30" s="445">
        <v>84</v>
      </c>
      <c r="JQ30" s="449">
        <v>0</v>
      </c>
      <c r="JR30" s="502">
        <v>84</v>
      </c>
      <c r="JS30" s="447">
        <v>0</v>
      </c>
      <c r="JT30" s="445">
        <v>0</v>
      </c>
      <c r="JU30" s="445">
        <v>0</v>
      </c>
      <c r="JV30" s="502">
        <v>0</v>
      </c>
      <c r="JW30" s="447">
        <v>24</v>
      </c>
      <c r="JX30" s="445">
        <v>18</v>
      </c>
      <c r="JY30" s="445">
        <v>18</v>
      </c>
      <c r="JZ30" s="502">
        <v>18</v>
      </c>
      <c r="KA30" s="447">
        <v>36</v>
      </c>
      <c r="KB30" s="445">
        <v>30</v>
      </c>
      <c r="KC30" s="445">
        <v>30</v>
      </c>
      <c r="KD30" s="446">
        <v>30</v>
      </c>
      <c r="KE30" s="502">
        <v>30</v>
      </c>
      <c r="KF30" s="447">
        <v>42</v>
      </c>
      <c r="KG30" s="445">
        <v>42</v>
      </c>
      <c r="KH30" s="445">
        <v>42</v>
      </c>
      <c r="KI30" s="502">
        <v>42</v>
      </c>
      <c r="KJ30" s="451">
        <v>0</v>
      </c>
      <c r="KK30" s="445">
        <v>48</v>
      </c>
      <c r="KL30" s="445">
        <v>48</v>
      </c>
      <c r="KM30" s="445">
        <v>48</v>
      </c>
      <c r="KN30" s="502">
        <v>42</v>
      </c>
    </row>
    <row r="31" spans="1:300" ht="36.75" customHeight="1" thickBot="1">
      <c r="A31" s="481"/>
      <c r="B31" s="494"/>
      <c r="C31" s="666"/>
      <c r="D31" s="596"/>
      <c r="E31" s="455"/>
      <c r="F31" s="599"/>
      <c r="G31" s="456" t="s">
        <v>18</v>
      </c>
      <c r="H31" s="475"/>
      <c r="I31" s="471"/>
      <c r="J31" s="471"/>
      <c r="K31" s="471"/>
      <c r="L31" s="471"/>
      <c r="M31" s="495"/>
      <c r="N31" s="495"/>
      <c r="O31" s="495"/>
      <c r="P31" s="495"/>
      <c r="Q31" s="495"/>
      <c r="R31" s="471"/>
      <c r="S31" s="471"/>
      <c r="T31" s="495"/>
      <c r="U31" s="495"/>
      <c r="V31" s="495"/>
      <c r="W31" s="495"/>
      <c r="X31" s="495"/>
      <c r="Y31" s="495"/>
      <c r="Z31" s="495"/>
      <c r="AA31" s="495"/>
      <c r="AB31" s="495"/>
      <c r="AC31" s="460">
        <f t="shared" ref="AC31" si="827">AB31+AC30</f>
        <v>0</v>
      </c>
      <c r="AD31" s="461">
        <f t="shared" ref="AD31" si="828">AC31+AD30</f>
        <v>0</v>
      </c>
      <c r="AE31" s="461">
        <f t="shared" ref="AE31" si="829">AD31+AE30</f>
        <v>0</v>
      </c>
      <c r="AF31" s="461">
        <f t="shared" ref="AF31" si="830">AE31+AF30</f>
        <v>0</v>
      </c>
      <c r="AG31" s="461">
        <f t="shared" ref="AG31:AH31" si="831">AF31+AG30</f>
        <v>0</v>
      </c>
      <c r="AH31" s="461">
        <f t="shared" si="831"/>
        <v>0</v>
      </c>
      <c r="AI31" s="462">
        <f>GA31</f>
        <v>0</v>
      </c>
      <c r="AJ31" s="461">
        <f t="shared" ref="AJ31" si="832">AI31+AJ30</f>
        <v>0</v>
      </c>
      <c r="AK31" s="461">
        <f t="shared" ref="AK31" si="833">AJ31+AK30</f>
        <v>0</v>
      </c>
      <c r="AL31" s="460">
        <f t="shared" ref="AL31:AM31" si="834">AK31+AL30</f>
        <v>0</v>
      </c>
      <c r="AM31" s="463">
        <f t="shared" si="834"/>
        <v>336</v>
      </c>
      <c r="AN31" s="464">
        <f t="shared" ref="AN31" si="835">AM31+AN30</f>
        <v>948</v>
      </c>
      <c r="AO31" s="465">
        <f t="shared" ref="AO31" si="836">AN31+AO30</f>
        <v>1566</v>
      </c>
      <c r="AP31" s="466">
        <f>AO31+AP30</f>
        <v>2106</v>
      </c>
      <c r="AQ31" s="466">
        <f t="shared" ref="AQ31:AR31" si="837">AP31+AQ30</f>
        <v>3066</v>
      </c>
      <c r="AR31" s="466">
        <f t="shared" si="837"/>
        <v>3702</v>
      </c>
      <c r="AS31" s="466">
        <f t="shared" ref="AS31:AZ31" si="838">AR31+AS30</f>
        <v>4242</v>
      </c>
      <c r="AT31" s="466">
        <f t="shared" si="838"/>
        <v>4242</v>
      </c>
      <c r="AU31" s="466">
        <f t="shared" si="838"/>
        <v>4428</v>
      </c>
      <c r="AV31" s="466">
        <f t="shared" si="838"/>
        <v>4668</v>
      </c>
      <c r="AW31" s="466">
        <f t="shared" si="838"/>
        <v>4872</v>
      </c>
      <c r="AX31" s="466">
        <f t="shared" si="838"/>
        <v>5172</v>
      </c>
      <c r="AY31" s="466">
        <f t="shared" si="838"/>
        <v>5520</v>
      </c>
      <c r="AZ31" s="466">
        <f t="shared" si="838"/>
        <v>6006</v>
      </c>
      <c r="BA31" s="466">
        <f t="shared" ref="BA31" si="839">AZ31+BA30</f>
        <v>6516</v>
      </c>
      <c r="BB31" s="466">
        <f t="shared" ref="BB31" si="840">BA31+BB30</f>
        <v>6960</v>
      </c>
      <c r="BC31" s="466">
        <f t="shared" ref="BC31:BD31" si="841">BB31+BC30</f>
        <v>7350</v>
      </c>
      <c r="BD31" s="466">
        <f t="shared" si="841"/>
        <v>7728</v>
      </c>
      <c r="BE31" s="466">
        <f t="shared" ref="BE31:BF31" si="842">BD31+BE30</f>
        <v>8076</v>
      </c>
      <c r="BF31" s="466">
        <f t="shared" si="842"/>
        <v>8076</v>
      </c>
      <c r="BG31" s="466">
        <f t="shared" ref="BG31:BJ31" si="843">BF31+BG30</f>
        <v>8154</v>
      </c>
      <c r="BH31" s="466">
        <f t="shared" si="843"/>
        <v>8310</v>
      </c>
      <c r="BI31" s="466">
        <f t="shared" si="843"/>
        <v>8478</v>
      </c>
      <c r="BJ31" s="466">
        <f t="shared" si="843"/>
        <v>8664</v>
      </c>
      <c r="BK31" s="469"/>
      <c r="BL31" s="471"/>
      <c r="BM31" s="471"/>
      <c r="BN31" s="471"/>
      <c r="BO31" s="471"/>
      <c r="BP31" s="471"/>
      <c r="BQ31" s="471"/>
      <c r="BR31" s="471"/>
      <c r="BS31" s="471"/>
      <c r="BT31" s="471"/>
      <c r="BU31" s="471"/>
      <c r="BV31" s="471"/>
      <c r="BW31" s="501"/>
      <c r="BX31" s="471"/>
      <c r="BY31" s="471"/>
      <c r="BZ31" s="471"/>
      <c r="CA31" s="471"/>
      <c r="CB31" s="471"/>
      <c r="CC31" s="471"/>
      <c r="CD31" s="471"/>
      <c r="CE31" s="471"/>
      <c r="CF31" s="471"/>
      <c r="CG31" s="471"/>
      <c r="CH31" s="471"/>
      <c r="CI31" s="471"/>
      <c r="CJ31" s="471"/>
      <c r="CK31" s="471"/>
      <c r="CL31" s="471"/>
      <c r="CM31" s="471"/>
      <c r="CN31" s="471"/>
      <c r="CO31" s="471"/>
      <c r="CP31" s="471"/>
      <c r="CQ31" s="471"/>
      <c r="CR31" s="471"/>
      <c r="CS31" s="471"/>
      <c r="CT31" s="471"/>
      <c r="CU31" s="471"/>
      <c r="CV31" s="471"/>
      <c r="CW31" s="471"/>
      <c r="CX31" s="471"/>
      <c r="CY31" s="471"/>
      <c r="CZ31" s="471"/>
      <c r="DA31" s="471"/>
      <c r="DB31" s="471"/>
      <c r="DC31" s="471"/>
      <c r="DD31" s="471"/>
      <c r="DE31" s="471"/>
      <c r="DF31" s="471"/>
      <c r="DG31" s="471"/>
      <c r="DH31" s="471"/>
      <c r="DI31" s="471"/>
      <c r="DJ31" s="471"/>
      <c r="DK31" s="471"/>
      <c r="DL31" s="471"/>
      <c r="DM31" s="471"/>
      <c r="DN31" s="471"/>
      <c r="DO31" s="471"/>
      <c r="DP31" s="471"/>
      <c r="DQ31" s="471"/>
      <c r="DR31" s="471"/>
      <c r="DS31" s="471"/>
      <c r="DT31" s="471"/>
      <c r="DU31" s="471"/>
      <c r="DV31" s="471"/>
      <c r="DW31" s="471"/>
      <c r="DX31" s="471"/>
      <c r="DY31" s="471"/>
      <c r="DZ31" s="471"/>
      <c r="EA31" s="471"/>
      <c r="EB31" s="471"/>
      <c r="EC31" s="471"/>
      <c r="ED31" s="471"/>
      <c r="EE31" s="471"/>
      <c r="EF31" s="471"/>
      <c r="EG31" s="471"/>
      <c r="EH31" s="471"/>
      <c r="EI31" s="471"/>
      <c r="EJ31" s="471"/>
      <c r="EK31" s="471"/>
      <c r="EL31" s="471"/>
      <c r="EM31" s="471"/>
      <c r="EN31" s="471"/>
      <c r="EO31" s="471"/>
      <c r="EP31" s="471"/>
      <c r="EQ31" s="471"/>
      <c r="ER31" s="471"/>
      <c r="ES31" s="471"/>
      <c r="ET31" s="471"/>
      <c r="EU31" s="471"/>
      <c r="EV31" s="471"/>
      <c r="EW31" s="495"/>
      <c r="EX31" s="463">
        <f t="shared" ref="EX31" si="844">EW31+EX30</f>
        <v>0</v>
      </c>
      <c r="EY31" s="461">
        <f t="shared" ref="EY31" si="845">EX31+EY30</f>
        <v>0</v>
      </c>
      <c r="EZ31" s="461">
        <f t="shared" ref="EZ31" si="846">EY31+EZ30</f>
        <v>0</v>
      </c>
      <c r="FA31" s="492">
        <f t="shared" ref="FA31" si="847">EZ31+FA30</f>
        <v>0</v>
      </c>
      <c r="FB31" s="463">
        <f t="shared" ref="FB31" si="848">FA31+FB30</f>
        <v>0</v>
      </c>
      <c r="FC31" s="461">
        <f t="shared" ref="FC31" si="849">FB31+FC30</f>
        <v>0</v>
      </c>
      <c r="FD31" s="461">
        <f t="shared" ref="FD31" si="850">FC31+FD30</f>
        <v>0</v>
      </c>
      <c r="FE31" s="461">
        <f t="shared" ref="FE31" si="851">FD31+FE30</f>
        <v>0</v>
      </c>
      <c r="FF31" s="492">
        <f t="shared" ref="FF31" si="852">FE31+FF30</f>
        <v>0</v>
      </c>
      <c r="FG31" s="464">
        <f t="shared" ref="FG31" si="853">FF31+FG30</f>
        <v>0</v>
      </c>
      <c r="FH31" s="461">
        <f t="shared" ref="FH31" si="854">FG31+FH30</f>
        <v>0</v>
      </c>
      <c r="FI31" s="461">
        <f t="shared" ref="FI31" si="855">FH31+FI30</f>
        <v>0</v>
      </c>
      <c r="FJ31" s="492">
        <f t="shared" ref="FJ31" si="856">FI31+FJ30</f>
        <v>0</v>
      </c>
      <c r="FK31" s="464">
        <f t="shared" ref="FK31" si="857">FJ31+FK30</f>
        <v>0</v>
      </c>
      <c r="FL31" s="461">
        <f t="shared" ref="FL31" si="858">FK31+FL30</f>
        <v>0</v>
      </c>
      <c r="FM31" s="461">
        <f t="shared" ref="FM31" si="859">FL31+FM30</f>
        <v>0</v>
      </c>
      <c r="FN31" s="492">
        <f t="shared" ref="FN31" si="860">FM31+FN30</f>
        <v>0</v>
      </c>
      <c r="FO31" s="464">
        <f t="shared" ref="FO31" si="861">FN31+FO30</f>
        <v>0</v>
      </c>
      <c r="FP31" s="461">
        <f t="shared" ref="FP31" si="862">FO31+FP30</f>
        <v>0</v>
      </c>
      <c r="FQ31" s="461">
        <f t="shared" ref="FQ31" si="863">FP31+FQ30</f>
        <v>0</v>
      </c>
      <c r="FR31" s="492">
        <f t="shared" ref="FR31" si="864">FQ31+FR30</f>
        <v>0</v>
      </c>
      <c r="FS31" s="464">
        <f t="shared" ref="FS31" si="865">FR31+FS30</f>
        <v>0</v>
      </c>
      <c r="FT31" s="461">
        <f t="shared" ref="FT31" si="866">FS31+FT30</f>
        <v>0</v>
      </c>
      <c r="FU31" s="461">
        <f t="shared" ref="FU31" si="867">FT31+FU30</f>
        <v>0</v>
      </c>
      <c r="FV31" s="461">
        <f t="shared" ref="FV31:FW31" si="868">FU31+FV30</f>
        <v>0</v>
      </c>
      <c r="FW31" s="492">
        <f t="shared" si="868"/>
        <v>0</v>
      </c>
      <c r="FX31" s="464">
        <f t="shared" ref="FX31" si="869">FW31+FX30</f>
        <v>0</v>
      </c>
      <c r="FY31" s="461">
        <f t="shared" ref="FY31" si="870">FX31+FY30</f>
        <v>0</v>
      </c>
      <c r="FZ31" s="461">
        <f t="shared" ref="FZ31" si="871">FY31+FZ30</f>
        <v>0</v>
      </c>
      <c r="GA31" s="492">
        <f t="shared" ref="GA31" si="872">FZ31+GA30</f>
        <v>0</v>
      </c>
      <c r="GB31" s="464">
        <f t="shared" ref="GB31" si="873">GA31+GB30</f>
        <v>0</v>
      </c>
      <c r="GC31" s="461">
        <f t="shared" ref="GC31" si="874">GB31+GC30</f>
        <v>0</v>
      </c>
      <c r="GD31" s="461">
        <f t="shared" ref="GD31" si="875">GC31+GD30</f>
        <v>0</v>
      </c>
      <c r="GE31" s="492">
        <f t="shared" ref="GE31" si="876">GD31+GE30</f>
        <v>0</v>
      </c>
      <c r="GF31" s="464">
        <f t="shared" ref="GF31" si="877">GE31+GF30</f>
        <v>0</v>
      </c>
      <c r="GG31" s="461">
        <f t="shared" ref="GG31" si="878">GF31+GG30</f>
        <v>0</v>
      </c>
      <c r="GH31" s="461">
        <f t="shared" ref="GH31" si="879">GG31+GH30</f>
        <v>0</v>
      </c>
      <c r="GI31" s="461">
        <f t="shared" ref="GI31" si="880">GH31+GI30</f>
        <v>0</v>
      </c>
      <c r="GJ31" s="496">
        <f t="shared" ref="GJ31" si="881">GI31+GJ30</f>
        <v>0</v>
      </c>
      <c r="GK31" s="463">
        <f t="shared" ref="GK31" si="882">GJ31+GK30</f>
        <v>0</v>
      </c>
      <c r="GL31" s="461">
        <f t="shared" ref="GL31" si="883">GK31+GL30</f>
        <v>0</v>
      </c>
      <c r="GM31" s="461">
        <f t="shared" ref="GM31" si="884">GL31+GM30</f>
        <v>0</v>
      </c>
      <c r="GN31" s="497">
        <f t="shared" ref="GN31" si="885">GM31+GN30</f>
        <v>0</v>
      </c>
      <c r="GO31" s="463">
        <f t="shared" ref="GO31" si="886">GN31+GO30</f>
        <v>68</v>
      </c>
      <c r="GP31" s="461">
        <f t="shared" ref="GP31" si="887">GO31+GP30</f>
        <v>135</v>
      </c>
      <c r="GQ31" s="461">
        <f t="shared" ref="GQ31" si="888">GP31+GQ30</f>
        <v>202</v>
      </c>
      <c r="GR31" s="460">
        <f t="shared" ref="GR31" si="889">GQ31+GR30</f>
        <v>269</v>
      </c>
      <c r="GS31" s="492">
        <f t="shared" ref="GS31" si="890">GR31+GS30</f>
        <v>336</v>
      </c>
      <c r="GT31" s="464">
        <f t="shared" ref="GT31" si="891">GS31+GT30</f>
        <v>492</v>
      </c>
      <c r="GU31" s="461">
        <f t="shared" ref="GU31" si="892">GT31+GU30</f>
        <v>648</v>
      </c>
      <c r="GV31" s="461">
        <f t="shared" ref="GV31" si="893">GU31+GV30</f>
        <v>798</v>
      </c>
      <c r="GW31" s="497">
        <f t="shared" ref="GW31" si="894">GV31+GW30</f>
        <v>948</v>
      </c>
      <c r="GX31" s="498">
        <f t="shared" ref="GX31" si="895">GW31+GX30</f>
        <v>1104</v>
      </c>
      <c r="GY31" s="466">
        <f t="shared" ref="GY31" si="896">GX31+GY30</f>
        <v>1260</v>
      </c>
      <c r="GZ31" s="466">
        <f t="shared" ref="GZ31" si="897">GY31+GZ30</f>
        <v>1416</v>
      </c>
      <c r="HA31" s="499">
        <f t="shared" ref="HA31" si="898">GZ31+HA30</f>
        <v>1566</v>
      </c>
      <c r="HB31" s="498">
        <f t="shared" ref="HB31" si="899">HA31+HB30</f>
        <v>1674</v>
      </c>
      <c r="HC31" s="466">
        <f t="shared" ref="HC31" si="900">HB31+HC30</f>
        <v>1782</v>
      </c>
      <c r="HD31" s="466">
        <f t="shared" ref="HD31" si="901">HC31+HD30</f>
        <v>1890</v>
      </c>
      <c r="HE31" s="466">
        <f t="shared" ref="HE31" si="902">HD31+HE30</f>
        <v>1998</v>
      </c>
      <c r="HF31" s="500">
        <f t="shared" ref="HF31" si="903">HE31+HF30</f>
        <v>2106</v>
      </c>
      <c r="HG31" s="498">
        <f t="shared" ref="HG31" si="904">HF31+HG30</f>
        <v>2430</v>
      </c>
      <c r="HH31" s="466">
        <f t="shared" ref="HH31" si="905">HG31+HH30</f>
        <v>2430</v>
      </c>
      <c r="HI31" s="466">
        <f t="shared" ref="HI31" si="906">HH31+HI30</f>
        <v>2748</v>
      </c>
      <c r="HJ31" s="500">
        <f t="shared" ref="HJ31:HN31" si="907">HI31+HJ30</f>
        <v>3066</v>
      </c>
      <c r="HK31" s="476">
        <f t="shared" si="907"/>
        <v>3228</v>
      </c>
      <c r="HL31" s="477">
        <f t="shared" si="907"/>
        <v>3390</v>
      </c>
      <c r="HM31" s="477">
        <f t="shared" si="907"/>
        <v>3546</v>
      </c>
      <c r="HN31" s="478">
        <f t="shared" si="907"/>
        <v>3702</v>
      </c>
      <c r="HO31" s="476">
        <f t="shared" ref="HO31" si="908">HN31+HO30</f>
        <v>3840</v>
      </c>
      <c r="HP31" s="477">
        <f t="shared" ref="HP31" si="909">HO31+HP30</f>
        <v>3978</v>
      </c>
      <c r="HQ31" s="477">
        <f t="shared" ref="HQ31" si="910">HP31+HQ30</f>
        <v>4110</v>
      </c>
      <c r="HR31" s="478">
        <f t="shared" ref="HR31" si="911">HQ31+HR30</f>
        <v>4242</v>
      </c>
      <c r="HS31" s="476">
        <f>HR31+HS30</f>
        <v>4242</v>
      </c>
      <c r="HT31" s="477">
        <f>HS31+HT30</f>
        <v>4242</v>
      </c>
      <c r="HU31" s="477">
        <f t="shared" ref="HU31" si="912">HT31+HU30</f>
        <v>4242</v>
      </c>
      <c r="HV31" s="478">
        <f t="shared" ref="HV31" si="913">HU31+HV30</f>
        <v>4242</v>
      </c>
      <c r="HW31" s="476">
        <f>HV31+HW30</f>
        <v>4242</v>
      </c>
      <c r="HX31" s="477">
        <f>HW31+HX30</f>
        <v>4290</v>
      </c>
      <c r="HY31" s="477">
        <f t="shared" ref="HY31" si="914">HX31+HY30</f>
        <v>4338</v>
      </c>
      <c r="HZ31" s="477">
        <f t="shared" ref="HZ31" si="915">HY31+HZ30</f>
        <v>4386</v>
      </c>
      <c r="IA31" s="478">
        <f>HZ31+IA30</f>
        <v>4428</v>
      </c>
      <c r="IB31" s="479">
        <f>IA31+IB30</f>
        <v>4488</v>
      </c>
      <c r="IC31" s="477">
        <f t="shared" ref="IC31" si="916">IB31+IC30</f>
        <v>4548</v>
      </c>
      <c r="ID31" s="477">
        <f t="shared" ref="ID31" si="917">IC31+ID30</f>
        <v>4608</v>
      </c>
      <c r="IE31" s="478">
        <f>ID31+IE30</f>
        <v>4668</v>
      </c>
      <c r="IF31" s="479">
        <f>IE31+IF30</f>
        <v>4710</v>
      </c>
      <c r="IG31" s="477">
        <f t="shared" ref="IG31" si="918">IF31+IG30</f>
        <v>4752</v>
      </c>
      <c r="IH31" s="477">
        <f>IG31+IH30</f>
        <v>4794</v>
      </c>
      <c r="II31" s="477">
        <f t="shared" ref="II31:IJ31" si="919">IH31+II30</f>
        <v>4836</v>
      </c>
      <c r="IJ31" s="480">
        <f t="shared" si="919"/>
        <v>4872</v>
      </c>
      <c r="IK31" s="476">
        <f>IJ31+IK30</f>
        <v>4872</v>
      </c>
      <c r="IL31" s="477">
        <f t="shared" ref="IL31" si="920">IK31+IL30</f>
        <v>4974</v>
      </c>
      <c r="IM31" s="477">
        <f>IL31+IM30</f>
        <v>5076</v>
      </c>
      <c r="IN31" s="478">
        <f t="shared" ref="IN31" si="921">IM31+IN30</f>
        <v>5172</v>
      </c>
      <c r="IO31" s="476">
        <f>IN31+IO30</f>
        <v>5262</v>
      </c>
      <c r="IP31" s="477">
        <f t="shared" ref="IP31" si="922">IO31+IP30</f>
        <v>5352</v>
      </c>
      <c r="IQ31" s="477">
        <f>IP31+IQ30</f>
        <v>5436</v>
      </c>
      <c r="IR31" s="478">
        <f t="shared" ref="IR31" si="923">IQ31+IR30</f>
        <v>5520</v>
      </c>
      <c r="IS31" s="476">
        <f>IR31+IS30</f>
        <v>5628</v>
      </c>
      <c r="IT31" s="477">
        <f t="shared" ref="IT31" si="924">IS31+IT30</f>
        <v>5736</v>
      </c>
      <c r="IU31" s="477">
        <f>IT31+IU30</f>
        <v>5844</v>
      </c>
      <c r="IV31" s="480">
        <f t="shared" ref="IV31:IW31" si="925">IU31+IV30</f>
        <v>6006</v>
      </c>
      <c r="IW31" s="476">
        <f t="shared" si="925"/>
        <v>6054</v>
      </c>
      <c r="IX31" s="479">
        <f>IW31+IX30</f>
        <v>6174</v>
      </c>
      <c r="IY31" s="477">
        <f t="shared" ref="IY31" si="926">IX31+IY30</f>
        <v>6294</v>
      </c>
      <c r="IZ31" s="480">
        <f>IY31+IZ30</f>
        <v>6420</v>
      </c>
      <c r="JA31" s="478">
        <f t="shared" ref="JA31" si="927">IZ31+JA30</f>
        <v>6516</v>
      </c>
      <c r="JB31" s="476">
        <f>JA31+JB30</f>
        <v>6630</v>
      </c>
      <c r="JC31" s="477">
        <f t="shared" ref="JC31" si="928">JB31+JC30</f>
        <v>6744</v>
      </c>
      <c r="JD31" s="477">
        <f>JC31+JD30</f>
        <v>6852</v>
      </c>
      <c r="JE31" s="478">
        <f t="shared" ref="JE31" si="929">JD31+JE30</f>
        <v>6960</v>
      </c>
      <c r="JF31" s="476">
        <f>JE31+JF30</f>
        <v>7062</v>
      </c>
      <c r="JG31" s="477">
        <f t="shared" ref="JG31" si="930">JF31+JG30</f>
        <v>7158</v>
      </c>
      <c r="JH31" s="477">
        <f>JG31+JH30</f>
        <v>7254</v>
      </c>
      <c r="JI31" s="478">
        <f t="shared" ref="JI31" si="931">JH31+JI30</f>
        <v>7350</v>
      </c>
      <c r="JJ31" s="611">
        <f>JI31+JJ30</f>
        <v>7350</v>
      </c>
      <c r="JK31" s="477">
        <f t="shared" ref="JK31" si="932">JJ31+JK30</f>
        <v>7476</v>
      </c>
      <c r="JL31" s="477">
        <f>JK31+JL30</f>
        <v>7602</v>
      </c>
      <c r="JM31" s="478">
        <f t="shared" ref="JM31" si="933">JL31+JM30</f>
        <v>7728</v>
      </c>
      <c r="JN31" s="476">
        <f>JM31+JN30</f>
        <v>7818</v>
      </c>
      <c r="JO31" s="477">
        <f>JN31+JO30</f>
        <v>7908</v>
      </c>
      <c r="JP31" s="477">
        <f>JO31+JP30</f>
        <v>7992</v>
      </c>
      <c r="JQ31" s="613">
        <f t="shared" ref="JQ31" si="934">JP31+JQ30</f>
        <v>7992</v>
      </c>
      <c r="JR31" s="478">
        <f t="shared" ref="JR31" si="935">JQ31+JR30</f>
        <v>8076</v>
      </c>
      <c r="JS31" s="476">
        <f>JR31+JS30</f>
        <v>8076</v>
      </c>
      <c r="JT31" s="477">
        <f>JS31+JT30</f>
        <v>8076</v>
      </c>
      <c r="JU31" s="477">
        <f>JT31+JU30</f>
        <v>8076</v>
      </c>
      <c r="JV31" s="478">
        <f t="shared" ref="JV31" si="936">JU31+JV30</f>
        <v>8076</v>
      </c>
      <c r="JW31" s="476">
        <f>JV31+JW30</f>
        <v>8100</v>
      </c>
      <c r="JX31" s="477">
        <f>JW31+JX30</f>
        <v>8118</v>
      </c>
      <c r="JY31" s="477">
        <f>JX31+JY30</f>
        <v>8136</v>
      </c>
      <c r="JZ31" s="478">
        <f t="shared" ref="JZ31:KE31" si="937">JY31+JZ30</f>
        <v>8154</v>
      </c>
      <c r="KA31" s="476">
        <f t="shared" si="937"/>
        <v>8190</v>
      </c>
      <c r="KB31" s="477">
        <f t="shared" si="937"/>
        <v>8220</v>
      </c>
      <c r="KC31" s="477">
        <f t="shared" si="937"/>
        <v>8250</v>
      </c>
      <c r="KD31" s="480">
        <f t="shared" si="937"/>
        <v>8280</v>
      </c>
      <c r="KE31" s="478">
        <f t="shared" si="937"/>
        <v>8310</v>
      </c>
      <c r="KF31" s="476">
        <f t="shared" ref="KF31" si="938">KE31+KF30</f>
        <v>8352</v>
      </c>
      <c r="KG31" s="477">
        <f t="shared" ref="KG31" si="939">KF31+KG30</f>
        <v>8394</v>
      </c>
      <c r="KH31" s="477">
        <f t="shared" ref="KH31" si="940">KG31+KH30</f>
        <v>8436</v>
      </c>
      <c r="KI31" s="478">
        <f t="shared" ref="KI31" si="941">KH31+KI30</f>
        <v>8478</v>
      </c>
      <c r="KJ31" s="611">
        <f t="shared" ref="KJ31" si="942">KI31+KJ30</f>
        <v>8478</v>
      </c>
      <c r="KK31" s="477">
        <f t="shared" ref="KK31" si="943">KJ31+KK30</f>
        <v>8526</v>
      </c>
      <c r="KL31" s="477">
        <f t="shared" ref="KL31:KM31" si="944">KK31+KL30</f>
        <v>8574</v>
      </c>
      <c r="KM31" s="477">
        <f t="shared" si="944"/>
        <v>8622</v>
      </c>
      <c r="KN31" s="478">
        <f t="shared" ref="KN31" si="945">KL31+KN30</f>
        <v>8616</v>
      </c>
    </row>
    <row r="32" spans="1:300" ht="36.75" customHeight="1">
      <c r="A32" s="481"/>
      <c r="B32" s="494"/>
      <c r="C32" s="667">
        <v>5</v>
      </c>
      <c r="D32" s="595" t="s">
        <v>137</v>
      </c>
      <c r="E32" s="523"/>
      <c r="F32" s="598" t="s">
        <v>148</v>
      </c>
      <c r="G32" s="440" t="s">
        <v>17</v>
      </c>
      <c r="H32" s="475"/>
      <c r="I32" s="471"/>
      <c r="J32" s="471"/>
      <c r="K32" s="471"/>
      <c r="L32" s="471"/>
      <c r="M32" s="495"/>
      <c r="N32" s="495"/>
      <c r="O32" s="495"/>
      <c r="P32" s="495"/>
      <c r="Q32" s="495"/>
      <c r="R32" s="471"/>
      <c r="S32" s="471"/>
      <c r="T32" s="495"/>
      <c r="U32" s="495"/>
      <c r="V32" s="495"/>
      <c r="W32" s="495"/>
      <c r="X32" s="495"/>
      <c r="Y32" s="495"/>
      <c r="Z32" s="495"/>
      <c r="AA32" s="495"/>
      <c r="AB32" s="495"/>
      <c r="AC32" s="483">
        <f>SUBTOTAL(9,EX32:FA32)</f>
        <v>0</v>
      </c>
      <c r="AD32" s="445">
        <f>SUBTOTAL(9,FB32:FF32)</f>
        <v>0</v>
      </c>
      <c r="AE32" s="445">
        <f>SUBTOTAL(9,FG32:FJ32)</f>
        <v>0</v>
      </c>
      <c r="AF32" s="445">
        <f>SUBTOTAL(9,FK32:FN32)</f>
        <v>0</v>
      </c>
      <c r="AG32" s="445">
        <f>SUBTOTAL(9,FO32:FR32)</f>
        <v>0</v>
      </c>
      <c r="AH32" s="445">
        <f>SUBTOTAL(9,FS32:FW32)</f>
        <v>0</v>
      </c>
      <c r="AI32" s="445">
        <f>SUBTOTAL(9,FX32:GA32)</f>
        <v>0</v>
      </c>
      <c r="AJ32" s="445">
        <f>SUBTOTAL(9,GB32:GE32)</f>
        <v>0</v>
      </c>
      <c r="AK32" s="445">
        <f>SUBTOTAL(9,GF32:GJ32)</f>
        <v>0</v>
      </c>
      <c r="AL32" s="445">
        <f>SUBTOTAL(9,GK32:GN32)</f>
        <v>0</v>
      </c>
      <c r="AM32" s="443">
        <f>SUBTOTAL(9,GO32:GS32)</f>
        <v>282</v>
      </c>
      <c r="AN32" s="493">
        <f>SUBTOTAL(9,GT32:GW32)</f>
        <v>498</v>
      </c>
      <c r="AO32" s="446">
        <f>SUM(GX32:HA32)</f>
        <v>552</v>
      </c>
      <c r="AP32" s="445">
        <f>SUM(HB32:HF32)</f>
        <v>552</v>
      </c>
      <c r="AQ32" s="445">
        <f>SUM(HG32:HJ32)</f>
        <v>576</v>
      </c>
      <c r="AR32" s="445">
        <f>SUM(HK32:HN32)</f>
        <v>828</v>
      </c>
      <c r="AS32" s="445">
        <f>SUM(HO32:HR32)</f>
        <v>798</v>
      </c>
      <c r="AT32" s="445">
        <f>SUM(HS32:HV32)</f>
        <v>420</v>
      </c>
      <c r="AU32" s="445">
        <f>SUM(HW32:IA32)</f>
        <v>564</v>
      </c>
      <c r="AV32" s="445">
        <f>SUM(IB32:IE32)</f>
        <v>564</v>
      </c>
      <c r="AW32" s="445">
        <f t="shared" ref="AW32" si="946">SUM(IF32:IJ32)</f>
        <v>498</v>
      </c>
      <c r="AX32" s="446">
        <f t="shared" ref="AX32" si="947">SUM(IK32:IN32)</f>
        <v>756</v>
      </c>
      <c r="AY32" s="446">
        <f t="shared" ref="AY32" si="948">SUM(IO32:IR32)</f>
        <v>792</v>
      </c>
      <c r="AZ32" s="446">
        <f t="shared" ref="AZ32" si="949">SUM(IS32:IV32)</f>
        <v>726</v>
      </c>
      <c r="BA32" s="446">
        <f t="shared" ref="BA32" si="950">SUM(IW32:JA32)</f>
        <v>870</v>
      </c>
      <c r="BB32" s="446">
        <f t="shared" ref="BB32" si="951">SUM(JB32:JE32)</f>
        <v>660</v>
      </c>
      <c r="BC32" s="446">
        <f t="shared" ref="BC32" si="952">SUM(JF32:JI32)</f>
        <v>612</v>
      </c>
      <c r="BD32" s="446">
        <f t="shared" ref="BD32" si="953">SUM(JJ32:JM32)</f>
        <v>786</v>
      </c>
      <c r="BE32" s="446">
        <f t="shared" ref="BE32" si="954">SUM(JN32:JR32)</f>
        <v>582</v>
      </c>
      <c r="BF32" s="446">
        <f t="shared" ref="BF32" si="955">SUM(JS32:JV32)</f>
        <v>0</v>
      </c>
      <c r="BG32" s="446">
        <f t="shared" ref="BG32" si="956">SUM(JW32:JZ32)</f>
        <v>132</v>
      </c>
      <c r="BH32" s="446">
        <f t="shared" ref="BH32" si="957">SUM(KA32:KE32)</f>
        <v>306</v>
      </c>
      <c r="BI32" s="446">
        <f t="shared" ref="BI32" si="958">SUM(KF32:KI32)</f>
        <v>318</v>
      </c>
      <c r="BJ32" s="446">
        <f t="shared" ref="BJ32" si="959">SUM(KJ32:KN32)</f>
        <v>354</v>
      </c>
      <c r="BK32" s="524">
        <v>0</v>
      </c>
      <c r="BL32" s="525">
        <v>0</v>
      </c>
      <c r="BM32" s="525">
        <v>0</v>
      </c>
      <c r="BN32" s="525">
        <v>0</v>
      </c>
      <c r="BO32" s="525">
        <v>0</v>
      </c>
      <c r="BP32" s="525">
        <v>0</v>
      </c>
      <c r="BQ32" s="525">
        <v>0</v>
      </c>
      <c r="BR32" s="525">
        <v>0</v>
      </c>
      <c r="BS32" s="525">
        <v>0</v>
      </c>
      <c r="BT32" s="525">
        <v>0</v>
      </c>
      <c r="BU32" s="525">
        <v>0</v>
      </c>
      <c r="BV32" s="525">
        <v>0</v>
      </c>
      <c r="BW32" s="525">
        <v>0</v>
      </c>
      <c r="BX32" s="525">
        <v>0</v>
      </c>
      <c r="BY32" s="525">
        <v>0</v>
      </c>
      <c r="BZ32" s="525">
        <v>0</v>
      </c>
      <c r="CA32" s="525">
        <v>0</v>
      </c>
      <c r="CB32" s="525">
        <v>0</v>
      </c>
      <c r="CC32" s="525">
        <v>0</v>
      </c>
      <c r="CD32" s="525">
        <v>0</v>
      </c>
      <c r="CE32" s="525">
        <v>0</v>
      </c>
      <c r="CF32" s="525">
        <v>0</v>
      </c>
      <c r="CG32" s="525">
        <v>0</v>
      </c>
      <c r="CH32" s="525">
        <v>0</v>
      </c>
      <c r="CI32" s="525">
        <v>0</v>
      </c>
      <c r="CJ32" s="525">
        <v>0</v>
      </c>
      <c r="CK32" s="525">
        <v>0</v>
      </c>
      <c r="CL32" s="525">
        <v>0</v>
      </c>
      <c r="CM32" s="525">
        <v>0</v>
      </c>
      <c r="CN32" s="525">
        <v>0</v>
      </c>
      <c r="CO32" s="525">
        <v>0</v>
      </c>
      <c r="CP32" s="525">
        <v>0</v>
      </c>
      <c r="CQ32" s="525">
        <v>0</v>
      </c>
      <c r="CR32" s="525">
        <v>0</v>
      </c>
      <c r="CS32" s="525">
        <v>0</v>
      </c>
      <c r="CT32" s="525">
        <v>0</v>
      </c>
      <c r="CU32" s="525">
        <v>0</v>
      </c>
      <c r="CV32" s="525">
        <v>0</v>
      </c>
      <c r="CW32" s="525">
        <v>0</v>
      </c>
      <c r="CX32" s="525">
        <v>0</v>
      </c>
      <c r="CY32" s="525">
        <v>0</v>
      </c>
      <c r="CZ32" s="525">
        <v>0</v>
      </c>
      <c r="DA32" s="525">
        <v>0</v>
      </c>
      <c r="DB32" s="525">
        <v>0</v>
      </c>
      <c r="DC32" s="525">
        <v>0</v>
      </c>
      <c r="DD32" s="525">
        <v>0</v>
      </c>
      <c r="DE32" s="525">
        <v>0</v>
      </c>
      <c r="DF32" s="525">
        <v>0</v>
      </c>
      <c r="DG32" s="525">
        <v>0</v>
      </c>
      <c r="DH32" s="525">
        <v>0</v>
      </c>
      <c r="DI32" s="525">
        <v>0</v>
      </c>
      <c r="DJ32" s="525">
        <v>0</v>
      </c>
      <c r="DK32" s="525">
        <v>0</v>
      </c>
      <c r="DL32" s="525">
        <v>0</v>
      </c>
      <c r="DM32" s="525">
        <v>0</v>
      </c>
      <c r="DN32" s="525">
        <v>0</v>
      </c>
      <c r="DO32" s="525">
        <v>0</v>
      </c>
      <c r="DP32" s="525">
        <v>0</v>
      </c>
      <c r="DQ32" s="525">
        <v>0</v>
      </c>
      <c r="DR32" s="525">
        <v>0</v>
      </c>
      <c r="DS32" s="525">
        <v>0</v>
      </c>
      <c r="DT32" s="525">
        <v>0</v>
      </c>
      <c r="DU32" s="525">
        <v>0</v>
      </c>
      <c r="DV32" s="525">
        <v>0</v>
      </c>
      <c r="DW32" s="525">
        <v>0</v>
      </c>
      <c r="DX32" s="525">
        <v>0</v>
      </c>
      <c r="DY32" s="525">
        <v>0</v>
      </c>
      <c r="DZ32" s="525">
        <v>0</v>
      </c>
      <c r="EA32" s="525">
        <v>0</v>
      </c>
      <c r="EB32" s="525">
        <v>0</v>
      </c>
      <c r="EC32" s="525">
        <v>0</v>
      </c>
      <c r="ED32" s="525">
        <v>0</v>
      </c>
      <c r="EE32" s="525">
        <v>0</v>
      </c>
      <c r="EF32" s="525">
        <v>0</v>
      </c>
      <c r="EG32" s="525">
        <v>0</v>
      </c>
      <c r="EH32" s="525">
        <v>0</v>
      </c>
      <c r="EI32" s="525">
        <v>0</v>
      </c>
      <c r="EJ32" s="525">
        <v>0</v>
      </c>
      <c r="EK32" s="525">
        <v>0</v>
      </c>
      <c r="EL32" s="525">
        <v>0</v>
      </c>
      <c r="EM32" s="525">
        <v>0</v>
      </c>
      <c r="EN32" s="525">
        <v>0</v>
      </c>
      <c r="EO32" s="525">
        <v>0</v>
      </c>
      <c r="EP32" s="525">
        <v>0</v>
      </c>
      <c r="EQ32" s="525">
        <v>0</v>
      </c>
      <c r="ER32" s="525">
        <v>0</v>
      </c>
      <c r="ES32" s="525">
        <v>0</v>
      </c>
      <c r="ET32" s="525">
        <v>0</v>
      </c>
      <c r="EU32" s="525">
        <v>0</v>
      </c>
      <c r="EV32" s="525">
        <v>0</v>
      </c>
      <c r="EW32" s="526">
        <v>0</v>
      </c>
      <c r="EX32" s="447">
        <v>0</v>
      </c>
      <c r="EY32" s="445">
        <v>0</v>
      </c>
      <c r="EZ32" s="445">
        <v>0</v>
      </c>
      <c r="FA32" s="502">
        <v>0</v>
      </c>
      <c r="FB32" s="447">
        <v>0</v>
      </c>
      <c r="FC32" s="445">
        <v>0</v>
      </c>
      <c r="FD32" s="445">
        <v>0</v>
      </c>
      <c r="FE32" s="445">
        <v>0</v>
      </c>
      <c r="FF32" s="502">
        <v>0</v>
      </c>
      <c r="FG32" s="448">
        <v>0</v>
      </c>
      <c r="FH32" s="445">
        <v>0</v>
      </c>
      <c r="FI32" s="445">
        <v>0</v>
      </c>
      <c r="FJ32" s="502">
        <v>0</v>
      </c>
      <c r="FK32" s="448">
        <v>0</v>
      </c>
      <c r="FL32" s="445">
        <v>0</v>
      </c>
      <c r="FM32" s="445">
        <v>0</v>
      </c>
      <c r="FN32" s="502">
        <v>0</v>
      </c>
      <c r="FO32" s="448">
        <v>0</v>
      </c>
      <c r="FP32" s="445">
        <v>0</v>
      </c>
      <c r="FQ32" s="445">
        <v>0</v>
      </c>
      <c r="FR32" s="502">
        <v>0</v>
      </c>
      <c r="FS32" s="448">
        <v>0</v>
      </c>
      <c r="FT32" s="445">
        <v>0</v>
      </c>
      <c r="FU32" s="445">
        <v>0</v>
      </c>
      <c r="FV32" s="445">
        <v>0</v>
      </c>
      <c r="FW32" s="502">
        <v>0</v>
      </c>
      <c r="FX32" s="448">
        <v>0</v>
      </c>
      <c r="FY32" s="445">
        <v>0</v>
      </c>
      <c r="FZ32" s="445">
        <v>0</v>
      </c>
      <c r="GA32" s="502">
        <v>0</v>
      </c>
      <c r="GB32" s="448">
        <v>0</v>
      </c>
      <c r="GC32" s="445">
        <v>0</v>
      </c>
      <c r="GD32" s="445">
        <v>0</v>
      </c>
      <c r="GE32" s="502">
        <v>0</v>
      </c>
      <c r="GF32" s="448">
        <v>0</v>
      </c>
      <c r="GG32" s="445">
        <v>0</v>
      </c>
      <c r="GH32" s="445">
        <v>0</v>
      </c>
      <c r="GI32" s="445">
        <v>0</v>
      </c>
      <c r="GJ32" s="503">
        <v>0</v>
      </c>
      <c r="GK32" s="447">
        <v>0</v>
      </c>
      <c r="GL32" s="445">
        <v>0</v>
      </c>
      <c r="GM32" s="445">
        <v>0</v>
      </c>
      <c r="GN32" s="504">
        <v>0</v>
      </c>
      <c r="GO32" s="505">
        <v>58</v>
      </c>
      <c r="GP32" s="506">
        <v>56</v>
      </c>
      <c r="GQ32" s="506">
        <v>56</v>
      </c>
      <c r="GR32" s="507">
        <v>56</v>
      </c>
      <c r="GS32" s="508">
        <v>56</v>
      </c>
      <c r="GT32" s="448">
        <v>126</v>
      </c>
      <c r="GU32" s="445">
        <v>126</v>
      </c>
      <c r="GV32" s="445">
        <v>126</v>
      </c>
      <c r="GW32" s="504">
        <v>120</v>
      </c>
      <c r="GX32" s="447">
        <v>138</v>
      </c>
      <c r="GY32" s="445">
        <v>138</v>
      </c>
      <c r="GZ32" s="445">
        <v>138</v>
      </c>
      <c r="HA32" s="504">
        <v>138</v>
      </c>
      <c r="HB32" s="447">
        <v>114</v>
      </c>
      <c r="HC32" s="445">
        <v>114</v>
      </c>
      <c r="HD32" s="445">
        <v>108</v>
      </c>
      <c r="HE32" s="445">
        <v>108</v>
      </c>
      <c r="HF32" s="502">
        <v>108</v>
      </c>
      <c r="HG32" s="447">
        <v>192</v>
      </c>
      <c r="HH32" s="450"/>
      <c r="HI32" s="445">
        <v>192</v>
      </c>
      <c r="HJ32" s="502">
        <v>192</v>
      </c>
      <c r="HK32" s="447">
        <v>210</v>
      </c>
      <c r="HL32" s="445">
        <v>210</v>
      </c>
      <c r="HM32" s="445">
        <v>204</v>
      </c>
      <c r="HN32" s="502">
        <v>204</v>
      </c>
      <c r="HO32" s="447">
        <v>204</v>
      </c>
      <c r="HP32" s="445">
        <v>198</v>
      </c>
      <c r="HQ32" s="445">
        <v>198</v>
      </c>
      <c r="HR32" s="502">
        <v>198</v>
      </c>
      <c r="HS32" s="447">
        <v>108</v>
      </c>
      <c r="HT32" s="445">
        <v>108</v>
      </c>
      <c r="HU32" s="445">
        <v>102</v>
      </c>
      <c r="HV32" s="502">
        <v>102</v>
      </c>
      <c r="HW32" s="451"/>
      <c r="HX32" s="445">
        <v>144</v>
      </c>
      <c r="HY32" s="445">
        <v>144</v>
      </c>
      <c r="HZ32" s="445">
        <v>138</v>
      </c>
      <c r="IA32" s="502">
        <v>138</v>
      </c>
      <c r="IB32" s="448">
        <v>144</v>
      </c>
      <c r="IC32" s="445">
        <v>144</v>
      </c>
      <c r="ID32" s="445">
        <v>138</v>
      </c>
      <c r="IE32" s="502">
        <v>138</v>
      </c>
      <c r="IF32" s="448">
        <v>102</v>
      </c>
      <c r="IG32" s="445">
        <v>102</v>
      </c>
      <c r="IH32" s="445">
        <v>102</v>
      </c>
      <c r="II32" s="445">
        <v>96</v>
      </c>
      <c r="IJ32" s="446">
        <v>96</v>
      </c>
      <c r="IK32" s="451"/>
      <c r="IL32" s="445">
        <v>252</v>
      </c>
      <c r="IM32" s="445">
        <v>252</v>
      </c>
      <c r="IN32" s="502">
        <v>252</v>
      </c>
      <c r="IO32" s="447">
        <v>228</v>
      </c>
      <c r="IP32" s="445">
        <v>228</v>
      </c>
      <c r="IQ32" s="509">
        <v>168</v>
      </c>
      <c r="IR32" s="510">
        <v>168</v>
      </c>
      <c r="IS32" s="511">
        <v>186</v>
      </c>
      <c r="IT32" s="509">
        <v>192</v>
      </c>
      <c r="IU32" s="509">
        <v>168</v>
      </c>
      <c r="IV32" s="512">
        <v>180</v>
      </c>
      <c r="IW32" s="511">
        <v>300</v>
      </c>
      <c r="IX32" s="448">
        <v>102</v>
      </c>
      <c r="IY32" s="445">
        <v>204</v>
      </c>
      <c r="IZ32" s="446">
        <v>120</v>
      </c>
      <c r="JA32" s="502">
        <v>144</v>
      </c>
      <c r="JB32" s="511">
        <v>168</v>
      </c>
      <c r="JC32" s="509">
        <v>168</v>
      </c>
      <c r="JD32" s="509">
        <v>162</v>
      </c>
      <c r="JE32" s="510">
        <v>162</v>
      </c>
      <c r="JF32" s="447">
        <v>156</v>
      </c>
      <c r="JG32" s="445">
        <v>156</v>
      </c>
      <c r="JH32" s="445">
        <v>150</v>
      </c>
      <c r="JI32" s="502">
        <v>150</v>
      </c>
      <c r="JJ32" s="451">
        <v>0</v>
      </c>
      <c r="JK32" s="445">
        <v>264</v>
      </c>
      <c r="JL32" s="445">
        <v>264</v>
      </c>
      <c r="JM32" s="502">
        <v>258</v>
      </c>
      <c r="JN32" s="447">
        <v>150</v>
      </c>
      <c r="JO32" s="445">
        <v>144</v>
      </c>
      <c r="JP32" s="445">
        <v>144</v>
      </c>
      <c r="JQ32" s="449">
        <v>0</v>
      </c>
      <c r="JR32" s="502">
        <v>144</v>
      </c>
      <c r="JS32" s="447">
        <v>0</v>
      </c>
      <c r="JT32" s="445">
        <v>0</v>
      </c>
      <c r="JU32" s="445">
        <v>0</v>
      </c>
      <c r="JV32" s="502">
        <v>0</v>
      </c>
      <c r="JW32" s="447">
        <v>36</v>
      </c>
      <c r="JX32" s="445">
        <v>36</v>
      </c>
      <c r="JY32" s="445">
        <v>30</v>
      </c>
      <c r="JZ32" s="502">
        <v>30</v>
      </c>
      <c r="KA32" s="447">
        <v>66</v>
      </c>
      <c r="KB32" s="445">
        <v>60</v>
      </c>
      <c r="KC32" s="445">
        <v>60</v>
      </c>
      <c r="KD32" s="446">
        <v>60</v>
      </c>
      <c r="KE32" s="502">
        <v>60</v>
      </c>
      <c r="KF32" s="447">
        <v>84</v>
      </c>
      <c r="KG32" s="445">
        <v>78</v>
      </c>
      <c r="KH32" s="445">
        <v>78</v>
      </c>
      <c r="KI32" s="502">
        <v>78</v>
      </c>
      <c r="KJ32" s="451">
        <v>0</v>
      </c>
      <c r="KK32" s="445">
        <v>90</v>
      </c>
      <c r="KL32" s="445">
        <v>90</v>
      </c>
      <c r="KM32" s="445">
        <v>90</v>
      </c>
      <c r="KN32" s="502">
        <v>84</v>
      </c>
    </row>
    <row r="33" spans="1:300" ht="36.75" customHeight="1" thickBot="1">
      <c r="A33" s="481"/>
      <c r="B33" s="494"/>
      <c r="C33" s="668"/>
      <c r="D33" s="596"/>
      <c r="E33" s="523"/>
      <c r="F33" s="599"/>
      <c r="G33" s="456" t="s">
        <v>18</v>
      </c>
      <c r="H33" s="475"/>
      <c r="I33" s="471"/>
      <c r="J33" s="471"/>
      <c r="K33" s="471"/>
      <c r="L33" s="471"/>
      <c r="M33" s="495"/>
      <c r="N33" s="495"/>
      <c r="O33" s="495"/>
      <c r="P33" s="495"/>
      <c r="Q33" s="495"/>
      <c r="R33" s="471"/>
      <c r="S33" s="471"/>
      <c r="T33" s="495"/>
      <c r="U33" s="495"/>
      <c r="V33" s="495"/>
      <c r="W33" s="495"/>
      <c r="X33" s="495"/>
      <c r="Y33" s="495"/>
      <c r="Z33" s="495"/>
      <c r="AA33" s="495"/>
      <c r="AB33" s="495"/>
      <c r="AC33" s="460">
        <f t="shared" ref="AC33" si="960">AB33+AC32</f>
        <v>0</v>
      </c>
      <c r="AD33" s="461">
        <f t="shared" ref="AD33" si="961">AC33+AD32</f>
        <v>0</v>
      </c>
      <c r="AE33" s="461">
        <f t="shared" ref="AE33" si="962">AD33+AE32</f>
        <v>0</v>
      </c>
      <c r="AF33" s="461">
        <f t="shared" ref="AF33" si="963">AE33+AF32</f>
        <v>0</v>
      </c>
      <c r="AG33" s="461">
        <f t="shared" ref="AG33:AH33" si="964">AF33+AG32</f>
        <v>0</v>
      </c>
      <c r="AH33" s="461">
        <f t="shared" si="964"/>
        <v>0</v>
      </c>
      <c r="AI33" s="462">
        <f>GA33</f>
        <v>0</v>
      </c>
      <c r="AJ33" s="461">
        <f t="shared" ref="AJ33" si="965">AI33+AJ32</f>
        <v>0</v>
      </c>
      <c r="AK33" s="461">
        <f t="shared" ref="AK33" si="966">AJ33+AK32</f>
        <v>0</v>
      </c>
      <c r="AL33" s="461">
        <f t="shared" ref="AL33:AM33" si="967">AK33+AL32</f>
        <v>0</v>
      </c>
      <c r="AM33" s="491">
        <f t="shared" si="967"/>
        <v>282</v>
      </c>
      <c r="AN33" s="467">
        <f t="shared" ref="AN33" si="968">AM33+AN32</f>
        <v>780</v>
      </c>
      <c r="AO33" s="495">
        <f t="shared" ref="AO33" si="969">AN33+AO32</f>
        <v>1332</v>
      </c>
      <c r="AP33" s="471">
        <f t="shared" ref="AP33:AR33" si="970">AO33+AP32</f>
        <v>1884</v>
      </c>
      <c r="AQ33" s="471">
        <f t="shared" si="970"/>
        <v>2460</v>
      </c>
      <c r="AR33" s="471">
        <f t="shared" si="970"/>
        <v>3288</v>
      </c>
      <c r="AS33" s="471">
        <f t="shared" ref="AS33:AZ33" si="971">AR33+AS32</f>
        <v>4086</v>
      </c>
      <c r="AT33" s="466">
        <f t="shared" si="971"/>
        <v>4506</v>
      </c>
      <c r="AU33" s="466">
        <f t="shared" si="971"/>
        <v>5070</v>
      </c>
      <c r="AV33" s="466">
        <f t="shared" si="971"/>
        <v>5634</v>
      </c>
      <c r="AW33" s="466">
        <f t="shared" si="971"/>
        <v>6132</v>
      </c>
      <c r="AX33" s="466">
        <f t="shared" si="971"/>
        <v>6888</v>
      </c>
      <c r="AY33" s="466">
        <f t="shared" si="971"/>
        <v>7680</v>
      </c>
      <c r="AZ33" s="466">
        <f t="shared" si="971"/>
        <v>8406</v>
      </c>
      <c r="BA33" s="466">
        <f t="shared" ref="BA33" si="972">AZ33+BA32</f>
        <v>9276</v>
      </c>
      <c r="BB33" s="466">
        <f t="shared" ref="BB33" si="973">BA33+BB32</f>
        <v>9936</v>
      </c>
      <c r="BC33" s="466">
        <f t="shared" ref="BC33:BD33" si="974">BB33+BC32</f>
        <v>10548</v>
      </c>
      <c r="BD33" s="466">
        <f t="shared" si="974"/>
        <v>11334</v>
      </c>
      <c r="BE33" s="466">
        <f t="shared" ref="BE33:BF33" si="975">BD33+BE32</f>
        <v>11916</v>
      </c>
      <c r="BF33" s="466">
        <f t="shared" si="975"/>
        <v>11916</v>
      </c>
      <c r="BG33" s="466">
        <f t="shared" ref="BG33:BJ33" si="976">BF33+BG32</f>
        <v>12048</v>
      </c>
      <c r="BH33" s="466">
        <f t="shared" si="976"/>
        <v>12354</v>
      </c>
      <c r="BI33" s="466">
        <f t="shared" si="976"/>
        <v>12672</v>
      </c>
      <c r="BJ33" s="466">
        <f t="shared" si="976"/>
        <v>13026</v>
      </c>
      <c r="BK33" s="527"/>
      <c r="BL33" s="528"/>
      <c r="BM33" s="528"/>
      <c r="BN33" s="528"/>
      <c r="BO33" s="528"/>
      <c r="BP33" s="528"/>
      <c r="BQ33" s="528"/>
      <c r="BR33" s="528"/>
      <c r="BS33" s="528"/>
      <c r="BT33" s="528"/>
      <c r="BU33" s="528"/>
      <c r="BV33" s="528"/>
      <c r="BW33" s="529"/>
      <c r="BX33" s="528"/>
      <c r="BY33" s="528"/>
      <c r="BZ33" s="528"/>
      <c r="CA33" s="528"/>
      <c r="CB33" s="528"/>
      <c r="CC33" s="528"/>
      <c r="CD33" s="528"/>
      <c r="CE33" s="528"/>
      <c r="CF33" s="528"/>
      <c r="CG33" s="528"/>
      <c r="CH33" s="528"/>
      <c r="CI33" s="528"/>
      <c r="CJ33" s="528"/>
      <c r="CK33" s="528"/>
      <c r="CL33" s="528"/>
      <c r="CM33" s="528"/>
      <c r="CN33" s="528"/>
      <c r="CO33" s="528"/>
      <c r="CP33" s="528"/>
      <c r="CQ33" s="528"/>
      <c r="CR33" s="528"/>
      <c r="CS33" s="528"/>
      <c r="CT33" s="528"/>
      <c r="CU33" s="528"/>
      <c r="CV33" s="528"/>
      <c r="CW33" s="528"/>
      <c r="CX33" s="528"/>
      <c r="CY33" s="528"/>
      <c r="CZ33" s="528"/>
      <c r="DA33" s="528"/>
      <c r="DB33" s="528"/>
      <c r="DC33" s="528"/>
      <c r="DD33" s="528"/>
      <c r="DE33" s="528"/>
      <c r="DF33" s="528"/>
      <c r="DG33" s="528"/>
      <c r="DH33" s="528"/>
      <c r="DI33" s="528"/>
      <c r="DJ33" s="528"/>
      <c r="DK33" s="528"/>
      <c r="DL33" s="528"/>
      <c r="DM33" s="528"/>
      <c r="DN33" s="528"/>
      <c r="DO33" s="528"/>
      <c r="DP33" s="528"/>
      <c r="DQ33" s="528"/>
      <c r="DR33" s="528"/>
      <c r="DS33" s="528"/>
      <c r="DT33" s="528"/>
      <c r="DU33" s="528"/>
      <c r="DV33" s="528"/>
      <c r="DW33" s="528"/>
      <c r="DX33" s="528"/>
      <c r="DY33" s="528"/>
      <c r="DZ33" s="528"/>
      <c r="EA33" s="528"/>
      <c r="EB33" s="528"/>
      <c r="EC33" s="528"/>
      <c r="ED33" s="528"/>
      <c r="EE33" s="528"/>
      <c r="EF33" s="528"/>
      <c r="EG33" s="528"/>
      <c r="EH33" s="528"/>
      <c r="EI33" s="528"/>
      <c r="EJ33" s="528"/>
      <c r="EK33" s="528"/>
      <c r="EL33" s="528"/>
      <c r="EM33" s="528"/>
      <c r="EN33" s="528"/>
      <c r="EO33" s="528"/>
      <c r="EP33" s="528"/>
      <c r="EQ33" s="528"/>
      <c r="ER33" s="528"/>
      <c r="ES33" s="528"/>
      <c r="ET33" s="528"/>
      <c r="EU33" s="528"/>
      <c r="EV33" s="528"/>
      <c r="EW33" s="530"/>
      <c r="EX33" s="463">
        <f t="shared" ref="EX33" si="977">EW33+EX32</f>
        <v>0</v>
      </c>
      <c r="EY33" s="461">
        <f t="shared" ref="EY33" si="978">EX33+EY32</f>
        <v>0</v>
      </c>
      <c r="EZ33" s="461">
        <f t="shared" ref="EZ33" si="979">EY33+EZ32</f>
        <v>0</v>
      </c>
      <c r="FA33" s="492">
        <f t="shared" ref="FA33" si="980">EZ33+FA32</f>
        <v>0</v>
      </c>
      <c r="FB33" s="463">
        <f t="shared" ref="FB33" si="981">FA33+FB32</f>
        <v>0</v>
      </c>
      <c r="FC33" s="461">
        <f t="shared" ref="FC33" si="982">FB33+FC32</f>
        <v>0</v>
      </c>
      <c r="FD33" s="461">
        <f t="shared" ref="FD33" si="983">FC33+FD32</f>
        <v>0</v>
      </c>
      <c r="FE33" s="461">
        <f t="shared" ref="FE33" si="984">FD33+FE32</f>
        <v>0</v>
      </c>
      <c r="FF33" s="492">
        <f t="shared" ref="FF33" si="985">FE33+FF32</f>
        <v>0</v>
      </c>
      <c r="FG33" s="464">
        <f t="shared" ref="FG33" si="986">FF33+FG32</f>
        <v>0</v>
      </c>
      <c r="FH33" s="461">
        <f t="shared" ref="FH33" si="987">FG33+FH32</f>
        <v>0</v>
      </c>
      <c r="FI33" s="461">
        <f t="shared" ref="FI33" si="988">FH33+FI32</f>
        <v>0</v>
      </c>
      <c r="FJ33" s="492">
        <f t="shared" ref="FJ33" si="989">FI33+FJ32</f>
        <v>0</v>
      </c>
      <c r="FK33" s="464">
        <f t="shared" ref="FK33" si="990">FJ33+FK32</f>
        <v>0</v>
      </c>
      <c r="FL33" s="461">
        <f t="shared" ref="FL33" si="991">FK33+FL32</f>
        <v>0</v>
      </c>
      <c r="FM33" s="461">
        <f t="shared" ref="FM33" si="992">FL33+FM32</f>
        <v>0</v>
      </c>
      <c r="FN33" s="492">
        <f t="shared" ref="FN33" si="993">FM33+FN32</f>
        <v>0</v>
      </c>
      <c r="FO33" s="464">
        <f t="shared" ref="FO33" si="994">FN33+FO32</f>
        <v>0</v>
      </c>
      <c r="FP33" s="461">
        <f t="shared" ref="FP33" si="995">FO33+FP32</f>
        <v>0</v>
      </c>
      <c r="FQ33" s="461">
        <f t="shared" ref="FQ33" si="996">FP33+FQ32</f>
        <v>0</v>
      </c>
      <c r="FR33" s="492">
        <f t="shared" ref="FR33" si="997">FQ33+FR32</f>
        <v>0</v>
      </c>
      <c r="FS33" s="464">
        <f>FR33+FS32</f>
        <v>0</v>
      </c>
      <c r="FT33" s="461">
        <f t="shared" ref="FT33" si="998">FS33+FT32</f>
        <v>0</v>
      </c>
      <c r="FU33" s="461">
        <f t="shared" ref="FU33" si="999">FT33+FU32</f>
        <v>0</v>
      </c>
      <c r="FV33" s="461">
        <f t="shared" ref="FV33:FW33" si="1000">FU33+FV32</f>
        <v>0</v>
      </c>
      <c r="FW33" s="492">
        <f t="shared" si="1000"/>
        <v>0</v>
      </c>
      <c r="FX33" s="464">
        <f t="shared" ref="FX33" si="1001">FW33+FX32</f>
        <v>0</v>
      </c>
      <c r="FY33" s="461">
        <f t="shared" ref="FY33" si="1002">FX33+FY32</f>
        <v>0</v>
      </c>
      <c r="FZ33" s="461">
        <f t="shared" ref="FZ33" si="1003">FY33+FZ32</f>
        <v>0</v>
      </c>
      <c r="GA33" s="492">
        <f t="shared" ref="GA33" si="1004">FZ33+GA32</f>
        <v>0</v>
      </c>
      <c r="GB33" s="464">
        <f t="shared" ref="GB33" si="1005">GA33+GB32</f>
        <v>0</v>
      </c>
      <c r="GC33" s="461">
        <f t="shared" ref="GC33" si="1006">GB33+GC32</f>
        <v>0</v>
      </c>
      <c r="GD33" s="461">
        <f t="shared" ref="GD33" si="1007">GC33+GD32</f>
        <v>0</v>
      </c>
      <c r="GE33" s="492">
        <f t="shared" ref="GE33" si="1008">GD33+GE32</f>
        <v>0</v>
      </c>
      <c r="GF33" s="464">
        <f t="shared" ref="GF33" si="1009">GE33+GF32</f>
        <v>0</v>
      </c>
      <c r="GG33" s="461">
        <f t="shared" ref="GG33" si="1010">GF33+GG32</f>
        <v>0</v>
      </c>
      <c r="GH33" s="461">
        <f t="shared" ref="GH33" si="1011">GG33+GH32</f>
        <v>0</v>
      </c>
      <c r="GI33" s="461">
        <f t="shared" ref="GI33" si="1012">GH33+GI32</f>
        <v>0</v>
      </c>
      <c r="GJ33" s="496">
        <f t="shared" ref="GJ33" si="1013">GI33+GJ32</f>
        <v>0</v>
      </c>
      <c r="GK33" s="463">
        <f t="shared" ref="GK33" si="1014">GJ33+GK32</f>
        <v>0</v>
      </c>
      <c r="GL33" s="461">
        <f t="shared" ref="GL33" si="1015">GK33+GL32</f>
        <v>0</v>
      </c>
      <c r="GM33" s="461">
        <f t="shared" ref="GM33" si="1016">GL33+GM32</f>
        <v>0</v>
      </c>
      <c r="GN33" s="497">
        <f t="shared" ref="GN33" si="1017">GM33+GN32</f>
        <v>0</v>
      </c>
      <c r="GO33" s="463">
        <f t="shared" ref="GO33" si="1018">GN33+GO32</f>
        <v>58</v>
      </c>
      <c r="GP33" s="461">
        <f t="shared" ref="GP33" si="1019">GO33+GP32</f>
        <v>114</v>
      </c>
      <c r="GQ33" s="461">
        <f t="shared" ref="GQ33" si="1020">GP33+GQ32</f>
        <v>170</v>
      </c>
      <c r="GR33" s="460">
        <f t="shared" ref="GR33" si="1021">GQ33+GR32</f>
        <v>226</v>
      </c>
      <c r="GS33" s="492">
        <f t="shared" ref="GS33" si="1022">GR33+GS32</f>
        <v>282</v>
      </c>
      <c r="GT33" s="464">
        <f t="shared" ref="GT33" si="1023">GS33+GT32</f>
        <v>408</v>
      </c>
      <c r="GU33" s="461">
        <f t="shared" ref="GU33" si="1024">GT33+GU32</f>
        <v>534</v>
      </c>
      <c r="GV33" s="461">
        <f t="shared" ref="GV33" si="1025">GU33+GV32</f>
        <v>660</v>
      </c>
      <c r="GW33" s="497">
        <f t="shared" ref="GW33" si="1026">GV33+GW32</f>
        <v>780</v>
      </c>
      <c r="GX33" s="498">
        <f t="shared" ref="GX33" si="1027">GW33+GX32</f>
        <v>918</v>
      </c>
      <c r="GY33" s="466">
        <f t="shared" ref="GY33" si="1028">GX33+GY32</f>
        <v>1056</v>
      </c>
      <c r="GZ33" s="466">
        <f t="shared" ref="GZ33" si="1029">GY33+GZ32</f>
        <v>1194</v>
      </c>
      <c r="HA33" s="499">
        <f t="shared" ref="HA33" si="1030">GZ33+HA32</f>
        <v>1332</v>
      </c>
      <c r="HB33" s="498">
        <f t="shared" ref="HB33" si="1031">HA33+HB32</f>
        <v>1446</v>
      </c>
      <c r="HC33" s="466">
        <f t="shared" ref="HC33" si="1032">HB33+HC32</f>
        <v>1560</v>
      </c>
      <c r="HD33" s="466">
        <f t="shared" ref="HD33" si="1033">HC33+HD32</f>
        <v>1668</v>
      </c>
      <c r="HE33" s="466">
        <f t="shared" ref="HE33" si="1034">HD33+HE32</f>
        <v>1776</v>
      </c>
      <c r="HF33" s="500">
        <f t="shared" ref="HF33" si="1035">HE33+HF32</f>
        <v>1884</v>
      </c>
      <c r="HG33" s="498">
        <f t="shared" ref="HG33" si="1036">HF33+HG32</f>
        <v>2076</v>
      </c>
      <c r="HH33" s="466">
        <f t="shared" ref="HH33" si="1037">HG33+HH32</f>
        <v>2076</v>
      </c>
      <c r="HI33" s="466">
        <f t="shared" ref="HI33" si="1038">HH33+HI32</f>
        <v>2268</v>
      </c>
      <c r="HJ33" s="500">
        <f t="shared" ref="HJ33:HN33" si="1039">HI33+HJ32</f>
        <v>2460</v>
      </c>
      <c r="HK33" s="476">
        <f t="shared" si="1039"/>
        <v>2670</v>
      </c>
      <c r="HL33" s="477">
        <f t="shared" si="1039"/>
        <v>2880</v>
      </c>
      <c r="HM33" s="477">
        <f t="shared" si="1039"/>
        <v>3084</v>
      </c>
      <c r="HN33" s="478">
        <f t="shared" si="1039"/>
        <v>3288</v>
      </c>
      <c r="HO33" s="476">
        <f t="shared" ref="HO33" si="1040">HN33+HO32</f>
        <v>3492</v>
      </c>
      <c r="HP33" s="477">
        <f t="shared" ref="HP33" si="1041">HO33+HP32</f>
        <v>3690</v>
      </c>
      <c r="HQ33" s="477">
        <f t="shared" ref="HQ33" si="1042">HP33+HQ32</f>
        <v>3888</v>
      </c>
      <c r="HR33" s="478">
        <f t="shared" ref="HR33" si="1043">HQ33+HR32</f>
        <v>4086</v>
      </c>
      <c r="HS33" s="476">
        <f t="shared" ref="HS33" si="1044">HR33+HS32</f>
        <v>4194</v>
      </c>
      <c r="HT33" s="477">
        <f t="shared" ref="HT33" si="1045">HS33+HT32</f>
        <v>4302</v>
      </c>
      <c r="HU33" s="477">
        <f t="shared" ref="HU33" si="1046">HT33+HU32</f>
        <v>4404</v>
      </c>
      <c r="HV33" s="478">
        <f t="shared" ref="HV33" si="1047">HU33+HV32</f>
        <v>4506</v>
      </c>
      <c r="HW33" s="476">
        <f t="shared" ref="HW33" si="1048">HV33+HW32</f>
        <v>4506</v>
      </c>
      <c r="HX33" s="477">
        <f t="shared" ref="HX33" si="1049">HW33+HX32</f>
        <v>4650</v>
      </c>
      <c r="HY33" s="477">
        <f t="shared" ref="HY33" si="1050">HX33+HY32</f>
        <v>4794</v>
      </c>
      <c r="HZ33" s="477">
        <f t="shared" ref="HZ33" si="1051">HY33+HZ32</f>
        <v>4932</v>
      </c>
      <c r="IA33" s="478">
        <f t="shared" ref="IA33" si="1052">HZ33+IA32</f>
        <v>5070</v>
      </c>
      <c r="IB33" s="479">
        <f t="shared" ref="IB33" si="1053">IA33+IB32</f>
        <v>5214</v>
      </c>
      <c r="IC33" s="477">
        <f t="shared" ref="IC33" si="1054">IB33+IC32</f>
        <v>5358</v>
      </c>
      <c r="ID33" s="477">
        <f t="shared" ref="ID33" si="1055">IC33+ID32</f>
        <v>5496</v>
      </c>
      <c r="IE33" s="478">
        <f>ID33+IE32</f>
        <v>5634</v>
      </c>
      <c r="IF33" s="479">
        <f t="shared" ref="IF33" si="1056">IE33+IF32</f>
        <v>5736</v>
      </c>
      <c r="IG33" s="477">
        <f t="shared" ref="IG33" si="1057">IF33+IG32</f>
        <v>5838</v>
      </c>
      <c r="IH33" s="477">
        <f t="shared" ref="IH33" si="1058">IG33+IH32</f>
        <v>5940</v>
      </c>
      <c r="II33" s="477">
        <f t="shared" ref="II33" si="1059">IH33+II32</f>
        <v>6036</v>
      </c>
      <c r="IJ33" s="480">
        <f t="shared" ref="IJ33" si="1060">II33+IJ32</f>
        <v>6132</v>
      </c>
      <c r="IK33" s="476">
        <f t="shared" ref="IK33" si="1061">IJ33+IK32</f>
        <v>6132</v>
      </c>
      <c r="IL33" s="477">
        <f t="shared" ref="IL33" si="1062">IK33+IL32</f>
        <v>6384</v>
      </c>
      <c r="IM33" s="477">
        <f t="shared" ref="IM33" si="1063">IL33+IM32</f>
        <v>6636</v>
      </c>
      <c r="IN33" s="478">
        <f t="shared" ref="IN33" si="1064">IM33+IN32</f>
        <v>6888</v>
      </c>
      <c r="IO33" s="476">
        <f t="shared" ref="IO33" si="1065">IN33+IO32</f>
        <v>7116</v>
      </c>
      <c r="IP33" s="477">
        <f t="shared" ref="IP33" si="1066">IO33+IP32</f>
        <v>7344</v>
      </c>
      <c r="IQ33" s="477">
        <f t="shared" ref="IQ33" si="1067">IP33+IQ32</f>
        <v>7512</v>
      </c>
      <c r="IR33" s="478">
        <f t="shared" ref="IR33" si="1068">IQ33+IR32</f>
        <v>7680</v>
      </c>
      <c r="IS33" s="476">
        <f t="shared" ref="IS33" si="1069">IR33+IS32</f>
        <v>7866</v>
      </c>
      <c r="IT33" s="477">
        <f t="shared" ref="IT33" si="1070">IS33+IT32</f>
        <v>8058</v>
      </c>
      <c r="IU33" s="477">
        <f t="shared" ref="IU33" si="1071">IT33+IU32</f>
        <v>8226</v>
      </c>
      <c r="IV33" s="480">
        <f t="shared" ref="IV33:IW33" si="1072">IU33+IV32</f>
        <v>8406</v>
      </c>
      <c r="IW33" s="476">
        <f t="shared" si="1072"/>
        <v>8706</v>
      </c>
      <c r="IX33" s="479">
        <f t="shared" ref="IX33" si="1073">IW33+IX32</f>
        <v>8808</v>
      </c>
      <c r="IY33" s="477">
        <f t="shared" ref="IY33" si="1074">IX33+IY32</f>
        <v>9012</v>
      </c>
      <c r="IZ33" s="480">
        <f t="shared" ref="IZ33" si="1075">IY33+IZ32</f>
        <v>9132</v>
      </c>
      <c r="JA33" s="478">
        <f t="shared" ref="JA33" si="1076">IZ33+JA32</f>
        <v>9276</v>
      </c>
      <c r="JB33" s="476">
        <f t="shared" ref="JB33" si="1077">JA33+JB32</f>
        <v>9444</v>
      </c>
      <c r="JC33" s="477">
        <f t="shared" ref="JC33" si="1078">JB33+JC32</f>
        <v>9612</v>
      </c>
      <c r="JD33" s="477">
        <f t="shared" ref="JD33" si="1079">JC33+JD32</f>
        <v>9774</v>
      </c>
      <c r="JE33" s="478">
        <f t="shared" ref="JE33" si="1080">JD33+JE32</f>
        <v>9936</v>
      </c>
      <c r="JF33" s="476">
        <f t="shared" ref="JF33" si="1081">JE33+JF32</f>
        <v>10092</v>
      </c>
      <c r="JG33" s="477">
        <f t="shared" ref="JG33" si="1082">JF33+JG32</f>
        <v>10248</v>
      </c>
      <c r="JH33" s="477">
        <f t="shared" ref="JH33" si="1083">JG33+JH32</f>
        <v>10398</v>
      </c>
      <c r="JI33" s="478">
        <f t="shared" ref="JI33" si="1084">JH33+JI32</f>
        <v>10548</v>
      </c>
      <c r="JJ33" s="611">
        <f t="shared" ref="JJ33" si="1085">JI33+JJ32</f>
        <v>10548</v>
      </c>
      <c r="JK33" s="477">
        <f t="shared" ref="JK33" si="1086">JJ33+JK32</f>
        <v>10812</v>
      </c>
      <c r="JL33" s="477">
        <f t="shared" ref="JL33" si="1087">JK33+JL32</f>
        <v>11076</v>
      </c>
      <c r="JM33" s="478">
        <f t="shared" ref="JM33" si="1088">JL33+JM32</f>
        <v>11334</v>
      </c>
      <c r="JN33" s="476">
        <f>JM33+JN32</f>
        <v>11484</v>
      </c>
      <c r="JO33" s="477">
        <f>JN33+JO32</f>
        <v>11628</v>
      </c>
      <c r="JP33" s="477">
        <f>JO33+JP32</f>
        <v>11772</v>
      </c>
      <c r="JQ33" s="613">
        <f t="shared" ref="JQ33" si="1089">JP33+JQ32</f>
        <v>11772</v>
      </c>
      <c r="JR33" s="478">
        <f t="shared" ref="JR33" si="1090">JQ33+JR32</f>
        <v>11916</v>
      </c>
      <c r="JS33" s="476">
        <f>JR33+JS32</f>
        <v>11916</v>
      </c>
      <c r="JT33" s="477">
        <f>JS33+JT32</f>
        <v>11916</v>
      </c>
      <c r="JU33" s="477">
        <f>JT33+JU32</f>
        <v>11916</v>
      </c>
      <c r="JV33" s="478">
        <f t="shared" ref="JV33" si="1091">JU33+JV32</f>
        <v>11916</v>
      </c>
      <c r="JW33" s="476">
        <f>JV33+JW32</f>
        <v>11952</v>
      </c>
      <c r="JX33" s="477">
        <f>JW33+JX32</f>
        <v>11988</v>
      </c>
      <c r="JY33" s="477">
        <f>JX33+JY32</f>
        <v>12018</v>
      </c>
      <c r="JZ33" s="478">
        <f t="shared" ref="JZ33:KE33" si="1092">JY33+JZ32</f>
        <v>12048</v>
      </c>
      <c r="KA33" s="476">
        <f t="shared" si="1092"/>
        <v>12114</v>
      </c>
      <c r="KB33" s="477">
        <f t="shared" si="1092"/>
        <v>12174</v>
      </c>
      <c r="KC33" s="477">
        <f t="shared" si="1092"/>
        <v>12234</v>
      </c>
      <c r="KD33" s="480">
        <f t="shared" si="1092"/>
        <v>12294</v>
      </c>
      <c r="KE33" s="478">
        <f t="shared" si="1092"/>
        <v>12354</v>
      </c>
      <c r="KF33" s="476">
        <f t="shared" ref="KF33" si="1093">KE33+KF32</f>
        <v>12438</v>
      </c>
      <c r="KG33" s="477">
        <f t="shared" ref="KG33" si="1094">KF33+KG32</f>
        <v>12516</v>
      </c>
      <c r="KH33" s="477">
        <f t="shared" ref="KH33" si="1095">KG33+KH32</f>
        <v>12594</v>
      </c>
      <c r="KI33" s="478">
        <f t="shared" ref="KI33" si="1096">KH33+KI32</f>
        <v>12672</v>
      </c>
      <c r="KJ33" s="611">
        <f t="shared" ref="KJ33" si="1097">KI33+KJ32</f>
        <v>12672</v>
      </c>
      <c r="KK33" s="477">
        <f t="shared" ref="KK33" si="1098">KJ33+KK32</f>
        <v>12762</v>
      </c>
      <c r="KL33" s="477">
        <f t="shared" ref="KL33:KM33" si="1099">KK33+KL32</f>
        <v>12852</v>
      </c>
      <c r="KM33" s="477">
        <f t="shared" si="1099"/>
        <v>12942</v>
      </c>
      <c r="KN33" s="478">
        <f t="shared" ref="KN33" si="1100">KL33+KN32</f>
        <v>12936</v>
      </c>
    </row>
    <row r="34" spans="1:300" ht="36.75" customHeight="1">
      <c r="A34" s="481"/>
      <c r="B34" s="494"/>
      <c r="C34" s="665">
        <v>6</v>
      </c>
      <c r="D34" s="595" t="s">
        <v>199</v>
      </c>
      <c r="E34" s="523" t="s">
        <v>140</v>
      </c>
      <c r="F34" s="598" t="s">
        <v>149</v>
      </c>
      <c r="G34" s="440" t="s">
        <v>141</v>
      </c>
      <c r="H34" s="475"/>
      <c r="I34" s="471"/>
      <c r="J34" s="471"/>
      <c r="K34" s="471"/>
      <c r="L34" s="471"/>
      <c r="M34" s="495"/>
      <c r="N34" s="495"/>
      <c r="O34" s="495"/>
      <c r="P34" s="495"/>
      <c r="Q34" s="495"/>
      <c r="R34" s="471"/>
      <c r="S34" s="471"/>
      <c r="T34" s="495"/>
      <c r="U34" s="495"/>
      <c r="V34" s="495"/>
      <c r="W34" s="495"/>
      <c r="X34" s="495"/>
      <c r="Y34" s="495"/>
      <c r="Z34" s="495"/>
      <c r="AA34" s="495"/>
      <c r="AB34" s="495"/>
      <c r="AC34" s="483">
        <v>50</v>
      </c>
      <c r="AD34" s="445">
        <v>40</v>
      </c>
      <c r="AE34" s="445">
        <f>SUBTOTAL(9,FG34:FJ34)</f>
        <v>0</v>
      </c>
      <c r="AF34" s="445">
        <f>SUBTOTAL(9,FK34:FN34)</f>
        <v>4</v>
      </c>
      <c r="AG34" s="445">
        <f>SUBTOTAL(9,FO34:FR34)</f>
        <v>0</v>
      </c>
      <c r="AH34" s="445">
        <f>SUBTOTAL(9,FS34:FW34)</f>
        <v>240</v>
      </c>
      <c r="AI34" s="445">
        <f>SUBTOTAL(9,FX34:GA34)</f>
        <v>140</v>
      </c>
      <c r="AJ34" s="445">
        <f>SUBTOTAL(9,GB34:GE34)</f>
        <v>100</v>
      </c>
      <c r="AK34" s="445">
        <f>SUBTOTAL(9,GF34:GJ34)</f>
        <v>24</v>
      </c>
      <c r="AL34" s="446">
        <f>SUBTOTAL(9,GK34:GN34)</f>
        <v>66</v>
      </c>
      <c r="AM34" s="447">
        <f>SUBTOTAL(9,GO34:GS34)</f>
        <v>30</v>
      </c>
      <c r="AN34" s="448">
        <f>SUBTOTAL(9,GT34:GW34)</f>
        <v>36</v>
      </c>
      <c r="AO34" s="446">
        <f>SUM(GX34:HA34)</f>
        <v>6</v>
      </c>
      <c r="AP34" s="445">
        <f>SUM(HB34:HF34)</f>
        <v>0</v>
      </c>
      <c r="AQ34" s="445">
        <f>SUM(HG34:HJ34)</f>
        <v>0</v>
      </c>
      <c r="AR34" s="445">
        <f>SUM(HK34:HN34)</f>
        <v>12</v>
      </c>
      <c r="AS34" s="445">
        <f>SUM(HO34:HR34)</f>
        <v>24</v>
      </c>
      <c r="AT34" s="445">
        <f>SUM(HS34:HV34)</f>
        <v>54</v>
      </c>
      <c r="AU34" s="445">
        <f>SUM(HW34:IA34)</f>
        <v>42</v>
      </c>
      <c r="AV34" s="445">
        <f>SUM(IB34:IE34)</f>
        <v>18</v>
      </c>
      <c r="AW34" s="445">
        <f t="shared" ref="AW34" si="1101">SUM(IF34:IJ34)</f>
        <v>12</v>
      </c>
      <c r="AX34" s="446">
        <f t="shared" ref="AX34" si="1102">SUM(IK34:IN34)</f>
        <v>30</v>
      </c>
      <c r="AY34" s="446">
        <f t="shared" ref="AY34" si="1103">SUM(IO34:IR34)</f>
        <v>30</v>
      </c>
      <c r="AZ34" s="446">
        <f t="shared" ref="AZ34" si="1104">SUM(IS34:IV34)</f>
        <v>60</v>
      </c>
      <c r="BA34" s="446">
        <f t="shared" ref="BA34" si="1105">SUM(IW34:JA34)</f>
        <v>42</v>
      </c>
      <c r="BB34" s="446">
        <f t="shared" ref="BB34" si="1106">SUM(JB34:JE34)</f>
        <v>6</v>
      </c>
      <c r="BC34" s="446">
        <f t="shared" ref="BC34" si="1107">SUM(JF34:JI34)</f>
        <v>30</v>
      </c>
      <c r="BD34" s="446">
        <f t="shared" ref="BD34" si="1108">SUM(JJ34:JM34)</f>
        <v>36</v>
      </c>
      <c r="BE34" s="446">
        <f t="shared" ref="BE34" si="1109">SUM(JN34:JR34)</f>
        <v>12</v>
      </c>
      <c r="BF34" s="446">
        <f t="shared" ref="BF34" si="1110">SUM(JS34:JV34)</f>
        <v>12</v>
      </c>
      <c r="BG34" s="446">
        <f t="shared" ref="BG34" si="1111">SUM(JW34:JZ34)</f>
        <v>18</v>
      </c>
      <c r="BH34" s="446">
        <f t="shared" ref="BH34" si="1112">SUM(KA34:KE34)</f>
        <v>12</v>
      </c>
      <c r="BI34" s="446">
        <f t="shared" ref="BI34" si="1113">SUM(KF34:KI34)</f>
        <v>24</v>
      </c>
      <c r="BJ34" s="446">
        <f t="shared" ref="BJ34" si="1114">SUM(KJ34:KN34)</f>
        <v>24</v>
      </c>
      <c r="BK34" s="531">
        <v>40</v>
      </c>
      <c r="BL34" s="532">
        <v>0</v>
      </c>
      <c r="BM34" s="532">
        <v>0</v>
      </c>
      <c r="BN34" s="532">
        <v>0</v>
      </c>
      <c r="BO34" s="532">
        <v>0</v>
      </c>
      <c r="BP34" s="532">
        <v>0</v>
      </c>
      <c r="BQ34" s="532">
        <v>0</v>
      </c>
      <c r="BR34" s="532">
        <v>0</v>
      </c>
      <c r="BS34" s="532">
        <v>0</v>
      </c>
      <c r="BT34" s="532">
        <v>0</v>
      </c>
      <c r="BU34" s="532">
        <v>0</v>
      </c>
      <c r="BV34" s="532">
        <v>0</v>
      </c>
      <c r="BW34" s="532">
        <v>0</v>
      </c>
      <c r="BX34" s="532">
        <v>0</v>
      </c>
      <c r="BY34" s="532">
        <v>0</v>
      </c>
      <c r="BZ34" s="532">
        <v>0</v>
      </c>
      <c r="CA34" s="532">
        <v>0</v>
      </c>
      <c r="CB34" s="532">
        <v>0</v>
      </c>
      <c r="CC34" s="532">
        <v>0</v>
      </c>
      <c r="CD34" s="532">
        <v>0</v>
      </c>
      <c r="CE34" s="532">
        <v>0</v>
      </c>
      <c r="CF34" s="532">
        <v>0</v>
      </c>
      <c r="CG34" s="532">
        <v>0</v>
      </c>
      <c r="CH34" s="532">
        <v>0</v>
      </c>
      <c r="CI34" s="532">
        <v>0</v>
      </c>
      <c r="CJ34" s="532">
        <v>0</v>
      </c>
      <c r="CK34" s="532">
        <v>0</v>
      </c>
      <c r="CL34" s="532">
        <v>0</v>
      </c>
      <c r="CM34" s="532">
        <v>0</v>
      </c>
      <c r="CN34" s="532">
        <v>0</v>
      </c>
      <c r="CO34" s="532">
        <v>0</v>
      </c>
      <c r="CP34" s="532">
        <v>0</v>
      </c>
      <c r="CQ34" s="532">
        <v>0</v>
      </c>
      <c r="CR34" s="532">
        <v>0</v>
      </c>
      <c r="CS34" s="532">
        <v>0</v>
      </c>
      <c r="CT34" s="532">
        <v>0</v>
      </c>
      <c r="CU34" s="532">
        <v>0</v>
      </c>
      <c r="CV34" s="532">
        <v>0</v>
      </c>
      <c r="CW34" s="532">
        <v>0</v>
      </c>
      <c r="CX34" s="532">
        <v>0</v>
      </c>
      <c r="CY34" s="532">
        <v>0</v>
      </c>
      <c r="CZ34" s="532">
        <v>0</v>
      </c>
      <c r="DA34" s="532">
        <v>0</v>
      </c>
      <c r="DB34" s="532">
        <v>0</v>
      </c>
      <c r="DC34" s="532">
        <v>0</v>
      </c>
      <c r="DD34" s="532">
        <v>0</v>
      </c>
      <c r="DE34" s="532">
        <v>0</v>
      </c>
      <c r="DF34" s="532">
        <v>0</v>
      </c>
      <c r="DG34" s="532">
        <v>0</v>
      </c>
      <c r="DH34" s="532">
        <v>0</v>
      </c>
      <c r="DI34" s="532">
        <v>0</v>
      </c>
      <c r="DJ34" s="532">
        <v>0</v>
      </c>
      <c r="DK34" s="532">
        <v>0</v>
      </c>
      <c r="DL34" s="532">
        <v>0</v>
      </c>
      <c r="DM34" s="532">
        <v>0</v>
      </c>
      <c r="DN34" s="532">
        <v>0</v>
      </c>
      <c r="DO34" s="532">
        <v>0</v>
      </c>
      <c r="DP34" s="532">
        <v>0</v>
      </c>
      <c r="DQ34" s="532">
        <v>0</v>
      </c>
      <c r="DR34" s="532">
        <v>0</v>
      </c>
      <c r="DS34" s="532">
        <v>0</v>
      </c>
      <c r="DT34" s="532">
        <v>0</v>
      </c>
      <c r="DU34" s="532">
        <v>0</v>
      </c>
      <c r="DV34" s="532">
        <v>0</v>
      </c>
      <c r="DW34" s="532">
        <v>0</v>
      </c>
      <c r="DX34" s="532">
        <v>0</v>
      </c>
      <c r="DY34" s="532">
        <v>0</v>
      </c>
      <c r="DZ34" s="532">
        <v>0</v>
      </c>
      <c r="EA34" s="532">
        <v>0</v>
      </c>
      <c r="EB34" s="532">
        <v>0</v>
      </c>
      <c r="EC34" s="532">
        <v>0</v>
      </c>
      <c r="ED34" s="532">
        <v>0</v>
      </c>
      <c r="EE34" s="532">
        <v>0</v>
      </c>
      <c r="EF34" s="532">
        <v>0</v>
      </c>
      <c r="EG34" s="532">
        <v>0</v>
      </c>
      <c r="EH34" s="532">
        <v>0</v>
      </c>
      <c r="EI34" s="532">
        <v>0</v>
      </c>
      <c r="EJ34" s="532">
        <v>0</v>
      </c>
      <c r="EK34" s="532">
        <v>0</v>
      </c>
      <c r="EL34" s="532">
        <v>0</v>
      </c>
      <c r="EM34" s="532">
        <v>0</v>
      </c>
      <c r="EN34" s="532">
        <v>0</v>
      </c>
      <c r="EO34" s="532">
        <v>0</v>
      </c>
      <c r="EP34" s="532">
        <v>0</v>
      </c>
      <c r="EQ34" s="532">
        <v>0</v>
      </c>
      <c r="ER34" s="532">
        <v>0</v>
      </c>
      <c r="ES34" s="532">
        <v>0</v>
      </c>
      <c r="ET34" s="532">
        <v>0</v>
      </c>
      <c r="EU34" s="532">
        <v>0</v>
      </c>
      <c r="EV34" s="532">
        <v>0</v>
      </c>
      <c r="EW34" s="533">
        <v>0</v>
      </c>
      <c r="EX34" s="447">
        <v>0</v>
      </c>
      <c r="EY34" s="445">
        <v>0</v>
      </c>
      <c r="EZ34" s="445">
        <v>0</v>
      </c>
      <c r="FA34" s="502">
        <v>0</v>
      </c>
      <c r="FB34" s="447">
        <v>0</v>
      </c>
      <c r="FC34" s="445">
        <v>0</v>
      </c>
      <c r="FD34" s="445">
        <v>0</v>
      </c>
      <c r="FE34" s="445">
        <v>0</v>
      </c>
      <c r="FF34" s="502">
        <v>0</v>
      </c>
      <c r="FG34" s="448">
        <v>0</v>
      </c>
      <c r="FH34" s="445">
        <v>0</v>
      </c>
      <c r="FI34" s="445">
        <v>0</v>
      </c>
      <c r="FJ34" s="502">
        <v>0</v>
      </c>
      <c r="FK34" s="448">
        <v>0</v>
      </c>
      <c r="FL34" s="445">
        <v>4</v>
      </c>
      <c r="FM34" s="445">
        <v>0</v>
      </c>
      <c r="FN34" s="502">
        <v>0</v>
      </c>
      <c r="FO34" s="448">
        <v>0</v>
      </c>
      <c r="FP34" s="445">
        <v>0</v>
      </c>
      <c r="FQ34" s="445">
        <v>0</v>
      </c>
      <c r="FR34" s="502">
        <v>0</v>
      </c>
      <c r="FS34" s="448">
        <v>90</v>
      </c>
      <c r="FT34" s="445">
        <v>0</v>
      </c>
      <c r="FU34" s="445">
        <v>60</v>
      </c>
      <c r="FV34" s="445">
        <v>0</v>
      </c>
      <c r="FW34" s="502">
        <v>90</v>
      </c>
      <c r="FX34" s="448">
        <v>60</v>
      </c>
      <c r="FY34" s="445">
        <v>60</v>
      </c>
      <c r="FZ34" s="445">
        <v>20</v>
      </c>
      <c r="GA34" s="502">
        <v>0</v>
      </c>
      <c r="GB34" s="448">
        <v>50</v>
      </c>
      <c r="GC34" s="445">
        <v>0</v>
      </c>
      <c r="GD34" s="445">
        <v>50</v>
      </c>
      <c r="GE34" s="502">
        <v>0</v>
      </c>
      <c r="GF34" s="448">
        <v>24</v>
      </c>
      <c r="GG34" s="445">
        <v>0</v>
      </c>
      <c r="GH34" s="445">
        <v>0</v>
      </c>
      <c r="GI34" s="445">
        <v>0</v>
      </c>
      <c r="GJ34" s="503">
        <v>0</v>
      </c>
      <c r="GK34" s="447">
        <v>36</v>
      </c>
      <c r="GL34" s="445">
        <v>30</v>
      </c>
      <c r="GM34" s="445">
        <v>0</v>
      </c>
      <c r="GN34" s="504">
        <v>0</v>
      </c>
      <c r="GO34" s="447">
        <v>6</v>
      </c>
      <c r="GP34" s="445">
        <v>6</v>
      </c>
      <c r="GQ34" s="445">
        <v>6</v>
      </c>
      <c r="GR34" s="446">
        <v>6</v>
      </c>
      <c r="GS34" s="502">
        <v>6</v>
      </c>
      <c r="GT34" s="448">
        <v>12</v>
      </c>
      <c r="GU34" s="445">
        <v>12</v>
      </c>
      <c r="GV34" s="445">
        <v>6</v>
      </c>
      <c r="GW34" s="504">
        <v>6</v>
      </c>
      <c r="GX34" s="447">
        <v>6</v>
      </c>
      <c r="GY34" s="445">
        <v>0</v>
      </c>
      <c r="GZ34" s="445">
        <v>0</v>
      </c>
      <c r="HA34" s="504">
        <v>0</v>
      </c>
      <c r="HB34" s="447">
        <v>0</v>
      </c>
      <c r="HC34" s="445">
        <v>0</v>
      </c>
      <c r="HD34" s="445">
        <v>0</v>
      </c>
      <c r="HE34" s="445">
        <v>0</v>
      </c>
      <c r="HF34" s="502">
        <v>0</v>
      </c>
      <c r="HG34" s="447">
        <v>0</v>
      </c>
      <c r="HH34" s="450"/>
      <c r="HI34" s="445">
        <v>0</v>
      </c>
      <c r="HJ34" s="502">
        <v>0</v>
      </c>
      <c r="HK34" s="447">
        <v>12</v>
      </c>
      <c r="HL34" s="445">
        <v>0</v>
      </c>
      <c r="HM34" s="445">
        <v>0</v>
      </c>
      <c r="HN34" s="502">
        <v>0</v>
      </c>
      <c r="HO34" s="447">
        <v>12</v>
      </c>
      <c r="HP34" s="445">
        <v>12</v>
      </c>
      <c r="HQ34" s="445">
        <v>0</v>
      </c>
      <c r="HR34" s="502">
        <v>0</v>
      </c>
      <c r="HS34" s="447">
        <v>18</v>
      </c>
      <c r="HT34" s="445">
        <v>12</v>
      </c>
      <c r="HU34" s="445">
        <v>12</v>
      </c>
      <c r="HV34" s="502">
        <v>12</v>
      </c>
      <c r="HW34" s="451"/>
      <c r="HX34" s="445">
        <v>18</v>
      </c>
      <c r="HY34" s="445">
        <v>12</v>
      </c>
      <c r="HZ34" s="445">
        <v>12</v>
      </c>
      <c r="IA34" s="502">
        <v>0</v>
      </c>
      <c r="IB34" s="448">
        <v>18</v>
      </c>
      <c r="IC34" s="445">
        <v>0</v>
      </c>
      <c r="ID34" s="445">
        <v>0</v>
      </c>
      <c r="IE34" s="502">
        <v>0</v>
      </c>
      <c r="IF34" s="448">
        <v>12</v>
      </c>
      <c r="IG34" s="445">
        <v>0</v>
      </c>
      <c r="IH34" s="445">
        <v>0</v>
      </c>
      <c r="II34" s="445">
        <v>0</v>
      </c>
      <c r="IJ34" s="446">
        <v>0</v>
      </c>
      <c r="IK34" s="451"/>
      <c r="IL34" s="445">
        <v>18</v>
      </c>
      <c r="IM34" s="445">
        <v>12</v>
      </c>
      <c r="IN34" s="502">
        <v>0</v>
      </c>
      <c r="IO34" s="447">
        <v>18</v>
      </c>
      <c r="IP34" s="445">
        <v>12</v>
      </c>
      <c r="IQ34" s="445">
        <v>0</v>
      </c>
      <c r="IR34" s="502">
        <v>0</v>
      </c>
      <c r="IS34" s="447">
        <v>24</v>
      </c>
      <c r="IT34" s="445">
        <v>18</v>
      </c>
      <c r="IU34" s="445">
        <v>18</v>
      </c>
      <c r="IV34" s="446">
        <v>0</v>
      </c>
      <c r="IW34" s="447">
        <v>0</v>
      </c>
      <c r="IX34" s="448">
        <v>18</v>
      </c>
      <c r="IY34" s="445">
        <v>0</v>
      </c>
      <c r="IZ34" s="446">
        <v>0</v>
      </c>
      <c r="JA34" s="502">
        <v>24</v>
      </c>
      <c r="JB34" s="511">
        <v>6</v>
      </c>
      <c r="JC34" s="445">
        <v>0</v>
      </c>
      <c r="JD34" s="445">
        <v>0</v>
      </c>
      <c r="JE34" s="502">
        <v>0</v>
      </c>
      <c r="JF34" s="447">
        <v>18</v>
      </c>
      <c r="JG34" s="445">
        <v>12</v>
      </c>
      <c r="JH34" s="445">
        <v>0</v>
      </c>
      <c r="JI34" s="502">
        <v>0</v>
      </c>
      <c r="JJ34" s="451">
        <v>0</v>
      </c>
      <c r="JK34" s="445">
        <v>18</v>
      </c>
      <c r="JL34" s="445">
        <v>18</v>
      </c>
      <c r="JM34" s="502">
        <v>0</v>
      </c>
      <c r="JN34" s="447">
        <v>12</v>
      </c>
      <c r="JO34" s="445">
        <v>0</v>
      </c>
      <c r="JP34" s="445">
        <v>0</v>
      </c>
      <c r="JQ34" s="449">
        <v>0</v>
      </c>
      <c r="JR34" s="502">
        <v>0</v>
      </c>
      <c r="JS34" s="447">
        <v>12</v>
      </c>
      <c r="JT34" s="445">
        <v>0</v>
      </c>
      <c r="JU34" s="445">
        <v>0</v>
      </c>
      <c r="JV34" s="502">
        <v>0</v>
      </c>
      <c r="JW34" s="447">
        <v>18</v>
      </c>
      <c r="JX34" s="445">
        <v>0</v>
      </c>
      <c r="JY34" s="445">
        <v>0</v>
      </c>
      <c r="JZ34" s="502">
        <v>0</v>
      </c>
      <c r="KA34" s="447">
        <v>12</v>
      </c>
      <c r="KB34" s="445">
        <v>0</v>
      </c>
      <c r="KC34" s="445">
        <v>0</v>
      </c>
      <c r="KD34" s="446">
        <v>0</v>
      </c>
      <c r="KE34" s="502">
        <v>0</v>
      </c>
      <c r="KF34" s="447">
        <v>24</v>
      </c>
      <c r="KG34" s="445">
        <v>0</v>
      </c>
      <c r="KH34" s="445">
        <v>0</v>
      </c>
      <c r="KI34" s="502">
        <v>0</v>
      </c>
      <c r="KJ34" s="451">
        <v>0</v>
      </c>
      <c r="KK34" s="445">
        <v>24</v>
      </c>
      <c r="KL34" s="445">
        <v>0</v>
      </c>
      <c r="KM34" s="445">
        <v>0</v>
      </c>
      <c r="KN34" s="502">
        <v>0</v>
      </c>
    </row>
    <row r="35" spans="1:300" ht="36.75" customHeight="1" thickBot="1">
      <c r="A35" s="481"/>
      <c r="B35" s="494"/>
      <c r="C35" s="666"/>
      <c r="D35" s="596"/>
      <c r="E35" s="523"/>
      <c r="F35" s="599"/>
      <c r="G35" s="456" t="s">
        <v>18</v>
      </c>
      <c r="H35" s="475"/>
      <c r="I35" s="471"/>
      <c r="J35" s="471"/>
      <c r="K35" s="471"/>
      <c r="L35" s="471"/>
      <c r="M35" s="495"/>
      <c r="N35" s="495"/>
      <c r="O35" s="495"/>
      <c r="P35" s="495"/>
      <c r="Q35" s="495"/>
      <c r="R35" s="471"/>
      <c r="S35" s="471"/>
      <c r="T35" s="495"/>
      <c r="U35" s="495"/>
      <c r="V35" s="495"/>
      <c r="W35" s="495"/>
      <c r="X35" s="495"/>
      <c r="Y35" s="495"/>
      <c r="Z35" s="495"/>
      <c r="AA35" s="495"/>
      <c r="AB35" s="495"/>
      <c r="AC35" s="460">
        <f t="shared" ref="AC35" si="1115">AB35+AC34</f>
        <v>50</v>
      </c>
      <c r="AD35" s="461">
        <f t="shared" ref="AD35" si="1116">AC35+AD34</f>
        <v>90</v>
      </c>
      <c r="AE35" s="461">
        <f t="shared" ref="AE35" si="1117">AD35+AE34</f>
        <v>90</v>
      </c>
      <c r="AF35" s="461">
        <f t="shared" ref="AF35" si="1118">AE35+AF34</f>
        <v>94</v>
      </c>
      <c r="AG35" s="461">
        <f t="shared" ref="AG35:AH35" si="1119">AF35+AG34</f>
        <v>94</v>
      </c>
      <c r="AH35" s="461">
        <f t="shared" si="1119"/>
        <v>334</v>
      </c>
      <c r="AI35" s="462">
        <f>GA35</f>
        <v>384</v>
      </c>
      <c r="AJ35" s="461">
        <f t="shared" ref="AJ35" si="1120">AI35+AJ34</f>
        <v>484</v>
      </c>
      <c r="AK35" s="461">
        <f t="shared" ref="AK35" si="1121">AJ35+AK34</f>
        <v>508</v>
      </c>
      <c r="AL35" s="460">
        <f t="shared" ref="AL35:AM35" si="1122">AK35+AL34</f>
        <v>574</v>
      </c>
      <c r="AM35" s="463">
        <f t="shared" si="1122"/>
        <v>604</v>
      </c>
      <c r="AN35" s="464">
        <f t="shared" ref="AN35" si="1123">AM35+AN34</f>
        <v>640</v>
      </c>
      <c r="AO35" s="465">
        <f t="shared" ref="AO35" si="1124">AN35+AO34</f>
        <v>646</v>
      </c>
      <c r="AP35" s="466">
        <f t="shared" ref="AP35:AR35" si="1125">AO35+AP34</f>
        <v>646</v>
      </c>
      <c r="AQ35" s="466">
        <f t="shared" si="1125"/>
        <v>646</v>
      </c>
      <c r="AR35" s="466">
        <f t="shared" si="1125"/>
        <v>658</v>
      </c>
      <c r="AS35" s="466">
        <f t="shared" ref="AS35:AZ35" si="1126">AR35+AS34</f>
        <v>682</v>
      </c>
      <c r="AT35" s="466">
        <f t="shared" si="1126"/>
        <v>736</v>
      </c>
      <c r="AU35" s="466">
        <f t="shared" si="1126"/>
        <v>778</v>
      </c>
      <c r="AV35" s="466">
        <f t="shared" si="1126"/>
        <v>796</v>
      </c>
      <c r="AW35" s="466">
        <f t="shared" si="1126"/>
        <v>808</v>
      </c>
      <c r="AX35" s="466">
        <f t="shared" si="1126"/>
        <v>838</v>
      </c>
      <c r="AY35" s="466">
        <f t="shared" si="1126"/>
        <v>868</v>
      </c>
      <c r="AZ35" s="466">
        <f t="shared" si="1126"/>
        <v>928</v>
      </c>
      <c r="BA35" s="466">
        <f t="shared" ref="BA35" si="1127">AZ35+BA34</f>
        <v>970</v>
      </c>
      <c r="BB35" s="466">
        <f t="shared" ref="BB35" si="1128">BA35+BB34</f>
        <v>976</v>
      </c>
      <c r="BC35" s="466">
        <f t="shared" ref="BC35:BD35" si="1129">BB35+BC34</f>
        <v>1006</v>
      </c>
      <c r="BD35" s="466">
        <f t="shared" si="1129"/>
        <v>1042</v>
      </c>
      <c r="BE35" s="466">
        <f t="shared" ref="BE35:BF35" si="1130">BD35+BE34</f>
        <v>1054</v>
      </c>
      <c r="BF35" s="466">
        <f t="shared" si="1130"/>
        <v>1066</v>
      </c>
      <c r="BG35" s="466">
        <f t="shared" ref="BG35:BJ35" si="1131">BF35+BG34</f>
        <v>1084</v>
      </c>
      <c r="BH35" s="466">
        <f t="shared" si="1131"/>
        <v>1096</v>
      </c>
      <c r="BI35" s="466">
        <f t="shared" si="1131"/>
        <v>1120</v>
      </c>
      <c r="BJ35" s="466">
        <f t="shared" si="1131"/>
        <v>1144</v>
      </c>
      <c r="BK35" s="518"/>
      <c r="BL35" s="519"/>
      <c r="BM35" s="519"/>
      <c r="BN35" s="519"/>
      <c r="BO35" s="519"/>
      <c r="BP35" s="519"/>
      <c r="BQ35" s="519"/>
      <c r="BR35" s="519"/>
      <c r="BS35" s="519"/>
      <c r="BT35" s="519"/>
      <c r="BU35" s="519"/>
      <c r="BV35" s="519"/>
      <c r="BW35" s="520"/>
      <c r="BX35" s="519"/>
      <c r="BY35" s="519"/>
      <c r="BZ35" s="519"/>
      <c r="CA35" s="519"/>
      <c r="CB35" s="519"/>
      <c r="CC35" s="519"/>
      <c r="CD35" s="519"/>
      <c r="CE35" s="519"/>
      <c r="CF35" s="519"/>
      <c r="CG35" s="519"/>
      <c r="CH35" s="519"/>
      <c r="CI35" s="519"/>
      <c r="CJ35" s="519"/>
      <c r="CK35" s="519"/>
      <c r="CL35" s="519"/>
      <c r="CM35" s="519"/>
      <c r="CN35" s="519"/>
      <c r="CO35" s="519"/>
      <c r="CP35" s="519"/>
      <c r="CQ35" s="519"/>
      <c r="CR35" s="519"/>
      <c r="CS35" s="519"/>
      <c r="CT35" s="519"/>
      <c r="CU35" s="519"/>
      <c r="CV35" s="519"/>
      <c r="CW35" s="519"/>
      <c r="CX35" s="519"/>
      <c r="CY35" s="519"/>
      <c r="CZ35" s="519"/>
      <c r="DA35" s="519"/>
      <c r="DB35" s="519"/>
      <c r="DC35" s="519"/>
      <c r="DD35" s="519"/>
      <c r="DE35" s="519"/>
      <c r="DF35" s="519"/>
      <c r="DG35" s="519"/>
      <c r="DH35" s="519"/>
      <c r="DI35" s="519"/>
      <c r="DJ35" s="519"/>
      <c r="DK35" s="519"/>
      <c r="DL35" s="519"/>
      <c r="DM35" s="519"/>
      <c r="DN35" s="519"/>
      <c r="DO35" s="519"/>
      <c r="DP35" s="519"/>
      <c r="DQ35" s="519"/>
      <c r="DR35" s="519"/>
      <c r="DS35" s="519"/>
      <c r="DT35" s="519"/>
      <c r="DU35" s="519"/>
      <c r="DV35" s="519"/>
      <c r="DW35" s="519"/>
      <c r="DX35" s="519"/>
      <c r="DY35" s="519"/>
      <c r="DZ35" s="519"/>
      <c r="EA35" s="519"/>
      <c r="EB35" s="519"/>
      <c r="EC35" s="519"/>
      <c r="ED35" s="519"/>
      <c r="EE35" s="519"/>
      <c r="EF35" s="519"/>
      <c r="EG35" s="519"/>
      <c r="EH35" s="519"/>
      <c r="EI35" s="519"/>
      <c r="EJ35" s="519"/>
      <c r="EK35" s="519"/>
      <c r="EL35" s="519"/>
      <c r="EM35" s="519"/>
      <c r="EN35" s="519"/>
      <c r="EO35" s="519"/>
      <c r="EP35" s="519"/>
      <c r="EQ35" s="519"/>
      <c r="ER35" s="519"/>
      <c r="ES35" s="519"/>
      <c r="ET35" s="519"/>
      <c r="EU35" s="519"/>
      <c r="EV35" s="519"/>
      <c r="EW35" s="521"/>
      <c r="EX35" s="463">
        <f t="shared" ref="EX35" si="1132">EW35+EX34</f>
        <v>0</v>
      </c>
      <c r="EY35" s="461">
        <f t="shared" ref="EY35" si="1133">EX35+EY34</f>
        <v>0</v>
      </c>
      <c r="EZ35" s="461">
        <f t="shared" ref="EZ35" si="1134">EY35+EZ34</f>
        <v>0</v>
      </c>
      <c r="FA35" s="492">
        <f t="shared" ref="FA35" si="1135">EZ35+FA34</f>
        <v>0</v>
      </c>
      <c r="FB35" s="463">
        <f t="shared" ref="FB35" si="1136">FA35+FB34</f>
        <v>0</v>
      </c>
      <c r="FC35" s="461">
        <f t="shared" ref="FC35" si="1137">FB35+FC34</f>
        <v>0</v>
      </c>
      <c r="FD35" s="461">
        <f t="shared" ref="FD35" si="1138">FC35+FD34</f>
        <v>0</v>
      </c>
      <c r="FE35" s="461">
        <f t="shared" ref="FE35" si="1139">FD35+FE34</f>
        <v>0</v>
      </c>
      <c r="FF35" s="492">
        <f t="shared" ref="FF35" si="1140">FE35+FF34</f>
        <v>0</v>
      </c>
      <c r="FG35" s="464">
        <f t="shared" ref="FG35" si="1141">FF35+FG34</f>
        <v>0</v>
      </c>
      <c r="FH35" s="461">
        <f t="shared" ref="FH35" si="1142">FG35+FH34</f>
        <v>0</v>
      </c>
      <c r="FI35" s="461">
        <f t="shared" ref="FI35" si="1143">FH35+FI34</f>
        <v>0</v>
      </c>
      <c r="FJ35" s="492">
        <f t="shared" ref="FJ35" si="1144">FI35+FJ34</f>
        <v>0</v>
      </c>
      <c r="FK35" s="464">
        <f t="shared" ref="FK35" si="1145">FJ35+FK34</f>
        <v>0</v>
      </c>
      <c r="FL35" s="461">
        <f t="shared" ref="FL35" si="1146">FK35+FL34</f>
        <v>4</v>
      </c>
      <c r="FM35" s="461">
        <f t="shared" ref="FM35" si="1147">FL35+FM34</f>
        <v>4</v>
      </c>
      <c r="FN35" s="492">
        <f t="shared" ref="FN35" si="1148">FM35+FN34</f>
        <v>4</v>
      </c>
      <c r="FO35" s="464">
        <f t="shared" ref="FO35" si="1149">FN35+FO34</f>
        <v>4</v>
      </c>
      <c r="FP35" s="461">
        <f t="shared" ref="FP35" si="1150">FO35+FP34</f>
        <v>4</v>
      </c>
      <c r="FQ35" s="461">
        <f t="shared" ref="FQ35" si="1151">FP35+FQ34</f>
        <v>4</v>
      </c>
      <c r="FR35" s="492">
        <f t="shared" ref="FR35" si="1152">FQ35+FR34</f>
        <v>4</v>
      </c>
      <c r="FS35" s="464">
        <f t="shared" ref="FS35" si="1153">FR35+FS34</f>
        <v>94</v>
      </c>
      <c r="FT35" s="461">
        <f t="shared" ref="FT35" si="1154">FS35+FT34</f>
        <v>94</v>
      </c>
      <c r="FU35" s="461">
        <f t="shared" ref="FU35" si="1155">FT35+FU34</f>
        <v>154</v>
      </c>
      <c r="FV35" s="461">
        <f t="shared" ref="FV35" si="1156">FU35+FV34</f>
        <v>154</v>
      </c>
      <c r="FW35" s="492">
        <f t="shared" ref="FW35" si="1157">FV35+FW34</f>
        <v>244</v>
      </c>
      <c r="FX35" s="464">
        <f t="shared" ref="FX35" si="1158">FW35+FX34</f>
        <v>304</v>
      </c>
      <c r="FY35" s="461">
        <f t="shared" ref="FY35" si="1159">FX35+FY34</f>
        <v>364</v>
      </c>
      <c r="FZ35" s="461">
        <f t="shared" ref="FZ35" si="1160">FY35+FZ34</f>
        <v>384</v>
      </c>
      <c r="GA35" s="492">
        <f t="shared" ref="GA35" si="1161">FZ35+GA34</f>
        <v>384</v>
      </c>
      <c r="GB35" s="464">
        <f t="shared" ref="GB35" si="1162">GA35+GB34</f>
        <v>434</v>
      </c>
      <c r="GC35" s="461">
        <f t="shared" ref="GC35" si="1163">GB35+GC34</f>
        <v>434</v>
      </c>
      <c r="GD35" s="461">
        <f t="shared" ref="GD35" si="1164">GC35+GD34</f>
        <v>484</v>
      </c>
      <c r="GE35" s="492">
        <f t="shared" ref="GE35" si="1165">GD35+GE34</f>
        <v>484</v>
      </c>
      <c r="GF35" s="464">
        <f t="shared" ref="GF35" si="1166">GE35+GF34</f>
        <v>508</v>
      </c>
      <c r="GG35" s="461">
        <f t="shared" ref="GG35" si="1167">GF35+GG34</f>
        <v>508</v>
      </c>
      <c r="GH35" s="461">
        <f t="shared" ref="GH35" si="1168">GG35+GH34</f>
        <v>508</v>
      </c>
      <c r="GI35" s="461">
        <f t="shared" ref="GI35" si="1169">GH35+GI34</f>
        <v>508</v>
      </c>
      <c r="GJ35" s="496">
        <f t="shared" ref="GJ35" si="1170">GI35+GJ34</f>
        <v>508</v>
      </c>
      <c r="GK35" s="463">
        <f t="shared" ref="GK35" si="1171">GJ35+GK34</f>
        <v>544</v>
      </c>
      <c r="GL35" s="461">
        <f t="shared" ref="GL35" si="1172">GK35+GL34</f>
        <v>574</v>
      </c>
      <c r="GM35" s="461">
        <f t="shared" ref="GM35" si="1173">GL35+GM34</f>
        <v>574</v>
      </c>
      <c r="GN35" s="497">
        <f t="shared" ref="GN35" si="1174">GM35+GN34</f>
        <v>574</v>
      </c>
      <c r="GO35" s="463">
        <f t="shared" ref="GO35" si="1175">GN35+GO34</f>
        <v>580</v>
      </c>
      <c r="GP35" s="461">
        <f t="shared" ref="GP35" si="1176">GO35+GP34</f>
        <v>586</v>
      </c>
      <c r="GQ35" s="461">
        <f t="shared" ref="GQ35" si="1177">GP35+GQ34</f>
        <v>592</v>
      </c>
      <c r="GR35" s="460">
        <f t="shared" ref="GR35" si="1178">GQ35+GR34</f>
        <v>598</v>
      </c>
      <c r="GS35" s="492">
        <f t="shared" ref="GS35" si="1179">GR35+GS34</f>
        <v>604</v>
      </c>
      <c r="GT35" s="464">
        <f t="shared" ref="GT35" si="1180">GS35+GT34</f>
        <v>616</v>
      </c>
      <c r="GU35" s="461">
        <f t="shared" ref="GU35" si="1181">GT35+GU34</f>
        <v>628</v>
      </c>
      <c r="GV35" s="461">
        <f t="shared" ref="GV35" si="1182">GU35+GV34</f>
        <v>634</v>
      </c>
      <c r="GW35" s="497">
        <f t="shared" ref="GW35" si="1183">GV35+GW34</f>
        <v>640</v>
      </c>
      <c r="GX35" s="498">
        <f t="shared" ref="GX35" si="1184">GW35+GX34</f>
        <v>646</v>
      </c>
      <c r="GY35" s="466">
        <f t="shared" ref="GY35" si="1185">GX35+GY34</f>
        <v>646</v>
      </c>
      <c r="GZ35" s="466">
        <f t="shared" ref="GZ35" si="1186">GY35+GZ34</f>
        <v>646</v>
      </c>
      <c r="HA35" s="499">
        <f t="shared" ref="HA35" si="1187">GZ35+HA34</f>
        <v>646</v>
      </c>
      <c r="HB35" s="498">
        <f t="shared" ref="HB35" si="1188">HA35+HB34</f>
        <v>646</v>
      </c>
      <c r="HC35" s="466">
        <f t="shared" ref="HC35" si="1189">HB35+HC34</f>
        <v>646</v>
      </c>
      <c r="HD35" s="466">
        <f t="shared" ref="HD35" si="1190">HC35+HD34</f>
        <v>646</v>
      </c>
      <c r="HE35" s="466">
        <f t="shared" ref="HE35" si="1191">HD35+HE34</f>
        <v>646</v>
      </c>
      <c r="HF35" s="500">
        <f t="shared" ref="HF35" si="1192">HE35+HF34</f>
        <v>646</v>
      </c>
      <c r="HG35" s="498">
        <f t="shared" ref="HG35" si="1193">HF35+HG34</f>
        <v>646</v>
      </c>
      <c r="HH35" s="466">
        <f t="shared" ref="HH35" si="1194">HG35+HH34</f>
        <v>646</v>
      </c>
      <c r="HI35" s="466">
        <f t="shared" ref="HI35" si="1195">HH35+HI34</f>
        <v>646</v>
      </c>
      <c r="HJ35" s="500">
        <f t="shared" ref="HJ35:HN35" si="1196">HI35+HJ34</f>
        <v>646</v>
      </c>
      <c r="HK35" s="476">
        <f t="shared" si="1196"/>
        <v>658</v>
      </c>
      <c r="HL35" s="477">
        <f t="shared" si="1196"/>
        <v>658</v>
      </c>
      <c r="HM35" s="477">
        <f t="shared" si="1196"/>
        <v>658</v>
      </c>
      <c r="HN35" s="478">
        <f t="shared" si="1196"/>
        <v>658</v>
      </c>
      <c r="HO35" s="476">
        <f t="shared" ref="HO35" si="1197">HN35+HO34</f>
        <v>670</v>
      </c>
      <c r="HP35" s="477">
        <f t="shared" ref="HP35" si="1198">HO35+HP34</f>
        <v>682</v>
      </c>
      <c r="HQ35" s="477">
        <f t="shared" ref="HQ35" si="1199">HP35+HQ34</f>
        <v>682</v>
      </c>
      <c r="HR35" s="478">
        <f t="shared" ref="HR35" si="1200">HQ35+HR34</f>
        <v>682</v>
      </c>
      <c r="HS35" s="476">
        <f t="shared" ref="HS35" si="1201">HR35+HS34</f>
        <v>700</v>
      </c>
      <c r="HT35" s="477">
        <f t="shared" ref="HT35" si="1202">HS35+HT34</f>
        <v>712</v>
      </c>
      <c r="HU35" s="477">
        <f t="shared" ref="HU35" si="1203">HT35+HU34</f>
        <v>724</v>
      </c>
      <c r="HV35" s="478">
        <f t="shared" ref="HV35" si="1204">HU35+HV34</f>
        <v>736</v>
      </c>
      <c r="HW35" s="476">
        <f t="shared" ref="HW35" si="1205">HV35+HW34</f>
        <v>736</v>
      </c>
      <c r="HX35" s="477">
        <f t="shared" ref="HX35" si="1206">HW35+HX34</f>
        <v>754</v>
      </c>
      <c r="HY35" s="477">
        <f t="shared" ref="HY35" si="1207">HX35+HY34</f>
        <v>766</v>
      </c>
      <c r="HZ35" s="477">
        <f t="shared" ref="HZ35" si="1208">HY35+HZ34</f>
        <v>778</v>
      </c>
      <c r="IA35" s="478">
        <f t="shared" ref="IA35" si="1209">HZ35+IA34</f>
        <v>778</v>
      </c>
      <c r="IB35" s="479">
        <f t="shared" ref="IB35" si="1210">IA35+IB34</f>
        <v>796</v>
      </c>
      <c r="IC35" s="477">
        <f t="shared" ref="IC35" si="1211">IB35+IC34</f>
        <v>796</v>
      </c>
      <c r="ID35" s="477">
        <f t="shared" ref="ID35" si="1212">IC35+ID34</f>
        <v>796</v>
      </c>
      <c r="IE35" s="478">
        <f>ID35+IE34</f>
        <v>796</v>
      </c>
      <c r="IF35" s="479">
        <f t="shared" ref="IF35" si="1213">IE35+IF34</f>
        <v>808</v>
      </c>
      <c r="IG35" s="477">
        <f t="shared" ref="IG35" si="1214">IF35+IG34</f>
        <v>808</v>
      </c>
      <c r="IH35" s="477">
        <f t="shared" ref="IH35" si="1215">IG35+IH34</f>
        <v>808</v>
      </c>
      <c r="II35" s="477">
        <f t="shared" ref="II35" si="1216">IH35+II34</f>
        <v>808</v>
      </c>
      <c r="IJ35" s="480">
        <f t="shared" ref="IJ35" si="1217">II35+IJ34</f>
        <v>808</v>
      </c>
      <c r="IK35" s="476">
        <f t="shared" ref="IK35" si="1218">IJ35+IK34</f>
        <v>808</v>
      </c>
      <c r="IL35" s="477">
        <f t="shared" ref="IL35" si="1219">IK35+IL34</f>
        <v>826</v>
      </c>
      <c r="IM35" s="477">
        <f t="shared" ref="IM35" si="1220">IL35+IM34</f>
        <v>838</v>
      </c>
      <c r="IN35" s="478">
        <f t="shared" ref="IN35" si="1221">IM35+IN34</f>
        <v>838</v>
      </c>
      <c r="IO35" s="476">
        <f t="shared" ref="IO35" si="1222">IN35+IO34</f>
        <v>856</v>
      </c>
      <c r="IP35" s="477">
        <f t="shared" ref="IP35" si="1223">IO35+IP34</f>
        <v>868</v>
      </c>
      <c r="IQ35" s="477">
        <f t="shared" ref="IQ35" si="1224">IP35+IQ34</f>
        <v>868</v>
      </c>
      <c r="IR35" s="478">
        <f t="shared" ref="IR35" si="1225">IQ35+IR34</f>
        <v>868</v>
      </c>
      <c r="IS35" s="476">
        <f t="shared" ref="IS35" si="1226">IR35+IS34</f>
        <v>892</v>
      </c>
      <c r="IT35" s="477">
        <f t="shared" ref="IT35" si="1227">IS35+IT34</f>
        <v>910</v>
      </c>
      <c r="IU35" s="477">
        <f t="shared" ref="IU35" si="1228">IT35+IU34</f>
        <v>928</v>
      </c>
      <c r="IV35" s="480">
        <f t="shared" ref="IV35:IW35" si="1229">IU35+IV34</f>
        <v>928</v>
      </c>
      <c r="IW35" s="476">
        <f t="shared" si="1229"/>
        <v>928</v>
      </c>
      <c r="IX35" s="479">
        <f t="shared" ref="IX35" si="1230">IW35+IX34</f>
        <v>946</v>
      </c>
      <c r="IY35" s="477">
        <f t="shared" ref="IY35" si="1231">IX35+IY34</f>
        <v>946</v>
      </c>
      <c r="IZ35" s="480">
        <f t="shared" ref="IZ35" si="1232">IY35+IZ34</f>
        <v>946</v>
      </c>
      <c r="JA35" s="478">
        <f t="shared" ref="JA35" si="1233">IZ35+JA34</f>
        <v>970</v>
      </c>
      <c r="JB35" s="476">
        <f t="shared" ref="JB35" si="1234">JA35+JB34</f>
        <v>976</v>
      </c>
      <c r="JC35" s="477">
        <f t="shared" ref="JC35" si="1235">JB35+JC34</f>
        <v>976</v>
      </c>
      <c r="JD35" s="477">
        <f t="shared" ref="JD35" si="1236">JC35+JD34</f>
        <v>976</v>
      </c>
      <c r="JE35" s="478">
        <f t="shared" ref="JE35" si="1237">JD35+JE34</f>
        <v>976</v>
      </c>
      <c r="JF35" s="476">
        <f t="shared" ref="JF35" si="1238">JE35+JF34</f>
        <v>994</v>
      </c>
      <c r="JG35" s="477">
        <f t="shared" ref="JG35" si="1239">JF35+JG34</f>
        <v>1006</v>
      </c>
      <c r="JH35" s="477">
        <f t="shared" ref="JH35" si="1240">JG35+JH34</f>
        <v>1006</v>
      </c>
      <c r="JI35" s="478">
        <f t="shared" ref="JI35" si="1241">JH35+JI34</f>
        <v>1006</v>
      </c>
      <c r="JJ35" s="611">
        <f t="shared" ref="JJ35" si="1242">JI35+JJ34</f>
        <v>1006</v>
      </c>
      <c r="JK35" s="477">
        <f t="shared" ref="JK35" si="1243">JJ35+JK34</f>
        <v>1024</v>
      </c>
      <c r="JL35" s="477">
        <f t="shared" ref="JL35" si="1244">JK35+JL34</f>
        <v>1042</v>
      </c>
      <c r="JM35" s="478">
        <f t="shared" ref="JM35" si="1245">JL35+JM34</f>
        <v>1042</v>
      </c>
      <c r="JN35" s="476">
        <f>JM35+JN34</f>
        <v>1054</v>
      </c>
      <c r="JO35" s="477">
        <f>JN35+JO34</f>
        <v>1054</v>
      </c>
      <c r="JP35" s="477">
        <f>JO35+JP34</f>
        <v>1054</v>
      </c>
      <c r="JQ35" s="613">
        <f t="shared" ref="JQ35" si="1246">JP35+JQ34</f>
        <v>1054</v>
      </c>
      <c r="JR35" s="478">
        <f t="shared" ref="JR35" si="1247">JQ35+JR34</f>
        <v>1054</v>
      </c>
      <c r="JS35" s="476">
        <f>JR35+JS34</f>
        <v>1066</v>
      </c>
      <c r="JT35" s="477">
        <f>JS35+JT34</f>
        <v>1066</v>
      </c>
      <c r="JU35" s="477">
        <f>JT35+JU34</f>
        <v>1066</v>
      </c>
      <c r="JV35" s="478">
        <f t="shared" ref="JV35" si="1248">JU35+JV34</f>
        <v>1066</v>
      </c>
      <c r="JW35" s="476">
        <f>JV35+JW34</f>
        <v>1084</v>
      </c>
      <c r="JX35" s="477">
        <f>JW35+JX34</f>
        <v>1084</v>
      </c>
      <c r="JY35" s="477">
        <f>JX35+JY34</f>
        <v>1084</v>
      </c>
      <c r="JZ35" s="478">
        <f t="shared" ref="JZ35:KE35" si="1249">JY35+JZ34</f>
        <v>1084</v>
      </c>
      <c r="KA35" s="476">
        <f t="shared" si="1249"/>
        <v>1096</v>
      </c>
      <c r="KB35" s="477">
        <f t="shared" si="1249"/>
        <v>1096</v>
      </c>
      <c r="KC35" s="477">
        <f t="shared" si="1249"/>
        <v>1096</v>
      </c>
      <c r="KD35" s="480">
        <f t="shared" si="1249"/>
        <v>1096</v>
      </c>
      <c r="KE35" s="478">
        <f t="shared" si="1249"/>
        <v>1096</v>
      </c>
      <c r="KF35" s="476">
        <f t="shared" ref="KF35" si="1250">KE35+KF34</f>
        <v>1120</v>
      </c>
      <c r="KG35" s="477">
        <f t="shared" ref="KG35" si="1251">KF35+KG34</f>
        <v>1120</v>
      </c>
      <c r="KH35" s="477">
        <f t="shared" ref="KH35" si="1252">KG35+KH34</f>
        <v>1120</v>
      </c>
      <c r="KI35" s="478">
        <f t="shared" ref="KI35" si="1253">KH35+KI34</f>
        <v>1120</v>
      </c>
      <c r="KJ35" s="611">
        <f t="shared" ref="KJ35" si="1254">KI35+KJ34</f>
        <v>1120</v>
      </c>
      <c r="KK35" s="477">
        <f t="shared" ref="KK35" si="1255">KJ35+KK34</f>
        <v>1144</v>
      </c>
      <c r="KL35" s="477">
        <f t="shared" ref="KL35:KM35" si="1256">KK35+KL34</f>
        <v>1144</v>
      </c>
      <c r="KM35" s="477">
        <f t="shared" si="1256"/>
        <v>1144</v>
      </c>
      <c r="KN35" s="478">
        <f t="shared" ref="KN35" si="1257">KL35+KN34</f>
        <v>1144</v>
      </c>
    </row>
    <row r="36" spans="1:300" ht="36.75" customHeight="1">
      <c r="A36" s="481"/>
      <c r="B36" s="494"/>
      <c r="C36" s="667">
        <v>7</v>
      </c>
      <c r="D36" s="595" t="s">
        <v>200</v>
      </c>
      <c r="E36" s="523" t="s">
        <v>140</v>
      </c>
      <c r="F36" s="598" t="s">
        <v>148</v>
      </c>
      <c r="G36" s="440" t="s">
        <v>17</v>
      </c>
      <c r="H36" s="475"/>
      <c r="I36" s="471"/>
      <c r="J36" s="471"/>
      <c r="K36" s="471"/>
      <c r="L36" s="471"/>
      <c r="M36" s="495"/>
      <c r="N36" s="495"/>
      <c r="O36" s="495"/>
      <c r="P36" s="495"/>
      <c r="Q36" s="495"/>
      <c r="R36" s="471"/>
      <c r="S36" s="471"/>
      <c r="T36" s="495"/>
      <c r="U36" s="495"/>
      <c r="V36" s="495"/>
      <c r="W36" s="495"/>
      <c r="X36" s="495"/>
      <c r="Y36" s="495"/>
      <c r="Z36" s="495"/>
      <c r="AA36" s="495"/>
      <c r="AB36" s="495"/>
      <c r="AC36" s="483">
        <f>SUBTOTAL(9,EX36:FA36)</f>
        <v>0</v>
      </c>
      <c r="AD36" s="445">
        <f>SUBTOTAL(9,FB36:FF36)</f>
        <v>0</v>
      </c>
      <c r="AE36" s="445">
        <f>SUBTOTAL(9,FG36:FJ36)</f>
        <v>0</v>
      </c>
      <c r="AF36" s="445">
        <f>SUBTOTAL(9,FK36:FN36)</f>
        <v>0</v>
      </c>
      <c r="AG36" s="445">
        <f>SUBTOTAL(9,FO36:FR36)</f>
        <v>0</v>
      </c>
      <c r="AH36" s="445">
        <f>SUBTOTAL(9,FS36:FW36)</f>
        <v>0</v>
      </c>
      <c r="AI36" s="445">
        <f>SUBTOTAL(9,FX36:GA36)</f>
        <v>0</v>
      </c>
      <c r="AJ36" s="445">
        <f>SUBTOTAL(9,GB36:GE36)</f>
        <v>0</v>
      </c>
      <c r="AK36" s="445">
        <f>SUBTOTAL(9,GF36:GJ36)</f>
        <v>0</v>
      </c>
      <c r="AL36" s="445">
        <f>SUBTOTAL(9,GK36:GN36)</f>
        <v>0</v>
      </c>
      <c r="AM36" s="443">
        <f>SUBTOTAL(9,GO36:GS36)</f>
        <v>0</v>
      </c>
      <c r="AN36" s="493">
        <f>SUBTOTAL(9,GT36:GW36)</f>
        <v>0</v>
      </c>
      <c r="AO36" s="449">
        <f>SUM(GX36:HA36)</f>
        <v>0</v>
      </c>
      <c r="AP36" s="450">
        <f>SUM(HB36:HF36)</f>
        <v>0</v>
      </c>
      <c r="AQ36" s="450">
        <f>SUM(HG36:HJ36)</f>
        <v>0</v>
      </c>
      <c r="AR36" s="450">
        <f>SUM(HK36:HN36)</f>
        <v>0</v>
      </c>
      <c r="AS36" s="450">
        <f>SUM(HO36:HR36)</f>
        <v>0</v>
      </c>
      <c r="AT36" s="450">
        <f>SUM(HS36:HV36)</f>
        <v>0</v>
      </c>
      <c r="AU36" s="450">
        <f>SUM(HW36:IA36)</f>
        <v>0</v>
      </c>
      <c r="AV36" s="445">
        <f>SUM(IB36:IE36)</f>
        <v>0</v>
      </c>
      <c r="AW36" s="445">
        <f t="shared" ref="AW36" si="1258">SUM(IF36:IJ36)</f>
        <v>0</v>
      </c>
      <c r="AX36" s="446">
        <f t="shared" ref="AX36" si="1259">SUM(IK36:IN36)</f>
        <v>180</v>
      </c>
      <c r="AY36" s="446">
        <f t="shared" ref="AY36" si="1260">SUM(IO36:IR36)</f>
        <v>612</v>
      </c>
      <c r="AZ36" s="446">
        <f t="shared" ref="AZ36" si="1261">SUM(IS36:IV36)</f>
        <v>150</v>
      </c>
      <c r="BA36" s="446">
        <f t="shared" ref="BA36" si="1262">SUM(IW36:JA36)</f>
        <v>576</v>
      </c>
      <c r="BB36" s="446">
        <f t="shared" ref="BB36" si="1263">SUM(JB36:JE36)</f>
        <v>264</v>
      </c>
      <c r="BC36" s="446">
        <f t="shared" ref="BC36" si="1264">SUM(JF36:JI36)</f>
        <v>120</v>
      </c>
      <c r="BD36" s="446">
        <f t="shared" ref="BD36" si="1265">SUM(JJ36:JM36)</f>
        <v>132</v>
      </c>
      <c r="BE36" s="446">
        <f t="shared" ref="BE36" si="1266">SUM(JN36:JR36)</f>
        <v>192</v>
      </c>
      <c r="BF36" s="446">
        <f t="shared" ref="BF36" si="1267">SUM(JS36:JV36)</f>
        <v>216</v>
      </c>
      <c r="BG36" s="446">
        <f t="shared" ref="BG36" si="1268">SUM(JW36:JZ36)</f>
        <v>216</v>
      </c>
      <c r="BH36" s="446">
        <f t="shared" ref="BH36" si="1269">SUM(KA36:KE36)</f>
        <v>210</v>
      </c>
      <c r="BI36" s="446">
        <f t="shared" ref="BI36" si="1270">SUM(KF36:KI36)</f>
        <v>216</v>
      </c>
      <c r="BJ36" s="446">
        <f t="shared" ref="BJ36" si="1271">SUM(KJ36:KN36)</f>
        <v>246</v>
      </c>
      <c r="BK36" s="534"/>
      <c r="BL36" s="535"/>
      <c r="BM36" s="535"/>
      <c r="BN36" s="535"/>
      <c r="BO36" s="535"/>
      <c r="BP36" s="535"/>
      <c r="BQ36" s="535"/>
      <c r="BR36" s="535"/>
      <c r="BS36" s="535"/>
      <c r="BT36" s="535"/>
      <c r="BU36" s="535"/>
      <c r="BV36" s="535"/>
      <c r="BW36" s="535"/>
      <c r="BX36" s="535"/>
      <c r="BY36" s="535"/>
      <c r="BZ36" s="535"/>
      <c r="CA36" s="535"/>
      <c r="CB36" s="535"/>
      <c r="CC36" s="535"/>
      <c r="CD36" s="535"/>
      <c r="CE36" s="535"/>
      <c r="CF36" s="535"/>
      <c r="CG36" s="535"/>
      <c r="CH36" s="535"/>
      <c r="CI36" s="535"/>
      <c r="CJ36" s="535"/>
      <c r="CK36" s="535"/>
      <c r="CL36" s="535"/>
      <c r="CM36" s="535"/>
      <c r="CN36" s="535"/>
      <c r="CO36" s="535"/>
      <c r="CP36" s="535"/>
      <c r="CQ36" s="535"/>
      <c r="CR36" s="535"/>
      <c r="CS36" s="535"/>
      <c r="CT36" s="535"/>
      <c r="CU36" s="535"/>
      <c r="CV36" s="535"/>
      <c r="CW36" s="535"/>
      <c r="CX36" s="535"/>
      <c r="CY36" s="535"/>
      <c r="CZ36" s="535"/>
      <c r="DA36" s="535"/>
      <c r="DB36" s="535"/>
      <c r="DC36" s="535"/>
      <c r="DD36" s="535"/>
      <c r="DE36" s="535"/>
      <c r="DF36" s="535"/>
      <c r="DG36" s="535"/>
      <c r="DH36" s="535"/>
      <c r="DI36" s="535"/>
      <c r="DJ36" s="535"/>
      <c r="DK36" s="535"/>
      <c r="DL36" s="535"/>
      <c r="DM36" s="535"/>
      <c r="DN36" s="535"/>
      <c r="DO36" s="535"/>
      <c r="DP36" s="535"/>
      <c r="DQ36" s="535"/>
      <c r="DR36" s="535"/>
      <c r="DS36" s="535"/>
      <c r="DT36" s="535"/>
      <c r="DU36" s="535"/>
      <c r="DV36" s="535"/>
      <c r="DW36" s="535"/>
      <c r="DX36" s="535"/>
      <c r="DY36" s="535"/>
      <c r="DZ36" s="535"/>
      <c r="EA36" s="535"/>
      <c r="EB36" s="535"/>
      <c r="EC36" s="535"/>
      <c r="ED36" s="535"/>
      <c r="EE36" s="535"/>
      <c r="EF36" s="535"/>
      <c r="EG36" s="535"/>
      <c r="EH36" s="535"/>
      <c r="EI36" s="535"/>
      <c r="EJ36" s="535"/>
      <c r="EK36" s="535"/>
      <c r="EL36" s="535"/>
      <c r="EM36" s="535"/>
      <c r="EN36" s="535"/>
      <c r="EO36" s="535"/>
      <c r="EP36" s="535"/>
      <c r="EQ36" s="535"/>
      <c r="ER36" s="535"/>
      <c r="ES36" s="535"/>
      <c r="ET36" s="535"/>
      <c r="EU36" s="535"/>
      <c r="EV36" s="535"/>
      <c r="EW36" s="536"/>
      <c r="EX36" s="451">
        <v>0</v>
      </c>
      <c r="EY36" s="450">
        <v>0</v>
      </c>
      <c r="EZ36" s="450">
        <v>0</v>
      </c>
      <c r="FA36" s="452">
        <v>0</v>
      </c>
      <c r="FB36" s="451">
        <v>0</v>
      </c>
      <c r="FC36" s="450">
        <v>0</v>
      </c>
      <c r="FD36" s="450">
        <v>0</v>
      </c>
      <c r="FE36" s="450">
        <v>0</v>
      </c>
      <c r="FF36" s="452">
        <v>0</v>
      </c>
      <c r="FG36" s="453">
        <v>0</v>
      </c>
      <c r="FH36" s="450">
        <v>0</v>
      </c>
      <c r="FI36" s="450">
        <v>0</v>
      </c>
      <c r="FJ36" s="452">
        <v>0</v>
      </c>
      <c r="FK36" s="453">
        <v>0</v>
      </c>
      <c r="FL36" s="450">
        <v>0</v>
      </c>
      <c r="FM36" s="450">
        <v>0</v>
      </c>
      <c r="FN36" s="452">
        <v>0</v>
      </c>
      <c r="FO36" s="453">
        <v>0</v>
      </c>
      <c r="FP36" s="450">
        <v>0</v>
      </c>
      <c r="FQ36" s="450">
        <v>0</v>
      </c>
      <c r="FR36" s="452">
        <v>0</v>
      </c>
      <c r="FS36" s="453">
        <v>0</v>
      </c>
      <c r="FT36" s="450">
        <v>0</v>
      </c>
      <c r="FU36" s="450">
        <v>0</v>
      </c>
      <c r="FV36" s="450">
        <v>0</v>
      </c>
      <c r="FW36" s="452">
        <v>0</v>
      </c>
      <c r="FX36" s="453">
        <v>0</v>
      </c>
      <c r="FY36" s="450">
        <v>0</v>
      </c>
      <c r="FZ36" s="450">
        <v>0</v>
      </c>
      <c r="GA36" s="452">
        <v>0</v>
      </c>
      <c r="GB36" s="453">
        <v>0</v>
      </c>
      <c r="GC36" s="450">
        <v>0</v>
      </c>
      <c r="GD36" s="450">
        <v>0</v>
      </c>
      <c r="GE36" s="452">
        <v>0</v>
      </c>
      <c r="GF36" s="453">
        <v>0</v>
      </c>
      <c r="GG36" s="450">
        <v>0</v>
      </c>
      <c r="GH36" s="450">
        <v>0</v>
      </c>
      <c r="GI36" s="450">
        <v>0</v>
      </c>
      <c r="GJ36" s="484">
        <v>0</v>
      </c>
      <c r="GK36" s="451">
        <v>0</v>
      </c>
      <c r="GL36" s="450">
        <v>0</v>
      </c>
      <c r="GM36" s="450">
        <v>0</v>
      </c>
      <c r="GN36" s="485">
        <v>0</v>
      </c>
      <c r="GO36" s="451">
        <v>0</v>
      </c>
      <c r="GP36" s="450">
        <v>0</v>
      </c>
      <c r="GQ36" s="450">
        <v>0</v>
      </c>
      <c r="GR36" s="449">
        <v>0</v>
      </c>
      <c r="GS36" s="452"/>
      <c r="GT36" s="453">
        <v>0</v>
      </c>
      <c r="GU36" s="450">
        <v>0</v>
      </c>
      <c r="GV36" s="450">
        <v>0</v>
      </c>
      <c r="GW36" s="485">
        <v>0</v>
      </c>
      <c r="GX36" s="451"/>
      <c r="GY36" s="450"/>
      <c r="GZ36" s="450"/>
      <c r="HA36" s="485"/>
      <c r="HB36" s="451"/>
      <c r="HC36" s="450"/>
      <c r="HD36" s="450"/>
      <c r="HE36" s="450"/>
      <c r="HF36" s="452"/>
      <c r="HG36" s="451"/>
      <c r="HH36" s="450"/>
      <c r="HI36" s="450"/>
      <c r="HJ36" s="452"/>
      <c r="HK36" s="451"/>
      <c r="HL36" s="450"/>
      <c r="HM36" s="450"/>
      <c r="HN36" s="452"/>
      <c r="HO36" s="451"/>
      <c r="HP36" s="450"/>
      <c r="HQ36" s="450"/>
      <c r="HR36" s="452"/>
      <c r="HS36" s="451"/>
      <c r="HT36" s="450"/>
      <c r="HU36" s="450"/>
      <c r="HV36" s="452"/>
      <c r="HW36" s="451"/>
      <c r="HX36" s="450"/>
      <c r="HY36" s="450"/>
      <c r="HZ36" s="450"/>
      <c r="IA36" s="452"/>
      <c r="IB36" s="448">
        <v>0</v>
      </c>
      <c r="IC36" s="445">
        <v>0</v>
      </c>
      <c r="ID36" s="445">
        <v>0</v>
      </c>
      <c r="IE36" s="502">
        <v>0</v>
      </c>
      <c r="IF36" s="448">
        <v>0</v>
      </c>
      <c r="IG36" s="445">
        <v>0</v>
      </c>
      <c r="IH36" s="445">
        <v>0</v>
      </c>
      <c r="II36" s="445">
        <v>0</v>
      </c>
      <c r="IJ36" s="446">
        <v>0</v>
      </c>
      <c r="IK36" s="451"/>
      <c r="IL36" s="509"/>
      <c r="IM36" s="509"/>
      <c r="IN36" s="510">
        <v>180</v>
      </c>
      <c r="IO36" s="511">
        <v>198</v>
      </c>
      <c r="IP36" s="509">
        <v>198</v>
      </c>
      <c r="IQ36" s="509">
        <v>108</v>
      </c>
      <c r="IR36" s="510">
        <v>108</v>
      </c>
      <c r="IS36" s="511">
        <v>60</v>
      </c>
      <c r="IT36" s="509">
        <v>72</v>
      </c>
      <c r="IU36" s="509">
        <v>6</v>
      </c>
      <c r="IV36" s="512">
        <v>12</v>
      </c>
      <c r="IW36" s="447">
        <v>102</v>
      </c>
      <c r="IX36" s="448">
        <v>102</v>
      </c>
      <c r="IY36" s="445">
        <v>156</v>
      </c>
      <c r="IZ36" s="446">
        <v>156</v>
      </c>
      <c r="JA36" s="502">
        <v>60</v>
      </c>
      <c r="JB36" s="511">
        <v>66</v>
      </c>
      <c r="JC36" s="509">
        <v>66</v>
      </c>
      <c r="JD36" s="509">
        <v>66</v>
      </c>
      <c r="JE36" s="510">
        <v>66</v>
      </c>
      <c r="JF36" s="511">
        <v>30</v>
      </c>
      <c r="JG36" s="445">
        <v>30</v>
      </c>
      <c r="JH36" s="445">
        <v>30</v>
      </c>
      <c r="JI36" s="502">
        <v>30</v>
      </c>
      <c r="JJ36" s="451">
        <v>0</v>
      </c>
      <c r="JK36" s="445">
        <v>48</v>
      </c>
      <c r="JL36" s="445">
        <v>42</v>
      </c>
      <c r="JM36" s="502">
        <v>42</v>
      </c>
      <c r="JN36" s="447">
        <v>48</v>
      </c>
      <c r="JO36" s="445">
        <v>48</v>
      </c>
      <c r="JP36" s="445">
        <v>48</v>
      </c>
      <c r="JQ36" s="449">
        <v>0</v>
      </c>
      <c r="JR36" s="502">
        <v>48</v>
      </c>
      <c r="JS36" s="447">
        <v>54</v>
      </c>
      <c r="JT36" s="445">
        <v>54</v>
      </c>
      <c r="JU36" s="445">
        <v>54</v>
      </c>
      <c r="JV36" s="502">
        <v>54</v>
      </c>
      <c r="JW36" s="447">
        <v>54</v>
      </c>
      <c r="JX36" s="445">
        <v>54</v>
      </c>
      <c r="JY36" s="445">
        <v>54</v>
      </c>
      <c r="JZ36" s="502">
        <v>54</v>
      </c>
      <c r="KA36" s="447">
        <v>42</v>
      </c>
      <c r="KB36" s="445">
        <v>42</v>
      </c>
      <c r="KC36" s="445">
        <v>42</v>
      </c>
      <c r="KD36" s="446">
        <v>42</v>
      </c>
      <c r="KE36" s="502">
        <v>42</v>
      </c>
      <c r="KF36" s="447">
        <v>54</v>
      </c>
      <c r="KG36" s="445">
        <v>54</v>
      </c>
      <c r="KH36" s="445">
        <v>54</v>
      </c>
      <c r="KI36" s="502">
        <v>54</v>
      </c>
      <c r="KJ36" s="451">
        <v>0</v>
      </c>
      <c r="KK36" s="445">
        <v>66</v>
      </c>
      <c r="KL36" s="445">
        <v>60</v>
      </c>
      <c r="KM36" s="445">
        <v>60</v>
      </c>
      <c r="KN36" s="502">
        <v>60</v>
      </c>
    </row>
    <row r="37" spans="1:300" ht="36.75" customHeight="1" thickBot="1">
      <c r="A37" s="481"/>
      <c r="B37" s="494"/>
      <c r="C37" s="668"/>
      <c r="D37" s="596" t="s">
        <v>155</v>
      </c>
      <c r="E37" s="523"/>
      <c r="F37" s="600"/>
      <c r="G37" s="456" t="s">
        <v>18</v>
      </c>
      <c r="H37" s="475"/>
      <c r="I37" s="471"/>
      <c r="J37" s="471"/>
      <c r="K37" s="471"/>
      <c r="L37" s="471"/>
      <c r="M37" s="495"/>
      <c r="N37" s="495"/>
      <c r="O37" s="495"/>
      <c r="P37" s="495"/>
      <c r="Q37" s="495"/>
      <c r="R37" s="471"/>
      <c r="S37" s="471"/>
      <c r="T37" s="495"/>
      <c r="U37" s="495"/>
      <c r="V37" s="495"/>
      <c r="W37" s="495"/>
      <c r="X37" s="495"/>
      <c r="Y37" s="495"/>
      <c r="Z37" s="495"/>
      <c r="AA37" s="495"/>
      <c r="AB37" s="495"/>
      <c r="AC37" s="460">
        <f t="shared" ref="AC37" si="1272">AB37+AC36</f>
        <v>0</v>
      </c>
      <c r="AD37" s="461">
        <f t="shared" ref="AD37" si="1273">AC37+AD36</f>
        <v>0</v>
      </c>
      <c r="AE37" s="461">
        <f t="shared" ref="AE37" si="1274">AD37+AE36</f>
        <v>0</v>
      </c>
      <c r="AF37" s="461">
        <f t="shared" ref="AF37" si="1275">AE37+AF36</f>
        <v>0</v>
      </c>
      <c r="AG37" s="461">
        <f t="shared" ref="AG37:AH37" si="1276">AF37+AG36</f>
        <v>0</v>
      </c>
      <c r="AH37" s="461">
        <f t="shared" si="1276"/>
        <v>0</v>
      </c>
      <c r="AI37" s="462">
        <f>GA37</f>
        <v>0</v>
      </c>
      <c r="AJ37" s="461">
        <f t="shared" ref="AJ37" si="1277">AI37+AJ36</f>
        <v>0</v>
      </c>
      <c r="AK37" s="461">
        <f t="shared" ref="AK37" si="1278">AJ37+AK36</f>
        <v>0</v>
      </c>
      <c r="AL37" s="461">
        <f t="shared" ref="AL37:AM37" si="1279">AK37+AL36</f>
        <v>0</v>
      </c>
      <c r="AM37" s="491">
        <f t="shared" si="1279"/>
        <v>0</v>
      </c>
      <c r="AN37" s="467">
        <f t="shared" ref="AN37" si="1280">AM37+AN36</f>
        <v>0</v>
      </c>
      <c r="AO37" s="495">
        <f t="shared" ref="AO37" si="1281">AN37+AO36</f>
        <v>0</v>
      </c>
      <c r="AP37" s="471">
        <f t="shared" ref="AP37:AR37" si="1282">AO37+AP36</f>
        <v>0</v>
      </c>
      <c r="AQ37" s="471">
        <f t="shared" si="1282"/>
        <v>0</v>
      </c>
      <c r="AR37" s="471">
        <f t="shared" si="1282"/>
        <v>0</v>
      </c>
      <c r="AS37" s="471">
        <f t="shared" ref="AS37:AZ37" si="1283">AR37+AS36</f>
        <v>0</v>
      </c>
      <c r="AT37" s="466">
        <f t="shared" si="1283"/>
        <v>0</v>
      </c>
      <c r="AU37" s="466">
        <f t="shared" si="1283"/>
        <v>0</v>
      </c>
      <c r="AV37" s="466">
        <f t="shared" si="1283"/>
        <v>0</v>
      </c>
      <c r="AW37" s="466">
        <f t="shared" si="1283"/>
        <v>0</v>
      </c>
      <c r="AX37" s="466">
        <f t="shared" si="1283"/>
        <v>180</v>
      </c>
      <c r="AY37" s="466">
        <f t="shared" si="1283"/>
        <v>792</v>
      </c>
      <c r="AZ37" s="466">
        <f t="shared" si="1283"/>
        <v>942</v>
      </c>
      <c r="BA37" s="466">
        <f t="shared" ref="BA37" si="1284">AZ37+BA36</f>
        <v>1518</v>
      </c>
      <c r="BB37" s="466">
        <f t="shared" ref="BB37" si="1285">BA37+BB36</f>
        <v>1782</v>
      </c>
      <c r="BC37" s="466">
        <f t="shared" ref="BC37:BD37" si="1286">BB37+BC36</f>
        <v>1902</v>
      </c>
      <c r="BD37" s="466">
        <f t="shared" si="1286"/>
        <v>2034</v>
      </c>
      <c r="BE37" s="466">
        <f t="shared" ref="BE37:BF37" si="1287">BD37+BE36</f>
        <v>2226</v>
      </c>
      <c r="BF37" s="466">
        <f t="shared" si="1287"/>
        <v>2442</v>
      </c>
      <c r="BG37" s="466">
        <f t="shared" ref="BG37:BJ37" si="1288">BF37+BG36</f>
        <v>2658</v>
      </c>
      <c r="BH37" s="466">
        <f t="shared" si="1288"/>
        <v>2868</v>
      </c>
      <c r="BI37" s="466">
        <f t="shared" si="1288"/>
        <v>3084</v>
      </c>
      <c r="BJ37" s="466">
        <f t="shared" si="1288"/>
        <v>3330</v>
      </c>
      <c r="BK37" s="527"/>
      <c r="BL37" s="528"/>
      <c r="BM37" s="528"/>
      <c r="BN37" s="528"/>
      <c r="BO37" s="528"/>
      <c r="BP37" s="528"/>
      <c r="BQ37" s="528"/>
      <c r="BR37" s="528"/>
      <c r="BS37" s="528"/>
      <c r="BT37" s="528"/>
      <c r="BU37" s="528"/>
      <c r="BV37" s="528"/>
      <c r="BW37" s="529"/>
      <c r="BX37" s="528"/>
      <c r="BY37" s="528"/>
      <c r="BZ37" s="528"/>
      <c r="CA37" s="528"/>
      <c r="CB37" s="528"/>
      <c r="CC37" s="528"/>
      <c r="CD37" s="528"/>
      <c r="CE37" s="528"/>
      <c r="CF37" s="528"/>
      <c r="CG37" s="528"/>
      <c r="CH37" s="528"/>
      <c r="CI37" s="528"/>
      <c r="CJ37" s="528"/>
      <c r="CK37" s="528"/>
      <c r="CL37" s="528"/>
      <c r="CM37" s="528"/>
      <c r="CN37" s="528"/>
      <c r="CO37" s="528"/>
      <c r="CP37" s="528"/>
      <c r="CQ37" s="528"/>
      <c r="CR37" s="528"/>
      <c r="CS37" s="528"/>
      <c r="CT37" s="528"/>
      <c r="CU37" s="528"/>
      <c r="CV37" s="528"/>
      <c r="CW37" s="528"/>
      <c r="CX37" s="528"/>
      <c r="CY37" s="528"/>
      <c r="CZ37" s="528"/>
      <c r="DA37" s="528"/>
      <c r="DB37" s="528"/>
      <c r="DC37" s="528"/>
      <c r="DD37" s="528"/>
      <c r="DE37" s="528"/>
      <c r="DF37" s="528"/>
      <c r="DG37" s="528"/>
      <c r="DH37" s="528"/>
      <c r="DI37" s="528"/>
      <c r="DJ37" s="528"/>
      <c r="DK37" s="528"/>
      <c r="DL37" s="528"/>
      <c r="DM37" s="528"/>
      <c r="DN37" s="528"/>
      <c r="DO37" s="528"/>
      <c r="DP37" s="528"/>
      <c r="DQ37" s="528"/>
      <c r="DR37" s="528"/>
      <c r="DS37" s="528"/>
      <c r="DT37" s="528"/>
      <c r="DU37" s="528"/>
      <c r="DV37" s="528"/>
      <c r="DW37" s="528"/>
      <c r="DX37" s="528"/>
      <c r="DY37" s="528"/>
      <c r="DZ37" s="528"/>
      <c r="EA37" s="528"/>
      <c r="EB37" s="528"/>
      <c r="EC37" s="528"/>
      <c r="ED37" s="528"/>
      <c r="EE37" s="528"/>
      <c r="EF37" s="528"/>
      <c r="EG37" s="528"/>
      <c r="EH37" s="528"/>
      <c r="EI37" s="528"/>
      <c r="EJ37" s="528"/>
      <c r="EK37" s="528"/>
      <c r="EL37" s="528"/>
      <c r="EM37" s="528"/>
      <c r="EN37" s="528"/>
      <c r="EO37" s="528"/>
      <c r="EP37" s="528"/>
      <c r="EQ37" s="528"/>
      <c r="ER37" s="528"/>
      <c r="ES37" s="528"/>
      <c r="ET37" s="528"/>
      <c r="EU37" s="528"/>
      <c r="EV37" s="528"/>
      <c r="EW37" s="530"/>
      <c r="EX37" s="463">
        <f t="shared" ref="EX37" si="1289">EW37+EX36</f>
        <v>0</v>
      </c>
      <c r="EY37" s="461">
        <f t="shared" ref="EY37" si="1290">EX37+EY36</f>
        <v>0</v>
      </c>
      <c r="EZ37" s="461">
        <f t="shared" ref="EZ37" si="1291">EY37+EZ36</f>
        <v>0</v>
      </c>
      <c r="FA37" s="492">
        <f t="shared" ref="FA37" si="1292">EZ37+FA36</f>
        <v>0</v>
      </c>
      <c r="FB37" s="463">
        <f t="shared" ref="FB37" si="1293">FA37+FB36</f>
        <v>0</v>
      </c>
      <c r="FC37" s="461">
        <f t="shared" ref="FC37" si="1294">FB37+FC36</f>
        <v>0</v>
      </c>
      <c r="FD37" s="461">
        <f t="shared" ref="FD37" si="1295">FC37+FD36</f>
        <v>0</v>
      </c>
      <c r="FE37" s="461">
        <f t="shared" ref="FE37" si="1296">FD37+FE36</f>
        <v>0</v>
      </c>
      <c r="FF37" s="492">
        <f t="shared" ref="FF37" si="1297">FE37+FF36</f>
        <v>0</v>
      </c>
      <c r="FG37" s="464">
        <f t="shared" ref="FG37" si="1298">FF37+FG36</f>
        <v>0</v>
      </c>
      <c r="FH37" s="461">
        <f t="shared" ref="FH37" si="1299">FG37+FH36</f>
        <v>0</v>
      </c>
      <c r="FI37" s="461">
        <f t="shared" ref="FI37" si="1300">FH37+FI36</f>
        <v>0</v>
      </c>
      <c r="FJ37" s="492">
        <f t="shared" ref="FJ37" si="1301">FI37+FJ36</f>
        <v>0</v>
      </c>
      <c r="FK37" s="464">
        <f t="shared" ref="FK37" si="1302">FJ37+FK36</f>
        <v>0</v>
      </c>
      <c r="FL37" s="461">
        <f t="shared" ref="FL37" si="1303">FK37+FL36</f>
        <v>0</v>
      </c>
      <c r="FM37" s="461">
        <f t="shared" ref="FM37" si="1304">FL37+FM36</f>
        <v>0</v>
      </c>
      <c r="FN37" s="492">
        <f t="shared" ref="FN37" si="1305">FM37+FN36</f>
        <v>0</v>
      </c>
      <c r="FO37" s="464">
        <f t="shared" ref="FO37" si="1306">FN37+FO36</f>
        <v>0</v>
      </c>
      <c r="FP37" s="461">
        <f t="shared" ref="FP37" si="1307">FO37+FP36</f>
        <v>0</v>
      </c>
      <c r="FQ37" s="461">
        <f t="shared" ref="FQ37" si="1308">FP37+FQ36</f>
        <v>0</v>
      </c>
      <c r="FR37" s="492">
        <f t="shared" ref="FR37" si="1309">FQ37+FR36</f>
        <v>0</v>
      </c>
      <c r="FS37" s="464">
        <f t="shared" ref="FS37" si="1310">FR37+FS36</f>
        <v>0</v>
      </c>
      <c r="FT37" s="461">
        <f t="shared" ref="FT37" si="1311">FS37+FT36</f>
        <v>0</v>
      </c>
      <c r="FU37" s="461">
        <f t="shared" ref="FU37" si="1312">FT37+FU36</f>
        <v>0</v>
      </c>
      <c r="FV37" s="461">
        <f t="shared" ref="FV37" si="1313">FU37+FV36</f>
        <v>0</v>
      </c>
      <c r="FW37" s="492">
        <f t="shared" ref="FW37" si="1314">FV37+FW36</f>
        <v>0</v>
      </c>
      <c r="FX37" s="464">
        <f t="shared" ref="FX37" si="1315">FW37+FX36</f>
        <v>0</v>
      </c>
      <c r="FY37" s="461">
        <f t="shared" ref="FY37" si="1316">FX37+FY36</f>
        <v>0</v>
      </c>
      <c r="FZ37" s="461">
        <f t="shared" ref="FZ37" si="1317">FY37+FZ36</f>
        <v>0</v>
      </c>
      <c r="GA37" s="492">
        <f t="shared" ref="GA37" si="1318">FZ37+GA36</f>
        <v>0</v>
      </c>
      <c r="GB37" s="464">
        <f t="shared" ref="GB37" si="1319">GA37+GB36</f>
        <v>0</v>
      </c>
      <c r="GC37" s="461">
        <f t="shared" ref="GC37" si="1320">GB37+GC36</f>
        <v>0</v>
      </c>
      <c r="GD37" s="461">
        <f t="shared" ref="GD37" si="1321">GC37+GD36</f>
        <v>0</v>
      </c>
      <c r="GE37" s="492">
        <f t="shared" ref="GE37" si="1322">GD37+GE36</f>
        <v>0</v>
      </c>
      <c r="GF37" s="464">
        <f t="shared" ref="GF37" si="1323">GE37+GF36</f>
        <v>0</v>
      </c>
      <c r="GG37" s="461">
        <f t="shared" ref="GG37" si="1324">GF37+GG36</f>
        <v>0</v>
      </c>
      <c r="GH37" s="461">
        <f t="shared" ref="GH37" si="1325">GG37+GH36</f>
        <v>0</v>
      </c>
      <c r="GI37" s="461">
        <f t="shared" ref="GI37" si="1326">GH37+GI36</f>
        <v>0</v>
      </c>
      <c r="GJ37" s="496">
        <f t="shared" ref="GJ37" si="1327">GI37+GJ36</f>
        <v>0</v>
      </c>
      <c r="GK37" s="463">
        <f t="shared" ref="GK37" si="1328">GJ37+GK36</f>
        <v>0</v>
      </c>
      <c r="GL37" s="461">
        <f t="shared" ref="GL37" si="1329">GK37+GL36</f>
        <v>0</v>
      </c>
      <c r="GM37" s="461">
        <f t="shared" ref="GM37" si="1330">GL37+GM36</f>
        <v>0</v>
      </c>
      <c r="GN37" s="497">
        <f t="shared" ref="GN37" si="1331">GM37+GN36</f>
        <v>0</v>
      </c>
      <c r="GO37" s="463">
        <f t="shared" ref="GO37" si="1332">GN37+GO36</f>
        <v>0</v>
      </c>
      <c r="GP37" s="461">
        <f t="shared" ref="GP37" si="1333">GO37+GP36</f>
        <v>0</v>
      </c>
      <c r="GQ37" s="461">
        <f t="shared" ref="GQ37" si="1334">GP37+GQ36</f>
        <v>0</v>
      </c>
      <c r="GR37" s="460">
        <f t="shared" ref="GR37" si="1335">GQ37+GR36</f>
        <v>0</v>
      </c>
      <c r="GS37" s="492">
        <f t="shared" ref="GS37" si="1336">GR37+GS36</f>
        <v>0</v>
      </c>
      <c r="GT37" s="464">
        <f t="shared" ref="GT37" si="1337">GS37+GT36</f>
        <v>0</v>
      </c>
      <c r="GU37" s="461">
        <f t="shared" ref="GU37" si="1338">GT37+GU36</f>
        <v>0</v>
      </c>
      <c r="GV37" s="461">
        <f t="shared" ref="GV37" si="1339">GU37+GV36</f>
        <v>0</v>
      </c>
      <c r="GW37" s="497">
        <f t="shared" ref="GW37" si="1340">GV37+GW36</f>
        <v>0</v>
      </c>
      <c r="GX37" s="498">
        <f t="shared" ref="GX37" si="1341">GW37+GX36</f>
        <v>0</v>
      </c>
      <c r="GY37" s="466">
        <f t="shared" ref="GY37" si="1342">GX37+GY36</f>
        <v>0</v>
      </c>
      <c r="GZ37" s="466">
        <f t="shared" ref="GZ37" si="1343">GY37+GZ36</f>
        <v>0</v>
      </c>
      <c r="HA37" s="499">
        <f t="shared" ref="HA37" si="1344">GZ37+HA36</f>
        <v>0</v>
      </c>
      <c r="HB37" s="498">
        <f t="shared" ref="HB37" si="1345">HA37+HB36</f>
        <v>0</v>
      </c>
      <c r="HC37" s="466">
        <f t="shared" ref="HC37" si="1346">HB37+HC36</f>
        <v>0</v>
      </c>
      <c r="HD37" s="466">
        <f t="shared" ref="HD37" si="1347">HC37+HD36</f>
        <v>0</v>
      </c>
      <c r="HE37" s="466">
        <f t="shared" ref="HE37" si="1348">HD37+HE36</f>
        <v>0</v>
      </c>
      <c r="HF37" s="500">
        <f t="shared" ref="HF37" si="1349">HE37+HF36</f>
        <v>0</v>
      </c>
      <c r="HG37" s="498">
        <f t="shared" ref="HG37" si="1350">HF37+HG36</f>
        <v>0</v>
      </c>
      <c r="HH37" s="466">
        <f t="shared" ref="HH37" si="1351">HG37+HH36</f>
        <v>0</v>
      </c>
      <c r="HI37" s="466">
        <f t="shared" ref="HI37" si="1352">HH37+HI36</f>
        <v>0</v>
      </c>
      <c r="HJ37" s="500">
        <f t="shared" ref="HJ37:HN37" si="1353">HI37+HJ36</f>
        <v>0</v>
      </c>
      <c r="HK37" s="476">
        <f t="shared" si="1353"/>
        <v>0</v>
      </c>
      <c r="HL37" s="477">
        <f t="shared" si="1353"/>
        <v>0</v>
      </c>
      <c r="HM37" s="477">
        <f t="shared" si="1353"/>
        <v>0</v>
      </c>
      <c r="HN37" s="478">
        <f t="shared" si="1353"/>
        <v>0</v>
      </c>
      <c r="HO37" s="476">
        <f t="shared" ref="HO37" si="1354">HN37+HO36</f>
        <v>0</v>
      </c>
      <c r="HP37" s="477">
        <f t="shared" ref="HP37" si="1355">HO37+HP36</f>
        <v>0</v>
      </c>
      <c r="HQ37" s="477">
        <f t="shared" ref="HQ37" si="1356">HP37+HQ36</f>
        <v>0</v>
      </c>
      <c r="HR37" s="478">
        <f t="shared" ref="HR37" si="1357">HQ37+HR36</f>
        <v>0</v>
      </c>
      <c r="HS37" s="476">
        <f t="shared" ref="HS37" si="1358">HR37+HS36</f>
        <v>0</v>
      </c>
      <c r="HT37" s="477">
        <f t="shared" ref="HT37" si="1359">HS37+HT36</f>
        <v>0</v>
      </c>
      <c r="HU37" s="477">
        <f t="shared" ref="HU37" si="1360">HT37+HU36</f>
        <v>0</v>
      </c>
      <c r="HV37" s="478">
        <f t="shared" ref="HV37" si="1361">HU37+HV36</f>
        <v>0</v>
      </c>
      <c r="HW37" s="476">
        <f t="shared" ref="HW37" si="1362">HV37+HW36</f>
        <v>0</v>
      </c>
      <c r="HX37" s="477">
        <f t="shared" ref="HX37" si="1363">HW37+HX36</f>
        <v>0</v>
      </c>
      <c r="HY37" s="477">
        <f t="shared" ref="HY37" si="1364">HX37+HY36</f>
        <v>0</v>
      </c>
      <c r="HZ37" s="477">
        <f t="shared" ref="HZ37" si="1365">HY37+HZ36</f>
        <v>0</v>
      </c>
      <c r="IA37" s="478">
        <f t="shared" ref="IA37" si="1366">HZ37+IA36</f>
        <v>0</v>
      </c>
      <c r="IB37" s="479">
        <f t="shared" ref="IB37" si="1367">IA37+IB36</f>
        <v>0</v>
      </c>
      <c r="IC37" s="477">
        <f t="shared" ref="IC37" si="1368">IB37+IC36</f>
        <v>0</v>
      </c>
      <c r="ID37" s="477">
        <f t="shared" ref="ID37" si="1369">IC37+ID36</f>
        <v>0</v>
      </c>
      <c r="IE37" s="478">
        <f t="shared" ref="IE37" si="1370">ID37+IE36</f>
        <v>0</v>
      </c>
      <c r="IF37" s="479">
        <f t="shared" ref="IF37" si="1371">IE37+IF36</f>
        <v>0</v>
      </c>
      <c r="IG37" s="477">
        <f t="shared" ref="IG37" si="1372">IF37+IG36</f>
        <v>0</v>
      </c>
      <c r="IH37" s="477">
        <f t="shared" ref="IH37" si="1373">IG37+IH36</f>
        <v>0</v>
      </c>
      <c r="II37" s="477">
        <f t="shared" ref="II37" si="1374">IH37+II36</f>
        <v>0</v>
      </c>
      <c r="IJ37" s="480">
        <f t="shared" ref="IJ37" si="1375">II37+IJ36</f>
        <v>0</v>
      </c>
      <c r="IK37" s="476">
        <f t="shared" ref="IK37" si="1376">IJ37+IK36</f>
        <v>0</v>
      </c>
      <c r="IL37" s="477">
        <f t="shared" ref="IL37" si="1377">IK37+IL36</f>
        <v>0</v>
      </c>
      <c r="IM37" s="477">
        <f t="shared" ref="IM37" si="1378">IL37+IM36</f>
        <v>0</v>
      </c>
      <c r="IN37" s="478">
        <f t="shared" ref="IN37" si="1379">IM37+IN36</f>
        <v>180</v>
      </c>
      <c r="IO37" s="476">
        <f t="shared" ref="IO37" si="1380">IN37+IO36</f>
        <v>378</v>
      </c>
      <c r="IP37" s="477">
        <f t="shared" ref="IP37" si="1381">IO37+IP36</f>
        <v>576</v>
      </c>
      <c r="IQ37" s="477">
        <f t="shared" ref="IQ37" si="1382">IP37+IQ36</f>
        <v>684</v>
      </c>
      <c r="IR37" s="478">
        <f t="shared" ref="IR37" si="1383">IQ37+IR36</f>
        <v>792</v>
      </c>
      <c r="IS37" s="476">
        <f t="shared" ref="IS37" si="1384">IR37+IS36</f>
        <v>852</v>
      </c>
      <c r="IT37" s="477">
        <f t="shared" ref="IT37" si="1385">IS37+IT36</f>
        <v>924</v>
      </c>
      <c r="IU37" s="477">
        <f t="shared" ref="IU37" si="1386">IT37+IU36</f>
        <v>930</v>
      </c>
      <c r="IV37" s="480">
        <f t="shared" ref="IV37:IW37" si="1387">IU37+IV36</f>
        <v>942</v>
      </c>
      <c r="IW37" s="476">
        <f t="shared" si="1387"/>
        <v>1044</v>
      </c>
      <c r="IX37" s="479">
        <f t="shared" ref="IX37" si="1388">IW37+IX36</f>
        <v>1146</v>
      </c>
      <c r="IY37" s="477">
        <f t="shared" ref="IY37" si="1389">IX37+IY36</f>
        <v>1302</v>
      </c>
      <c r="IZ37" s="480">
        <f>IY37+IZ36</f>
        <v>1458</v>
      </c>
      <c r="JA37" s="478">
        <f t="shared" ref="JA37" si="1390">IZ37+JA36</f>
        <v>1518</v>
      </c>
      <c r="JB37" s="476">
        <f t="shared" ref="JB37" si="1391">JA37+JB36</f>
        <v>1584</v>
      </c>
      <c r="JC37" s="477">
        <f t="shared" ref="JC37" si="1392">JB37+JC36</f>
        <v>1650</v>
      </c>
      <c r="JD37" s="477">
        <f t="shared" ref="JD37" si="1393">JC37+JD36</f>
        <v>1716</v>
      </c>
      <c r="JE37" s="478">
        <f t="shared" ref="JE37" si="1394">JD37+JE36</f>
        <v>1782</v>
      </c>
      <c r="JF37" s="476">
        <f t="shared" ref="JF37" si="1395">JE37+JF36</f>
        <v>1812</v>
      </c>
      <c r="JG37" s="477">
        <f t="shared" ref="JG37" si="1396">JF37+JG36</f>
        <v>1842</v>
      </c>
      <c r="JH37" s="477">
        <f t="shared" ref="JH37" si="1397">JG37+JH36</f>
        <v>1872</v>
      </c>
      <c r="JI37" s="478">
        <f t="shared" ref="JI37" si="1398">JH37+JI36</f>
        <v>1902</v>
      </c>
      <c r="JJ37" s="611">
        <f t="shared" ref="JJ37" si="1399">JI37+JJ36</f>
        <v>1902</v>
      </c>
      <c r="JK37" s="477">
        <f t="shared" ref="JK37" si="1400">JJ37+JK36</f>
        <v>1950</v>
      </c>
      <c r="JL37" s="477">
        <f t="shared" ref="JL37" si="1401">JK37+JL36</f>
        <v>1992</v>
      </c>
      <c r="JM37" s="478">
        <f t="shared" ref="JM37" si="1402">JL37+JM36</f>
        <v>2034</v>
      </c>
      <c r="JN37" s="476">
        <f>JM37+JN36</f>
        <v>2082</v>
      </c>
      <c r="JO37" s="477">
        <f>JN37+JO36</f>
        <v>2130</v>
      </c>
      <c r="JP37" s="477">
        <f>JO37+JP36</f>
        <v>2178</v>
      </c>
      <c r="JQ37" s="613">
        <f t="shared" ref="JQ37" si="1403">JP37+JQ36</f>
        <v>2178</v>
      </c>
      <c r="JR37" s="478">
        <f t="shared" ref="JR37" si="1404">JQ37+JR36</f>
        <v>2226</v>
      </c>
      <c r="JS37" s="476">
        <f>JR37+JS36</f>
        <v>2280</v>
      </c>
      <c r="JT37" s="477">
        <f>JS37+JT36</f>
        <v>2334</v>
      </c>
      <c r="JU37" s="477">
        <f>JT37+JU36</f>
        <v>2388</v>
      </c>
      <c r="JV37" s="478">
        <f t="shared" ref="JV37" si="1405">JU37+JV36</f>
        <v>2442</v>
      </c>
      <c r="JW37" s="476">
        <f>JV37+JW36</f>
        <v>2496</v>
      </c>
      <c r="JX37" s="477">
        <f>JW37+JX36</f>
        <v>2550</v>
      </c>
      <c r="JY37" s="477">
        <f>JX37+JY36</f>
        <v>2604</v>
      </c>
      <c r="JZ37" s="478">
        <f t="shared" ref="JZ37:KE37" si="1406">JY37+JZ36</f>
        <v>2658</v>
      </c>
      <c r="KA37" s="476">
        <f t="shared" si="1406"/>
        <v>2700</v>
      </c>
      <c r="KB37" s="477">
        <f t="shared" si="1406"/>
        <v>2742</v>
      </c>
      <c r="KC37" s="477">
        <f t="shared" si="1406"/>
        <v>2784</v>
      </c>
      <c r="KD37" s="480">
        <f t="shared" si="1406"/>
        <v>2826</v>
      </c>
      <c r="KE37" s="478">
        <f t="shared" si="1406"/>
        <v>2868</v>
      </c>
      <c r="KF37" s="476">
        <f t="shared" ref="KF37" si="1407">KE37+KF36</f>
        <v>2922</v>
      </c>
      <c r="KG37" s="477">
        <f t="shared" ref="KG37" si="1408">KF37+KG36</f>
        <v>2976</v>
      </c>
      <c r="KH37" s="477">
        <f t="shared" ref="KH37" si="1409">KG37+KH36</f>
        <v>3030</v>
      </c>
      <c r="KI37" s="478">
        <f t="shared" ref="KI37" si="1410">KH37+KI36</f>
        <v>3084</v>
      </c>
      <c r="KJ37" s="611">
        <f t="shared" ref="KJ37" si="1411">KI37+KJ36</f>
        <v>3084</v>
      </c>
      <c r="KK37" s="477">
        <f t="shared" ref="KK37" si="1412">KJ37+KK36</f>
        <v>3150</v>
      </c>
      <c r="KL37" s="477">
        <f t="shared" ref="KL37:KM37" si="1413">KK37+KL36</f>
        <v>3210</v>
      </c>
      <c r="KM37" s="477">
        <f t="shared" si="1413"/>
        <v>3270</v>
      </c>
      <c r="KN37" s="478">
        <f t="shared" ref="KN37" si="1414">KL37+KN36</f>
        <v>3270</v>
      </c>
    </row>
    <row r="38" spans="1:300" ht="36.75" customHeight="1">
      <c r="A38" s="481"/>
      <c r="B38" s="494"/>
      <c r="C38" s="665">
        <v>8</v>
      </c>
      <c r="D38" s="595" t="s">
        <v>201</v>
      </c>
      <c r="E38" s="523"/>
      <c r="F38" s="601" t="s">
        <v>148</v>
      </c>
      <c r="G38" s="440" t="s">
        <v>17</v>
      </c>
      <c r="H38" s="475"/>
      <c r="I38" s="471"/>
      <c r="J38" s="471"/>
      <c r="K38" s="471"/>
      <c r="L38" s="471"/>
      <c r="M38" s="495"/>
      <c r="N38" s="495"/>
      <c r="O38" s="495"/>
      <c r="P38" s="495"/>
      <c r="Q38" s="495"/>
      <c r="R38" s="471"/>
      <c r="S38" s="471"/>
      <c r="T38" s="495"/>
      <c r="U38" s="495"/>
      <c r="V38" s="495"/>
      <c r="W38" s="495"/>
      <c r="X38" s="495"/>
      <c r="Y38" s="495"/>
      <c r="Z38" s="495"/>
      <c r="AA38" s="495"/>
      <c r="AB38" s="495"/>
      <c r="AC38" s="483">
        <f>SUBTOTAL(9,EX38:FA38)</f>
        <v>0</v>
      </c>
      <c r="AD38" s="445">
        <f>SUBTOTAL(9,FB38:FF38)</f>
        <v>0</v>
      </c>
      <c r="AE38" s="445">
        <f>SUBTOTAL(9,FG38:FJ38)</f>
        <v>0</v>
      </c>
      <c r="AF38" s="445">
        <f>SUBTOTAL(9,FK38:FN38)</f>
        <v>0</v>
      </c>
      <c r="AG38" s="445">
        <f>SUBTOTAL(9,FO38:FR38)</f>
        <v>0</v>
      </c>
      <c r="AH38" s="445">
        <f>SUBTOTAL(9,FS38:FW38)</f>
        <v>0</v>
      </c>
      <c r="AI38" s="445">
        <f>SUBTOTAL(9,FX38:GA38)</f>
        <v>0</v>
      </c>
      <c r="AJ38" s="445">
        <f>SUBTOTAL(9,GB38:GE38)</f>
        <v>0</v>
      </c>
      <c r="AK38" s="445">
        <f>SUBTOTAL(9,GF38:GJ38)</f>
        <v>0</v>
      </c>
      <c r="AL38" s="445">
        <f>SUBTOTAL(9,GK38:GN38)</f>
        <v>0</v>
      </c>
      <c r="AM38" s="443">
        <f>SUBTOTAL(9,GO38:GS38)</f>
        <v>450</v>
      </c>
      <c r="AN38" s="493">
        <f>SUBTOTAL(9,GT38:GW38)</f>
        <v>978</v>
      </c>
      <c r="AO38" s="446">
        <f>SUM(GX38:HA38)</f>
        <v>630</v>
      </c>
      <c r="AP38" s="445">
        <f>SUM(HB38:HF38)</f>
        <v>750</v>
      </c>
      <c r="AQ38" s="445">
        <f>SUM(HG38:HJ38)</f>
        <v>480</v>
      </c>
      <c r="AR38" s="445">
        <f>SUM(HK38:HN38)</f>
        <v>378</v>
      </c>
      <c r="AS38" s="445">
        <f>SUM(HO38:HR38)</f>
        <v>384</v>
      </c>
      <c r="AT38" s="445">
        <f>SUM(HS38:HV38)</f>
        <v>312</v>
      </c>
      <c r="AU38" s="445">
        <f>SUM(HW38:IA38)</f>
        <v>258</v>
      </c>
      <c r="AV38" s="445">
        <f>SUM(IB38:IE38)</f>
        <v>300</v>
      </c>
      <c r="AW38" s="445">
        <f t="shared" ref="AW38" si="1415">SUM(IF38:IJ38)</f>
        <v>264</v>
      </c>
      <c r="AX38" s="446">
        <f t="shared" ref="AX38" si="1416">SUM(IK38:IN38)</f>
        <v>264</v>
      </c>
      <c r="AY38" s="446">
        <f t="shared" ref="AY38" si="1417">SUM(IO38:IR38)</f>
        <v>144</v>
      </c>
      <c r="AZ38" s="446">
        <f t="shared" ref="AZ38" si="1418">SUM(IS38:IV38)</f>
        <v>312</v>
      </c>
      <c r="BA38" s="446">
        <f t="shared" ref="BA38" si="1419">SUM(IW38:JA38)</f>
        <v>444</v>
      </c>
      <c r="BB38" s="446">
        <f t="shared" ref="BB38" si="1420">SUM(JB38:JE38)</f>
        <v>336</v>
      </c>
      <c r="BC38" s="446">
        <f t="shared" ref="BC38" si="1421">SUM(JF38:JI38)</f>
        <v>318</v>
      </c>
      <c r="BD38" s="446">
        <f t="shared" ref="BD38" si="1422">SUM(JJ38:JM38)</f>
        <v>270</v>
      </c>
      <c r="BE38" s="446">
        <f t="shared" ref="BE38" si="1423">SUM(JN38:JR38)</f>
        <v>384</v>
      </c>
      <c r="BF38" s="446">
        <f t="shared" ref="BF38" si="1424">SUM(JS38:JV38)</f>
        <v>0</v>
      </c>
      <c r="BG38" s="446">
        <f t="shared" ref="BG38" si="1425">SUM(JW38:JZ38)</f>
        <v>366</v>
      </c>
      <c r="BH38" s="446">
        <f t="shared" ref="BH38" si="1426">SUM(KA38:KE38)</f>
        <v>486</v>
      </c>
      <c r="BI38" s="446">
        <f t="shared" ref="BI38" si="1427">SUM(KF38:KI38)</f>
        <v>510</v>
      </c>
      <c r="BJ38" s="446">
        <f t="shared" ref="BJ38" si="1428">SUM(KJ38:KN38)</f>
        <v>576</v>
      </c>
      <c r="BK38" s="479"/>
      <c r="BL38" s="477"/>
      <c r="BM38" s="477"/>
      <c r="BN38" s="477"/>
      <c r="BO38" s="477"/>
      <c r="BP38" s="477"/>
      <c r="BQ38" s="477"/>
      <c r="BR38" s="477"/>
      <c r="BS38" s="477"/>
      <c r="BT38" s="477"/>
      <c r="BU38" s="477"/>
      <c r="BV38" s="477"/>
      <c r="BW38" s="537"/>
      <c r="BX38" s="477"/>
      <c r="BY38" s="477"/>
      <c r="BZ38" s="477"/>
      <c r="CA38" s="477"/>
      <c r="CB38" s="477"/>
      <c r="CC38" s="477"/>
      <c r="CD38" s="477"/>
      <c r="CE38" s="477"/>
      <c r="CF38" s="477"/>
      <c r="CG38" s="477"/>
      <c r="CH38" s="477"/>
      <c r="CI38" s="477"/>
      <c r="CJ38" s="477"/>
      <c r="CK38" s="477"/>
      <c r="CL38" s="477"/>
      <c r="CM38" s="477"/>
      <c r="CN38" s="477"/>
      <c r="CO38" s="477"/>
      <c r="CP38" s="477"/>
      <c r="CQ38" s="477"/>
      <c r="CR38" s="477"/>
      <c r="CS38" s="477"/>
      <c r="CT38" s="477"/>
      <c r="CU38" s="477"/>
      <c r="CV38" s="477"/>
      <c r="CW38" s="477"/>
      <c r="CX38" s="477"/>
      <c r="CY38" s="477"/>
      <c r="CZ38" s="477"/>
      <c r="DA38" s="477"/>
      <c r="DB38" s="477"/>
      <c r="DC38" s="477"/>
      <c r="DD38" s="477"/>
      <c r="DE38" s="477"/>
      <c r="DF38" s="477"/>
      <c r="DG38" s="477"/>
      <c r="DH38" s="477"/>
      <c r="DI38" s="477"/>
      <c r="DJ38" s="477"/>
      <c r="DK38" s="477"/>
      <c r="DL38" s="477"/>
      <c r="DM38" s="477"/>
      <c r="DN38" s="477"/>
      <c r="DO38" s="477"/>
      <c r="DP38" s="477"/>
      <c r="DQ38" s="477"/>
      <c r="DR38" s="477"/>
      <c r="DS38" s="477"/>
      <c r="DT38" s="477"/>
      <c r="DU38" s="477"/>
      <c r="DV38" s="477"/>
      <c r="DW38" s="477"/>
      <c r="DX38" s="477"/>
      <c r="DY38" s="477"/>
      <c r="DZ38" s="477"/>
      <c r="EA38" s="477"/>
      <c r="EB38" s="477"/>
      <c r="EC38" s="477"/>
      <c r="ED38" s="477"/>
      <c r="EE38" s="477"/>
      <c r="EF38" s="477"/>
      <c r="EG38" s="477"/>
      <c r="EH38" s="477"/>
      <c r="EI38" s="477"/>
      <c r="EJ38" s="477"/>
      <c r="EK38" s="477"/>
      <c r="EL38" s="477"/>
      <c r="EM38" s="477"/>
      <c r="EN38" s="477"/>
      <c r="EO38" s="477"/>
      <c r="EP38" s="477"/>
      <c r="EQ38" s="477"/>
      <c r="ER38" s="477"/>
      <c r="ES38" s="477"/>
      <c r="ET38" s="477"/>
      <c r="EU38" s="477"/>
      <c r="EV38" s="477"/>
      <c r="EW38" s="480"/>
      <c r="EX38" s="447">
        <v>0</v>
      </c>
      <c r="EY38" s="445">
        <v>0</v>
      </c>
      <c r="EZ38" s="445">
        <v>0</v>
      </c>
      <c r="FA38" s="502">
        <v>0</v>
      </c>
      <c r="FB38" s="447">
        <v>0</v>
      </c>
      <c r="FC38" s="445">
        <v>0</v>
      </c>
      <c r="FD38" s="445">
        <v>0</v>
      </c>
      <c r="FE38" s="445">
        <v>0</v>
      </c>
      <c r="FF38" s="502">
        <v>0</v>
      </c>
      <c r="FG38" s="448">
        <v>0</v>
      </c>
      <c r="FH38" s="445">
        <v>0</v>
      </c>
      <c r="FI38" s="445">
        <v>0</v>
      </c>
      <c r="FJ38" s="502">
        <v>0</v>
      </c>
      <c r="FK38" s="448">
        <v>0</v>
      </c>
      <c r="FL38" s="445">
        <v>0</v>
      </c>
      <c r="FM38" s="445">
        <v>0</v>
      </c>
      <c r="FN38" s="502">
        <v>0</v>
      </c>
      <c r="FO38" s="448">
        <v>0</v>
      </c>
      <c r="FP38" s="445">
        <v>0</v>
      </c>
      <c r="FQ38" s="445">
        <v>0</v>
      </c>
      <c r="FR38" s="502">
        <v>0</v>
      </c>
      <c r="FS38" s="448">
        <v>0</v>
      </c>
      <c r="FT38" s="445">
        <v>0</v>
      </c>
      <c r="FU38" s="445">
        <v>0</v>
      </c>
      <c r="FV38" s="445">
        <v>0</v>
      </c>
      <c r="FW38" s="502">
        <v>0</v>
      </c>
      <c r="FX38" s="448">
        <v>0</v>
      </c>
      <c r="FY38" s="445">
        <v>0</v>
      </c>
      <c r="FZ38" s="445">
        <v>0</v>
      </c>
      <c r="GA38" s="502">
        <v>0</v>
      </c>
      <c r="GB38" s="448">
        <v>0</v>
      </c>
      <c r="GC38" s="445">
        <v>0</v>
      </c>
      <c r="GD38" s="445">
        <v>0</v>
      </c>
      <c r="GE38" s="502">
        <v>0</v>
      </c>
      <c r="GF38" s="448">
        <v>0</v>
      </c>
      <c r="GG38" s="445">
        <v>0</v>
      </c>
      <c r="GH38" s="445">
        <v>0</v>
      </c>
      <c r="GI38" s="445">
        <v>0</v>
      </c>
      <c r="GJ38" s="503">
        <v>0</v>
      </c>
      <c r="GK38" s="447">
        <v>0</v>
      </c>
      <c r="GL38" s="445">
        <v>0</v>
      </c>
      <c r="GM38" s="445">
        <v>0</v>
      </c>
      <c r="GN38" s="504">
        <v>0</v>
      </c>
      <c r="GO38" s="505">
        <v>90</v>
      </c>
      <c r="GP38" s="506">
        <v>90</v>
      </c>
      <c r="GQ38" s="506">
        <v>90</v>
      </c>
      <c r="GR38" s="507">
        <v>90</v>
      </c>
      <c r="GS38" s="508">
        <v>90</v>
      </c>
      <c r="GT38" s="448">
        <v>246</v>
      </c>
      <c r="GU38" s="445">
        <v>246</v>
      </c>
      <c r="GV38" s="445">
        <v>246</v>
      </c>
      <c r="GW38" s="504">
        <v>240</v>
      </c>
      <c r="GX38" s="447">
        <v>162</v>
      </c>
      <c r="GY38" s="445">
        <v>156</v>
      </c>
      <c r="GZ38" s="445">
        <v>156</v>
      </c>
      <c r="HA38" s="504">
        <v>156</v>
      </c>
      <c r="HB38" s="447">
        <v>150</v>
      </c>
      <c r="HC38" s="445">
        <v>150</v>
      </c>
      <c r="HD38" s="445">
        <v>150</v>
      </c>
      <c r="HE38" s="445">
        <v>150</v>
      </c>
      <c r="HF38" s="502">
        <v>150</v>
      </c>
      <c r="HG38" s="447">
        <v>162</v>
      </c>
      <c r="HH38" s="450"/>
      <c r="HI38" s="445">
        <v>162</v>
      </c>
      <c r="HJ38" s="502">
        <v>156</v>
      </c>
      <c r="HK38" s="447">
        <v>96</v>
      </c>
      <c r="HL38" s="445">
        <v>96</v>
      </c>
      <c r="HM38" s="445">
        <v>96</v>
      </c>
      <c r="HN38" s="502">
        <v>90</v>
      </c>
      <c r="HO38" s="447">
        <v>96</v>
      </c>
      <c r="HP38" s="445">
        <v>96</v>
      </c>
      <c r="HQ38" s="445">
        <v>96</v>
      </c>
      <c r="HR38" s="502">
        <v>96</v>
      </c>
      <c r="HS38" s="447">
        <v>78</v>
      </c>
      <c r="HT38" s="445">
        <v>78</v>
      </c>
      <c r="HU38" s="445">
        <v>78</v>
      </c>
      <c r="HV38" s="502">
        <v>78</v>
      </c>
      <c r="HW38" s="451"/>
      <c r="HX38" s="445">
        <v>66</v>
      </c>
      <c r="HY38" s="445">
        <v>66</v>
      </c>
      <c r="HZ38" s="445">
        <v>66</v>
      </c>
      <c r="IA38" s="502">
        <v>60</v>
      </c>
      <c r="IB38" s="448">
        <v>78</v>
      </c>
      <c r="IC38" s="445">
        <v>78</v>
      </c>
      <c r="ID38" s="445">
        <v>72</v>
      </c>
      <c r="IE38" s="502">
        <v>72</v>
      </c>
      <c r="IF38" s="448">
        <v>54</v>
      </c>
      <c r="IG38" s="445">
        <v>54</v>
      </c>
      <c r="IH38" s="445">
        <v>54</v>
      </c>
      <c r="II38" s="445">
        <v>54</v>
      </c>
      <c r="IJ38" s="446">
        <v>48</v>
      </c>
      <c r="IK38" s="451"/>
      <c r="IL38" s="445">
        <v>90</v>
      </c>
      <c r="IM38" s="445">
        <v>90</v>
      </c>
      <c r="IN38" s="502">
        <v>84</v>
      </c>
      <c r="IO38" s="447">
        <v>42</v>
      </c>
      <c r="IP38" s="445">
        <v>42</v>
      </c>
      <c r="IQ38" s="509">
        <v>30</v>
      </c>
      <c r="IR38" s="510">
        <v>30</v>
      </c>
      <c r="IS38" s="511">
        <v>78</v>
      </c>
      <c r="IT38" s="509">
        <v>78</v>
      </c>
      <c r="IU38" s="509">
        <v>78</v>
      </c>
      <c r="IV38" s="512">
        <v>78</v>
      </c>
      <c r="IW38" s="447">
        <v>72</v>
      </c>
      <c r="IX38" s="448">
        <v>96</v>
      </c>
      <c r="IY38" s="445">
        <v>96</v>
      </c>
      <c r="IZ38" s="446">
        <v>96</v>
      </c>
      <c r="JA38" s="502">
        <v>84</v>
      </c>
      <c r="JB38" s="511">
        <v>84</v>
      </c>
      <c r="JC38" s="509">
        <v>84</v>
      </c>
      <c r="JD38" s="509">
        <v>84</v>
      </c>
      <c r="JE38" s="510">
        <v>84</v>
      </c>
      <c r="JF38" s="511">
        <v>84</v>
      </c>
      <c r="JG38" s="445">
        <v>78</v>
      </c>
      <c r="JH38" s="445">
        <v>78</v>
      </c>
      <c r="JI38" s="502">
        <v>78</v>
      </c>
      <c r="JJ38" s="451">
        <v>0</v>
      </c>
      <c r="JK38" s="445">
        <v>90</v>
      </c>
      <c r="JL38" s="445">
        <v>90</v>
      </c>
      <c r="JM38" s="502">
        <v>90</v>
      </c>
      <c r="JN38" s="447">
        <v>96</v>
      </c>
      <c r="JO38" s="445">
        <v>96</v>
      </c>
      <c r="JP38" s="445">
        <v>96</v>
      </c>
      <c r="JQ38" s="449">
        <v>0</v>
      </c>
      <c r="JR38" s="502">
        <v>96</v>
      </c>
      <c r="JS38" s="447">
        <v>0</v>
      </c>
      <c r="JT38" s="445">
        <v>0</v>
      </c>
      <c r="JU38" s="445">
        <v>0</v>
      </c>
      <c r="JV38" s="502">
        <v>0</v>
      </c>
      <c r="JW38" s="447">
        <v>96</v>
      </c>
      <c r="JX38" s="445">
        <v>90</v>
      </c>
      <c r="JY38" s="445">
        <v>90</v>
      </c>
      <c r="JZ38" s="502">
        <v>90</v>
      </c>
      <c r="KA38" s="447">
        <v>102</v>
      </c>
      <c r="KB38" s="445">
        <v>96</v>
      </c>
      <c r="KC38" s="445">
        <v>96</v>
      </c>
      <c r="KD38" s="446">
        <v>96</v>
      </c>
      <c r="KE38" s="502">
        <v>96</v>
      </c>
      <c r="KF38" s="447">
        <v>132</v>
      </c>
      <c r="KG38" s="445">
        <v>126</v>
      </c>
      <c r="KH38" s="445">
        <v>126</v>
      </c>
      <c r="KI38" s="502">
        <v>126</v>
      </c>
      <c r="KJ38" s="451">
        <v>0</v>
      </c>
      <c r="KK38" s="445">
        <v>144</v>
      </c>
      <c r="KL38" s="445">
        <v>144</v>
      </c>
      <c r="KM38" s="445">
        <v>144</v>
      </c>
      <c r="KN38" s="502">
        <v>144</v>
      </c>
    </row>
    <row r="39" spans="1:300" ht="36.75" customHeight="1" thickBot="1">
      <c r="A39" s="481"/>
      <c r="B39" s="494"/>
      <c r="C39" s="666"/>
      <c r="D39" s="596"/>
      <c r="E39" s="523"/>
      <c r="F39" s="599"/>
      <c r="G39" s="456" t="s">
        <v>18</v>
      </c>
      <c r="H39" s="475"/>
      <c r="I39" s="471"/>
      <c r="J39" s="471"/>
      <c r="K39" s="471"/>
      <c r="L39" s="471"/>
      <c r="M39" s="495"/>
      <c r="N39" s="495"/>
      <c r="O39" s="495"/>
      <c r="P39" s="495"/>
      <c r="Q39" s="495"/>
      <c r="R39" s="471"/>
      <c r="S39" s="471"/>
      <c r="T39" s="495"/>
      <c r="U39" s="495"/>
      <c r="V39" s="495"/>
      <c r="W39" s="495"/>
      <c r="X39" s="495"/>
      <c r="Y39" s="495"/>
      <c r="Z39" s="495"/>
      <c r="AA39" s="495"/>
      <c r="AB39" s="495"/>
      <c r="AC39" s="460">
        <f t="shared" ref="AC39" si="1429">AB39+AC38</f>
        <v>0</v>
      </c>
      <c r="AD39" s="461">
        <f t="shared" ref="AD39" si="1430">AC39+AD38</f>
        <v>0</v>
      </c>
      <c r="AE39" s="461">
        <f t="shared" ref="AE39" si="1431">AD39+AE38</f>
        <v>0</v>
      </c>
      <c r="AF39" s="461">
        <f t="shared" ref="AF39" si="1432">AE39+AF38</f>
        <v>0</v>
      </c>
      <c r="AG39" s="461">
        <f t="shared" ref="AG39:AH39" si="1433">AF39+AG38</f>
        <v>0</v>
      </c>
      <c r="AH39" s="461">
        <f t="shared" si="1433"/>
        <v>0</v>
      </c>
      <c r="AI39" s="462">
        <f>GA39</f>
        <v>0</v>
      </c>
      <c r="AJ39" s="461">
        <f t="shared" ref="AJ39" si="1434">AI39+AJ38</f>
        <v>0</v>
      </c>
      <c r="AK39" s="461">
        <f t="shared" ref="AK39" si="1435">AJ39+AK38</f>
        <v>0</v>
      </c>
      <c r="AL39" s="461">
        <f t="shared" ref="AL39:AM39" si="1436">AK39+AL38</f>
        <v>0</v>
      </c>
      <c r="AM39" s="491">
        <f t="shared" si="1436"/>
        <v>450</v>
      </c>
      <c r="AN39" s="467">
        <f t="shared" ref="AN39" si="1437">AM39+AN38</f>
        <v>1428</v>
      </c>
      <c r="AO39" s="495">
        <f t="shared" ref="AO39" si="1438">AN39+AO38</f>
        <v>2058</v>
      </c>
      <c r="AP39" s="471">
        <f t="shared" ref="AP39:AR39" si="1439">AO39+AP38</f>
        <v>2808</v>
      </c>
      <c r="AQ39" s="471">
        <f t="shared" si="1439"/>
        <v>3288</v>
      </c>
      <c r="AR39" s="471">
        <f t="shared" si="1439"/>
        <v>3666</v>
      </c>
      <c r="AS39" s="471">
        <f t="shared" ref="AS39:AZ39" si="1440">AR39+AS38</f>
        <v>4050</v>
      </c>
      <c r="AT39" s="466">
        <f t="shared" si="1440"/>
        <v>4362</v>
      </c>
      <c r="AU39" s="466">
        <f t="shared" si="1440"/>
        <v>4620</v>
      </c>
      <c r="AV39" s="466">
        <f t="shared" si="1440"/>
        <v>4920</v>
      </c>
      <c r="AW39" s="466">
        <f t="shared" si="1440"/>
        <v>5184</v>
      </c>
      <c r="AX39" s="466">
        <f t="shared" si="1440"/>
        <v>5448</v>
      </c>
      <c r="AY39" s="466">
        <f t="shared" si="1440"/>
        <v>5592</v>
      </c>
      <c r="AZ39" s="466">
        <f t="shared" si="1440"/>
        <v>5904</v>
      </c>
      <c r="BA39" s="466">
        <f t="shared" ref="BA39" si="1441">AZ39+BA38</f>
        <v>6348</v>
      </c>
      <c r="BB39" s="466">
        <f t="shared" ref="BB39" si="1442">BA39+BB38</f>
        <v>6684</v>
      </c>
      <c r="BC39" s="466">
        <f t="shared" ref="BC39:BD39" si="1443">BB39+BC38</f>
        <v>7002</v>
      </c>
      <c r="BD39" s="466">
        <f t="shared" si="1443"/>
        <v>7272</v>
      </c>
      <c r="BE39" s="466">
        <f t="shared" ref="BE39:BF39" si="1444">BD39+BE38</f>
        <v>7656</v>
      </c>
      <c r="BF39" s="466">
        <f t="shared" si="1444"/>
        <v>7656</v>
      </c>
      <c r="BG39" s="466">
        <f t="shared" ref="BG39:BJ39" si="1445">BF39+BG38</f>
        <v>8022</v>
      </c>
      <c r="BH39" s="466">
        <f t="shared" si="1445"/>
        <v>8508</v>
      </c>
      <c r="BI39" s="466">
        <f t="shared" si="1445"/>
        <v>9018</v>
      </c>
      <c r="BJ39" s="466">
        <f t="shared" si="1445"/>
        <v>9594</v>
      </c>
      <c r="BK39" s="518"/>
      <c r="BL39" s="519"/>
      <c r="BM39" s="519"/>
      <c r="BN39" s="519"/>
      <c r="BO39" s="519"/>
      <c r="BP39" s="519"/>
      <c r="BQ39" s="519"/>
      <c r="BR39" s="519"/>
      <c r="BS39" s="519"/>
      <c r="BT39" s="519"/>
      <c r="BU39" s="519"/>
      <c r="BV39" s="519"/>
      <c r="BW39" s="520"/>
      <c r="BX39" s="519"/>
      <c r="BY39" s="519"/>
      <c r="BZ39" s="519"/>
      <c r="CA39" s="519"/>
      <c r="CB39" s="519"/>
      <c r="CC39" s="519"/>
      <c r="CD39" s="519"/>
      <c r="CE39" s="519"/>
      <c r="CF39" s="519"/>
      <c r="CG39" s="519"/>
      <c r="CH39" s="519"/>
      <c r="CI39" s="519"/>
      <c r="CJ39" s="519"/>
      <c r="CK39" s="519"/>
      <c r="CL39" s="519"/>
      <c r="CM39" s="519"/>
      <c r="CN39" s="519"/>
      <c r="CO39" s="519"/>
      <c r="CP39" s="519"/>
      <c r="CQ39" s="519"/>
      <c r="CR39" s="519"/>
      <c r="CS39" s="519"/>
      <c r="CT39" s="519"/>
      <c r="CU39" s="519"/>
      <c r="CV39" s="519"/>
      <c r="CW39" s="519"/>
      <c r="CX39" s="519"/>
      <c r="CY39" s="519"/>
      <c r="CZ39" s="519"/>
      <c r="DA39" s="519"/>
      <c r="DB39" s="519"/>
      <c r="DC39" s="519"/>
      <c r="DD39" s="519"/>
      <c r="DE39" s="519"/>
      <c r="DF39" s="519"/>
      <c r="DG39" s="519"/>
      <c r="DH39" s="519"/>
      <c r="DI39" s="519"/>
      <c r="DJ39" s="519"/>
      <c r="DK39" s="519"/>
      <c r="DL39" s="519"/>
      <c r="DM39" s="519"/>
      <c r="DN39" s="519"/>
      <c r="DO39" s="519"/>
      <c r="DP39" s="519"/>
      <c r="DQ39" s="519"/>
      <c r="DR39" s="519"/>
      <c r="DS39" s="519"/>
      <c r="DT39" s="519"/>
      <c r="DU39" s="519"/>
      <c r="DV39" s="519"/>
      <c r="DW39" s="519"/>
      <c r="DX39" s="519"/>
      <c r="DY39" s="519"/>
      <c r="DZ39" s="519"/>
      <c r="EA39" s="519"/>
      <c r="EB39" s="519"/>
      <c r="EC39" s="519"/>
      <c r="ED39" s="519"/>
      <c r="EE39" s="519"/>
      <c r="EF39" s="519"/>
      <c r="EG39" s="519"/>
      <c r="EH39" s="519"/>
      <c r="EI39" s="519"/>
      <c r="EJ39" s="519"/>
      <c r="EK39" s="519"/>
      <c r="EL39" s="519"/>
      <c r="EM39" s="519"/>
      <c r="EN39" s="519"/>
      <c r="EO39" s="519"/>
      <c r="EP39" s="519"/>
      <c r="EQ39" s="519"/>
      <c r="ER39" s="519"/>
      <c r="ES39" s="519"/>
      <c r="ET39" s="519"/>
      <c r="EU39" s="519"/>
      <c r="EV39" s="519"/>
      <c r="EW39" s="521"/>
      <c r="EX39" s="463">
        <f t="shared" ref="EX39" si="1446">EW39+EX38</f>
        <v>0</v>
      </c>
      <c r="EY39" s="461">
        <f t="shared" ref="EY39" si="1447">EX39+EY38</f>
        <v>0</v>
      </c>
      <c r="EZ39" s="461">
        <f t="shared" ref="EZ39" si="1448">EY39+EZ38</f>
        <v>0</v>
      </c>
      <c r="FA39" s="492">
        <f t="shared" ref="FA39" si="1449">EZ39+FA38</f>
        <v>0</v>
      </c>
      <c r="FB39" s="463">
        <f t="shared" ref="FB39" si="1450">FA39+FB38</f>
        <v>0</v>
      </c>
      <c r="FC39" s="461">
        <f t="shared" ref="FC39" si="1451">FB39+FC38</f>
        <v>0</v>
      </c>
      <c r="FD39" s="461">
        <f t="shared" ref="FD39" si="1452">FC39+FD38</f>
        <v>0</v>
      </c>
      <c r="FE39" s="461">
        <f t="shared" ref="FE39" si="1453">FD39+FE38</f>
        <v>0</v>
      </c>
      <c r="FF39" s="492">
        <f t="shared" ref="FF39" si="1454">FE39+FF38</f>
        <v>0</v>
      </c>
      <c r="FG39" s="464">
        <f t="shared" ref="FG39" si="1455">FF39+FG38</f>
        <v>0</v>
      </c>
      <c r="FH39" s="461">
        <f t="shared" ref="FH39" si="1456">FG39+FH38</f>
        <v>0</v>
      </c>
      <c r="FI39" s="461">
        <f t="shared" ref="FI39" si="1457">FH39+FI38</f>
        <v>0</v>
      </c>
      <c r="FJ39" s="492">
        <f t="shared" ref="FJ39" si="1458">FI39+FJ38</f>
        <v>0</v>
      </c>
      <c r="FK39" s="464">
        <f t="shared" ref="FK39" si="1459">FJ39+FK38</f>
        <v>0</v>
      </c>
      <c r="FL39" s="461">
        <f t="shared" ref="FL39" si="1460">FK39+FL38</f>
        <v>0</v>
      </c>
      <c r="FM39" s="461">
        <f t="shared" ref="FM39" si="1461">FL39+FM38</f>
        <v>0</v>
      </c>
      <c r="FN39" s="492">
        <f t="shared" ref="FN39" si="1462">FM39+FN38</f>
        <v>0</v>
      </c>
      <c r="FO39" s="464">
        <f t="shared" ref="FO39" si="1463">FN39+FO38</f>
        <v>0</v>
      </c>
      <c r="FP39" s="461">
        <f t="shared" ref="FP39" si="1464">FO39+FP38</f>
        <v>0</v>
      </c>
      <c r="FQ39" s="461">
        <f t="shared" ref="FQ39" si="1465">FP39+FQ38</f>
        <v>0</v>
      </c>
      <c r="FR39" s="492">
        <f t="shared" ref="FR39" si="1466">FQ39+FR38</f>
        <v>0</v>
      </c>
      <c r="FS39" s="464">
        <f t="shared" ref="FS39" si="1467">FR39+FS38</f>
        <v>0</v>
      </c>
      <c r="FT39" s="461">
        <f t="shared" ref="FT39" si="1468">FS39+FT38</f>
        <v>0</v>
      </c>
      <c r="FU39" s="461">
        <f t="shared" ref="FU39" si="1469">FT39+FU38</f>
        <v>0</v>
      </c>
      <c r="FV39" s="461">
        <f t="shared" ref="FV39:FW39" si="1470">FU39+FV38</f>
        <v>0</v>
      </c>
      <c r="FW39" s="492">
        <f t="shared" si="1470"/>
        <v>0</v>
      </c>
      <c r="FX39" s="464">
        <f t="shared" ref="FX39" si="1471">FW39+FX38</f>
        <v>0</v>
      </c>
      <c r="FY39" s="461">
        <f t="shared" ref="FY39" si="1472">FX39+FY38</f>
        <v>0</v>
      </c>
      <c r="FZ39" s="461">
        <f t="shared" ref="FZ39" si="1473">FY39+FZ38</f>
        <v>0</v>
      </c>
      <c r="GA39" s="492">
        <f t="shared" ref="GA39" si="1474">FZ39+GA38</f>
        <v>0</v>
      </c>
      <c r="GB39" s="464">
        <f t="shared" ref="GB39" si="1475">GA39+GB38</f>
        <v>0</v>
      </c>
      <c r="GC39" s="461">
        <f t="shared" ref="GC39" si="1476">GB39+GC38</f>
        <v>0</v>
      </c>
      <c r="GD39" s="461">
        <f t="shared" ref="GD39" si="1477">GC39+GD38</f>
        <v>0</v>
      </c>
      <c r="GE39" s="492">
        <f t="shared" ref="GE39" si="1478">GD39+GE38</f>
        <v>0</v>
      </c>
      <c r="GF39" s="464">
        <f t="shared" ref="GF39" si="1479">GE39+GF38</f>
        <v>0</v>
      </c>
      <c r="GG39" s="461">
        <f t="shared" ref="GG39" si="1480">GF39+GG38</f>
        <v>0</v>
      </c>
      <c r="GH39" s="461">
        <f t="shared" ref="GH39" si="1481">GG39+GH38</f>
        <v>0</v>
      </c>
      <c r="GI39" s="461">
        <f t="shared" ref="GI39" si="1482">GH39+GI38</f>
        <v>0</v>
      </c>
      <c r="GJ39" s="496">
        <f t="shared" ref="GJ39" si="1483">GI39+GJ38</f>
        <v>0</v>
      </c>
      <c r="GK39" s="463">
        <f t="shared" ref="GK39" si="1484">GJ39+GK38</f>
        <v>0</v>
      </c>
      <c r="GL39" s="461">
        <f t="shared" ref="GL39" si="1485">GK39+GL38</f>
        <v>0</v>
      </c>
      <c r="GM39" s="461">
        <f t="shared" ref="GM39" si="1486">GL39+GM38</f>
        <v>0</v>
      </c>
      <c r="GN39" s="497">
        <f t="shared" ref="GN39" si="1487">GM39+GN38</f>
        <v>0</v>
      </c>
      <c r="GO39" s="463">
        <f t="shared" ref="GO39" si="1488">GN39+GO38</f>
        <v>90</v>
      </c>
      <c r="GP39" s="461">
        <f t="shared" ref="GP39" si="1489">GO39+GP38</f>
        <v>180</v>
      </c>
      <c r="GQ39" s="461">
        <f t="shared" ref="GQ39" si="1490">GP39+GQ38</f>
        <v>270</v>
      </c>
      <c r="GR39" s="460">
        <f t="shared" ref="GR39" si="1491">GQ39+GR38</f>
        <v>360</v>
      </c>
      <c r="GS39" s="492">
        <f t="shared" ref="GS39" si="1492">GR39+GS38</f>
        <v>450</v>
      </c>
      <c r="GT39" s="464">
        <f t="shared" ref="GT39" si="1493">GS39+GT38</f>
        <v>696</v>
      </c>
      <c r="GU39" s="461">
        <f t="shared" ref="GU39" si="1494">GT39+GU38</f>
        <v>942</v>
      </c>
      <c r="GV39" s="461">
        <f t="shared" ref="GV39" si="1495">GU39+GV38</f>
        <v>1188</v>
      </c>
      <c r="GW39" s="497">
        <f t="shared" ref="GW39" si="1496">GV39+GW38</f>
        <v>1428</v>
      </c>
      <c r="GX39" s="498">
        <f t="shared" ref="GX39" si="1497">GW39+GX38</f>
        <v>1590</v>
      </c>
      <c r="GY39" s="466">
        <f t="shared" ref="GY39" si="1498">GX39+GY38</f>
        <v>1746</v>
      </c>
      <c r="GZ39" s="466">
        <f t="shared" ref="GZ39" si="1499">GY39+GZ38</f>
        <v>1902</v>
      </c>
      <c r="HA39" s="499">
        <f t="shared" ref="HA39" si="1500">GZ39+HA38</f>
        <v>2058</v>
      </c>
      <c r="HB39" s="498">
        <f t="shared" ref="HB39" si="1501">HA39+HB38</f>
        <v>2208</v>
      </c>
      <c r="HC39" s="466">
        <f t="shared" ref="HC39" si="1502">HB39+HC38</f>
        <v>2358</v>
      </c>
      <c r="HD39" s="466">
        <f t="shared" ref="HD39" si="1503">HC39+HD38</f>
        <v>2508</v>
      </c>
      <c r="HE39" s="466">
        <f t="shared" ref="HE39" si="1504">HD39+HE38</f>
        <v>2658</v>
      </c>
      <c r="HF39" s="500">
        <f t="shared" ref="HF39" si="1505">HE39+HF38</f>
        <v>2808</v>
      </c>
      <c r="HG39" s="498">
        <f t="shared" ref="HG39" si="1506">HF39+HG38</f>
        <v>2970</v>
      </c>
      <c r="HH39" s="466">
        <f t="shared" ref="HH39" si="1507">HG39+HH38</f>
        <v>2970</v>
      </c>
      <c r="HI39" s="466">
        <f t="shared" ref="HI39" si="1508">HH39+HI38</f>
        <v>3132</v>
      </c>
      <c r="HJ39" s="500">
        <f t="shared" ref="HJ39" si="1509">HI39+HJ38</f>
        <v>3288</v>
      </c>
      <c r="HK39" s="476">
        <f t="shared" ref="HK39" si="1510">HJ39+HK38</f>
        <v>3384</v>
      </c>
      <c r="HL39" s="477">
        <f t="shared" ref="HL39" si="1511">HK39+HL38</f>
        <v>3480</v>
      </c>
      <c r="HM39" s="477">
        <f t="shared" ref="HM39" si="1512">HL39+HM38</f>
        <v>3576</v>
      </c>
      <c r="HN39" s="478">
        <f t="shared" ref="HN39" si="1513">HM39+HN38</f>
        <v>3666</v>
      </c>
      <c r="HO39" s="476">
        <f t="shared" ref="HO39" si="1514">HN39+HO38</f>
        <v>3762</v>
      </c>
      <c r="HP39" s="477">
        <f t="shared" ref="HP39" si="1515">HO39+HP38</f>
        <v>3858</v>
      </c>
      <c r="HQ39" s="477">
        <f t="shared" ref="HQ39" si="1516">HP39+HQ38</f>
        <v>3954</v>
      </c>
      <c r="HR39" s="478">
        <f t="shared" ref="HR39" si="1517">HQ39+HR38</f>
        <v>4050</v>
      </c>
      <c r="HS39" s="476">
        <f t="shared" ref="HS39" si="1518">HR39+HS38</f>
        <v>4128</v>
      </c>
      <c r="HT39" s="477">
        <f t="shared" ref="HT39" si="1519">HS39+HT38</f>
        <v>4206</v>
      </c>
      <c r="HU39" s="477">
        <f t="shared" ref="HU39" si="1520">HT39+HU38</f>
        <v>4284</v>
      </c>
      <c r="HV39" s="478">
        <f t="shared" ref="HV39" si="1521">HU39+HV38</f>
        <v>4362</v>
      </c>
      <c r="HW39" s="476">
        <f t="shared" ref="HW39" si="1522">HV39+HW38</f>
        <v>4362</v>
      </c>
      <c r="HX39" s="477">
        <f t="shared" ref="HX39" si="1523">HW39+HX38</f>
        <v>4428</v>
      </c>
      <c r="HY39" s="477">
        <f t="shared" ref="HY39" si="1524">HX39+HY38</f>
        <v>4494</v>
      </c>
      <c r="HZ39" s="477">
        <f t="shared" ref="HZ39" si="1525">HY39+HZ38</f>
        <v>4560</v>
      </c>
      <c r="IA39" s="478">
        <f t="shared" ref="IA39" si="1526">HZ39+IA38</f>
        <v>4620</v>
      </c>
      <c r="IB39" s="479">
        <f t="shared" ref="IB39" si="1527">IA39+IB38</f>
        <v>4698</v>
      </c>
      <c r="IC39" s="477">
        <f t="shared" ref="IC39" si="1528">IB39+IC38</f>
        <v>4776</v>
      </c>
      <c r="ID39" s="477">
        <f t="shared" ref="ID39" si="1529">IC39+ID38</f>
        <v>4848</v>
      </c>
      <c r="IE39" s="478">
        <f t="shared" ref="IE39" si="1530">ID39+IE38</f>
        <v>4920</v>
      </c>
      <c r="IF39" s="479">
        <f t="shared" ref="IF39" si="1531">IE39+IF38</f>
        <v>4974</v>
      </c>
      <c r="IG39" s="477">
        <f t="shared" ref="IG39" si="1532">IF39+IG38</f>
        <v>5028</v>
      </c>
      <c r="IH39" s="477">
        <f t="shared" ref="IH39" si="1533">IG39+IH38</f>
        <v>5082</v>
      </c>
      <c r="II39" s="477">
        <f t="shared" ref="II39" si="1534">IH39+II38</f>
        <v>5136</v>
      </c>
      <c r="IJ39" s="480">
        <f t="shared" ref="IJ39" si="1535">II39+IJ38</f>
        <v>5184</v>
      </c>
      <c r="IK39" s="476">
        <f t="shared" ref="IK39" si="1536">IJ39+IK38</f>
        <v>5184</v>
      </c>
      <c r="IL39" s="477">
        <f t="shared" ref="IL39" si="1537">IK39+IL38</f>
        <v>5274</v>
      </c>
      <c r="IM39" s="477">
        <f t="shared" ref="IM39" si="1538">IL39+IM38</f>
        <v>5364</v>
      </c>
      <c r="IN39" s="478">
        <f t="shared" ref="IN39" si="1539">IM39+IN38</f>
        <v>5448</v>
      </c>
      <c r="IO39" s="476">
        <f t="shared" ref="IO39" si="1540">IN39+IO38</f>
        <v>5490</v>
      </c>
      <c r="IP39" s="477">
        <f t="shared" ref="IP39" si="1541">IO39+IP38</f>
        <v>5532</v>
      </c>
      <c r="IQ39" s="477">
        <f t="shared" ref="IQ39" si="1542">IP39+IQ38</f>
        <v>5562</v>
      </c>
      <c r="IR39" s="478">
        <f t="shared" ref="IR39" si="1543">IQ39+IR38</f>
        <v>5592</v>
      </c>
      <c r="IS39" s="476">
        <f t="shared" ref="IS39" si="1544">IR39+IS38</f>
        <v>5670</v>
      </c>
      <c r="IT39" s="477">
        <f t="shared" ref="IT39" si="1545">IS39+IT38</f>
        <v>5748</v>
      </c>
      <c r="IU39" s="477">
        <f t="shared" ref="IU39" si="1546">IT39+IU38</f>
        <v>5826</v>
      </c>
      <c r="IV39" s="480">
        <f t="shared" ref="IV39:IW39" si="1547">IU39+IV38</f>
        <v>5904</v>
      </c>
      <c r="IW39" s="476">
        <f t="shared" si="1547"/>
        <v>5976</v>
      </c>
      <c r="IX39" s="479">
        <f t="shared" ref="IX39" si="1548">IW39+IX38</f>
        <v>6072</v>
      </c>
      <c r="IY39" s="477">
        <f t="shared" ref="IY39" si="1549">IX39+IY38</f>
        <v>6168</v>
      </c>
      <c r="IZ39" s="480">
        <f t="shared" ref="IZ39" si="1550">IY39+IZ38</f>
        <v>6264</v>
      </c>
      <c r="JA39" s="478">
        <f t="shared" ref="JA39" si="1551">IZ39+JA38</f>
        <v>6348</v>
      </c>
      <c r="JB39" s="476">
        <f t="shared" ref="JB39" si="1552">JA39+JB38</f>
        <v>6432</v>
      </c>
      <c r="JC39" s="477">
        <f t="shared" ref="JC39" si="1553">JB39+JC38</f>
        <v>6516</v>
      </c>
      <c r="JD39" s="477">
        <f t="shared" ref="JD39" si="1554">JC39+JD38</f>
        <v>6600</v>
      </c>
      <c r="JE39" s="478">
        <f t="shared" ref="JE39" si="1555">JD39+JE38</f>
        <v>6684</v>
      </c>
      <c r="JF39" s="476">
        <f t="shared" ref="JF39" si="1556">JE39+JF38</f>
        <v>6768</v>
      </c>
      <c r="JG39" s="477">
        <f t="shared" ref="JG39" si="1557">JF39+JG38</f>
        <v>6846</v>
      </c>
      <c r="JH39" s="477">
        <f t="shared" ref="JH39" si="1558">JG39+JH38</f>
        <v>6924</v>
      </c>
      <c r="JI39" s="478">
        <f t="shared" ref="JI39" si="1559">JH39+JI38</f>
        <v>7002</v>
      </c>
      <c r="JJ39" s="611">
        <f t="shared" ref="JJ39" si="1560">JI39+JJ38</f>
        <v>7002</v>
      </c>
      <c r="JK39" s="477">
        <f t="shared" ref="JK39" si="1561">JJ39+JK38</f>
        <v>7092</v>
      </c>
      <c r="JL39" s="477">
        <f t="shared" ref="JL39" si="1562">JK39+JL38</f>
        <v>7182</v>
      </c>
      <c r="JM39" s="478">
        <f t="shared" ref="JM39" si="1563">JL39+JM38</f>
        <v>7272</v>
      </c>
      <c r="JN39" s="476">
        <f>JM39+JN38</f>
        <v>7368</v>
      </c>
      <c r="JO39" s="477">
        <f>JN39+JO38</f>
        <v>7464</v>
      </c>
      <c r="JP39" s="477">
        <f>JO39+JP38</f>
        <v>7560</v>
      </c>
      <c r="JQ39" s="613">
        <f t="shared" ref="JQ39" si="1564">JP39+JQ38</f>
        <v>7560</v>
      </c>
      <c r="JR39" s="478">
        <f t="shared" ref="JR39" si="1565">JQ39+JR38</f>
        <v>7656</v>
      </c>
      <c r="JS39" s="476">
        <f>JR39+JS38</f>
        <v>7656</v>
      </c>
      <c r="JT39" s="477">
        <f>JS39+JT38</f>
        <v>7656</v>
      </c>
      <c r="JU39" s="477">
        <f>JT39+JU38</f>
        <v>7656</v>
      </c>
      <c r="JV39" s="478">
        <f t="shared" ref="JV39" si="1566">JU39+JV38</f>
        <v>7656</v>
      </c>
      <c r="JW39" s="476">
        <f>JV39+JW38</f>
        <v>7752</v>
      </c>
      <c r="JX39" s="477">
        <f>JW39+JX38</f>
        <v>7842</v>
      </c>
      <c r="JY39" s="477">
        <f>JX39+JY38</f>
        <v>7932</v>
      </c>
      <c r="JZ39" s="478">
        <f t="shared" ref="JZ39:KE39" si="1567">JY39+JZ38</f>
        <v>8022</v>
      </c>
      <c r="KA39" s="476">
        <f t="shared" si="1567"/>
        <v>8124</v>
      </c>
      <c r="KB39" s="477">
        <f t="shared" si="1567"/>
        <v>8220</v>
      </c>
      <c r="KC39" s="477">
        <f t="shared" si="1567"/>
        <v>8316</v>
      </c>
      <c r="KD39" s="480">
        <f t="shared" si="1567"/>
        <v>8412</v>
      </c>
      <c r="KE39" s="478">
        <f t="shared" si="1567"/>
        <v>8508</v>
      </c>
      <c r="KF39" s="476">
        <f t="shared" ref="KF39" si="1568">KE39+KF38</f>
        <v>8640</v>
      </c>
      <c r="KG39" s="477">
        <f t="shared" ref="KG39" si="1569">KF39+KG38</f>
        <v>8766</v>
      </c>
      <c r="KH39" s="477">
        <f t="shared" ref="KH39" si="1570">KG39+KH38</f>
        <v>8892</v>
      </c>
      <c r="KI39" s="478">
        <f t="shared" ref="KI39" si="1571">KH39+KI38</f>
        <v>9018</v>
      </c>
      <c r="KJ39" s="611">
        <f t="shared" ref="KJ39" si="1572">KI39+KJ38</f>
        <v>9018</v>
      </c>
      <c r="KK39" s="477">
        <f t="shared" ref="KK39" si="1573">KJ39+KK38</f>
        <v>9162</v>
      </c>
      <c r="KL39" s="477">
        <f t="shared" ref="KL39:KM39" si="1574">KK39+KL38</f>
        <v>9306</v>
      </c>
      <c r="KM39" s="477">
        <f t="shared" si="1574"/>
        <v>9450</v>
      </c>
      <c r="KN39" s="478">
        <f t="shared" ref="KN39" si="1575">KL39+KN38</f>
        <v>9450</v>
      </c>
    </row>
    <row r="40" spans="1:300" ht="36.75" customHeight="1">
      <c r="A40" s="481"/>
      <c r="B40" s="494"/>
      <c r="C40" s="667">
        <v>9</v>
      </c>
      <c r="D40" s="595" t="s">
        <v>202</v>
      </c>
      <c r="E40" s="523"/>
      <c r="F40" s="601" t="s">
        <v>148</v>
      </c>
      <c r="G40" s="440" t="s">
        <v>17</v>
      </c>
      <c r="H40" s="475"/>
      <c r="I40" s="471"/>
      <c r="J40" s="471"/>
      <c r="K40" s="471"/>
      <c r="L40" s="471"/>
      <c r="M40" s="495"/>
      <c r="N40" s="495"/>
      <c r="O40" s="495"/>
      <c r="P40" s="495"/>
      <c r="Q40" s="495"/>
      <c r="R40" s="471"/>
      <c r="S40" s="471"/>
      <c r="T40" s="495"/>
      <c r="U40" s="495"/>
      <c r="V40" s="495"/>
      <c r="W40" s="495"/>
      <c r="X40" s="495"/>
      <c r="Y40" s="495"/>
      <c r="Z40" s="495"/>
      <c r="AA40" s="495"/>
      <c r="AB40" s="495"/>
      <c r="AC40" s="483">
        <f>SUBTOTAL(9,EX40:FA40)</f>
        <v>0</v>
      </c>
      <c r="AD40" s="445">
        <f>SUBTOTAL(9,FB40:FF40)</f>
        <v>0</v>
      </c>
      <c r="AE40" s="445">
        <f>SUBTOTAL(9,FG40:FJ40)</f>
        <v>0</v>
      </c>
      <c r="AF40" s="445">
        <f>SUBTOTAL(9,FK40:FN40)</f>
        <v>0</v>
      </c>
      <c r="AG40" s="445">
        <f>SUBTOTAL(9,FO40:FR40)</f>
        <v>0</v>
      </c>
      <c r="AH40" s="445">
        <f>SUBTOTAL(9,FS40:FW40)</f>
        <v>0</v>
      </c>
      <c r="AI40" s="445">
        <f>SUBTOTAL(9,FX40:GA40)</f>
        <v>0</v>
      </c>
      <c r="AJ40" s="445">
        <f>SUBTOTAL(9,GB40:GE40)</f>
        <v>0</v>
      </c>
      <c r="AK40" s="445">
        <f>SUBTOTAL(9,GF40:GJ40)</f>
        <v>0</v>
      </c>
      <c r="AL40" s="446">
        <f>SUBTOTAL(9,GK40:GN40)</f>
        <v>0</v>
      </c>
      <c r="AM40" s="447">
        <f>SUBTOTAL(9,GO40:GS40)</f>
        <v>6</v>
      </c>
      <c r="AN40" s="448">
        <f>SUBTOTAL(9,GT40:GW40)</f>
        <v>6</v>
      </c>
      <c r="AO40" s="446">
        <f>SUM(GX40:HA40)</f>
        <v>18</v>
      </c>
      <c r="AP40" s="445">
        <f>SUM(HB40:HF40)</f>
        <v>18</v>
      </c>
      <c r="AQ40" s="445">
        <f>SUM(HG40:HJ40)</f>
        <v>12</v>
      </c>
      <c r="AR40" s="445">
        <f>SUM(HK40:HN40)</f>
        <v>12</v>
      </c>
      <c r="AS40" s="445">
        <f>SUM(HO40:HR40)</f>
        <v>0</v>
      </c>
      <c r="AT40" s="445">
        <f>SUM(HS40:HV40)</f>
        <v>0</v>
      </c>
      <c r="AU40" s="445">
        <f>SUM(HW40:IA40)</f>
        <v>0</v>
      </c>
      <c r="AV40" s="445">
        <f>SUM(IB40:IE40)</f>
        <v>12</v>
      </c>
      <c r="AW40" s="445">
        <f t="shared" ref="AW40" si="1576">SUM(IF40:IJ40)</f>
        <v>12</v>
      </c>
      <c r="AX40" s="446">
        <f t="shared" ref="AX40" si="1577">SUM(IK40:IN40)</f>
        <v>18</v>
      </c>
      <c r="AY40" s="446">
        <f t="shared" ref="AY40" si="1578">SUM(IO40:IR40)</f>
        <v>6</v>
      </c>
      <c r="AZ40" s="446">
        <f t="shared" ref="AZ40" si="1579">SUM(IS40:IV40)</f>
        <v>6</v>
      </c>
      <c r="BA40" s="446">
        <f t="shared" ref="BA40" si="1580">SUM(IW40:JA40)</f>
        <v>0</v>
      </c>
      <c r="BB40" s="446">
        <f t="shared" ref="BB40" si="1581">SUM(JB40:JE40)</f>
        <v>6</v>
      </c>
      <c r="BC40" s="446">
        <f t="shared" ref="BC40" si="1582">SUM(JF40:JI40)</f>
        <v>6</v>
      </c>
      <c r="BD40" s="446">
        <f t="shared" ref="BD40" si="1583">SUM(JJ40:JM40)</f>
        <v>12</v>
      </c>
      <c r="BE40" s="446">
        <f t="shared" ref="BE40" si="1584">SUM(JN40:JR40)</f>
        <v>0</v>
      </c>
      <c r="BF40" s="446">
        <f t="shared" ref="BF40" si="1585">SUM(JS40:JV40)</f>
        <v>0</v>
      </c>
      <c r="BG40" s="446">
        <f t="shared" ref="BG40" si="1586">SUM(JW40:JZ40)</f>
        <v>0</v>
      </c>
      <c r="BH40" s="446">
        <f t="shared" ref="BH40" si="1587">SUM(KA40:KE40)</f>
        <v>0</v>
      </c>
      <c r="BI40" s="446">
        <f t="shared" ref="BI40" si="1588">SUM(KF40:KI40)</f>
        <v>0</v>
      </c>
      <c r="BJ40" s="446">
        <f t="shared" ref="BJ40" si="1589">SUM(KJ40:KN40)</f>
        <v>0</v>
      </c>
      <c r="BK40" s="538"/>
      <c r="BL40" s="539"/>
      <c r="BM40" s="539"/>
      <c r="BN40" s="539"/>
      <c r="BO40" s="539"/>
      <c r="BP40" s="539"/>
      <c r="BQ40" s="539"/>
      <c r="BR40" s="539"/>
      <c r="BS40" s="539"/>
      <c r="BT40" s="539"/>
      <c r="BU40" s="539"/>
      <c r="BV40" s="539"/>
      <c r="BW40" s="540"/>
      <c r="BX40" s="539"/>
      <c r="BY40" s="539"/>
      <c r="BZ40" s="539"/>
      <c r="CA40" s="539"/>
      <c r="CB40" s="539"/>
      <c r="CC40" s="539"/>
      <c r="CD40" s="539"/>
      <c r="CE40" s="539"/>
      <c r="CF40" s="539"/>
      <c r="CG40" s="539"/>
      <c r="CH40" s="539"/>
      <c r="CI40" s="539"/>
      <c r="CJ40" s="539"/>
      <c r="CK40" s="539"/>
      <c r="CL40" s="539"/>
      <c r="CM40" s="539"/>
      <c r="CN40" s="539"/>
      <c r="CO40" s="539"/>
      <c r="CP40" s="539"/>
      <c r="CQ40" s="539"/>
      <c r="CR40" s="539"/>
      <c r="CS40" s="539"/>
      <c r="CT40" s="539"/>
      <c r="CU40" s="539"/>
      <c r="CV40" s="539"/>
      <c r="CW40" s="539"/>
      <c r="CX40" s="539"/>
      <c r="CY40" s="539"/>
      <c r="CZ40" s="539"/>
      <c r="DA40" s="539"/>
      <c r="DB40" s="539"/>
      <c r="DC40" s="539"/>
      <c r="DD40" s="539"/>
      <c r="DE40" s="539"/>
      <c r="DF40" s="539"/>
      <c r="DG40" s="539"/>
      <c r="DH40" s="539"/>
      <c r="DI40" s="539"/>
      <c r="DJ40" s="539"/>
      <c r="DK40" s="539"/>
      <c r="DL40" s="539"/>
      <c r="DM40" s="539"/>
      <c r="DN40" s="539"/>
      <c r="DO40" s="539"/>
      <c r="DP40" s="539"/>
      <c r="DQ40" s="539"/>
      <c r="DR40" s="539"/>
      <c r="DS40" s="539"/>
      <c r="DT40" s="539"/>
      <c r="DU40" s="539"/>
      <c r="DV40" s="539"/>
      <c r="DW40" s="539"/>
      <c r="DX40" s="539"/>
      <c r="DY40" s="539"/>
      <c r="DZ40" s="539"/>
      <c r="EA40" s="539"/>
      <c r="EB40" s="539"/>
      <c r="EC40" s="539"/>
      <c r="ED40" s="539"/>
      <c r="EE40" s="539"/>
      <c r="EF40" s="539"/>
      <c r="EG40" s="539"/>
      <c r="EH40" s="539"/>
      <c r="EI40" s="539"/>
      <c r="EJ40" s="539"/>
      <c r="EK40" s="539"/>
      <c r="EL40" s="539"/>
      <c r="EM40" s="539"/>
      <c r="EN40" s="539"/>
      <c r="EO40" s="539"/>
      <c r="EP40" s="539"/>
      <c r="EQ40" s="539"/>
      <c r="ER40" s="539"/>
      <c r="ES40" s="539"/>
      <c r="ET40" s="539"/>
      <c r="EU40" s="539"/>
      <c r="EV40" s="539"/>
      <c r="EW40" s="541"/>
      <c r="EX40" s="447">
        <v>0</v>
      </c>
      <c r="EY40" s="445">
        <v>0</v>
      </c>
      <c r="EZ40" s="445">
        <v>0</v>
      </c>
      <c r="FA40" s="502">
        <v>0</v>
      </c>
      <c r="FB40" s="447">
        <v>0</v>
      </c>
      <c r="FC40" s="445">
        <v>0</v>
      </c>
      <c r="FD40" s="445">
        <v>0</v>
      </c>
      <c r="FE40" s="445">
        <v>0</v>
      </c>
      <c r="FF40" s="502">
        <v>0</v>
      </c>
      <c r="FG40" s="448">
        <v>0</v>
      </c>
      <c r="FH40" s="445">
        <v>0</v>
      </c>
      <c r="FI40" s="445">
        <v>0</v>
      </c>
      <c r="FJ40" s="502">
        <v>0</v>
      </c>
      <c r="FK40" s="448">
        <v>0</v>
      </c>
      <c r="FL40" s="445">
        <v>0</v>
      </c>
      <c r="FM40" s="445">
        <v>0</v>
      </c>
      <c r="FN40" s="502">
        <v>0</v>
      </c>
      <c r="FO40" s="448">
        <v>0</v>
      </c>
      <c r="FP40" s="445">
        <v>0</v>
      </c>
      <c r="FQ40" s="445">
        <v>0</v>
      </c>
      <c r="FR40" s="502">
        <v>0</v>
      </c>
      <c r="FS40" s="448">
        <v>0</v>
      </c>
      <c r="FT40" s="445">
        <v>0</v>
      </c>
      <c r="FU40" s="445">
        <v>0</v>
      </c>
      <c r="FV40" s="445">
        <v>0</v>
      </c>
      <c r="FW40" s="502">
        <v>0</v>
      </c>
      <c r="FX40" s="448">
        <v>0</v>
      </c>
      <c r="FY40" s="445">
        <v>0</v>
      </c>
      <c r="FZ40" s="445">
        <v>0</v>
      </c>
      <c r="GA40" s="502">
        <v>0</v>
      </c>
      <c r="GB40" s="448">
        <v>0</v>
      </c>
      <c r="GC40" s="445">
        <v>0</v>
      </c>
      <c r="GD40" s="445">
        <v>0</v>
      </c>
      <c r="GE40" s="502">
        <v>0</v>
      </c>
      <c r="GF40" s="448">
        <v>0</v>
      </c>
      <c r="GG40" s="445">
        <v>0</v>
      </c>
      <c r="GH40" s="445">
        <v>0</v>
      </c>
      <c r="GI40" s="445">
        <v>0</v>
      </c>
      <c r="GJ40" s="503">
        <v>0</v>
      </c>
      <c r="GK40" s="447">
        <v>0</v>
      </c>
      <c r="GL40" s="445">
        <v>0</v>
      </c>
      <c r="GM40" s="445">
        <v>0</v>
      </c>
      <c r="GN40" s="504">
        <v>0</v>
      </c>
      <c r="GO40" s="447">
        <v>6</v>
      </c>
      <c r="GP40" s="445">
        <v>0</v>
      </c>
      <c r="GQ40" s="445">
        <v>0</v>
      </c>
      <c r="GR40" s="446">
        <v>0</v>
      </c>
      <c r="GS40" s="502"/>
      <c r="GT40" s="448">
        <v>6</v>
      </c>
      <c r="GU40" s="445">
        <v>0</v>
      </c>
      <c r="GV40" s="445">
        <v>0</v>
      </c>
      <c r="GW40" s="504">
        <v>0</v>
      </c>
      <c r="GX40" s="447">
        <v>18</v>
      </c>
      <c r="GY40" s="445">
        <v>0</v>
      </c>
      <c r="GZ40" s="445">
        <v>0</v>
      </c>
      <c r="HA40" s="504">
        <v>0</v>
      </c>
      <c r="HB40" s="447">
        <v>18</v>
      </c>
      <c r="HC40" s="445">
        <v>0</v>
      </c>
      <c r="HD40" s="445">
        <v>0</v>
      </c>
      <c r="HE40" s="445">
        <v>0</v>
      </c>
      <c r="HF40" s="502">
        <v>0</v>
      </c>
      <c r="HG40" s="447">
        <v>12</v>
      </c>
      <c r="HH40" s="450"/>
      <c r="HI40" s="445">
        <v>0</v>
      </c>
      <c r="HJ40" s="502">
        <v>0</v>
      </c>
      <c r="HK40" s="447">
        <v>12</v>
      </c>
      <c r="HL40" s="445">
        <v>0</v>
      </c>
      <c r="HM40" s="445">
        <v>0</v>
      </c>
      <c r="HN40" s="502">
        <v>0</v>
      </c>
      <c r="HO40" s="447">
        <v>0</v>
      </c>
      <c r="HP40" s="445">
        <v>0</v>
      </c>
      <c r="HQ40" s="445">
        <v>0</v>
      </c>
      <c r="HR40" s="502">
        <v>0</v>
      </c>
      <c r="HS40" s="447">
        <v>0</v>
      </c>
      <c r="HT40" s="445">
        <v>0</v>
      </c>
      <c r="HU40" s="445">
        <v>0</v>
      </c>
      <c r="HV40" s="502">
        <v>0</v>
      </c>
      <c r="HW40" s="451"/>
      <c r="HX40" s="445">
        <v>0</v>
      </c>
      <c r="HY40" s="445">
        <v>0</v>
      </c>
      <c r="HZ40" s="445">
        <v>0</v>
      </c>
      <c r="IA40" s="502">
        <v>0</v>
      </c>
      <c r="IB40" s="448">
        <v>12</v>
      </c>
      <c r="IC40" s="445">
        <v>0</v>
      </c>
      <c r="ID40" s="445">
        <v>0</v>
      </c>
      <c r="IE40" s="502">
        <v>0</v>
      </c>
      <c r="IF40" s="448">
        <v>12</v>
      </c>
      <c r="IG40" s="445">
        <v>0</v>
      </c>
      <c r="IH40" s="445">
        <v>0</v>
      </c>
      <c r="II40" s="445">
        <v>0</v>
      </c>
      <c r="IJ40" s="446">
        <v>0</v>
      </c>
      <c r="IK40" s="451"/>
      <c r="IL40" s="445">
        <v>18</v>
      </c>
      <c r="IM40" s="445">
        <v>0</v>
      </c>
      <c r="IN40" s="502">
        <v>0</v>
      </c>
      <c r="IO40" s="447">
        <v>6</v>
      </c>
      <c r="IP40" s="445">
        <v>0</v>
      </c>
      <c r="IQ40" s="445">
        <v>0</v>
      </c>
      <c r="IR40" s="502">
        <v>0</v>
      </c>
      <c r="IS40" s="447">
        <v>6</v>
      </c>
      <c r="IT40" s="445">
        <v>0</v>
      </c>
      <c r="IU40" s="445">
        <v>0</v>
      </c>
      <c r="IV40" s="446">
        <v>0</v>
      </c>
      <c r="IW40" s="447">
        <v>0</v>
      </c>
      <c r="IX40" s="448">
        <v>0</v>
      </c>
      <c r="IY40" s="445">
        <v>0</v>
      </c>
      <c r="IZ40" s="446">
        <v>0</v>
      </c>
      <c r="JA40" s="502">
        <v>0</v>
      </c>
      <c r="JB40" s="447">
        <v>6</v>
      </c>
      <c r="JC40" s="445">
        <v>0</v>
      </c>
      <c r="JD40" s="445">
        <v>0</v>
      </c>
      <c r="JE40" s="502">
        <v>0</v>
      </c>
      <c r="JF40" s="447">
        <v>6</v>
      </c>
      <c r="JG40" s="445">
        <v>0</v>
      </c>
      <c r="JH40" s="445">
        <v>0</v>
      </c>
      <c r="JI40" s="502">
        <v>0</v>
      </c>
      <c r="JJ40" s="451">
        <v>0</v>
      </c>
      <c r="JK40" s="445">
        <v>12</v>
      </c>
      <c r="JL40" s="445">
        <v>0</v>
      </c>
      <c r="JM40" s="502">
        <v>0</v>
      </c>
      <c r="JN40" s="447">
        <v>0</v>
      </c>
      <c r="JO40" s="445">
        <v>0</v>
      </c>
      <c r="JP40" s="445">
        <v>0</v>
      </c>
      <c r="JQ40" s="449">
        <v>0</v>
      </c>
      <c r="JR40" s="502">
        <v>0</v>
      </c>
      <c r="JS40" s="447">
        <v>0</v>
      </c>
      <c r="JT40" s="445">
        <v>0</v>
      </c>
      <c r="JU40" s="445">
        <v>0</v>
      </c>
      <c r="JV40" s="502">
        <v>0</v>
      </c>
      <c r="JW40" s="447">
        <v>0</v>
      </c>
      <c r="JX40" s="445">
        <v>0</v>
      </c>
      <c r="JY40" s="445">
        <v>0</v>
      </c>
      <c r="JZ40" s="502">
        <v>0</v>
      </c>
      <c r="KA40" s="447">
        <v>0</v>
      </c>
      <c r="KB40" s="445">
        <v>0</v>
      </c>
      <c r="KC40" s="445">
        <v>0</v>
      </c>
      <c r="KD40" s="446">
        <v>0</v>
      </c>
      <c r="KE40" s="502">
        <v>0</v>
      </c>
      <c r="KF40" s="447">
        <v>0</v>
      </c>
      <c r="KG40" s="445">
        <v>0</v>
      </c>
      <c r="KH40" s="445">
        <v>0</v>
      </c>
      <c r="KI40" s="502">
        <v>0</v>
      </c>
      <c r="KJ40" s="451">
        <v>0</v>
      </c>
      <c r="KK40" s="445">
        <v>0</v>
      </c>
      <c r="KL40" s="445">
        <v>0</v>
      </c>
      <c r="KM40" s="445">
        <v>0</v>
      </c>
      <c r="KN40" s="502">
        <v>0</v>
      </c>
    </row>
    <row r="41" spans="1:300" ht="36.75" customHeight="1" thickBot="1">
      <c r="A41" s="481"/>
      <c r="B41" s="494"/>
      <c r="C41" s="668"/>
      <c r="D41" s="596"/>
      <c r="E41" s="523"/>
      <c r="F41" s="599"/>
      <c r="G41" s="456" t="s">
        <v>18</v>
      </c>
      <c r="H41" s="475"/>
      <c r="I41" s="471"/>
      <c r="J41" s="471"/>
      <c r="K41" s="471"/>
      <c r="L41" s="471"/>
      <c r="M41" s="495"/>
      <c r="N41" s="495"/>
      <c r="O41" s="495"/>
      <c r="P41" s="495"/>
      <c r="Q41" s="495"/>
      <c r="R41" s="471"/>
      <c r="S41" s="471"/>
      <c r="T41" s="495"/>
      <c r="U41" s="495"/>
      <c r="V41" s="495"/>
      <c r="W41" s="495"/>
      <c r="X41" s="495"/>
      <c r="Y41" s="495"/>
      <c r="Z41" s="495"/>
      <c r="AA41" s="495"/>
      <c r="AB41" s="495"/>
      <c r="AC41" s="460">
        <f t="shared" ref="AC41" si="1590">AB41+AC40</f>
        <v>0</v>
      </c>
      <c r="AD41" s="461">
        <f t="shared" ref="AD41" si="1591">AC41+AD40</f>
        <v>0</v>
      </c>
      <c r="AE41" s="461">
        <f t="shared" ref="AE41" si="1592">AD41+AE40</f>
        <v>0</v>
      </c>
      <c r="AF41" s="461">
        <f t="shared" ref="AF41" si="1593">AE41+AF40</f>
        <v>0</v>
      </c>
      <c r="AG41" s="461">
        <f t="shared" ref="AG41:AH41" si="1594">AF41+AG40</f>
        <v>0</v>
      </c>
      <c r="AH41" s="461">
        <f t="shared" si="1594"/>
        <v>0</v>
      </c>
      <c r="AI41" s="462">
        <f>GA41</f>
        <v>0</v>
      </c>
      <c r="AJ41" s="461">
        <f t="shared" ref="AJ41" si="1595">AI41+AJ40</f>
        <v>0</v>
      </c>
      <c r="AK41" s="461">
        <f t="shared" ref="AK41" si="1596">AJ41+AK40</f>
        <v>0</v>
      </c>
      <c r="AL41" s="460">
        <f t="shared" ref="AL41:AM41" si="1597">AK41+AL40</f>
        <v>0</v>
      </c>
      <c r="AM41" s="463">
        <f t="shared" si="1597"/>
        <v>6</v>
      </c>
      <c r="AN41" s="464">
        <f t="shared" ref="AN41" si="1598">AM41+AN40</f>
        <v>12</v>
      </c>
      <c r="AO41" s="465">
        <f t="shared" ref="AO41" si="1599">AN41+AO40</f>
        <v>30</v>
      </c>
      <c r="AP41" s="466">
        <f t="shared" ref="AP41:AR41" si="1600">AO41+AP40</f>
        <v>48</v>
      </c>
      <c r="AQ41" s="466">
        <f t="shared" si="1600"/>
        <v>60</v>
      </c>
      <c r="AR41" s="466">
        <f t="shared" si="1600"/>
        <v>72</v>
      </c>
      <c r="AS41" s="466">
        <f t="shared" ref="AS41:AZ41" si="1601">AR41+AS40</f>
        <v>72</v>
      </c>
      <c r="AT41" s="466">
        <f t="shared" si="1601"/>
        <v>72</v>
      </c>
      <c r="AU41" s="466">
        <f t="shared" si="1601"/>
        <v>72</v>
      </c>
      <c r="AV41" s="466">
        <f t="shared" si="1601"/>
        <v>84</v>
      </c>
      <c r="AW41" s="466">
        <f t="shared" si="1601"/>
        <v>96</v>
      </c>
      <c r="AX41" s="466">
        <f t="shared" si="1601"/>
        <v>114</v>
      </c>
      <c r="AY41" s="466">
        <f t="shared" si="1601"/>
        <v>120</v>
      </c>
      <c r="AZ41" s="466">
        <f t="shared" si="1601"/>
        <v>126</v>
      </c>
      <c r="BA41" s="466">
        <f t="shared" ref="BA41" si="1602">AZ41+BA40</f>
        <v>126</v>
      </c>
      <c r="BB41" s="466">
        <f t="shared" ref="BB41" si="1603">BA41+BB40</f>
        <v>132</v>
      </c>
      <c r="BC41" s="466">
        <f t="shared" ref="BC41:BD41" si="1604">BB41+BC40</f>
        <v>138</v>
      </c>
      <c r="BD41" s="466">
        <f t="shared" si="1604"/>
        <v>150</v>
      </c>
      <c r="BE41" s="466">
        <f t="shared" ref="BE41:BF41" si="1605">BD41+BE40</f>
        <v>150</v>
      </c>
      <c r="BF41" s="466">
        <f t="shared" si="1605"/>
        <v>150</v>
      </c>
      <c r="BG41" s="466">
        <f t="shared" ref="BG41:BJ41" si="1606">BF41+BG40</f>
        <v>150</v>
      </c>
      <c r="BH41" s="466">
        <f t="shared" si="1606"/>
        <v>150</v>
      </c>
      <c r="BI41" s="466">
        <f t="shared" si="1606"/>
        <v>150</v>
      </c>
      <c r="BJ41" s="466">
        <f t="shared" si="1606"/>
        <v>150</v>
      </c>
      <c r="BK41" s="527"/>
      <c r="BL41" s="528"/>
      <c r="BM41" s="528"/>
      <c r="BN41" s="528"/>
      <c r="BO41" s="528"/>
      <c r="BP41" s="528"/>
      <c r="BQ41" s="528"/>
      <c r="BR41" s="528"/>
      <c r="BS41" s="528"/>
      <c r="BT41" s="528"/>
      <c r="BU41" s="528"/>
      <c r="BV41" s="528"/>
      <c r="BW41" s="529"/>
      <c r="BX41" s="528"/>
      <c r="BY41" s="528"/>
      <c r="BZ41" s="528"/>
      <c r="CA41" s="528"/>
      <c r="CB41" s="528"/>
      <c r="CC41" s="528"/>
      <c r="CD41" s="528"/>
      <c r="CE41" s="528"/>
      <c r="CF41" s="528"/>
      <c r="CG41" s="528"/>
      <c r="CH41" s="528"/>
      <c r="CI41" s="528"/>
      <c r="CJ41" s="528"/>
      <c r="CK41" s="528"/>
      <c r="CL41" s="528"/>
      <c r="CM41" s="528"/>
      <c r="CN41" s="528"/>
      <c r="CO41" s="528"/>
      <c r="CP41" s="528"/>
      <c r="CQ41" s="528"/>
      <c r="CR41" s="528"/>
      <c r="CS41" s="528"/>
      <c r="CT41" s="528"/>
      <c r="CU41" s="528"/>
      <c r="CV41" s="528"/>
      <c r="CW41" s="528"/>
      <c r="CX41" s="528"/>
      <c r="CY41" s="528"/>
      <c r="CZ41" s="528"/>
      <c r="DA41" s="528"/>
      <c r="DB41" s="528"/>
      <c r="DC41" s="528"/>
      <c r="DD41" s="528"/>
      <c r="DE41" s="528"/>
      <c r="DF41" s="528"/>
      <c r="DG41" s="528"/>
      <c r="DH41" s="528"/>
      <c r="DI41" s="528"/>
      <c r="DJ41" s="528"/>
      <c r="DK41" s="528"/>
      <c r="DL41" s="528"/>
      <c r="DM41" s="528"/>
      <c r="DN41" s="528"/>
      <c r="DO41" s="528"/>
      <c r="DP41" s="528"/>
      <c r="DQ41" s="528"/>
      <c r="DR41" s="528"/>
      <c r="DS41" s="528"/>
      <c r="DT41" s="528"/>
      <c r="DU41" s="528"/>
      <c r="DV41" s="528"/>
      <c r="DW41" s="528"/>
      <c r="DX41" s="528"/>
      <c r="DY41" s="528"/>
      <c r="DZ41" s="528"/>
      <c r="EA41" s="528"/>
      <c r="EB41" s="528"/>
      <c r="EC41" s="528"/>
      <c r="ED41" s="528"/>
      <c r="EE41" s="528"/>
      <c r="EF41" s="528"/>
      <c r="EG41" s="528"/>
      <c r="EH41" s="528"/>
      <c r="EI41" s="528"/>
      <c r="EJ41" s="528"/>
      <c r="EK41" s="528"/>
      <c r="EL41" s="528"/>
      <c r="EM41" s="528"/>
      <c r="EN41" s="528"/>
      <c r="EO41" s="528"/>
      <c r="EP41" s="528"/>
      <c r="EQ41" s="528"/>
      <c r="ER41" s="528"/>
      <c r="ES41" s="528"/>
      <c r="ET41" s="528"/>
      <c r="EU41" s="528"/>
      <c r="EV41" s="528"/>
      <c r="EW41" s="530"/>
      <c r="EX41" s="463">
        <f t="shared" ref="EX41" si="1607">EW41+EX40</f>
        <v>0</v>
      </c>
      <c r="EY41" s="461">
        <f t="shared" ref="EY41" si="1608">EX41+EY40</f>
        <v>0</v>
      </c>
      <c r="EZ41" s="461">
        <f t="shared" ref="EZ41" si="1609">EY41+EZ40</f>
        <v>0</v>
      </c>
      <c r="FA41" s="492">
        <f t="shared" ref="FA41" si="1610">EZ41+FA40</f>
        <v>0</v>
      </c>
      <c r="FB41" s="463">
        <f t="shared" ref="FB41" si="1611">FA41+FB40</f>
        <v>0</v>
      </c>
      <c r="FC41" s="461">
        <f t="shared" ref="FC41" si="1612">FB41+FC40</f>
        <v>0</v>
      </c>
      <c r="FD41" s="461">
        <f t="shared" ref="FD41" si="1613">FC41+FD40</f>
        <v>0</v>
      </c>
      <c r="FE41" s="461">
        <f t="shared" ref="FE41" si="1614">FD41+FE40</f>
        <v>0</v>
      </c>
      <c r="FF41" s="492">
        <f t="shared" ref="FF41" si="1615">FE41+FF40</f>
        <v>0</v>
      </c>
      <c r="FG41" s="464">
        <f t="shared" ref="FG41" si="1616">FF41+FG40</f>
        <v>0</v>
      </c>
      <c r="FH41" s="461">
        <f t="shared" ref="FH41" si="1617">FG41+FH40</f>
        <v>0</v>
      </c>
      <c r="FI41" s="461">
        <f t="shared" ref="FI41" si="1618">FH41+FI40</f>
        <v>0</v>
      </c>
      <c r="FJ41" s="492">
        <f t="shared" ref="FJ41" si="1619">FI41+FJ40</f>
        <v>0</v>
      </c>
      <c r="FK41" s="464">
        <f t="shared" ref="FK41" si="1620">FJ41+FK40</f>
        <v>0</v>
      </c>
      <c r="FL41" s="461">
        <f t="shared" ref="FL41" si="1621">FK41+FL40</f>
        <v>0</v>
      </c>
      <c r="FM41" s="461">
        <f t="shared" ref="FM41" si="1622">FL41+FM40</f>
        <v>0</v>
      </c>
      <c r="FN41" s="492">
        <f t="shared" ref="FN41" si="1623">FM41+FN40</f>
        <v>0</v>
      </c>
      <c r="FO41" s="464">
        <f t="shared" ref="FO41" si="1624">FN41+FO40</f>
        <v>0</v>
      </c>
      <c r="FP41" s="461">
        <f t="shared" ref="FP41" si="1625">FO41+FP40</f>
        <v>0</v>
      </c>
      <c r="FQ41" s="461">
        <f t="shared" ref="FQ41" si="1626">FP41+FQ40</f>
        <v>0</v>
      </c>
      <c r="FR41" s="492">
        <f t="shared" ref="FR41" si="1627">FQ41+FR40</f>
        <v>0</v>
      </c>
      <c r="FS41" s="464">
        <f t="shared" ref="FS41" si="1628">FR41+FS40</f>
        <v>0</v>
      </c>
      <c r="FT41" s="461">
        <f t="shared" ref="FT41" si="1629">FS41+FT40</f>
        <v>0</v>
      </c>
      <c r="FU41" s="461">
        <f t="shared" ref="FU41" si="1630">FT41+FU40</f>
        <v>0</v>
      </c>
      <c r="FV41" s="461">
        <f t="shared" ref="FV41:FW41" si="1631">FU41+FV40</f>
        <v>0</v>
      </c>
      <c r="FW41" s="492">
        <f t="shared" si="1631"/>
        <v>0</v>
      </c>
      <c r="FX41" s="464">
        <f t="shared" ref="FX41" si="1632">FW41+FX40</f>
        <v>0</v>
      </c>
      <c r="FY41" s="461">
        <f t="shared" ref="FY41" si="1633">FX41+FY40</f>
        <v>0</v>
      </c>
      <c r="FZ41" s="461">
        <f t="shared" ref="FZ41" si="1634">FY41+FZ40</f>
        <v>0</v>
      </c>
      <c r="GA41" s="492">
        <f t="shared" ref="GA41" si="1635">FZ41+GA40</f>
        <v>0</v>
      </c>
      <c r="GB41" s="464">
        <f t="shared" ref="GB41" si="1636">GA41+GB40</f>
        <v>0</v>
      </c>
      <c r="GC41" s="461">
        <f t="shared" ref="GC41" si="1637">GB41+GC40</f>
        <v>0</v>
      </c>
      <c r="GD41" s="461">
        <f t="shared" ref="GD41" si="1638">GC41+GD40</f>
        <v>0</v>
      </c>
      <c r="GE41" s="492">
        <f t="shared" ref="GE41" si="1639">GD41+GE40</f>
        <v>0</v>
      </c>
      <c r="GF41" s="464">
        <f t="shared" ref="GF41" si="1640">GE41+GF40</f>
        <v>0</v>
      </c>
      <c r="GG41" s="461">
        <f t="shared" ref="GG41" si="1641">GF41+GG40</f>
        <v>0</v>
      </c>
      <c r="GH41" s="461">
        <f t="shared" ref="GH41" si="1642">GG41+GH40</f>
        <v>0</v>
      </c>
      <c r="GI41" s="461">
        <f t="shared" ref="GI41" si="1643">GH41+GI40</f>
        <v>0</v>
      </c>
      <c r="GJ41" s="496">
        <f t="shared" ref="GJ41" si="1644">GI41+GJ40</f>
        <v>0</v>
      </c>
      <c r="GK41" s="463">
        <f t="shared" ref="GK41" si="1645">GJ41+GK40</f>
        <v>0</v>
      </c>
      <c r="GL41" s="461">
        <f t="shared" ref="GL41" si="1646">GK41+GL40</f>
        <v>0</v>
      </c>
      <c r="GM41" s="461">
        <f t="shared" ref="GM41" si="1647">GL41+GM40</f>
        <v>0</v>
      </c>
      <c r="GN41" s="497">
        <f t="shared" ref="GN41" si="1648">GM41+GN40</f>
        <v>0</v>
      </c>
      <c r="GO41" s="463">
        <f t="shared" ref="GO41" si="1649">GN41+GO40</f>
        <v>6</v>
      </c>
      <c r="GP41" s="461">
        <f t="shared" ref="GP41" si="1650">GO41+GP40</f>
        <v>6</v>
      </c>
      <c r="GQ41" s="461">
        <f t="shared" ref="GQ41" si="1651">GP41+GQ40</f>
        <v>6</v>
      </c>
      <c r="GR41" s="460">
        <f t="shared" ref="GR41" si="1652">GQ41+GR40</f>
        <v>6</v>
      </c>
      <c r="GS41" s="492">
        <f t="shared" ref="GS41" si="1653">GR41+GS40</f>
        <v>6</v>
      </c>
      <c r="GT41" s="464">
        <f t="shared" ref="GT41" si="1654">GS41+GT40</f>
        <v>12</v>
      </c>
      <c r="GU41" s="461">
        <f t="shared" ref="GU41" si="1655">GT41+GU40</f>
        <v>12</v>
      </c>
      <c r="GV41" s="461">
        <f t="shared" ref="GV41" si="1656">GU41+GV40</f>
        <v>12</v>
      </c>
      <c r="GW41" s="497">
        <f t="shared" ref="GW41" si="1657">GV41+GW40</f>
        <v>12</v>
      </c>
      <c r="GX41" s="498">
        <f t="shared" ref="GX41" si="1658">GW41+GX40</f>
        <v>30</v>
      </c>
      <c r="GY41" s="466">
        <f t="shared" ref="GY41" si="1659">GX41+GY40</f>
        <v>30</v>
      </c>
      <c r="GZ41" s="466">
        <f t="shared" ref="GZ41" si="1660">GY41+GZ40</f>
        <v>30</v>
      </c>
      <c r="HA41" s="499">
        <f t="shared" ref="HA41" si="1661">GZ41+HA40</f>
        <v>30</v>
      </c>
      <c r="HB41" s="498">
        <f t="shared" ref="HB41" si="1662">HA41+HB40</f>
        <v>48</v>
      </c>
      <c r="HC41" s="466">
        <f t="shared" ref="HC41" si="1663">HB41+HC40</f>
        <v>48</v>
      </c>
      <c r="HD41" s="466">
        <f t="shared" ref="HD41" si="1664">HC41+HD40</f>
        <v>48</v>
      </c>
      <c r="HE41" s="466">
        <f t="shared" ref="HE41" si="1665">HD41+HE40</f>
        <v>48</v>
      </c>
      <c r="HF41" s="500">
        <f t="shared" ref="HF41" si="1666">HE41+HF40</f>
        <v>48</v>
      </c>
      <c r="HG41" s="498">
        <f t="shared" ref="HG41" si="1667">HF41+HG40</f>
        <v>60</v>
      </c>
      <c r="HH41" s="466">
        <f t="shared" ref="HH41" si="1668">HG41+HH40</f>
        <v>60</v>
      </c>
      <c r="HI41" s="466">
        <f t="shared" ref="HI41" si="1669">HH41+HI40</f>
        <v>60</v>
      </c>
      <c r="HJ41" s="500">
        <f t="shared" ref="HJ41" si="1670">HI41+HJ40</f>
        <v>60</v>
      </c>
      <c r="HK41" s="476">
        <f t="shared" ref="HK41" si="1671">HJ41+HK40</f>
        <v>72</v>
      </c>
      <c r="HL41" s="477">
        <f t="shared" ref="HL41" si="1672">HK41+HL40</f>
        <v>72</v>
      </c>
      <c r="HM41" s="477">
        <f t="shared" ref="HM41" si="1673">HL41+HM40</f>
        <v>72</v>
      </c>
      <c r="HN41" s="478">
        <f t="shared" ref="HN41" si="1674">HM41+HN40</f>
        <v>72</v>
      </c>
      <c r="HO41" s="476">
        <f t="shared" ref="HO41" si="1675">HN41+HO40</f>
        <v>72</v>
      </c>
      <c r="HP41" s="477">
        <f t="shared" ref="HP41" si="1676">HO41+HP40</f>
        <v>72</v>
      </c>
      <c r="HQ41" s="477">
        <f t="shared" ref="HQ41" si="1677">HP41+HQ40</f>
        <v>72</v>
      </c>
      <c r="HR41" s="478">
        <f t="shared" ref="HR41" si="1678">HQ41+HR40</f>
        <v>72</v>
      </c>
      <c r="HS41" s="476">
        <f t="shared" ref="HS41" si="1679">HR41+HS40</f>
        <v>72</v>
      </c>
      <c r="HT41" s="477">
        <f t="shared" ref="HT41" si="1680">HS41+HT40</f>
        <v>72</v>
      </c>
      <c r="HU41" s="477">
        <f t="shared" ref="HU41" si="1681">HT41+HU40</f>
        <v>72</v>
      </c>
      <c r="HV41" s="478">
        <f t="shared" ref="HV41" si="1682">HU41+HV40</f>
        <v>72</v>
      </c>
      <c r="HW41" s="476">
        <f t="shared" ref="HW41" si="1683">HV41+HW40</f>
        <v>72</v>
      </c>
      <c r="HX41" s="477">
        <f t="shared" ref="HX41" si="1684">HW41+HX40</f>
        <v>72</v>
      </c>
      <c r="HY41" s="477">
        <f t="shared" ref="HY41" si="1685">HX41+HY40</f>
        <v>72</v>
      </c>
      <c r="HZ41" s="477">
        <f t="shared" ref="HZ41" si="1686">HY41+HZ40</f>
        <v>72</v>
      </c>
      <c r="IA41" s="478">
        <f t="shared" ref="IA41" si="1687">HZ41+IA40</f>
        <v>72</v>
      </c>
      <c r="IB41" s="479">
        <f t="shared" ref="IB41" si="1688">IA41+IB40</f>
        <v>84</v>
      </c>
      <c r="IC41" s="477">
        <f t="shared" ref="IC41" si="1689">IB41+IC40</f>
        <v>84</v>
      </c>
      <c r="ID41" s="477">
        <f t="shared" ref="ID41" si="1690">IC41+ID40</f>
        <v>84</v>
      </c>
      <c r="IE41" s="478">
        <f t="shared" ref="IE41" si="1691">ID41+IE40</f>
        <v>84</v>
      </c>
      <c r="IF41" s="479">
        <f t="shared" ref="IF41" si="1692">IE41+IF40</f>
        <v>96</v>
      </c>
      <c r="IG41" s="477">
        <f t="shared" ref="IG41" si="1693">IF41+IG40</f>
        <v>96</v>
      </c>
      <c r="IH41" s="477">
        <f t="shared" ref="IH41" si="1694">IG41+IH40</f>
        <v>96</v>
      </c>
      <c r="II41" s="477">
        <f t="shared" ref="II41" si="1695">IH41+II40</f>
        <v>96</v>
      </c>
      <c r="IJ41" s="480">
        <f t="shared" ref="IJ41" si="1696">II41+IJ40</f>
        <v>96</v>
      </c>
      <c r="IK41" s="476">
        <f t="shared" ref="IK41" si="1697">IJ41+IK40</f>
        <v>96</v>
      </c>
      <c r="IL41" s="477">
        <f t="shared" ref="IL41" si="1698">IK41+IL40</f>
        <v>114</v>
      </c>
      <c r="IM41" s="477">
        <f t="shared" ref="IM41" si="1699">IL41+IM40</f>
        <v>114</v>
      </c>
      <c r="IN41" s="478">
        <f t="shared" ref="IN41" si="1700">IM41+IN40</f>
        <v>114</v>
      </c>
      <c r="IO41" s="476">
        <f t="shared" ref="IO41" si="1701">IN41+IO40</f>
        <v>120</v>
      </c>
      <c r="IP41" s="477">
        <f t="shared" ref="IP41" si="1702">IO41+IP40</f>
        <v>120</v>
      </c>
      <c r="IQ41" s="477">
        <f t="shared" ref="IQ41" si="1703">IP41+IQ40</f>
        <v>120</v>
      </c>
      <c r="IR41" s="478">
        <f t="shared" ref="IR41" si="1704">IQ41+IR40</f>
        <v>120</v>
      </c>
      <c r="IS41" s="476">
        <f t="shared" ref="IS41" si="1705">IR41+IS40</f>
        <v>126</v>
      </c>
      <c r="IT41" s="477">
        <f t="shared" ref="IT41" si="1706">IS41+IT40</f>
        <v>126</v>
      </c>
      <c r="IU41" s="477">
        <f t="shared" ref="IU41" si="1707">IT41+IU40</f>
        <v>126</v>
      </c>
      <c r="IV41" s="480">
        <f t="shared" ref="IV41:IW41" si="1708">IU41+IV40</f>
        <v>126</v>
      </c>
      <c r="IW41" s="476">
        <f t="shared" si="1708"/>
        <v>126</v>
      </c>
      <c r="IX41" s="479">
        <f t="shared" ref="IX41" si="1709">IW41+IX40</f>
        <v>126</v>
      </c>
      <c r="IY41" s="477">
        <f t="shared" ref="IY41" si="1710">IX41+IY40</f>
        <v>126</v>
      </c>
      <c r="IZ41" s="480">
        <f t="shared" ref="IZ41" si="1711">IY41+IZ40</f>
        <v>126</v>
      </c>
      <c r="JA41" s="478">
        <f t="shared" ref="JA41" si="1712">IZ41+JA40</f>
        <v>126</v>
      </c>
      <c r="JB41" s="476">
        <f t="shared" ref="JB41" si="1713">JA41+JB40</f>
        <v>132</v>
      </c>
      <c r="JC41" s="477">
        <f t="shared" ref="JC41" si="1714">JB41+JC40</f>
        <v>132</v>
      </c>
      <c r="JD41" s="477">
        <f t="shared" ref="JD41" si="1715">JC41+JD40</f>
        <v>132</v>
      </c>
      <c r="JE41" s="478">
        <f t="shared" ref="JE41" si="1716">JD41+JE40</f>
        <v>132</v>
      </c>
      <c r="JF41" s="476">
        <f t="shared" ref="JF41" si="1717">JE41+JF40</f>
        <v>138</v>
      </c>
      <c r="JG41" s="477">
        <f t="shared" ref="JG41" si="1718">JF41+JG40</f>
        <v>138</v>
      </c>
      <c r="JH41" s="477">
        <f t="shared" ref="JH41" si="1719">JG41+JH40</f>
        <v>138</v>
      </c>
      <c r="JI41" s="478">
        <f t="shared" ref="JI41" si="1720">JH41+JI40</f>
        <v>138</v>
      </c>
      <c r="JJ41" s="611">
        <f t="shared" ref="JJ41" si="1721">JI41+JJ40</f>
        <v>138</v>
      </c>
      <c r="JK41" s="477">
        <f t="shared" ref="JK41" si="1722">JJ41+JK40</f>
        <v>150</v>
      </c>
      <c r="JL41" s="477">
        <f t="shared" ref="JL41" si="1723">JK41+JL40</f>
        <v>150</v>
      </c>
      <c r="JM41" s="478">
        <f t="shared" ref="JM41" si="1724">JL41+JM40</f>
        <v>150</v>
      </c>
      <c r="JN41" s="476">
        <f>JM41+JN40</f>
        <v>150</v>
      </c>
      <c r="JO41" s="477">
        <f>JN41+JO40</f>
        <v>150</v>
      </c>
      <c r="JP41" s="477">
        <f>JO41+JP40</f>
        <v>150</v>
      </c>
      <c r="JQ41" s="613">
        <f t="shared" ref="JQ41" si="1725">JP41+JQ40</f>
        <v>150</v>
      </c>
      <c r="JR41" s="478">
        <f t="shared" ref="JR41" si="1726">JQ41+JR40</f>
        <v>150</v>
      </c>
      <c r="JS41" s="476">
        <f>JR41+JS40</f>
        <v>150</v>
      </c>
      <c r="JT41" s="477">
        <f>JS41+JT40</f>
        <v>150</v>
      </c>
      <c r="JU41" s="477">
        <f>JT41+JU40</f>
        <v>150</v>
      </c>
      <c r="JV41" s="478">
        <f t="shared" ref="JV41" si="1727">JU41+JV40</f>
        <v>150</v>
      </c>
      <c r="JW41" s="476">
        <f>JV41+JW40</f>
        <v>150</v>
      </c>
      <c r="JX41" s="477">
        <f>JW41+JX40</f>
        <v>150</v>
      </c>
      <c r="JY41" s="477">
        <f>JX41+JY40</f>
        <v>150</v>
      </c>
      <c r="JZ41" s="478">
        <f t="shared" ref="JZ41:KE41" si="1728">JY41+JZ40</f>
        <v>150</v>
      </c>
      <c r="KA41" s="476">
        <f t="shared" si="1728"/>
        <v>150</v>
      </c>
      <c r="KB41" s="477">
        <f t="shared" si="1728"/>
        <v>150</v>
      </c>
      <c r="KC41" s="477">
        <f t="shared" si="1728"/>
        <v>150</v>
      </c>
      <c r="KD41" s="480">
        <f t="shared" si="1728"/>
        <v>150</v>
      </c>
      <c r="KE41" s="478">
        <f t="shared" si="1728"/>
        <v>150</v>
      </c>
      <c r="KF41" s="476">
        <f t="shared" ref="KF41" si="1729">KE41+KF40</f>
        <v>150</v>
      </c>
      <c r="KG41" s="477">
        <f t="shared" ref="KG41" si="1730">KF41+KG40</f>
        <v>150</v>
      </c>
      <c r="KH41" s="477">
        <f t="shared" ref="KH41" si="1731">KG41+KH40</f>
        <v>150</v>
      </c>
      <c r="KI41" s="478">
        <f t="shared" ref="KI41" si="1732">KH41+KI40</f>
        <v>150</v>
      </c>
      <c r="KJ41" s="611">
        <f t="shared" ref="KJ41" si="1733">KI41+KJ40</f>
        <v>150</v>
      </c>
      <c r="KK41" s="477">
        <f t="shared" ref="KK41" si="1734">KJ41+KK40</f>
        <v>150</v>
      </c>
      <c r="KL41" s="477">
        <f t="shared" ref="KL41:KM41" si="1735">KK41+KL40</f>
        <v>150</v>
      </c>
      <c r="KM41" s="477">
        <f t="shared" si="1735"/>
        <v>150</v>
      </c>
      <c r="KN41" s="478">
        <f t="shared" ref="KN41" si="1736">KL41+KN40</f>
        <v>150</v>
      </c>
    </row>
    <row r="42" spans="1:300" ht="36.75" customHeight="1">
      <c r="A42" s="481"/>
      <c r="B42" s="494"/>
      <c r="C42" s="665">
        <v>10</v>
      </c>
      <c r="D42" s="595" t="s">
        <v>203</v>
      </c>
      <c r="E42" s="439"/>
      <c r="F42" s="601" t="s">
        <v>148</v>
      </c>
      <c r="G42" s="440" t="s">
        <v>17</v>
      </c>
      <c r="H42" s="475"/>
      <c r="I42" s="471"/>
      <c r="J42" s="471"/>
      <c r="K42" s="471"/>
      <c r="L42" s="471"/>
      <c r="M42" s="495"/>
      <c r="N42" s="495"/>
      <c r="O42" s="495"/>
      <c r="P42" s="495"/>
      <c r="Q42" s="495"/>
      <c r="R42" s="471"/>
      <c r="S42" s="471"/>
      <c r="T42" s="495"/>
      <c r="U42" s="495"/>
      <c r="V42" s="495"/>
      <c r="W42" s="495"/>
      <c r="X42" s="495"/>
      <c r="Y42" s="495"/>
      <c r="Z42" s="495"/>
      <c r="AA42" s="495"/>
      <c r="AB42" s="495"/>
      <c r="AC42" s="483">
        <f>SUBTOTAL(9,EX42:FA42)</f>
        <v>0</v>
      </c>
      <c r="AD42" s="445">
        <f>SUBTOTAL(9,FB42:FF42)</f>
        <v>0</v>
      </c>
      <c r="AE42" s="445">
        <f>SUBTOTAL(9,FG42:FJ42)</f>
        <v>0</v>
      </c>
      <c r="AF42" s="445">
        <f>SUBTOTAL(9,FK42:FN42)</f>
        <v>0</v>
      </c>
      <c r="AG42" s="445">
        <f>SUBTOTAL(9,FO42:FR42)</f>
        <v>0</v>
      </c>
      <c r="AH42" s="445">
        <f>SUBTOTAL(9,FS42:FW42)</f>
        <v>0</v>
      </c>
      <c r="AI42" s="445">
        <f>SUBTOTAL(9,FX42:GA42)</f>
        <v>0</v>
      </c>
      <c r="AJ42" s="445">
        <f>SUBTOTAL(9,GB42:GE42)</f>
        <v>0</v>
      </c>
      <c r="AK42" s="445">
        <f>SUBTOTAL(9,GF42:GJ42)</f>
        <v>0</v>
      </c>
      <c r="AL42" s="445">
        <f>SUBTOTAL(9,GK42:GN42)</f>
        <v>0</v>
      </c>
      <c r="AM42" s="445">
        <f>SUBTOTAL(9,GO42:GS42)</f>
        <v>66</v>
      </c>
      <c r="AN42" s="445">
        <f>SUBTOTAL(9,GT42:GW42)</f>
        <v>84</v>
      </c>
      <c r="AO42" s="446">
        <f>SUM(GX42:HA42)</f>
        <v>150</v>
      </c>
      <c r="AP42" s="445">
        <f>SUM(HB42:HF42)</f>
        <v>84</v>
      </c>
      <c r="AQ42" s="445">
        <f>SUM(HG42:HJ42)</f>
        <v>66</v>
      </c>
      <c r="AR42" s="445">
        <f>SUM(HK42:HN42)</f>
        <v>54</v>
      </c>
      <c r="AS42" s="445">
        <f>SUM(HO42:HR42)</f>
        <v>54</v>
      </c>
      <c r="AT42" s="445">
        <f>SUM(HS42:HV42)</f>
        <v>36</v>
      </c>
      <c r="AU42" s="445">
        <f>SUM(HW42:IA42)</f>
        <v>54</v>
      </c>
      <c r="AV42" s="445">
        <f>SUM(IB42:IE42)</f>
        <v>36</v>
      </c>
      <c r="AW42" s="445">
        <f t="shared" ref="AW42" si="1737">SUM(IF42:IJ42)</f>
        <v>72</v>
      </c>
      <c r="AX42" s="446">
        <f t="shared" ref="AX42" si="1738">SUM(IK42:IN42)</f>
        <v>48</v>
      </c>
      <c r="AY42" s="446">
        <f t="shared" ref="AY42" si="1739">SUM(IO42:IR42)</f>
        <v>42</v>
      </c>
      <c r="AZ42" s="446">
        <f t="shared" ref="AZ42" si="1740">SUM(IS42:IV42)</f>
        <v>84</v>
      </c>
      <c r="BA42" s="446">
        <f t="shared" ref="BA42" si="1741">SUM(IW42:JA42)</f>
        <v>126</v>
      </c>
      <c r="BB42" s="446">
        <f t="shared" ref="BB42" si="1742">SUM(JB42:JE42)</f>
        <v>138</v>
      </c>
      <c r="BC42" s="446">
        <f t="shared" ref="BC42" si="1743">SUM(JF42:JI42)</f>
        <v>102</v>
      </c>
      <c r="BD42" s="446">
        <f t="shared" ref="BD42" si="1744">SUM(JJ42:JM42)</f>
        <v>84</v>
      </c>
      <c r="BE42" s="446">
        <f t="shared" ref="BE42" si="1745">SUM(JN42:JR42)</f>
        <v>12</v>
      </c>
      <c r="BF42" s="446">
        <f t="shared" ref="BF42" si="1746">SUM(JS42:JV42)</f>
        <v>0</v>
      </c>
      <c r="BG42" s="446">
        <f t="shared" ref="BG42" si="1747">SUM(JW42:JZ42)</f>
        <v>36</v>
      </c>
      <c r="BH42" s="446">
        <f t="shared" ref="BH42" si="1748">SUM(KA42:KE42)</f>
        <v>36</v>
      </c>
      <c r="BI42" s="446">
        <f t="shared" ref="BI42" si="1749">SUM(KF42:KI42)</f>
        <v>36</v>
      </c>
      <c r="BJ42" s="446">
        <f t="shared" ref="BJ42" si="1750">SUM(KJ42:KN42)</f>
        <v>42</v>
      </c>
      <c r="BK42" s="524"/>
      <c r="BL42" s="525"/>
      <c r="BM42" s="525"/>
      <c r="BN42" s="525"/>
      <c r="BO42" s="525"/>
      <c r="BP42" s="525"/>
      <c r="BQ42" s="525"/>
      <c r="BR42" s="525"/>
      <c r="BS42" s="525"/>
      <c r="BT42" s="525"/>
      <c r="BU42" s="525"/>
      <c r="BV42" s="525"/>
      <c r="BW42" s="542"/>
      <c r="BX42" s="525"/>
      <c r="BY42" s="525"/>
      <c r="BZ42" s="525"/>
      <c r="CA42" s="525"/>
      <c r="CB42" s="525"/>
      <c r="CC42" s="525"/>
      <c r="CD42" s="525"/>
      <c r="CE42" s="525"/>
      <c r="CF42" s="525"/>
      <c r="CG42" s="525"/>
      <c r="CH42" s="542"/>
      <c r="CI42" s="525"/>
      <c r="CJ42" s="525"/>
      <c r="CK42" s="525"/>
      <c r="CL42" s="525"/>
      <c r="CM42" s="525"/>
      <c r="CN42" s="525"/>
      <c r="CO42" s="525"/>
      <c r="CP42" s="525"/>
      <c r="CQ42" s="525"/>
      <c r="CR42" s="525"/>
      <c r="CS42" s="525"/>
      <c r="CT42" s="525"/>
      <c r="CU42" s="525"/>
      <c r="CV42" s="525"/>
      <c r="CW42" s="525"/>
      <c r="CX42" s="525"/>
      <c r="CY42" s="525"/>
      <c r="CZ42" s="525"/>
      <c r="DA42" s="525"/>
      <c r="DB42" s="525"/>
      <c r="DC42" s="525"/>
      <c r="DD42" s="525"/>
      <c r="DE42" s="542"/>
      <c r="DF42" s="525"/>
      <c r="DG42" s="542"/>
      <c r="DH42" s="543"/>
      <c r="DI42" s="525"/>
      <c r="DJ42" s="525"/>
      <c r="DK42" s="525"/>
      <c r="DL42" s="525"/>
      <c r="DM42" s="525"/>
      <c r="DN42" s="525"/>
      <c r="DO42" s="525"/>
      <c r="DP42" s="525"/>
      <c r="DQ42" s="525"/>
      <c r="DR42" s="525"/>
      <c r="DS42" s="525"/>
      <c r="DT42" s="525"/>
      <c r="DU42" s="525"/>
      <c r="DV42" s="542"/>
      <c r="DW42" s="525"/>
      <c r="DX42" s="525"/>
      <c r="DY42" s="525"/>
      <c r="DZ42" s="525"/>
      <c r="EA42" s="525"/>
      <c r="EB42" s="525"/>
      <c r="EC42" s="525"/>
      <c r="ED42" s="525"/>
      <c r="EE42" s="525"/>
      <c r="EF42" s="525"/>
      <c r="EG42" s="525"/>
      <c r="EH42" s="542"/>
      <c r="EI42" s="525"/>
      <c r="EJ42" s="525"/>
      <c r="EK42" s="525"/>
      <c r="EL42" s="525"/>
      <c r="EM42" s="525"/>
      <c r="EN42" s="525"/>
      <c r="EO42" s="525"/>
      <c r="EP42" s="525"/>
      <c r="EQ42" s="525"/>
      <c r="ER42" s="525"/>
      <c r="ES42" s="525"/>
      <c r="ET42" s="525"/>
      <c r="EU42" s="525"/>
      <c r="EV42" s="525"/>
      <c r="EW42" s="526"/>
      <c r="EX42" s="447">
        <v>0</v>
      </c>
      <c r="EY42" s="445">
        <v>0</v>
      </c>
      <c r="EZ42" s="445">
        <v>0</v>
      </c>
      <c r="FA42" s="502">
        <v>0</v>
      </c>
      <c r="FB42" s="447">
        <v>0</v>
      </c>
      <c r="FC42" s="445">
        <v>0</v>
      </c>
      <c r="FD42" s="445">
        <v>0</v>
      </c>
      <c r="FE42" s="445">
        <v>0</v>
      </c>
      <c r="FF42" s="502">
        <v>0</v>
      </c>
      <c r="FG42" s="448">
        <v>0</v>
      </c>
      <c r="FH42" s="445">
        <v>0</v>
      </c>
      <c r="FI42" s="445">
        <v>0</v>
      </c>
      <c r="FJ42" s="502">
        <v>0</v>
      </c>
      <c r="FK42" s="448">
        <v>0</v>
      </c>
      <c r="FL42" s="445">
        <v>0</v>
      </c>
      <c r="FM42" s="445">
        <v>0</v>
      </c>
      <c r="FN42" s="502">
        <v>0</v>
      </c>
      <c r="FO42" s="448"/>
      <c r="FP42" s="445"/>
      <c r="FQ42" s="445"/>
      <c r="FR42" s="502"/>
      <c r="FS42" s="448">
        <v>0</v>
      </c>
      <c r="FT42" s="445">
        <v>0</v>
      </c>
      <c r="FU42" s="445">
        <v>0</v>
      </c>
      <c r="FV42" s="445">
        <v>0</v>
      </c>
      <c r="FW42" s="502">
        <v>0</v>
      </c>
      <c r="FX42" s="448">
        <v>0</v>
      </c>
      <c r="FY42" s="445">
        <v>0</v>
      </c>
      <c r="FZ42" s="445">
        <v>0</v>
      </c>
      <c r="GA42" s="502">
        <v>0</v>
      </c>
      <c r="GB42" s="448">
        <v>0</v>
      </c>
      <c r="GC42" s="445">
        <v>0</v>
      </c>
      <c r="GD42" s="445">
        <v>0</v>
      </c>
      <c r="GE42" s="502">
        <v>0</v>
      </c>
      <c r="GF42" s="448">
        <v>0</v>
      </c>
      <c r="GG42" s="445">
        <v>0</v>
      </c>
      <c r="GH42" s="445">
        <v>0</v>
      </c>
      <c r="GI42" s="445">
        <v>0</v>
      </c>
      <c r="GJ42" s="503">
        <v>0</v>
      </c>
      <c r="GK42" s="447">
        <v>0</v>
      </c>
      <c r="GL42" s="445">
        <v>0</v>
      </c>
      <c r="GM42" s="445">
        <v>0</v>
      </c>
      <c r="GN42" s="504">
        <v>0</v>
      </c>
      <c r="GO42" s="447">
        <v>18</v>
      </c>
      <c r="GP42" s="445">
        <v>12</v>
      </c>
      <c r="GQ42" s="445">
        <v>12</v>
      </c>
      <c r="GR42" s="446">
        <v>12</v>
      </c>
      <c r="GS42" s="502">
        <v>12</v>
      </c>
      <c r="GT42" s="448">
        <v>24</v>
      </c>
      <c r="GU42" s="445">
        <v>24</v>
      </c>
      <c r="GV42" s="445">
        <v>18</v>
      </c>
      <c r="GW42" s="504">
        <v>18</v>
      </c>
      <c r="GX42" s="447">
        <v>42</v>
      </c>
      <c r="GY42" s="445">
        <v>36</v>
      </c>
      <c r="GZ42" s="445">
        <v>36</v>
      </c>
      <c r="HA42" s="504">
        <v>36</v>
      </c>
      <c r="HB42" s="447">
        <v>18</v>
      </c>
      <c r="HC42" s="445">
        <v>18</v>
      </c>
      <c r="HD42" s="445">
        <v>18</v>
      </c>
      <c r="HE42" s="445">
        <v>18</v>
      </c>
      <c r="HF42" s="502">
        <v>12</v>
      </c>
      <c r="HG42" s="447">
        <v>24</v>
      </c>
      <c r="HH42" s="450"/>
      <c r="HI42" s="445">
        <v>24</v>
      </c>
      <c r="HJ42" s="502">
        <v>18</v>
      </c>
      <c r="HK42" s="447">
        <v>18</v>
      </c>
      <c r="HL42" s="445">
        <v>12</v>
      </c>
      <c r="HM42" s="445">
        <v>12</v>
      </c>
      <c r="HN42" s="502">
        <v>12</v>
      </c>
      <c r="HO42" s="447">
        <v>18</v>
      </c>
      <c r="HP42" s="445">
        <v>12</v>
      </c>
      <c r="HQ42" s="445">
        <v>12</v>
      </c>
      <c r="HR42" s="502">
        <v>12</v>
      </c>
      <c r="HS42" s="447">
        <v>18</v>
      </c>
      <c r="HT42" s="445">
        <v>18</v>
      </c>
      <c r="HU42" s="445">
        <v>0</v>
      </c>
      <c r="HV42" s="502">
        <v>0</v>
      </c>
      <c r="HW42" s="451"/>
      <c r="HX42" s="445">
        <v>18</v>
      </c>
      <c r="HY42" s="445">
        <v>12</v>
      </c>
      <c r="HZ42" s="445">
        <v>12</v>
      </c>
      <c r="IA42" s="502">
        <v>12</v>
      </c>
      <c r="IB42" s="448">
        <v>12</v>
      </c>
      <c r="IC42" s="445">
        <v>12</v>
      </c>
      <c r="ID42" s="445">
        <v>12</v>
      </c>
      <c r="IE42" s="502">
        <v>0</v>
      </c>
      <c r="IF42" s="448">
        <v>18</v>
      </c>
      <c r="IG42" s="445">
        <v>18</v>
      </c>
      <c r="IH42" s="445">
        <v>12</v>
      </c>
      <c r="II42" s="445">
        <v>12</v>
      </c>
      <c r="IJ42" s="446">
        <v>12</v>
      </c>
      <c r="IK42" s="451"/>
      <c r="IL42" s="445">
        <v>18</v>
      </c>
      <c r="IM42" s="445">
        <v>18</v>
      </c>
      <c r="IN42" s="502">
        <v>12</v>
      </c>
      <c r="IO42" s="447">
        <v>18</v>
      </c>
      <c r="IP42" s="445">
        <v>12</v>
      </c>
      <c r="IQ42" s="445">
        <v>12</v>
      </c>
      <c r="IR42" s="502">
        <v>0</v>
      </c>
      <c r="IS42" s="447">
        <v>24</v>
      </c>
      <c r="IT42" s="445">
        <v>24</v>
      </c>
      <c r="IU42" s="445">
        <v>18</v>
      </c>
      <c r="IV42" s="446">
        <v>18</v>
      </c>
      <c r="IW42" s="447">
        <v>0</v>
      </c>
      <c r="IX42" s="448">
        <v>30</v>
      </c>
      <c r="IY42" s="445">
        <v>30</v>
      </c>
      <c r="IZ42" s="446">
        <v>30</v>
      </c>
      <c r="JA42" s="502">
        <v>36</v>
      </c>
      <c r="JB42" s="511">
        <v>36</v>
      </c>
      <c r="JC42" s="509">
        <v>36</v>
      </c>
      <c r="JD42" s="509">
        <v>36</v>
      </c>
      <c r="JE42" s="510">
        <v>30</v>
      </c>
      <c r="JF42" s="447">
        <v>30</v>
      </c>
      <c r="JG42" s="445">
        <v>24</v>
      </c>
      <c r="JH42" s="445">
        <v>24</v>
      </c>
      <c r="JI42" s="502">
        <v>24</v>
      </c>
      <c r="JJ42" s="451">
        <v>0</v>
      </c>
      <c r="JK42" s="445">
        <v>30</v>
      </c>
      <c r="JL42" s="445">
        <v>30</v>
      </c>
      <c r="JM42" s="502">
        <v>24</v>
      </c>
      <c r="JN42" s="447">
        <v>12</v>
      </c>
      <c r="JO42" s="445">
        <v>0</v>
      </c>
      <c r="JP42" s="445">
        <v>0</v>
      </c>
      <c r="JQ42" s="449">
        <v>0</v>
      </c>
      <c r="JR42" s="502">
        <v>0</v>
      </c>
      <c r="JS42" s="447">
        <v>0</v>
      </c>
      <c r="JT42" s="445">
        <v>0</v>
      </c>
      <c r="JU42" s="445">
        <v>0</v>
      </c>
      <c r="JV42" s="502">
        <v>0</v>
      </c>
      <c r="JW42" s="447">
        <v>18</v>
      </c>
      <c r="JX42" s="445">
        <v>18</v>
      </c>
      <c r="JY42" s="445">
        <v>0</v>
      </c>
      <c r="JZ42" s="502">
        <v>0</v>
      </c>
      <c r="KA42" s="447">
        <v>18</v>
      </c>
      <c r="KB42" s="445">
        <v>18</v>
      </c>
      <c r="KC42" s="445">
        <v>0</v>
      </c>
      <c r="KD42" s="446">
        <v>0</v>
      </c>
      <c r="KE42" s="502">
        <v>0</v>
      </c>
      <c r="KF42" s="447">
        <v>18</v>
      </c>
      <c r="KG42" s="445">
        <v>18</v>
      </c>
      <c r="KH42" s="445">
        <v>0</v>
      </c>
      <c r="KI42" s="502">
        <v>0</v>
      </c>
      <c r="KJ42" s="451">
        <v>0</v>
      </c>
      <c r="KK42" s="445">
        <v>24</v>
      </c>
      <c r="KL42" s="445">
        <v>18</v>
      </c>
      <c r="KM42" s="445">
        <v>0</v>
      </c>
      <c r="KN42" s="502">
        <v>0</v>
      </c>
    </row>
    <row r="43" spans="1:300" ht="36.75" customHeight="1" thickBot="1">
      <c r="A43" s="481"/>
      <c r="B43" s="494"/>
      <c r="C43" s="666"/>
      <c r="D43" s="596"/>
      <c r="E43" s="455"/>
      <c r="F43" s="599"/>
      <c r="G43" s="456" t="s">
        <v>18</v>
      </c>
      <c r="H43" s="475"/>
      <c r="I43" s="471"/>
      <c r="J43" s="471"/>
      <c r="K43" s="471"/>
      <c r="L43" s="471"/>
      <c r="M43" s="495"/>
      <c r="N43" s="495"/>
      <c r="O43" s="495"/>
      <c r="P43" s="495"/>
      <c r="Q43" s="495"/>
      <c r="R43" s="471"/>
      <c r="S43" s="471"/>
      <c r="T43" s="495"/>
      <c r="U43" s="495"/>
      <c r="V43" s="495"/>
      <c r="W43" s="495"/>
      <c r="X43" s="495"/>
      <c r="Y43" s="495"/>
      <c r="Z43" s="495"/>
      <c r="AA43" s="495"/>
      <c r="AB43" s="495"/>
      <c r="AC43" s="460">
        <f t="shared" ref="AC43:AD43" si="1751">AB43+AC42</f>
        <v>0</v>
      </c>
      <c r="AD43" s="460">
        <f t="shared" si="1751"/>
        <v>0</v>
      </c>
      <c r="AE43" s="460">
        <f t="shared" ref="AE43" si="1752">AD43+AE42</f>
        <v>0</v>
      </c>
      <c r="AF43" s="461">
        <f t="shared" ref="AF43" si="1753">AE43+AF42</f>
        <v>0</v>
      </c>
      <c r="AG43" s="461">
        <f t="shared" ref="AG43:AH43" si="1754">AF43+AG42</f>
        <v>0</v>
      </c>
      <c r="AH43" s="461">
        <f t="shared" si="1754"/>
        <v>0</v>
      </c>
      <c r="AI43" s="462">
        <f>GA43</f>
        <v>0</v>
      </c>
      <c r="AJ43" s="461">
        <f t="shared" ref="AJ43" si="1755">AI43+AJ42</f>
        <v>0</v>
      </c>
      <c r="AK43" s="461">
        <f t="shared" ref="AK43" si="1756">AJ43+AK42</f>
        <v>0</v>
      </c>
      <c r="AL43" s="461">
        <f t="shared" ref="AL43:AM43" si="1757">AK43+AL42</f>
        <v>0</v>
      </c>
      <c r="AM43" s="461">
        <f t="shared" si="1757"/>
        <v>66</v>
      </c>
      <c r="AN43" s="461">
        <f t="shared" ref="AN43" si="1758">AM43+AN42</f>
        <v>150</v>
      </c>
      <c r="AO43" s="465">
        <f t="shared" ref="AO43" si="1759">AN43+AO42</f>
        <v>300</v>
      </c>
      <c r="AP43" s="466">
        <f t="shared" ref="AP43:AR43" si="1760">AO43+AP42</f>
        <v>384</v>
      </c>
      <c r="AQ43" s="466">
        <f t="shared" si="1760"/>
        <v>450</v>
      </c>
      <c r="AR43" s="466">
        <f t="shared" si="1760"/>
        <v>504</v>
      </c>
      <c r="AS43" s="466">
        <f t="shared" ref="AS43:AZ43" si="1761">AR43+AS42</f>
        <v>558</v>
      </c>
      <c r="AT43" s="466">
        <f t="shared" si="1761"/>
        <v>594</v>
      </c>
      <c r="AU43" s="466">
        <f t="shared" si="1761"/>
        <v>648</v>
      </c>
      <c r="AV43" s="466">
        <f t="shared" si="1761"/>
        <v>684</v>
      </c>
      <c r="AW43" s="466">
        <f t="shared" si="1761"/>
        <v>756</v>
      </c>
      <c r="AX43" s="466">
        <f t="shared" si="1761"/>
        <v>804</v>
      </c>
      <c r="AY43" s="466">
        <f t="shared" si="1761"/>
        <v>846</v>
      </c>
      <c r="AZ43" s="466">
        <f t="shared" si="1761"/>
        <v>930</v>
      </c>
      <c r="BA43" s="466">
        <f t="shared" ref="BA43" si="1762">AZ43+BA42</f>
        <v>1056</v>
      </c>
      <c r="BB43" s="466">
        <f t="shared" ref="BB43" si="1763">BA43+BB42</f>
        <v>1194</v>
      </c>
      <c r="BC43" s="466">
        <f t="shared" ref="BC43:BD43" si="1764">BB43+BC42</f>
        <v>1296</v>
      </c>
      <c r="BD43" s="466">
        <f t="shared" si="1764"/>
        <v>1380</v>
      </c>
      <c r="BE43" s="466">
        <f t="shared" ref="BE43:BF43" si="1765">BD43+BE42</f>
        <v>1392</v>
      </c>
      <c r="BF43" s="466">
        <f t="shared" si="1765"/>
        <v>1392</v>
      </c>
      <c r="BG43" s="466">
        <f t="shared" ref="BG43:BJ43" si="1766">BF43+BG42</f>
        <v>1428</v>
      </c>
      <c r="BH43" s="466">
        <f t="shared" si="1766"/>
        <v>1464</v>
      </c>
      <c r="BI43" s="466">
        <f t="shared" si="1766"/>
        <v>1500</v>
      </c>
      <c r="BJ43" s="466">
        <f t="shared" si="1766"/>
        <v>1542</v>
      </c>
      <c r="BK43" s="527"/>
      <c r="BL43" s="528"/>
      <c r="BM43" s="528"/>
      <c r="BN43" s="528"/>
      <c r="BO43" s="528"/>
      <c r="BP43" s="528"/>
      <c r="BQ43" s="528"/>
      <c r="BR43" s="528"/>
      <c r="BS43" s="528"/>
      <c r="BT43" s="528"/>
      <c r="BU43" s="528"/>
      <c r="BV43" s="528"/>
      <c r="BW43" s="529"/>
      <c r="BX43" s="528"/>
      <c r="BY43" s="528"/>
      <c r="BZ43" s="528"/>
      <c r="CA43" s="528"/>
      <c r="CB43" s="528"/>
      <c r="CC43" s="528"/>
      <c r="CD43" s="528"/>
      <c r="CE43" s="528"/>
      <c r="CF43" s="528"/>
      <c r="CG43" s="528"/>
      <c r="CH43" s="528"/>
      <c r="CI43" s="528"/>
      <c r="CJ43" s="528"/>
      <c r="CK43" s="528"/>
      <c r="CL43" s="528"/>
      <c r="CM43" s="528"/>
      <c r="CN43" s="528"/>
      <c r="CO43" s="528"/>
      <c r="CP43" s="528"/>
      <c r="CQ43" s="528"/>
      <c r="CR43" s="528"/>
      <c r="CS43" s="528"/>
      <c r="CT43" s="528"/>
      <c r="CU43" s="528"/>
      <c r="CV43" s="528"/>
      <c r="CW43" s="528"/>
      <c r="CX43" s="528"/>
      <c r="CY43" s="528"/>
      <c r="CZ43" s="528"/>
      <c r="DA43" s="528"/>
      <c r="DB43" s="528"/>
      <c r="DC43" s="528"/>
      <c r="DD43" s="528"/>
      <c r="DE43" s="528"/>
      <c r="DF43" s="528"/>
      <c r="DG43" s="528"/>
      <c r="DH43" s="528"/>
      <c r="DI43" s="528"/>
      <c r="DJ43" s="528"/>
      <c r="DK43" s="528"/>
      <c r="DL43" s="528"/>
      <c r="DM43" s="528"/>
      <c r="DN43" s="528"/>
      <c r="DO43" s="528"/>
      <c r="DP43" s="528"/>
      <c r="DQ43" s="528"/>
      <c r="DR43" s="528"/>
      <c r="DS43" s="528"/>
      <c r="DT43" s="528"/>
      <c r="DU43" s="528"/>
      <c r="DV43" s="528"/>
      <c r="DW43" s="528"/>
      <c r="DX43" s="528"/>
      <c r="DY43" s="528"/>
      <c r="DZ43" s="528"/>
      <c r="EA43" s="528"/>
      <c r="EB43" s="528"/>
      <c r="EC43" s="528"/>
      <c r="ED43" s="528"/>
      <c r="EE43" s="528"/>
      <c r="EF43" s="528"/>
      <c r="EG43" s="528"/>
      <c r="EH43" s="528"/>
      <c r="EI43" s="528"/>
      <c r="EJ43" s="528"/>
      <c r="EK43" s="528"/>
      <c r="EL43" s="528"/>
      <c r="EM43" s="528"/>
      <c r="EN43" s="528"/>
      <c r="EO43" s="528"/>
      <c r="EP43" s="528"/>
      <c r="EQ43" s="528"/>
      <c r="ER43" s="528"/>
      <c r="ES43" s="528"/>
      <c r="ET43" s="528"/>
      <c r="EU43" s="528"/>
      <c r="EV43" s="528"/>
      <c r="EW43" s="530"/>
      <c r="EX43" s="463">
        <f t="shared" ref="EX43" si="1767">EW43+EX42</f>
        <v>0</v>
      </c>
      <c r="EY43" s="461">
        <f t="shared" ref="EY43" si="1768">EX43+EY42</f>
        <v>0</v>
      </c>
      <c r="EZ43" s="461">
        <f t="shared" ref="EZ43" si="1769">EY43+EZ42</f>
        <v>0</v>
      </c>
      <c r="FA43" s="492">
        <f t="shared" ref="FA43" si="1770">EZ43+FA42</f>
        <v>0</v>
      </c>
      <c r="FB43" s="463">
        <f t="shared" ref="FB43" si="1771">FA43+FB42</f>
        <v>0</v>
      </c>
      <c r="FC43" s="461">
        <f t="shared" ref="FC43" si="1772">FB43+FC42</f>
        <v>0</v>
      </c>
      <c r="FD43" s="461">
        <f t="shared" ref="FD43" si="1773">FC43+FD42</f>
        <v>0</v>
      </c>
      <c r="FE43" s="461">
        <f t="shared" ref="FE43" si="1774">FD43+FE42</f>
        <v>0</v>
      </c>
      <c r="FF43" s="492">
        <f t="shared" ref="FF43" si="1775">FE43+FF42</f>
        <v>0</v>
      </c>
      <c r="FG43" s="464">
        <f t="shared" ref="FG43" si="1776">FF43+FG42</f>
        <v>0</v>
      </c>
      <c r="FH43" s="461">
        <f t="shared" ref="FH43" si="1777">FG43+FH42</f>
        <v>0</v>
      </c>
      <c r="FI43" s="461">
        <f t="shared" ref="FI43" si="1778">FH43+FI42</f>
        <v>0</v>
      </c>
      <c r="FJ43" s="492">
        <f t="shared" ref="FJ43" si="1779">FI43+FJ42</f>
        <v>0</v>
      </c>
      <c r="FK43" s="464">
        <f t="shared" ref="FK43" si="1780">FJ43+FK42</f>
        <v>0</v>
      </c>
      <c r="FL43" s="461">
        <f t="shared" ref="FL43" si="1781">FK43+FL42</f>
        <v>0</v>
      </c>
      <c r="FM43" s="461">
        <f t="shared" ref="FM43" si="1782">FL43+FM42</f>
        <v>0</v>
      </c>
      <c r="FN43" s="492">
        <f t="shared" ref="FN43" si="1783">FM43+FN42</f>
        <v>0</v>
      </c>
      <c r="FO43" s="464">
        <f t="shared" ref="FO43" si="1784">FN43+FO42</f>
        <v>0</v>
      </c>
      <c r="FP43" s="461">
        <f t="shared" ref="FP43" si="1785">FO43+FP42</f>
        <v>0</v>
      </c>
      <c r="FQ43" s="461">
        <f t="shared" ref="FQ43" si="1786">FP43+FQ42</f>
        <v>0</v>
      </c>
      <c r="FR43" s="492">
        <f t="shared" ref="FR43" si="1787">FQ43+FR42</f>
        <v>0</v>
      </c>
      <c r="FS43" s="464">
        <f t="shared" ref="FS43" si="1788">FR43+FS42</f>
        <v>0</v>
      </c>
      <c r="FT43" s="461">
        <f t="shared" ref="FT43" si="1789">FS43+FT42</f>
        <v>0</v>
      </c>
      <c r="FU43" s="461">
        <f t="shared" ref="FU43" si="1790">FT43+FU42</f>
        <v>0</v>
      </c>
      <c r="FV43" s="461">
        <f t="shared" ref="FV43:FW43" si="1791">FU43+FV42</f>
        <v>0</v>
      </c>
      <c r="FW43" s="492">
        <f t="shared" si="1791"/>
        <v>0</v>
      </c>
      <c r="FX43" s="464">
        <f t="shared" ref="FX43" si="1792">FW43+FX42</f>
        <v>0</v>
      </c>
      <c r="FY43" s="461">
        <f t="shared" ref="FY43" si="1793">FX43+FY42</f>
        <v>0</v>
      </c>
      <c r="FZ43" s="461">
        <f t="shared" ref="FZ43" si="1794">FY43+FZ42</f>
        <v>0</v>
      </c>
      <c r="GA43" s="492">
        <f t="shared" ref="GA43" si="1795">FZ43+GA42</f>
        <v>0</v>
      </c>
      <c r="GB43" s="464">
        <f t="shared" ref="GB43" si="1796">GA43+GB42</f>
        <v>0</v>
      </c>
      <c r="GC43" s="461">
        <f t="shared" ref="GC43" si="1797">GB43+GC42</f>
        <v>0</v>
      </c>
      <c r="GD43" s="461">
        <f t="shared" ref="GD43" si="1798">GC43+GD42</f>
        <v>0</v>
      </c>
      <c r="GE43" s="492">
        <f t="shared" ref="GE43" si="1799">GD43+GE42</f>
        <v>0</v>
      </c>
      <c r="GF43" s="464">
        <f t="shared" ref="GF43" si="1800">GE43+GF42</f>
        <v>0</v>
      </c>
      <c r="GG43" s="461">
        <f t="shared" ref="GG43" si="1801">GF43+GG42</f>
        <v>0</v>
      </c>
      <c r="GH43" s="461">
        <f t="shared" ref="GH43" si="1802">GG43+GH42</f>
        <v>0</v>
      </c>
      <c r="GI43" s="461">
        <f t="shared" ref="GI43" si="1803">GH43+GI42</f>
        <v>0</v>
      </c>
      <c r="GJ43" s="496">
        <f t="shared" ref="GJ43" si="1804">GI43+GJ42</f>
        <v>0</v>
      </c>
      <c r="GK43" s="463">
        <f t="shared" ref="GK43" si="1805">GJ43+GK42</f>
        <v>0</v>
      </c>
      <c r="GL43" s="461">
        <f t="shared" ref="GL43" si="1806">GK43+GL42</f>
        <v>0</v>
      </c>
      <c r="GM43" s="461">
        <f t="shared" ref="GM43" si="1807">GL43+GM42</f>
        <v>0</v>
      </c>
      <c r="GN43" s="497">
        <f t="shared" ref="GN43" si="1808">GM43+GN42</f>
        <v>0</v>
      </c>
      <c r="GO43" s="463">
        <f t="shared" ref="GO43" si="1809">GN43+GO42</f>
        <v>18</v>
      </c>
      <c r="GP43" s="461">
        <f t="shared" ref="GP43" si="1810">GO43+GP42</f>
        <v>30</v>
      </c>
      <c r="GQ43" s="461">
        <f t="shared" ref="GQ43" si="1811">GP43+GQ42</f>
        <v>42</v>
      </c>
      <c r="GR43" s="460">
        <f t="shared" ref="GR43" si="1812">GQ43+GR42</f>
        <v>54</v>
      </c>
      <c r="GS43" s="492">
        <f t="shared" ref="GS43" si="1813">GR43+GS42</f>
        <v>66</v>
      </c>
      <c r="GT43" s="464">
        <f t="shared" ref="GT43" si="1814">GS43+GT42</f>
        <v>90</v>
      </c>
      <c r="GU43" s="461">
        <f t="shared" ref="GU43" si="1815">GT43+GU42</f>
        <v>114</v>
      </c>
      <c r="GV43" s="461">
        <f t="shared" ref="GV43" si="1816">GU43+GV42</f>
        <v>132</v>
      </c>
      <c r="GW43" s="497">
        <f t="shared" ref="GW43" si="1817">GV43+GW42</f>
        <v>150</v>
      </c>
      <c r="GX43" s="498">
        <f t="shared" ref="GX43" si="1818">GW43+GX42</f>
        <v>192</v>
      </c>
      <c r="GY43" s="466">
        <f t="shared" ref="GY43" si="1819">GX43+GY42</f>
        <v>228</v>
      </c>
      <c r="GZ43" s="466">
        <f t="shared" ref="GZ43" si="1820">GY43+GZ42</f>
        <v>264</v>
      </c>
      <c r="HA43" s="499">
        <f t="shared" ref="HA43" si="1821">GZ43+HA42</f>
        <v>300</v>
      </c>
      <c r="HB43" s="498">
        <f t="shared" ref="HB43" si="1822">HA43+HB42</f>
        <v>318</v>
      </c>
      <c r="HC43" s="466">
        <f t="shared" ref="HC43" si="1823">HB43+HC42</f>
        <v>336</v>
      </c>
      <c r="HD43" s="466">
        <f t="shared" ref="HD43" si="1824">HC43+HD42</f>
        <v>354</v>
      </c>
      <c r="HE43" s="466">
        <f t="shared" ref="HE43" si="1825">HD43+HE42</f>
        <v>372</v>
      </c>
      <c r="HF43" s="500">
        <f t="shared" ref="HF43" si="1826">HE43+HF42</f>
        <v>384</v>
      </c>
      <c r="HG43" s="498">
        <f t="shared" ref="HG43" si="1827">HF43+HG42</f>
        <v>408</v>
      </c>
      <c r="HH43" s="466">
        <f t="shared" ref="HH43" si="1828">HG43+HH42</f>
        <v>408</v>
      </c>
      <c r="HI43" s="466">
        <f t="shared" ref="HI43" si="1829">HH43+HI42</f>
        <v>432</v>
      </c>
      <c r="HJ43" s="500">
        <f t="shared" ref="HJ43" si="1830">HI43+HJ42</f>
        <v>450</v>
      </c>
      <c r="HK43" s="476">
        <f t="shared" ref="HK43" si="1831">HJ43+HK42</f>
        <v>468</v>
      </c>
      <c r="HL43" s="477">
        <f t="shared" ref="HL43" si="1832">HK43+HL42</f>
        <v>480</v>
      </c>
      <c r="HM43" s="477">
        <f t="shared" ref="HM43" si="1833">HL43+HM42</f>
        <v>492</v>
      </c>
      <c r="HN43" s="478">
        <f t="shared" ref="HN43" si="1834">HM43+HN42</f>
        <v>504</v>
      </c>
      <c r="HO43" s="476">
        <f t="shared" ref="HO43" si="1835">HN43+HO42</f>
        <v>522</v>
      </c>
      <c r="HP43" s="477">
        <f t="shared" ref="HP43" si="1836">HO43+HP42</f>
        <v>534</v>
      </c>
      <c r="HQ43" s="477">
        <f t="shared" ref="HQ43" si="1837">HP43+HQ42</f>
        <v>546</v>
      </c>
      <c r="HR43" s="478">
        <f t="shared" ref="HR43" si="1838">HQ43+HR42</f>
        <v>558</v>
      </c>
      <c r="HS43" s="476">
        <f t="shared" ref="HS43" si="1839">HR43+HS42</f>
        <v>576</v>
      </c>
      <c r="HT43" s="477">
        <f t="shared" ref="HT43" si="1840">HS43+HT42</f>
        <v>594</v>
      </c>
      <c r="HU43" s="477">
        <f t="shared" ref="HU43" si="1841">HT43+HU42</f>
        <v>594</v>
      </c>
      <c r="HV43" s="478">
        <f t="shared" ref="HV43" si="1842">HU43+HV42</f>
        <v>594</v>
      </c>
      <c r="HW43" s="476">
        <f t="shared" ref="HW43" si="1843">HV43+HW42</f>
        <v>594</v>
      </c>
      <c r="HX43" s="477">
        <f t="shared" ref="HX43" si="1844">HW43+HX42</f>
        <v>612</v>
      </c>
      <c r="HY43" s="477">
        <f t="shared" ref="HY43" si="1845">HX43+HY42</f>
        <v>624</v>
      </c>
      <c r="HZ43" s="477">
        <f t="shared" ref="HZ43" si="1846">HY43+HZ42</f>
        <v>636</v>
      </c>
      <c r="IA43" s="478">
        <f t="shared" ref="IA43" si="1847">HZ43+IA42</f>
        <v>648</v>
      </c>
      <c r="IB43" s="479">
        <f t="shared" ref="IB43" si="1848">IA43+IB42</f>
        <v>660</v>
      </c>
      <c r="IC43" s="477">
        <f t="shared" ref="IC43" si="1849">IB43+IC42</f>
        <v>672</v>
      </c>
      <c r="ID43" s="477">
        <f>IC43+ID42</f>
        <v>684</v>
      </c>
      <c r="IE43" s="478">
        <f>ID43+IE42</f>
        <v>684</v>
      </c>
      <c r="IF43" s="479">
        <f t="shared" ref="IF43" si="1850">IE43+IF42</f>
        <v>702</v>
      </c>
      <c r="IG43" s="477">
        <f t="shared" ref="IG43" si="1851">IF43+IG42</f>
        <v>720</v>
      </c>
      <c r="IH43" s="477">
        <f t="shared" ref="IH43" si="1852">IG43+IH42</f>
        <v>732</v>
      </c>
      <c r="II43" s="477">
        <f t="shared" ref="II43" si="1853">IH43+II42</f>
        <v>744</v>
      </c>
      <c r="IJ43" s="480">
        <f t="shared" ref="IJ43" si="1854">II43+IJ42</f>
        <v>756</v>
      </c>
      <c r="IK43" s="476">
        <f t="shared" ref="IK43" si="1855">IJ43+IK42</f>
        <v>756</v>
      </c>
      <c r="IL43" s="477">
        <f t="shared" ref="IL43" si="1856">IK43+IL42</f>
        <v>774</v>
      </c>
      <c r="IM43" s="477">
        <f t="shared" ref="IM43" si="1857">IL43+IM42</f>
        <v>792</v>
      </c>
      <c r="IN43" s="478">
        <f t="shared" ref="IN43" si="1858">IM43+IN42</f>
        <v>804</v>
      </c>
      <c r="IO43" s="476">
        <f t="shared" ref="IO43" si="1859">IN43+IO42</f>
        <v>822</v>
      </c>
      <c r="IP43" s="477">
        <f t="shared" ref="IP43" si="1860">IO43+IP42</f>
        <v>834</v>
      </c>
      <c r="IQ43" s="477">
        <f t="shared" ref="IQ43" si="1861">IP43+IQ42</f>
        <v>846</v>
      </c>
      <c r="IR43" s="478">
        <f t="shared" ref="IR43" si="1862">IQ43+IR42</f>
        <v>846</v>
      </c>
      <c r="IS43" s="476">
        <f t="shared" ref="IS43" si="1863">IR43+IS42</f>
        <v>870</v>
      </c>
      <c r="IT43" s="477">
        <f t="shared" ref="IT43" si="1864">IS43+IT42</f>
        <v>894</v>
      </c>
      <c r="IU43" s="477">
        <f t="shared" ref="IU43" si="1865">IT43+IU42</f>
        <v>912</v>
      </c>
      <c r="IV43" s="480">
        <f t="shared" ref="IV43:IW43" si="1866">IU43+IV42</f>
        <v>930</v>
      </c>
      <c r="IW43" s="476">
        <f t="shared" si="1866"/>
        <v>930</v>
      </c>
      <c r="IX43" s="479">
        <f t="shared" ref="IX43" si="1867">IW43+IX42</f>
        <v>960</v>
      </c>
      <c r="IY43" s="477">
        <f t="shared" ref="IY43" si="1868">IX43+IY42</f>
        <v>990</v>
      </c>
      <c r="IZ43" s="480">
        <f t="shared" ref="IZ43" si="1869">IY43+IZ42</f>
        <v>1020</v>
      </c>
      <c r="JA43" s="478">
        <f t="shared" ref="JA43" si="1870">IZ43+JA42</f>
        <v>1056</v>
      </c>
      <c r="JB43" s="476">
        <f t="shared" ref="JB43" si="1871">JA43+JB42</f>
        <v>1092</v>
      </c>
      <c r="JC43" s="477">
        <f t="shared" ref="JC43" si="1872">JB43+JC42</f>
        <v>1128</v>
      </c>
      <c r="JD43" s="477">
        <f t="shared" ref="JD43" si="1873">JC43+JD42</f>
        <v>1164</v>
      </c>
      <c r="JE43" s="478">
        <f t="shared" ref="JE43" si="1874">JD43+JE42</f>
        <v>1194</v>
      </c>
      <c r="JF43" s="476">
        <f t="shared" ref="JF43" si="1875">JE43+JF42</f>
        <v>1224</v>
      </c>
      <c r="JG43" s="477">
        <f t="shared" ref="JG43" si="1876">JF43+JG42</f>
        <v>1248</v>
      </c>
      <c r="JH43" s="477">
        <f t="shared" ref="JH43" si="1877">JG43+JH42</f>
        <v>1272</v>
      </c>
      <c r="JI43" s="478">
        <f t="shared" ref="JI43" si="1878">JH43+JI42</f>
        <v>1296</v>
      </c>
      <c r="JJ43" s="611">
        <f t="shared" ref="JJ43" si="1879">JI43+JJ42</f>
        <v>1296</v>
      </c>
      <c r="JK43" s="477">
        <f t="shared" ref="JK43" si="1880">JJ43+JK42</f>
        <v>1326</v>
      </c>
      <c r="JL43" s="477">
        <f t="shared" ref="JL43" si="1881">JK43+JL42</f>
        <v>1356</v>
      </c>
      <c r="JM43" s="478">
        <f t="shared" ref="JM43" si="1882">JL43+JM42</f>
        <v>1380</v>
      </c>
      <c r="JN43" s="476">
        <f>JM43+JN42</f>
        <v>1392</v>
      </c>
      <c r="JO43" s="477">
        <f>JN43+JO42</f>
        <v>1392</v>
      </c>
      <c r="JP43" s="477">
        <f>JO43+JP42</f>
        <v>1392</v>
      </c>
      <c r="JQ43" s="613">
        <f t="shared" ref="JQ43" si="1883">JP43+JQ42</f>
        <v>1392</v>
      </c>
      <c r="JR43" s="478">
        <f t="shared" ref="JR43" si="1884">JQ43+JR42</f>
        <v>1392</v>
      </c>
      <c r="JS43" s="476">
        <f>JR43+JS42</f>
        <v>1392</v>
      </c>
      <c r="JT43" s="477">
        <f>JS43+JT42</f>
        <v>1392</v>
      </c>
      <c r="JU43" s="477">
        <f>JT43+JU42</f>
        <v>1392</v>
      </c>
      <c r="JV43" s="478">
        <f t="shared" ref="JV43" si="1885">JU43+JV42</f>
        <v>1392</v>
      </c>
      <c r="JW43" s="476">
        <f>JV43+JW42</f>
        <v>1410</v>
      </c>
      <c r="JX43" s="477">
        <f>JW43+JX42</f>
        <v>1428</v>
      </c>
      <c r="JY43" s="477">
        <f>JX43+JY42</f>
        <v>1428</v>
      </c>
      <c r="JZ43" s="478">
        <f t="shared" ref="JZ43:KE43" si="1886">JY43+JZ42</f>
        <v>1428</v>
      </c>
      <c r="KA43" s="476">
        <f t="shared" si="1886"/>
        <v>1446</v>
      </c>
      <c r="KB43" s="477">
        <f t="shared" si="1886"/>
        <v>1464</v>
      </c>
      <c r="KC43" s="477">
        <f t="shared" si="1886"/>
        <v>1464</v>
      </c>
      <c r="KD43" s="480">
        <f t="shared" si="1886"/>
        <v>1464</v>
      </c>
      <c r="KE43" s="478">
        <f t="shared" si="1886"/>
        <v>1464</v>
      </c>
      <c r="KF43" s="476">
        <f t="shared" ref="KF43" si="1887">KE43+KF42</f>
        <v>1482</v>
      </c>
      <c r="KG43" s="477">
        <f t="shared" ref="KG43" si="1888">KF43+KG42</f>
        <v>1500</v>
      </c>
      <c r="KH43" s="477">
        <f t="shared" ref="KH43" si="1889">KG43+KH42</f>
        <v>1500</v>
      </c>
      <c r="KI43" s="478">
        <f t="shared" ref="KI43" si="1890">KH43+KI42</f>
        <v>1500</v>
      </c>
      <c r="KJ43" s="611">
        <f t="shared" ref="KJ43" si="1891">KI43+KJ42</f>
        <v>1500</v>
      </c>
      <c r="KK43" s="477">
        <f t="shared" ref="KK43" si="1892">KJ43+KK42</f>
        <v>1524</v>
      </c>
      <c r="KL43" s="477">
        <f t="shared" ref="KL43:KM43" si="1893">KK43+KL42</f>
        <v>1542</v>
      </c>
      <c r="KM43" s="477">
        <f t="shared" si="1893"/>
        <v>1542</v>
      </c>
      <c r="KN43" s="478">
        <f t="shared" ref="KN43" si="1894">KL43+KN42</f>
        <v>1542</v>
      </c>
    </row>
    <row r="44" spans="1:300" ht="36.75" customHeight="1">
      <c r="A44" s="481"/>
      <c r="B44" s="494"/>
      <c r="C44" s="667">
        <v>11</v>
      </c>
      <c r="D44" s="595" t="s">
        <v>204</v>
      </c>
      <c r="E44" s="523"/>
      <c r="F44" s="601" t="s">
        <v>148</v>
      </c>
      <c r="G44" s="440" t="s">
        <v>17</v>
      </c>
      <c r="H44" s="475"/>
      <c r="I44" s="471"/>
      <c r="J44" s="471"/>
      <c r="K44" s="471"/>
      <c r="L44" s="471"/>
      <c r="M44" s="495"/>
      <c r="N44" s="495"/>
      <c r="O44" s="495"/>
      <c r="P44" s="495"/>
      <c r="Q44" s="495"/>
      <c r="R44" s="471"/>
      <c r="S44" s="471"/>
      <c r="T44" s="495"/>
      <c r="U44" s="495"/>
      <c r="V44" s="495"/>
      <c r="W44" s="495"/>
      <c r="X44" s="495"/>
      <c r="Y44" s="495"/>
      <c r="Z44" s="495"/>
      <c r="AA44" s="495"/>
      <c r="AB44" s="495"/>
      <c r="AC44" s="483">
        <f>SUBTOTAL(9,EX44:FA44)</f>
        <v>0</v>
      </c>
      <c r="AD44" s="445">
        <f>SUBTOTAL(9,FB44:FF44)</f>
        <v>0</v>
      </c>
      <c r="AE44" s="445">
        <f>SUBTOTAL(9,FG44:FJ44)</f>
        <v>0</v>
      </c>
      <c r="AF44" s="445">
        <f>SUBTOTAL(9,FK44:FN44)</f>
        <v>0</v>
      </c>
      <c r="AG44" s="445">
        <f>SUBTOTAL(9,FO44:FR44)</f>
        <v>0</v>
      </c>
      <c r="AH44" s="445">
        <f>SUBTOTAL(9,FS44:FW44)</f>
        <v>0</v>
      </c>
      <c r="AI44" s="445">
        <f>SUBTOTAL(9,FX44:GA44)</f>
        <v>0</v>
      </c>
      <c r="AJ44" s="445">
        <f>SUBTOTAL(9,GB44:GE44)</f>
        <v>0</v>
      </c>
      <c r="AK44" s="445">
        <f>SUBTOTAL(9,GF44:GJ44)</f>
        <v>0</v>
      </c>
      <c r="AL44" s="445">
        <f>SUBTOTAL(9,GK44:GN44)</f>
        <v>0</v>
      </c>
      <c r="AM44" s="445">
        <f>SUBTOTAL(9,GO44:GS44)</f>
        <v>600</v>
      </c>
      <c r="AN44" s="493">
        <f>SUBTOTAL(9,GT44:GW44)</f>
        <v>1008</v>
      </c>
      <c r="AO44" s="446">
        <f>SUM(GX44:HA44)</f>
        <v>1194</v>
      </c>
      <c r="AP44" s="445">
        <f>SUM(HB44:HF44)</f>
        <v>1296</v>
      </c>
      <c r="AQ44" s="445">
        <f>SUM(HG44:HJ44)</f>
        <v>1524</v>
      </c>
      <c r="AR44" s="445">
        <f>SUM(HK44:HN44)</f>
        <v>1494</v>
      </c>
      <c r="AS44" s="445">
        <f>SUM(HO44:HR44)</f>
        <v>1296</v>
      </c>
      <c r="AT44" s="445">
        <f>SUM(HS44:HV44)</f>
        <v>348</v>
      </c>
      <c r="AU44" s="445">
        <f>SUM(HW44:IA44)</f>
        <v>606</v>
      </c>
      <c r="AV44" s="445">
        <f>SUM(IB44:IE44)</f>
        <v>510</v>
      </c>
      <c r="AW44" s="445">
        <f t="shared" ref="AW44" si="1895">SUM(IF44:IJ44)</f>
        <v>462</v>
      </c>
      <c r="AX44" s="446">
        <f t="shared" ref="AX44" si="1896">SUM(IK44:IN44)</f>
        <v>642</v>
      </c>
      <c r="AY44" s="446">
        <f t="shared" ref="AY44" si="1897">SUM(IO44:IR44)</f>
        <v>864</v>
      </c>
      <c r="AZ44" s="446">
        <f t="shared" ref="AZ44" si="1898">SUM(IS44:IV44)</f>
        <v>744</v>
      </c>
      <c r="BA44" s="446">
        <f t="shared" ref="BA44" si="1899">SUM(IW44:JA44)</f>
        <v>1032</v>
      </c>
      <c r="BB44" s="446">
        <f t="shared" ref="BB44" si="1900">SUM(JB44:JE44)</f>
        <v>804</v>
      </c>
      <c r="BC44" s="446">
        <f t="shared" ref="BC44" si="1901">SUM(JF44:JI44)</f>
        <v>714</v>
      </c>
      <c r="BD44" s="446">
        <f t="shared" ref="BD44" si="1902">SUM(JJ44:JM44)</f>
        <v>912</v>
      </c>
      <c r="BE44" s="446">
        <f t="shared" ref="BE44" si="1903">SUM(JN44:JR44)</f>
        <v>660</v>
      </c>
      <c r="BF44" s="446">
        <f t="shared" ref="BF44" si="1904">SUM(JS44:JV44)</f>
        <v>0</v>
      </c>
      <c r="BG44" s="446">
        <f t="shared" ref="BG44" si="1905">SUM(JW44:JZ44)</f>
        <v>192</v>
      </c>
      <c r="BH44" s="446">
        <f t="shared" ref="BH44" si="1906">SUM(KA44:KE44)</f>
        <v>360</v>
      </c>
      <c r="BI44" s="446">
        <f t="shared" ref="BI44" si="1907">SUM(KF44:KI44)</f>
        <v>372</v>
      </c>
      <c r="BJ44" s="446">
        <f t="shared" ref="BJ44" si="1908">SUM(KJ44:KN44)</f>
        <v>420</v>
      </c>
      <c r="BK44" s="524"/>
      <c r="BL44" s="525"/>
      <c r="BM44" s="525"/>
      <c r="BN44" s="525"/>
      <c r="BO44" s="525"/>
      <c r="BP44" s="525"/>
      <c r="BQ44" s="525"/>
      <c r="BR44" s="525"/>
      <c r="BS44" s="525"/>
      <c r="BT44" s="525"/>
      <c r="BU44" s="525"/>
      <c r="BV44" s="525"/>
      <c r="BW44" s="542"/>
      <c r="BX44" s="525"/>
      <c r="BY44" s="525"/>
      <c r="BZ44" s="525"/>
      <c r="CA44" s="525"/>
      <c r="CB44" s="525"/>
      <c r="CC44" s="525"/>
      <c r="CD44" s="525"/>
      <c r="CE44" s="525"/>
      <c r="CF44" s="525"/>
      <c r="CG44" s="525"/>
      <c r="CH44" s="542"/>
      <c r="CI44" s="525"/>
      <c r="CJ44" s="525"/>
      <c r="CK44" s="525"/>
      <c r="CL44" s="525"/>
      <c r="CM44" s="525"/>
      <c r="CN44" s="525"/>
      <c r="CO44" s="525"/>
      <c r="CP44" s="525"/>
      <c r="CQ44" s="525"/>
      <c r="CR44" s="525"/>
      <c r="CS44" s="525"/>
      <c r="CT44" s="525"/>
      <c r="CU44" s="525"/>
      <c r="CV44" s="525"/>
      <c r="CW44" s="525"/>
      <c r="CX44" s="525"/>
      <c r="CY44" s="525"/>
      <c r="CZ44" s="525"/>
      <c r="DA44" s="525"/>
      <c r="DB44" s="525"/>
      <c r="DC44" s="525"/>
      <c r="DD44" s="525"/>
      <c r="DE44" s="542"/>
      <c r="DF44" s="525"/>
      <c r="DG44" s="542"/>
      <c r="DH44" s="543"/>
      <c r="DI44" s="525"/>
      <c r="DJ44" s="525"/>
      <c r="DK44" s="525"/>
      <c r="DL44" s="525"/>
      <c r="DM44" s="525"/>
      <c r="DN44" s="525"/>
      <c r="DO44" s="525"/>
      <c r="DP44" s="525"/>
      <c r="DQ44" s="525"/>
      <c r="DR44" s="525"/>
      <c r="DS44" s="525"/>
      <c r="DT44" s="525"/>
      <c r="DU44" s="525"/>
      <c r="DV44" s="542"/>
      <c r="DW44" s="525"/>
      <c r="DX44" s="525"/>
      <c r="DY44" s="525"/>
      <c r="DZ44" s="525"/>
      <c r="EA44" s="525"/>
      <c r="EB44" s="525"/>
      <c r="EC44" s="525"/>
      <c r="ED44" s="525"/>
      <c r="EE44" s="525"/>
      <c r="EF44" s="525"/>
      <c r="EG44" s="525"/>
      <c r="EH44" s="542"/>
      <c r="EI44" s="525"/>
      <c r="EJ44" s="525"/>
      <c r="EK44" s="525"/>
      <c r="EL44" s="525"/>
      <c r="EM44" s="525"/>
      <c r="EN44" s="525"/>
      <c r="EO44" s="525"/>
      <c r="EP44" s="525"/>
      <c r="EQ44" s="525"/>
      <c r="ER44" s="525"/>
      <c r="ES44" s="525"/>
      <c r="ET44" s="525"/>
      <c r="EU44" s="525"/>
      <c r="EV44" s="525"/>
      <c r="EW44" s="526"/>
      <c r="EX44" s="447">
        <v>0</v>
      </c>
      <c r="EY44" s="445">
        <v>0</v>
      </c>
      <c r="EZ44" s="445">
        <v>0</v>
      </c>
      <c r="FA44" s="502">
        <v>0</v>
      </c>
      <c r="FB44" s="447">
        <v>0</v>
      </c>
      <c r="FC44" s="445">
        <v>0</v>
      </c>
      <c r="FD44" s="445">
        <v>0</v>
      </c>
      <c r="FE44" s="445">
        <v>0</v>
      </c>
      <c r="FF44" s="502">
        <v>0</v>
      </c>
      <c r="FG44" s="448">
        <v>0</v>
      </c>
      <c r="FH44" s="445">
        <v>0</v>
      </c>
      <c r="FI44" s="445">
        <v>0</v>
      </c>
      <c r="FJ44" s="502">
        <v>0</v>
      </c>
      <c r="FK44" s="448">
        <v>0</v>
      </c>
      <c r="FL44" s="445">
        <v>0</v>
      </c>
      <c r="FM44" s="445">
        <v>0</v>
      </c>
      <c r="FN44" s="502">
        <v>0</v>
      </c>
      <c r="FO44" s="448">
        <v>0</v>
      </c>
      <c r="FP44" s="445">
        <v>0</v>
      </c>
      <c r="FQ44" s="445">
        <v>0</v>
      </c>
      <c r="FR44" s="502">
        <v>0</v>
      </c>
      <c r="FS44" s="448">
        <v>0</v>
      </c>
      <c r="FT44" s="445">
        <v>0</v>
      </c>
      <c r="FU44" s="445">
        <v>0</v>
      </c>
      <c r="FV44" s="445">
        <v>0</v>
      </c>
      <c r="FW44" s="502">
        <v>0</v>
      </c>
      <c r="FX44" s="448">
        <v>0</v>
      </c>
      <c r="FY44" s="445">
        <v>0</v>
      </c>
      <c r="FZ44" s="445">
        <v>0</v>
      </c>
      <c r="GA44" s="502">
        <v>0</v>
      </c>
      <c r="GB44" s="448">
        <v>0</v>
      </c>
      <c r="GC44" s="445">
        <v>0</v>
      </c>
      <c r="GD44" s="445">
        <v>0</v>
      </c>
      <c r="GE44" s="502">
        <v>0</v>
      </c>
      <c r="GF44" s="448">
        <v>0</v>
      </c>
      <c r="GG44" s="445">
        <v>0</v>
      </c>
      <c r="GH44" s="445">
        <v>0</v>
      </c>
      <c r="GI44" s="445">
        <v>0</v>
      </c>
      <c r="GJ44" s="503">
        <v>0</v>
      </c>
      <c r="GK44" s="447">
        <v>0</v>
      </c>
      <c r="GL44" s="445">
        <v>0</v>
      </c>
      <c r="GM44" s="445">
        <v>0</v>
      </c>
      <c r="GN44" s="504">
        <v>0</v>
      </c>
      <c r="GO44" s="505">
        <v>120</v>
      </c>
      <c r="GP44" s="506">
        <v>120</v>
      </c>
      <c r="GQ44" s="506">
        <v>120</v>
      </c>
      <c r="GR44" s="507">
        <v>120</v>
      </c>
      <c r="GS44" s="508">
        <v>120</v>
      </c>
      <c r="GT44" s="448">
        <v>252</v>
      </c>
      <c r="GU44" s="445">
        <v>252</v>
      </c>
      <c r="GV44" s="445">
        <v>252</v>
      </c>
      <c r="GW44" s="504">
        <v>252</v>
      </c>
      <c r="GX44" s="447">
        <v>300</v>
      </c>
      <c r="GY44" s="445">
        <v>300</v>
      </c>
      <c r="GZ44" s="445">
        <v>300</v>
      </c>
      <c r="HA44" s="504">
        <v>294</v>
      </c>
      <c r="HB44" s="447">
        <v>264</v>
      </c>
      <c r="HC44" s="445">
        <v>258</v>
      </c>
      <c r="HD44" s="445">
        <v>258</v>
      </c>
      <c r="HE44" s="445">
        <v>258</v>
      </c>
      <c r="HF44" s="502">
        <v>258</v>
      </c>
      <c r="HG44" s="447">
        <v>510</v>
      </c>
      <c r="HH44" s="450"/>
      <c r="HI44" s="445">
        <v>510</v>
      </c>
      <c r="HJ44" s="502">
        <v>504</v>
      </c>
      <c r="HK44" s="447">
        <v>378</v>
      </c>
      <c r="HL44" s="445">
        <v>372</v>
      </c>
      <c r="HM44" s="445">
        <v>372</v>
      </c>
      <c r="HN44" s="502">
        <v>372</v>
      </c>
      <c r="HO44" s="447">
        <v>324</v>
      </c>
      <c r="HP44" s="445">
        <v>324</v>
      </c>
      <c r="HQ44" s="445">
        <v>324</v>
      </c>
      <c r="HR44" s="502">
        <v>324</v>
      </c>
      <c r="HS44" s="447">
        <v>90</v>
      </c>
      <c r="HT44" s="445">
        <v>90</v>
      </c>
      <c r="HU44" s="445">
        <v>84</v>
      </c>
      <c r="HV44" s="502">
        <v>84</v>
      </c>
      <c r="HW44" s="451"/>
      <c r="HX44" s="445">
        <v>156</v>
      </c>
      <c r="HY44" s="445">
        <v>150</v>
      </c>
      <c r="HZ44" s="445">
        <v>150</v>
      </c>
      <c r="IA44" s="502">
        <v>150</v>
      </c>
      <c r="IB44" s="448">
        <v>132</v>
      </c>
      <c r="IC44" s="445">
        <v>126</v>
      </c>
      <c r="ID44" s="445">
        <v>126</v>
      </c>
      <c r="IE44" s="502">
        <v>126</v>
      </c>
      <c r="IF44" s="448">
        <v>96</v>
      </c>
      <c r="IG44" s="445">
        <v>96</v>
      </c>
      <c r="IH44" s="445">
        <v>90</v>
      </c>
      <c r="II44" s="445">
        <v>90</v>
      </c>
      <c r="IJ44" s="446">
        <v>90</v>
      </c>
      <c r="IK44" s="451"/>
      <c r="IL44" s="445">
        <v>216</v>
      </c>
      <c r="IM44" s="445">
        <v>216</v>
      </c>
      <c r="IN44" s="502">
        <v>210</v>
      </c>
      <c r="IO44" s="447">
        <v>234</v>
      </c>
      <c r="IP44" s="445">
        <v>234</v>
      </c>
      <c r="IQ44" s="509">
        <v>198</v>
      </c>
      <c r="IR44" s="510">
        <v>198</v>
      </c>
      <c r="IS44" s="511">
        <v>246</v>
      </c>
      <c r="IT44" s="509">
        <v>312</v>
      </c>
      <c r="IU44" s="509">
        <v>96</v>
      </c>
      <c r="IV44" s="512">
        <v>90</v>
      </c>
      <c r="IW44" s="511">
        <v>312</v>
      </c>
      <c r="IX44" s="522">
        <v>324</v>
      </c>
      <c r="IY44" s="509">
        <v>222</v>
      </c>
      <c r="IZ44" s="512">
        <v>0</v>
      </c>
      <c r="JA44" s="502">
        <v>174</v>
      </c>
      <c r="JB44" s="511">
        <v>204</v>
      </c>
      <c r="JC44" s="509">
        <v>204</v>
      </c>
      <c r="JD44" s="509">
        <v>198</v>
      </c>
      <c r="JE44" s="510">
        <v>198</v>
      </c>
      <c r="JF44" s="511">
        <v>180</v>
      </c>
      <c r="JG44" s="445">
        <v>180</v>
      </c>
      <c r="JH44" s="445">
        <v>180</v>
      </c>
      <c r="JI44" s="502">
        <v>174</v>
      </c>
      <c r="JJ44" s="451">
        <v>0</v>
      </c>
      <c r="JK44" s="445">
        <v>306</v>
      </c>
      <c r="JL44" s="445">
        <v>306</v>
      </c>
      <c r="JM44" s="502">
        <v>300</v>
      </c>
      <c r="JN44" s="447">
        <v>168</v>
      </c>
      <c r="JO44" s="445">
        <v>168</v>
      </c>
      <c r="JP44" s="445">
        <v>162</v>
      </c>
      <c r="JQ44" s="449">
        <v>0</v>
      </c>
      <c r="JR44" s="502">
        <v>162</v>
      </c>
      <c r="JS44" s="447">
        <v>0</v>
      </c>
      <c r="JT44" s="445">
        <v>0</v>
      </c>
      <c r="JU44" s="445">
        <v>0</v>
      </c>
      <c r="JV44" s="502">
        <v>0</v>
      </c>
      <c r="JW44" s="447">
        <v>48</v>
      </c>
      <c r="JX44" s="445">
        <v>48</v>
      </c>
      <c r="JY44" s="445">
        <v>48</v>
      </c>
      <c r="JZ44" s="502">
        <v>48</v>
      </c>
      <c r="KA44" s="447">
        <v>72</v>
      </c>
      <c r="KB44" s="445">
        <v>72</v>
      </c>
      <c r="KC44" s="445">
        <v>72</v>
      </c>
      <c r="KD44" s="446">
        <v>72</v>
      </c>
      <c r="KE44" s="502">
        <v>72</v>
      </c>
      <c r="KF44" s="447">
        <v>96</v>
      </c>
      <c r="KG44" s="445">
        <v>96</v>
      </c>
      <c r="KH44" s="445">
        <v>90</v>
      </c>
      <c r="KI44" s="502">
        <v>90</v>
      </c>
      <c r="KJ44" s="451">
        <v>0</v>
      </c>
      <c r="KK44" s="445">
        <v>108</v>
      </c>
      <c r="KL44" s="445">
        <v>108</v>
      </c>
      <c r="KM44" s="445">
        <v>102</v>
      </c>
      <c r="KN44" s="502">
        <v>102</v>
      </c>
    </row>
    <row r="45" spans="1:300" ht="36.75" customHeight="1" thickBot="1">
      <c r="A45" s="481"/>
      <c r="B45" s="494"/>
      <c r="C45" s="668"/>
      <c r="D45" s="596"/>
      <c r="E45" s="523"/>
      <c r="F45" s="600"/>
      <c r="G45" s="456" t="s">
        <v>18</v>
      </c>
      <c r="H45" s="475"/>
      <c r="I45" s="471"/>
      <c r="J45" s="471"/>
      <c r="K45" s="471"/>
      <c r="L45" s="471"/>
      <c r="M45" s="495"/>
      <c r="N45" s="495"/>
      <c r="O45" s="495"/>
      <c r="P45" s="495"/>
      <c r="Q45" s="495"/>
      <c r="R45" s="471"/>
      <c r="S45" s="471"/>
      <c r="T45" s="495"/>
      <c r="U45" s="495"/>
      <c r="V45" s="495"/>
      <c r="W45" s="495"/>
      <c r="X45" s="495"/>
      <c r="Y45" s="495"/>
      <c r="Z45" s="495"/>
      <c r="AA45" s="495"/>
      <c r="AB45" s="495"/>
      <c r="AC45" s="460">
        <f t="shared" ref="AC45" si="1909">AB45+AC44</f>
        <v>0</v>
      </c>
      <c r="AD45" s="461">
        <f t="shared" ref="AD45" si="1910">AC45+AD44</f>
        <v>0</v>
      </c>
      <c r="AE45" s="461">
        <f t="shared" ref="AE45" si="1911">AD45+AE44</f>
        <v>0</v>
      </c>
      <c r="AF45" s="461">
        <f t="shared" ref="AF45" si="1912">AE45+AF44</f>
        <v>0</v>
      </c>
      <c r="AG45" s="461">
        <f t="shared" ref="AG45:AH45" si="1913">AF45+AG44</f>
        <v>0</v>
      </c>
      <c r="AH45" s="461">
        <f t="shared" si="1913"/>
        <v>0</v>
      </c>
      <c r="AI45" s="462">
        <f>GA45</f>
        <v>0</v>
      </c>
      <c r="AJ45" s="461">
        <f t="shared" ref="AJ45" si="1914">AI45+AJ44</f>
        <v>0</v>
      </c>
      <c r="AK45" s="461">
        <f t="shared" ref="AK45" si="1915">AJ45+AK44</f>
        <v>0</v>
      </c>
      <c r="AL45" s="461">
        <f t="shared" ref="AL45:AM45" si="1916">AK45+AL44</f>
        <v>0</v>
      </c>
      <c r="AM45" s="491">
        <f t="shared" si="1916"/>
        <v>600</v>
      </c>
      <c r="AN45" s="467">
        <f t="shared" ref="AN45" si="1917">AM45+AN44</f>
        <v>1608</v>
      </c>
      <c r="AO45" s="495">
        <f t="shared" ref="AO45" si="1918">AN45+AO44</f>
        <v>2802</v>
      </c>
      <c r="AP45" s="471">
        <f t="shared" ref="AP45:AR45" si="1919">AO45+AP44</f>
        <v>4098</v>
      </c>
      <c r="AQ45" s="471">
        <f t="shared" si="1919"/>
        <v>5622</v>
      </c>
      <c r="AR45" s="471">
        <f t="shared" si="1919"/>
        <v>7116</v>
      </c>
      <c r="AS45" s="471">
        <f t="shared" ref="AS45:AU45" si="1920">AR45+AS44</f>
        <v>8412</v>
      </c>
      <c r="AT45" s="466">
        <f t="shared" si="1920"/>
        <v>8760</v>
      </c>
      <c r="AU45" s="471">
        <f t="shared" si="1920"/>
        <v>9366</v>
      </c>
      <c r="AV45" s="466">
        <f>AU45+AV44</f>
        <v>9876</v>
      </c>
      <c r="AW45" s="466">
        <f t="shared" ref="AW45:AZ45" si="1921">AV45+AW44</f>
        <v>10338</v>
      </c>
      <c r="AX45" s="466">
        <f t="shared" si="1921"/>
        <v>10980</v>
      </c>
      <c r="AY45" s="466">
        <f t="shared" si="1921"/>
        <v>11844</v>
      </c>
      <c r="AZ45" s="466">
        <f t="shared" si="1921"/>
        <v>12588</v>
      </c>
      <c r="BA45" s="466">
        <f t="shared" ref="BA45" si="1922">AZ45+BA44</f>
        <v>13620</v>
      </c>
      <c r="BB45" s="466">
        <f t="shared" ref="BB45" si="1923">BA45+BB44</f>
        <v>14424</v>
      </c>
      <c r="BC45" s="466">
        <f t="shared" ref="BC45:BD45" si="1924">BB45+BC44</f>
        <v>15138</v>
      </c>
      <c r="BD45" s="466">
        <f t="shared" si="1924"/>
        <v>16050</v>
      </c>
      <c r="BE45" s="466">
        <f t="shared" ref="BE45:BF45" si="1925">BD45+BE44</f>
        <v>16710</v>
      </c>
      <c r="BF45" s="466">
        <f t="shared" si="1925"/>
        <v>16710</v>
      </c>
      <c r="BG45" s="466">
        <f t="shared" ref="BG45:BJ45" si="1926">BF45+BG44</f>
        <v>16902</v>
      </c>
      <c r="BH45" s="466">
        <f t="shared" si="1926"/>
        <v>17262</v>
      </c>
      <c r="BI45" s="466">
        <f t="shared" si="1926"/>
        <v>17634</v>
      </c>
      <c r="BJ45" s="466">
        <f t="shared" si="1926"/>
        <v>18054</v>
      </c>
      <c r="BK45" s="527"/>
      <c r="BL45" s="528"/>
      <c r="BM45" s="528"/>
      <c r="BN45" s="528"/>
      <c r="BO45" s="528"/>
      <c r="BP45" s="528"/>
      <c r="BQ45" s="528"/>
      <c r="BR45" s="528"/>
      <c r="BS45" s="528"/>
      <c r="BT45" s="528"/>
      <c r="BU45" s="528"/>
      <c r="BV45" s="528"/>
      <c r="BW45" s="529"/>
      <c r="BX45" s="528"/>
      <c r="BY45" s="528"/>
      <c r="BZ45" s="528"/>
      <c r="CA45" s="528"/>
      <c r="CB45" s="528"/>
      <c r="CC45" s="528"/>
      <c r="CD45" s="528"/>
      <c r="CE45" s="528"/>
      <c r="CF45" s="528"/>
      <c r="CG45" s="528"/>
      <c r="CH45" s="528"/>
      <c r="CI45" s="528"/>
      <c r="CJ45" s="528"/>
      <c r="CK45" s="528"/>
      <c r="CL45" s="528"/>
      <c r="CM45" s="528"/>
      <c r="CN45" s="528"/>
      <c r="CO45" s="528"/>
      <c r="CP45" s="528"/>
      <c r="CQ45" s="528"/>
      <c r="CR45" s="528"/>
      <c r="CS45" s="528"/>
      <c r="CT45" s="528"/>
      <c r="CU45" s="528"/>
      <c r="CV45" s="528"/>
      <c r="CW45" s="528"/>
      <c r="CX45" s="528"/>
      <c r="CY45" s="528"/>
      <c r="CZ45" s="528"/>
      <c r="DA45" s="528"/>
      <c r="DB45" s="528"/>
      <c r="DC45" s="528"/>
      <c r="DD45" s="528"/>
      <c r="DE45" s="528"/>
      <c r="DF45" s="528"/>
      <c r="DG45" s="528"/>
      <c r="DH45" s="528"/>
      <c r="DI45" s="528"/>
      <c r="DJ45" s="528"/>
      <c r="DK45" s="528"/>
      <c r="DL45" s="528"/>
      <c r="DM45" s="528"/>
      <c r="DN45" s="528"/>
      <c r="DO45" s="528"/>
      <c r="DP45" s="528"/>
      <c r="DQ45" s="528"/>
      <c r="DR45" s="528"/>
      <c r="DS45" s="528"/>
      <c r="DT45" s="528"/>
      <c r="DU45" s="528"/>
      <c r="DV45" s="528"/>
      <c r="DW45" s="528"/>
      <c r="DX45" s="528"/>
      <c r="DY45" s="528"/>
      <c r="DZ45" s="528"/>
      <c r="EA45" s="528"/>
      <c r="EB45" s="528"/>
      <c r="EC45" s="528"/>
      <c r="ED45" s="528"/>
      <c r="EE45" s="528"/>
      <c r="EF45" s="528"/>
      <c r="EG45" s="528"/>
      <c r="EH45" s="528"/>
      <c r="EI45" s="528"/>
      <c r="EJ45" s="528"/>
      <c r="EK45" s="528"/>
      <c r="EL45" s="528"/>
      <c r="EM45" s="528"/>
      <c r="EN45" s="528"/>
      <c r="EO45" s="528"/>
      <c r="EP45" s="528"/>
      <c r="EQ45" s="528"/>
      <c r="ER45" s="528"/>
      <c r="ES45" s="528"/>
      <c r="ET45" s="528"/>
      <c r="EU45" s="528"/>
      <c r="EV45" s="528"/>
      <c r="EW45" s="530"/>
      <c r="EX45" s="463">
        <f t="shared" ref="EX45" si="1927">EW45+EX44</f>
        <v>0</v>
      </c>
      <c r="EY45" s="461">
        <f t="shared" ref="EY45" si="1928">EX45+EY44</f>
        <v>0</v>
      </c>
      <c r="EZ45" s="461">
        <f t="shared" ref="EZ45" si="1929">EY45+EZ44</f>
        <v>0</v>
      </c>
      <c r="FA45" s="492">
        <f t="shared" ref="FA45" si="1930">EZ45+FA44</f>
        <v>0</v>
      </c>
      <c r="FB45" s="463">
        <f t="shared" ref="FB45" si="1931">FA45+FB44</f>
        <v>0</v>
      </c>
      <c r="FC45" s="461">
        <f t="shared" ref="FC45" si="1932">FB45+FC44</f>
        <v>0</v>
      </c>
      <c r="FD45" s="461">
        <f t="shared" ref="FD45" si="1933">FC45+FD44</f>
        <v>0</v>
      </c>
      <c r="FE45" s="461">
        <f t="shared" ref="FE45" si="1934">FD45+FE44</f>
        <v>0</v>
      </c>
      <c r="FF45" s="492">
        <f t="shared" ref="FF45" si="1935">FE45+FF44</f>
        <v>0</v>
      </c>
      <c r="FG45" s="464">
        <f t="shared" ref="FG45" si="1936">FF45+FG44</f>
        <v>0</v>
      </c>
      <c r="FH45" s="461">
        <f t="shared" ref="FH45" si="1937">FG45+FH44</f>
        <v>0</v>
      </c>
      <c r="FI45" s="461">
        <f t="shared" ref="FI45" si="1938">FH45+FI44</f>
        <v>0</v>
      </c>
      <c r="FJ45" s="492">
        <f t="shared" ref="FJ45" si="1939">FI45+FJ44</f>
        <v>0</v>
      </c>
      <c r="FK45" s="464">
        <f t="shared" ref="FK45" si="1940">FJ45+FK44</f>
        <v>0</v>
      </c>
      <c r="FL45" s="461">
        <f t="shared" ref="FL45" si="1941">FK45+FL44</f>
        <v>0</v>
      </c>
      <c r="FM45" s="461">
        <f t="shared" ref="FM45" si="1942">FL45+FM44</f>
        <v>0</v>
      </c>
      <c r="FN45" s="492">
        <f t="shared" ref="FN45" si="1943">FM45+FN44</f>
        <v>0</v>
      </c>
      <c r="FO45" s="464">
        <f t="shared" ref="FO45" si="1944">FN45+FO44</f>
        <v>0</v>
      </c>
      <c r="FP45" s="461">
        <f t="shared" ref="FP45" si="1945">FO45+FP44</f>
        <v>0</v>
      </c>
      <c r="FQ45" s="461">
        <f t="shared" ref="FQ45" si="1946">FP45+FQ44</f>
        <v>0</v>
      </c>
      <c r="FR45" s="492">
        <f t="shared" ref="FR45" si="1947">FQ45+FR44</f>
        <v>0</v>
      </c>
      <c r="FS45" s="464">
        <f t="shared" ref="FS45" si="1948">FR45+FS44</f>
        <v>0</v>
      </c>
      <c r="FT45" s="461">
        <f t="shared" ref="FT45" si="1949">FS45+FT44</f>
        <v>0</v>
      </c>
      <c r="FU45" s="461">
        <f t="shared" ref="FU45" si="1950">FT45+FU44</f>
        <v>0</v>
      </c>
      <c r="FV45" s="461">
        <f t="shared" ref="FV45:FW45" si="1951">FU45+FV44</f>
        <v>0</v>
      </c>
      <c r="FW45" s="492">
        <f t="shared" si="1951"/>
        <v>0</v>
      </c>
      <c r="FX45" s="464">
        <f t="shared" ref="FX45" si="1952">FW45+FX44</f>
        <v>0</v>
      </c>
      <c r="FY45" s="461">
        <f t="shared" ref="FY45" si="1953">FX45+FY44</f>
        <v>0</v>
      </c>
      <c r="FZ45" s="461">
        <f t="shared" ref="FZ45" si="1954">FY45+FZ44</f>
        <v>0</v>
      </c>
      <c r="GA45" s="492">
        <f t="shared" ref="GA45" si="1955">FZ45+GA44</f>
        <v>0</v>
      </c>
      <c r="GB45" s="464">
        <f t="shared" ref="GB45" si="1956">GA45+GB44</f>
        <v>0</v>
      </c>
      <c r="GC45" s="461">
        <f t="shared" ref="GC45" si="1957">GB45+GC44</f>
        <v>0</v>
      </c>
      <c r="GD45" s="461">
        <f t="shared" ref="GD45" si="1958">GC45+GD44</f>
        <v>0</v>
      </c>
      <c r="GE45" s="492">
        <f t="shared" ref="GE45" si="1959">GD45+GE44</f>
        <v>0</v>
      </c>
      <c r="GF45" s="464">
        <f t="shared" ref="GF45" si="1960">GE45+GF44</f>
        <v>0</v>
      </c>
      <c r="GG45" s="461">
        <f t="shared" ref="GG45" si="1961">GF45+GG44</f>
        <v>0</v>
      </c>
      <c r="GH45" s="461">
        <f t="shared" ref="GH45" si="1962">GG45+GH44</f>
        <v>0</v>
      </c>
      <c r="GI45" s="461">
        <f t="shared" ref="GI45" si="1963">GH45+GI44</f>
        <v>0</v>
      </c>
      <c r="GJ45" s="496">
        <f t="shared" ref="GJ45" si="1964">GI45+GJ44</f>
        <v>0</v>
      </c>
      <c r="GK45" s="463">
        <f t="shared" ref="GK45" si="1965">GJ45+GK44</f>
        <v>0</v>
      </c>
      <c r="GL45" s="461">
        <f t="shared" ref="GL45" si="1966">GK45+GL44</f>
        <v>0</v>
      </c>
      <c r="GM45" s="461">
        <f t="shared" ref="GM45" si="1967">GL45+GM44</f>
        <v>0</v>
      </c>
      <c r="GN45" s="497">
        <f t="shared" ref="GN45" si="1968">GM45+GN44</f>
        <v>0</v>
      </c>
      <c r="GO45" s="463">
        <f t="shared" ref="GO45" si="1969">GN45+GO44</f>
        <v>120</v>
      </c>
      <c r="GP45" s="461">
        <f t="shared" ref="GP45" si="1970">GO45+GP44</f>
        <v>240</v>
      </c>
      <c r="GQ45" s="461">
        <f t="shared" ref="GQ45" si="1971">GP45+GQ44</f>
        <v>360</v>
      </c>
      <c r="GR45" s="460">
        <f t="shared" ref="GR45" si="1972">GQ45+GR44</f>
        <v>480</v>
      </c>
      <c r="GS45" s="492">
        <f t="shared" ref="GS45" si="1973">GR45+GS44</f>
        <v>600</v>
      </c>
      <c r="GT45" s="464">
        <f t="shared" ref="GT45" si="1974">GS45+GT44</f>
        <v>852</v>
      </c>
      <c r="GU45" s="461">
        <f t="shared" ref="GU45" si="1975">GT45+GU44</f>
        <v>1104</v>
      </c>
      <c r="GV45" s="461">
        <f t="shared" ref="GV45" si="1976">GU45+GV44</f>
        <v>1356</v>
      </c>
      <c r="GW45" s="497">
        <f t="shared" ref="GW45" si="1977">GV45+GW44</f>
        <v>1608</v>
      </c>
      <c r="GX45" s="498">
        <f t="shared" ref="GX45" si="1978">GW45+GX44</f>
        <v>1908</v>
      </c>
      <c r="GY45" s="466">
        <f t="shared" ref="GY45" si="1979">GX45+GY44</f>
        <v>2208</v>
      </c>
      <c r="GZ45" s="466">
        <f t="shared" ref="GZ45" si="1980">GY45+GZ44</f>
        <v>2508</v>
      </c>
      <c r="HA45" s="499">
        <f t="shared" ref="HA45" si="1981">GZ45+HA44</f>
        <v>2802</v>
      </c>
      <c r="HB45" s="498">
        <f t="shared" ref="HB45" si="1982">HA45+HB44</f>
        <v>3066</v>
      </c>
      <c r="HC45" s="466">
        <f t="shared" ref="HC45" si="1983">HB45+HC44</f>
        <v>3324</v>
      </c>
      <c r="HD45" s="466">
        <f t="shared" ref="HD45" si="1984">HC45+HD44</f>
        <v>3582</v>
      </c>
      <c r="HE45" s="466">
        <f t="shared" ref="HE45" si="1985">HD45+HE44</f>
        <v>3840</v>
      </c>
      <c r="HF45" s="500">
        <f t="shared" ref="HF45" si="1986">HE45+HF44</f>
        <v>4098</v>
      </c>
      <c r="HG45" s="498">
        <f t="shared" ref="HG45" si="1987">HF45+HG44</f>
        <v>4608</v>
      </c>
      <c r="HH45" s="466">
        <f t="shared" ref="HH45" si="1988">HG45+HH44</f>
        <v>4608</v>
      </c>
      <c r="HI45" s="466">
        <f t="shared" ref="HI45" si="1989">HH45+HI44</f>
        <v>5118</v>
      </c>
      <c r="HJ45" s="500">
        <f t="shared" ref="HJ45" si="1990">HI45+HJ44</f>
        <v>5622</v>
      </c>
      <c r="HK45" s="476">
        <f t="shared" ref="HK45" si="1991">HJ45+HK44</f>
        <v>6000</v>
      </c>
      <c r="HL45" s="477">
        <f t="shared" ref="HL45" si="1992">HK45+HL44</f>
        <v>6372</v>
      </c>
      <c r="HM45" s="477">
        <f t="shared" ref="HM45" si="1993">HL45+HM44</f>
        <v>6744</v>
      </c>
      <c r="HN45" s="478">
        <f t="shared" ref="HN45" si="1994">HM45+HN44</f>
        <v>7116</v>
      </c>
      <c r="HO45" s="476">
        <f t="shared" ref="HO45" si="1995">HN45+HO44</f>
        <v>7440</v>
      </c>
      <c r="HP45" s="477">
        <f t="shared" ref="HP45" si="1996">HO45+HP44</f>
        <v>7764</v>
      </c>
      <c r="HQ45" s="477">
        <f t="shared" ref="HQ45" si="1997">HP45+HQ44</f>
        <v>8088</v>
      </c>
      <c r="HR45" s="478">
        <f t="shared" ref="HR45" si="1998">HQ45+HR44</f>
        <v>8412</v>
      </c>
      <c r="HS45" s="476">
        <f t="shared" ref="HS45" si="1999">HR45+HS44</f>
        <v>8502</v>
      </c>
      <c r="HT45" s="477">
        <f t="shared" ref="HT45" si="2000">HS45+HT44</f>
        <v>8592</v>
      </c>
      <c r="HU45" s="477">
        <f t="shared" ref="HU45" si="2001">HT45+HU44</f>
        <v>8676</v>
      </c>
      <c r="HV45" s="478">
        <f t="shared" ref="HV45" si="2002">HU45+HV44</f>
        <v>8760</v>
      </c>
      <c r="HW45" s="476">
        <f t="shared" ref="HW45" si="2003">HV45+HW44</f>
        <v>8760</v>
      </c>
      <c r="HX45" s="477">
        <f t="shared" ref="HX45" si="2004">HW45+HX44</f>
        <v>8916</v>
      </c>
      <c r="HY45" s="477">
        <f t="shared" ref="HY45" si="2005">HX45+HY44</f>
        <v>9066</v>
      </c>
      <c r="HZ45" s="477">
        <f t="shared" ref="HZ45" si="2006">HY45+HZ44</f>
        <v>9216</v>
      </c>
      <c r="IA45" s="478">
        <f t="shared" ref="IA45" si="2007">HZ45+IA44</f>
        <v>9366</v>
      </c>
      <c r="IB45" s="479">
        <f t="shared" ref="IB45" si="2008">IA45+IB44</f>
        <v>9498</v>
      </c>
      <c r="IC45" s="477">
        <f t="shared" ref="IC45" si="2009">IB45+IC44</f>
        <v>9624</v>
      </c>
      <c r="ID45" s="477">
        <f t="shared" ref="ID45" si="2010">IC45+ID44</f>
        <v>9750</v>
      </c>
      <c r="IE45" s="478">
        <f t="shared" ref="IE45" si="2011">ID45+IE44</f>
        <v>9876</v>
      </c>
      <c r="IF45" s="479">
        <f t="shared" ref="IF45" si="2012">IE45+IF44</f>
        <v>9972</v>
      </c>
      <c r="IG45" s="477">
        <f t="shared" ref="IG45" si="2013">IF45+IG44</f>
        <v>10068</v>
      </c>
      <c r="IH45" s="477">
        <f t="shared" ref="IH45" si="2014">IG45+IH44</f>
        <v>10158</v>
      </c>
      <c r="II45" s="477">
        <f t="shared" ref="II45" si="2015">IH45+II44</f>
        <v>10248</v>
      </c>
      <c r="IJ45" s="480">
        <f t="shared" ref="IJ45" si="2016">II45+IJ44</f>
        <v>10338</v>
      </c>
      <c r="IK45" s="476">
        <f t="shared" ref="IK45" si="2017">IJ45+IK44</f>
        <v>10338</v>
      </c>
      <c r="IL45" s="477">
        <f t="shared" ref="IL45" si="2018">IK45+IL44</f>
        <v>10554</v>
      </c>
      <c r="IM45" s="477">
        <f t="shared" ref="IM45" si="2019">IL45+IM44</f>
        <v>10770</v>
      </c>
      <c r="IN45" s="478">
        <f t="shared" ref="IN45" si="2020">IM45+IN44</f>
        <v>10980</v>
      </c>
      <c r="IO45" s="476">
        <f t="shared" ref="IO45" si="2021">IN45+IO44</f>
        <v>11214</v>
      </c>
      <c r="IP45" s="477">
        <f t="shared" ref="IP45" si="2022">IO45+IP44</f>
        <v>11448</v>
      </c>
      <c r="IQ45" s="477">
        <f t="shared" ref="IQ45" si="2023">IP45+IQ44</f>
        <v>11646</v>
      </c>
      <c r="IR45" s="478">
        <f t="shared" ref="IR45" si="2024">IQ45+IR44</f>
        <v>11844</v>
      </c>
      <c r="IS45" s="476">
        <f t="shared" ref="IS45" si="2025">IR45+IS44</f>
        <v>12090</v>
      </c>
      <c r="IT45" s="477">
        <f t="shared" ref="IT45" si="2026">IS45+IT44</f>
        <v>12402</v>
      </c>
      <c r="IU45" s="477">
        <f t="shared" ref="IU45" si="2027">IT45+IU44</f>
        <v>12498</v>
      </c>
      <c r="IV45" s="480">
        <f t="shared" ref="IV45:IW45" si="2028">IU45+IV44</f>
        <v>12588</v>
      </c>
      <c r="IW45" s="476">
        <f t="shared" si="2028"/>
        <v>12900</v>
      </c>
      <c r="IX45" s="479">
        <f t="shared" ref="IX45" si="2029">IW45+IX44</f>
        <v>13224</v>
      </c>
      <c r="IY45" s="477">
        <f t="shared" ref="IY45" si="2030">IX45+IY44</f>
        <v>13446</v>
      </c>
      <c r="IZ45" s="480">
        <f t="shared" ref="IZ45" si="2031">IY45+IZ44</f>
        <v>13446</v>
      </c>
      <c r="JA45" s="478">
        <f t="shared" ref="JA45" si="2032">IZ45+JA44</f>
        <v>13620</v>
      </c>
      <c r="JB45" s="476">
        <f t="shared" ref="JB45" si="2033">JA45+JB44</f>
        <v>13824</v>
      </c>
      <c r="JC45" s="477">
        <f t="shared" ref="JC45" si="2034">JB45+JC44</f>
        <v>14028</v>
      </c>
      <c r="JD45" s="477">
        <f t="shared" ref="JD45" si="2035">JC45+JD44</f>
        <v>14226</v>
      </c>
      <c r="JE45" s="478">
        <f t="shared" ref="JE45" si="2036">JD45+JE44</f>
        <v>14424</v>
      </c>
      <c r="JF45" s="476">
        <f t="shared" ref="JF45" si="2037">JE45+JF44</f>
        <v>14604</v>
      </c>
      <c r="JG45" s="477">
        <f t="shared" ref="JG45" si="2038">JF45+JG44</f>
        <v>14784</v>
      </c>
      <c r="JH45" s="477">
        <f t="shared" ref="JH45" si="2039">JG45+JH44</f>
        <v>14964</v>
      </c>
      <c r="JI45" s="478">
        <f t="shared" ref="JI45" si="2040">JH45+JI44</f>
        <v>15138</v>
      </c>
      <c r="JJ45" s="611">
        <f t="shared" ref="JJ45" si="2041">JI45+JJ44</f>
        <v>15138</v>
      </c>
      <c r="JK45" s="477">
        <f t="shared" ref="JK45" si="2042">JJ45+JK44</f>
        <v>15444</v>
      </c>
      <c r="JL45" s="477">
        <f t="shared" ref="JL45" si="2043">JK45+JL44</f>
        <v>15750</v>
      </c>
      <c r="JM45" s="478">
        <f t="shared" ref="JM45" si="2044">JL45+JM44</f>
        <v>16050</v>
      </c>
      <c r="JN45" s="476">
        <f>JM45+JN44</f>
        <v>16218</v>
      </c>
      <c r="JO45" s="477">
        <f>JN45+JO44</f>
        <v>16386</v>
      </c>
      <c r="JP45" s="477">
        <f>JO45+JP44</f>
        <v>16548</v>
      </c>
      <c r="JQ45" s="613">
        <f t="shared" ref="JQ45" si="2045">JP45+JQ44</f>
        <v>16548</v>
      </c>
      <c r="JR45" s="478">
        <f t="shared" ref="JR45" si="2046">JQ45+JR44</f>
        <v>16710</v>
      </c>
      <c r="JS45" s="476">
        <f>JR45+JS44</f>
        <v>16710</v>
      </c>
      <c r="JT45" s="477">
        <f>JS45+JT44</f>
        <v>16710</v>
      </c>
      <c r="JU45" s="477">
        <f>JT45+JU44</f>
        <v>16710</v>
      </c>
      <c r="JV45" s="478">
        <f t="shared" ref="JV45" si="2047">JU45+JV44</f>
        <v>16710</v>
      </c>
      <c r="JW45" s="476">
        <f>JV45+JW44</f>
        <v>16758</v>
      </c>
      <c r="JX45" s="477">
        <f>JW45+JX44</f>
        <v>16806</v>
      </c>
      <c r="JY45" s="477">
        <f>JX45+JY44</f>
        <v>16854</v>
      </c>
      <c r="JZ45" s="478">
        <f t="shared" ref="JZ45:KE45" si="2048">JY45+JZ44</f>
        <v>16902</v>
      </c>
      <c r="KA45" s="476">
        <f t="shared" si="2048"/>
        <v>16974</v>
      </c>
      <c r="KB45" s="477">
        <f t="shared" si="2048"/>
        <v>17046</v>
      </c>
      <c r="KC45" s="477">
        <f t="shared" si="2048"/>
        <v>17118</v>
      </c>
      <c r="KD45" s="480">
        <f t="shared" si="2048"/>
        <v>17190</v>
      </c>
      <c r="KE45" s="478">
        <f t="shared" si="2048"/>
        <v>17262</v>
      </c>
      <c r="KF45" s="476">
        <f t="shared" ref="KF45" si="2049">KE45+KF44</f>
        <v>17358</v>
      </c>
      <c r="KG45" s="477">
        <f t="shared" ref="KG45" si="2050">KF45+KG44</f>
        <v>17454</v>
      </c>
      <c r="KH45" s="477">
        <f t="shared" ref="KH45" si="2051">KG45+KH44</f>
        <v>17544</v>
      </c>
      <c r="KI45" s="478">
        <f t="shared" ref="KI45" si="2052">KH45+KI44</f>
        <v>17634</v>
      </c>
      <c r="KJ45" s="611">
        <f t="shared" ref="KJ45" si="2053">KI45+KJ44</f>
        <v>17634</v>
      </c>
      <c r="KK45" s="477">
        <f t="shared" ref="KK45" si="2054">KJ45+KK44</f>
        <v>17742</v>
      </c>
      <c r="KL45" s="477">
        <f t="shared" ref="KL45:KM45" si="2055">KK45+KL44</f>
        <v>17850</v>
      </c>
      <c r="KM45" s="477">
        <f t="shared" si="2055"/>
        <v>17952</v>
      </c>
      <c r="KN45" s="478">
        <f t="shared" ref="KN45" si="2056">KL45+KN44</f>
        <v>17952</v>
      </c>
    </row>
    <row r="46" spans="1:300" ht="36.75" customHeight="1">
      <c r="A46" s="481"/>
      <c r="B46" s="494"/>
      <c r="C46" s="665">
        <v>12</v>
      </c>
      <c r="D46" s="595" t="s">
        <v>205</v>
      </c>
      <c r="E46" s="523"/>
      <c r="F46" s="601" t="s">
        <v>148</v>
      </c>
      <c r="G46" s="440" t="s">
        <v>17</v>
      </c>
      <c r="H46" s="475"/>
      <c r="I46" s="471"/>
      <c r="J46" s="471"/>
      <c r="K46" s="471"/>
      <c r="L46" s="471"/>
      <c r="M46" s="495"/>
      <c r="N46" s="495"/>
      <c r="O46" s="495"/>
      <c r="P46" s="495"/>
      <c r="Q46" s="495"/>
      <c r="R46" s="471"/>
      <c r="S46" s="471"/>
      <c r="T46" s="495"/>
      <c r="U46" s="495"/>
      <c r="V46" s="495"/>
      <c r="W46" s="495"/>
      <c r="X46" s="495"/>
      <c r="Y46" s="495"/>
      <c r="Z46" s="495"/>
      <c r="AA46" s="495"/>
      <c r="AB46" s="495"/>
      <c r="AC46" s="483">
        <f>SUBTOTAL(9,EX46:FA46)</f>
        <v>0</v>
      </c>
      <c r="AD46" s="445">
        <f>SUBTOTAL(9,FB46:FF46)</f>
        <v>0</v>
      </c>
      <c r="AE46" s="445">
        <f>SUBTOTAL(9,FG46:FJ46)</f>
        <v>0</v>
      </c>
      <c r="AF46" s="445">
        <f>SUBTOTAL(9,FK46:FN46)</f>
        <v>0</v>
      </c>
      <c r="AG46" s="445">
        <f>SUBTOTAL(9,FO46:FR46)</f>
        <v>0</v>
      </c>
      <c r="AH46" s="445">
        <f>SUBTOTAL(9,FS46:FW46)</f>
        <v>0</v>
      </c>
      <c r="AI46" s="445">
        <f>SUBTOTAL(9,FX46:GA46)</f>
        <v>0</v>
      </c>
      <c r="AJ46" s="445">
        <f>SUBTOTAL(9,GB46:GE46)</f>
        <v>0</v>
      </c>
      <c r="AK46" s="445">
        <f>SUBTOTAL(9,GF46:GJ46)</f>
        <v>0</v>
      </c>
      <c r="AL46" s="445">
        <f>SUBTOTAL(9,GK46:GN46)</f>
        <v>0</v>
      </c>
      <c r="AM46" s="445">
        <f>SUBTOTAL(9,GO46:GS46)</f>
        <v>12</v>
      </c>
      <c r="AN46" s="448">
        <f>SUBTOTAL(9,GT46:GW46)</f>
        <v>42</v>
      </c>
      <c r="AO46" s="446">
        <f>SUM(GX46:HA46)</f>
        <v>48</v>
      </c>
      <c r="AP46" s="445">
        <f>SUM(HB46:HF46)</f>
        <v>48</v>
      </c>
      <c r="AQ46" s="445">
        <f>SUM(HG46:HJ46)</f>
        <v>66</v>
      </c>
      <c r="AR46" s="445">
        <f>SUM(HK46:HN46)</f>
        <v>66</v>
      </c>
      <c r="AS46" s="445">
        <f>SUM(HO46:HR46)</f>
        <v>126</v>
      </c>
      <c r="AT46" s="445">
        <f>SUM(HS46:HV46)</f>
        <v>192</v>
      </c>
      <c r="AU46" s="445">
        <f>SUM(HW46:IA46)</f>
        <v>150</v>
      </c>
      <c r="AV46" s="445">
        <f>SUM(IB46:IE46)</f>
        <v>60</v>
      </c>
      <c r="AW46" s="445">
        <f t="shared" ref="AW46" si="2057">SUM(IF46:IJ46)</f>
        <v>30</v>
      </c>
      <c r="AX46" s="446">
        <f t="shared" ref="AX46" si="2058">SUM(IK46:IN46)</f>
        <v>24</v>
      </c>
      <c r="AY46" s="446">
        <f t="shared" ref="AY46" si="2059">SUM(IO46:IR46)</f>
        <v>48</v>
      </c>
      <c r="AZ46" s="446">
        <f t="shared" ref="AZ46" si="2060">SUM(IS46:IV46)</f>
        <v>48</v>
      </c>
      <c r="BA46" s="446">
        <f t="shared" ref="BA46" si="2061">SUM(IW46:JA46)</f>
        <v>120</v>
      </c>
      <c r="BB46" s="446">
        <f t="shared" ref="BB46" si="2062">SUM(JB46:JE46)</f>
        <v>150</v>
      </c>
      <c r="BC46" s="446">
        <f t="shared" ref="BC46" si="2063">SUM(JF46:JI46)</f>
        <v>180</v>
      </c>
      <c r="BD46" s="446">
        <f t="shared" ref="BD46" si="2064">SUM(JJ46:JM46)</f>
        <v>264</v>
      </c>
      <c r="BE46" s="446">
        <f t="shared" ref="BE46" si="2065">SUM(JN46:JR46)</f>
        <v>180</v>
      </c>
      <c r="BF46" s="446">
        <f t="shared" ref="BF46" si="2066">SUM(JS46:JV46)</f>
        <v>0</v>
      </c>
      <c r="BG46" s="446">
        <f t="shared" ref="BG46" si="2067">SUM(JW46:JZ46)</f>
        <v>48</v>
      </c>
      <c r="BH46" s="446">
        <f t="shared" ref="BH46" si="2068">SUM(KA46:KE46)</f>
        <v>54</v>
      </c>
      <c r="BI46" s="446">
        <f t="shared" ref="BI46" si="2069">SUM(KF46:KI46)</f>
        <v>60</v>
      </c>
      <c r="BJ46" s="446">
        <f t="shared" ref="BJ46" si="2070">SUM(KJ46:KN46)</f>
        <v>66</v>
      </c>
      <c r="BK46" s="524"/>
      <c r="BL46" s="525"/>
      <c r="BM46" s="525"/>
      <c r="BN46" s="525"/>
      <c r="BO46" s="525"/>
      <c r="BP46" s="525"/>
      <c r="BQ46" s="525"/>
      <c r="BR46" s="525"/>
      <c r="BS46" s="525"/>
      <c r="BT46" s="525"/>
      <c r="BU46" s="525"/>
      <c r="BV46" s="525"/>
      <c r="BW46" s="542"/>
      <c r="BX46" s="525"/>
      <c r="BY46" s="525"/>
      <c r="BZ46" s="525"/>
      <c r="CA46" s="525"/>
      <c r="CB46" s="525"/>
      <c r="CC46" s="525"/>
      <c r="CD46" s="525"/>
      <c r="CE46" s="525"/>
      <c r="CF46" s="525"/>
      <c r="CG46" s="525"/>
      <c r="CH46" s="542"/>
      <c r="CI46" s="525"/>
      <c r="CJ46" s="525"/>
      <c r="CK46" s="525"/>
      <c r="CL46" s="525"/>
      <c r="CM46" s="525"/>
      <c r="CN46" s="525"/>
      <c r="CO46" s="525"/>
      <c r="CP46" s="525"/>
      <c r="CQ46" s="525"/>
      <c r="CR46" s="525"/>
      <c r="CS46" s="525"/>
      <c r="CT46" s="525"/>
      <c r="CU46" s="525"/>
      <c r="CV46" s="525"/>
      <c r="CW46" s="525"/>
      <c r="CX46" s="525"/>
      <c r="CY46" s="525"/>
      <c r="CZ46" s="525"/>
      <c r="DA46" s="525"/>
      <c r="DB46" s="525"/>
      <c r="DC46" s="525"/>
      <c r="DD46" s="525"/>
      <c r="DE46" s="542"/>
      <c r="DF46" s="525"/>
      <c r="DG46" s="542"/>
      <c r="DH46" s="543"/>
      <c r="DI46" s="525"/>
      <c r="DJ46" s="525"/>
      <c r="DK46" s="525"/>
      <c r="DL46" s="525"/>
      <c r="DM46" s="525"/>
      <c r="DN46" s="525"/>
      <c r="DO46" s="525"/>
      <c r="DP46" s="525"/>
      <c r="DQ46" s="525"/>
      <c r="DR46" s="525"/>
      <c r="DS46" s="525"/>
      <c r="DT46" s="525"/>
      <c r="DU46" s="525"/>
      <c r="DV46" s="542"/>
      <c r="DW46" s="525"/>
      <c r="DX46" s="525"/>
      <c r="DY46" s="525"/>
      <c r="DZ46" s="525"/>
      <c r="EA46" s="525"/>
      <c r="EB46" s="525"/>
      <c r="EC46" s="525"/>
      <c r="ED46" s="525"/>
      <c r="EE46" s="525"/>
      <c r="EF46" s="525"/>
      <c r="EG46" s="525"/>
      <c r="EH46" s="542"/>
      <c r="EI46" s="525"/>
      <c r="EJ46" s="525"/>
      <c r="EK46" s="525"/>
      <c r="EL46" s="525"/>
      <c r="EM46" s="525"/>
      <c r="EN46" s="525"/>
      <c r="EO46" s="525"/>
      <c r="EP46" s="525"/>
      <c r="EQ46" s="525"/>
      <c r="ER46" s="525"/>
      <c r="ES46" s="525"/>
      <c r="ET46" s="525"/>
      <c r="EU46" s="525"/>
      <c r="EV46" s="525"/>
      <c r="EW46" s="526"/>
      <c r="EX46" s="447">
        <v>0</v>
      </c>
      <c r="EY46" s="445">
        <v>0</v>
      </c>
      <c r="EZ46" s="445">
        <v>0</v>
      </c>
      <c r="FA46" s="502">
        <v>0</v>
      </c>
      <c r="FB46" s="447">
        <v>0</v>
      </c>
      <c r="FC46" s="445">
        <v>0</v>
      </c>
      <c r="FD46" s="445">
        <v>0</v>
      </c>
      <c r="FE46" s="445">
        <v>0</v>
      </c>
      <c r="FF46" s="502">
        <v>0</v>
      </c>
      <c r="FG46" s="448">
        <v>0</v>
      </c>
      <c r="FH46" s="445">
        <v>0</v>
      </c>
      <c r="FI46" s="445">
        <v>0</v>
      </c>
      <c r="FJ46" s="502">
        <v>0</v>
      </c>
      <c r="FK46" s="448">
        <v>0</v>
      </c>
      <c r="FL46" s="445">
        <v>0</v>
      </c>
      <c r="FM46" s="445">
        <v>0</v>
      </c>
      <c r="FN46" s="502">
        <v>0</v>
      </c>
      <c r="FO46" s="448">
        <v>0</v>
      </c>
      <c r="FP46" s="445">
        <v>0</v>
      </c>
      <c r="FQ46" s="445">
        <v>0</v>
      </c>
      <c r="FR46" s="502">
        <v>0</v>
      </c>
      <c r="FS46" s="448">
        <v>0</v>
      </c>
      <c r="FT46" s="445">
        <v>0</v>
      </c>
      <c r="FU46" s="445">
        <v>0</v>
      </c>
      <c r="FV46" s="445">
        <v>0</v>
      </c>
      <c r="FW46" s="502">
        <v>0</v>
      </c>
      <c r="FX46" s="448">
        <v>0</v>
      </c>
      <c r="FY46" s="445">
        <v>0</v>
      </c>
      <c r="FZ46" s="445">
        <v>0</v>
      </c>
      <c r="GA46" s="502">
        <v>0</v>
      </c>
      <c r="GB46" s="448">
        <v>0</v>
      </c>
      <c r="GC46" s="445">
        <v>0</v>
      </c>
      <c r="GD46" s="445">
        <v>0</v>
      </c>
      <c r="GE46" s="502">
        <v>0</v>
      </c>
      <c r="GF46" s="448">
        <v>0</v>
      </c>
      <c r="GG46" s="445">
        <v>0</v>
      </c>
      <c r="GH46" s="445">
        <v>0</v>
      </c>
      <c r="GI46" s="445">
        <v>0</v>
      </c>
      <c r="GJ46" s="503">
        <v>0</v>
      </c>
      <c r="GK46" s="447">
        <v>0</v>
      </c>
      <c r="GL46" s="445">
        <v>0</v>
      </c>
      <c r="GM46" s="445">
        <v>0</v>
      </c>
      <c r="GN46" s="504">
        <v>0</v>
      </c>
      <c r="GO46" s="447">
        <v>6</v>
      </c>
      <c r="GP46" s="445">
        <v>6</v>
      </c>
      <c r="GQ46" s="445">
        <v>0</v>
      </c>
      <c r="GR46" s="446">
        <v>0</v>
      </c>
      <c r="GS46" s="502"/>
      <c r="GT46" s="448">
        <v>12</v>
      </c>
      <c r="GU46" s="445">
        <v>12</v>
      </c>
      <c r="GV46" s="445">
        <v>12</v>
      </c>
      <c r="GW46" s="504">
        <v>6</v>
      </c>
      <c r="GX46" s="447">
        <v>12</v>
      </c>
      <c r="GY46" s="445">
        <v>12</v>
      </c>
      <c r="GZ46" s="445">
        <v>12</v>
      </c>
      <c r="HA46" s="504">
        <v>12</v>
      </c>
      <c r="HB46" s="447">
        <v>12</v>
      </c>
      <c r="HC46" s="445">
        <v>12</v>
      </c>
      <c r="HD46" s="445">
        <v>12</v>
      </c>
      <c r="HE46" s="445">
        <v>6</v>
      </c>
      <c r="HF46" s="502">
        <v>6</v>
      </c>
      <c r="HG46" s="447">
        <v>24</v>
      </c>
      <c r="HH46" s="450">
        <v>0</v>
      </c>
      <c r="HI46" s="445">
        <v>24</v>
      </c>
      <c r="HJ46" s="502">
        <v>18</v>
      </c>
      <c r="HK46" s="447">
        <v>18</v>
      </c>
      <c r="HL46" s="445">
        <v>18</v>
      </c>
      <c r="HM46" s="445">
        <v>18</v>
      </c>
      <c r="HN46" s="502">
        <v>12</v>
      </c>
      <c r="HO46" s="447">
        <v>36</v>
      </c>
      <c r="HP46" s="445">
        <v>30</v>
      </c>
      <c r="HQ46" s="445">
        <v>30</v>
      </c>
      <c r="HR46" s="502">
        <v>30</v>
      </c>
      <c r="HS46" s="447">
        <v>48</v>
      </c>
      <c r="HT46" s="445">
        <v>48</v>
      </c>
      <c r="HU46" s="445">
        <v>48</v>
      </c>
      <c r="HV46" s="502">
        <v>48</v>
      </c>
      <c r="HW46" s="451"/>
      <c r="HX46" s="445">
        <v>42</v>
      </c>
      <c r="HY46" s="445">
        <v>36</v>
      </c>
      <c r="HZ46" s="445">
        <v>36</v>
      </c>
      <c r="IA46" s="502">
        <v>36</v>
      </c>
      <c r="IB46" s="448">
        <v>18</v>
      </c>
      <c r="IC46" s="445">
        <v>18</v>
      </c>
      <c r="ID46" s="445">
        <v>12</v>
      </c>
      <c r="IE46" s="502">
        <v>12</v>
      </c>
      <c r="IF46" s="448">
        <v>18</v>
      </c>
      <c r="IG46" s="445">
        <v>12</v>
      </c>
      <c r="IH46" s="445">
        <v>0</v>
      </c>
      <c r="II46" s="445">
        <v>0</v>
      </c>
      <c r="IJ46" s="446">
        <v>0</v>
      </c>
      <c r="IK46" s="451"/>
      <c r="IL46" s="445">
        <v>24</v>
      </c>
      <c r="IM46" s="445">
        <v>0</v>
      </c>
      <c r="IN46" s="502">
        <v>0</v>
      </c>
      <c r="IO46" s="447">
        <v>18</v>
      </c>
      <c r="IP46" s="445">
        <v>18</v>
      </c>
      <c r="IQ46" s="445">
        <v>12</v>
      </c>
      <c r="IR46" s="502">
        <v>0</v>
      </c>
      <c r="IS46" s="447">
        <v>18</v>
      </c>
      <c r="IT46" s="445">
        <v>18</v>
      </c>
      <c r="IU46" s="445">
        <v>12</v>
      </c>
      <c r="IV46" s="446">
        <v>0</v>
      </c>
      <c r="IW46" s="447">
        <v>12</v>
      </c>
      <c r="IX46" s="448">
        <v>18</v>
      </c>
      <c r="IY46" s="445">
        <v>30</v>
      </c>
      <c r="IZ46" s="446">
        <v>30</v>
      </c>
      <c r="JA46" s="502">
        <v>30</v>
      </c>
      <c r="JB46" s="511">
        <v>42</v>
      </c>
      <c r="JC46" s="509">
        <v>36</v>
      </c>
      <c r="JD46" s="509">
        <v>36</v>
      </c>
      <c r="JE46" s="510">
        <v>36</v>
      </c>
      <c r="JF46" s="447">
        <v>48</v>
      </c>
      <c r="JG46" s="445">
        <v>48</v>
      </c>
      <c r="JH46" s="445">
        <v>42</v>
      </c>
      <c r="JI46" s="502">
        <v>42</v>
      </c>
      <c r="JJ46" s="451">
        <v>0</v>
      </c>
      <c r="JK46" s="445">
        <v>90</v>
      </c>
      <c r="JL46" s="445">
        <v>90</v>
      </c>
      <c r="JM46" s="502">
        <v>84</v>
      </c>
      <c r="JN46" s="447">
        <v>48</v>
      </c>
      <c r="JO46" s="445">
        <v>48</v>
      </c>
      <c r="JP46" s="445">
        <v>42</v>
      </c>
      <c r="JQ46" s="449">
        <v>0</v>
      </c>
      <c r="JR46" s="502">
        <v>42</v>
      </c>
      <c r="JS46" s="447">
        <v>0</v>
      </c>
      <c r="JT46" s="445">
        <v>0</v>
      </c>
      <c r="JU46" s="445">
        <v>0</v>
      </c>
      <c r="JV46" s="502">
        <v>0</v>
      </c>
      <c r="JW46" s="447">
        <v>24</v>
      </c>
      <c r="JX46" s="445">
        <v>24</v>
      </c>
      <c r="JY46" s="445">
        <v>0</v>
      </c>
      <c r="JZ46" s="502">
        <v>0</v>
      </c>
      <c r="KA46" s="447">
        <v>18</v>
      </c>
      <c r="KB46" s="445">
        <v>18</v>
      </c>
      <c r="KC46" s="445">
        <v>18</v>
      </c>
      <c r="KD46" s="446">
        <v>0</v>
      </c>
      <c r="KE46" s="502">
        <v>0</v>
      </c>
      <c r="KF46" s="447">
        <v>24</v>
      </c>
      <c r="KG46" s="445">
        <v>18</v>
      </c>
      <c r="KH46" s="445">
        <v>18</v>
      </c>
      <c r="KI46" s="502">
        <v>0</v>
      </c>
      <c r="KJ46" s="451">
        <v>0</v>
      </c>
      <c r="KK46" s="445">
        <v>24</v>
      </c>
      <c r="KL46" s="445">
        <v>24</v>
      </c>
      <c r="KM46" s="445">
        <v>18</v>
      </c>
      <c r="KN46" s="502">
        <v>0</v>
      </c>
    </row>
    <row r="47" spans="1:300" ht="36.75" customHeight="1" thickBot="1">
      <c r="A47" s="481"/>
      <c r="B47" s="494"/>
      <c r="C47" s="666"/>
      <c r="D47" s="596"/>
      <c r="E47" s="523"/>
      <c r="F47" s="599"/>
      <c r="G47" s="456" t="s">
        <v>18</v>
      </c>
      <c r="H47" s="475"/>
      <c r="I47" s="471"/>
      <c r="J47" s="471"/>
      <c r="K47" s="471"/>
      <c r="L47" s="471"/>
      <c r="M47" s="495"/>
      <c r="N47" s="495"/>
      <c r="O47" s="495"/>
      <c r="P47" s="495"/>
      <c r="Q47" s="495"/>
      <c r="R47" s="471"/>
      <c r="S47" s="471"/>
      <c r="T47" s="495"/>
      <c r="U47" s="495"/>
      <c r="V47" s="495"/>
      <c r="W47" s="495"/>
      <c r="X47" s="495"/>
      <c r="Y47" s="495"/>
      <c r="Z47" s="495"/>
      <c r="AA47" s="495"/>
      <c r="AB47" s="495"/>
      <c r="AC47" s="460">
        <f t="shared" ref="AC47" si="2071">AB47+AC46</f>
        <v>0</v>
      </c>
      <c r="AD47" s="461">
        <f t="shared" ref="AD47" si="2072">AC47+AD46</f>
        <v>0</v>
      </c>
      <c r="AE47" s="461">
        <f t="shared" ref="AE47" si="2073">AD47+AE46</f>
        <v>0</v>
      </c>
      <c r="AF47" s="461">
        <f t="shared" ref="AF47" si="2074">AE47+AF46</f>
        <v>0</v>
      </c>
      <c r="AG47" s="461">
        <f t="shared" ref="AG47:AH47" si="2075">AF47+AG46</f>
        <v>0</v>
      </c>
      <c r="AH47" s="461">
        <f t="shared" si="2075"/>
        <v>0</v>
      </c>
      <c r="AI47" s="462">
        <f>GA47</f>
        <v>0</v>
      </c>
      <c r="AJ47" s="461">
        <f t="shared" ref="AJ47" si="2076">AI47+AJ46</f>
        <v>0</v>
      </c>
      <c r="AK47" s="461">
        <f t="shared" ref="AK47" si="2077">AJ47+AK46</f>
        <v>0</v>
      </c>
      <c r="AL47" s="461">
        <f t="shared" ref="AL47:AM47" si="2078">AK47+AL46</f>
        <v>0</v>
      </c>
      <c r="AM47" s="461">
        <f t="shared" si="2078"/>
        <v>12</v>
      </c>
      <c r="AN47" s="464">
        <f t="shared" ref="AN47" si="2079">AM47+AN46</f>
        <v>54</v>
      </c>
      <c r="AO47" s="465">
        <f t="shared" ref="AO47" si="2080">AN47+AO46</f>
        <v>102</v>
      </c>
      <c r="AP47" s="466">
        <f t="shared" ref="AP47:AR47" si="2081">AO47+AP46</f>
        <v>150</v>
      </c>
      <c r="AQ47" s="466">
        <f t="shared" si="2081"/>
        <v>216</v>
      </c>
      <c r="AR47" s="466">
        <f t="shared" si="2081"/>
        <v>282</v>
      </c>
      <c r="AS47" s="466">
        <f t="shared" ref="AS47:AZ47" si="2082">AR47+AS46</f>
        <v>408</v>
      </c>
      <c r="AT47" s="466">
        <f t="shared" si="2082"/>
        <v>600</v>
      </c>
      <c r="AU47" s="466">
        <f t="shared" si="2082"/>
        <v>750</v>
      </c>
      <c r="AV47" s="466">
        <f t="shared" si="2082"/>
        <v>810</v>
      </c>
      <c r="AW47" s="466">
        <f t="shared" si="2082"/>
        <v>840</v>
      </c>
      <c r="AX47" s="466">
        <f t="shared" si="2082"/>
        <v>864</v>
      </c>
      <c r="AY47" s="466">
        <f t="shared" si="2082"/>
        <v>912</v>
      </c>
      <c r="AZ47" s="466">
        <f t="shared" si="2082"/>
        <v>960</v>
      </c>
      <c r="BA47" s="466">
        <f t="shared" ref="BA47" si="2083">AZ47+BA46</f>
        <v>1080</v>
      </c>
      <c r="BB47" s="466">
        <f t="shared" ref="BB47" si="2084">BA47+BB46</f>
        <v>1230</v>
      </c>
      <c r="BC47" s="466">
        <f t="shared" ref="BC47:BD47" si="2085">BB47+BC46</f>
        <v>1410</v>
      </c>
      <c r="BD47" s="466">
        <f t="shared" si="2085"/>
        <v>1674</v>
      </c>
      <c r="BE47" s="466">
        <f t="shared" ref="BE47:BF47" si="2086">BD47+BE46</f>
        <v>1854</v>
      </c>
      <c r="BF47" s="466">
        <f t="shared" si="2086"/>
        <v>1854</v>
      </c>
      <c r="BG47" s="466">
        <f>BF47+BG46</f>
        <v>1902</v>
      </c>
      <c r="BH47" s="466">
        <f t="shared" ref="BH47:BJ47" si="2087">BG47+BH46</f>
        <v>1956</v>
      </c>
      <c r="BI47" s="466">
        <f t="shared" si="2087"/>
        <v>2016</v>
      </c>
      <c r="BJ47" s="466">
        <f t="shared" si="2087"/>
        <v>2082</v>
      </c>
      <c r="BK47" s="527"/>
      <c r="BL47" s="528"/>
      <c r="BM47" s="528"/>
      <c r="BN47" s="528"/>
      <c r="BO47" s="528"/>
      <c r="BP47" s="528"/>
      <c r="BQ47" s="528"/>
      <c r="BR47" s="528"/>
      <c r="BS47" s="528"/>
      <c r="BT47" s="528"/>
      <c r="BU47" s="528"/>
      <c r="BV47" s="528"/>
      <c r="BW47" s="529"/>
      <c r="BX47" s="528"/>
      <c r="BY47" s="528"/>
      <c r="BZ47" s="528"/>
      <c r="CA47" s="528"/>
      <c r="CB47" s="528"/>
      <c r="CC47" s="528"/>
      <c r="CD47" s="528"/>
      <c r="CE47" s="528"/>
      <c r="CF47" s="528"/>
      <c r="CG47" s="528"/>
      <c r="CH47" s="528"/>
      <c r="CI47" s="528"/>
      <c r="CJ47" s="528"/>
      <c r="CK47" s="528"/>
      <c r="CL47" s="528"/>
      <c r="CM47" s="528"/>
      <c r="CN47" s="528"/>
      <c r="CO47" s="528"/>
      <c r="CP47" s="528"/>
      <c r="CQ47" s="528"/>
      <c r="CR47" s="528"/>
      <c r="CS47" s="528"/>
      <c r="CT47" s="528"/>
      <c r="CU47" s="528"/>
      <c r="CV47" s="528"/>
      <c r="CW47" s="528"/>
      <c r="CX47" s="528"/>
      <c r="CY47" s="528"/>
      <c r="CZ47" s="528"/>
      <c r="DA47" s="528"/>
      <c r="DB47" s="528"/>
      <c r="DC47" s="528"/>
      <c r="DD47" s="528"/>
      <c r="DE47" s="528"/>
      <c r="DF47" s="528"/>
      <c r="DG47" s="528"/>
      <c r="DH47" s="528"/>
      <c r="DI47" s="528"/>
      <c r="DJ47" s="528"/>
      <c r="DK47" s="528"/>
      <c r="DL47" s="528"/>
      <c r="DM47" s="528"/>
      <c r="DN47" s="528"/>
      <c r="DO47" s="528"/>
      <c r="DP47" s="528"/>
      <c r="DQ47" s="528"/>
      <c r="DR47" s="528"/>
      <c r="DS47" s="528"/>
      <c r="DT47" s="528"/>
      <c r="DU47" s="528"/>
      <c r="DV47" s="528"/>
      <c r="DW47" s="528"/>
      <c r="DX47" s="528"/>
      <c r="DY47" s="528"/>
      <c r="DZ47" s="528"/>
      <c r="EA47" s="528"/>
      <c r="EB47" s="528"/>
      <c r="EC47" s="528"/>
      <c r="ED47" s="528"/>
      <c r="EE47" s="528"/>
      <c r="EF47" s="528"/>
      <c r="EG47" s="528"/>
      <c r="EH47" s="528"/>
      <c r="EI47" s="528"/>
      <c r="EJ47" s="528"/>
      <c r="EK47" s="528"/>
      <c r="EL47" s="528"/>
      <c r="EM47" s="528"/>
      <c r="EN47" s="528"/>
      <c r="EO47" s="528"/>
      <c r="EP47" s="528"/>
      <c r="EQ47" s="528"/>
      <c r="ER47" s="528"/>
      <c r="ES47" s="528"/>
      <c r="ET47" s="528"/>
      <c r="EU47" s="528"/>
      <c r="EV47" s="528"/>
      <c r="EW47" s="530"/>
      <c r="EX47" s="463">
        <f t="shared" ref="EX47" si="2088">EW47+EX46</f>
        <v>0</v>
      </c>
      <c r="EY47" s="461">
        <f t="shared" ref="EY47" si="2089">EX47+EY46</f>
        <v>0</v>
      </c>
      <c r="EZ47" s="461">
        <f t="shared" ref="EZ47" si="2090">EY47+EZ46</f>
        <v>0</v>
      </c>
      <c r="FA47" s="492">
        <f t="shared" ref="FA47" si="2091">EZ47+FA46</f>
        <v>0</v>
      </c>
      <c r="FB47" s="463">
        <f t="shared" ref="FB47" si="2092">FA47+FB46</f>
        <v>0</v>
      </c>
      <c r="FC47" s="461">
        <f t="shared" ref="FC47" si="2093">FB47+FC46</f>
        <v>0</v>
      </c>
      <c r="FD47" s="461">
        <f t="shared" ref="FD47" si="2094">FC47+FD46</f>
        <v>0</v>
      </c>
      <c r="FE47" s="461">
        <f t="shared" ref="FE47" si="2095">FD47+FE46</f>
        <v>0</v>
      </c>
      <c r="FF47" s="492">
        <f t="shared" ref="FF47" si="2096">FE47+FF46</f>
        <v>0</v>
      </c>
      <c r="FG47" s="464">
        <f t="shared" ref="FG47" si="2097">FF47+FG46</f>
        <v>0</v>
      </c>
      <c r="FH47" s="461">
        <f t="shared" ref="FH47" si="2098">FG47+FH46</f>
        <v>0</v>
      </c>
      <c r="FI47" s="461">
        <f t="shared" ref="FI47" si="2099">FH47+FI46</f>
        <v>0</v>
      </c>
      <c r="FJ47" s="492">
        <f t="shared" ref="FJ47" si="2100">FI47+FJ46</f>
        <v>0</v>
      </c>
      <c r="FK47" s="464">
        <f t="shared" ref="FK47" si="2101">FJ47+FK46</f>
        <v>0</v>
      </c>
      <c r="FL47" s="461">
        <f t="shared" ref="FL47" si="2102">FK47+FL46</f>
        <v>0</v>
      </c>
      <c r="FM47" s="461">
        <f t="shared" ref="FM47" si="2103">FL47+FM46</f>
        <v>0</v>
      </c>
      <c r="FN47" s="492">
        <f t="shared" ref="FN47" si="2104">FM47+FN46</f>
        <v>0</v>
      </c>
      <c r="FO47" s="464">
        <f t="shared" ref="FO47" si="2105">FN47+FO46</f>
        <v>0</v>
      </c>
      <c r="FP47" s="461">
        <f t="shared" ref="FP47" si="2106">FO47+FP46</f>
        <v>0</v>
      </c>
      <c r="FQ47" s="461">
        <f t="shared" ref="FQ47" si="2107">FP47+FQ46</f>
        <v>0</v>
      </c>
      <c r="FR47" s="492">
        <f t="shared" ref="FR47" si="2108">FQ47+FR46</f>
        <v>0</v>
      </c>
      <c r="FS47" s="464">
        <f t="shared" ref="FS47" si="2109">FR47+FS46</f>
        <v>0</v>
      </c>
      <c r="FT47" s="461">
        <f t="shared" ref="FT47" si="2110">FS47+FT46</f>
        <v>0</v>
      </c>
      <c r="FU47" s="461">
        <f t="shared" ref="FU47" si="2111">FT47+FU46</f>
        <v>0</v>
      </c>
      <c r="FV47" s="461">
        <f t="shared" ref="FV47:FW47" si="2112">FU47+FV46</f>
        <v>0</v>
      </c>
      <c r="FW47" s="492">
        <f t="shared" si="2112"/>
        <v>0</v>
      </c>
      <c r="FX47" s="464">
        <f t="shared" ref="FX47" si="2113">FW47+FX46</f>
        <v>0</v>
      </c>
      <c r="FY47" s="461">
        <f t="shared" ref="FY47" si="2114">FX47+FY46</f>
        <v>0</v>
      </c>
      <c r="FZ47" s="461">
        <f t="shared" ref="FZ47" si="2115">FY47+FZ46</f>
        <v>0</v>
      </c>
      <c r="GA47" s="492">
        <f t="shared" ref="GA47" si="2116">FZ47+GA46</f>
        <v>0</v>
      </c>
      <c r="GB47" s="464">
        <f t="shared" ref="GB47" si="2117">GA47+GB46</f>
        <v>0</v>
      </c>
      <c r="GC47" s="461">
        <f t="shared" ref="GC47" si="2118">GB47+GC46</f>
        <v>0</v>
      </c>
      <c r="GD47" s="461">
        <f t="shared" ref="GD47" si="2119">GC47+GD46</f>
        <v>0</v>
      </c>
      <c r="GE47" s="492">
        <f t="shared" ref="GE47" si="2120">GD47+GE46</f>
        <v>0</v>
      </c>
      <c r="GF47" s="464">
        <f t="shared" ref="GF47" si="2121">GE47+GF46</f>
        <v>0</v>
      </c>
      <c r="GG47" s="461">
        <f t="shared" ref="GG47" si="2122">GF47+GG46</f>
        <v>0</v>
      </c>
      <c r="GH47" s="461">
        <f t="shared" ref="GH47" si="2123">GG47+GH46</f>
        <v>0</v>
      </c>
      <c r="GI47" s="461">
        <f t="shared" ref="GI47" si="2124">GH47+GI46</f>
        <v>0</v>
      </c>
      <c r="GJ47" s="496">
        <f t="shared" ref="GJ47" si="2125">GI47+GJ46</f>
        <v>0</v>
      </c>
      <c r="GK47" s="463">
        <f t="shared" ref="GK47" si="2126">GJ47+GK46</f>
        <v>0</v>
      </c>
      <c r="GL47" s="461">
        <f t="shared" ref="GL47" si="2127">GK47+GL46</f>
        <v>0</v>
      </c>
      <c r="GM47" s="461">
        <f t="shared" ref="GM47" si="2128">GL47+GM46</f>
        <v>0</v>
      </c>
      <c r="GN47" s="497">
        <f t="shared" ref="GN47" si="2129">GM47+GN46</f>
        <v>0</v>
      </c>
      <c r="GO47" s="463">
        <f t="shared" ref="GO47" si="2130">GN47+GO46</f>
        <v>6</v>
      </c>
      <c r="GP47" s="461">
        <f t="shared" ref="GP47" si="2131">GO47+GP46</f>
        <v>12</v>
      </c>
      <c r="GQ47" s="461">
        <f t="shared" ref="GQ47" si="2132">GP47+GQ46</f>
        <v>12</v>
      </c>
      <c r="GR47" s="460">
        <f t="shared" ref="GR47" si="2133">GQ47+GR46</f>
        <v>12</v>
      </c>
      <c r="GS47" s="492">
        <f t="shared" ref="GS47" si="2134">GR47+GS46</f>
        <v>12</v>
      </c>
      <c r="GT47" s="464">
        <f t="shared" ref="GT47" si="2135">GS47+GT46</f>
        <v>24</v>
      </c>
      <c r="GU47" s="461">
        <f t="shared" ref="GU47" si="2136">GT47+GU46</f>
        <v>36</v>
      </c>
      <c r="GV47" s="461">
        <f t="shared" ref="GV47" si="2137">GU47+GV46</f>
        <v>48</v>
      </c>
      <c r="GW47" s="497">
        <f t="shared" ref="GW47" si="2138">GV47+GW46</f>
        <v>54</v>
      </c>
      <c r="GX47" s="498">
        <f t="shared" ref="GX47" si="2139">GW47+GX46</f>
        <v>66</v>
      </c>
      <c r="GY47" s="466">
        <f t="shared" ref="GY47" si="2140">GX47+GY46</f>
        <v>78</v>
      </c>
      <c r="GZ47" s="466">
        <f t="shared" ref="GZ47" si="2141">GY47+GZ46</f>
        <v>90</v>
      </c>
      <c r="HA47" s="499">
        <f t="shared" ref="HA47" si="2142">GZ47+HA46</f>
        <v>102</v>
      </c>
      <c r="HB47" s="498">
        <f t="shared" ref="HB47" si="2143">HA47+HB46</f>
        <v>114</v>
      </c>
      <c r="HC47" s="466">
        <f t="shared" ref="HC47" si="2144">HB47+HC46</f>
        <v>126</v>
      </c>
      <c r="HD47" s="466">
        <f t="shared" ref="HD47" si="2145">HC47+HD46</f>
        <v>138</v>
      </c>
      <c r="HE47" s="466">
        <f t="shared" ref="HE47" si="2146">HD47+HE46</f>
        <v>144</v>
      </c>
      <c r="HF47" s="500">
        <f t="shared" ref="HF47" si="2147">HE47+HF46</f>
        <v>150</v>
      </c>
      <c r="HG47" s="498">
        <f t="shared" ref="HG47" si="2148">HF47+HG46</f>
        <v>174</v>
      </c>
      <c r="HH47" s="466">
        <f>HG47+HH46</f>
        <v>174</v>
      </c>
      <c r="HI47" s="466">
        <f t="shared" ref="HI47" si="2149">HH47+HI46</f>
        <v>198</v>
      </c>
      <c r="HJ47" s="500">
        <f t="shared" ref="HJ47" si="2150">HI47+HJ46</f>
        <v>216</v>
      </c>
      <c r="HK47" s="476">
        <f t="shared" ref="HK47" si="2151">HJ47+HK46</f>
        <v>234</v>
      </c>
      <c r="HL47" s="477">
        <f t="shared" ref="HL47" si="2152">HK47+HL46</f>
        <v>252</v>
      </c>
      <c r="HM47" s="477">
        <f t="shared" ref="HM47" si="2153">HL47+HM46</f>
        <v>270</v>
      </c>
      <c r="HN47" s="478">
        <f t="shared" ref="HN47" si="2154">HM47+HN46</f>
        <v>282</v>
      </c>
      <c r="HO47" s="476">
        <f t="shared" ref="HO47" si="2155">HN47+HO46</f>
        <v>318</v>
      </c>
      <c r="HP47" s="477">
        <f t="shared" ref="HP47" si="2156">HO47+HP46</f>
        <v>348</v>
      </c>
      <c r="HQ47" s="477">
        <f t="shared" ref="HQ47" si="2157">HP47+HQ46</f>
        <v>378</v>
      </c>
      <c r="HR47" s="478">
        <f t="shared" ref="HR47" si="2158">HQ47+HR46</f>
        <v>408</v>
      </c>
      <c r="HS47" s="476">
        <f t="shared" ref="HS47" si="2159">HR47+HS46</f>
        <v>456</v>
      </c>
      <c r="HT47" s="477">
        <f t="shared" ref="HT47" si="2160">HS47+HT46</f>
        <v>504</v>
      </c>
      <c r="HU47" s="477">
        <f t="shared" ref="HU47" si="2161">HT47+HU46</f>
        <v>552</v>
      </c>
      <c r="HV47" s="478">
        <f t="shared" ref="HV47" si="2162">HU47+HV46</f>
        <v>600</v>
      </c>
      <c r="HW47" s="476">
        <f t="shared" ref="HW47" si="2163">HV47+HW46</f>
        <v>600</v>
      </c>
      <c r="HX47" s="477">
        <f t="shared" ref="HX47" si="2164">HW47+HX46</f>
        <v>642</v>
      </c>
      <c r="HY47" s="477">
        <f t="shared" ref="HY47" si="2165">HX47+HY46</f>
        <v>678</v>
      </c>
      <c r="HZ47" s="477">
        <f t="shared" ref="HZ47" si="2166">HY47+HZ46</f>
        <v>714</v>
      </c>
      <c r="IA47" s="478">
        <f t="shared" ref="IA47" si="2167">HZ47+IA46</f>
        <v>750</v>
      </c>
      <c r="IB47" s="479">
        <f t="shared" ref="IB47" si="2168">IA47+IB46</f>
        <v>768</v>
      </c>
      <c r="IC47" s="477">
        <f t="shared" ref="IC47" si="2169">IB47+IC46</f>
        <v>786</v>
      </c>
      <c r="ID47" s="477">
        <f t="shared" ref="ID47" si="2170">IC47+ID46</f>
        <v>798</v>
      </c>
      <c r="IE47" s="478">
        <f t="shared" ref="IE47" si="2171">ID47+IE46</f>
        <v>810</v>
      </c>
      <c r="IF47" s="479">
        <f t="shared" ref="IF47" si="2172">IE47+IF46</f>
        <v>828</v>
      </c>
      <c r="IG47" s="477">
        <f t="shared" ref="IG47" si="2173">IF47+IG46</f>
        <v>840</v>
      </c>
      <c r="IH47" s="477">
        <f t="shared" ref="IH47" si="2174">IG47+IH46</f>
        <v>840</v>
      </c>
      <c r="II47" s="477">
        <f t="shared" ref="II47" si="2175">IH47+II46</f>
        <v>840</v>
      </c>
      <c r="IJ47" s="480">
        <f t="shared" ref="IJ47" si="2176">II47+IJ46</f>
        <v>840</v>
      </c>
      <c r="IK47" s="476">
        <f t="shared" ref="IK47" si="2177">IJ47+IK46</f>
        <v>840</v>
      </c>
      <c r="IL47" s="477">
        <f t="shared" ref="IL47" si="2178">IK47+IL46</f>
        <v>864</v>
      </c>
      <c r="IM47" s="477">
        <f t="shared" ref="IM47" si="2179">IL47+IM46</f>
        <v>864</v>
      </c>
      <c r="IN47" s="478">
        <f t="shared" ref="IN47" si="2180">IM47+IN46</f>
        <v>864</v>
      </c>
      <c r="IO47" s="476">
        <f t="shared" ref="IO47" si="2181">IN47+IO46</f>
        <v>882</v>
      </c>
      <c r="IP47" s="477">
        <f t="shared" ref="IP47" si="2182">IO47+IP46</f>
        <v>900</v>
      </c>
      <c r="IQ47" s="477">
        <f t="shared" ref="IQ47" si="2183">IP47+IQ46</f>
        <v>912</v>
      </c>
      <c r="IR47" s="478">
        <f t="shared" ref="IR47" si="2184">IQ47+IR46</f>
        <v>912</v>
      </c>
      <c r="IS47" s="476">
        <f t="shared" ref="IS47" si="2185">IR47+IS46</f>
        <v>930</v>
      </c>
      <c r="IT47" s="477">
        <f t="shared" ref="IT47" si="2186">IS47+IT46</f>
        <v>948</v>
      </c>
      <c r="IU47" s="477">
        <f t="shared" ref="IU47" si="2187">IT47+IU46</f>
        <v>960</v>
      </c>
      <c r="IV47" s="480">
        <f t="shared" ref="IV47:IW47" si="2188">IU47+IV46</f>
        <v>960</v>
      </c>
      <c r="IW47" s="476">
        <f t="shared" si="2188"/>
        <v>972</v>
      </c>
      <c r="IX47" s="479">
        <f t="shared" ref="IX47" si="2189">IW47+IX46</f>
        <v>990</v>
      </c>
      <c r="IY47" s="477">
        <f t="shared" ref="IY47" si="2190">IX47+IY46</f>
        <v>1020</v>
      </c>
      <c r="IZ47" s="480">
        <f t="shared" ref="IZ47" si="2191">IY47+IZ46</f>
        <v>1050</v>
      </c>
      <c r="JA47" s="478">
        <f t="shared" ref="JA47" si="2192">IZ47+JA46</f>
        <v>1080</v>
      </c>
      <c r="JB47" s="476">
        <f t="shared" ref="JB47" si="2193">JA47+JB46</f>
        <v>1122</v>
      </c>
      <c r="JC47" s="477">
        <f t="shared" ref="JC47" si="2194">JB47+JC46</f>
        <v>1158</v>
      </c>
      <c r="JD47" s="477">
        <f t="shared" ref="JD47" si="2195">JC47+JD46</f>
        <v>1194</v>
      </c>
      <c r="JE47" s="478">
        <f t="shared" ref="JE47" si="2196">JD47+JE46</f>
        <v>1230</v>
      </c>
      <c r="JF47" s="476">
        <f t="shared" ref="JF47" si="2197">JE47+JF46</f>
        <v>1278</v>
      </c>
      <c r="JG47" s="477">
        <f t="shared" ref="JG47" si="2198">JF47+JG46</f>
        <v>1326</v>
      </c>
      <c r="JH47" s="477">
        <f t="shared" ref="JH47" si="2199">JG47+JH46</f>
        <v>1368</v>
      </c>
      <c r="JI47" s="478">
        <f t="shared" ref="JI47" si="2200">JH47+JI46</f>
        <v>1410</v>
      </c>
      <c r="JJ47" s="611">
        <f t="shared" ref="JJ47" si="2201">JI47+JJ46</f>
        <v>1410</v>
      </c>
      <c r="JK47" s="477">
        <f t="shared" ref="JK47" si="2202">JJ47+JK46</f>
        <v>1500</v>
      </c>
      <c r="JL47" s="477">
        <f t="shared" ref="JL47" si="2203">JK47+JL46</f>
        <v>1590</v>
      </c>
      <c r="JM47" s="478">
        <f t="shared" ref="JM47" si="2204">JL47+JM46</f>
        <v>1674</v>
      </c>
      <c r="JN47" s="476">
        <f>JM47+JN46</f>
        <v>1722</v>
      </c>
      <c r="JO47" s="477">
        <f>JN47+JO46</f>
        <v>1770</v>
      </c>
      <c r="JP47" s="477">
        <f>JO47+JP46</f>
        <v>1812</v>
      </c>
      <c r="JQ47" s="613">
        <f t="shared" ref="JQ47" si="2205">JP47+JQ46</f>
        <v>1812</v>
      </c>
      <c r="JR47" s="478">
        <f t="shared" ref="JR47" si="2206">JQ47+JR46</f>
        <v>1854</v>
      </c>
      <c r="JS47" s="476">
        <f>JR47+JS46</f>
        <v>1854</v>
      </c>
      <c r="JT47" s="477">
        <f>JS47+JT46</f>
        <v>1854</v>
      </c>
      <c r="JU47" s="477">
        <f>JT47+JU46</f>
        <v>1854</v>
      </c>
      <c r="JV47" s="478">
        <f t="shared" ref="JV47" si="2207">JU47+JV46</f>
        <v>1854</v>
      </c>
      <c r="JW47" s="476">
        <f>JV47+JW46</f>
        <v>1878</v>
      </c>
      <c r="JX47" s="477">
        <f>JW47+JX46</f>
        <v>1902</v>
      </c>
      <c r="JY47" s="477">
        <f>JX47+JY46</f>
        <v>1902</v>
      </c>
      <c r="JZ47" s="478">
        <f t="shared" ref="JZ47" si="2208">JY47+JZ46</f>
        <v>1902</v>
      </c>
      <c r="KA47" s="476">
        <f t="shared" ref="KA47:KI47" si="2209">JZ47+KA46</f>
        <v>1920</v>
      </c>
      <c r="KB47" s="477">
        <f t="shared" si="2209"/>
        <v>1938</v>
      </c>
      <c r="KC47" s="477">
        <f t="shared" si="2209"/>
        <v>1956</v>
      </c>
      <c r="KD47" s="480">
        <f t="shared" si="2209"/>
        <v>1956</v>
      </c>
      <c r="KE47" s="478">
        <f t="shared" si="2209"/>
        <v>1956</v>
      </c>
      <c r="KF47" s="476">
        <f t="shared" si="2209"/>
        <v>1980</v>
      </c>
      <c r="KG47" s="477">
        <f t="shared" si="2209"/>
        <v>1998</v>
      </c>
      <c r="KH47" s="477">
        <f t="shared" si="2209"/>
        <v>2016</v>
      </c>
      <c r="KI47" s="478">
        <f t="shared" si="2209"/>
        <v>2016</v>
      </c>
      <c r="KJ47" s="611">
        <f t="shared" ref="KJ47" si="2210">KI47+KJ46</f>
        <v>2016</v>
      </c>
      <c r="KK47" s="477">
        <f t="shared" ref="KK47" si="2211">KJ47+KK46</f>
        <v>2040</v>
      </c>
      <c r="KL47" s="477">
        <f t="shared" ref="KL47:KM47" si="2212">KK47+KL46</f>
        <v>2064</v>
      </c>
      <c r="KM47" s="477">
        <f t="shared" si="2212"/>
        <v>2082</v>
      </c>
      <c r="KN47" s="478">
        <f t="shared" ref="KN47" si="2213">KL47+KN46</f>
        <v>2064</v>
      </c>
    </row>
    <row r="48" spans="1:300" ht="36.75" customHeight="1">
      <c r="A48" s="481"/>
      <c r="B48" s="494"/>
      <c r="C48" s="667">
        <v>13</v>
      </c>
      <c r="D48" s="595" t="s">
        <v>211</v>
      </c>
      <c r="F48" s="638" t="s">
        <v>148</v>
      </c>
      <c r="G48" s="440" t="s">
        <v>17</v>
      </c>
      <c r="H48" s="475"/>
      <c r="I48" s="471"/>
      <c r="J48" s="471"/>
      <c r="K48" s="471"/>
      <c r="L48" s="471"/>
      <c r="M48" s="495"/>
      <c r="N48" s="495"/>
      <c r="O48" s="495"/>
      <c r="P48" s="495"/>
      <c r="Q48" s="495"/>
      <c r="R48" s="471"/>
      <c r="S48" s="471"/>
      <c r="T48" s="495"/>
      <c r="U48" s="495"/>
      <c r="V48" s="495"/>
      <c r="W48" s="495"/>
      <c r="X48" s="495"/>
      <c r="Y48" s="495"/>
      <c r="Z48" s="495"/>
      <c r="AA48" s="495"/>
      <c r="AB48" s="495"/>
      <c r="AC48" s="483">
        <f>SUBTOTAL(9,EX48:FA48)</f>
        <v>0</v>
      </c>
      <c r="AD48" s="445">
        <f>SUBTOTAL(9,FB48:FF48)</f>
        <v>0</v>
      </c>
      <c r="AE48" s="445">
        <f>SUBTOTAL(9,FG48:FJ48)</f>
        <v>0</v>
      </c>
      <c r="AF48" s="445">
        <f>SUBTOTAL(9,FK48:FN48)</f>
        <v>0</v>
      </c>
      <c r="AG48" s="445">
        <f>SUBTOTAL(9,FO48:FR48)</f>
        <v>0</v>
      </c>
      <c r="AH48" s="445">
        <f>SUBTOTAL(9,FS48:FW48)</f>
        <v>0</v>
      </c>
      <c r="AI48" s="445">
        <f>SUBTOTAL(9,FX48:GA48)</f>
        <v>0</v>
      </c>
      <c r="AJ48" s="445">
        <f>SUBTOTAL(9,GB48:GE48)</f>
        <v>0</v>
      </c>
      <c r="AK48" s="445">
        <f>SUBTOTAL(9,GF48:GJ48)</f>
        <v>0</v>
      </c>
      <c r="AL48" s="445">
        <f>SUBTOTAL(9,GK48:GN48)</f>
        <v>0</v>
      </c>
      <c r="AM48" s="445">
        <f>SUBTOTAL(9,GO48:GS48)</f>
        <v>0</v>
      </c>
      <c r="AN48" s="448">
        <f>SUBTOTAL(9,GT48:GW48)</f>
        <v>0</v>
      </c>
      <c r="AO48" s="449">
        <f>SUM(GX48:HA48)</f>
        <v>0</v>
      </c>
      <c r="AP48" s="450">
        <f>SUM(HB48:HF48)</f>
        <v>0</v>
      </c>
      <c r="AQ48" s="450">
        <f>SUM(HG48:HJ48)</f>
        <v>0</v>
      </c>
      <c r="AR48" s="450">
        <f>SUM(HK48:HN48)</f>
        <v>0</v>
      </c>
      <c r="AS48" s="450">
        <f>SUM(HO48:HR48)</f>
        <v>0</v>
      </c>
      <c r="AT48" s="450">
        <f>SUM(HS48:HV48)</f>
        <v>0</v>
      </c>
      <c r="AU48" s="450">
        <f>SUM(HW48:IA48)</f>
        <v>0</v>
      </c>
      <c r="AV48" s="450">
        <f>SUM(IB48:IE48)</f>
        <v>0</v>
      </c>
      <c r="AW48" s="450">
        <f t="shared" ref="AW48" si="2214">SUM(IF48:IJ48)</f>
        <v>0</v>
      </c>
      <c r="AX48" s="450">
        <f t="shared" ref="AX48" si="2215">SUM(IK48:IN48)</f>
        <v>0</v>
      </c>
      <c r="AY48" s="450">
        <f t="shared" ref="AY48" si="2216">SUM(IO48:IR48)</f>
        <v>0</v>
      </c>
      <c r="AZ48" s="450">
        <f t="shared" ref="AZ48" si="2217">SUM(IS48:IV48)</f>
        <v>0</v>
      </c>
      <c r="BA48" s="450">
        <f t="shared" ref="BA48" si="2218">SUM(IW48:JA48)</f>
        <v>0</v>
      </c>
      <c r="BB48" s="450">
        <f t="shared" ref="BB48" si="2219">SUM(JB48:JE48)</f>
        <v>0</v>
      </c>
      <c r="BC48" s="450">
        <f t="shared" ref="BC48" si="2220">SUM(JF48:JI48)</f>
        <v>0</v>
      </c>
      <c r="BD48" s="450">
        <f t="shared" ref="BD48" si="2221">SUM(JJ48:JM48)</f>
        <v>0</v>
      </c>
      <c r="BE48" s="446">
        <f t="shared" ref="BE48" si="2222">SUM(JN48:JR48)</f>
        <v>0</v>
      </c>
      <c r="BF48" s="446">
        <f t="shared" ref="BF48" si="2223">SUM(JS48:JV48)</f>
        <v>1</v>
      </c>
      <c r="BG48" s="446">
        <f t="shared" ref="BG48" si="2224">SUM(JW48:JZ48)</f>
        <v>0</v>
      </c>
      <c r="BH48" s="446">
        <f t="shared" ref="BH48" si="2225">SUM(KA48:KE48)</f>
        <v>0</v>
      </c>
      <c r="BI48" s="446">
        <f t="shared" ref="BI48" si="2226">SUM(KF48:KI48)</f>
        <v>0</v>
      </c>
      <c r="BJ48" s="446">
        <f t="shared" ref="BJ48" si="2227">SUM(KJ48:KN48)</f>
        <v>0</v>
      </c>
      <c r="BK48" s="524"/>
      <c r="BL48" s="525"/>
      <c r="BM48" s="525"/>
      <c r="BN48" s="525"/>
      <c r="BO48" s="525"/>
      <c r="BP48" s="525"/>
      <c r="BQ48" s="525"/>
      <c r="BR48" s="525"/>
      <c r="BS48" s="525"/>
      <c r="BT48" s="525"/>
      <c r="BU48" s="525"/>
      <c r="BV48" s="525"/>
      <c r="BW48" s="542"/>
      <c r="BX48" s="525"/>
      <c r="BY48" s="525"/>
      <c r="BZ48" s="525"/>
      <c r="CA48" s="525"/>
      <c r="CB48" s="525"/>
      <c r="CC48" s="525"/>
      <c r="CD48" s="525"/>
      <c r="CE48" s="525"/>
      <c r="CF48" s="525"/>
      <c r="CG48" s="525"/>
      <c r="CH48" s="542"/>
      <c r="CI48" s="525"/>
      <c r="CJ48" s="525"/>
      <c r="CK48" s="525"/>
      <c r="CL48" s="525"/>
      <c r="CM48" s="525"/>
      <c r="CN48" s="525"/>
      <c r="CO48" s="525"/>
      <c r="CP48" s="525"/>
      <c r="CQ48" s="525"/>
      <c r="CR48" s="525"/>
      <c r="CS48" s="525"/>
      <c r="CT48" s="525"/>
      <c r="CU48" s="525"/>
      <c r="CV48" s="525"/>
      <c r="CW48" s="525"/>
      <c r="CX48" s="525"/>
      <c r="CY48" s="525"/>
      <c r="CZ48" s="525"/>
      <c r="DA48" s="525"/>
      <c r="DB48" s="525"/>
      <c r="DC48" s="525"/>
      <c r="DD48" s="525"/>
      <c r="DE48" s="542"/>
      <c r="DF48" s="525"/>
      <c r="DG48" s="542"/>
      <c r="DH48" s="543"/>
      <c r="DI48" s="525"/>
      <c r="DJ48" s="525"/>
      <c r="DK48" s="525"/>
      <c r="DL48" s="525"/>
      <c r="DM48" s="525"/>
      <c r="DN48" s="525"/>
      <c r="DO48" s="525"/>
      <c r="DP48" s="525"/>
      <c r="DQ48" s="525"/>
      <c r="DR48" s="525"/>
      <c r="DS48" s="525"/>
      <c r="DT48" s="525"/>
      <c r="DU48" s="525"/>
      <c r="DV48" s="542"/>
      <c r="DW48" s="525"/>
      <c r="DX48" s="525"/>
      <c r="DY48" s="525"/>
      <c r="DZ48" s="525"/>
      <c r="EA48" s="525"/>
      <c r="EB48" s="525"/>
      <c r="EC48" s="525"/>
      <c r="ED48" s="525"/>
      <c r="EE48" s="525"/>
      <c r="EF48" s="525"/>
      <c r="EG48" s="525"/>
      <c r="EH48" s="542"/>
      <c r="EI48" s="525"/>
      <c r="EJ48" s="525"/>
      <c r="EK48" s="525"/>
      <c r="EL48" s="525"/>
      <c r="EM48" s="525"/>
      <c r="EN48" s="525"/>
      <c r="EO48" s="525"/>
      <c r="EP48" s="525"/>
      <c r="EQ48" s="525"/>
      <c r="ER48" s="525"/>
      <c r="ES48" s="525"/>
      <c r="ET48" s="525"/>
      <c r="EU48" s="525"/>
      <c r="EV48" s="525"/>
      <c r="EW48" s="526"/>
      <c r="EX48" s="447">
        <v>0</v>
      </c>
      <c r="EY48" s="445">
        <v>0</v>
      </c>
      <c r="EZ48" s="445">
        <v>0</v>
      </c>
      <c r="FA48" s="502">
        <v>0</v>
      </c>
      <c r="FB48" s="447">
        <v>0</v>
      </c>
      <c r="FC48" s="445">
        <v>0</v>
      </c>
      <c r="FD48" s="445">
        <v>0</v>
      </c>
      <c r="FE48" s="445">
        <v>0</v>
      </c>
      <c r="FF48" s="502">
        <v>0</v>
      </c>
      <c r="FG48" s="448">
        <v>0</v>
      </c>
      <c r="FH48" s="445">
        <v>0</v>
      </c>
      <c r="FI48" s="445">
        <v>0</v>
      </c>
      <c r="FJ48" s="502">
        <v>0</v>
      </c>
      <c r="FK48" s="448">
        <v>0</v>
      </c>
      <c r="FL48" s="445">
        <v>0</v>
      </c>
      <c r="FM48" s="445">
        <v>0</v>
      </c>
      <c r="FN48" s="502">
        <v>0</v>
      </c>
      <c r="FO48" s="448">
        <v>0</v>
      </c>
      <c r="FP48" s="445">
        <v>0</v>
      </c>
      <c r="FQ48" s="445">
        <v>0</v>
      </c>
      <c r="FR48" s="502">
        <v>0</v>
      </c>
      <c r="FS48" s="448">
        <v>0</v>
      </c>
      <c r="FT48" s="445">
        <v>0</v>
      </c>
      <c r="FU48" s="445">
        <v>0</v>
      </c>
      <c r="FV48" s="445">
        <v>0</v>
      </c>
      <c r="FW48" s="502">
        <v>0</v>
      </c>
      <c r="FX48" s="448">
        <v>0</v>
      </c>
      <c r="FY48" s="445">
        <v>0</v>
      </c>
      <c r="FZ48" s="445">
        <v>0</v>
      </c>
      <c r="GA48" s="502">
        <v>0</v>
      </c>
      <c r="GB48" s="448">
        <v>0</v>
      </c>
      <c r="GC48" s="445">
        <v>0</v>
      </c>
      <c r="GD48" s="445">
        <v>0</v>
      </c>
      <c r="GE48" s="502">
        <v>0</v>
      </c>
      <c r="GF48" s="448">
        <v>0</v>
      </c>
      <c r="GG48" s="445">
        <v>0</v>
      </c>
      <c r="GH48" s="445">
        <v>0</v>
      </c>
      <c r="GI48" s="445">
        <v>0</v>
      </c>
      <c r="GJ48" s="503">
        <v>0</v>
      </c>
      <c r="GK48" s="447">
        <v>0</v>
      </c>
      <c r="GL48" s="445">
        <v>0</v>
      </c>
      <c r="GM48" s="445">
        <v>0</v>
      </c>
      <c r="GN48" s="504">
        <v>0</v>
      </c>
      <c r="GO48" s="447">
        <v>0</v>
      </c>
      <c r="GP48" s="445">
        <v>0</v>
      </c>
      <c r="GQ48" s="445">
        <v>0</v>
      </c>
      <c r="GR48" s="446">
        <v>0</v>
      </c>
      <c r="GS48" s="502"/>
      <c r="GT48" s="448">
        <v>0</v>
      </c>
      <c r="GU48" s="445">
        <v>0</v>
      </c>
      <c r="GV48" s="445">
        <v>0</v>
      </c>
      <c r="GW48" s="504">
        <v>0</v>
      </c>
      <c r="GX48" s="447"/>
      <c r="GY48" s="445"/>
      <c r="GZ48" s="445"/>
      <c r="HA48" s="504"/>
      <c r="HB48" s="447"/>
      <c r="HC48" s="445"/>
      <c r="HD48" s="445"/>
      <c r="HE48" s="445"/>
      <c r="HF48" s="502"/>
      <c r="HG48" s="447"/>
      <c r="HH48" s="450"/>
      <c r="HI48" s="445"/>
      <c r="HJ48" s="502"/>
      <c r="HK48" s="447"/>
      <c r="HL48" s="445"/>
      <c r="HM48" s="445"/>
      <c r="HN48" s="502"/>
      <c r="HO48" s="447"/>
      <c r="HP48" s="445"/>
      <c r="HQ48" s="445"/>
      <c r="HR48" s="502"/>
      <c r="HS48" s="447"/>
      <c r="HT48" s="445"/>
      <c r="HU48" s="445"/>
      <c r="HV48" s="502"/>
      <c r="HW48" s="451"/>
      <c r="HX48" s="445"/>
      <c r="HY48" s="445"/>
      <c r="HZ48" s="445"/>
      <c r="IA48" s="502"/>
      <c r="IB48" s="448"/>
      <c r="IC48" s="445"/>
      <c r="ID48" s="445"/>
      <c r="IE48" s="502"/>
      <c r="IF48" s="448"/>
      <c r="IG48" s="445"/>
      <c r="IH48" s="445"/>
      <c r="II48" s="445"/>
      <c r="IJ48" s="446"/>
      <c r="IK48" s="451"/>
      <c r="IL48" s="445"/>
      <c r="IM48" s="445"/>
      <c r="IN48" s="502"/>
      <c r="IO48" s="447"/>
      <c r="IP48" s="445"/>
      <c r="IQ48" s="445"/>
      <c r="IR48" s="502"/>
      <c r="IS48" s="447"/>
      <c r="IT48" s="445"/>
      <c r="IU48" s="445"/>
      <c r="IV48" s="446"/>
      <c r="IW48" s="447"/>
      <c r="IX48" s="448"/>
      <c r="IY48" s="445"/>
      <c r="IZ48" s="446"/>
      <c r="JA48" s="502"/>
      <c r="JB48" s="511"/>
      <c r="JC48" s="509"/>
      <c r="JD48" s="509"/>
      <c r="JE48" s="510"/>
      <c r="JF48" s="447"/>
      <c r="JG48" s="445"/>
      <c r="JH48" s="445"/>
      <c r="JI48" s="502"/>
      <c r="JJ48" s="451"/>
      <c r="JK48" s="445"/>
      <c r="JL48" s="445"/>
      <c r="JM48" s="502"/>
      <c r="JN48" s="447">
        <v>0</v>
      </c>
      <c r="JO48" s="445">
        <v>0</v>
      </c>
      <c r="JP48" s="445">
        <v>0</v>
      </c>
      <c r="JQ48" s="449">
        <v>0</v>
      </c>
      <c r="JR48" s="502">
        <v>0</v>
      </c>
      <c r="JS48" s="447">
        <v>1</v>
      </c>
      <c r="JT48" s="445">
        <v>0</v>
      </c>
      <c r="JU48" s="445">
        <v>0</v>
      </c>
      <c r="JV48" s="502">
        <v>0</v>
      </c>
      <c r="JW48" s="447">
        <v>0</v>
      </c>
      <c r="JX48" s="445">
        <v>0</v>
      </c>
      <c r="JY48" s="445">
        <v>0</v>
      </c>
      <c r="JZ48" s="502">
        <v>0</v>
      </c>
      <c r="KA48" s="447">
        <v>0</v>
      </c>
      <c r="KB48" s="445">
        <v>0</v>
      </c>
      <c r="KC48" s="445">
        <v>0</v>
      </c>
      <c r="KD48" s="446">
        <v>0</v>
      </c>
      <c r="KE48" s="502">
        <v>0</v>
      </c>
      <c r="KF48" s="447">
        <v>0</v>
      </c>
      <c r="KG48" s="445">
        <v>0</v>
      </c>
      <c r="KH48" s="445">
        <v>0</v>
      </c>
      <c r="KI48" s="502">
        <v>0</v>
      </c>
      <c r="KJ48" s="451">
        <v>0</v>
      </c>
      <c r="KK48" s="445">
        <v>0</v>
      </c>
      <c r="KL48" s="445">
        <v>0</v>
      </c>
      <c r="KM48" s="445">
        <v>0</v>
      </c>
      <c r="KN48" s="502">
        <v>0</v>
      </c>
    </row>
    <row r="49" spans="1:300" ht="36.75" customHeight="1" thickBot="1">
      <c r="A49" s="481"/>
      <c r="B49" s="494"/>
      <c r="C49" s="668"/>
      <c r="D49" s="596"/>
      <c r="G49" s="456" t="s">
        <v>18</v>
      </c>
      <c r="AC49" s="460">
        <f t="shared" ref="AC49" si="2228">AB49+AC48</f>
        <v>0</v>
      </c>
      <c r="AD49" s="461">
        <f t="shared" ref="AD49" si="2229">AC49+AD48</f>
        <v>0</v>
      </c>
      <c r="AE49" s="461">
        <f t="shared" ref="AE49" si="2230">AD49+AE48</f>
        <v>0</v>
      </c>
      <c r="AF49" s="461">
        <f t="shared" ref="AF49" si="2231">AE49+AF48</f>
        <v>0</v>
      </c>
      <c r="AG49" s="461">
        <f t="shared" ref="AG49:AH49" si="2232">AF49+AG48</f>
        <v>0</v>
      </c>
      <c r="AH49" s="461">
        <f t="shared" si="2232"/>
        <v>0</v>
      </c>
      <c r="AI49" s="462">
        <f>GA49</f>
        <v>0</v>
      </c>
      <c r="AJ49" s="461">
        <f t="shared" ref="AJ49" si="2233">AI49+AJ48</f>
        <v>0</v>
      </c>
      <c r="AK49" s="461">
        <f t="shared" ref="AK49" si="2234">AJ49+AK48</f>
        <v>0</v>
      </c>
      <c r="AL49" s="461">
        <f t="shared" ref="AL49:AM49" si="2235">AK49+AL48</f>
        <v>0</v>
      </c>
      <c r="AM49" s="461">
        <f t="shared" si="2235"/>
        <v>0</v>
      </c>
      <c r="AN49" s="464">
        <f t="shared" ref="AN49" si="2236">AM49+AN48</f>
        <v>0</v>
      </c>
      <c r="AO49" s="465">
        <f t="shared" ref="AO49" si="2237">AN49+AO48</f>
        <v>0</v>
      </c>
      <c r="AP49" s="466">
        <f t="shared" ref="AP49:AR49" si="2238">AO49+AP48</f>
        <v>0</v>
      </c>
      <c r="AQ49" s="466">
        <f t="shared" si="2238"/>
        <v>0</v>
      </c>
      <c r="AR49" s="466">
        <f t="shared" si="2238"/>
        <v>0</v>
      </c>
      <c r="AS49" s="466">
        <f t="shared" ref="AS49:AZ49" si="2239">AR49+AS48</f>
        <v>0</v>
      </c>
      <c r="AT49" s="466">
        <f t="shared" si="2239"/>
        <v>0</v>
      </c>
      <c r="AU49" s="466">
        <f t="shared" si="2239"/>
        <v>0</v>
      </c>
      <c r="AV49" s="466">
        <f t="shared" si="2239"/>
        <v>0</v>
      </c>
      <c r="AW49" s="466">
        <f t="shared" si="2239"/>
        <v>0</v>
      </c>
      <c r="AX49" s="466">
        <f t="shared" si="2239"/>
        <v>0</v>
      </c>
      <c r="AY49" s="466">
        <f t="shared" si="2239"/>
        <v>0</v>
      </c>
      <c r="AZ49" s="466">
        <f t="shared" si="2239"/>
        <v>0</v>
      </c>
      <c r="BA49" s="466">
        <f t="shared" ref="BA49" si="2240">AZ49+BA48</f>
        <v>0</v>
      </c>
      <c r="BB49" s="466">
        <f t="shared" ref="BB49" si="2241">BA49+BB48</f>
        <v>0</v>
      </c>
      <c r="BC49" s="466">
        <f t="shared" ref="BC49:BD49" si="2242">BB49+BC48</f>
        <v>0</v>
      </c>
      <c r="BD49" s="466">
        <f t="shared" si="2242"/>
        <v>0</v>
      </c>
      <c r="BE49" s="466">
        <f t="shared" ref="BE49:BF49" si="2243">BD49+BE48</f>
        <v>0</v>
      </c>
      <c r="BF49" s="466">
        <f t="shared" si="2243"/>
        <v>1</v>
      </c>
      <c r="BG49" s="466">
        <f t="shared" ref="BG49:BJ49" si="2244">BF49+BG48</f>
        <v>1</v>
      </c>
      <c r="BH49" s="466">
        <f t="shared" si="2244"/>
        <v>1</v>
      </c>
      <c r="BI49" s="466">
        <f t="shared" si="2244"/>
        <v>1</v>
      </c>
      <c r="BJ49" s="466">
        <f t="shared" si="2244"/>
        <v>1</v>
      </c>
      <c r="BK49" s="527"/>
      <c r="BL49" s="528"/>
      <c r="BM49" s="528"/>
      <c r="BN49" s="528"/>
      <c r="BO49" s="528"/>
      <c r="BP49" s="528"/>
      <c r="BQ49" s="528"/>
      <c r="BR49" s="528"/>
      <c r="BS49" s="528"/>
      <c r="BT49" s="528"/>
      <c r="BU49" s="528"/>
      <c r="BV49" s="528"/>
      <c r="BW49" s="529"/>
      <c r="BX49" s="528"/>
      <c r="BY49" s="528"/>
      <c r="BZ49" s="528"/>
      <c r="CA49" s="528"/>
      <c r="CB49" s="528"/>
      <c r="CC49" s="528"/>
      <c r="CD49" s="528"/>
      <c r="CE49" s="528"/>
      <c r="CF49" s="528"/>
      <c r="CG49" s="528"/>
      <c r="CH49" s="528"/>
      <c r="CI49" s="528"/>
      <c r="CJ49" s="528"/>
      <c r="CK49" s="528"/>
      <c r="CL49" s="528"/>
      <c r="CM49" s="528"/>
      <c r="CN49" s="528"/>
      <c r="CO49" s="528"/>
      <c r="CP49" s="528"/>
      <c r="CQ49" s="528"/>
      <c r="CR49" s="528"/>
      <c r="CS49" s="528"/>
      <c r="CT49" s="528"/>
      <c r="CU49" s="528"/>
      <c r="CV49" s="528"/>
      <c r="CW49" s="528"/>
      <c r="CX49" s="528"/>
      <c r="CY49" s="528"/>
      <c r="CZ49" s="528"/>
      <c r="DA49" s="528"/>
      <c r="DB49" s="528"/>
      <c r="DC49" s="528"/>
      <c r="DD49" s="528"/>
      <c r="DE49" s="528"/>
      <c r="DF49" s="528"/>
      <c r="DG49" s="528"/>
      <c r="DH49" s="528"/>
      <c r="DI49" s="528"/>
      <c r="DJ49" s="528"/>
      <c r="DK49" s="528"/>
      <c r="DL49" s="528"/>
      <c r="DM49" s="528"/>
      <c r="DN49" s="528"/>
      <c r="DO49" s="528"/>
      <c r="DP49" s="528"/>
      <c r="DQ49" s="528"/>
      <c r="DR49" s="528"/>
      <c r="DS49" s="528"/>
      <c r="DT49" s="528"/>
      <c r="DU49" s="528"/>
      <c r="DV49" s="528"/>
      <c r="DW49" s="528"/>
      <c r="DX49" s="528"/>
      <c r="DY49" s="528"/>
      <c r="DZ49" s="528"/>
      <c r="EA49" s="528"/>
      <c r="EB49" s="528"/>
      <c r="EC49" s="528"/>
      <c r="ED49" s="528"/>
      <c r="EE49" s="528"/>
      <c r="EF49" s="528"/>
      <c r="EG49" s="528"/>
      <c r="EH49" s="528"/>
      <c r="EI49" s="528"/>
      <c r="EJ49" s="528"/>
      <c r="EK49" s="528"/>
      <c r="EL49" s="528"/>
      <c r="EM49" s="528"/>
      <c r="EN49" s="528"/>
      <c r="EO49" s="528"/>
      <c r="EP49" s="528"/>
      <c r="EQ49" s="528"/>
      <c r="ER49" s="528"/>
      <c r="ES49" s="528"/>
      <c r="ET49" s="528"/>
      <c r="EU49" s="528"/>
      <c r="EV49" s="528"/>
      <c r="EW49" s="530"/>
      <c r="EX49" s="463">
        <f t="shared" ref="EX49" si="2245">EW49+EX48</f>
        <v>0</v>
      </c>
      <c r="EY49" s="461">
        <f t="shared" ref="EY49" si="2246">EX49+EY48</f>
        <v>0</v>
      </c>
      <c r="EZ49" s="461">
        <f t="shared" ref="EZ49" si="2247">EY49+EZ48</f>
        <v>0</v>
      </c>
      <c r="FA49" s="492">
        <f t="shared" ref="FA49" si="2248">EZ49+FA48</f>
        <v>0</v>
      </c>
      <c r="FB49" s="463">
        <f t="shared" ref="FB49" si="2249">FA49+FB48</f>
        <v>0</v>
      </c>
      <c r="FC49" s="461">
        <f t="shared" ref="FC49" si="2250">FB49+FC48</f>
        <v>0</v>
      </c>
      <c r="FD49" s="461">
        <f t="shared" ref="FD49" si="2251">FC49+FD48</f>
        <v>0</v>
      </c>
      <c r="FE49" s="461">
        <f t="shared" ref="FE49" si="2252">FD49+FE48</f>
        <v>0</v>
      </c>
      <c r="FF49" s="492">
        <f t="shared" ref="FF49" si="2253">FE49+FF48</f>
        <v>0</v>
      </c>
      <c r="FG49" s="464">
        <f t="shared" ref="FG49" si="2254">FF49+FG48</f>
        <v>0</v>
      </c>
      <c r="FH49" s="461">
        <f t="shared" ref="FH49" si="2255">FG49+FH48</f>
        <v>0</v>
      </c>
      <c r="FI49" s="461">
        <f t="shared" ref="FI49" si="2256">FH49+FI48</f>
        <v>0</v>
      </c>
      <c r="FJ49" s="492">
        <f t="shared" ref="FJ49" si="2257">FI49+FJ48</f>
        <v>0</v>
      </c>
      <c r="FK49" s="464">
        <f t="shared" ref="FK49" si="2258">FJ49+FK48</f>
        <v>0</v>
      </c>
      <c r="FL49" s="461">
        <f t="shared" ref="FL49" si="2259">FK49+FL48</f>
        <v>0</v>
      </c>
      <c r="FM49" s="461">
        <f t="shared" ref="FM49" si="2260">FL49+FM48</f>
        <v>0</v>
      </c>
      <c r="FN49" s="492">
        <f t="shared" ref="FN49" si="2261">FM49+FN48</f>
        <v>0</v>
      </c>
      <c r="FO49" s="464">
        <f t="shared" ref="FO49" si="2262">FN49+FO48</f>
        <v>0</v>
      </c>
      <c r="FP49" s="461">
        <f t="shared" ref="FP49" si="2263">FO49+FP48</f>
        <v>0</v>
      </c>
      <c r="FQ49" s="461">
        <f t="shared" ref="FQ49" si="2264">FP49+FQ48</f>
        <v>0</v>
      </c>
      <c r="FR49" s="492">
        <f t="shared" ref="FR49" si="2265">FQ49+FR48</f>
        <v>0</v>
      </c>
      <c r="FS49" s="464">
        <f t="shared" ref="FS49" si="2266">FR49+FS48</f>
        <v>0</v>
      </c>
      <c r="FT49" s="461">
        <f t="shared" ref="FT49" si="2267">FS49+FT48</f>
        <v>0</v>
      </c>
      <c r="FU49" s="461">
        <f t="shared" ref="FU49" si="2268">FT49+FU48</f>
        <v>0</v>
      </c>
      <c r="FV49" s="461">
        <f t="shared" ref="FV49" si="2269">FU49+FV48</f>
        <v>0</v>
      </c>
      <c r="FW49" s="492">
        <f t="shared" ref="FW49" si="2270">FV49+FW48</f>
        <v>0</v>
      </c>
      <c r="FX49" s="464">
        <f t="shared" ref="FX49" si="2271">FW49+FX48</f>
        <v>0</v>
      </c>
      <c r="FY49" s="461">
        <f t="shared" ref="FY49" si="2272">FX49+FY48</f>
        <v>0</v>
      </c>
      <c r="FZ49" s="461">
        <f t="shared" ref="FZ49" si="2273">FY49+FZ48</f>
        <v>0</v>
      </c>
      <c r="GA49" s="492">
        <f t="shared" ref="GA49" si="2274">FZ49+GA48</f>
        <v>0</v>
      </c>
      <c r="GB49" s="464">
        <f t="shared" ref="GB49" si="2275">GA49+GB48</f>
        <v>0</v>
      </c>
      <c r="GC49" s="461">
        <f t="shared" ref="GC49" si="2276">GB49+GC48</f>
        <v>0</v>
      </c>
      <c r="GD49" s="461">
        <f t="shared" ref="GD49" si="2277">GC49+GD48</f>
        <v>0</v>
      </c>
      <c r="GE49" s="492">
        <f t="shared" ref="GE49" si="2278">GD49+GE48</f>
        <v>0</v>
      </c>
      <c r="GF49" s="464">
        <f t="shared" ref="GF49" si="2279">GE49+GF48</f>
        <v>0</v>
      </c>
      <c r="GG49" s="461">
        <f t="shared" ref="GG49" si="2280">GF49+GG48</f>
        <v>0</v>
      </c>
      <c r="GH49" s="461">
        <f t="shared" ref="GH49" si="2281">GG49+GH48</f>
        <v>0</v>
      </c>
      <c r="GI49" s="461">
        <f t="shared" ref="GI49" si="2282">GH49+GI48</f>
        <v>0</v>
      </c>
      <c r="GJ49" s="496">
        <f t="shared" ref="GJ49" si="2283">GI49+GJ48</f>
        <v>0</v>
      </c>
      <c r="GK49" s="463">
        <f t="shared" ref="GK49" si="2284">GJ49+GK48</f>
        <v>0</v>
      </c>
      <c r="GL49" s="461">
        <f t="shared" ref="GL49" si="2285">GK49+GL48</f>
        <v>0</v>
      </c>
      <c r="GM49" s="461">
        <f t="shared" ref="GM49" si="2286">GL49+GM48</f>
        <v>0</v>
      </c>
      <c r="GN49" s="497">
        <f t="shared" ref="GN49" si="2287">GM49+GN48</f>
        <v>0</v>
      </c>
      <c r="GO49" s="498">
        <f t="shared" ref="GO49" si="2288">GN49+GO48</f>
        <v>0</v>
      </c>
      <c r="GP49" s="466">
        <f t="shared" ref="GP49" si="2289">GO49+GP48</f>
        <v>0</v>
      </c>
      <c r="GQ49" s="466">
        <f t="shared" ref="GQ49" si="2290">GP49+GQ48</f>
        <v>0</v>
      </c>
      <c r="GR49" s="465">
        <f t="shared" ref="GR49" si="2291">GQ49+GR48</f>
        <v>0</v>
      </c>
      <c r="GS49" s="500">
        <f t="shared" ref="GS49" si="2292">GR49+GS48</f>
        <v>0</v>
      </c>
      <c r="GT49" s="544">
        <f t="shared" ref="GT49" si="2293">GS49+GT48</f>
        <v>0</v>
      </c>
      <c r="GU49" s="466">
        <f t="shared" ref="GU49" si="2294">GT49+GU48</f>
        <v>0</v>
      </c>
      <c r="GV49" s="466">
        <f t="shared" ref="GV49" si="2295">GU49+GV48</f>
        <v>0</v>
      </c>
      <c r="GW49" s="499">
        <f t="shared" ref="GW49" si="2296">GV49+GW48</f>
        <v>0</v>
      </c>
      <c r="GX49" s="498">
        <f t="shared" ref="GX49" si="2297">GW49+GX48</f>
        <v>0</v>
      </c>
      <c r="GY49" s="466">
        <f t="shared" ref="GY49" si="2298">GX49+GY48</f>
        <v>0</v>
      </c>
      <c r="GZ49" s="466">
        <f t="shared" ref="GZ49" si="2299">GY49+GZ48</f>
        <v>0</v>
      </c>
      <c r="HA49" s="499">
        <f t="shared" ref="HA49" si="2300">GZ49+HA48</f>
        <v>0</v>
      </c>
      <c r="HB49" s="498">
        <f t="shared" ref="HB49" si="2301">HA49+HB48</f>
        <v>0</v>
      </c>
      <c r="HC49" s="466">
        <f t="shared" ref="HC49" si="2302">HB49+HC48</f>
        <v>0</v>
      </c>
      <c r="HD49" s="466">
        <f t="shared" ref="HD49" si="2303">HC49+HD48</f>
        <v>0</v>
      </c>
      <c r="HE49" s="466">
        <f t="shared" ref="HE49" si="2304">HD49+HE48</f>
        <v>0</v>
      </c>
      <c r="HF49" s="500">
        <f t="shared" ref="HF49" si="2305">HE49+HF48</f>
        <v>0</v>
      </c>
      <c r="HG49" s="498">
        <f t="shared" ref="HG49" si="2306">HF49+HG48</f>
        <v>0</v>
      </c>
      <c r="HH49" s="466">
        <f t="shared" ref="HH49" si="2307">HG49+HH48</f>
        <v>0</v>
      </c>
      <c r="HI49" s="466">
        <f t="shared" ref="HI49" si="2308">HH49+HI48</f>
        <v>0</v>
      </c>
      <c r="HJ49" s="500">
        <f t="shared" ref="HJ49" si="2309">HI49+HJ48</f>
        <v>0</v>
      </c>
      <c r="HK49" s="476">
        <f t="shared" ref="HK49" si="2310">HJ49+HK48</f>
        <v>0</v>
      </c>
      <c r="HL49" s="477">
        <f t="shared" ref="HL49" si="2311">HK49+HL48</f>
        <v>0</v>
      </c>
      <c r="HM49" s="477">
        <f t="shared" ref="HM49" si="2312">HL49+HM48</f>
        <v>0</v>
      </c>
      <c r="HN49" s="478">
        <f t="shared" ref="HN49" si="2313">HM49+HN48</f>
        <v>0</v>
      </c>
      <c r="HO49" s="476">
        <f t="shared" ref="HO49" si="2314">HN49+HO48</f>
        <v>0</v>
      </c>
      <c r="HP49" s="477">
        <f t="shared" ref="HP49" si="2315">HO49+HP48</f>
        <v>0</v>
      </c>
      <c r="HQ49" s="477">
        <f t="shared" ref="HQ49" si="2316">HP49+HQ48</f>
        <v>0</v>
      </c>
      <c r="HR49" s="478">
        <f t="shared" ref="HR49" si="2317">HQ49+HR48</f>
        <v>0</v>
      </c>
      <c r="HS49" s="476">
        <f t="shared" ref="HS49" si="2318">HR49+HS48</f>
        <v>0</v>
      </c>
      <c r="HT49" s="477">
        <f t="shared" ref="HT49" si="2319">HS49+HT48</f>
        <v>0</v>
      </c>
      <c r="HU49" s="477">
        <f t="shared" ref="HU49" si="2320">HT49+HU48</f>
        <v>0</v>
      </c>
      <c r="HV49" s="478">
        <f t="shared" ref="HV49" si="2321">HU49+HV48</f>
        <v>0</v>
      </c>
      <c r="HW49" s="476">
        <f t="shared" ref="HW49" si="2322">HV49+HW48</f>
        <v>0</v>
      </c>
      <c r="HX49" s="477">
        <f t="shared" ref="HX49" si="2323">HW49+HX48</f>
        <v>0</v>
      </c>
      <c r="HY49" s="477">
        <f t="shared" ref="HY49" si="2324">HX49+HY48</f>
        <v>0</v>
      </c>
      <c r="HZ49" s="477">
        <f t="shared" ref="HZ49" si="2325">HY49+HZ48</f>
        <v>0</v>
      </c>
      <c r="IA49" s="478">
        <f t="shared" ref="IA49" si="2326">HZ49+IA48</f>
        <v>0</v>
      </c>
      <c r="IB49" s="479">
        <f t="shared" ref="IB49" si="2327">IA49+IB48</f>
        <v>0</v>
      </c>
      <c r="IC49" s="477">
        <f t="shared" ref="IC49" si="2328">IB49+IC48</f>
        <v>0</v>
      </c>
      <c r="ID49" s="477">
        <f t="shared" ref="ID49" si="2329">IC49+ID48</f>
        <v>0</v>
      </c>
      <c r="IE49" s="478">
        <f t="shared" ref="IE49" si="2330">ID49+IE48</f>
        <v>0</v>
      </c>
      <c r="IF49" s="479">
        <f t="shared" ref="IF49" si="2331">IE49+IF48</f>
        <v>0</v>
      </c>
      <c r="IG49" s="477">
        <f t="shared" ref="IG49" si="2332">IF49+IG48</f>
        <v>0</v>
      </c>
      <c r="IH49" s="477">
        <f t="shared" ref="IH49" si="2333">IG49+IH48</f>
        <v>0</v>
      </c>
      <c r="II49" s="477">
        <f t="shared" ref="II49" si="2334">IH49+II48</f>
        <v>0</v>
      </c>
      <c r="IJ49" s="480">
        <f t="shared" ref="IJ49" si="2335">II49+IJ48</f>
        <v>0</v>
      </c>
      <c r="IK49" s="476">
        <f t="shared" ref="IK49" si="2336">IJ49+IK48</f>
        <v>0</v>
      </c>
      <c r="IL49" s="477">
        <f t="shared" ref="IL49" si="2337">IK49+IL48</f>
        <v>0</v>
      </c>
      <c r="IM49" s="477">
        <f t="shared" ref="IM49" si="2338">IL49+IM48</f>
        <v>0</v>
      </c>
      <c r="IN49" s="478">
        <f t="shared" ref="IN49" si="2339">IM49+IN48</f>
        <v>0</v>
      </c>
      <c r="IO49" s="498">
        <f t="shared" ref="IO49" si="2340">IN49+IO48</f>
        <v>0</v>
      </c>
      <c r="IP49" s="466">
        <f t="shared" ref="IP49" si="2341">IO49+IP48</f>
        <v>0</v>
      </c>
      <c r="IQ49" s="466">
        <f t="shared" ref="IQ49" si="2342">IP49+IQ48</f>
        <v>0</v>
      </c>
      <c r="IR49" s="500">
        <f t="shared" ref="IR49" si="2343">IQ49+IR48</f>
        <v>0</v>
      </c>
      <c r="IS49" s="498">
        <f t="shared" ref="IS49" si="2344">IR49+IS48</f>
        <v>0</v>
      </c>
      <c r="IT49" s="466">
        <f t="shared" ref="IT49" si="2345">IS49+IT48</f>
        <v>0</v>
      </c>
      <c r="IU49" s="466">
        <f t="shared" ref="IU49" si="2346">IT49+IU48</f>
        <v>0</v>
      </c>
      <c r="IV49" s="465">
        <f t="shared" ref="IV49:IW49" si="2347">IU49+IV48</f>
        <v>0</v>
      </c>
      <c r="IW49" s="498">
        <f t="shared" si="2347"/>
        <v>0</v>
      </c>
      <c r="IX49" s="544">
        <f t="shared" ref="IX49" si="2348">IW49+IX48</f>
        <v>0</v>
      </c>
      <c r="IY49" s="466">
        <f t="shared" ref="IY49" si="2349">IX49+IY48</f>
        <v>0</v>
      </c>
      <c r="IZ49" s="465">
        <f t="shared" ref="IZ49" si="2350">IY49+IZ48</f>
        <v>0</v>
      </c>
      <c r="JA49" s="500">
        <f t="shared" ref="JA49" si="2351">IZ49+JA48</f>
        <v>0</v>
      </c>
      <c r="JB49" s="498">
        <f t="shared" ref="JB49" si="2352">JA49+JB48</f>
        <v>0</v>
      </c>
      <c r="JC49" s="466">
        <f t="shared" ref="JC49" si="2353">JB49+JC48</f>
        <v>0</v>
      </c>
      <c r="JD49" s="466">
        <f t="shared" ref="JD49" si="2354">JC49+JD48</f>
        <v>0</v>
      </c>
      <c r="JE49" s="500">
        <f t="shared" ref="JE49" si="2355">JD49+JE48</f>
        <v>0</v>
      </c>
      <c r="JF49" s="498">
        <f t="shared" ref="JF49" si="2356">JE49+JF48</f>
        <v>0</v>
      </c>
      <c r="JG49" s="466">
        <f t="shared" ref="JG49" si="2357">JF49+JG48</f>
        <v>0</v>
      </c>
      <c r="JH49" s="466">
        <f t="shared" ref="JH49" si="2358">JG49+JH48</f>
        <v>0</v>
      </c>
      <c r="JI49" s="500">
        <f t="shared" ref="JI49" si="2359">JH49+JI48</f>
        <v>0</v>
      </c>
      <c r="JJ49" s="612">
        <f t="shared" ref="JJ49" si="2360">JI49+JJ48</f>
        <v>0</v>
      </c>
      <c r="JK49" s="466">
        <f t="shared" ref="JK49" si="2361">JJ49+JK48</f>
        <v>0</v>
      </c>
      <c r="JL49" s="466">
        <f t="shared" ref="JL49" si="2362">JK49+JL48</f>
        <v>0</v>
      </c>
      <c r="JM49" s="500">
        <f t="shared" ref="JM49" si="2363">JL49+JM48</f>
        <v>0</v>
      </c>
      <c r="JN49" s="498">
        <f>JM49+JN48</f>
        <v>0</v>
      </c>
      <c r="JO49" s="466">
        <f>JN49+JO48</f>
        <v>0</v>
      </c>
      <c r="JP49" s="466">
        <f>JO49+JP48</f>
        <v>0</v>
      </c>
      <c r="JQ49" s="615">
        <f t="shared" ref="JQ49" si="2364">JP49+JQ48</f>
        <v>0</v>
      </c>
      <c r="JR49" s="500">
        <f t="shared" ref="JR49" si="2365">JQ49+JR48</f>
        <v>0</v>
      </c>
      <c r="JS49" s="498">
        <f>JR49+JS48</f>
        <v>1</v>
      </c>
      <c r="JT49" s="466">
        <f>JS49+JT48</f>
        <v>1</v>
      </c>
      <c r="JU49" s="466">
        <f>JT49+JU48</f>
        <v>1</v>
      </c>
      <c r="JV49" s="500">
        <f t="shared" ref="JV49" si="2366">JU49+JV48</f>
        <v>1</v>
      </c>
      <c r="JW49" s="498">
        <f>JV49+JW48</f>
        <v>1</v>
      </c>
      <c r="JX49" s="466">
        <f>JW49+JX48</f>
        <v>1</v>
      </c>
      <c r="JY49" s="466">
        <f>JX49+JY48</f>
        <v>1</v>
      </c>
      <c r="JZ49" s="500">
        <f t="shared" ref="JZ49:KE49" si="2367">JY49+JZ48</f>
        <v>1</v>
      </c>
      <c r="KA49" s="498">
        <f t="shared" si="2367"/>
        <v>1</v>
      </c>
      <c r="KB49" s="466">
        <f t="shared" si="2367"/>
        <v>1</v>
      </c>
      <c r="KC49" s="466">
        <f t="shared" si="2367"/>
        <v>1</v>
      </c>
      <c r="KD49" s="465">
        <f t="shared" si="2367"/>
        <v>1</v>
      </c>
      <c r="KE49" s="500">
        <f t="shared" si="2367"/>
        <v>1</v>
      </c>
      <c r="KF49" s="498">
        <f t="shared" ref="KF49" si="2368">KE49+KF48</f>
        <v>1</v>
      </c>
      <c r="KG49" s="466">
        <f t="shared" ref="KG49" si="2369">KF49+KG48</f>
        <v>1</v>
      </c>
      <c r="KH49" s="466">
        <f t="shared" ref="KH49" si="2370">KG49+KH48</f>
        <v>1</v>
      </c>
      <c r="KI49" s="500">
        <f t="shared" ref="KI49" si="2371">KH49+KI48</f>
        <v>1</v>
      </c>
      <c r="KJ49" s="612">
        <f t="shared" ref="KJ49" si="2372">KI49+KJ48</f>
        <v>1</v>
      </c>
      <c r="KK49" s="466">
        <f t="shared" ref="KK49" si="2373">KJ49+KK48</f>
        <v>1</v>
      </c>
      <c r="KL49" s="466">
        <f t="shared" ref="KL49:KM49" si="2374">KK49+KL48</f>
        <v>1</v>
      </c>
      <c r="KM49" s="466">
        <f t="shared" si="2374"/>
        <v>1</v>
      </c>
      <c r="KN49" s="500">
        <f t="shared" ref="KN49" si="2375">KL49+KN48</f>
        <v>1</v>
      </c>
    </row>
    <row r="50" spans="1:300" ht="36.75" customHeight="1">
      <c r="A50" s="545" t="s">
        <v>12</v>
      </c>
      <c r="B50" s="546"/>
      <c r="C50" s="547"/>
      <c r="D50" s="547"/>
      <c r="E50" s="547"/>
      <c r="F50" s="547"/>
      <c r="G50" s="548" t="s">
        <v>17</v>
      </c>
      <c r="H50" s="549">
        <v>4630</v>
      </c>
      <c r="I50" s="549">
        <f t="shared" ref="I50:Q50" si="2376">SUMIF($G$20:$G$23,$G$50,I20:I23)</f>
        <v>540</v>
      </c>
      <c r="J50" s="549">
        <f t="shared" si="2376"/>
        <v>290</v>
      </c>
      <c r="K50" s="549">
        <f t="shared" si="2376"/>
        <v>610</v>
      </c>
      <c r="L50" s="549">
        <f t="shared" si="2376"/>
        <v>500</v>
      </c>
      <c r="M50" s="549">
        <f t="shared" si="2376"/>
        <v>800</v>
      </c>
      <c r="N50" s="550">
        <f t="shared" si="2376"/>
        <v>860</v>
      </c>
      <c r="O50" s="549">
        <f t="shared" si="2376"/>
        <v>780</v>
      </c>
      <c r="P50" s="549">
        <f t="shared" si="2376"/>
        <v>1460</v>
      </c>
      <c r="Q50" s="549">
        <f t="shared" si="2376"/>
        <v>620</v>
      </c>
      <c r="R50" s="550">
        <f t="shared" ref="R50:AC50" si="2377">SUMIF($G$20:$G$25,$G$50,R20:R25)</f>
        <v>500</v>
      </c>
      <c r="S50" s="550">
        <f t="shared" si="2377"/>
        <v>560</v>
      </c>
      <c r="T50" s="550">
        <f t="shared" si="2377"/>
        <v>580</v>
      </c>
      <c r="U50" s="550">
        <f t="shared" si="2377"/>
        <v>1490</v>
      </c>
      <c r="V50" s="550">
        <f t="shared" si="2377"/>
        <v>1420</v>
      </c>
      <c r="W50" s="549">
        <f t="shared" si="2377"/>
        <v>1220</v>
      </c>
      <c r="X50" s="549">
        <f t="shared" si="2377"/>
        <v>1240</v>
      </c>
      <c r="Y50" s="549">
        <f t="shared" si="2377"/>
        <v>1360</v>
      </c>
      <c r="Z50" s="549">
        <f t="shared" si="2377"/>
        <v>1310</v>
      </c>
      <c r="AA50" s="549">
        <f t="shared" si="2377"/>
        <v>1170</v>
      </c>
      <c r="AB50" s="549">
        <f t="shared" si="2377"/>
        <v>1270</v>
      </c>
      <c r="AC50" s="551">
        <f t="shared" si="2377"/>
        <v>1050</v>
      </c>
      <c r="AD50" s="551">
        <f>SUMIF($G$20:$G$25,$G$50,AD20:AD49)</f>
        <v>890</v>
      </c>
      <c r="AE50" s="551">
        <f t="shared" ref="AE50:BO50" si="2378">SUMIF($G$20:$G$49,$G$50,AE20:AE49)</f>
        <v>1020</v>
      </c>
      <c r="AF50" s="551">
        <f t="shared" si="2378"/>
        <v>874</v>
      </c>
      <c r="AG50" s="551">
        <f t="shared" si="2378"/>
        <v>736</v>
      </c>
      <c r="AH50" s="551">
        <f t="shared" si="2378"/>
        <v>1100</v>
      </c>
      <c r="AI50" s="551">
        <f t="shared" si="2378"/>
        <v>1000</v>
      </c>
      <c r="AJ50" s="551">
        <f t="shared" si="2378"/>
        <v>1150</v>
      </c>
      <c r="AK50" s="549">
        <f t="shared" si="2378"/>
        <v>1434</v>
      </c>
      <c r="AL50" s="549">
        <f t="shared" si="2378"/>
        <v>828</v>
      </c>
      <c r="AM50" s="552">
        <f t="shared" si="2378"/>
        <v>2082</v>
      </c>
      <c r="AN50" s="553">
        <f t="shared" si="2378"/>
        <v>3264</v>
      </c>
      <c r="AO50" s="554">
        <f t="shared" si="2378"/>
        <v>3216</v>
      </c>
      <c r="AP50" s="552">
        <f t="shared" si="2378"/>
        <v>3288</v>
      </c>
      <c r="AQ50" s="555">
        <f t="shared" si="2378"/>
        <v>3684</v>
      </c>
      <c r="AR50" s="555">
        <f t="shared" si="2378"/>
        <v>3480</v>
      </c>
      <c r="AS50" s="555">
        <f t="shared" si="2378"/>
        <v>3222</v>
      </c>
      <c r="AT50" s="555">
        <f t="shared" si="2378"/>
        <v>1362</v>
      </c>
      <c r="AU50" s="555">
        <f t="shared" si="2378"/>
        <v>1860</v>
      </c>
      <c r="AV50" s="556">
        <f t="shared" si="2378"/>
        <v>1740</v>
      </c>
      <c r="AW50" s="556">
        <f t="shared" si="2378"/>
        <v>1554</v>
      </c>
      <c r="AX50" s="556">
        <f t="shared" si="2378"/>
        <v>2262</v>
      </c>
      <c r="AY50" s="557">
        <f t="shared" si="2378"/>
        <v>3678</v>
      </c>
      <c r="AZ50" s="556">
        <f t="shared" si="2378"/>
        <v>3174</v>
      </c>
      <c r="BA50" s="556">
        <f t="shared" si="2378"/>
        <v>4440</v>
      </c>
      <c r="BB50" s="556">
        <f t="shared" si="2378"/>
        <v>3210</v>
      </c>
      <c r="BC50" s="556">
        <f t="shared" si="2378"/>
        <v>2976</v>
      </c>
      <c r="BD50" s="556">
        <f t="shared" si="2378"/>
        <v>3352</v>
      </c>
      <c r="BE50" s="556">
        <f t="shared" ref="BE50:BF50" si="2379">SUMIF($G$20:$G$49,$G$50,BE20:BE49)</f>
        <v>2478</v>
      </c>
      <c r="BF50" s="556">
        <f t="shared" si="2379"/>
        <v>529</v>
      </c>
      <c r="BG50" s="556">
        <f t="shared" ref="BG50" si="2380">SUMIF($G$20:$G$49,$G$50,BG20:BG49)</f>
        <v>1386</v>
      </c>
      <c r="BH50" s="556">
        <f>SUMIF($G$20:$G$49,$G$50,BH20:BH49)</f>
        <v>1908</v>
      </c>
      <c r="BI50" s="556">
        <f>SUMIF($G$20:$G$49,$G$50,BI20:BI49)</f>
        <v>2052</v>
      </c>
      <c r="BJ50" s="556">
        <f>SUMIF($G$20:$G$49,$G$50,BJ20:BJ49)</f>
        <v>2286</v>
      </c>
      <c r="BK50" s="555">
        <f t="shared" si="2378"/>
        <v>1400</v>
      </c>
      <c r="BL50" s="555">
        <f t="shared" si="2378"/>
        <v>460</v>
      </c>
      <c r="BM50" s="555">
        <f t="shared" si="2378"/>
        <v>460</v>
      </c>
      <c r="BN50" s="555">
        <f t="shared" si="2378"/>
        <v>460</v>
      </c>
      <c r="BO50" s="555">
        <f t="shared" si="2378"/>
        <v>280</v>
      </c>
      <c r="BP50" s="555">
        <f t="shared" ref="BP50:CU50" si="2381">SUMIF($G$20:$G$49,$G$50,BP20:BP49)</f>
        <v>280</v>
      </c>
      <c r="BQ50" s="555">
        <f t="shared" si="2381"/>
        <v>260</v>
      </c>
      <c r="BR50" s="555">
        <f t="shared" si="2381"/>
        <v>260</v>
      </c>
      <c r="BS50" s="555">
        <f t="shared" si="2381"/>
        <v>160</v>
      </c>
      <c r="BT50" s="555">
        <f t="shared" si="2381"/>
        <v>140</v>
      </c>
      <c r="BU50" s="555">
        <f t="shared" si="2381"/>
        <v>140</v>
      </c>
      <c r="BV50" s="555">
        <f t="shared" si="2381"/>
        <v>140</v>
      </c>
      <c r="BW50" s="555">
        <f t="shared" si="2381"/>
        <v>0</v>
      </c>
      <c r="BX50" s="555">
        <f t="shared" si="2381"/>
        <v>160</v>
      </c>
      <c r="BY50" s="555">
        <f t="shared" si="2381"/>
        <v>150</v>
      </c>
      <c r="BZ50" s="555">
        <f t="shared" si="2381"/>
        <v>150</v>
      </c>
      <c r="CA50" s="555">
        <f t="shared" si="2381"/>
        <v>150</v>
      </c>
      <c r="CB50" s="555">
        <f t="shared" si="2381"/>
        <v>120</v>
      </c>
      <c r="CC50" s="555">
        <f t="shared" si="2381"/>
        <v>120</v>
      </c>
      <c r="CD50" s="555">
        <f t="shared" si="2381"/>
        <v>130</v>
      </c>
      <c r="CE50" s="555">
        <f t="shared" si="2381"/>
        <v>130</v>
      </c>
      <c r="CF50" s="555">
        <f t="shared" si="2381"/>
        <v>340</v>
      </c>
      <c r="CG50" s="555">
        <f t="shared" si="2381"/>
        <v>340</v>
      </c>
      <c r="CH50" s="555">
        <f t="shared" si="2381"/>
        <v>0</v>
      </c>
      <c r="CI50" s="555">
        <f t="shared" si="2381"/>
        <v>340</v>
      </c>
      <c r="CJ50" s="555">
        <f t="shared" si="2381"/>
        <v>340</v>
      </c>
      <c r="CK50" s="555">
        <f t="shared" si="2381"/>
        <v>360</v>
      </c>
      <c r="CL50" s="555">
        <f t="shared" si="2381"/>
        <v>360</v>
      </c>
      <c r="CM50" s="555">
        <f t="shared" si="2381"/>
        <v>350</v>
      </c>
      <c r="CN50" s="555">
        <f t="shared" si="2381"/>
        <v>340</v>
      </c>
      <c r="CO50" s="555">
        <f t="shared" si="2381"/>
        <v>300</v>
      </c>
      <c r="CP50" s="555">
        <f t="shared" si="2381"/>
        <v>300</v>
      </c>
      <c r="CQ50" s="555">
        <f t="shared" si="2381"/>
        <v>290</v>
      </c>
      <c r="CR50" s="555">
        <f t="shared" si="2381"/>
        <v>290</v>
      </c>
      <c r="CS50" s="555">
        <f t="shared" si="2381"/>
        <v>430</v>
      </c>
      <c r="CT50" s="555">
        <f t="shared" si="2381"/>
        <v>420</v>
      </c>
      <c r="CU50" s="555">
        <f t="shared" si="2381"/>
        <v>420</v>
      </c>
      <c r="CV50" s="555">
        <f t="shared" ref="CV50:EA50" si="2382">SUMIF($G$20:$G$49,$G$50,CV20:CV49)</f>
        <v>420</v>
      </c>
      <c r="CW50" s="555">
        <f t="shared" si="2382"/>
        <v>420</v>
      </c>
      <c r="CX50" s="555">
        <f t="shared" si="2382"/>
        <v>280</v>
      </c>
      <c r="CY50" s="555">
        <f t="shared" si="2382"/>
        <v>280</v>
      </c>
      <c r="CZ50" s="555">
        <f t="shared" si="2382"/>
        <v>300</v>
      </c>
      <c r="DA50" s="555">
        <f t="shared" si="2382"/>
        <v>300</v>
      </c>
      <c r="DB50" s="555">
        <f t="shared" si="2382"/>
        <v>120</v>
      </c>
      <c r="DC50" s="555">
        <f t="shared" si="2382"/>
        <v>120</v>
      </c>
      <c r="DD50" s="555">
        <f t="shared" si="2382"/>
        <v>130</v>
      </c>
      <c r="DE50" s="555">
        <f t="shared" si="2382"/>
        <v>0</v>
      </c>
      <c r="DF50" s="555">
        <f t="shared" si="2382"/>
        <v>130</v>
      </c>
      <c r="DG50" s="555">
        <f t="shared" si="2382"/>
        <v>0</v>
      </c>
      <c r="DH50" s="555">
        <f t="shared" si="2382"/>
        <v>190</v>
      </c>
      <c r="DI50" s="555">
        <f t="shared" si="2382"/>
        <v>190</v>
      </c>
      <c r="DJ50" s="555">
        <f t="shared" si="2382"/>
        <v>180</v>
      </c>
      <c r="DK50" s="555">
        <f t="shared" si="2382"/>
        <v>120</v>
      </c>
      <c r="DL50" s="555">
        <f t="shared" si="2382"/>
        <v>160</v>
      </c>
      <c r="DM50" s="555">
        <f t="shared" si="2382"/>
        <v>150</v>
      </c>
      <c r="DN50" s="555">
        <f t="shared" si="2382"/>
        <v>150</v>
      </c>
      <c r="DO50" s="555">
        <f t="shared" si="2382"/>
        <v>370</v>
      </c>
      <c r="DP50" s="555">
        <f t="shared" si="2382"/>
        <v>380</v>
      </c>
      <c r="DQ50" s="555">
        <f t="shared" si="2382"/>
        <v>370</v>
      </c>
      <c r="DR50" s="555">
        <f t="shared" si="2382"/>
        <v>370</v>
      </c>
      <c r="DS50" s="555">
        <f t="shared" si="2382"/>
        <v>350</v>
      </c>
      <c r="DT50" s="555">
        <f t="shared" si="2382"/>
        <v>350</v>
      </c>
      <c r="DU50" s="555">
        <f t="shared" si="2382"/>
        <v>360</v>
      </c>
      <c r="DV50" s="555">
        <f t="shared" si="2382"/>
        <v>0</v>
      </c>
      <c r="DW50" s="555">
        <f t="shared" si="2382"/>
        <v>360</v>
      </c>
      <c r="DX50" s="555">
        <f t="shared" si="2382"/>
        <v>300</v>
      </c>
      <c r="DY50" s="555">
        <f t="shared" si="2382"/>
        <v>320</v>
      </c>
      <c r="DZ50" s="555">
        <f t="shared" si="2382"/>
        <v>300</v>
      </c>
      <c r="EA50" s="555">
        <f t="shared" si="2382"/>
        <v>300</v>
      </c>
      <c r="EB50" s="555">
        <f t="shared" ref="EB50:FG50" si="2383">SUMIF($G$20:$G$49,$G$50,EB20:EB49)</f>
        <v>300</v>
      </c>
      <c r="EC50" s="555">
        <f t="shared" si="2383"/>
        <v>310</v>
      </c>
      <c r="ED50" s="555">
        <f t="shared" si="2383"/>
        <v>310</v>
      </c>
      <c r="EE50" s="555">
        <f t="shared" si="2383"/>
        <v>320</v>
      </c>
      <c r="EF50" s="555">
        <f t="shared" si="2383"/>
        <v>330</v>
      </c>
      <c r="EG50" s="555">
        <f t="shared" si="2383"/>
        <v>340</v>
      </c>
      <c r="EH50" s="555">
        <f t="shared" si="2383"/>
        <v>2</v>
      </c>
      <c r="EI50" s="555">
        <f t="shared" si="2383"/>
        <v>340</v>
      </c>
      <c r="EJ50" s="555">
        <f t="shared" si="2383"/>
        <v>350</v>
      </c>
      <c r="EK50" s="555">
        <f t="shared" si="2383"/>
        <v>320</v>
      </c>
      <c r="EL50" s="555">
        <f t="shared" si="2383"/>
        <v>330</v>
      </c>
      <c r="EM50" s="555">
        <f t="shared" si="2383"/>
        <v>320</v>
      </c>
      <c r="EN50" s="555">
        <f t="shared" si="2383"/>
        <v>340</v>
      </c>
      <c r="EO50" s="555">
        <f t="shared" si="2383"/>
        <v>250</v>
      </c>
      <c r="EP50" s="555">
        <f t="shared" si="2383"/>
        <v>250</v>
      </c>
      <c r="EQ50" s="555">
        <f t="shared" si="2383"/>
        <v>230</v>
      </c>
      <c r="ER50" s="555">
        <f t="shared" si="2383"/>
        <v>220</v>
      </c>
      <c r="ES50" s="555">
        <f t="shared" si="2383"/>
        <v>220</v>
      </c>
      <c r="ET50" s="555">
        <f t="shared" si="2383"/>
        <v>330</v>
      </c>
      <c r="EU50" s="555">
        <f t="shared" si="2383"/>
        <v>320</v>
      </c>
      <c r="EV50" s="555">
        <f t="shared" si="2383"/>
        <v>310</v>
      </c>
      <c r="EW50" s="555">
        <f t="shared" si="2383"/>
        <v>310</v>
      </c>
      <c r="EX50" s="555">
        <f t="shared" si="2383"/>
        <v>280</v>
      </c>
      <c r="EY50" s="555">
        <f t="shared" si="2383"/>
        <v>260</v>
      </c>
      <c r="EZ50" s="555">
        <f t="shared" si="2383"/>
        <v>260</v>
      </c>
      <c r="FA50" s="555">
        <f t="shared" si="2383"/>
        <v>250</v>
      </c>
      <c r="FB50" s="555">
        <f t="shared" si="2383"/>
        <v>190</v>
      </c>
      <c r="FC50" s="555">
        <f t="shared" si="2383"/>
        <v>210</v>
      </c>
      <c r="FD50" s="555">
        <f t="shared" si="2383"/>
        <v>210</v>
      </c>
      <c r="FE50" s="555">
        <f t="shared" si="2383"/>
        <v>180</v>
      </c>
      <c r="FF50" s="555">
        <f t="shared" si="2383"/>
        <v>100</v>
      </c>
      <c r="FG50" s="555">
        <f t="shared" si="2383"/>
        <v>340</v>
      </c>
      <c r="FH50" s="555">
        <f t="shared" ref="FH50:GM50" si="2384">SUMIF($G$20:$G$49,$G$50,FH20:FH49)</f>
        <v>340</v>
      </c>
      <c r="FI50" s="555">
        <f t="shared" si="2384"/>
        <v>340</v>
      </c>
      <c r="FJ50" s="555">
        <f t="shared" si="2384"/>
        <v>0</v>
      </c>
      <c r="FK50" s="555">
        <f t="shared" si="2384"/>
        <v>220</v>
      </c>
      <c r="FL50" s="555">
        <f t="shared" si="2384"/>
        <v>224</v>
      </c>
      <c r="FM50" s="555">
        <f t="shared" si="2384"/>
        <v>230</v>
      </c>
      <c r="FN50" s="555">
        <f t="shared" si="2384"/>
        <v>200</v>
      </c>
      <c r="FO50" s="555">
        <f t="shared" si="2384"/>
        <v>190</v>
      </c>
      <c r="FP50" s="555">
        <f t="shared" si="2384"/>
        <v>210</v>
      </c>
      <c r="FQ50" s="555">
        <f t="shared" si="2384"/>
        <v>180</v>
      </c>
      <c r="FR50" s="555">
        <f t="shared" si="2384"/>
        <v>156</v>
      </c>
      <c r="FS50" s="555">
        <f t="shared" si="2384"/>
        <v>310</v>
      </c>
      <c r="FT50" s="555">
        <f t="shared" si="2384"/>
        <v>0</v>
      </c>
      <c r="FU50" s="555">
        <f t="shared" si="2384"/>
        <v>290</v>
      </c>
      <c r="FV50" s="555">
        <f t="shared" si="2384"/>
        <v>210</v>
      </c>
      <c r="FW50" s="555">
        <f t="shared" si="2384"/>
        <v>290</v>
      </c>
      <c r="FX50" s="555">
        <f t="shared" si="2384"/>
        <v>300</v>
      </c>
      <c r="FY50" s="555">
        <f t="shared" si="2384"/>
        <v>300</v>
      </c>
      <c r="FZ50" s="555">
        <f t="shared" si="2384"/>
        <v>260</v>
      </c>
      <c r="GA50" s="555">
        <f t="shared" si="2384"/>
        <v>140</v>
      </c>
      <c r="GB50" s="555">
        <f t="shared" si="2384"/>
        <v>290</v>
      </c>
      <c r="GC50" s="555">
        <f t="shared" si="2384"/>
        <v>270</v>
      </c>
      <c r="GD50" s="555">
        <f t="shared" si="2384"/>
        <v>320</v>
      </c>
      <c r="GE50" s="555">
        <f t="shared" si="2384"/>
        <v>270</v>
      </c>
      <c r="GF50" s="555">
        <f t="shared" si="2384"/>
        <v>382</v>
      </c>
      <c r="GG50" s="555">
        <f t="shared" si="2384"/>
        <v>354</v>
      </c>
      <c r="GH50" s="555">
        <f t="shared" si="2384"/>
        <v>350</v>
      </c>
      <c r="GI50" s="555">
        <f t="shared" si="2384"/>
        <v>0</v>
      </c>
      <c r="GJ50" s="555">
        <f t="shared" si="2384"/>
        <v>348</v>
      </c>
      <c r="GK50" s="555">
        <f t="shared" si="2384"/>
        <v>228</v>
      </c>
      <c r="GL50" s="555">
        <f t="shared" si="2384"/>
        <v>204</v>
      </c>
      <c r="GM50" s="555">
        <f t="shared" si="2384"/>
        <v>174</v>
      </c>
      <c r="GN50" s="555">
        <f t="shared" ref="GN50:HS50" si="2385">SUMIF($G$20:$G$49,$G$50,GN20:GN49)</f>
        <v>222</v>
      </c>
      <c r="GO50" s="555">
        <f t="shared" si="2385"/>
        <v>528</v>
      </c>
      <c r="GP50" s="555">
        <f t="shared" si="2385"/>
        <v>501</v>
      </c>
      <c r="GQ50" s="555">
        <f t="shared" si="2385"/>
        <v>351</v>
      </c>
      <c r="GR50" s="555">
        <f t="shared" si="2385"/>
        <v>351</v>
      </c>
      <c r="GS50" s="555">
        <f t="shared" si="2385"/>
        <v>351</v>
      </c>
      <c r="GT50" s="555">
        <f t="shared" si="2385"/>
        <v>834</v>
      </c>
      <c r="GU50" s="555">
        <f t="shared" si="2385"/>
        <v>828</v>
      </c>
      <c r="GV50" s="555">
        <f t="shared" si="2385"/>
        <v>810</v>
      </c>
      <c r="GW50" s="555">
        <f t="shared" si="2385"/>
        <v>792</v>
      </c>
      <c r="GX50" s="555">
        <f t="shared" si="2385"/>
        <v>834</v>
      </c>
      <c r="GY50" s="555">
        <f t="shared" si="2385"/>
        <v>798</v>
      </c>
      <c r="GZ50" s="555">
        <f t="shared" si="2385"/>
        <v>798</v>
      </c>
      <c r="HA50" s="555">
        <f t="shared" si="2385"/>
        <v>786</v>
      </c>
      <c r="HB50" s="555">
        <f t="shared" si="2385"/>
        <v>684</v>
      </c>
      <c r="HC50" s="555">
        <f t="shared" si="2385"/>
        <v>660</v>
      </c>
      <c r="HD50" s="555">
        <f t="shared" si="2385"/>
        <v>654</v>
      </c>
      <c r="HE50" s="555">
        <f t="shared" si="2385"/>
        <v>648</v>
      </c>
      <c r="HF50" s="555">
        <f t="shared" si="2385"/>
        <v>642</v>
      </c>
      <c r="HG50" s="555">
        <f t="shared" si="2385"/>
        <v>1248</v>
      </c>
      <c r="HH50" s="555">
        <f t="shared" si="2385"/>
        <v>0</v>
      </c>
      <c r="HI50" s="555">
        <f t="shared" si="2385"/>
        <v>1230</v>
      </c>
      <c r="HJ50" s="555">
        <f t="shared" si="2385"/>
        <v>1206</v>
      </c>
      <c r="HK50" s="555">
        <f t="shared" si="2385"/>
        <v>906</v>
      </c>
      <c r="HL50" s="555">
        <f t="shared" si="2385"/>
        <v>870</v>
      </c>
      <c r="HM50" s="555">
        <f t="shared" si="2385"/>
        <v>858</v>
      </c>
      <c r="HN50" s="555">
        <f t="shared" si="2385"/>
        <v>846</v>
      </c>
      <c r="HO50" s="555">
        <f t="shared" si="2385"/>
        <v>828</v>
      </c>
      <c r="HP50" s="555">
        <f t="shared" si="2385"/>
        <v>810</v>
      </c>
      <c r="HQ50" s="555">
        <f t="shared" si="2385"/>
        <v>792</v>
      </c>
      <c r="HR50" s="555">
        <f t="shared" si="2385"/>
        <v>792</v>
      </c>
      <c r="HS50" s="555">
        <f t="shared" si="2385"/>
        <v>360</v>
      </c>
      <c r="HT50" s="555">
        <f t="shared" ref="HT50:IA50" si="2386">SUMIF($G$20:$G$49,$G$50,HT20:HT49)</f>
        <v>354</v>
      </c>
      <c r="HU50" s="555">
        <f t="shared" si="2386"/>
        <v>324</v>
      </c>
      <c r="HV50" s="555">
        <f t="shared" si="2386"/>
        <v>324</v>
      </c>
      <c r="HW50" s="555">
        <f t="shared" si="2386"/>
        <v>0</v>
      </c>
      <c r="HX50" s="555">
        <f t="shared" si="2386"/>
        <v>492</v>
      </c>
      <c r="HY50" s="555">
        <f t="shared" si="2386"/>
        <v>468</v>
      </c>
      <c r="HZ50" s="555">
        <f t="shared" si="2386"/>
        <v>462</v>
      </c>
      <c r="IA50" s="555">
        <f t="shared" si="2386"/>
        <v>438</v>
      </c>
      <c r="IB50" s="553">
        <f t="shared" ref="IB50:JR50" ca="1" si="2387">SUMIF($G$20:$AD$49,$G$50,IB20:IB49)</f>
        <v>474</v>
      </c>
      <c r="IC50" s="552">
        <f t="shared" ca="1" si="2387"/>
        <v>438</v>
      </c>
      <c r="ID50" s="552">
        <f t="shared" ca="1" si="2387"/>
        <v>420</v>
      </c>
      <c r="IE50" s="558">
        <f t="shared" ca="1" si="2387"/>
        <v>408</v>
      </c>
      <c r="IF50" s="553">
        <f t="shared" ca="1" si="2387"/>
        <v>354</v>
      </c>
      <c r="IG50" s="552">
        <f t="shared" ca="1" si="2387"/>
        <v>324</v>
      </c>
      <c r="IH50" s="552">
        <f t="shared" ca="1" si="2387"/>
        <v>300</v>
      </c>
      <c r="II50" s="552">
        <f t="shared" ca="1" si="2387"/>
        <v>294</v>
      </c>
      <c r="IJ50" s="551">
        <f t="shared" ca="1" si="2387"/>
        <v>282</v>
      </c>
      <c r="IK50" s="559">
        <f t="shared" ca="1" si="2387"/>
        <v>0</v>
      </c>
      <c r="IL50" s="552">
        <f t="shared" ca="1" si="2387"/>
        <v>738</v>
      </c>
      <c r="IM50" s="552">
        <f t="shared" ca="1" si="2387"/>
        <v>690</v>
      </c>
      <c r="IN50" s="558">
        <f t="shared" ca="1" si="2387"/>
        <v>834</v>
      </c>
      <c r="IO50" s="553">
        <f t="shared" ca="1" si="2387"/>
        <v>1104</v>
      </c>
      <c r="IP50" s="552">
        <f t="shared" ca="1" si="2387"/>
        <v>1086</v>
      </c>
      <c r="IQ50" s="552">
        <f t="shared" ca="1" si="2387"/>
        <v>756</v>
      </c>
      <c r="IR50" s="558">
        <f t="shared" ca="1" si="2387"/>
        <v>732</v>
      </c>
      <c r="IS50" s="559">
        <f t="shared" ca="1" si="2387"/>
        <v>894</v>
      </c>
      <c r="IT50" s="552">
        <f t="shared" ca="1" si="2387"/>
        <v>960</v>
      </c>
      <c r="IU50" s="552">
        <f t="shared" ca="1" si="2387"/>
        <v>660</v>
      </c>
      <c r="IV50" s="551">
        <f t="shared" ca="1" si="2387"/>
        <v>660</v>
      </c>
      <c r="IW50" s="559">
        <f t="shared" ca="1" si="2387"/>
        <v>960</v>
      </c>
      <c r="IX50" s="553">
        <f t="shared" ca="1" si="2387"/>
        <v>960</v>
      </c>
      <c r="IY50" s="552">
        <f t="shared" ca="1" si="2387"/>
        <v>1002</v>
      </c>
      <c r="IZ50" s="551">
        <f t="shared" ca="1" si="2387"/>
        <v>702</v>
      </c>
      <c r="JA50" s="558">
        <f t="shared" ca="1" si="2387"/>
        <v>816</v>
      </c>
      <c r="JB50" s="616">
        <f t="shared" ca="1" si="2387"/>
        <v>840</v>
      </c>
      <c r="JC50" s="550">
        <f t="shared" ca="1" si="2387"/>
        <v>810</v>
      </c>
      <c r="JD50" s="550">
        <f t="shared" ca="1" si="2387"/>
        <v>792</v>
      </c>
      <c r="JE50" s="617">
        <f t="shared" ca="1" si="2387"/>
        <v>768</v>
      </c>
      <c r="JF50" s="559">
        <f t="shared" ca="1" si="2387"/>
        <v>816</v>
      </c>
      <c r="JG50" s="552">
        <f t="shared" ca="1" si="2387"/>
        <v>750</v>
      </c>
      <c r="JH50" s="552">
        <f t="shared" ca="1" si="2387"/>
        <v>708</v>
      </c>
      <c r="JI50" s="558">
        <f t="shared" ca="1" si="2387"/>
        <v>702</v>
      </c>
      <c r="JJ50" s="559">
        <f t="shared" ca="1" si="2387"/>
        <v>0</v>
      </c>
      <c r="JK50" s="552">
        <f t="shared" ca="1" si="2387"/>
        <v>1174</v>
      </c>
      <c r="JL50" s="552">
        <f t="shared" ca="1" si="2387"/>
        <v>1134</v>
      </c>
      <c r="JM50" s="558">
        <f t="shared" ca="1" si="2387"/>
        <v>1044</v>
      </c>
      <c r="JN50" s="559">
        <f t="shared" ca="1" si="2387"/>
        <v>678</v>
      </c>
      <c r="JO50" s="552">
        <f t="shared" ca="1" si="2387"/>
        <v>630</v>
      </c>
      <c r="JP50" s="552">
        <f t="shared" ca="1" si="2387"/>
        <v>594</v>
      </c>
      <c r="JQ50" s="551">
        <f t="shared" ref="JQ50" ca="1" si="2388">SUMIF($G$20:$AD$49,$G$50,JQ20:JQ49)</f>
        <v>0</v>
      </c>
      <c r="JR50" s="558">
        <f t="shared" ca="1" si="2387"/>
        <v>576</v>
      </c>
      <c r="JS50" s="559">
        <f t="shared" ref="JS50:JV50" ca="1" si="2389">SUMIF($G$20:$AD$49,$G$50,JS20:JS49)</f>
        <v>157</v>
      </c>
      <c r="JT50" s="552">
        <f t="shared" ca="1" si="2389"/>
        <v>138</v>
      </c>
      <c r="JU50" s="552">
        <f t="shared" ca="1" si="2389"/>
        <v>132</v>
      </c>
      <c r="JV50" s="558">
        <f t="shared" ca="1" si="2389"/>
        <v>102</v>
      </c>
      <c r="JW50" s="559">
        <f t="shared" ref="JW50:JZ50" ca="1" si="2390">SUMIF($G$20:$AD$49,$G$50,JW20:JW49)</f>
        <v>420</v>
      </c>
      <c r="JX50" s="552">
        <f t="shared" ca="1" si="2390"/>
        <v>378</v>
      </c>
      <c r="JY50" s="552">
        <f t="shared" ca="1" si="2390"/>
        <v>294</v>
      </c>
      <c r="JZ50" s="558">
        <f t="shared" ca="1" si="2390"/>
        <v>294</v>
      </c>
      <c r="KA50" s="559">
        <f t="shared" ref="KA50:KE50" ca="1" si="2391">SUMIF($G$20:$AD$49,$G$50,KA20:KA49)</f>
        <v>450</v>
      </c>
      <c r="KB50" s="552">
        <f t="shared" ca="1" si="2391"/>
        <v>414</v>
      </c>
      <c r="KC50" s="552">
        <f t="shared" ca="1" si="2391"/>
        <v>360</v>
      </c>
      <c r="KD50" s="551">
        <f t="shared" ref="KD50" ca="1" si="2392">SUMIF($G$20:$AD$49,$G$50,KD20:KD49)</f>
        <v>342</v>
      </c>
      <c r="KE50" s="558">
        <f t="shared" ca="1" si="2391"/>
        <v>342</v>
      </c>
      <c r="KF50" s="559">
        <f t="shared" ref="KF50:KI50" ca="1" si="2393">SUMIF($G$20:$AD$49,$G$50,KF20:KF49)</f>
        <v>582</v>
      </c>
      <c r="KG50" s="552">
        <f t="shared" ca="1" si="2393"/>
        <v>540</v>
      </c>
      <c r="KH50" s="552">
        <f t="shared" ca="1" si="2393"/>
        <v>474</v>
      </c>
      <c r="KI50" s="558">
        <f t="shared" ca="1" si="2393"/>
        <v>456</v>
      </c>
      <c r="KJ50" s="559">
        <f t="shared" ref="KJ50:KN50" ca="1" si="2394">SUMIF($G$20:$AD$49,$G$50,KJ20:KJ49)</f>
        <v>0</v>
      </c>
      <c r="KK50" s="552">
        <f t="shared" ca="1" si="2394"/>
        <v>648</v>
      </c>
      <c r="KL50" s="552">
        <f t="shared" ca="1" si="2394"/>
        <v>606</v>
      </c>
      <c r="KM50" s="552">
        <f t="shared" ref="KM50" ca="1" si="2395">SUMIF($G$20:$AD$49,$G$50,KM20:KM49)</f>
        <v>534</v>
      </c>
      <c r="KN50" s="558">
        <f t="shared" ca="1" si="2394"/>
        <v>498</v>
      </c>
    </row>
    <row r="51" spans="1:300" ht="36.75" customHeight="1" thickBot="1">
      <c r="A51" s="560" t="s">
        <v>13</v>
      </c>
      <c r="B51" s="561" t="s">
        <v>12</v>
      </c>
      <c r="C51" s="562"/>
      <c r="D51" s="562"/>
      <c r="E51" s="562"/>
      <c r="F51" s="562"/>
      <c r="G51" s="563" t="s">
        <v>18</v>
      </c>
      <c r="H51" s="564">
        <v>51186</v>
      </c>
      <c r="I51" s="564">
        <f t="shared" ref="I51:Q51" si="2396">SUMIF($G$20:$G$23,$G$51,I20:I23)</f>
        <v>12404</v>
      </c>
      <c r="J51" s="564">
        <f t="shared" si="2396"/>
        <v>12694</v>
      </c>
      <c r="K51" s="564">
        <f t="shared" si="2396"/>
        <v>13304</v>
      </c>
      <c r="L51" s="564">
        <f t="shared" si="2396"/>
        <v>13804</v>
      </c>
      <c r="M51" s="564">
        <f t="shared" si="2396"/>
        <v>14604</v>
      </c>
      <c r="N51" s="565">
        <f t="shared" si="2396"/>
        <v>15464</v>
      </c>
      <c r="O51" s="564">
        <f t="shared" si="2396"/>
        <v>16244</v>
      </c>
      <c r="P51" s="564">
        <f t="shared" si="2396"/>
        <v>17704</v>
      </c>
      <c r="Q51" s="564">
        <f t="shared" si="2396"/>
        <v>18324</v>
      </c>
      <c r="R51" s="566">
        <f t="shared" ref="R51:AC51" si="2397">SUMIF($G$20:$G$25,$G$51,R20:R25)</f>
        <v>18824</v>
      </c>
      <c r="S51" s="566">
        <f t="shared" si="2397"/>
        <v>19384</v>
      </c>
      <c r="T51" s="566">
        <f t="shared" si="2397"/>
        <v>19964</v>
      </c>
      <c r="U51" s="566">
        <f t="shared" si="2397"/>
        <v>21454</v>
      </c>
      <c r="V51" s="566">
        <f t="shared" si="2397"/>
        <v>22874</v>
      </c>
      <c r="W51" s="567">
        <f t="shared" si="2397"/>
        <v>24094</v>
      </c>
      <c r="X51" s="567">
        <f t="shared" si="2397"/>
        <v>25334</v>
      </c>
      <c r="Y51" s="567">
        <f t="shared" si="2397"/>
        <v>26694</v>
      </c>
      <c r="Z51" s="567">
        <f t="shared" si="2397"/>
        <v>28004</v>
      </c>
      <c r="AA51" s="567">
        <f t="shared" si="2397"/>
        <v>29174</v>
      </c>
      <c r="AB51" s="567">
        <f t="shared" si="2397"/>
        <v>30444</v>
      </c>
      <c r="AC51" s="567">
        <f t="shared" si="2397"/>
        <v>31494</v>
      </c>
      <c r="AD51" s="567">
        <f t="shared" ref="AD51:AQ51" si="2398">SUMIF($G$20:$G$25,$G$51,AD20:AD49)</f>
        <v>32384</v>
      </c>
      <c r="AE51" s="567">
        <f t="shared" si="2398"/>
        <v>33404</v>
      </c>
      <c r="AF51" s="567">
        <f t="shared" si="2398"/>
        <v>34274</v>
      </c>
      <c r="AG51" s="567">
        <f t="shared" si="2398"/>
        <v>35010</v>
      </c>
      <c r="AH51" s="567">
        <f t="shared" si="2398"/>
        <v>35870</v>
      </c>
      <c r="AI51" s="567">
        <f t="shared" si="2398"/>
        <v>36732</v>
      </c>
      <c r="AJ51" s="567">
        <f t="shared" si="2398"/>
        <v>37782</v>
      </c>
      <c r="AK51" s="567">
        <f t="shared" si="2398"/>
        <v>39192</v>
      </c>
      <c r="AL51" s="567">
        <f t="shared" si="2398"/>
        <v>39954</v>
      </c>
      <c r="AM51" s="566">
        <f t="shared" si="2398"/>
        <v>40254</v>
      </c>
      <c r="AN51" s="568">
        <f t="shared" si="2398"/>
        <v>40254</v>
      </c>
      <c r="AO51" s="569">
        <f t="shared" si="2398"/>
        <v>40254</v>
      </c>
      <c r="AP51" s="566">
        <f t="shared" si="2398"/>
        <v>40254</v>
      </c>
      <c r="AQ51" s="570">
        <f t="shared" si="2398"/>
        <v>40254</v>
      </c>
      <c r="AR51" s="570">
        <f t="shared" ref="AR51:CB51" ca="1" si="2399">SUMIF($G$20:$AQ$49,$G$51,AR20:AR49)</f>
        <v>59542</v>
      </c>
      <c r="AS51" s="570">
        <f t="shared" ca="1" si="2399"/>
        <v>62764</v>
      </c>
      <c r="AT51" s="570">
        <f t="shared" ca="1" si="2399"/>
        <v>64126</v>
      </c>
      <c r="AU51" s="570">
        <f t="shared" ca="1" si="2399"/>
        <v>65986</v>
      </c>
      <c r="AV51" s="571">
        <f t="shared" ca="1" si="2399"/>
        <v>27472</v>
      </c>
      <c r="AW51" s="571">
        <f t="shared" ca="1" si="2399"/>
        <v>29026</v>
      </c>
      <c r="AX51" s="571">
        <f t="shared" ca="1" si="2399"/>
        <v>31288</v>
      </c>
      <c r="AY51" s="571">
        <f t="shared" ca="1" si="2399"/>
        <v>34966</v>
      </c>
      <c r="AZ51" s="571">
        <f t="shared" ca="1" si="2399"/>
        <v>38140</v>
      </c>
      <c r="BA51" s="571">
        <f t="shared" ca="1" si="2399"/>
        <v>42580</v>
      </c>
      <c r="BB51" s="571">
        <f t="shared" ca="1" si="2399"/>
        <v>45790</v>
      </c>
      <c r="BC51" s="571">
        <f t="shared" ca="1" si="2399"/>
        <v>48766</v>
      </c>
      <c r="BD51" s="571">
        <f t="shared" ca="1" si="2399"/>
        <v>52118</v>
      </c>
      <c r="BE51" s="571">
        <f t="shared" ref="BE51:BF51" ca="1" si="2400">SUMIF($G$20:$AQ$49,$G$51,BE20:BE49)</f>
        <v>54596</v>
      </c>
      <c r="BF51" s="571">
        <f t="shared" ca="1" si="2400"/>
        <v>55125</v>
      </c>
      <c r="BG51" s="571">
        <f t="shared" ref="BG51:BJ51" ca="1" si="2401">SUMIF($G$20:$AQ$49,$G$51,BG20:BG49)</f>
        <v>56511</v>
      </c>
      <c r="BH51" s="571">
        <f t="shared" ref="BH51:BI51" ca="1" si="2402">SUMIF($G$20:$AQ$49,$G$51,BH20:BH49)</f>
        <v>58419</v>
      </c>
      <c r="BI51" s="571">
        <f t="shared" ca="1" si="2402"/>
        <v>60471</v>
      </c>
      <c r="BJ51" s="571">
        <f t="shared" ca="1" si="2401"/>
        <v>62757</v>
      </c>
      <c r="BK51" s="570">
        <f t="shared" ca="1" si="2399"/>
        <v>22348</v>
      </c>
      <c r="BL51" s="570">
        <f t="shared" ca="1" si="2399"/>
        <v>22808</v>
      </c>
      <c r="BM51" s="570">
        <f t="shared" ca="1" si="2399"/>
        <v>23268</v>
      </c>
      <c r="BN51" s="570">
        <f t="shared" ca="1" si="2399"/>
        <v>23728</v>
      </c>
      <c r="BO51" s="570">
        <f t="shared" ca="1" si="2399"/>
        <v>24008</v>
      </c>
      <c r="BP51" s="570">
        <f t="shared" ca="1" si="2399"/>
        <v>24288</v>
      </c>
      <c r="BQ51" s="570">
        <f t="shared" ca="1" si="2399"/>
        <v>24548</v>
      </c>
      <c r="BR51" s="570">
        <f t="shared" ca="1" si="2399"/>
        <v>24808</v>
      </c>
      <c r="BS51" s="570">
        <f t="shared" ca="1" si="2399"/>
        <v>24968</v>
      </c>
      <c r="BT51" s="570">
        <f t="shared" ca="1" si="2399"/>
        <v>25108</v>
      </c>
      <c r="BU51" s="570">
        <f t="shared" ca="1" si="2399"/>
        <v>25248</v>
      </c>
      <c r="BV51" s="570">
        <f t="shared" ca="1" si="2399"/>
        <v>25388</v>
      </c>
      <c r="BW51" s="570">
        <f t="shared" ca="1" si="2399"/>
        <v>12694</v>
      </c>
      <c r="BX51" s="570">
        <f t="shared" ca="1" si="2399"/>
        <v>12854</v>
      </c>
      <c r="BY51" s="570">
        <f t="shared" ca="1" si="2399"/>
        <v>13004</v>
      </c>
      <c r="BZ51" s="570">
        <f t="shared" ca="1" si="2399"/>
        <v>13154</v>
      </c>
      <c r="CA51" s="570">
        <f t="shared" ca="1" si="2399"/>
        <v>13304</v>
      </c>
      <c r="CB51" s="570">
        <f t="shared" ca="1" si="2399"/>
        <v>13424</v>
      </c>
      <c r="CC51" s="570">
        <f t="shared" ref="CC51:DH51" ca="1" si="2403">SUMIF($G$20:$AQ$49,$G$51,CC20:CC49)</f>
        <v>13544</v>
      </c>
      <c r="CD51" s="570">
        <f t="shared" ca="1" si="2403"/>
        <v>13674</v>
      </c>
      <c r="CE51" s="570">
        <f t="shared" ca="1" si="2403"/>
        <v>13804</v>
      </c>
      <c r="CF51" s="570">
        <f t="shared" ca="1" si="2403"/>
        <v>14144</v>
      </c>
      <c r="CG51" s="570">
        <f t="shared" ca="1" si="2403"/>
        <v>14484</v>
      </c>
      <c r="CH51" s="570">
        <f t="shared" ca="1" si="2403"/>
        <v>14484</v>
      </c>
      <c r="CI51" s="570">
        <f t="shared" ca="1" si="2403"/>
        <v>14824</v>
      </c>
      <c r="CJ51" s="570">
        <f t="shared" ca="1" si="2403"/>
        <v>15164</v>
      </c>
      <c r="CK51" s="570">
        <f t="shared" ca="1" si="2403"/>
        <v>15524</v>
      </c>
      <c r="CL51" s="570">
        <f t="shared" ca="1" si="2403"/>
        <v>15884</v>
      </c>
      <c r="CM51" s="570">
        <f t="shared" ca="1" si="2403"/>
        <v>16234</v>
      </c>
      <c r="CN51" s="570">
        <f t="shared" ca="1" si="2403"/>
        <v>16574</v>
      </c>
      <c r="CO51" s="570">
        <f t="shared" ca="1" si="2403"/>
        <v>16874</v>
      </c>
      <c r="CP51" s="570">
        <f t="shared" ca="1" si="2403"/>
        <v>17174</v>
      </c>
      <c r="CQ51" s="570">
        <f t="shared" ca="1" si="2403"/>
        <v>17464</v>
      </c>
      <c r="CR51" s="570">
        <f t="shared" ca="1" si="2403"/>
        <v>17754</v>
      </c>
      <c r="CS51" s="570">
        <f t="shared" ca="1" si="2403"/>
        <v>18184</v>
      </c>
      <c r="CT51" s="570">
        <f t="shared" ca="1" si="2403"/>
        <v>18604</v>
      </c>
      <c r="CU51" s="570">
        <f t="shared" ca="1" si="2403"/>
        <v>19024</v>
      </c>
      <c r="CV51" s="570">
        <f t="shared" ca="1" si="2403"/>
        <v>19444</v>
      </c>
      <c r="CW51" s="570">
        <f t="shared" ca="1" si="2403"/>
        <v>19864</v>
      </c>
      <c r="CX51" s="570">
        <f t="shared" ca="1" si="2403"/>
        <v>20144</v>
      </c>
      <c r="CY51" s="570">
        <f t="shared" ca="1" si="2403"/>
        <v>20424</v>
      </c>
      <c r="CZ51" s="570">
        <f t="shared" ca="1" si="2403"/>
        <v>20724</v>
      </c>
      <c r="DA51" s="570">
        <f t="shared" ca="1" si="2403"/>
        <v>21024</v>
      </c>
      <c r="DB51" s="570">
        <f t="shared" ca="1" si="2403"/>
        <v>18444</v>
      </c>
      <c r="DC51" s="570">
        <f t="shared" ca="1" si="2403"/>
        <v>18564</v>
      </c>
      <c r="DD51" s="570">
        <f t="shared" ca="1" si="2403"/>
        <v>18694</v>
      </c>
      <c r="DE51" s="570">
        <f t="shared" ca="1" si="2403"/>
        <v>18694</v>
      </c>
      <c r="DF51" s="570">
        <f t="shared" ca="1" si="2403"/>
        <v>18824</v>
      </c>
      <c r="DG51" s="570">
        <f t="shared" ca="1" si="2403"/>
        <v>18824</v>
      </c>
      <c r="DH51" s="570">
        <f t="shared" ca="1" si="2403"/>
        <v>19014</v>
      </c>
      <c r="DI51" s="570">
        <f t="shared" ref="DI51:EN51" ca="1" si="2404">SUMIF($G$20:$AQ$49,$G$51,DI20:DI49)</f>
        <v>19204</v>
      </c>
      <c r="DJ51" s="570">
        <f t="shared" ca="1" si="2404"/>
        <v>19384</v>
      </c>
      <c r="DK51" s="570">
        <f t="shared" ca="1" si="2404"/>
        <v>19504</v>
      </c>
      <c r="DL51" s="570">
        <f t="shared" ca="1" si="2404"/>
        <v>19664</v>
      </c>
      <c r="DM51" s="570">
        <f t="shared" ca="1" si="2404"/>
        <v>19814</v>
      </c>
      <c r="DN51" s="570">
        <f t="shared" ca="1" si="2404"/>
        <v>19964</v>
      </c>
      <c r="DO51" s="570">
        <f t="shared" ca="1" si="2404"/>
        <v>20334</v>
      </c>
      <c r="DP51" s="570">
        <f t="shared" ca="1" si="2404"/>
        <v>20714</v>
      </c>
      <c r="DQ51" s="570">
        <f t="shared" ca="1" si="2404"/>
        <v>21084</v>
      </c>
      <c r="DR51" s="570">
        <f t="shared" ca="1" si="2404"/>
        <v>21454</v>
      </c>
      <c r="DS51" s="570">
        <f t="shared" ca="1" si="2404"/>
        <v>21804</v>
      </c>
      <c r="DT51" s="570">
        <f t="shared" ca="1" si="2404"/>
        <v>22154</v>
      </c>
      <c r="DU51" s="570">
        <f t="shared" ca="1" si="2404"/>
        <v>22514</v>
      </c>
      <c r="DV51" s="570">
        <f t="shared" ca="1" si="2404"/>
        <v>22514</v>
      </c>
      <c r="DW51" s="570">
        <f t="shared" ca="1" si="2404"/>
        <v>22874</v>
      </c>
      <c r="DX51" s="570">
        <f t="shared" ca="1" si="2404"/>
        <v>23174</v>
      </c>
      <c r="DY51" s="570">
        <f t="shared" ca="1" si="2404"/>
        <v>23494</v>
      </c>
      <c r="DZ51" s="570">
        <f t="shared" ca="1" si="2404"/>
        <v>23794</v>
      </c>
      <c r="EA51" s="570">
        <f t="shared" ca="1" si="2404"/>
        <v>24094</v>
      </c>
      <c r="EB51" s="570">
        <f t="shared" ca="1" si="2404"/>
        <v>24394</v>
      </c>
      <c r="EC51" s="570">
        <f t="shared" ca="1" si="2404"/>
        <v>24704</v>
      </c>
      <c r="ED51" s="570">
        <f t="shared" ca="1" si="2404"/>
        <v>25014</v>
      </c>
      <c r="EE51" s="570">
        <f t="shared" ca="1" si="2404"/>
        <v>25334</v>
      </c>
      <c r="EF51" s="570">
        <f t="shared" ca="1" si="2404"/>
        <v>25664</v>
      </c>
      <c r="EG51" s="570">
        <f t="shared" ca="1" si="2404"/>
        <v>26004</v>
      </c>
      <c r="EH51" s="570">
        <f t="shared" ca="1" si="2404"/>
        <v>26006</v>
      </c>
      <c r="EI51" s="570">
        <f t="shared" ca="1" si="2404"/>
        <v>26346</v>
      </c>
      <c r="EJ51" s="570">
        <f t="shared" ca="1" si="2404"/>
        <v>26696</v>
      </c>
      <c r="EK51" s="570">
        <f t="shared" ca="1" si="2404"/>
        <v>27016</v>
      </c>
      <c r="EL51" s="570">
        <f t="shared" ca="1" si="2404"/>
        <v>27346</v>
      </c>
      <c r="EM51" s="570">
        <f t="shared" ca="1" si="2404"/>
        <v>27666</v>
      </c>
      <c r="EN51" s="570">
        <f t="shared" ca="1" si="2404"/>
        <v>28006</v>
      </c>
      <c r="EO51" s="570">
        <f t="shared" ref="EO51:FT51" ca="1" si="2405">SUMIF($G$20:$AQ$49,$G$51,EO20:EO49)</f>
        <v>28256</v>
      </c>
      <c r="EP51" s="570">
        <f t="shared" ca="1" si="2405"/>
        <v>28506</v>
      </c>
      <c r="EQ51" s="570">
        <f t="shared" ca="1" si="2405"/>
        <v>28736</v>
      </c>
      <c r="ER51" s="570">
        <f t="shared" ca="1" si="2405"/>
        <v>28956</v>
      </c>
      <c r="ES51" s="570">
        <f t="shared" ca="1" si="2405"/>
        <v>29176</v>
      </c>
      <c r="ET51" s="570">
        <f t="shared" ca="1" si="2405"/>
        <v>29506</v>
      </c>
      <c r="EU51" s="570">
        <f t="shared" ca="1" si="2405"/>
        <v>29826</v>
      </c>
      <c r="EV51" s="570">
        <f t="shared" ca="1" si="2405"/>
        <v>30136</v>
      </c>
      <c r="EW51" s="570">
        <f t="shared" ca="1" si="2405"/>
        <v>30446</v>
      </c>
      <c r="EX51" s="570">
        <f t="shared" ca="1" si="2405"/>
        <v>30726</v>
      </c>
      <c r="EY51" s="570">
        <f t="shared" ca="1" si="2405"/>
        <v>30986</v>
      </c>
      <c r="EZ51" s="570">
        <f t="shared" ca="1" si="2405"/>
        <v>31246</v>
      </c>
      <c r="FA51" s="570">
        <f t="shared" ca="1" si="2405"/>
        <v>31496</v>
      </c>
      <c r="FB51" s="570">
        <f t="shared" ca="1" si="2405"/>
        <v>31686</v>
      </c>
      <c r="FC51" s="570">
        <f t="shared" ca="1" si="2405"/>
        <v>31896</v>
      </c>
      <c r="FD51" s="570">
        <f t="shared" ca="1" si="2405"/>
        <v>32106</v>
      </c>
      <c r="FE51" s="570">
        <f t="shared" ca="1" si="2405"/>
        <v>32286</v>
      </c>
      <c r="FF51" s="570">
        <f t="shared" ca="1" si="2405"/>
        <v>32386</v>
      </c>
      <c r="FG51" s="570">
        <f t="shared" ca="1" si="2405"/>
        <v>32726</v>
      </c>
      <c r="FH51" s="570">
        <f t="shared" ca="1" si="2405"/>
        <v>33066</v>
      </c>
      <c r="FI51" s="570">
        <f t="shared" ca="1" si="2405"/>
        <v>33406</v>
      </c>
      <c r="FJ51" s="570">
        <f t="shared" ca="1" si="2405"/>
        <v>33406</v>
      </c>
      <c r="FK51" s="570">
        <f t="shared" ca="1" si="2405"/>
        <v>33626</v>
      </c>
      <c r="FL51" s="570">
        <f t="shared" ca="1" si="2405"/>
        <v>33850</v>
      </c>
      <c r="FM51" s="570">
        <f t="shared" ca="1" si="2405"/>
        <v>34080</v>
      </c>
      <c r="FN51" s="570">
        <f t="shared" ca="1" si="2405"/>
        <v>34280</v>
      </c>
      <c r="FO51" s="570">
        <f t="shared" ca="1" si="2405"/>
        <v>34470</v>
      </c>
      <c r="FP51" s="570">
        <f t="shared" ca="1" si="2405"/>
        <v>34680</v>
      </c>
      <c r="FQ51" s="570">
        <f t="shared" ca="1" si="2405"/>
        <v>34860</v>
      </c>
      <c r="FR51" s="570">
        <f t="shared" ca="1" si="2405"/>
        <v>35016</v>
      </c>
      <c r="FS51" s="570">
        <f t="shared" ca="1" si="2405"/>
        <v>35326</v>
      </c>
      <c r="FT51" s="570">
        <f t="shared" ca="1" si="2405"/>
        <v>35326</v>
      </c>
      <c r="FU51" s="570">
        <f t="shared" ref="FU51:GZ51" ca="1" si="2406">SUMIF($G$20:$AQ$49,$G$51,FU20:FU49)</f>
        <v>35616</v>
      </c>
      <c r="FV51" s="570">
        <f t="shared" ca="1" si="2406"/>
        <v>35826</v>
      </c>
      <c r="FW51" s="570">
        <f t="shared" ca="1" si="2406"/>
        <v>36116</v>
      </c>
      <c r="FX51" s="570">
        <f t="shared" ca="1" si="2406"/>
        <v>36416</v>
      </c>
      <c r="FY51" s="570">
        <f t="shared" ca="1" si="2406"/>
        <v>36716</v>
      </c>
      <c r="FZ51" s="570">
        <f t="shared" ca="1" si="2406"/>
        <v>36976</v>
      </c>
      <c r="GA51" s="570">
        <f t="shared" ca="1" si="2406"/>
        <v>37116</v>
      </c>
      <c r="GB51" s="570">
        <f t="shared" ca="1" si="2406"/>
        <v>37406</v>
      </c>
      <c r="GC51" s="570">
        <f t="shared" ca="1" si="2406"/>
        <v>37676</v>
      </c>
      <c r="GD51" s="570">
        <f t="shared" ca="1" si="2406"/>
        <v>37996</v>
      </c>
      <c r="GE51" s="570">
        <f t="shared" ca="1" si="2406"/>
        <v>38266</v>
      </c>
      <c r="GF51" s="570">
        <f t="shared" ca="1" si="2406"/>
        <v>38648</v>
      </c>
      <c r="GG51" s="570">
        <f t="shared" ca="1" si="2406"/>
        <v>39002</v>
      </c>
      <c r="GH51" s="570">
        <f t="shared" ca="1" si="2406"/>
        <v>39352</v>
      </c>
      <c r="GI51" s="570">
        <f t="shared" ca="1" si="2406"/>
        <v>39352</v>
      </c>
      <c r="GJ51" s="570">
        <f t="shared" ca="1" si="2406"/>
        <v>39700</v>
      </c>
      <c r="GK51" s="570">
        <f t="shared" ca="1" si="2406"/>
        <v>39928</v>
      </c>
      <c r="GL51" s="570">
        <f t="shared" ca="1" si="2406"/>
        <v>40132</v>
      </c>
      <c r="GM51" s="570">
        <f t="shared" ca="1" si="2406"/>
        <v>40306</v>
      </c>
      <c r="GN51" s="570">
        <f t="shared" ca="1" si="2406"/>
        <v>40528</v>
      </c>
      <c r="GO51" s="570">
        <f t="shared" ca="1" si="2406"/>
        <v>41056</v>
      </c>
      <c r="GP51" s="570">
        <f t="shared" ca="1" si="2406"/>
        <v>41557</v>
      </c>
      <c r="GQ51" s="570">
        <f t="shared" ca="1" si="2406"/>
        <v>41908</v>
      </c>
      <c r="GR51" s="570">
        <f t="shared" ca="1" si="2406"/>
        <v>42259</v>
      </c>
      <c r="GS51" s="570">
        <f t="shared" ca="1" si="2406"/>
        <v>42610</v>
      </c>
      <c r="GT51" s="570">
        <f t="shared" ca="1" si="2406"/>
        <v>43444</v>
      </c>
      <c r="GU51" s="570">
        <f t="shared" ca="1" si="2406"/>
        <v>44272</v>
      </c>
      <c r="GV51" s="570">
        <f t="shared" ca="1" si="2406"/>
        <v>45082</v>
      </c>
      <c r="GW51" s="570">
        <f t="shared" ca="1" si="2406"/>
        <v>45874</v>
      </c>
      <c r="GX51" s="570">
        <f t="shared" ca="1" si="2406"/>
        <v>46708</v>
      </c>
      <c r="GY51" s="570">
        <f t="shared" ca="1" si="2406"/>
        <v>47506</v>
      </c>
      <c r="GZ51" s="570">
        <f t="shared" ca="1" si="2406"/>
        <v>48304</v>
      </c>
      <c r="HA51" s="570">
        <f t="shared" ref="HA51:IA51" ca="1" si="2407">SUMIF($G$20:$AQ$49,$G$51,HA20:HA49)</f>
        <v>49090</v>
      </c>
      <c r="HB51" s="570">
        <f t="shared" ca="1" si="2407"/>
        <v>49774</v>
      </c>
      <c r="HC51" s="570">
        <f t="shared" ca="1" si="2407"/>
        <v>50434</v>
      </c>
      <c r="HD51" s="570">
        <f t="shared" ca="1" si="2407"/>
        <v>51088</v>
      </c>
      <c r="HE51" s="570">
        <f t="shared" ca="1" si="2407"/>
        <v>51736</v>
      </c>
      <c r="HF51" s="570">
        <f t="shared" ca="1" si="2407"/>
        <v>52378</v>
      </c>
      <c r="HG51" s="570">
        <f t="shared" ca="1" si="2407"/>
        <v>53626</v>
      </c>
      <c r="HH51" s="570">
        <f t="shared" ca="1" si="2407"/>
        <v>53626</v>
      </c>
      <c r="HI51" s="570">
        <f t="shared" ca="1" si="2407"/>
        <v>54856</v>
      </c>
      <c r="HJ51" s="570">
        <f t="shared" ca="1" si="2407"/>
        <v>56062</v>
      </c>
      <c r="HK51" s="570">
        <f t="shared" ca="1" si="2407"/>
        <v>56968</v>
      </c>
      <c r="HL51" s="570">
        <f t="shared" ca="1" si="2407"/>
        <v>57838</v>
      </c>
      <c r="HM51" s="570">
        <f t="shared" ca="1" si="2407"/>
        <v>58696</v>
      </c>
      <c r="HN51" s="570">
        <f t="shared" ca="1" si="2407"/>
        <v>59542</v>
      </c>
      <c r="HO51" s="570">
        <f t="shared" ca="1" si="2407"/>
        <v>60370</v>
      </c>
      <c r="HP51" s="570">
        <f t="shared" ca="1" si="2407"/>
        <v>61180</v>
      </c>
      <c r="HQ51" s="570">
        <f t="shared" ca="1" si="2407"/>
        <v>61972</v>
      </c>
      <c r="HR51" s="570">
        <f t="shared" ca="1" si="2407"/>
        <v>62764</v>
      </c>
      <c r="HS51" s="570">
        <f t="shared" ca="1" si="2407"/>
        <v>63124</v>
      </c>
      <c r="HT51" s="570">
        <f t="shared" ca="1" si="2407"/>
        <v>63478</v>
      </c>
      <c r="HU51" s="570">
        <f t="shared" ca="1" si="2407"/>
        <v>63802</v>
      </c>
      <c r="HV51" s="570">
        <f t="shared" ca="1" si="2407"/>
        <v>64126</v>
      </c>
      <c r="HW51" s="570">
        <f t="shared" ca="1" si="2407"/>
        <v>64126</v>
      </c>
      <c r="HX51" s="570">
        <f t="shared" ca="1" si="2407"/>
        <v>64618</v>
      </c>
      <c r="HY51" s="570">
        <f t="shared" ca="1" si="2407"/>
        <v>65086</v>
      </c>
      <c r="HZ51" s="570">
        <f t="shared" ca="1" si="2407"/>
        <v>65548</v>
      </c>
      <c r="IA51" s="570">
        <f t="shared" ca="1" si="2407"/>
        <v>65986</v>
      </c>
      <c r="IB51" s="568">
        <f t="shared" ref="IB51:JR51" si="2408">SUMIF($G$20:$G$49,$G$51,IB20:IB49)</f>
        <v>26206</v>
      </c>
      <c r="IC51" s="566">
        <f t="shared" si="2408"/>
        <v>26644</v>
      </c>
      <c r="ID51" s="566">
        <f t="shared" si="2408"/>
        <v>27064</v>
      </c>
      <c r="IE51" s="572">
        <f t="shared" si="2408"/>
        <v>27472</v>
      </c>
      <c r="IF51" s="568">
        <f t="shared" si="2408"/>
        <v>27826</v>
      </c>
      <c r="IG51" s="566">
        <f t="shared" si="2408"/>
        <v>28150</v>
      </c>
      <c r="IH51" s="566">
        <f t="shared" si="2408"/>
        <v>28450</v>
      </c>
      <c r="II51" s="566">
        <f t="shared" si="2408"/>
        <v>28744</v>
      </c>
      <c r="IJ51" s="567">
        <f t="shared" si="2408"/>
        <v>29026</v>
      </c>
      <c r="IK51" s="573">
        <f t="shared" si="2408"/>
        <v>29026</v>
      </c>
      <c r="IL51" s="566">
        <f t="shared" si="2408"/>
        <v>29764</v>
      </c>
      <c r="IM51" s="566">
        <f t="shared" si="2408"/>
        <v>30454</v>
      </c>
      <c r="IN51" s="572">
        <f t="shared" si="2408"/>
        <v>31288</v>
      </c>
      <c r="IO51" s="568">
        <f t="shared" si="2408"/>
        <v>32392</v>
      </c>
      <c r="IP51" s="566">
        <f t="shared" si="2408"/>
        <v>33478</v>
      </c>
      <c r="IQ51" s="566">
        <f t="shared" si="2408"/>
        <v>34234</v>
      </c>
      <c r="IR51" s="572">
        <f t="shared" si="2408"/>
        <v>34966</v>
      </c>
      <c r="IS51" s="573">
        <f t="shared" si="2408"/>
        <v>35860</v>
      </c>
      <c r="IT51" s="566">
        <f t="shared" si="2408"/>
        <v>36820</v>
      </c>
      <c r="IU51" s="566">
        <f t="shared" si="2408"/>
        <v>37480</v>
      </c>
      <c r="IV51" s="567">
        <f t="shared" si="2408"/>
        <v>38140</v>
      </c>
      <c r="IW51" s="573">
        <f t="shared" si="2408"/>
        <v>39100</v>
      </c>
      <c r="IX51" s="568">
        <f t="shared" si="2408"/>
        <v>40060</v>
      </c>
      <c r="IY51" s="566">
        <f t="shared" si="2408"/>
        <v>41062</v>
      </c>
      <c r="IZ51" s="567">
        <f t="shared" si="2408"/>
        <v>41764</v>
      </c>
      <c r="JA51" s="572">
        <f t="shared" si="2408"/>
        <v>42580</v>
      </c>
      <c r="JB51" s="573">
        <f t="shared" si="2408"/>
        <v>43420</v>
      </c>
      <c r="JC51" s="566">
        <f t="shared" si="2408"/>
        <v>44230</v>
      </c>
      <c r="JD51" s="566">
        <f t="shared" si="2408"/>
        <v>45022</v>
      </c>
      <c r="JE51" s="572">
        <f t="shared" si="2408"/>
        <v>45790</v>
      </c>
      <c r="JF51" s="573">
        <f t="shared" si="2408"/>
        <v>46606</v>
      </c>
      <c r="JG51" s="566">
        <f t="shared" si="2408"/>
        <v>47356</v>
      </c>
      <c r="JH51" s="566">
        <f t="shared" si="2408"/>
        <v>48064</v>
      </c>
      <c r="JI51" s="572">
        <f t="shared" si="2408"/>
        <v>48766</v>
      </c>
      <c r="JJ51" s="573">
        <f t="shared" si="2408"/>
        <v>48766</v>
      </c>
      <c r="JK51" s="566">
        <f t="shared" si="2408"/>
        <v>49940</v>
      </c>
      <c r="JL51" s="566">
        <f t="shared" si="2408"/>
        <v>51074</v>
      </c>
      <c r="JM51" s="572">
        <f t="shared" si="2408"/>
        <v>52118</v>
      </c>
      <c r="JN51" s="573">
        <f t="shared" si="2408"/>
        <v>52796</v>
      </c>
      <c r="JO51" s="566">
        <f t="shared" si="2408"/>
        <v>53426</v>
      </c>
      <c r="JP51" s="566">
        <f t="shared" si="2408"/>
        <v>54020</v>
      </c>
      <c r="JQ51" s="567">
        <f t="shared" ref="JQ51" si="2409">SUMIF($G$20:$G$49,$G$51,JQ20:JQ49)</f>
        <v>54020</v>
      </c>
      <c r="JR51" s="572">
        <f t="shared" si="2408"/>
        <v>54596</v>
      </c>
      <c r="JS51" s="573">
        <f t="shared" ref="JS51:JV51" si="2410">SUMIF($G$20:$G$49,$G$51,JS20:JS49)</f>
        <v>54753</v>
      </c>
      <c r="JT51" s="566">
        <f t="shared" si="2410"/>
        <v>54891</v>
      </c>
      <c r="JU51" s="566">
        <f t="shared" si="2410"/>
        <v>55023</v>
      </c>
      <c r="JV51" s="572">
        <f t="shared" si="2410"/>
        <v>55125</v>
      </c>
      <c r="JW51" s="573">
        <f t="shared" ref="JW51:JZ51" si="2411">SUMIF($G$20:$G$49,$G$51,JW20:JW49)</f>
        <v>55545</v>
      </c>
      <c r="JX51" s="566">
        <f t="shared" si="2411"/>
        <v>55923</v>
      </c>
      <c r="JY51" s="566">
        <f t="shared" si="2411"/>
        <v>56217</v>
      </c>
      <c r="JZ51" s="567">
        <f t="shared" si="2411"/>
        <v>56511</v>
      </c>
      <c r="KA51" s="627">
        <f t="shared" ref="KA51:KE51" si="2412">SUMIF($G$20:$G$49,$G$51,KA20:KA49)</f>
        <v>56961</v>
      </c>
      <c r="KB51" s="626">
        <f t="shared" si="2412"/>
        <v>57375</v>
      </c>
      <c r="KC51" s="626">
        <f t="shared" si="2412"/>
        <v>57735</v>
      </c>
      <c r="KD51" s="626">
        <f t="shared" si="2412"/>
        <v>58077</v>
      </c>
      <c r="KE51" s="628">
        <f t="shared" si="2412"/>
        <v>58419</v>
      </c>
      <c r="KF51" s="627">
        <f t="shared" ref="KF51:KI51" si="2413">SUMIF($G$20:$G$49,$G$51,KF20:KF49)</f>
        <v>59001</v>
      </c>
      <c r="KG51" s="626">
        <f t="shared" si="2413"/>
        <v>59541</v>
      </c>
      <c r="KH51" s="626">
        <f t="shared" si="2413"/>
        <v>60015</v>
      </c>
      <c r="KI51" s="628">
        <f t="shared" si="2413"/>
        <v>60471</v>
      </c>
      <c r="KJ51" s="627">
        <f t="shared" ref="KJ51:KN51" si="2414">SUMIF($G$20:$G$49,$G$51,KJ20:KJ49)</f>
        <v>60471</v>
      </c>
      <c r="KK51" s="626">
        <f t="shared" si="2414"/>
        <v>61119</v>
      </c>
      <c r="KL51" s="626">
        <f t="shared" si="2414"/>
        <v>61725</v>
      </c>
      <c r="KM51" s="626">
        <f t="shared" ref="KM51" si="2415">SUMIF($G$20:$G$49,$G$51,KM20:KM49)</f>
        <v>62259</v>
      </c>
      <c r="KN51" s="628">
        <f t="shared" si="2414"/>
        <v>62223</v>
      </c>
    </row>
    <row r="52" spans="1:300" ht="13.15" customHeight="1" thickTop="1">
      <c r="D52" s="574" t="s">
        <v>41</v>
      </c>
      <c r="E52" s="574" t="s">
        <v>32</v>
      </c>
      <c r="EX52" s="575"/>
      <c r="FJ52" s="575"/>
    </row>
    <row r="53" spans="1:300" s="576" customFormat="1" ht="15" customHeight="1">
      <c r="A53" s="454"/>
      <c r="B53" s="454"/>
      <c r="C53" s="454"/>
      <c r="D53" s="574" t="s">
        <v>40</v>
      </c>
      <c r="E53" s="574" t="s">
        <v>31</v>
      </c>
      <c r="F53" s="454"/>
      <c r="G53" s="454"/>
      <c r="H53" s="454"/>
      <c r="I53" s="454"/>
      <c r="J53" s="454"/>
      <c r="K53" s="454"/>
      <c r="L53" s="454"/>
      <c r="M53" s="454"/>
      <c r="N53" s="454"/>
      <c r="O53" s="454"/>
      <c r="P53" s="454"/>
      <c r="Q53" s="454"/>
      <c r="R53" s="454"/>
      <c r="S53" s="454"/>
      <c r="T53" s="454"/>
      <c r="U53" s="454"/>
      <c r="V53" s="454"/>
      <c r="W53" s="454"/>
      <c r="X53" s="454"/>
      <c r="Y53" s="454"/>
      <c r="Z53" s="454"/>
      <c r="AA53" s="454"/>
      <c r="AB53" s="454"/>
      <c r="AC53" s="454"/>
      <c r="AD53" s="454"/>
      <c r="AE53" s="454"/>
      <c r="AF53" s="454"/>
      <c r="AG53" s="454"/>
      <c r="AH53" s="454"/>
      <c r="AI53" s="454"/>
      <c r="AJ53" s="454"/>
      <c r="AK53" s="454"/>
      <c r="AL53" s="454"/>
      <c r="AM53" s="454"/>
      <c r="AN53" s="454"/>
      <c r="AO53" s="454"/>
      <c r="AP53" s="454"/>
      <c r="AQ53" s="454"/>
      <c r="AR53" s="454"/>
      <c r="AS53" s="454"/>
      <c r="AT53" s="454"/>
      <c r="AU53" s="454"/>
      <c r="AV53" s="454"/>
      <c r="AW53" s="454"/>
      <c r="AX53" s="454"/>
      <c r="AY53" s="454"/>
      <c r="AZ53" s="454"/>
      <c r="BA53" s="454"/>
      <c r="BB53" s="454"/>
      <c r="BC53" s="454"/>
      <c r="BD53" s="454"/>
      <c r="BE53" s="454"/>
      <c r="BF53" s="454"/>
      <c r="BG53" s="454"/>
      <c r="BH53" s="454"/>
      <c r="BI53" s="454"/>
      <c r="BJ53" s="454"/>
      <c r="BK53" s="454"/>
      <c r="BL53" s="454"/>
      <c r="BM53" s="454"/>
      <c r="BN53" s="454"/>
      <c r="BO53" s="454"/>
      <c r="BP53" s="454"/>
      <c r="BQ53" s="454"/>
      <c r="BR53" s="454"/>
      <c r="BS53" s="454"/>
      <c r="BT53" s="454"/>
      <c r="BU53" s="454"/>
      <c r="BV53" s="454"/>
      <c r="BW53" s="454"/>
      <c r="BX53" s="454"/>
      <c r="BY53" s="454"/>
      <c r="BZ53" s="454"/>
      <c r="CA53" s="454"/>
      <c r="CB53" s="454"/>
      <c r="CC53" s="454"/>
      <c r="CD53" s="454"/>
      <c r="CE53" s="454"/>
      <c r="CF53" s="454"/>
      <c r="CG53" s="454"/>
      <c r="CH53" s="454"/>
      <c r="CI53" s="454"/>
      <c r="CJ53" s="454"/>
      <c r="CK53" s="454"/>
      <c r="CL53" s="454"/>
      <c r="CM53" s="454"/>
      <c r="CN53" s="454"/>
      <c r="CO53" s="454"/>
      <c r="CP53" s="454"/>
      <c r="CQ53" s="454"/>
      <c r="CR53" s="454"/>
      <c r="CS53" s="454"/>
      <c r="CT53" s="454"/>
      <c r="CU53" s="454"/>
      <c r="CV53" s="454"/>
      <c r="CW53" s="454"/>
      <c r="CX53" s="454"/>
      <c r="CY53" s="454"/>
      <c r="CZ53" s="454"/>
      <c r="DA53" s="454"/>
      <c r="DB53" s="454"/>
      <c r="DC53" s="454"/>
      <c r="DD53" s="454"/>
      <c r="DE53" s="454"/>
      <c r="DF53" s="454"/>
      <c r="DG53" s="454"/>
      <c r="DH53" s="454"/>
      <c r="DI53" s="454"/>
      <c r="DJ53" s="454"/>
      <c r="DK53" s="454"/>
      <c r="DL53" s="454"/>
      <c r="DM53" s="454"/>
      <c r="DN53" s="454"/>
      <c r="DO53" s="454"/>
      <c r="DP53" s="454"/>
      <c r="DQ53" s="454"/>
      <c r="DR53" s="454"/>
      <c r="DS53" s="454"/>
      <c r="DT53" s="454"/>
      <c r="DU53" s="454"/>
      <c r="DV53" s="454"/>
      <c r="DW53" s="454"/>
      <c r="DX53" s="454"/>
      <c r="DY53" s="454"/>
      <c r="DZ53" s="454"/>
      <c r="EA53" s="454"/>
      <c r="EB53" s="454"/>
      <c r="EC53" s="454"/>
      <c r="ED53" s="454"/>
      <c r="EE53" s="454"/>
      <c r="EF53" s="454"/>
      <c r="EG53" s="454"/>
      <c r="EH53" s="454"/>
      <c r="EI53" s="454"/>
      <c r="EJ53" s="454"/>
      <c r="EK53" s="454"/>
      <c r="EL53" s="454"/>
      <c r="EM53" s="454"/>
      <c r="EN53" s="454"/>
      <c r="EO53" s="454"/>
      <c r="EP53" s="454"/>
      <c r="EQ53" s="454"/>
      <c r="ER53" s="454"/>
      <c r="ES53" s="454"/>
      <c r="ET53" s="454"/>
      <c r="EU53" s="454"/>
      <c r="EV53" s="454"/>
      <c r="EW53" s="454"/>
      <c r="EX53" s="454"/>
      <c r="EY53" s="454"/>
      <c r="EZ53" s="454"/>
      <c r="FA53" s="454"/>
      <c r="FB53" s="454"/>
      <c r="FC53" s="454"/>
      <c r="FD53" s="454"/>
      <c r="FE53" s="454"/>
      <c r="FF53" s="454"/>
      <c r="FG53" s="454"/>
      <c r="FH53" s="454"/>
      <c r="FI53" s="454"/>
      <c r="FJ53" s="454"/>
      <c r="FK53" s="454"/>
      <c r="FL53" s="454"/>
      <c r="FM53" s="454"/>
      <c r="FN53" s="454"/>
      <c r="FO53" s="454"/>
      <c r="FP53" s="454"/>
      <c r="FQ53" s="454"/>
      <c r="FR53" s="454"/>
      <c r="FS53" s="454"/>
      <c r="FT53" s="454"/>
      <c r="FU53" s="454"/>
      <c r="FV53" s="454"/>
    </row>
    <row r="54" spans="1:300" s="576" customFormat="1" ht="15" customHeight="1">
      <c r="A54" s="454"/>
      <c r="B54" s="454"/>
      <c r="C54" s="454"/>
      <c r="D54" s="670" t="s">
        <v>33</v>
      </c>
      <c r="E54" s="670"/>
      <c r="F54" s="454"/>
      <c r="G54" s="454" t="s">
        <v>46</v>
      </c>
      <c r="H54" s="454"/>
      <c r="I54" s="454"/>
      <c r="J54" s="454"/>
      <c r="K54" s="454"/>
      <c r="L54" s="454"/>
      <c r="M54" s="454"/>
      <c r="N54" s="454"/>
      <c r="O54" s="454"/>
      <c r="P54" s="454"/>
      <c r="Q54" s="454"/>
      <c r="R54" s="454"/>
      <c r="S54" s="454"/>
      <c r="T54" s="454"/>
      <c r="U54" s="454"/>
      <c r="V54" s="454"/>
      <c r="W54" s="454"/>
      <c r="X54" s="454"/>
      <c r="Y54" s="454"/>
      <c r="Z54" s="454"/>
      <c r="AA54" s="454"/>
      <c r="AB54" s="454"/>
      <c r="AC54" s="454"/>
      <c r="AD54" s="454"/>
      <c r="AE54" s="454"/>
      <c r="AF54" s="454"/>
      <c r="AG54" s="454"/>
      <c r="AH54" s="454"/>
      <c r="AI54" s="454"/>
      <c r="AJ54" s="454"/>
      <c r="AK54" s="454"/>
      <c r="AL54" s="454"/>
      <c r="AM54" s="454"/>
      <c r="AN54" s="454"/>
      <c r="AO54" s="454"/>
      <c r="AP54" s="454"/>
      <c r="AQ54" s="454"/>
      <c r="AR54" s="454"/>
      <c r="AS54" s="454"/>
      <c r="AT54" s="454"/>
      <c r="AU54" s="454"/>
      <c r="AV54" s="454"/>
      <c r="AW54" s="454"/>
      <c r="AX54" s="454"/>
      <c r="AY54" s="454"/>
      <c r="AZ54" s="454"/>
      <c r="BA54" s="454"/>
      <c r="BB54" s="454"/>
      <c r="BC54" s="454"/>
      <c r="BD54" s="454"/>
      <c r="BE54" s="454"/>
      <c r="BF54" s="454"/>
      <c r="BG54" s="454"/>
      <c r="BH54" s="454"/>
      <c r="BI54" s="454"/>
      <c r="BJ54" s="454"/>
      <c r="BK54" s="454"/>
      <c r="BL54" s="454"/>
      <c r="BM54" s="454"/>
      <c r="BN54" s="454"/>
      <c r="BO54" s="454"/>
      <c r="BP54" s="454"/>
      <c r="BQ54" s="454"/>
      <c r="BR54" s="454"/>
      <c r="BS54" s="454"/>
      <c r="BT54" s="454"/>
      <c r="BU54" s="454"/>
      <c r="BV54" s="454"/>
      <c r="BW54" s="454"/>
      <c r="BX54" s="454"/>
      <c r="BY54" s="454"/>
      <c r="BZ54" s="454"/>
      <c r="CA54" s="454"/>
      <c r="CB54" s="454"/>
      <c r="CC54" s="454"/>
      <c r="CD54" s="454"/>
      <c r="CE54" s="454"/>
      <c r="CF54" s="454"/>
      <c r="CG54" s="454"/>
      <c r="CH54" s="454"/>
      <c r="CI54" s="454"/>
      <c r="CJ54" s="454"/>
      <c r="CK54" s="454"/>
      <c r="CL54" s="454"/>
      <c r="CM54" s="454"/>
      <c r="CN54" s="454"/>
      <c r="CO54" s="454"/>
      <c r="CP54" s="454"/>
      <c r="CQ54" s="454"/>
      <c r="CR54" s="454"/>
      <c r="CS54" s="454"/>
      <c r="CT54" s="454"/>
      <c r="CU54" s="454"/>
      <c r="CV54" s="454"/>
      <c r="CW54" s="454"/>
      <c r="CX54" s="454"/>
      <c r="CY54" s="454"/>
      <c r="CZ54" s="454"/>
      <c r="DA54" s="454"/>
      <c r="DB54" s="454"/>
      <c r="DC54" s="454"/>
      <c r="DD54" s="454"/>
      <c r="DE54" s="454"/>
      <c r="DF54" s="454"/>
      <c r="DG54" s="454"/>
      <c r="DH54" s="454"/>
      <c r="DI54" s="454"/>
      <c r="DJ54" s="454"/>
      <c r="DK54" s="454"/>
      <c r="DL54" s="454"/>
      <c r="DM54" s="454"/>
      <c r="DN54" s="454"/>
      <c r="DO54" s="454"/>
      <c r="DP54" s="454"/>
      <c r="DQ54" s="454"/>
      <c r="DR54" s="454"/>
      <c r="DS54" s="454"/>
      <c r="DT54" s="454"/>
      <c r="DU54" s="454"/>
      <c r="DV54" s="454"/>
      <c r="DW54" s="454"/>
      <c r="DX54" s="454"/>
      <c r="DY54" s="454"/>
      <c r="DZ54" s="454"/>
      <c r="EA54" s="454"/>
      <c r="EB54" s="454"/>
      <c r="EC54" s="454"/>
      <c r="ED54" s="454"/>
      <c r="EE54" s="454"/>
      <c r="EF54" s="454"/>
      <c r="EG54" s="454"/>
      <c r="EH54" s="454"/>
      <c r="EI54" s="454"/>
      <c r="EJ54" s="454"/>
      <c r="EK54" s="454"/>
      <c r="EL54" s="454"/>
      <c r="EM54" s="454"/>
      <c r="EN54" s="454"/>
      <c r="EO54" s="454"/>
      <c r="EP54" s="454"/>
      <c r="EQ54" s="454"/>
      <c r="ER54" s="454"/>
      <c r="ES54" s="454"/>
      <c r="ET54" s="454"/>
      <c r="EU54" s="454"/>
      <c r="EV54" s="454"/>
      <c r="EW54" s="454"/>
      <c r="EX54" s="454"/>
      <c r="EY54" s="454"/>
      <c r="EZ54" s="454"/>
      <c r="FA54" s="454"/>
      <c r="FB54" s="454"/>
      <c r="FC54" s="454"/>
      <c r="FD54" s="454"/>
      <c r="FE54" s="454"/>
      <c r="FF54" s="454"/>
      <c r="FG54" s="454"/>
      <c r="FH54" s="454"/>
      <c r="FI54" s="454"/>
      <c r="FJ54" s="454"/>
      <c r="FK54" s="454"/>
      <c r="FL54" s="454"/>
      <c r="FM54" s="454"/>
      <c r="FN54" s="454"/>
      <c r="FO54" s="454"/>
      <c r="FP54" s="454"/>
      <c r="FQ54" s="454"/>
      <c r="FR54" s="454"/>
      <c r="FS54" s="454"/>
      <c r="FT54" s="454"/>
      <c r="FU54" s="454"/>
      <c r="FV54" s="454"/>
      <c r="IS54" s="576">
        <f t="shared" ref="IS54:IZ54" ca="1" si="2416">IS50/6</f>
        <v>149</v>
      </c>
      <c r="IT54" s="576">
        <f t="shared" ca="1" si="2416"/>
        <v>160</v>
      </c>
      <c r="IU54" s="576">
        <f t="shared" ca="1" si="2416"/>
        <v>110</v>
      </c>
      <c r="IV54" s="576">
        <f t="shared" ca="1" si="2416"/>
        <v>110</v>
      </c>
      <c r="IW54" s="576">
        <f t="shared" ca="1" si="2416"/>
        <v>160</v>
      </c>
      <c r="IX54" s="576">
        <f t="shared" ca="1" si="2416"/>
        <v>160</v>
      </c>
      <c r="IY54" s="576">
        <f t="shared" ca="1" si="2416"/>
        <v>167</v>
      </c>
      <c r="IZ54" s="576">
        <f t="shared" ca="1" si="2416"/>
        <v>117</v>
      </c>
      <c r="JA54" s="576">
        <f ca="1">JA50/6</f>
        <v>136</v>
      </c>
      <c r="JB54" s="576">
        <f t="shared" ref="JB54:JR54" ca="1" si="2417">JB50/6</f>
        <v>140</v>
      </c>
      <c r="JC54" s="576">
        <f t="shared" ca="1" si="2417"/>
        <v>135</v>
      </c>
      <c r="JD54" s="576">
        <f t="shared" ca="1" si="2417"/>
        <v>132</v>
      </c>
      <c r="JE54" s="576">
        <f t="shared" ca="1" si="2417"/>
        <v>128</v>
      </c>
      <c r="JF54" s="576">
        <f t="shared" ca="1" si="2417"/>
        <v>136</v>
      </c>
      <c r="JG54" s="576">
        <f t="shared" ca="1" si="2417"/>
        <v>125</v>
      </c>
      <c r="JH54" s="576">
        <f t="shared" ca="1" si="2417"/>
        <v>118</v>
      </c>
      <c r="JI54" s="576">
        <f t="shared" ca="1" si="2417"/>
        <v>117</v>
      </c>
      <c r="JJ54" s="576">
        <f t="shared" ca="1" si="2417"/>
        <v>0</v>
      </c>
      <c r="JK54" s="576">
        <f t="shared" ca="1" si="2417"/>
        <v>195.66666666666666</v>
      </c>
      <c r="JL54" s="576">
        <f t="shared" ca="1" si="2417"/>
        <v>189</v>
      </c>
      <c r="JM54" s="576">
        <f t="shared" ca="1" si="2417"/>
        <v>174</v>
      </c>
      <c r="JN54" s="576">
        <f t="shared" ca="1" si="2417"/>
        <v>113</v>
      </c>
      <c r="JO54" s="576">
        <f t="shared" ca="1" si="2417"/>
        <v>105</v>
      </c>
      <c r="JP54" s="576">
        <f t="shared" ca="1" si="2417"/>
        <v>99</v>
      </c>
      <c r="JQ54" s="576">
        <f t="shared" ref="JQ54" ca="1" si="2418">JQ50/6</f>
        <v>0</v>
      </c>
      <c r="JR54" s="576">
        <f t="shared" ca="1" si="2417"/>
        <v>96</v>
      </c>
      <c r="JS54" s="576">
        <f t="shared" ref="JS54:JV54" ca="1" si="2419">JS50/6</f>
        <v>26.166666666666668</v>
      </c>
      <c r="JT54" s="576">
        <f t="shared" ca="1" si="2419"/>
        <v>23</v>
      </c>
      <c r="JU54" s="576">
        <f t="shared" ca="1" si="2419"/>
        <v>22</v>
      </c>
      <c r="JV54" s="576">
        <f t="shared" ca="1" si="2419"/>
        <v>17</v>
      </c>
      <c r="JW54" s="576">
        <f t="shared" ref="JW54:JZ54" ca="1" si="2420">JW50/6</f>
        <v>70</v>
      </c>
      <c r="JX54" s="576">
        <f t="shared" ca="1" si="2420"/>
        <v>63</v>
      </c>
      <c r="JY54" s="576">
        <f t="shared" ca="1" si="2420"/>
        <v>49</v>
      </c>
      <c r="JZ54" s="576">
        <f t="shared" ca="1" si="2420"/>
        <v>49</v>
      </c>
      <c r="KA54" s="576">
        <f t="shared" ref="KA54:KE54" ca="1" si="2421">KA50/6</f>
        <v>75</v>
      </c>
      <c r="KB54" s="576">
        <f t="shared" ca="1" si="2421"/>
        <v>69</v>
      </c>
      <c r="KC54" s="576">
        <f t="shared" ca="1" si="2421"/>
        <v>60</v>
      </c>
      <c r="KD54" s="576">
        <f t="shared" ref="KD54" ca="1" si="2422">KD50/6</f>
        <v>57</v>
      </c>
      <c r="KE54" s="576">
        <f t="shared" ca="1" si="2421"/>
        <v>57</v>
      </c>
      <c r="KF54" s="576">
        <f t="shared" ref="KF54:KI54" ca="1" si="2423">KF50/6</f>
        <v>97</v>
      </c>
      <c r="KG54" s="576">
        <f t="shared" ca="1" si="2423"/>
        <v>90</v>
      </c>
      <c r="KH54" s="576">
        <f t="shared" ca="1" si="2423"/>
        <v>79</v>
      </c>
      <c r="KI54" s="576">
        <f t="shared" ca="1" si="2423"/>
        <v>76</v>
      </c>
      <c r="KJ54" s="576">
        <f t="shared" ref="KJ54:KN54" ca="1" si="2424">KJ50/6</f>
        <v>0</v>
      </c>
      <c r="KK54" s="576">
        <f t="shared" ca="1" si="2424"/>
        <v>108</v>
      </c>
      <c r="KL54" s="576">
        <f t="shared" ca="1" si="2424"/>
        <v>101</v>
      </c>
      <c r="KM54" s="576">
        <f t="shared" ref="KM54" ca="1" si="2425">KM50/6</f>
        <v>89</v>
      </c>
      <c r="KN54" s="576">
        <f t="shared" ca="1" si="2424"/>
        <v>83</v>
      </c>
    </row>
    <row r="55" spans="1:300" s="576" customFormat="1" ht="15" customHeight="1">
      <c r="D55" s="670" t="s">
        <v>34</v>
      </c>
      <c r="E55" s="670"/>
      <c r="F55" s="577"/>
      <c r="G55" s="576" t="s">
        <v>47</v>
      </c>
      <c r="FJ55" s="578"/>
      <c r="IO55" s="576">
        <f t="shared" ref="IO55:IP55" ca="1" si="2426">IO50/6</f>
        <v>184</v>
      </c>
      <c r="IP55" s="576">
        <f t="shared" ca="1" si="2426"/>
        <v>181</v>
      </c>
      <c r="IQ55" s="576">
        <f ca="1">IQ50/6</f>
        <v>126</v>
      </c>
      <c r="IR55" s="576">
        <f t="shared" ref="IR55" ca="1" si="2427">IR50/6</f>
        <v>122</v>
      </c>
      <c r="IS55" s="594">
        <f t="shared" ref="IS55:IZ55" ca="1" si="2428">IS54/80</f>
        <v>1.8625</v>
      </c>
      <c r="IT55" s="594">
        <f t="shared" ca="1" si="2428"/>
        <v>2</v>
      </c>
      <c r="IU55" s="594">
        <f t="shared" ca="1" si="2428"/>
        <v>1.375</v>
      </c>
      <c r="IV55" s="594">
        <f t="shared" ca="1" si="2428"/>
        <v>1.375</v>
      </c>
      <c r="IW55" s="594">
        <f t="shared" ca="1" si="2428"/>
        <v>2</v>
      </c>
      <c r="IX55" s="594">
        <f t="shared" ca="1" si="2428"/>
        <v>2</v>
      </c>
      <c r="IY55" s="594">
        <f t="shared" ca="1" si="2428"/>
        <v>2.0874999999999999</v>
      </c>
      <c r="IZ55" s="594">
        <f t="shared" ca="1" si="2428"/>
        <v>1.4624999999999999</v>
      </c>
      <c r="JA55" s="594">
        <f ca="1">JA54/80</f>
        <v>1.7</v>
      </c>
      <c r="JB55" s="594">
        <f t="shared" ref="JB55:JR55" ca="1" si="2429">JB54/80</f>
        <v>1.75</v>
      </c>
      <c r="JC55" s="594">
        <f t="shared" ca="1" si="2429"/>
        <v>1.6875</v>
      </c>
      <c r="JD55" s="594">
        <f t="shared" ca="1" si="2429"/>
        <v>1.65</v>
      </c>
      <c r="JE55" s="594">
        <f t="shared" ca="1" si="2429"/>
        <v>1.6</v>
      </c>
      <c r="JF55" s="594">
        <f t="shared" ca="1" si="2429"/>
        <v>1.7</v>
      </c>
      <c r="JG55" s="594">
        <f t="shared" ca="1" si="2429"/>
        <v>1.5625</v>
      </c>
      <c r="JH55" s="594">
        <f t="shared" ca="1" si="2429"/>
        <v>1.4750000000000001</v>
      </c>
      <c r="JI55" s="594">
        <f t="shared" ca="1" si="2429"/>
        <v>1.4624999999999999</v>
      </c>
      <c r="JJ55" s="594">
        <f t="shared" ca="1" si="2429"/>
        <v>0</v>
      </c>
      <c r="JK55" s="594">
        <f t="shared" ca="1" si="2429"/>
        <v>2.4458333333333333</v>
      </c>
      <c r="JL55" s="594">
        <f t="shared" ca="1" si="2429"/>
        <v>2.3624999999999998</v>
      </c>
      <c r="JM55" s="594">
        <f t="shared" ca="1" si="2429"/>
        <v>2.1749999999999998</v>
      </c>
      <c r="JN55" s="594">
        <f t="shared" ca="1" si="2429"/>
        <v>1.4125000000000001</v>
      </c>
      <c r="JO55" s="594">
        <f t="shared" ca="1" si="2429"/>
        <v>1.3125</v>
      </c>
      <c r="JP55" s="594">
        <f t="shared" ca="1" si="2429"/>
        <v>1.2375</v>
      </c>
      <c r="JQ55" s="594">
        <f t="shared" ref="JQ55" ca="1" si="2430">JQ54/80</f>
        <v>0</v>
      </c>
      <c r="JR55" s="594">
        <f t="shared" ca="1" si="2429"/>
        <v>1.2</v>
      </c>
      <c r="JS55" s="594">
        <f t="shared" ref="JS55:JV55" ca="1" si="2431">JS54/80</f>
        <v>0.32708333333333334</v>
      </c>
      <c r="JT55" s="594">
        <f t="shared" ca="1" si="2431"/>
        <v>0.28749999999999998</v>
      </c>
      <c r="JU55" s="594">
        <f t="shared" ca="1" si="2431"/>
        <v>0.27500000000000002</v>
      </c>
      <c r="JV55" s="594">
        <f t="shared" ca="1" si="2431"/>
        <v>0.21249999999999999</v>
      </c>
      <c r="JW55" s="594">
        <f t="shared" ref="JW55:JZ55" ca="1" si="2432">JW54/80</f>
        <v>0.875</v>
      </c>
      <c r="JX55" s="594">
        <f t="shared" ca="1" si="2432"/>
        <v>0.78749999999999998</v>
      </c>
      <c r="JY55" s="594">
        <f t="shared" ca="1" si="2432"/>
        <v>0.61250000000000004</v>
      </c>
      <c r="JZ55" s="594">
        <f t="shared" ca="1" si="2432"/>
        <v>0.61250000000000004</v>
      </c>
      <c r="KA55" s="594">
        <f t="shared" ref="KA55:KE55" ca="1" si="2433">KA54/80</f>
        <v>0.9375</v>
      </c>
      <c r="KB55" s="594">
        <f t="shared" ca="1" si="2433"/>
        <v>0.86250000000000004</v>
      </c>
      <c r="KC55" s="594">
        <f t="shared" ca="1" si="2433"/>
        <v>0.75</v>
      </c>
      <c r="KD55" s="594">
        <f t="shared" ref="KD55" ca="1" si="2434">KD54/80</f>
        <v>0.71250000000000002</v>
      </c>
      <c r="KE55" s="594">
        <f t="shared" ca="1" si="2433"/>
        <v>0.71250000000000002</v>
      </c>
      <c r="KF55" s="594">
        <f t="shared" ref="KF55:KI55" ca="1" si="2435">KF54/80</f>
        <v>1.2124999999999999</v>
      </c>
      <c r="KG55" s="594">
        <f t="shared" ca="1" si="2435"/>
        <v>1.125</v>
      </c>
      <c r="KH55" s="594">
        <f t="shared" ca="1" si="2435"/>
        <v>0.98750000000000004</v>
      </c>
      <c r="KI55" s="594">
        <f t="shared" ca="1" si="2435"/>
        <v>0.95</v>
      </c>
      <c r="KJ55" s="594">
        <f t="shared" ref="KJ55:KN55" ca="1" si="2436">KJ54/80</f>
        <v>0</v>
      </c>
      <c r="KK55" s="594">
        <f t="shared" ca="1" si="2436"/>
        <v>1.35</v>
      </c>
      <c r="KL55" s="594">
        <f t="shared" ca="1" si="2436"/>
        <v>1.2625</v>
      </c>
      <c r="KM55" s="594">
        <f t="shared" ref="KM55" ca="1" si="2437">KM54/80</f>
        <v>1.1125</v>
      </c>
      <c r="KN55" s="594">
        <f t="shared" ca="1" si="2436"/>
        <v>1.0375000000000001</v>
      </c>
    </row>
    <row r="56" spans="1:300" s="580" customFormat="1" ht="15.75">
      <c r="A56" s="576"/>
      <c r="B56" s="576"/>
      <c r="C56" s="576"/>
      <c r="D56" s="574" t="s">
        <v>42</v>
      </c>
      <c r="E56" s="579"/>
      <c r="F56" s="577"/>
      <c r="G56" s="576"/>
      <c r="H56" s="576"/>
      <c r="I56" s="576"/>
      <c r="J56" s="576"/>
      <c r="K56" s="576"/>
      <c r="L56" s="576"/>
      <c r="M56" s="576"/>
      <c r="N56" s="576"/>
      <c r="O56" s="576"/>
      <c r="P56" s="576"/>
      <c r="Q56" s="576"/>
      <c r="R56" s="576"/>
      <c r="S56" s="576"/>
      <c r="T56" s="576"/>
      <c r="U56" s="576"/>
      <c r="V56" s="576"/>
      <c r="W56" s="576"/>
      <c r="X56" s="576"/>
      <c r="Y56" s="576"/>
      <c r="Z56" s="576"/>
      <c r="AA56" s="576"/>
      <c r="AB56" s="576"/>
      <c r="AC56" s="576"/>
      <c r="AD56" s="576"/>
      <c r="AE56" s="576"/>
      <c r="AF56" s="576"/>
      <c r="AG56" s="576"/>
      <c r="AH56" s="576"/>
      <c r="AI56" s="576"/>
      <c r="AJ56" s="576"/>
      <c r="AK56" s="576"/>
      <c r="AL56" s="576"/>
      <c r="AM56" s="576"/>
      <c r="AN56" s="576"/>
      <c r="AO56" s="576"/>
      <c r="AP56" s="576"/>
      <c r="AQ56" s="576"/>
      <c r="AR56" s="576"/>
      <c r="AS56" s="576"/>
      <c r="AT56" s="576"/>
      <c r="AU56" s="576"/>
      <c r="AV56" s="576"/>
      <c r="AW56" s="576"/>
      <c r="AX56" s="576"/>
      <c r="AY56" s="576"/>
      <c r="AZ56" s="576"/>
      <c r="BA56" s="576"/>
      <c r="BB56" s="576"/>
      <c r="BC56" s="576"/>
      <c r="BD56" s="576"/>
      <c r="BE56" s="576"/>
      <c r="BF56" s="576"/>
      <c r="BG56" s="576"/>
      <c r="BH56" s="576"/>
      <c r="BI56" s="576"/>
      <c r="BJ56" s="576"/>
      <c r="BK56" s="576"/>
      <c r="BL56" s="576"/>
      <c r="BM56" s="576"/>
      <c r="BN56" s="576"/>
      <c r="BO56" s="576"/>
      <c r="BP56" s="576"/>
      <c r="BQ56" s="576"/>
      <c r="BR56" s="576"/>
      <c r="BS56" s="576"/>
      <c r="BT56" s="576"/>
      <c r="BU56" s="576"/>
      <c r="BV56" s="576"/>
      <c r="BW56" s="576"/>
      <c r="BX56" s="576"/>
      <c r="BY56" s="576"/>
      <c r="BZ56" s="576"/>
      <c r="CA56" s="576"/>
      <c r="CB56" s="576"/>
      <c r="CC56" s="576"/>
      <c r="CD56" s="576"/>
      <c r="CE56" s="576"/>
      <c r="CF56" s="576"/>
      <c r="CG56" s="576"/>
      <c r="CH56" s="576"/>
      <c r="CI56" s="576"/>
      <c r="CJ56" s="576"/>
      <c r="CK56" s="576"/>
      <c r="CL56" s="576"/>
      <c r="CM56" s="576"/>
      <c r="CN56" s="576"/>
      <c r="CO56" s="576"/>
      <c r="CP56" s="576"/>
      <c r="CQ56" s="576"/>
      <c r="CR56" s="576"/>
      <c r="CS56" s="576"/>
      <c r="CT56" s="576"/>
      <c r="CU56" s="576"/>
      <c r="CV56" s="576"/>
      <c r="CW56" s="576"/>
      <c r="CX56" s="576"/>
      <c r="CY56" s="576"/>
      <c r="CZ56" s="576"/>
      <c r="DA56" s="576"/>
      <c r="DB56" s="576"/>
      <c r="DC56" s="576"/>
      <c r="DD56" s="576"/>
      <c r="DE56" s="576"/>
      <c r="DF56" s="576"/>
      <c r="DG56" s="576"/>
      <c r="DH56" s="576"/>
      <c r="DI56" s="576"/>
      <c r="DJ56" s="576"/>
      <c r="DK56" s="576"/>
      <c r="DL56" s="576"/>
      <c r="DM56" s="576"/>
      <c r="DN56" s="576"/>
      <c r="DO56" s="576"/>
      <c r="DP56" s="576"/>
      <c r="DQ56" s="576"/>
      <c r="DR56" s="576"/>
      <c r="DS56" s="576"/>
      <c r="DT56" s="576"/>
      <c r="DU56" s="576"/>
      <c r="DV56" s="576"/>
      <c r="DW56" s="576"/>
      <c r="DX56" s="576"/>
      <c r="DY56" s="576"/>
      <c r="DZ56" s="576"/>
      <c r="EA56" s="576"/>
      <c r="EB56" s="576"/>
      <c r="EC56" s="576"/>
      <c r="ED56" s="576"/>
      <c r="EE56" s="576"/>
      <c r="EF56" s="576"/>
      <c r="EG56" s="576"/>
      <c r="EH56" s="576"/>
      <c r="EI56" s="576"/>
      <c r="EJ56" s="576"/>
      <c r="EK56" s="576"/>
      <c r="EL56" s="576"/>
      <c r="EM56" s="576"/>
      <c r="EN56" s="576"/>
      <c r="EO56" s="576"/>
      <c r="EP56" s="576"/>
      <c r="EQ56" s="576"/>
      <c r="ER56" s="576"/>
      <c r="ES56" s="576"/>
      <c r="ET56" s="576"/>
      <c r="EU56" s="576"/>
      <c r="EV56" s="576"/>
      <c r="EW56" s="576"/>
      <c r="EX56" s="576"/>
      <c r="EY56" s="576"/>
      <c r="EZ56" s="576"/>
      <c r="FA56" s="576"/>
      <c r="FB56" s="576"/>
      <c r="FC56" s="576"/>
      <c r="FD56" s="576"/>
      <c r="FE56" s="576"/>
      <c r="FF56" s="576"/>
      <c r="FG56" s="576"/>
      <c r="FH56" s="576"/>
      <c r="FI56" s="576"/>
      <c r="FJ56" s="578"/>
      <c r="FK56" s="576"/>
      <c r="FL56" s="576"/>
      <c r="FM56" s="576"/>
      <c r="FN56" s="576"/>
      <c r="FO56" s="576"/>
      <c r="FP56" s="576"/>
      <c r="FQ56" s="576"/>
      <c r="FR56" s="576"/>
      <c r="FS56" s="576"/>
      <c r="FT56" s="576"/>
      <c r="FU56" s="576"/>
      <c r="FV56" s="576"/>
      <c r="IO56" s="580">
        <f t="shared" ref="IO56:IP56" ca="1" si="2438">IO55/4</f>
        <v>46</v>
      </c>
      <c r="IP56" s="580">
        <f t="shared" ca="1" si="2438"/>
        <v>45.25</v>
      </c>
      <c r="IQ56" s="580">
        <f ca="1">IQ55/4</f>
        <v>31.5</v>
      </c>
      <c r="IR56" s="580">
        <f t="shared" ref="IR56" ca="1" si="2439">IR55/4</f>
        <v>30.5</v>
      </c>
    </row>
    <row r="57" spans="1:300" s="580" customFormat="1" ht="15.75">
      <c r="A57" s="576"/>
      <c r="B57" s="576"/>
      <c r="C57" s="576"/>
      <c r="D57" s="574" t="s">
        <v>43</v>
      </c>
      <c r="E57" s="579"/>
      <c r="F57" s="577"/>
      <c r="G57" s="576"/>
      <c r="H57" s="576"/>
      <c r="I57" s="576"/>
      <c r="J57" s="576"/>
      <c r="K57" s="576"/>
      <c r="L57" s="576"/>
      <c r="M57" s="576"/>
      <c r="N57" s="576"/>
      <c r="O57" s="576"/>
      <c r="P57" s="576"/>
      <c r="Q57" s="576"/>
      <c r="R57" s="576"/>
      <c r="S57" s="576"/>
      <c r="T57" s="576"/>
      <c r="U57" s="576"/>
      <c r="V57" s="576"/>
      <c r="W57" s="576"/>
      <c r="X57" s="576"/>
      <c r="Y57" s="576"/>
      <c r="Z57" s="576"/>
      <c r="AA57" s="576"/>
      <c r="AB57" s="576"/>
      <c r="AC57" s="576"/>
      <c r="AD57" s="576"/>
      <c r="AE57" s="576"/>
      <c r="AF57" s="576"/>
      <c r="AG57" s="576"/>
      <c r="AH57" s="576"/>
      <c r="AI57" s="576"/>
      <c r="AJ57" s="576"/>
      <c r="AK57" s="576"/>
      <c r="AL57" s="576"/>
      <c r="AM57" s="576"/>
      <c r="AN57" s="576"/>
      <c r="AO57" s="576"/>
      <c r="AP57" s="576"/>
      <c r="AQ57" s="576"/>
      <c r="AR57" s="576"/>
      <c r="AS57" s="576"/>
      <c r="AT57" s="576"/>
      <c r="AU57" s="576"/>
      <c r="AV57" s="576"/>
      <c r="AW57" s="576"/>
      <c r="AX57" s="576"/>
      <c r="AY57" s="576"/>
      <c r="AZ57" s="576"/>
      <c r="BA57" s="576"/>
      <c r="BB57" s="576"/>
      <c r="BC57" s="576"/>
      <c r="BD57" s="576"/>
      <c r="BE57" s="576"/>
      <c r="BF57" s="576"/>
      <c r="BG57" s="576"/>
      <c r="BH57" s="576"/>
      <c r="BI57" s="576"/>
      <c r="BJ57" s="576"/>
      <c r="BK57" s="576"/>
      <c r="BL57" s="576"/>
      <c r="BM57" s="576"/>
      <c r="BN57" s="576"/>
      <c r="BO57" s="576"/>
      <c r="BP57" s="576"/>
      <c r="BQ57" s="576"/>
      <c r="BR57" s="576"/>
      <c r="BS57" s="576"/>
      <c r="BT57" s="576"/>
      <c r="BU57" s="576"/>
      <c r="BV57" s="576"/>
      <c r="BW57" s="576"/>
      <c r="BX57" s="576"/>
      <c r="BY57" s="576"/>
      <c r="BZ57" s="576"/>
      <c r="CA57" s="576"/>
      <c r="CB57" s="576"/>
      <c r="CC57" s="576"/>
      <c r="CD57" s="576"/>
      <c r="CE57" s="576"/>
      <c r="CF57" s="576"/>
      <c r="CG57" s="576"/>
      <c r="CH57" s="576"/>
      <c r="CI57" s="576"/>
      <c r="CJ57" s="576"/>
      <c r="CK57" s="576"/>
      <c r="CL57" s="576"/>
      <c r="CM57" s="576"/>
      <c r="CN57" s="576"/>
      <c r="CO57" s="576"/>
      <c r="CP57" s="576"/>
      <c r="CQ57" s="576"/>
      <c r="CR57" s="576"/>
      <c r="CS57" s="576"/>
      <c r="CT57" s="576"/>
      <c r="CU57" s="576"/>
      <c r="CV57" s="576"/>
      <c r="CW57" s="576"/>
      <c r="CX57" s="576"/>
      <c r="CY57" s="576"/>
      <c r="CZ57" s="576"/>
      <c r="DA57" s="576"/>
      <c r="DB57" s="576"/>
      <c r="DC57" s="576"/>
      <c r="DD57" s="576"/>
      <c r="DE57" s="576"/>
      <c r="DF57" s="576"/>
      <c r="DG57" s="576"/>
      <c r="DH57" s="576"/>
      <c r="DI57" s="576"/>
      <c r="DJ57" s="576"/>
      <c r="DK57" s="576"/>
      <c r="DL57" s="576"/>
      <c r="DM57" s="576"/>
      <c r="DN57" s="576"/>
      <c r="DO57" s="576"/>
      <c r="DP57" s="576"/>
      <c r="DQ57" s="576"/>
      <c r="DR57" s="576"/>
      <c r="DS57" s="576"/>
      <c r="DT57" s="576"/>
      <c r="DU57" s="576"/>
      <c r="DV57" s="576"/>
      <c r="DW57" s="576"/>
      <c r="DX57" s="576"/>
      <c r="DY57" s="576"/>
      <c r="DZ57" s="576"/>
      <c r="EA57" s="576"/>
      <c r="EB57" s="576"/>
      <c r="EC57" s="576"/>
      <c r="ED57" s="576"/>
      <c r="EE57" s="576"/>
      <c r="EF57" s="576"/>
      <c r="EG57" s="576"/>
      <c r="EH57" s="576"/>
      <c r="EI57" s="576"/>
      <c r="EJ57" s="576"/>
      <c r="EK57" s="576"/>
      <c r="EL57" s="578"/>
      <c r="EM57" s="576"/>
      <c r="EN57" s="576"/>
      <c r="EO57" s="576"/>
      <c r="EP57" s="576"/>
      <c r="EQ57" s="576"/>
      <c r="ER57" s="576"/>
      <c r="ES57" s="576"/>
      <c r="ET57" s="576"/>
      <c r="EU57" s="576"/>
      <c r="EV57" s="576"/>
      <c r="EW57" s="576"/>
      <c r="EX57" s="576"/>
      <c r="EY57" s="576"/>
      <c r="EZ57" s="576"/>
      <c r="FA57" s="576"/>
      <c r="FB57" s="576"/>
      <c r="FC57" s="576"/>
      <c r="FD57" s="576"/>
      <c r="FE57" s="576"/>
      <c r="FF57" s="576"/>
      <c r="FG57" s="576"/>
      <c r="FH57" s="576"/>
      <c r="FI57" s="576"/>
      <c r="FJ57" s="576"/>
      <c r="FK57" s="576"/>
      <c r="FL57" s="576"/>
      <c r="FM57" s="576"/>
      <c r="FN57" s="576"/>
      <c r="FO57" s="576"/>
      <c r="FP57" s="576"/>
      <c r="FQ57" s="576"/>
      <c r="FR57" s="576"/>
      <c r="FS57" s="576"/>
      <c r="FT57" s="576"/>
      <c r="FU57" s="576"/>
      <c r="FV57" s="576"/>
    </row>
    <row r="58" spans="1:300" s="580" customFormat="1"/>
    <row r="59" spans="1:300" s="580" customFormat="1">
      <c r="B59" s="671" t="s">
        <v>32</v>
      </c>
      <c r="C59" s="674" t="s">
        <v>35</v>
      </c>
      <c r="D59" s="581" t="s">
        <v>138</v>
      </c>
      <c r="E59" s="581"/>
      <c r="F59" s="581"/>
      <c r="G59" s="581"/>
      <c r="H59" s="581"/>
      <c r="I59" s="581"/>
      <c r="J59" s="581"/>
      <c r="K59" s="581"/>
      <c r="L59" s="581"/>
      <c r="M59" s="581"/>
      <c r="N59" s="581"/>
      <c r="O59" s="581"/>
      <c r="P59" s="581"/>
      <c r="Q59" s="581"/>
      <c r="R59" s="581"/>
      <c r="S59" s="581"/>
      <c r="T59" s="581"/>
      <c r="U59" s="581"/>
      <c r="V59" s="581"/>
      <c r="W59" s="581"/>
      <c r="X59" s="582"/>
      <c r="Y59" s="582"/>
      <c r="Z59" s="582"/>
      <c r="AA59" s="582"/>
      <c r="AB59" s="582"/>
      <c r="AC59" s="582"/>
      <c r="AD59" s="582"/>
      <c r="AE59" s="582"/>
      <c r="AF59" s="582"/>
      <c r="AG59" s="582"/>
      <c r="AH59" s="582"/>
      <c r="AI59" s="582"/>
      <c r="AJ59" s="582"/>
      <c r="AK59" s="582"/>
      <c r="AL59" s="582"/>
      <c r="AM59" s="582"/>
      <c r="AN59" s="582"/>
      <c r="AO59" s="582"/>
      <c r="AP59" s="582"/>
      <c r="AQ59" s="582"/>
      <c r="AR59" s="582"/>
      <c r="AS59" s="582"/>
      <c r="AT59" s="582"/>
      <c r="AU59" s="582"/>
      <c r="AV59" s="582"/>
      <c r="AW59" s="582"/>
      <c r="AX59" s="582"/>
      <c r="AY59" s="582"/>
      <c r="AZ59" s="582"/>
      <c r="BA59" s="582"/>
      <c r="BB59" s="582"/>
      <c r="BC59" s="582"/>
      <c r="BD59" s="582"/>
      <c r="BE59" s="582"/>
      <c r="BF59" s="582"/>
      <c r="BG59" s="582"/>
      <c r="BH59" s="582"/>
      <c r="BI59" s="582"/>
      <c r="BJ59" s="582"/>
    </row>
    <row r="60" spans="1:300" s="580" customFormat="1" ht="85.5">
      <c r="B60" s="672"/>
      <c r="C60" s="675"/>
      <c r="D60" s="583" t="s">
        <v>45</v>
      </c>
      <c r="E60" s="584"/>
      <c r="F60" s="585"/>
      <c r="G60" s="585"/>
      <c r="H60" s="585"/>
      <c r="I60" s="585"/>
      <c r="J60" s="585"/>
      <c r="K60" s="585"/>
      <c r="L60" s="585"/>
      <c r="M60" s="585"/>
      <c r="N60" s="585"/>
      <c r="O60" s="585"/>
      <c r="P60" s="585"/>
      <c r="Q60" s="585"/>
      <c r="R60" s="585"/>
      <c r="S60" s="585"/>
      <c r="T60" s="585"/>
      <c r="U60" s="585"/>
      <c r="V60" s="585"/>
      <c r="W60" s="585"/>
      <c r="X60" s="582"/>
      <c r="Y60" s="582"/>
      <c r="Z60" s="582"/>
      <c r="AA60" s="582"/>
      <c r="AB60" s="582"/>
      <c r="AC60" s="586"/>
      <c r="AD60" s="587"/>
      <c r="AE60" s="587"/>
      <c r="AF60" s="587"/>
      <c r="AG60" s="587"/>
      <c r="AH60" s="587"/>
      <c r="AI60" s="587"/>
      <c r="AJ60" s="587"/>
      <c r="AK60" s="587"/>
      <c r="AL60" s="587"/>
      <c r="AM60" s="587"/>
      <c r="AN60" s="587"/>
      <c r="AO60" s="587"/>
      <c r="AP60" s="587"/>
      <c r="AQ60" s="587"/>
      <c r="AR60" s="587"/>
      <c r="AS60" s="587"/>
      <c r="AT60" s="587"/>
      <c r="AU60" s="587"/>
      <c r="AV60" s="587"/>
      <c r="AW60" s="587"/>
      <c r="AX60" s="587"/>
      <c r="AY60" s="587"/>
      <c r="AZ60" s="587"/>
      <c r="BA60" s="587"/>
      <c r="BB60" s="587"/>
      <c r="BC60" s="587"/>
      <c r="BD60" s="587"/>
      <c r="BE60" s="587"/>
      <c r="BF60" s="587"/>
      <c r="BG60" s="587"/>
      <c r="BH60" s="587"/>
      <c r="BI60" s="587"/>
      <c r="BJ60" s="587"/>
      <c r="EF60" s="582"/>
      <c r="EG60" s="582"/>
    </row>
    <row r="61" spans="1:300" s="580" customFormat="1">
      <c r="B61" s="672"/>
      <c r="C61" s="675"/>
      <c r="D61" s="588" t="s">
        <v>30</v>
      </c>
      <c r="E61" s="588"/>
      <c r="F61" s="585"/>
      <c r="G61" s="585"/>
      <c r="H61" s="585"/>
      <c r="I61" s="585"/>
      <c r="J61" s="585"/>
      <c r="K61" s="585"/>
      <c r="L61" s="585"/>
      <c r="M61" s="585"/>
      <c r="N61" s="585"/>
      <c r="O61" s="585"/>
      <c r="P61" s="585"/>
      <c r="Q61" s="585"/>
      <c r="R61" s="585"/>
      <c r="S61" s="585"/>
      <c r="T61" s="585"/>
      <c r="U61" s="585"/>
      <c r="V61" s="585"/>
      <c r="W61" s="585"/>
      <c r="X61" s="582"/>
      <c r="Y61" s="582"/>
      <c r="Z61" s="582"/>
      <c r="AA61" s="582"/>
      <c r="AB61" s="582"/>
      <c r="AC61" s="586"/>
      <c r="AD61" s="587"/>
      <c r="AE61" s="587"/>
      <c r="AF61" s="587"/>
      <c r="AG61" s="587"/>
      <c r="AH61" s="587"/>
      <c r="AI61" s="587"/>
      <c r="AJ61" s="587"/>
      <c r="AK61" s="587"/>
      <c r="AL61" s="587"/>
      <c r="AM61" s="587"/>
      <c r="AN61" s="587"/>
      <c r="AO61" s="587"/>
      <c r="AP61" s="587"/>
      <c r="AQ61" s="587"/>
      <c r="AR61" s="587"/>
      <c r="AS61" s="587"/>
      <c r="AT61" s="587"/>
      <c r="AU61" s="587"/>
      <c r="AV61" s="587"/>
      <c r="AW61" s="587"/>
      <c r="AX61" s="587"/>
      <c r="AY61" s="587"/>
      <c r="AZ61" s="587"/>
      <c r="BA61" s="587"/>
      <c r="BB61" s="587"/>
      <c r="BC61" s="587"/>
      <c r="BD61" s="587"/>
      <c r="BE61" s="587"/>
      <c r="BF61" s="587"/>
      <c r="BG61" s="587"/>
      <c r="BH61" s="587"/>
      <c r="BI61" s="587"/>
      <c r="BJ61" s="587"/>
      <c r="EF61" s="582"/>
      <c r="EG61" s="582"/>
    </row>
    <row r="62" spans="1:300" s="580" customFormat="1" ht="90" customHeight="1">
      <c r="B62" s="672"/>
      <c r="C62" s="676"/>
      <c r="D62" s="588" t="s">
        <v>37</v>
      </c>
      <c r="E62" s="588"/>
      <c r="F62" s="585"/>
      <c r="G62" s="585"/>
      <c r="H62" s="585"/>
      <c r="I62" s="585"/>
      <c r="J62" s="585"/>
      <c r="K62" s="585"/>
      <c r="L62" s="585"/>
      <c r="M62" s="585"/>
      <c r="N62" s="585"/>
      <c r="O62" s="585"/>
      <c r="P62" s="585"/>
      <c r="Q62" s="585"/>
      <c r="R62" s="585"/>
      <c r="S62" s="585"/>
      <c r="T62" s="585"/>
      <c r="U62" s="585"/>
      <c r="V62" s="585"/>
      <c r="W62" s="585"/>
      <c r="X62" s="582"/>
      <c r="Y62" s="582"/>
      <c r="Z62" s="582"/>
      <c r="AA62" s="582"/>
      <c r="AB62" s="582"/>
      <c r="AC62" s="582"/>
      <c r="AD62" s="587"/>
      <c r="AE62" s="587"/>
      <c r="AF62" s="587"/>
      <c r="AG62" s="587"/>
      <c r="AH62" s="587"/>
      <c r="AI62" s="587"/>
      <c r="AJ62" s="587"/>
      <c r="AK62" s="587"/>
      <c r="AL62" s="587"/>
      <c r="AM62" s="587"/>
      <c r="AN62" s="587"/>
      <c r="AO62" s="587"/>
      <c r="AP62" s="587"/>
      <c r="AQ62" s="587"/>
      <c r="AR62" s="587"/>
      <c r="AS62" s="587"/>
      <c r="AT62" s="587"/>
      <c r="AU62" s="587"/>
      <c r="AV62" s="587"/>
      <c r="AW62" s="587"/>
      <c r="AX62" s="587"/>
      <c r="AY62" s="587"/>
      <c r="AZ62" s="587"/>
      <c r="BA62" s="587"/>
      <c r="BB62" s="587"/>
      <c r="BC62" s="587"/>
      <c r="BD62" s="587"/>
      <c r="BE62" s="587"/>
      <c r="BF62" s="587"/>
      <c r="BG62" s="587"/>
      <c r="BH62" s="587"/>
      <c r="BI62" s="587"/>
      <c r="BJ62" s="587"/>
      <c r="EF62" s="582"/>
      <c r="EG62" s="582"/>
    </row>
    <row r="63" spans="1:300" s="580" customFormat="1">
      <c r="B63" s="672"/>
      <c r="C63" s="677" t="s">
        <v>36</v>
      </c>
      <c r="D63" s="581" t="s">
        <v>138</v>
      </c>
      <c r="E63" s="581"/>
      <c r="F63" s="581"/>
      <c r="G63" s="581"/>
      <c r="H63" s="581"/>
      <c r="I63" s="581"/>
      <c r="J63" s="581"/>
      <c r="K63" s="581"/>
      <c r="L63" s="581"/>
      <c r="M63" s="581"/>
      <c r="N63" s="581"/>
      <c r="O63" s="581"/>
      <c r="P63" s="581"/>
      <c r="Q63" s="581"/>
      <c r="R63" s="581"/>
      <c r="S63" s="581"/>
      <c r="T63" s="581"/>
      <c r="U63" s="581"/>
      <c r="V63" s="581"/>
      <c r="W63" s="581"/>
      <c r="X63" s="582"/>
      <c r="Y63" s="582"/>
      <c r="Z63" s="582"/>
      <c r="AA63" s="582"/>
      <c r="AB63" s="582"/>
      <c r="AC63" s="582"/>
      <c r="AD63" s="587"/>
      <c r="AE63" s="587"/>
      <c r="AF63" s="587"/>
      <c r="AG63" s="587"/>
      <c r="AH63" s="587"/>
      <c r="AI63" s="587"/>
      <c r="AJ63" s="587"/>
      <c r="AK63" s="587"/>
      <c r="AL63" s="587"/>
      <c r="AM63" s="587"/>
      <c r="AN63" s="587"/>
      <c r="AO63" s="587"/>
      <c r="AP63" s="587"/>
      <c r="AQ63" s="587"/>
      <c r="AR63" s="587"/>
      <c r="AS63" s="587"/>
      <c r="AT63" s="587"/>
      <c r="AU63" s="587"/>
      <c r="AV63" s="587"/>
      <c r="AW63" s="587"/>
      <c r="AX63" s="587"/>
      <c r="AY63" s="587"/>
      <c r="AZ63" s="587"/>
      <c r="BA63" s="587"/>
      <c r="BB63" s="587"/>
      <c r="BC63" s="587"/>
      <c r="BD63" s="587"/>
      <c r="BE63" s="587"/>
      <c r="BF63" s="587"/>
      <c r="BG63" s="587"/>
      <c r="BH63" s="587"/>
      <c r="BI63" s="587"/>
      <c r="BJ63" s="587"/>
      <c r="EF63" s="582"/>
      <c r="EG63" s="582"/>
    </row>
    <row r="64" spans="1:300" s="580" customFormat="1" ht="85.5">
      <c r="B64" s="672"/>
      <c r="C64" s="675"/>
      <c r="D64" s="583" t="s">
        <v>45</v>
      </c>
      <c r="E64" s="588"/>
      <c r="F64" s="585"/>
      <c r="G64" s="585"/>
      <c r="H64" s="585"/>
      <c r="I64" s="585"/>
      <c r="J64" s="585"/>
      <c r="K64" s="585"/>
      <c r="L64" s="585"/>
      <c r="M64" s="585"/>
      <c r="N64" s="585"/>
      <c r="O64" s="585"/>
      <c r="P64" s="585"/>
      <c r="Q64" s="585"/>
      <c r="R64" s="585"/>
      <c r="S64" s="585"/>
      <c r="T64" s="585"/>
      <c r="U64" s="585"/>
      <c r="V64" s="585"/>
      <c r="W64" s="585"/>
      <c r="X64" s="582"/>
      <c r="Y64" s="582"/>
      <c r="Z64" s="582"/>
      <c r="AA64" s="582"/>
      <c r="AB64" s="582"/>
      <c r="AC64" s="582"/>
      <c r="AD64" s="587"/>
      <c r="AE64" s="587"/>
      <c r="AF64" s="587"/>
      <c r="AG64" s="587"/>
      <c r="AH64" s="587"/>
      <c r="AI64" s="587"/>
      <c r="AJ64" s="587"/>
      <c r="AK64" s="587"/>
      <c r="AL64" s="587"/>
      <c r="AM64" s="587"/>
      <c r="AN64" s="587"/>
      <c r="AO64" s="587"/>
      <c r="AP64" s="587"/>
      <c r="AQ64" s="587"/>
      <c r="AR64" s="587"/>
      <c r="AS64" s="587"/>
      <c r="AT64" s="587"/>
      <c r="AU64" s="587"/>
      <c r="AV64" s="587"/>
      <c r="AW64" s="587"/>
      <c r="AX64" s="587"/>
      <c r="AY64" s="587"/>
      <c r="AZ64" s="587"/>
      <c r="BA64" s="587"/>
      <c r="BB64" s="587"/>
      <c r="BC64" s="587"/>
      <c r="BD64" s="587"/>
      <c r="BE64" s="587"/>
      <c r="BF64" s="587"/>
      <c r="BG64" s="587"/>
      <c r="BH64" s="587"/>
      <c r="BI64" s="587"/>
      <c r="BJ64" s="587"/>
      <c r="EF64" s="582"/>
      <c r="EG64" s="582"/>
    </row>
    <row r="65" spans="1:178" s="580" customFormat="1" hidden="1">
      <c r="B65" s="672"/>
      <c r="C65" s="675"/>
      <c r="D65" s="588" t="s">
        <v>30</v>
      </c>
      <c r="E65" s="588"/>
      <c r="F65" s="585"/>
      <c r="G65" s="585"/>
      <c r="H65" s="585"/>
      <c r="I65" s="585"/>
      <c r="J65" s="585"/>
      <c r="K65" s="585"/>
      <c r="L65" s="585"/>
      <c r="M65" s="585"/>
      <c r="N65" s="585"/>
      <c r="O65" s="585"/>
      <c r="P65" s="585"/>
      <c r="Q65" s="585"/>
      <c r="R65" s="585"/>
      <c r="S65" s="585"/>
      <c r="T65" s="585"/>
      <c r="U65" s="585"/>
      <c r="V65" s="585"/>
      <c r="W65" s="585"/>
      <c r="X65" s="582"/>
      <c r="Y65" s="582"/>
      <c r="Z65" s="582"/>
      <c r="AA65" s="582"/>
      <c r="AB65" s="582"/>
      <c r="AC65" s="582"/>
      <c r="AD65" s="582"/>
      <c r="AE65" s="582"/>
      <c r="AF65" s="582"/>
      <c r="AG65" s="582"/>
      <c r="AH65" s="582"/>
      <c r="AI65" s="582"/>
      <c r="AJ65" s="582"/>
      <c r="AK65" s="582"/>
      <c r="AL65" s="582"/>
      <c r="AM65" s="582"/>
      <c r="AN65" s="582"/>
      <c r="AO65" s="582"/>
      <c r="AP65" s="582"/>
      <c r="AQ65" s="582"/>
      <c r="AR65" s="582"/>
      <c r="AS65" s="582"/>
      <c r="AT65" s="582"/>
      <c r="AU65" s="582"/>
      <c r="AV65" s="582"/>
      <c r="AW65" s="582"/>
      <c r="AX65" s="582"/>
      <c r="AY65" s="582"/>
      <c r="AZ65" s="582"/>
      <c r="BA65" s="582"/>
      <c r="BB65" s="582"/>
      <c r="BC65" s="582"/>
      <c r="BD65" s="582"/>
      <c r="BE65" s="582"/>
      <c r="BF65" s="582"/>
      <c r="BG65" s="582"/>
      <c r="BH65" s="582"/>
      <c r="BI65" s="582"/>
      <c r="BJ65" s="582"/>
    </row>
    <row r="66" spans="1:178" s="580" customFormat="1" hidden="1">
      <c r="B66" s="673"/>
      <c r="C66" s="678"/>
      <c r="D66" s="589" t="s">
        <v>37</v>
      </c>
      <c r="E66" s="589"/>
      <c r="F66" s="590"/>
      <c r="G66" s="590"/>
      <c r="H66" s="590"/>
      <c r="I66" s="590"/>
      <c r="J66" s="590"/>
      <c r="K66" s="590"/>
      <c r="L66" s="590"/>
      <c r="M66" s="590"/>
      <c r="N66" s="590"/>
      <c r="O66" s="590"/>
      <c r="P66" s="590"/>
      <c r="Q66" s="590"/>
      <c r="R66" s="590"/>
      <c r="S66" s="590"/>
      <c r="T66" s="590"/>
      <c r="U66" s="590"/>
      <c r="V66" s="590"/>
      <c r="W66" s="590"/>
      <c r="X66" s="582"/>
      <c r="Y66" s="582"/>
      <c r="Z66" s="582"/>
      <c r="AA66" s="582"/>
      <c r="AB66" s="582"/>
      <c r="AC66" s="582"/>
      <c r="AD66" s="582"/>
      <c r="AE66" s="582"/>
      <c r="AF66" s="582"/>
      <c r="AG66" s="582"/>
      <c r="AH66" s="582"/>
      <c r="AI66" s="582"/>
      <c r="AJ66" s="582"/>
      <c r="AK66" s="582"/>
      <c r="AL66" s="582"/>
      <c r="AM66" s="582"/>
      <c r="AN66" s="582"/>
      <c r="AO66" s="582"/>
      <c r="AP66" s="582"/>
      <c r="AQ66" s="582"/>
      <c r="AR66" s="582"/>
      <c r="AS66" s="582"/>
      <c r="AT66" s="582"/>
      <c r="AU66" s="582"/>
      <c r="AV66" s="582"/>
      <c r="AW66" s="582"/>
      <c r="AX66" s="582"/>
      <c r="AY66" s="582"/>
      <c r="AZ66" s="582"/>
      <c r="BA66" s="582"/>
      <c r="BB66" s="582"/>
      <c r="BC66" s="582"/>
      <c r="BD66" s="582"/>
      <c r="BE66" s="582"/>
      <c r="BF66" s="582"/>
      <c r="BG66" s="582"/>
      <c r="BH66" s="582"/>
      <c r="BI66" s="582"/>
      <c r="BJ66" s="582"/>
    </row>
    <row r="67" spans="1:178" s="580" customFormat="1" hidden="1">
      <c r="B67" s="591"/>
      <c r="C67" s="591"/>
      <c r="D67" s="592"/>
      <c r="E67" s="592"/>
    </row>
    <row r="68" spans="1:178" s="580" customFormat="1" hidden="1">
      <c r="B68" s="591"/>
      <c r="C68" s="591"/>
      <c r="D68" s="592"/>
      <c r="E68" s="592"/>
    </row>
    <row r="69" spans="1:178" s="580" customFormat="1" hidden="1">
      <c r="B69" s="679" t="s">
        <v>31</v>
      </c>
      <c r="C69" s="674" t="s">
        <v>35</v>
      </c>
      <c r="D69" s="581" t="s">
        <v>138</v>
      </c>
      <c r="E69" s="581"/>
      <c r="F69" s="581"/>
      <c r="G69" s="581"/>
      <c r="H69" s="581"/>
      <c r="I69" s="581"/>
      <c r="J69" s="581"/>
      <c r="K69" s="581"/>
      <c r="L69" s="581"/>
      <c r="M69" s="581"/>
      <c r="N69" s="581"/>
      <c r="O69" s="581"/>
      <c r="P69" s="581"/>
      <c r="Q69" s="581"/>
      <c r="R69" s="581"/>
      <c r="S69" s="581"/>
      <c r="T69" s="581"/>
      <c r="U69" s="581"/>
      <c r="V69" s="581"/>
      <c r="W69" s="581"/>
      <c r="X69" s="582"/>
      <c r="Y69" s="582"/>
      <c r="Z69" s="582"/>
      <c r="AA69" s="582"/>
      <c r="AB69" s="582"/>
      <c r="AC69" s="582"/>
      <c r="AD69" s="582"/>
      <c r="AE69" s="582"/>
      <c r="AF69" s="582"/>
      <c r="AG69" s="582"/>
      <c r="AH69" s="582"/>
      <c r="AI69" s="582"/>
      <c r="AJ69" s="582"/>
      <c r="AK69" s="582"/>
      <c r="AL69" s="582"/>
      <c r="AM69" s="582"/>
      <c r="AN69" s="582"/>
      <c r="AO69" s="582"/>
      <c r="AP69" s="582"/>
      <c r="AQ69" s="582"/>
      <c r="AR69" s="582"/>
      <c r="AS69" s="582"/>
      <c r="AT69" s="582"/>
      <c r="AU69" s="582"/>
      <c r="AV69" s="582"/>
      <c r="AW69" s="582"/>
      <c r="AX69" s="582"/>
      <c r="AY69" s="582"/>
      <c r="AZ69" s="582"/>
      <c r="BA69" s="582"/>
      <c r="BB69" s="582"/>
      <c r="BC69" s="582"/>
      <c r="BD69" s="582"/>
      <c r="BE69" s="582"/>
      <c r="BF69" s="582"/>
      <c r="BG69" s="582"/>
      <c r="BH69" s="582"/>
      <c r="BI69" s="582"/>
      <c r="BJ69" s="582"/>
    </row>
    <row r="70" spans="1:178" s="580" customFormat="1" hidden="1">
      <c r="B70" s="680"/>
      <c r="C70" s="675"/>
      <c r="D70" s="584" t="s">
        <v>44</v>
      </c>
      <c r="E70" s="584"/>
      <c r="F70" s="585"/>
      <c r="G70" s="585"/>
      <c r="H70" s="585"/>
      <c r="I70" s="585"/>
      <c r="J70" s="585"/>
      <c r="K70" s="585"/>
      <c r="L70" s="585"/>
      <c r="M70" s="585"/>
      <c r="N70" s="585"/>
      <c r="O70" s="585"/>
      <c r="P70" s="585"/>
      <c r="Q70" s="585"/>
      <c r="R70" s="585"/>
      <c r="S70" s="585"/>
      <c r="T70" s="585"/>
      <c r="U70" s="585"/>
      <c r="V70" s="585"/>
      <c r="W70" s="585"/>
      <c r="X70" s="582"/>
      <c r="Y70" s="582"/>
      <c r="Z70" s="582"/>
      <c r="AA70" s="582"/>
      <c r="AB70" s="582"/>
      <c r="AC70" s="582"/>
      <c r="AD70" s="582"/>
      <c r="AE70" s="582"/>
      <c r="AF70" s="582"/>
      <c r="AG70" s="582"/>
      <c r="AH70" s="582"/>
      <c r="AI70" s="582"/>
      <c r="AJ70" s="582"/>
      <c r="AK70" s="582"/>
      <c r="AL70" s="582"/>
      <c r="AM70" s="582"/>
      <c r="AN70" s="582"/>
      <c r="AO70" s="582"/>
      <c r="AP70" s="582"/>
      <c r="AQ70" s="582"/>
      <c r="AR70" s="582"/>
      <c r="AS70" s="582"/>
      <c r="AT70" s="582"/>
      <c r="AU70" s="582"/>
      <c r="AV70" s="582"/>
      <c r="AW70" s="582"/>
      <c r="AX70" s="582"/>
      <c r="AY70" s="582"/>
      <c r="AZ70" s="582"/>
      <c r="BA70" s="582"/>
      <c r="BB70" s="582"/>
      <c r="BC70" s="582"/>
      <c r="BD70" s="582"/>
      <c r="BE70" s="582"/>
      <c r="BF70" s="582"/>
      <c r="BG70" s="582"/>
      <c r="BH70" s="582"/>
      <c r="BI70" s="582"/>
      <c r="BJ70" s="582"/>
    </row>
    <row r="71" spans="1:178" s="580" customFormat="1" hidden="1">
      <c r="B71" s="680"/>
      <c r="C71" s="675"/>
      <c r="D71" s="588" t="s">
        <v>30</v>
      </c>
      <c r="E71" s="588"/>
      <c r="F71" s="585"/>
      <c r="G71" s="585"/>
      <c r="H71" s="585"/>
      <c r="I71" s="585"/>
      <c r="J71" s="585"/>
      <c r="K71" s="585"/>
      <c r="L71" s="585"/>
      <c r="M71" s="585"/>
      <c r="N71" s="585"/>
      <c r="O71" s="585"/>
      <c r="P71" s="585"/>
      <c r="Q71" s="585"/>
      <c r="R71" s="585"/>
      <c r="S71" s="585"/>
      <c r="T71" s="585"/>
      <c r="U71" s="585"/>
      <c r="V71" s="585"/>
      <c r="W71" s="585"/>
      <c r="X71" s="582"/>
      <c r="Y71" s="582"/>
      <c r="Z71" s="582"/>
      <c r="AA71" s="582"/>
      <c r="AB71" s="582"/>
      <c r="AC71" s="582"/>
      <c r="AD71" s="582"/>
      <c r="AE71" s="582"/>
      <c r="AF71" s="582"/>
      <c r="AG71" s="582"/>
      <c r="AH71" s="582"/>
      <c r="AI71" s="582"/>
      <c r="AJ71" s="582"/>
      <c r="AK71" s="582"/>
      <c r="AL71" s="582"/>
      <c r="AM71" s="582"/>
      <c r="AN71" s="582"/>
      <c r="AO71" s="582"/>
      <c r="AP71" s="582"/>
      <c r="AQ71" s="582"/>
      <c r="AR71" s="582"/>
      <c r="AS71" s="582"/>
      <c r="AT71" s="582"/>
      <c r="AU71" s="582"/>
      <c r="AV71" s="582"/>
      <c r="AW71" s="582"/>
      <c r="AX71" s="582"/>
      <c r="AY71" s="582"/>
      <c r="AZ71" s="582"/>
      <c r="BA71" s="582"/>
      <c r="BB71" s="582"/>
      <c r="BC71" s="582"/>
      <c r="BD71" s="582"/>
      <c r="BE71" s="582"/>
      <c r="BF71" s="582"/>
      <c r="BG71" s="582"/>
      <c r="BH71" s="582"/>
      <c r="BI71" s="582"/>
      <c r="BJ71" s="582"/>
    </row>
    <row r="72" spans="1:178" s="580" customFormat="1" hidden="1">
      <c r="B72" s="680"/>
      <c r="C72" s="676"/>
      <c r="D72" s="588" t="s">
        <v>37</v>
      </c>
      <c r="E72" s="588"/>
      <c r="F72" s="585"/>
      <c r="G72" s="585"/>
      <c r="H72" s="585"/>
      <c r="I72" s="585"/>
      <c r="J72" s="585"/>
      <c r="K72" s="585"/>
      <c r="L72" s="585"/>
      <c r="M72" s="585"/>
      <c r="N72" s="585"/>
      <c r="O72" s="585"/>
      <c r="P72" s="585"/>
      <c r="Q72" s="585"/>
      <c r="R72" s="585"/>
      <c r="S72" s="585"/>
      <c r="T72" s="585"/>
      <c r="U72" s="585"/>
      <c r="V72" s="585"/>
      <c r="W72" s="585"/>
      <c r="X72" s="582"/>
      <c r="Y72" s="582"/>
      <c r="Z72" s="582"/>
      <c r="AA72" s="582"/>
      <c r="AB72" s="582"/>
      <c r="AC72" s="582"/>
      <c r="AD72" s="582"/>
      <c r="AE72" s="582"/>
      <c r="AF72" s="582"/>
      <c r="AG72" s="582"/>
      <c r="AH72" s="582"/>
      <c r="AI72" s="582"/>
      <c r="AJ72" s="582"/>
      <c r="AK72" s="582"/>
      <c r="AL72" s="582"/>
      <c r="AM72" s="582"/>
      <c r="AN72" s="582"/>
      <c r="AO72" s="582"/>
      <c r="AP72" s="582"/>
      <c r="AQ72" s="582"/>
      <c r="AR72" s="582"/>
      <c r="AS72" s="582"/>
      <c r="AT72" s="582"/>
      <c r="AU72" s="582"/>
      <c r="AV72" s="582"/>
      <c r="AW72" s="582"/>
      <c r="AX72" s="582"/>
      <c r="AY72" s="582"/>
      <c r="AZ72" s="582"/>
      <c r="BA72" s="582"/>
      <c r="BB72" s="582"/>
      <c r="BC72" s="582"/>
      <c r="BD72" s="582"/>
      <c r="BE72" s="582"/>
      <c r="BF72" s="582"/>
      <c r="BG72" s="582"/>
      <c r="BH72" s="582"/>
      <c r="BI72" s="582"/>
      <c r="BJ72" s="582"/>
    </row>
    <row r="73" spans="1:178" s="580" customFormat="1" hidden="1">
      <c r="B73" s="680"/>
      <c r="C73" s="677" t="s">
        <v>36</v>
      </c>
      <c r="D73" s="581" t="s">
        <v>138</v>
      </c>
      <c r="E73" s="581"/>
      <c r="F73" s="581"/>
      <c r="G73" s="581"/>
      <c r="H73" s="581"/>
      <c r="I73" s="581"/>
      <c r="J73" s="581"/>
      <c r="K73" s="581"/>
      <c r="L73" s="581"/>
      <c r="M73" s="581"/>
      <c r="N73" s="581"/>
      <c r="O73" s="581"/>
      <c r="P73" s="581"/>
      <c r="Q73" s="581"/>
      <c r="R73" s="581"/>
      <c r="S73" s="581"/>
      <c r="T73" s="581"/>
      <c r="U73" s="581"/>
      <c r="V73" s="581"/>
      <c r="W73" s="581"/>
      <c r="X73" s="582"/>
      <c r="Y73" s="582"/>
      <c r="Z73" s="582"/>
      <c r="AA73" s="582"/>
      <c r="AB73" s="582"/>
      <c r="AC73" s="582"/>
      <c r="AD73" s="582"/>
      <c r="AE73" s="582"/>
      <c r="AF73" s="582"/>
      <c r="AG73" s="582"/>
      <c r="AH73" s="582"/>
      <c r="AI73" s="582"/>
      <c r="AJ73" s="582"/>
      <c r="AK73" s="582"/>
      <c r="AL73" s="582"/>
      <c r="AM73" s="582"/>
      <c r="AN73" s="582"/>
      <c r="AO73" s="582"/>
      <c r="AP73" s="582"/>
      <c r="AQ73" s="582"/>
      <c r="AR73" s="582"/>
      <c r="AS73" s="582"/>
      <c r="AT73" s="582"/>
      <c r="AU73" s="582"/>
      <c r="AV73" s="582"/>
      <c r="AW73" s="582"/>
      <c r="AX73" s="582"/>
      <c r="AY73" s="582"/>
      <c r="AZ73" s="582"/>
      <c r="BA73" s="582"/>
      <c r="BB73" s="582"/>
      <c r="BC73" s="582"/>
      <c r="BD73" s="582"/>
      <c r="BE73" s="582"/>
      <c r="BF73" s="582"/>
      <c r="BG73" s="582"/>
      <c r="BH73" s="582"/>
      <c r="BI73" s="582"/>
      <c r="BJ73" s="582"/>
    </row>
    <row r="74" spans="1:178" s="580" customFormat="1" hidden="1">
      <c r="B74" s="680"/>
      <c r="C74" s="675"/>
      <c r="D74" s="584" t="s">
        <v>44</v>
      </c>
      <c r="E74" s="588"/>
      <c r="F74" s="585"/>
      <c r="G74" s="585"/>
      <c r="H74" s="585"/>
      <c r="I74" s="585"/>
      <c r="J74" s="585"/>
      <c r="K74" s="585"/>
      <c r="L74" s="585"/>
      <c r="M74" s="585"/>
      <c r="N74" s="585"/>
      <c r="O74" s="585"/>
      <c r="P74" s="585"/>
      <c r="Q74" s="585"/>
      <c r="R74" s="585"/>
      <c r="S74" s="585"/>
      <c r="T74" s="585"/>
      <c r="U74" s="585"/>
      <c r="V74" s="585"/>
      <c r="W74" s="585"/>
      <c r="X74" s="582"/>
      <c r="Y74" s="582"/>
      <c r="Z74" s="582"/>
      <c r="AA74" s="582"/>
      <c r="AB74" s="582"/>
      <c r="AC74" s="582"/>
      <c r="AD74" s="582"/>
      <c r="AE74" s="582"/>
      <c r="AF74" s="582"/>
      <c r="AG74" s="582"/>
      <c r="AH74" s="582"/>
      <c r="AI74" s="582"/>
      <c r="AJ74" s="582"/>
      <c r="AK74" s="582"/>
      <c r="AL74" s="582"/>
      <c r="AM74" s="582"/>
      <c r="AN74" s="582"/>
      <c r="AO74" s="582"/>
      <c r="AP74" s="582"/>
      <c r="AQ74" s="582"/>
      <c r="AR74" s="582"/>
      <c r="AS74" s="582"/>
      <c r="AT74" s="582"/>
      <c r="AU74" s="582"/>
      <c r="AV74" s="582"/>
      <c r="AW74" s="582"/>
      <c r="AX74" s="582"/>
      <c r="AY74" s="582"/>
      <c r="AZ74" s="582"/>
      <c r="BA74" s="582"/>
      <c r="BB74" s="582"/>
      <c r="BC74" s="582"/>
      <c r="BD74" s="582"/>
      <c r="BE74" s="582"/>
      <c r="BF74" s="582"/>
      <c r="BG74" s="582"/>
      <c r="BH74" s="582"/>
      <c r="BI74" s="582"/>
      <c r="BJ74" s="582"/>
    </row>
    <row r="75" spans="1:178" s="580" customFormat="1" hidden="1">
      <c r="B75" s="680"/>
      <c r="C75" s="675"/>
      <c r="D75" s="588" t="s">
        <v>30</v>
      </c>
      <c r="E75" s="588"/>
      <c r="F75" s="585"/>
      <c r="G75" s="585"/>
      <c r="H75" s="585"/>
      <c r="I75" s="585"/>
      <c r="J75" s="585"/>
      <c r="K75" s="585"/>
      <c r="L75" s="585"/>
      <c r="M75" s="585"/>
      <c r="N75" s="585"/>
      <c r="O75" s="585"/>
      <c r="P75" s="585"/>
      <c r="Q75" s="585"/>
      <c r="R75" s="585"/>
      <c r="S75" s="585"/>
      <c r="T75" s="585"/>
      <c r="U75" s="585"/>
      <c r="V75" s="585"/>
      <c r="W75" s="585"/>
      <c r="X75" s="582"/>
      <c r="Y75" s="582"/>
      <c r="Z75" s="582"/>
      <c r="AA75" s="582"/>
      <c r="AB75" s="582"/>
      <c r="AC75" s="582"/>
      <c r="AD75" s="582"/>
      <c r="AE75" s="582"/>
      <c r="AF75" s="582"/>
      <c r="AG75" s="582"/>
      <c r="AH75" s="582"/>
      <c r="AI75" s="582"/>
      <c r="AJ75" s="582"/>
      <c r="AK75" s="582"/>
      <c r="AL75" s="582"/>
      <c r="AM75" s="582"/>
      <c r="AN75" s="582"/>
      <c r="AO75" s="582"/>
      <c r="AP75" s="582"/>
      <c r="AQ75" s="582"/>
      <c r="AR75" s="582"/>
      <c r="AS75" s="582"/>
      <c r="AT75" s="582"/>
      <c r="AU75" s="582"/>
      <c r="AV75" s="582"/>
      <c r="AW75" s="582"/>
      <c r="AX75" s="582"/>
      <c r="AY75" s="582"/>
      <c r="AZ75" s="582"/>
      <c r="BA75" s="582"/>
      <c r="BB75" s="582"/>
      <c r="BC75" s="582"/>
      <c r="BD75" s="582"/>
      <c r="BE75" s="582"/>
      <c r="BF75" s="582"/>
      <c r="BG75" s="582"/>
      <c r="BH75" s="582"/>
      <c r="BI75" s="582"/>
      <c r="BJ75" s="582"/>
    </row>
    <row r="76" spans="1:178" s="580" customFormat="1" hidden="1">
      <c r="B76" s="681"/>
      <c r="C76" s="678"/>
      <c r="D76" s="589" t="s">
        <v>37</v>
      </c>
      <c r="E76" s="589"/>
      <c r="F76" s="590"/>
      <c r="G76" s="590"/>
      <c r="H76" s="590"/>
      <c r="I76" s="590"/>
      <c r="J76" s="590"/>
      <c r="K76" s="590"/>
      <c r="L76" s="590"/>
      <c r="M76" s="590"/>
      <c r="N76" s="590"/>
      <c r="O76" s="590"/>
      <c r="P76" s="590"/>
      <c r="Q76" s="590"/>
      <c r="R76" s="590"/>
      <c r="S76" s="590"/>
      <c r="T76" s="590"/>
      <c r="U76" s="590"/>
      <c r="V76" s="590"/>
      <c r="W76" s="590"/>
      <c r="X76" s="582"/>
      <c r="Y76" s="582"/>
      <c r="Z76" s="582"/>
      <c r="AA76" s="582"/>
      <c r="AB76" s="582"/>
      <c r="AC76" s="582"/>
      <c r="AD76" s="582"/>
      <c r="AE76" s="582"/>
      <c r="AF76" s="582"/>
      <c r="AG76" s="582"/>
      <c r="AH76" s="582"/>
      <c r="AI76" s="582"/>
      <c r="AJ76" s="582"/>
      <c r="AK76" s="582"/>
      <c r="AL76" s="582"/>
      <c r="AM76" s="582"/>
      <c r="AN76" s="582"/>
      <c r="AO76" s="582"/>
      <c r="AP76" s="582"/>
      <c r="AQ76" s="582"/>
      <c r="AR76" s="582"/>
      <c r="AS76" s="582"/>
      <c r="AT76" s="582"/>
      <c r="AU76" s="582"/>
      <c r="AV76" s="582"/>
      <c r="AW76" s="582"/>
      <c r="AX76" s="582"/>
      <c r="AY76" s="582"/>
      <c r="AZ76" s="582"/>
      <c r="BA76" s="582"/>
      <c r="BB76" s="582"/>
      <c r="BC76" s="582"/>
      <c r="BD76" s="582"/>
      <c r="BE76" s="582"/>
      <c r="BF76" s="582"/>
      <c r="BG76" s="582"/>
      <c r="BH76" s="582"/>
      <c r="BI76" s="582"/>
      <c r="BJ76" s="582"/>
    </row>
    <row r="77" spans="1:178" s="580" customFormat="1" hidden="1"/>
    <row r="78" spans="1:178" hidden="1">
      <c r="A78" s="580"/>
      <c r="B78" s="669"/>
      <c r="C78" s="669"/>
      <c r="D78" s="580"/>
      <c r="E78" s="580"/>
      <c r="F78" s="580"/>
      <c r="G78" s="580"/>
      <c r="H78" s="580"/>
      <c r="I78" s="580"/>
      <c r="J78" s="580"/>
      <c r="K78" s="580"/>
      <c r="L78" s="580"/>
      <c r="M78" s="580"/>
      <c r="N78" s="580"/>
      <c r="O78" s="580"/>
      <c r="P78" s="580"/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/>
      <c r="AB78" s="580"/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580"/>
      <c r="AQ78" s="580"/>
      <c r="AR78" s="580"/>
      <c r="AS78" s="580"/>
      <c r="AT78" s="580"/>
      <c r="AU78" s="580"/>
      <c r="AV78" s="580"/>
      <c r="AW78" s="580"/>
      <c r="AX78" s="580"/>
      <c r="AY78" s="580"/>
      <c r="AZ78" s="580"/>
      <c r="BA78" s="580"/>
      <c r="BB78" s="580"/>
      <c r="BC78" s="580"/>
      <c r="BD78" s="580"/>
      <c r="BE78" s="580"/>
      <c r="BF78" s="580"/>
      <c r="BG78" s="580"/>
      <c r="BH78" s="580"/>
      <c r="BI78" s="580"/>
      <c r="BJ78" s="580"/>
      <c r="BK78" s="580"/>
      <c r="BL78" s="580"/>
      <c r="BM78" s="580"/>
      <c r="BN78" s="580"/>
      <c r="BO78" s="580"/>
      <c r="BP78" s="580"/>
      <c r="BQ78" s="580"/>
      <c r="BR78" s="580"/>
      <c r="BS78" s="580"/>
      <c r="BT78" s="580"/>
      <c r="BU78" s="580"/>
      <c r="BV78" s="580"/>
      <c r="BW78" s="580"/>
      <c r="BX78" s="580"/>
      <c r="BY78" s="580"/>
      <c r="BZ78" s="580"/>
      <c r="CA78" s="580"/>
      <c r="CB78" s="580"/>
      <c r="CC78" s="580"/>
      <c r="CD78" s="580"/>
      <c r="CE78" s="580"/>
      <c r="CF78" s="580"/>
      <c r="CG78" s="580"/>
      <c r="CH78" s="580"/>
      <c r="CI78" s="580"/>
      <c r="CJ78" s="580"/>
      <c r="CK78" s="580"/>
      <c r="CL78" s="580"/>
      <c r="CM78" s="580"/>
      <c r="CN78" s="580"/>
      <c r="CO78" s="580"/>
      <c r="CP78" s="580"/>
      <c r="CQ78" s="580"/>
      <c r="CR78" s="580"/>
      <c r="CS78" s="580"/>
      <c r="CT78" s="580"/>
      <c r="CU78" s="580"/>
      <c r="CV78" s="580"/>
      <c r="CW78" s="580"/>
      <c r="CX78" s="580"/>
      <c r="CY78" s="580"/>
      <c r="CZ78" s="580"/>
      <c r="DA78" s="580"/>
      <c r="DB78" s="580"/>
      <c r="DC78" s="580"/>
      <c r="DD78" s="580"/>
      <c r="DE78" s="580"/>
      <c r="DF78" s="580"/>
      <c r="DG78" s="580"/>
      <c r="DH78" s="580"/>
      <c r="DI78" s="580"/>
      <c r="DJ78" s="580"/>
      <c r="DK78" s="580"/>
      <c r="DL78" s="580"/>
      <c r="DM78" s="580"/>
      <c r="DN78" s="580"/>
      <c r="DO78" s="580"/>
      <c r="DP78" s="580"/>
      <c r="DQ78" s="580"/>
      <c r="DR78" s="580"/>
      <c r="DS78" s="580"/>
      <c r="DT78" s="580"/>
      <c r="DU78" s="580"/>
      <c r="DV78" s="580"/>
      <c r="DW78" s="580"/>
      <c r="DX78" s="580"/>
      <c r="DY78" s="580"/>
      <c r="DZ78" s="580"/>
      <c r="EA78" s="580"/>
      <c r="EB78" s="580"/>
      <c r="EC78" s="580"/>
      <c r="ED78" s="580"/>
      <c r="EE78" s="580"/>
      <c r="EF78" s="580"/>
      <c r="EG78" s="580"/>
      <c r="EH78" s="580"/>
      <c r="EI78" s="580"/>
      <c r="EJ78" s="580"/>
      <c r="EK78" s="580"/>
      <c r="EL78" s="580"/>
      <c r="EM78" s="580"/>
      <c r="EN78" s="580"/>
      <c r="EO78" s="580"/>
      <c r="EP78" s="580"/>
      <c r="EQ78" s="580"/>
      <c r="ER78" s="580"/>
      <c r="ES78" s="580"/>
      <c r="ET78" s="580"/>
      <c r="EU78" s="580"/>
      <c r="EV78" s="580"/>
      <c r="EW78" s="580"/>
      <c r="EX78" s="580"/>
      <c r="EY78" s="580"/>
      <c r="EZ78" s="580"/>
      <c r="FA78" s="580"/>
      <c r="FB78" s="580"/>
      <c r="FC78" s="580"/>
      <c r="FD78" s="580"/>
      <c r="FE78" s="580"/>
      <c r="FF78" s="580"/>
      <c r="FG78" s="580"/>
      <c r="FH78" s="580"/>
      <c r="FI78" s="580"/>
      <c r="FJ78" s="580"/>
      <c r="FK78" s="580"/>
      <c r="FL78" s="580"/>
      <c r="FM78" s="580"/>
      <c r="FN78" s="580"/>
      <c r="FO78" s="580"/>
      <c r="FP78" s="580"/>
      <c r="FQ78" s="580"/>
      <c r="FR78" s="580"/>
      <c r="FS78" s="580"/>
      <c r="FT78" s="580"/>
      <c r="FU78" s="580"/>
      <c r="FV78" s="580"/>
    </row>
    <row r="79" spans="1:178" s="593" customFormat="1" ht="15.75" hidden="1">
      <c r="A79" s="580"/>
      <c r="B79" s="580"/>
      <c r="C79" s="580"/>
      <c r="D79" s="580"/>
      <c r="E79" s="580"/>
      <c r="F79" s="580"/>
      <c r="G79" s="580"/>
      <c r="H79" s="580"/>
      <c r="I79" s="580"/>
      <c r="J79" s="580"/>
      <c r="K79" s="580"/>
      <c r="L79" s="580"/>
      <c r="M79" s="580"/>
      <c r="N79" s="580"/>
      <c r="O79" s="580"/>
      <c r="P79" s="580"/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/>
      <c r="AB79" s="580"/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580"/>
      <c r="AQ79" s="580"/>
      <c r="AR79" s="580"/>
      <c r="AS79" s="580"/>
      <c r="AT79" s="580"/>
      <c r="AU79" s="580"/>
      <c r="AV79" s="580"/>
      <c r="AW79" s="580"/>
      <c r="AX79" s="580"/>
      <c r="AY79" s="580"/>
      <c r="AZ79" s="580"/>
      <c r="BA79" s="580"/>
      <c r="BB79" s="580"/>
      <c r="BC79" s="580"/>
      <c r="BD79" s="580"/>
      <c r="BE79" s="580"/>
      <c r="BF79" s="580"/>
      <c r="BG79" s="580"/>
      <c r="BH79" s="580"/>
      <c r="BI79" s="580"/>
      <c r="BJ79" s="580"/>
      <c r="BK79" s="580"/>
      <c r="BL79" s="580"/>
      <c r="BM79" s="580"/>
      <c r="BN79" s="580"/>
      <c r="BO79" s="580"/>
      <c r="BP79" s="580"/>
      <c r="BQ79" s="580"/>
      <c r="BR79" s="580"/>
      <c r="BS79" s="580"/>
      <c r="BT79" s="580"/>
      <c r="BU79" s="580"/>
      <c r="BV79" s="580"/>
      <c r="BW79" s="580"/>
      <c r="BX79" s="580"/>
      <c r="BY79" s="580"/>
      <c r="BZ79" s="580"/>
      <c r="CA79" s="580"/>
      <c r="CB79" s="580"/>
      <c r="CC79" s="580"/>
      <c r="CD79" s="580"/>
      <c r="CE79" s="580"/>
      <c r="CF79" s="580"/>
      <c r="CG79" s="580"/>
      <c r="CH79" s="580"/>
      <c r="CI79" s="580"/>
      <c r="CJ79" s="580"/>
      <c r="CK79" s="580"/>
      <c r="CL79" s="580"/>
      <c r="CM79" s="580"/>
      <c r="CN79" s="580"/>
      <c r="CO79" s="580"/>
      <c r="CP79" s="580"/>
      <c r="CQ79" s="580"/>
      <c r="CR79" s="580"/>
      <c r="CS79" s="580"/>
      <c r="CT79" s="580"/>
      <c r="CU79" s="580"/>
      <c r="CV79" s="580"/>
      <c r="CW79" s="580"/>
      <c r="CX79" s="580"/>
      <c r="CY79" s="580"/>
      <c r="CZ79" s="580"/>
      <c r="DA79" s="580"/>
      <c r="DB79" s="580"/>
      <c r="DC79" s="580"/>
      <c r="DD79" s="580"/>
      <c r="DE79" s="580"/>
      <c r="DF79" s="580"/>
      <c r="DG79" s="580"/>
      <c r="DH79" s="580"/>
      <c r="DI79" s="580"/>
      <c r="DJ79" s="580"/>
      <c r="DK79" s="580"/>
      <c r="DL79" s="580"/>
      <c r="DM79" s="580"/>
      <c r="DN79" s="580"/>
      <c r="DO79" s="580"/>
      <c r="DP79" s="580"/>
      <c r="DQ79" s="580"/>
      <c r="DR79" s="580"/>
      <c r="DS79" s="580"/>
      <c r="DT79" s="580"/>
      <c r="DU79" s="580"/>
      <c r="DV79" s="580"/>
      <c r="DW79" s="580"/>
      <c r="DX79" s="580"/>
      <c r="DY79" s="580"/>
      <c r="DZ79" s="580"/>
      <c r="EA79" s="580"/>
      <c r="EB79" s="580"/>
      <c r="EC79" s="580"/>
      <c r="ED79" s="580"/>
      <c r="EE79" s="580"/>
      <c r="EF79" s="580"/>
      <c r="EG79" s="580"/>
      <c r="EH79" s="580"/>
      <c r="EI79" s="580"/>
      <c r="EJ79" s="580"/>
      <c r="EK79" s="580"/>
      <c r="EL79" s="580"/>
      <c r="EM79" s="580"/>
      <c r="EN79" s="580"/>
      <c r="EO79" s="580"/>
      <c r="EP79" s="580"/>
      <c r="EQ79" s="580"/>
      <c r="ER79" s="580"/>
      <c r="ES79" s="580"/>
      <c r="ET79" s="580"/>
      <c r="EU79" s="580"/>
      <c r="EV79" s="580"/>
      <c r="EW79" s="580"/>
      <c r="EX79" s="580"/>
      <c r="EY79" s="580"/>
      <c r="EZ79" s="580"/>
      <c r="FA79" s="580"/>
      <c r="FB79" s="580"/>
      <c r="FC79" s="580"/>
      <c r="FD79" s="580"/>
      <c r="FE79" s="580"/>
      <c r="FF79" s="580"/>
      <c r="FG79" s="580"/>
      <c r="FH79" s="580"/>
      <c r="FI79" s="580"/>
      <c r="FJ79" s="580"/>
      <c r="FK79" s="580"/>
      <c r="FL79" s="580"/>
      <c r="FM79" s="580"/>
      <c r="FN79" s="580"/>
      <c r="FO79" s="580"/>
      <c r="FP79" s="580"/>
      <c r="FQ79" s="580"/>
      <c r="FR79" s="580"/>
      <c r="FS79" s="580"/>
      <c r="FT79" s="580"/>
      <c r="FU79" s="580"/>
      <c r="FV79" s="580"/>
    </row>
    <row r="80" spans="1:178" s="593" customFormat="1" ht="15.75" hidden="1">
      <c r="A80" s="454"/>
      <c r="B80" s="454"/>
      <c r="C80" s="454"/>
      <c r="D80" s="454"/>
      <c r="E80" s="454"/>
      <c r="F80" s="454"/>
      <c r="G80" s="454"/>
      <c r="H80" s="454"/>
      <c r="I80" s="454"/>
      <c r="J80" s="454"/>
      <c r="K80" s="454"/>
      <c r="L80" s="454"/>
      <c r="M80" s="454"/>
      <c r="N80" s="454"/>
      <c r="O80" s="454"/>
      <c r="P80" s="454"/>
      <c r="Q80" s="454"/>
      <c r="R80" s="454"/>
      <c r="S80" s="454"/>
      <c r="T80" s="454"/>
      <c r="U80" s="454"/>
      <c r="V80" s="454"/>
      <c r="W80" s="454"/>
      <c r="X80" s="454"/>
      <c r="Y80" s="454"/>
      <c r="Z80" s="454"/>
      <c r="AA80" s="454"/>
      <c r="AB80" s="454"/>
      <c r="AC80" s="454"/>
      <c r="AD80" s="454"/>
      <c r="AE80" s="454"/>
      <c r="AF80" s="454"/>
      <c r="AG80" s="454"/>
      <c r="AH80" s="454"/>
      <c r="AI80" s="454"/>
      <c r="AJ80" s="454"/>
      <c r="AK80" s="454"/>
      <c r="AL80" s="454"/>
      <c r="AM80" s="454"/>
      <c r="AN80" s="454"/>
      <c r="AO80" s="454"/>
      <c r="AP80" s="454"/>
      <c r="AQ80" s="454"/>
      <c r="AR80" s="454"/>
      <c r="AS80" s="454"/>
      <c r="AT80" s="454"/>
      <c r="AU80" s="454"/>
      <c r="AV80" s="454"/>
      <c r="AW80" s="454"/>
      <c r="AX80" s="454"/>
      <c r="AY80" s="454"/>
      <c r="AZ80" s="454"/>
      <c r="BA80" s="454"/>
      <c r="BB80" s="454"/>
      <c r="BC80" s="454"/>
      <c r="BD80" s="454"/>
      <c r="BE80" s="454"/>
      <c r="BF80" s="454"/>
      <c r="BG80" s="454"/>
      <c r="BH80" s="454"/>
      <c r="BI80" s="454"/>
      <c r="BJ80" s="454"/>
      <c r="BK80" s="454"/>
      <c r="BL80" s="454"/>
      <c r="BM80" s="454"/>
      <c r="BN80" s="454"/>
      <c r="BO80" s="454"/>
      <c r="BP80" s="454"/>
      <c r="BQ80" s="454"/>
      <c r="BR80" s="454"/>
      <c r="BS80" s="454"/>
      <c r="BT80" s="454"/>
      <c r="BU80" s="454"/>
      <c r="BV80" s="454"/>
      <c r="BW80" s="454"/>
      <c r="BX80" s="454"/>
      <c r="BY80" s="454"/>
      <c r="BZ80" s="454"/>
      <c r="CA80" s="454"/>
      <c r="CB80" s="454"/>
      <c r="CC80" s="454"/>
      <c r="CD80" s="454"/>
      <c r="CE80" s="454"/>
      <c r="CF80" s="454"/>
      <c r="CG80" s="454"/>
      <c r="CH80" s="454"/>
      <c r="CI80" s="454"/>
      <c r="CJ80" s="454"/>
      <c r="CK80" s="454"/>
      <c r="CL80" s="454"/>
      <c r="CM80" s="454"/>
      <c r="CN80" s="454"/>
      <c r="CO80" s="454"/>
      <c r="CP80" s="454"/>
      <c r="CQ80" s="454"/>
      <c r="CR80" s="454"/>
      <c r="CS80" s="454"/>
      <c r="CT80" s="454"/>
      <c r="CU80" s="454"/>
      <c r="CV80" s="454"/>
      <c r="CW80" s="454"/>
      <c r="CX80" s="454"/>
      <c r="CY80" s="454"/>
      <c r="CZ80" s="454"/>
      <c r="DA80" s="454"/>
      <c r="DB80" s="454"/>
      <c r="DC80" s="454"/>
      <c r="DD80" s="454"/>
      <c r="DE80" s="454"/>
      <c r="DF80" s="454"/>
      <c r="DG80" s="454"/>
      <c r="DH80" s="454"/>
      <c r="DI80" s="454"/>
      <c r="DJ80" s="454"/>
      <c r="DK80" s="454"/>
      <c r="DL80" s="454"/>
      <c r="DM80" s="454"/>
      <c r="DN80" s="454"/>
      <c r="DO80" s="454"/>
      <c r="DP80" s="454"/>
      <c r="DQ80" s="454"/>
      <c r="DR80" s="454"/>
      <c r="DS80" s="454"/>
      <c r="DT80" s="454"/>
      <c r="DU80" s="454"/>
      <c r="DV80" s="454"/>
      <c r="DW80" s="454"/>
      <c r="DX80" s="454"/>
      <c r="DY80" s="454"/>
      <c r="DZ80" s="454"/>
      <c r="EA80" s="454"/>
      <c r="EB80" s="454"/>
      <c r="EC80" s="454"/>
      <c r="ED80" s="454"/>
      <c r="EE80" s="454"/>
      <c r="EF80" s="454"/>
      <c r="EG80" s="454"/>
      <c r="EH80" s="454"/>
      <c r="EI80" s="454"/>
      <c r="EJ80" s="454"/>
      <c r="EK80" s="454"/>
      <c r="EL80" s="454"/>
      <c r="EM80" s="454"/>
      <c r="EN80" s="454"/>
      <c r="EO80" s="454"/>
      <c r="EP80" s="454"/>
      <c r="EQ80" s="454"/>
      <c r="ER80" s="454"/>
      <c r="ES80" s="454"/>
      <c r="ET80" s="454"/>
      <c r="EU80" s="454"/>
      <c r="EV80" s="454"/>
      <c r="EW80" s="454"/>
      <c r="EX80" s="454"/>
      <c r="EY80" s="454"/>
      <c r="EZ80" s="454"/>
      <c r="FA80" s="454"/>
      <c r="FB80" s="454"/>
      <c r="FC80" s="454"/>
      <c r="FD80" s="454"/>
      <c r="FE80" s="454"/>
      <c r="FF80" s="454"/>
      <c r="FG80" s="454"/>
      <c r="FH80" s="454"/>
      <c r="FI80" s="454"/>
      <c r="FJ80" s="454"/>
      <c r="FK80" s="454"/>
      <c r="FL80" s="454"/>
      <c r="FM80" s="454"/>
      <c r="FN80" s="454"/>
      <c r="FO80" s="454"/>
      <c r="FP80" s="454"/>
      <c r="FQ80" s="454"/>
      <c r="FR80" s="454"/>
      <c r="FS80" s="454"/>
      <c r="FT80" s="454"/>
      <c r="FU80" s="454"/>
      <c r="FV80" s="454"/>
    </row>
    <row r="81" s="593" customFormat="1" ht="15.75" hidden="1"/>
    <row r="82" s="593" customFormat="1" ht="15.75" hidden="1"/>
    <row r="83" s="593" customFormat="1" ht="15.75" hidden="1"/>
    <row r="84" s="593" customFormat="1" ht="15.75" hidden="1"/>
    <row r="85" s="593" customFormat="1" ht="15.75" hidden="1"/>
    <row r="86" s="593" customFormat="1" ht="15.75" hidden="1"/>
    <row r="87" s="593" customFormat="1" ht="15.75" hidden="1"/>
    <row r="88" s="593" customFormat="1" ht="15.75" hidden="1"/>
    <row r="89" s="593" customFormat="1" ht="15.75" hidden="1"/>
    <row r="90" s="593" customFormat="1" ht="15.75" hidden="1"/>
    <row r="91" s="593" customFormat="1" ht="15.75" hidden="1"/>
    <row r="92" s="593" customFormat="1" ht="15.75" hidden="1"/>
    <row r="93" s="593" customFormat="1" ht="15.75" hidden="1"/>
    <row r="94" s="593" customFormat="1" ht="15.75" hidden="1"/>
    <row r="95" s="593" customFormat="1" ht="15.75" hidden="1"/>
    <row r="96" s="593" customFormat="1" ht="15.75" hidden="1"/>
    <row r="97" s="593" customFormat="1" ht="15.75" hidden="1"/>
    <row r="98" s="593" customFormat="1" ht="15.75" hidden="1"/>
    <row r="99" s="593" customFormat="1" ht="15.75" hidden="1"/>
    <row r="100" s="593" customFormat="1" ht="15.75" hidden="1"/>
    <row r="101" s="593" customFormat="1" ht="15.75" hidden="1"/>
    <row r="102" s="593" customFormat="1" ht="15.75" hidden="1"/>
    <row r="103" s="593" customFormat="1" ht="15.75" hidden="1"/>
    <row r="104" s="593" customFormat="1" ht="15.75" hidden="1"/>
    <row r="105" s="593" customFormat="1" ht="15.75" hidden="1"/>
    <row r="106" s="593" customFormat="1" ht="15.75" hidden="1"/>
    <row r="107" s="593" customFormat="1" ht="15.75" hidden="1"/>
    <row r="108" s="593" customFormat="1" ht="15.75" hidden="1"/>
    <row r="109" s="593" customFormat="1" ht="15.75" hidden="1"/>
    <row r="110" s="593" customFormat="1" ht="15.75" hidden="1"/>
    <row r="111" s="593" customFormat="1" ht="15.75" hidden="1"/>
    <row r="112" s="593" customFormat="1" ht="15.75" hidden="1"/>
    <row r="113" s="593" customFormat="1" ht="15.75"/>
    <row r="114" s="593" customFormat="1" ht="15.75"/>
    <row r="115" s="593" customFormat="1" ht="15.75"/>
    <row r="116" s="593" customFormat="1" ht="15.75"/>
    <row r="117" s="593" customFormat="1" ht="15.75"/>
    <row r="118" s="593" customFormat="1" ht="15.75"/>
    <row r="119" s="593" customFormat="1" ht="15.75"/>
    <row r="120" s="593" customFormat="1" ht="15.75"/>
    <row r="121" s="593" customFormat="1" ht="15.75"/>
    <row r="122" s="593" customFormat="1" ht="15.75"/>
    <row r="123" s="593" customFormat="1" ht="15.75"/>
    <row r="124" s="593" customFormat="1" ht="15.75"/>
    <row r="125" s="593" customFormat="1" ht="15.75"/>
    <row r="126" s="593" customFormat="1" ht="15.75"/>
    <row r="127" s="593" customFormat="1" ht="15.75"/>
    <row r="128" s="593" customFormat="1" ht="15.75"/>
    <row r="129" spans="1:178" s="593" customFormat="1" ht="15.75"/>
    <row r="130" spans="1:178" ht="15.75">
      <c r="A130" s="593"/>
      <c r="B130" s="593"/>
      <c r="C130" s="593"/>
      <c r="D130" s="593"/>
      <c r="E130" s="593"/>
      <c r="F130" s="593"/>
      <c r="G130" s="593"/>
      <c r="H130" s="593"/>
      <c r="I130" s="593"/>
      <c r="J130" s="593"/>
      <c r="K130" s="593"/>
      <c r="L130" s="593"/>
      <c r="M130" s="593"/>
      <c r="N130" s="593"/>
      <c r="O130" s="593"/>
      <c r="P130" s="593"/>
      <c r="Q130" s="593"/>
      <c r="R130" s="593"/>
      <c r="S130" s="593"/>
      <c r="T130" s="593"/>
      <c r="U130" s="593"/>
      <c r="V130" s="593"/>
      <c r="W130" s="593"/>
      <c r="X130" s="593"/>
      <c r="Y130" s="593"/>
      <c r="Z130" s="593"/>
      <c r="AA130" s="593"/>
      <c r="AB130" s="593"/>
      <c r="AC130" s="593"/>
      <c r="AD130" s="593"/>
      <c r="AE130" s="593"/>
      <c r="AF130" s="593"/>
      <c r="AG130" s="593"/>
      <c r="AH130" s="593"/>
      <c r="AI130" s="593"/>
      <c r="AJ130" s="593"/>
      <c r="AK130" s="593"/>
      <c r="AL130" s="593"/>
      <c r="AM130" s="593"/>
      <c r="AN130" s="593"/>
      <c r="AO130" s="593"/>
      <c r="AP130" s="593"/>
      <c r="AQ130" s="593"/>
      <c r="AR130" s="593"/>
      <c r="AS130" s="593"/>
      <c r="AT130" s="593"/>
      <c r="AU130" s="593"/>
      <c r="AV130" s="593"/>
      <c r="AW130" s="593"/>
      <c r="AX130" s="593"/>
      <c r="AY130" s="593"/>
      <c r="AZ130" s="593"/>
      <c r="BA130" s="593"/>
      <c r="BB130" s="593"/>
      <c r="BC130" s="593"/>
      <c r="BD130" s="593"/>
      <c r="BE130" s="593"/>
      <c r="BF130" s="593"/>
      <c r="BG130" s="593"/>
      <c r="BH130" s="593"/>
      <c r="BI130" s="593"/>
      <c r="BJ130" s="593"/>
      <c r="BK130" s="593"/>
      <c r="BL130" s="593"/>
      <c r="BM130" s="593"/>
      <c r="BN130" s="593"/>
      <c r="BO130" s="593"/>
      <c r="BP130" s="593"/>
      <c r="BQ130" s="593"/>
      <c r="BR130" s="593"/>
      <c r="BS130" s="593"/>
      <c r="BT130" s="593"/>
      <c r="BU130" s="593"/>
      <c r="BV130" s="593"/>
      <c r="BW130" s="593"/>
      <c r="BX130" s="593"/>
      <c r="BY130" s="593"/>
      <c r="BZ130" s="593"/>
      <c r="CA130" s="593"/>
      <c r="CB130" s="593"/>
      <c r="CC130" s="593"/>
      <c r="CD130" s="593"/>
      <c r="CE130" s="593"/>
      <c r="CF130" s="593"/>
      <c r="CG130" s="593"/>
      <c r="CH130" s="593"/>
      <c r="CI130" s="593"/>
      <c r="CJ130" s="593"/>
      <c r="CK130" s="593"/>
      <c r="CL130" s="593"/>
      <c r="CM130" s="593"/>
      <c r="CN130" s="593"/>
      <c r="CO130" s="593"/>
      <c r="CP130" s="593"/>
      <c r="CQ130" s="593"/>
      <c r="CR130" s="593"/>
      <c r="CS130" s="593"/>
      <c r="CT130" s="593"/>
      <c r="CU130" s="593"/>
      <c r="CV130" s="593"/>
      <c r="CW130" s="593"/>
      <c r="CX130" s="593"/>
      <c r="CY130" s="593"/>
      <c r="CZ130" s="593"/>
      <c r="DA130" s="593"/>
      <c r="DB130" s="593"/>
      <c r="DC130" s="593"/>
      <c r="DD130" s="593"/>
      <c r="DE130" s="593"/>
      <c r="DF130" s="593"/>
      <c r="DG130" s="593"/>
      <c r="DH130" s="593"/>
      <c r="DI130" s="593"/>
      <c r="DJ130" s="593"/>
      <c r="DK130" s="593"/>
      <c r="DL130" s="593"/>
      <c r="DM130" s="593"/>
      <c r="DN130" s="593"/>
      <c r="DO130" s="593"/>
      <c r="DP130" s="593"/>
      <c r="DQ130" s="593"/>
      <c r="DR130" s="593"/>
      <c r="DS130" s="593"/>
      <c r="DT130" s="593"/>
      <c r="DU130" s="593"/>
      <c r="DV130" s="593"/>
      <c r="DW130" s="593"/>
      <c r="DX130" s="593"/>
      <c r="DY130" s="593"/>
      <c r="DZ130" s="593"/>
      <c r="EA130" s="593"/>
      <c r="EB130" s="593"/>
      <c r="EC130" s="593"/>
      <c r="ED130" s="593"/>
      <c r="EE130" s="593"/>
      <c r="EF130" s="593"/>
      <c r="EG130" s="593"/>
      <c r="EH130" s="593"/>
      <c r="EI130" s="593"/>
      <c r="EJ130" s="593"/>
      <c r="EK130" s="593"/>
      <c r="EL130" s="593"/>
      <c r="EM130" s="593"/>
      <c r="EN130" s="593"/>
      <c r="EO130" s="593"/>
      <c r="EP130" s="593"/>
      <c r="EQ130" s="593"/>
      <c r="ER130" s="593"/>
      <c r="ES130" s="593"/>
      <c r="ET130" s="593"/>
      <c r="EU130" s="593"/>
      <c r="EV130" s="593"/>
      <c r="EW130" s="593"/>
      <c r="EX130" s="593"/>
      <c r="EY130" s="593"/>
      <c r="EZ130" s="593"/>
      <c r="FA130" s="593"/>
      <c r="FB130" s="593"/>
      <c r="FC130" s="593"/>
      <c r="FD130" s="593"/>
      <c r="FE130" s="593"/>
      <c r="FF130" s="593"/>
      <c r="FG130" s="593"/>
      <c r="FH130" s="593"/>
      <c r="FI130" s="593"/>
      <c r="FJ130" s="593"/>
      <c r="FK130" s="593"/>
      <c r="FL130" s="593"/>
      <c r="FM130" s="593"/>
      <c r="FN130" s="593"/>
      <c r="FO130" s="593"/>
      <c r="FP130" s="593"/>
      <c r="FQ130" s="593"/>
      <c r="FR130" s="593"/>
      <c r="FS130" s="593"/>
      <c r="FT130" s="593"/>
      <c r="FU130" s="593"/>
      <c r="FV130" s="593"/>
    </row>
    <row r="131" spans="1:178" ht="15.75">
      <c r="A131" s="593"/>
      <c r="B131" s="593"/>
      <c r="C131" s="593"/>
      <c r="D131" s="593"/>
      <c r="E131" s="593"/>
      <c r="F131" s="593"/>
      <c r="G131" s="593"/>
      <c r="H131" s="593"/>
      <c r="I131" s="593"/>
      <c r="J131" s="593"/>
      <c r="K131" s="593"/>
      <c r="L131" s="593"/>
      <c r="M131" s="593"/>
      <c r="N131" s="593"/>
      <c r="O131" s="593"/>
      <c r="P131" s="593"/>
      <c r="Q131" s="593"/>
      <c r="R131" s="593"/>
      <c r="S131" s="593"/>
      <c r="T131" s="593"/>
      <c r="U131" s="593"/>
      <c r="V131" s="593"/>
      <c r="W131" s="593"/>
      <c r="X131" s="593"/>
      <c r="Y131" s="593"/>
      <c r="Z131" s="593"/>
      <c r="AA131" s="593"/>
      <c r="AB131" s="593"/>
      <c r="AC131" s="593"/>
      <c r="AD131" s="593"/>
      <c r="AE131" s="593"/>
      <c r="AF131" s="593"/>
      <c r="AG131" s="593"/>
      <c r="AH131" s="593"/>
      <c r="AI131" s="593"/>
      <c r="AJ131" s="593"/>
      <c r="AK131" s="593"/>
      <c r="AL131" s="593"/>
      <c r="AM131" s="593"/>
      <c r="AN131" s="593"/>
      <c r="AO131" s="593"/>
      <c r="AP131" s="593"/>
      <c r="AQ131" s="593"/>
      <c r="AR131" s="593"/>
      <c r="AS131" s="593"/>
      <c r="AT131" s="593"/>
      <c r="AU131" s="593"/>
      <c r="AV131" s="593"/>
      <c r="AW131" s="593"/>
      <c r="AX131" s="593"/>
      <c r="AY131" s="593"/>
      <c r="AZ131" s="593"/>
      <c r="BA131" s="593"/>
      <c r="BB131" s="593"/>
      <c r="BC131" s="593"/>
      <c r="BD131" s="593"/>
      <c r="BE131" s="593"/>
      <c r="BF131" s="593"/>
      <c r="BG131" s="593"/>
      <c r="BH131" s="593"/>
      <c r="BI131" s="593"/>
      <c r="BJ131" s="593"/>
      <c r="BK131" s="593"/>
      <c r="BL131" s="593"/>
      <c r="BM131" s="593"/>
      <c r="BN131" s="593"/>
      <c r="BO131" s="593"/>
      <c r="BP131" s="593"/>
      <c r="BQ131" s="593"/>
      <c r="BR131" s="593"/>
      <c r="BS131" s="593"/>
      <c r="BT131" s="593"/>
      <c r="BU131" s="593"/>
      <c r="BV131" s="593"/>
      <c r="BW131" s="593"/>
      <c r="BX131" s="593"/>
      <c r="BY131" s="593"/>
      <c r="BZ131" s="593"/>
      <c r="CA131" s="593"/>
      <c r="CB131" s="593"/>
      <c r="CC131" s="593"/>
      <c r="CD131" s="593"/>
      <c r="CE131" s="593"/>
      <c r="CF131" s="593"/>
      <c r="CG131" s="593"/>
      <c r="CH131" s="593"/>
      <c r="CI131" s="593"/>
      <c r="CJ131" s="593"/>
      <c r="CK131" s="593"/>
      <c r="CL131" s="593"/>
      <c r="CM131" s="593"/>
      <c r="CN131" s="593"/>
      <c r="CO131" s="593"/>
      <c r="CP131" s="593"/>
      <c r="CQ131" s="593"/>
      <c r="CR131" s="593"/>
      <c r="CS131" s="593"/>
      <c r="CT131" s="593"/>
      <c r="CU131" s="593"/>
      <c r="CV131" s="593"/>
      <c r="CW131" s="593"/>
      <c r="CX131" s="593"/>
      <c r="CY131" s="593"/>
      <c r="CZ131" s="593"/>
      <c r="DA131" s="593"/>
      <c r="DB131" s="593"/>
      <c r="DC131" s="593"/>
      <c r="DD131" s="593"/>
      <c r="DE131" s="593"/>
      <c r="DF131" s="593"/>
      <c r="DG131" s="593"/>
      <c r="DH131" s="593"/>
      <c r="DI131" s="593"/>
      <c r="DJ131" s="593"/>
      <c r="DK131" s="593"/>
      <c r="DL131" s="593"/>
      <c r="DM131" s="593"/>
      <c r="DN131" s="593"/>
      <c r="DO131" s="593"/>
      <c r="DP131" s="593"/>
      <c r="DQ131" s="593"/>
      <c r="DR131" s="593"/>
      <c r="DS131" s="593"/>
      <c r="DT131" s="593"/>
      <c r="DU131" s="593"/>
      <c r="DV131" s="593"/>
      <c r="DW131" s="593"/>
      <c r="DX131" s="593"/>
      <c r="DY131" s="593"/>
      <c r="DZ131" s="593"/>
      <c r="EA131" s="593"/>
      <c r="EB131" s="593"/>
      <c r="EC131" s="593"/>
      <c r="ED131" s="593"/>
      <c r="EE131" s="593"/>
      <c r="EF131" s="593"/>
      <c r="EG131" s="593"/>
      <c r="EH131" s="593"/>
      <c r="EI131" s="593"/>
      <c r="EJ131" s="593"/>
      <c r="EK131" s="593"/>
      <c r="EL131" s="593"/>
      <c r="EM131" s="593"/>
      <c r="EN131" s="593"/>
      <c r="EO131" s="593"/>
      <c r="EP131" s="593"/>
      <c r="EQ131" s="593"/>
      <c r="ER131" s="593"/>
      <c r="ES131" s="593"/>
      <c r="ET131" s="593"/>
      <c r="EU131" s="593"/>
      <c r="EV131" s="593"/>
      <c r="EW131" s="593"/>
      <c r="EX131" s="593"/>
      <c r="EY131" s="593"/>
      <c r="EZ131" s="593"/>
      <c r="FA131" s="593"/>
      <c r="FB131" s="593"/>
      <c r="FC131" s="593"/>
      <c r="FD131" s="593"/>
      <c r="FE131" s="593"/>
      <c r="FF131" s="593"/>
      <c r="FG131" s="593"/>
      <c r="FH131" s="593"/>
      <c r="FI131" s="593"/>
      <c r="FJ131" s="593"/>
      <c r="FK131" s="593"/>
      <c r="FL131" s="593"/>
      <c r="FM131" s="593"/>
      <c r="FN131" s="593"/>
      <c r="FO131" s="593"/>
      <c r="FP131" s="593"/>
      <c r="FQ131" s="593"/>
      <c r="FR131" s="593"/>
      <c r="FS131" s="593"/>
      <c r="FT131" s="593"/>
      <c r="FU131" s="593"/>
      <c r="FV131" s="593"/>
    </row>
  </sheetData>
  <mergeCells count="27">
    <mergeCell ref="B78:C78"/>
    <mergeCell ref="C46:C47"/>
    <mergeCell ref="C48:C49"/>
    <mergeCell ref="D54:E54"/>
    <mergeCell ref="D55:E55"/>
    <mergeCell ref="B59:B66"/>
    <mergeCell ref="C59:C62"/>
    <mergeCell ref="C63:C66"/>
    <mergeCell ref="B69:B76"/>
    <mergeCell ref="C69:C72"/>
    <mergeCell ref="C73:C76"/>
    <mergeCell ref="C38:C39"/>
    <mergeCell ref="C40:C41"/>
    <mergeCell ref="C44:C45"/>
    <mergeCell ref="C20:C21"/>
    <mergeCell ref="C22:C23"/>
    <mergeCell ref="C24:C25"/>
    <mergeCell ref="C32:C33"/>
    <mergeCell ref="C30:C31"/>
    <mergeCell ref="C42:C43"/>
    <mergeCell ref="A20:A21"/>
    <mergeCell ref="B20:B21"/>
    <mergeCell ref="AZ11:BA12"/>
    <mergeCell ref="C34:C35"/>
    <mergeCell ref="C36:C37"/>
    <mergeCell ref="C26:C27"/>
    <mergeCell ref="C28:C29"/>
  </mergeCells>
  <phoneticPr fontId="42" type="noConversion"/>
  <dataValidations count="1">
    <dataValidation allowBlank="1" showInputMessage="1" showErrorMessage="1" promptTitle="&lt;SR-QTY&gt;" sqref="EX40:GW40 EX36:GW36 EX38:GW38 EX30:GW30 EX26:GW26 EX28:GW28 H20:GW20 AC26:BJ26 AC34:GW34 H24:GW24 AC44:GW44 AC42:GW42 AC46:GW46 AC28:BJ28 AC48:GW48 H22:GW22 AC32:GW32 AC38:BJ38 AC36:BJ36 AC30:BJ30 AC40:BJ40"/>
  </dataValidations>
  <printOptions verticalCentered="1"/>
  <pageMargins left="0.59055118110236227" right="0" top="0" bottom="0" header="0.31496062992125984" footer="0.31496062992125984"/>
  <pageSetup paperSize="8" scale="51" orientation="landscape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22"/>
  <sheetViews>
    <sheetView view="pageBreakPreview" zoomScale="60" zoomScaleNormal="98" workbookViewId="0">
      <selection activeCell="B18" sqref="B18"/>
    </sheetView>
  </sheetViews>
  <sheetFormatPr defaultRowHeight="15.75"/>
  <cols>
    <col min="1" max="1" width="4.140625" style="245" customWidth="1"/>
    <col min="2" max="2" width="21" style="245" customWidth="1"/>
    <col min="3" max="4" width="8.5703125" style="245" customWidth="1"/>
    <col min="5" max="5" width="8.140625" style="245" customWidth="1"/>
    <col min="6" max="10" width="9.140625" style="245"/>
    <col min="11" max="11" width="10.5703125" style="245" customWidth="1"/>
    <col min="12" max="15" width="9.140625" style="245"/>
    <col min="16" max="16" width="15.28515625" style="245" bestFit="1" customWidth="1"/>
    <col min="17" max="16384" width="9.140625" style="245"/>
  </cols>
  <sheetData>
    <row r="1" spans="2:14">
      <c r="B1" s="245" t="s">
        <v>207</v>
      </c>
    </row>
    <row r="3" spans="2:14">
      <c r="C3" s="618" t="s">
        <v>187</v>
      </c>
      <c r="D3" s="618" t="s">
        <v>188</v>
      </c>
      <c r="E3" s="618" t="s">
        <v>186</v>
      </c>
      <c r="F3" s="618" t="s">
        <v>174</v>
      </c>
      <c r="G3" s="618" t="s">
        <v>175</v>
      </c>
      <c r="H3" s="618" t="s">
        <v>176</v>
      </c>
      <c r="I3" s="618" t="s">
        <v>177</v>
      </c>
      <c r="J3" s="618" t="s">
        <v>178</v>
      </c>
      <c r="K3" s="618" t="s">
        <v>179</v>
      </c>
      <c r="L3" s="618" t="s">
        <v>180</v>
      </c>
      <c r="M3" s="618" t="s">
        <v>181</v>
      </c>
      <c r="N3" s="618" t="s">
        <v>197</v>
      </c>
    </row>
    <row r="4" spans="2:14">
      <c r="B4" s="244" t="s">
        <v>157</v>
      </c>
      <c r="C4" s="609" t="s">
        <v>194</v>
      </c>
      <c r="D4" s="609" t="s">
        <v>193</v>
      </c>
      <c r="E4" s="609" t="s">
        <v>192</v>
      </c>
      <c r="F4" s="609" t="s">
        <v>160</v>
      </c>
      <c r="G4" s="609" t="s">
        <v>161</v>
      </c>
      <c r="H4" s="609" t="s">
        <v>162</v>
      </c>
      <c r="I4" s="609" t="s">
        <v>163</v>
      </c>
      <c r="J4" s="609" t="s">
        <v>165</v>
      </c>
      <c r="K4" s="609" t="s">
        <v>166</v>
      </c>
      <c r="L4" s="609" t="s">
        <v>167</v>
      </c>
      <c r="M4" s="609" t="s">
        <v>191</v>
      </c>
      <c r="N4" s="609" t="s">
        <v>198</v>
      </c>
    </row>
    <row r="5" spans="2:14">
      <c r="B5" s="244" t="s">
        <v>195</v>
      </c>
      <c r="C5" s="608">
        <v>2382</v>
      </c>
      <c r="D5" s="608">
        <v>2238</v>
      </c>
      <c r="E5" s="608">
        <v>3354</v>
      </c>
      <c r="F5" s="608">
        <v>3300</v>
      </c>
      <c r="G5" s="608">
        <v>3420</v>
      </c>
      <c r="H5" s="608">
        <v>3618</v>
      </c>
      <c r="I5" s="607"/>
      <c r="J5" s="607"/>
      <c r="K5" s="607"/>
      <c r="L5" s="607"/>
      <c r="M5" s="607"/>
      <c r="N5" s="607"/>
    </row>
    <row r="6" spans="2:14">
      <c r="B6" s="244" t="s">
        <v>189</v>
      </c>
      <c r="C6" s="607"/>
      <c r="D6" s="607">
        <v>2208</v>
      </c>
      <c r="E6" s="607">
        <v>3084</v>
      </c>
      <c r="F6" s="607">
        <v>3276</v>
      </c>
      <c r="G6" s="607">
        <v>3306</v>
      </c>
      <c r="H6" s="607">
        <v>3210</v>
      </c>
      <c r="I6" s="607">
        <v>3090</v>
      </c>
      <c r="J6" s="607"/>
      <c r="K6" s="607"/>
      <c r="L6" s="607"/>
      <c r="M6" s="607"/>
      <c r="N6" s="607"/>
    </row>
    <row r="7" spans="2:14">
      <c r="B7" s="244" t="s">
        <v>190</v>
      </c>
      <c r="C7" s="607"/>
      <c r="D7" s="608">
        <v>2208</v>
      </c>
      <c r="E7" s="608">
        <v>2448</v>
      </c>
      <c r="F7" s="608">
        <v>3912</v>
      </c>
      <c r="G7" s="608">
        <v>3306</v>
      </c>
      <c r="H7" s="608">
        <v>3210</v>
      </c>
      <c r="I7" s="608">
        <v>3090</v>
      </c>
      <c r="J7" s="607"/>
      <c r="K7" s="607"/>
      <c r="L7" s="607"/>
      <c r="M7" s="607"/>
      <c r="N7" s="607"/>
    </row>
    <row r="8" spans="2:14">
      <c r="B8" s="244" t="s">
        <v>184</v>
      </c>
      <c r="C8" s="607"/>
      <c r="D8" s="607"/>
      <c r="E8" s="607">
        <v>2466</v>
      </c>
      <c r="F8" s="607">
        <v>4254</v>
      </c>
      <c r="G8" s="607">
        <v>3168</v>
      </c>
      <c r="H8" s="607">
        <v>2946</v>
      </c>
      <c r="I8" s="607">
        <v>2322</v>
      </c>
      <c r="J8" s="607">
        <v>1890</v>
      </c>
      <c r="K8" s="607"/>
      <c r="L8" s="607"/>
      <c r="M8" s="607"/>
      <c r="N8" s="607"/>
    </row>
    <row r="9" spans="2:14">
      <c r="B9" s="244" t="s">
        <v>185</v>
      </c>
      <c r="C9" s="607"/>
      <c r="D9" s="607"/>
      <c r="E9" s="608">
        <v>2466</v>
      </c>
      <c r="F9" s="608">
        <v>3678</v>
      </c>
      <c r="G9" s="608">
        <v>3744</v>
      </c>
      <c r="H9" s="608">
        <v>2946</v>
      </c>
      <c r="I9" s="608">
        <v>2322</v>
      </c>
      <c r="J9" s="608">
        <v>1890</v>
      </c>
      <c r="K9" s="607"/>
      <c r="L9" s="607"/>
      <c r="M9" s="607"/>
      <c r="N9" s="607"/>
    </row>
    <row r="10" spans="2:14">
      <c r="B10" s="244" t="s">
        <v>158</v>
      </c>
      <c r="C10" s="607"/>
      <c r="D10" s="607"/>
      <c r="E10" s="607"/>
      <c r="F10" s="607">
        <v>3678</v>
      </c>
      <c r="G10" s="607">
        <v>3762</v>
      </c>
      <c r="H10" s="607">
        <v>3546</v>
      </c>
      <c r="I10" s="607">
        <v>3048</v>
      </c>
      <c r="J10" s="607">
        <v>2946</v>
      </c>
      <c r="K10" s="607">
        <v>3510</v>
      </c>
      <c r="L10" s="607"/>
      <c r="M10" s="607"/>
      <c r="N10" s="607"/>
    </row>
    <row r="11" spans="2:14">
      <c r="B11" s="244" t="s">
        <v>159</v>
      </c>
      <c r="C11" s="607"/>
      <c r="D11" s="607"/>
      <c r="E11" s="607"/>
      <c r="F11" s="608">
        <v>3678</v>
      </c>
      <c r="G11" s="608">
        <v>3522</v>
      </c>
      <c r="H11" s="608">
        <v>3582</v>
      </c>
      <c r="I11" s="608">
        <v>3252</v>
      </c>
      <c r="J11" s="608">
        <v>2946</v>
      </c>
      <c r="K11" s="608">
        <v>3510</v>
      </c>
      <c r="L11" s="607"/>
      <c r="M11" s="607"/>
      <c r="N11" s="607"/>
    </row>
    <row r="12" spans="2:14">
      <c r="B12" s="244" t="s">
        <v>168</v>
      </c>
      <c r="C12" s="607"/>
      <c r="D12" s="607"/>
      <c r="E12" s="607"/>
      <c r="F12" s="607"/>
      <c r="G12" s="619">
        <v>3522</v>
      </c>
      <c r="H12" s="619">
        <v>3660</v>
      </c>
      <c r="I12" s="619">
        <v>3210</v>
      </c>
      <c r="J12" s="619">
        <v>2766</v>
      </c>
      <c r="K12" s="619">
        <v>3330</v>
      </c>
      <c r="L12" s="619">
        <v>3162</v>
      </c>
      <c r="M12" s="607"/>
      <c r="N12" s="607"/>
    </row>
    <row r="13" spans="2:14">
      <c r="B13" s="244" t="s">
        <v>196</v>
      </c>
      <c r="C13" s="607"/>
      <c r="D13" s="607"/>
      <c r="E13" s="607"/>
      <c r="F13" s="607"/>
      <c r="G13" s="619">
        <v>3522</v>
      </c>
      <c r="H13" s="619">
        <v>3660</v>
      </c>
      <c r="I13" s="619">
        <v>3210</v>
      </c>
      <c r="J13" s="619">
        <v>2766</v>
      </c>
      <c r="K13" s="619">
        <v>3330</v>
      </c>
      <c r="L13" s="619">
        <v>3162</v>
      </c>
      <c r="M13" s="607"/>
      <c r="N13" s="607"/>
    </row>
    <row r="14" spans="2:14">
      <c r="B14" s="244" t="s">
        <v>169</v>
      </c>
      <c r="C14" s="607"/>
      <c r="D14" s="607"/>
      <c r="E14" s="607"/>
      <c r="F14" s="607"/>
      <c r="G14" s="608">
        <v>3174</v>
      </c>
      <c r="H14" s="608">
        <v>3624</v>
      </c>
      <c r="I14" s="608">
        <v>3684</v>
      </c>
      <c r="J14" s="608">
        <v>2772</v>
      </c>
      <c r="K14" s="608">
        <v>3324</v>
      </c>
      <c r="L14" s="608">
        <v>3150</v>
      </c>
      <c r="M14" s="607"/>
      <c r="N14" s="607"/>
    </row>
    <row r="15" spans="2:14">
      <c r="B15" s="244" t="s">
        <v>173</v>
      </c>
      <c r="C15" s="607"/>
      <c r="D15" s="607"/>
      <c r="E15" s="607"/>
      <c r="F15" s="619"/>
      <c r="G15" s="619"/>
      <c r="H15" s="619">
        <v>4440</v>
      </c>
      <c r="I15" s="619">
        <v>3210</v>
      </c>
      <c r="J15" s="619">
        <v>2766</v>
      </c>
      <c r="K15" s="619">
        <v>3828</v>
      </c>
      <c r="L15" s="619">
        <v>3912</v>
      </c>
      <c r="M15" s="619">
        <v>3912</v>
      </c>
      <c r="N15" s="619"/>
    </row>
    <row r="16" spans="2:14">
      <c r="B16" s="244" t="s">
        <v>208</v>
      </c>
      <c r="C16" s="607"/>
      <c r="D16" s="607"/>
      <c r="E16" s="607"/>
      <c r="F16" s="619"/>
      <c r="G16" s="619"/>
      <c r="H16" s="608">
        <v>4440</v>
      </c>
      <c r="I16" s="608">
        <v>3210</v>
      </c>
      <c r="J16" s="608">
        <v>2796</v>
      </c>
      <c r="K16" s="608">
        <v>3804</v>
      </c>
      <c r="L16" s="608">
        <v>3912</v>
      </c>
      <c r="M16" s="608">
        <v>3912</v>
      </c>
      <c r="N16" s="619"/>
    </row>
    <row r="17" spans="2:14">
      <c r="B17" s="244" t="s">
        <v>209</v>
      </c>
      <c r="C17" s="607"/>
      <c r="D17" s="607"/>
      <c r="E17" s="607"/>
      <c r="F17" s="619"/>
      <c r="G17" s="619"/>
      <c r="H17" s="619"/>
      <c r="I17" s="620">
        <v>3210</v>
      </c>
      <c r="J17" s="620">
        <v>2976</v>
      </c>
      <c r="K17" s="620">
        <v>3540</v>
      </c>
      <c r="L17" s="620">
        <v>3264</v>
      </c>
      <c r="M17" s="620">
        <v>3936</v>
      </c>
      <c r="N17" s="620">
        <v>3912</v>
      </c>
    </row>
    <row r="19" spans="2:14">
      <c r="B19" s="244" t="s">
        <v>182</v>
      </c>
      <c r="C19" s="244"/>
      <c r="D19" s="244"/>
      <c r="E19" s="607"/>
      <c r="F19" s="621"/>
      <c r="G19" s="621"/>
      <c r="H19" s="621">
        <f>H16-H14</f>
        <v>816</v>
      </c>
      <c r="I19" s="621">
        <f>I16-I14</f>
        <v>-474</v>
      </c>
      <c r="J19" s="621">
        <f>J16-J14</f>
        <v>24</v>
      </c>
      <c r="K19" s="621">
        <f>K16-K14</f>
        <v>480</v>
      </c>
      <c r="L19" s="621">
        <f>L16-L14</f>
        <v>762</v>
      </c>
      <c r="M19" s="621"/>
      <c r="N19" s="621"/>
    </row>
    <row r="20" spans="2:14">
      <c r="B20" s="244" t="s">
        <v>183</v>
      </c>
      <c r="C20" s="621"/>
      <c r="D20" s="621"/>
      <c r="E20" s="621"/>
      <c r="F20" s="621">
        <f>F11-F5</f>
        <v>378</v>
      </c>
      <c r="G20" s="621">
        <f>G14-G7</f>
        <v>-132</v>
      </c>
      <c r="H20" s="621">
        <f>H16-H7</f>
        <v>1230</v>
      </c>
      <c r="I20" s="621">
        <f>I17-I11</f>
        <v>-42</v>
      </c>
      <c r="J20" s="621">
        <f t="shared" ref="J20" si="0">J17-J11</f>
        <v>30</v>
      </c>
      <c r="K20" s="621">
        <f>K17-K11</f>
        <v>30</v>
      </c>
      <c r="L20" s="621">
        <f>L17-L14</f>
        <v>114</v>
      </c>
      <c r="M20" s="621">
        <f>M17-M16</f>
        <v>24</v>
      </c>
      <c r="N20" s="621"/>
    </row>
    <row r="21" spans="2:14">
      <c r="B21" s="622"/>
      <c r="C21" s="622"/>
      <c r="D21" s="622"/>
      <c r="E21" s="622"/>
      <c r="F21" s="623"/>
      <c r="G21" s="623"/>
      <c r="H21" s="623"/>
      <c r="I21" s="623"/>
      <c r="J21" s="623"/>
      <c r="K21" s="623"/>
      <c r="L21" s="623"/>
      <c r="M21" s="623"/>
      <c r="N21" s="623"/>
    </row>
    <row r="22" spans="2:14">
      <c r="F22" s="624">
        <f>F14/F5</f>
        <v>0</v>
      </c>
      <c r="G22" s="624">
        <f>G14/G5</f>
        <v>0.92807017543859649</v>
      </c>
      <c r="H22" s="624">
        <f>H16/H9</f>
        <v>1.5071283095723014</v>
      </c>
      <c r="I22" s="624">
        <f>I17/I9</f>
        <v>1.3824289405684755</v>
      </c>
      <c r="J22" s="624">
        <f>J17/J9</f>
        <v>1.5746031746031746</v>
      </c>
      <c r="K22" s="624">
        <f>K17/K11</f>
        <v>1.0085470085470085</v>
      </c>
      <c r="L22" s="624">
        <f>L17/L14</f>
        <v>1.0361904761904761</v>
      </c>
      <c r="M22" s="624">
        <f>M17/M16</f>
        <v>1.0061349693251533</v>
      </c>
      <c r="N22" s="624"/>
    </row>
  </sheetData>
  <phoneticPr fontId="42" type="noConversion"/>
  <pageMargins left="0.70866141732283472" right="0.70866141732283472" top="0.74803149606299213" bottom="0.74803149606299213" header="0.31496062992125984" footer="0.31496062992125984"/>
  <pageSetup paperSize="9" scale="88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theme="0" tint="-0.34998626667073579"/>
  </sheetPr>
  <dimension ref="A1:I18"/>
  <sheetViews>
    <sheetView workbookViewId="0">
      <selection activeCell="S18" sqref="S18"/>
    </sheetView>
  </sheetViews>
  <sheetFormatPr defaultRowHeight="15"/>
  <cols>
    <col min="1" max="1" width="13.85546875" bestFit="1" customWidth="1"/>
  </cols>
  <sheetData>
    <row r="1" spans="1:9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</row>
    <row r="2" spans="1:9">
      <c r="A2" s="71"/>
      <c r="B2" s="71"/>
      <c r="C2" s="71" t="s">
        <v>95</v>
      </c>
      <c r="D2" s="72" t="str">
        <f>'JAI 原檔'!H19</f>
        <v>3</v>
      </c>
      <c r="E2" s="72" t="str">
        <f>'JAI 原檔'!I19</f>
        <v>4</v>
      </c>
      <c r="F2" s="72" t="str">
        <f>'JAI 原檔'!J19</f>
        <v>5</v>
      </c>
      <c r="G2" s="72" t="str">
        <f>'JAI 原檔'!K19</f>
        <v>6</v>
      </c>
      <c r="H2" s="72" t="str">
        <f>'JAI 原檔'!L19</f>
        <v>7</v>
      </c>
      <c r="I2" s="72" t="str">
        <f>'JAI 原檔'!M19</f>
        <v>8</v>
      </c>
    </row>
    <row r="3" spans="1:9">
      <c r="A3" s="71" t="s">
        <v>38</v>
      </c>
      <c r="B3" s="71" t="s">
        <v>86</v>
      </c>
      <c r="C3" s="71" t="s">
        <v>87</v>
      </c>
      <c r="D3" s="71">
        <v>330</v>
      </c>
      <c r="E3" s="71">
        <v>0</v>
      </c>
      <c r="F3" s="71">
        <v>0</v>
      </c>
      <c r="G3" s="71">
        <v>190</v>
      </c>
      <c r="H3" s="71">
        <v>150</v>
      </c>
      <c r="I3" s="71">
        <v>150</v>
      </c>
    </row>
    <row r="4" spans="1:9">
      <c r="A4" s="71" t="s">
        <v>88</v>
      </c>
      <c r="B4" s="71" t="s">
        <v>89</v>
      </c>
      <c r="C4" s="71" t="s">
        <v>87</v>
      </c>
      <c r="D4" s="71">
        <v>10</v>
      </c>
      <c r="E4" s="71">
        <v>0</v>
      </c>
      <c r="F4" s="71">
        <v>0</v>
      </c>
      <c r="G4" s="71">
        <v>10</v>
      </c>
      <c r="H4" s="71">
        <v>0</v>
      </c>
      <c r="I4" s="71">
        <v>10</v>
      </c>
    </row>
    <row r="5" spans="1:9">
      <c r="A5" s="71" t="s">
        <v>51</v>
      </c>
      <c r="B5" s="71" t="s">
        <v>90</v>
      </c>
      <c r="C5" s="71" t="s">
        <v>87</v>
      </c>
      <c r="D5" s="71">
        <v>120</v>
      </c>
      <c r="E5" s="71">
        <v>0</v>
      </c>
      <c r="F5" s="71">
        <v>0</v>
      </c>
      <c r="G5" s="71">
        <v>40</v>
      </c>
      <c r="H5" s="71">
        <v>40</v>
      </c>
      <c r="I5" s="71">
        <v>50</v>
      </c>
    </row>
    <row r="6" spans="1:9">
      <c r="A6" s="71" t="s">
        <v>52</v>
      </c>
      <c r="B6" s="71" t="s">
        <v>89</v>
      </c>
      <c r="C6" s="71" t="s">
        <v>87</v>
      </c>
      <c r="D6" s="71">
        <v>120</v>
      </c>
      <c r="E6" s="71">
        <v>90</v>
      </c>
      <c r="F6" s="71">
        <v>90</v>
      </c>
      <c r="G6" s="71">
        <v>110</v>
      </c>
      <c r="H6" s="71">
        <v>80</v>
      </c>
      <c r="I6" s="71">
        <v>80</v>
      </c>
    </row>
    <row r="7" spans="1:9">
      <c r="A7" s="71" t="s">
        <v>91</v>
      </c>
      <c r="B7" s="71" t="s">
        <v>92</v>
      </c>
      <c r="C7" s="71" t="s">
        <v>93</v>
      </c>
      <c r="D7" s="71">
        <v>0</v>
      </c>
      <c r="E7" s="71">
        <v>0</v>
      </c>
      <c r="F7" s="71">
        <v>0</v>
      </c>
      <c r="G7" s="71">
        <v>0</v>
      </c>
      <c r="H7" s="71">
        <v>0</v>
      </c>
      <c r="I7" s="71">
        <v>0</v>
      </c>
    </row>
    <row r="8" spans="1:9">
      <c r="A8" s="71" t="s">
        <v>53</v>
      </c>
      <c r="B8" s="71" t="s">
        <v>89</v>
      </c>
      <c r="C8" s="71" t="s">
        <v>87</v>
      </c>
      <c r="D8" s="71">
        <v>1090</v>
      </c>
      <c r="E8" s="71">
        <v>450</v>
      </c>
      <c r="F8" s="71">
        <v>670</v>
      </c>
      <c r="G8" s="71">
        <v>770</v>
      </c>
      <c r="H8" s="71">
        <v>610</v>
      </c>
      <c r="I8" s="71">
        <v>600</v>
      </c>
    </row>
    <row r="9" spans="1:9">
      <c r="A9" s="71" t="s">
        <v>54</v>
      </c>
      <c r="B9" s="71" t="s">
        <v>89</v>
      </c>
      <c r="C9" s="71" t="s">
        <v>87</v>
      </c>
      <c r="D9" s="71">
        <v>570</v>
      </c>
      <c r="E9" s="71">
        <v>460</v>
      </c>
      <c r="F9" s="71">
        <v>580</v>
      </c>
      <c r="G9" s="71">
        <v>680</v>
      </c>
      <c r="H9" s="71">
        <v>540</v>
      </c>
      <c r="I9" s="71">
        <v>520</v>
      </c>
    </row>
    <row r="10" spans="1:9">
      <c r="A10" s="71" t="s">
        <v>55</v>
      </c>
      <c r="B10" s="71" t="s">
        <v>89</v>
      </c>
      <c r="C10" s="71" t="s">
        <v>87</v>
      </c>
      <c r="D10" s="71">
        <v>60</v>
      </c>
      <c r="E10" s="71">
        <v>10</v>
      </c>
      <c r="F10" s="71">
        <v>10</v>
      </c>
      <c r="G10" s="71">
        <v>20</v>
      </c>
      <c r="H10" s="71">
        <v>10</v>
      </c>
      <c r="I10" s="71">
        <v>10</v>
      </c>
    </row>
    <row r="11" spans="1:9">
      <c r="A11" s="71" t="s">
        <v>56</v>
      </c>
      <c r="B11" s="71" t="s">
        <v>89</v>
      </c>
      <c r="C11" s="71" t="s">
        <v>87</v>
      </c>
      <c r="D11" s="71">
        <v>50</v>
      </c>
      <c r="E11" s="71">
        <v>80</v>
      </c>
      <c r="F11" s="71">
        <v>50</v>
      </c>
      <c r="G11" s="71">
        <v>60</v>
      </c>
      <c r="H11" s="71">
        <v>40</v>
      </c>
      <c r="I11" s="71">
        <v>50</v>
      </c>
    </row>
    <row r="12" spans="1:9">
      <c r="A12" s="71" t="s">
        <v>94</v>
      </c>
      <c r="B12" s="71" t="s">
        <v>89</v>
      </c>
      <c r="C12" s="71" t="s">
        <v>87</v>
      </c>
      <c r="D12" s="71">
        <v>30</v>
      </c>
      <c r="E12" s="71">
        <v>10</v>
      </c>
      <c r="F12" s="71">
        <v>10</v>
      </c>
      <c r="G12" s="71">
        <v>20</v>
      </c>
      <c r="H12" s="71">
        <v>10</v>
      </c>
      <c r="I12" s="71">
        <v>10</v>
      </c>
    </row>
    <row r="13" spans="1:9">
      <c r="A13" s="71" t="s">
        <v>57</v>
      </c>
      <c r="B13" s="71" t="s">
        <v>89</v>
      </c>
      <c r="C13" s="71" t="s">
        <v>87</v>
      </c>
      <c r="D13" s="71">
        <v>830</v>
      </c>
      <c r="E13" s="71">
        <v>550</v>
      </c>
      <c r="F13" s="71">
        <v>440</v>
      </c>
      <c r="G13" s="71">
        <v>510</v>
      </c>
      <c r="H13" s="71">
        <v>400</v>
      </c>
      <c r="I13" s="71">
        <v>390</v>
      </c>
    </row>
    <row r="14" spans="1:9">
      <c r="A14" s="71" t="s">
        <v>58</v>
      </c>
      <c r="B14" s="71" t="s">
        <v>89</v>
      </c>
      <c r="C14" s="71" t="s">
        <v>87</v>
      </c>
      <c r="D14" s="71">
        <v>200</v>
      </c>
      <c r="E14" s="71">
        <v>100</v>
      </c>
      <c r="F14" s="71">
        <v>180</v>
      </c>
      <c r="G14" s="71">
        <v>210</v>
      </c>
      <c r="H14" s="71">
        <v>170</v>
      </c>
      <c r="I14" s="71">
        <v>170</v>
      </c>
    </row>
    <row r="15" spans="1:9">
      <c r="A15" s="71" t="s">
        <v>59</v>
      </c>
      <c r="B15" s="71" t="s">
        <v>89</v>
      </c>
      <c r="C15" s="71" t="s">
        <v>87</v>
      </c>
      <c r="D15" s="71">
        <v>50</v>
      </c>
      <c r="E15" s="71">
        <v>10</v>
      </c>
      <c r="F15" s="71">
        <v>20</v>
      </c>
      <c r="G15" s="71">
        <v>30</v>
      </c>
      <c r="H15" s="71">
        <v>20</v>
      </c>
      <c r="I15" s="71">
        <v>20</v>
      </c>
    </row>
    <row r="16" spans="1:9">
      <c r="A16" s="71" t="s">
        <v>60</v>
      </c>
      <c r="B16" s="71" t="s">
        <v>89</v>
      </c>
      <c r="C16" s="71" t="s">
        <v>87</v>
      </c>
      <c r="D16" s="71">
        <v>90</v>
      </c>
      <c r="E16" s="71">
        <v>0</v>
      </c>
      <c r="F16" s="71">
        <v>0</v>
      </c>
      <c r="G16" s="71">
        <v>10</v>
      </c>
      <c r="H16" s="71">
        <v>30</v>
      </c>
      <c r="I16" s="71">
        <v>40</v>
      </c>
    </row>
    <row r="17" spans="1:9">
      <c r="A17" s="71" t="s">
        <v>61</v>
      </c>
      <c r="B17" s="71" t="s">
        <v>86</v>
      </c>
      <c r="C17" s="71" t="s">
        <v>87</v>
      </c>
      <c r="D17" s="71">
        <v>160</v>
      </c>
      <c r="E17" s="71">
        <v>180</v>
      </c>
      <c r="F17" s="71">
        <v>60</v>
      </c>
      <c r="G17" s="71">
        <v>90</v>
      </c>
      <c r="H17" s="71">
        <v>60</v>
      </c>
      <c r="I17" s="71">
        <v>60</v>
      </c>
    </row>
    <row r="18" spans="1:9">
      <c r="A18" s="71" t="s">
        <v>62</v>
      </c>
      <c r="B18" s="71" t="s">
        <v>90</v>
      </c>
      <c r="C18" s="71" t="s">
        <v>87</v>
      </c>
      <c r="D18" s="71">
        <v>930</v>
      </c>
      <c r="E18" s="71">
        <v>540</v>
      </c>
      <c r="F18" s="71">
        <v>240</v>
      </c>
      <c r="G18" s="71">
        <v>290</v>
      </c>
      <c r="H18" s="71">
        <v>230</v>
      </c>
      <c r="I18" s="71">
        <v>220</v>
      </c>
    </row>
  </sheetData>
  <phoneticPr fontId="4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JAI 原檔</vt:lpstr>
      <vt:lpstr>JAI (加新件號)</vt:lpstr>
      <vt:lpstr>比較</vt:lpstr>
      <vt:lpstr>Sheet1</vt:lpstr>
      <vt:lpstr>'JAI (加新件號)'!Print_Area</vt:lpstr>
      <vt:lpstr>'JAI 原檔'!Print_Area</vt:lpstr>
      <vt:lpstr>比較!Print_Area</vt:lpstr>
      <vt:lpstr>'JAI (加新件號)'!Print_Titles</vt:lpstr>
      <vt:lpstr>'JAI 原檔'!Print_Titles</vt:lpstr>
    </vt:vector>
  </TitlesOfParts>
  <Company>Yazaki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Yazaki Corporation</dc:creator>
  <cp:lastModifiedBy>Meyta A. R.</cp:lastModifiedBy>
  <cp:lastPrinted>2026-03-26T02:50:31Z</cp:lastPrinted>
  <dcterms:created xsi:type="dcterms:W3CDTF">2018-10-23T11:39:49Z</dcterms:created>
  <dcterms:modified xsi:type="dcterms:W3CDTF">2026-03-27T07:06:54Z</dcterms:modified>
</cp:coreProperties>
</file>